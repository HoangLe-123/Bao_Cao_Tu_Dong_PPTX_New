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drawings/drawing1.xml" ContentType="application/vnd.openxmlformats-officedocument.drawing+xml"/>
  <ns0:Override PartName="/xl/charts/chart1.xml" ContentType="application/vnd.openxmlformats-officedocument.drawingml.chart+xml"/>
  <ns0:Override PartName="/xl/charts/chart2.xml" ContentType="application/vnd.openxmlformats-officedocument.drawingml.chart+xml"/>
  <ns0:Override PartName="/xl/charts/chart3.xml" ContentType="application/vnd.openxmlformats-officedocument.drawingml.chart+xml"/>
  <ns0:Override PartName="/xl/charts/chart4.xml" ContentType="application/vnd.openxmlformats-officedocument.drawingml.chart+xml"/>
  <ns0:Override PartName="/xl/charts/chart5.xml" ContentType="application/vnd.openxmlformats-officedocument.drawingml.chart+xml"/>
  <ns0:Override PartName="/xl/charts/chart6.xml" ContentType="application/vnd.openxmlformats-officedocument.drawingml.chart+xml"/>
  <ns0:Override PartName="/xl/charts/chart7.xml" ContentType="application/vnd.openxmlformats-officedocument.drawingml.chart+xml"/>
  <ns0:Override PartName="/xl/charts/chart8.xml" ContentType="application/vnd.openxmlformats-officedocument.drawingml.chart+xml"/>
  <ns0:Override PartName="/xl/charts/chart9.xml" ContentType="application/vnd.openxmlformats-officedocument.drawingml.chart+xml"/>
  <ns0:Override PartName="/xl/charts/chart10.xml" ContentType="application/vnd.openxmlformats-officedocument.drawingml.chart+xml"/>
  <ns0:Override PartName="/xl/charts/chart11.xml" ContentType="application/vnd.openxmlformats-officedocument.drawingml.chart+xml"/>
  <ns0:Override PartName="/xl/charts/chart12.xml" ContentType="application/vnd.openxmlformats-officedocument.drawingml.chart+xml"/>
  <ns0:Override PartName="/xl/charts/chart13.xml" ContentType="application/vnd.openxmlformats-officedocument.drawingml.chart+xml"/>
  <ns0:Override PartName="/xl/charts/chart14.xml" ContentType="application/vnd.openxmlformats-officedocument.drawingml.chart+xml"/>
  <ns0:Override PartName="/xl/charts/chart15.xml" ContentType="application/vnd.openxmlformats-officedocument.drawingml.chart+xml"/>
  <ns0:Override PartName="/xl/charts/chart16.xml" ContentType="application/vnd.openxmlformats-officedocument.drawingml.chart+xml"/>
  <ns0:Override PartName="/xl/charts/chart17.xml" ContentType="application/vnd.openxmlformats-officedocument.drawingml.chart+xml"/>
  <ns0:Override PartName="/xl/charts/chart18.xml" ContentType="application/vnd.openxmlformats-officedocument.drawingml.chart+xml"/>
  <ns0:Override PartName="/xl/charts/chart19.xml" ContentType="application/vnd.openxmlformats-officedocument.drawingml.chart+xml"/>
  <ns0:Override PartName="/xl/charts/chart20.xml" ContentType="application/vnd.openxmlformats-officedocument.drawingml.chart+xml"/>
  <ns0:Override PartName="/xl/charts/chart21.xml" ContentType="application/vnd.openxmlformats-officedocument.drawingml.chart+xml"/>
  <ns0:Override PartName="/xl/charts/chart22.xml" ContentType="application/vnd.openxmlformats-officedocument.drawingml.chart+xml"/>
  <ns0:Override PartName="/xl/charts/chart23.xml" ContentType="application/vnd.openxmlformats-officedocument.drawingml.chart+xml"/>
  <ns0:Override PartName="/xl/charts/chart24.xml" ContentType="application/vnd.openxmlformats-officedocument.drawingml.chart+xml"/>
  <ns0:Override PartName="/xl/charts/chart25.xml" ContentType="application/vnd.openxmlformats-officedocument.drawingml.chart+xml"/>
  <ns0:Override PartName="/xl/charts/chart26.xml" ContentType="application/vnd.openxmlformats-officedocument.drawingml.chart+xml"/>
  <ns0:Override PartName="/xl/charts/chart27.xml" ContentType="application/vnd.openxmlformats-officedocument.drawingml.chart+xml"/>
  <ns0:Override PartName="/xl/charts/chart28.xml" ContentType="application/vnd.openxmlformats-officedocument.drawingml.chart+xml"/>
  <ns0:Override PartName="/xl/charts/chart29.xml" ContentType="application/vnd.openxmlformats-officedocument.drawingml.chart+xml"/>
  <ns0:Override PartName="/xl/charts/chart30.xml" ContentType="application/vnd.openxmlformats-officedocument.drawingml.chart+xml"/>
  <ns0:Override PartName="/xl/externalLinks/externalLink1.xml" ContentType="application/vnd.openxmlformats-officedocument.spreadsheetml.externalLink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1520" yWindow="0" windowWidth="11520" windowHeight="13800" tabRatio="600" firstSheet="0" activeTab="0" autoFilterDateGrouping="1"/>
  </bookViews>
  <sheets>
    <sheet xmlns:r="http://schemas.openxmlformats.org/officeDocument/2006/relationships" name="Hằng ngày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yyyy\-mm\-dd"/>
  </numFmts>
  <fonts count="4">
    <font>
      <name val="Calibri"/>
      <family val="2"/>
      <color theme="1"/>
      <sz val="11"/>
    </font>
    <font>
      <name val="Aptos Narrow"/>
      <family val="2"/>
      <color theme="1"/>
      <sz val="11"/>
      <scheme val="minor"/>
    </font>
    <font>
      <name val="Calibri"/>
      <family val="2"/>
      <sz val="11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43" fontId="1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1">
      <alignment horizontal="center" vertical="center"/>
    </xf>
    <xf numFmtId="16" fontId="1" fillId="0" borderId="1" applyAlignment="1" pivotButton="0" quotePrefix="0" xfId="1">
      <alignment horizontal="center" vertical="center"/>
    </xf>
    <xf numFmtId="0" fontId="2" fillId="0" borderId="1" applyAlignment="1" pivotButton="0" quotePrefix="0" xfId="1">
      <alignment horizontal="center" vertical="center"/>
    </xf>
    <xf numFmtId="0" fontId="1" fillId="0" borderId="1" applyAlignment="1" pivotButton="0" quotePrefix="0" xfId="1">
      <alignment horizontal="left" vertical="center"/>
    </xf>
    <xf numFmtId="1" fontId="1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 vertical="center"/>
    </xf>
    <xf numFmtId="0" fontId="2" fillId="0" borderId="1" applyAlignment="1" pivotButton="0" quotePrefix="0" xfId="1">
      <alignment horizontal="left" vertical="center"/>
    </xf>
    <xf numFmtId="164" fontId="0" fillId="0" borderId="1" applyAlignment="1" pivotButton="0" quotePrefix="0" xfId="2">
      <alignment horizontal="center" vertical="center"/>
    </xf>
    <xf numFmtId="0" fontId="1" fillId="0" borderId="0" applyAlignment="1" pivotButton="0" quotePrefix="0" xfId="1">
      <alignment horizontal="left" vertical="center"/>
    </xf>
    <xf numFmtId="0" fontId="1" fillId="0" borderId="0" applyAlignment="1" pivotButton="0" quotePrefix="0" xfId="1">
      <alignment horizontal="center" vertical="center"/>
    </xf>
    <xf numFmtId="0" fontId="1" fillId="0" borderId="2" applyAlignment="1" pivotButton="0" quotePrefix="0" xfId="1">
      <alignment horizontal="center" vertical="center"/>
    </xf>
    <xf numFmtId="0" fontId="1" fillId="0" borderId="3" applyAlignment="1" pivotButton="0" quotePrefix="0" xfId="1">
      <alignment horizontal="center" vertical="center"/>
    </xf>
    <xf numFmtId="0" fontId="1" fillId="0" borderId="0" applyAlignment="1" pivotButton="0" quotePrefix="0" xfId="1">
      <alignment horizontal="left"/>
    </xf>
    <xf numFmtId="0" fontId="1" fillId="0" borderId="1" applyAlignment="1" pivotButton="0" quotePrefix="0" xfId="1">
      <alignment horizontal="left"/>
    </xf>
    <xf numFmtId="0" fontId="1" fillId="0" borderId="0" applyAlignment="1" pivotButton="0" quotePrefix="0" xfId="1">
      <alignment horizontal="center"/>
    </xf>
    <xf numFmtId="0" fontId="1" fillId="0" borderId="1" applyAlignment="1" pivotButton="0" quotePrefix="0" xfId="1">
      <alignment horizontal="center"/>
    </xf>
    <xf numFmtId="1" fontId="1" fillId="0" borderId="1" applyAlignment="1" pivotButton="0" quotePrefix="0" xfId="1">
      <alignment horizontal="center"/>
    </xf>
    <xf numFmtId="164" fontId="0" fillId="0" borderId="0" applyAlignment="1" pivotButton="0" quotePrefix="0" xfId="2">
      <alignment horizontal="center"/>
    </xf>
    <xf numFmtId="164" fontId="0" fillId="0" borderId="1" applyAlignment="1" pivotButton="0" quotePrefix="0" xfId="2">
      <alignment horizontal="center"/>
    </xf>
    <xf numFmtId="0" fontId="3" fillId="0" borderId="1" applyAlignment="1" pivotButton="0" quotePrefix="0" xfId="1">
      <alignment horizontal="center"/>
    </xf>
    <xf numFmtId="165" fontId="0" fillId="0" borderId="0" pivotButton="0" quotePrefix="0" xfId="0"/>
  </cellXfs>
  <cellStyles count="3">
    <cellStyle name="Normal" xfId="0" builtinId="0"/>
    <cellStyle name="Normal 2" xfId="1"/>
    <cellStyle name="Comma 2" xfId="2"/>
  </cellStyles>
  <dxfs count="13">
    <dxf>
      <fill>
        <patternFill patternType="solid">
          <fgColor rgb="FFEFEFEF"/>
          <bgColor rgb="FFEFEFE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EFEFEF"/>
          <bgColor rgb="FFEFEF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THỰC TÍCH SỐ BẢN VẼ HOÀN THÁNG /2026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5"/>
          <c:order val="0"/>
          <c:tx>
            <c:strRef>
              <c:f>'Hằng ngày'!$A$14</c:f>
              <c:strCache>
                <c:ptCount val="1"/>
                <c:pt idx="0">
                  <c:v>THỰC TÍCH SỐ BẢN VẼ HOÀN THÀNH TRONG NGÀY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'Hằng ngày'!$B$8:$AG$8</c:f>
              <c:numCache>
                <c:formatCode>d\-mmm</c:formatCode>
                <c:ptCount val="32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  <c:pt idx="7">
                  <c:v>46118</c:v>
                </c:pt>
                <c:pt idx="8">
                  <c:v>46119</c:v>
                </c:pt>
                <c:pt idx="9">
                  <c:v>46120</c:v>
                </c:pt>
                <c:pt idx="10">
                  <c:v>46121</c:v>
                </c:pt>
                <c:pt idx="11">
                  <c:v>46122</c:v>
                </c:pt>
                <c:pt idx="12">
                  <c:v>46123</c:v>
                </c:pt>
                <c:pt idx="13">
                  <c:v>46124</c:v>
                </c:pt>
                <c:pt idx="14">
                  <c:v>46125</c:v>
                </c:pt>
                <c:pt idx="15">
                  <c:v>46126</c:v>
                </c:pt>
                <c:pt idx="16">
                  <c:v>46127</c:v>
                </c:pt>
                <c:pt idx="17">
                  <c:v>46128</c:v>
                </c:pt>
                <c:pt idx="18">
                  <c:v>46129</c:v>
                </c:pt>
                <c:pt idx="19">
                  <c:v>46130</c:v>
                </c:pt>
                <c:pt idx="20">
                  <c:v>46131</c:v>
                </c:pt>
                <c:pt idx="21">
                  <c:v>46132</c:v>
                </c:pt>
                <c:pt idx="22">
                  <c:v>46133</c:v>
                </c:pt>
                <c:pt idx="23">
                  <c:v>46134</c:v>
                </c:pt>
                <c:pt idx="24">
                  <c:v>46135</c:v>
                </c:pt>
                <c:pt idx="25">
                  <c:v>46136</c:v>
                </c:pt>
                <c:pt idx="26">
                  <c:v>46137</c:v>
                </c:pt>
                <c:pt idx="27">
                  <c:v>46138</c:v>
                </c:pt>
                <c:pt idx="28">
                  <c:v>46139</c:v>
                </c:pt>
              </c:numCache>
            </c:numRef>
          </c:cat>
          <c:val>
            <c:numRef>
              <c:f>'Hằng ngày'!$B$14:$AG$14</c:f>
              <c:numCache>
                <c:formatCode>_(* #,##0_);_(* \(#,##0\);_(* "-"??_);_(@_)</c:formatCode>
                <c:ptCount val="32"/>
                <c:pt idx="0">
                  <c:v>86</c:v>
                </c:pt>
                <c:pt idx="1">
                  <c:v>51</c:v>
                </c:pt>
                <c:pt idx="2">
                  <c:v>54</c:v>
                </c:pt>
                <c:pt idx="3">
                  <c:v>81</c:v>
                </c:pt>
                <c:pt idx="4">
                  <c:v>63</c:v>
                </c:pt>
                <c:pt idx="5">
                  <c:v>43</c:v>
                </c:pt>
                <c:pt idx="6">
                  <c:v>0</c:v>
                </c:pt>
                <c:pt idx="7">
                  <c:v>92</c:v>
                </c:pt>
                <c:pt idx="8">
                  <c:v>70</c:v>
                </c:pt>
                <c:pt idx="9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9-4F1A-BD5A-3513A5638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46966672"/>
        <c:axId val="946970992"/>
      </c:barChart>
      <c:lineChart>
        <c:grouping val="standard"/>
        <c:varyColors val="0"/>
        <c:ser>
          <c:idx val="6"/>
          <c:order val="1"/>
          <c:tx>
            <c:strRef>
              <c:f>'Hằng ngày'!$A$10</c:f>
              <c:strCache>
                <c:ptCount val="1"/>
                <c:pt idx="0">
                  <c:v>MỤC TIÊU SỐ BẢN VẼ HOÀN THÀNH TRONG NGÀY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  <a:prstDash val="solid"/>
              </a:ln>
            </c:spPr>
          </c:marker>
          <c:dLbls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29-4F1A-BD5A-3513A56388B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'Hằng ngày'!$B$8:$AG$8</c:f>
              <c:numCache>
                <c:formatCode>d\-mmm</c:formatCode>
                <c:ptCount val="32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  <c:pt idx="7">
                  <c:v>46118</c:v>
                </c:pt>
                <c:pt idx="8">
                  <c:v>46119</c:v>
                </c:pt>
                <c:pt idx="9">
                  <c:v>46120</c:v>
                </c:pt>
                <c:pt idx="10">
                  <c:v>46121</c:v>
                </c:pt>
                <c:pt idx="11">
                  <c:v>46122</c:v>
                </c:pt>
                <c:pt idx="12">
                  <c:v>46123</c:v>
                </c:pt>
                <c:pt idx="13">
                  <c:v>46124</c:v>
                </c:pt>
                <c:pt idx="14">
                  <c:v>46125</c:v>
                </c:pt>
                <c:pt idx="15">
                  <c:v>46126</c:v>
                </c:pt>
                <c:pt idx="16">
                  <c:v>46127</c:v>
                </c:pt>
                <c:pt idx="17">
                  <c:v>46128</c:v>
                </c:pt>
                <c:pt idx="18">
                  <c:v>46129</c:v>
                </c:pt>
                <c:pt idx="19">
                  <c:v>46130</c:v>
                </c:pt>
                <c:pt idx="20">
                  <c:v>46131</c:v>
                </c:pt>
                <c:pt idx="21">
                  <c:v>46132</c:v>
                </c:pt>
                <c:pt idx="22">
                  <c:v>46133</c:v>
                </c:pt>
                <c:pt idx="23">
                  <c:v>46134</c:v>
                </c:pt>
                <c:pt idx="24">
                  <c:v>46135</c:v>
                </c:pt>
                <c:pt idx="25">
                  <c:v>46136</c:v>
                </c:pt>
                <c:pt idx="26">
                  <c:v>46137</c:v>
                </c:pt>
                <c:pt idx="27">
                  <c:v>46138</c:v>
                </c:pt>
                <c:pt idx="28">
                  <c:v>46139</c:v>
                </c:pt>
              </c:numCache>
            </c:numRef>
          </c:cat>
          <c:val>
            <c:numRef>
              <c:f>'Hằng ngày'!$B$10:$AG$10</c:f>
              <c:numCache>
                <c:formatCode>0</c:formatCode>
                <c:ptCount val="32"/>
                <c:pt idx="0">
                  <c:v>122.43</c:v>
                </c:pt>
                <c:pt idx="1">
                  <c:v>122.43</c:v>
                </c:pt>
                <c:pt idx="2">
                  <c:v>122.43</c:v>
                </c:pt>
                <c:pt idx="3">
                  <c:v>122.43</c:v>
                </c:pt>
                <c:pt idx="4">
                  <c:v>122.43</c:v>
                </c:pt>
                <c:pt idx="7">
                  <c:v>122.43</c:v>
                </c:pt>
                <c:pt idx="8">
                  <c:v>122.43</c:v>
                </c:pt>
                <c:pt idx="9">
                  <c:v>122.43</c:v>
                </c:pt>
                <c:pt idx="10">
                  <c:v>122.43</c:v>
                </c:pt>
                <c:pt idx="11">
                  <c:v>122.43</c:v>
                </c:pt>
                <c:pt idx="14">
                  <c:v>122.43</c:v>
                </c:pt>
                <c:pt idx="15">
                  <c:v>122.43</c:v>
                </c:pt>
                <c:pt idx="16">
                  <c:v>122.43</c:v>
                </c:pt>
                <c:pt idx="17">
                  <c:v>122.43</c:v>
                </c:pt>
                <c:pt idx="18">
                  <c:v>122.43</c:v>
                </c:pt>
                <c:pt idx="21">
                  <c:v>122.43</c:v>
                </c:pt>
                <c:pt idx="22">
                  <c:v>122.43</c:v>
                </c:pt>
                <c:pt idx="23">
                  <c:v>122.43</c:v>
                </c:pt>
                <c:pt idx="24">
                  <c:v>122.43</c:v>
                </c:pt>
                <c:pt idx="25">
                  <c:v>122.43</c:v>
                </c:pt>
                <c:pt idx="28">
                  <c:v>122.43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29-4F1A-BD5A-3513A56388B1}"/>
            </c:ext>
          </c:extLst>
        </c:ser>
        <c:ser>
          <c:idx val="7"/>
          <c:order val="2"/>
          <c:tx>
            <c:strRef>
              <c:f>'Hằng ngày'!$A$11</c:f>
              <c:strCache>
                <c:ptCount val="1"/>
                <c:pt idx="0">
                  <c:v>MỤC TIÊU LŨY KẾ BẢN VẼ HT TRONG NGÀY ( CÒN LẠI)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dLbls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429-4F1A-BD5A-3513A56388B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'Hằng ngày'!$B$8:$AG$8</c:f>
              <c:numCache>
                <c:formatCode>d\-mmm</c:formatCode>
                <c:ptCount val="32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  <c:pt idx="7">
                  <c:v>46118</c:v>
                </c:pt>
                <c:pt idx="8">
                  <c:v>46119</c:v>
                </c:pt>
                <c:pt idx="9">
                  <c:v>46120</c:v>
                </c:pt>
                <c:pt idx="10">
                  <c:v>46121</c:v>
                </c:pt>
                <c:pt idx="11">
                  <c:v>46122</c:v>
                </c:pt>
                <c:pt idx="12">
                  <c:v>46123</c:v>
                </c:pt>
                <c:pt idx="13">
                  <c:v>46124</c:v>
                </c:pt>
                <c:pt idx="14">
                  <c:v>46125</c:v>
                </c:pt>
                <c:pt idx="15">
                  <c:v>46126</c:v>
                </c:pt>
                <c:pt idx="16">
                  <c:v>46127</c:v>
                </c:pt>
                <c:pt idx="17">
                  <c:v>46128</c:v>
                </c:pt>
                <c:pt idx="18">
                  <c:v>46129</c:v>
                </c:pt>
                <c:pt idx="19">
                  <c:v>46130</c:v>
                </c:pt>
                <c:pt idx="20">
                  <c:v>46131</c:v>
                </c:pt>
                <c:pt idx="21">
                  <c:v>46132</c:v>
                </c:pt>
                <c:pt idx="22">
                  <c:v>46133</c:v>
                </c:pt>
                <c:pt idx="23">
                  <c:v>46134</c:v>
                </c:pt>
                <c:pt idx="24">
                  <c:v>46135</c:v>
                </c:pt>
                <c:pt idx="25">
                  <c:v>46136</c:v>
                </c:pt>
                <c:pt idx="26">
                  <c:v>46137</c:v>
                </c:pt>
                <c:pt idx="27">
                  <c:v>46138</c:v>
                </c:pt>
                <c:pt idx="28">
                  <c:v>46139</c:v>
                </c:pt>
              </c:numCache>
            </c:numRef>
          </c:cat>
          <c:val>
            <c:numRef>
              <c:f>'Hằng ngày'!$B$11:$AG$11</c:f>
              <c:numCache>
                <c:formatCode>0</c:formatCode>
                <c:ptCount val="32"/>
                <c:pt idx="0">
                  <c:v>122.43</c:v>
                </c:pt>
                <c:pt idx="1">
                  <c:v>124.25</c:v>
                </c:pt>
                <c:pt idx="2">
                  <c:v>128.11000000000001</c:v>
                </c:pt>
                <c:pt idx="3">
                  <c:v>132.22</c:v>
                </c:pt>
                <c:pt idx="4">
                  <c:v>135.24</c:v>
                </c:pt>
                <c:pt idx="7">
                  <c:v>137.06</c:v>
                </c:pt>
                <c:pt idx="8">
                  <c:v>140.07</c:v>
                </c:pt>
                <c:pt idx="9">
                  <c:v>145.07</c:v>
                </c:pt>
                <c:pt idx="10">
                  <c:v>148.91999999999999</c:v>
                </c:pt>
                <c:pt idx="11">
                  <c:v>148.91999999999999</c:v>
                </c:pt>
                <c:pt idx="14">
                  <c:v>148.91999999999999</c:v>
                </c:pt>
                <c:pt idx="15">
                  <c:v>148.91999999999999</c:v>
                </c:pt>
                <c:pt idx="16">
                  <c:v>148.91999999999999</c:v>
                </c:pt>
                <c:pt idx="17">
                  <c:v>148.91999999999999</c:v>
                </c:pt>
                <c:pt idx="18">
                  <c:v>148.91999999999999</c:v>
                </c:pt>
                <c:pt idx="21">
                  <c:v>148.91999999999999</c:v>
                </c:pt>
                <c:pt idx="22">
                  <c:v>148.91999999999999</c:v>
                </c:pt>
                <c:pt idx="23">
                  <c:v>148.91999999999999</c:v>
                </c:pt>
                <c:pt idx="24">
                  <c:v>148.91999999999999</c:v>
                </c:pt>
                <c:pt idx="25">
                  <c:v>148.91999999999999</c:v>
                </c:pt>
                <c:pt idx="28">
                  <c:v>148.91999999999999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29-4F1A-BD5A-3513A5638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6966672"/>
        <c:axId val="946970992"/>
      </c:lineChart>
      <c:dateAx>
        <c:axId val="94696667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970992"/>
        <c:crosses val="autoZero"/>
        <c:auto val="0"/>
        <c:lblOffset val="100"/>
        <c:baseTimeUnit val="days"/>
      </c:dateAx>
      <c:valAx>
        <c:axId val="94697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96667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THỰC TÍCH SỐ PCS HOÀN THÁNG /2026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6"/>
          <c:order val="0"/>
          <c:tx>
            <c:strRef>
              <c:f>'Hằng ngày'!$A$15</c:f>
              <c:strCache>
                <c:ptCount val="1"/>
                <c:pt idx="0">
                  <c:v>THỰC TÍCH SỐ PCS HOÀN THÀNH TRONG NGÀY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'Hằng ngày'!$B$8:$AG$8</c:f>
              <c:numCache>
                <c:formatCode>d\-mmm</c:formatCode>
                <c:ptCount val="32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  <c:pt idx="7">
                  <c:v>46118</c:v>
                </c:pt>
                <c:pt idx="8">
                  <c:v>46119</c:v>
                </c:pt>
                <c:pt idx="9">
                  <c:v>46120</c:v>
                </c:pt>
                <c:pt idx="10">
                  <c:v>46121</c:v>
                </c:pt>
                <c:pt idx="11">
                  <c:v>46122</c:v>
                </c:pt>
                <c:pt idx="12">
                  <c:v>46123</c:v>
                </c:pt>
                <c:pt idx="13">
                  <c:v>46124</c:v>
                </c:pt>
                <c:pt idx="14">
                  <c:v>46125</c:v>
                </c:pt>
                <c:pt idx="15">
                  <c:v>46126</c:v>
                </c:pt>
                <c:pt idx="16">
                  <c:v>46127</c:v>
                </c:pt>
                <c:pt idx="17">
                  <c:v>46128</c:v>
                </c:pt>
                <c:pt idx="18">
                  <c:v>46129</c:v>
                </c:pt>
                <c:pt idx="19">
                  <c:v>46130</c:v>
                </c:pt>
                <c:pt idx="20">
                  <c:v>46131</c:v>
                </c:pt>
                <c:pt idx="21">
                  <c:v>46132</c:v>
                </c:pt>
                <c:pt idx="22">
                  <c:v>46133</c:v>
                </c:pt>
                <c:pt idx="23">
                  <c:v>46134</c:v>
                </c:pt>
                <c:pt idx="24">
                  <c:v>46135</c:v>
                </c:pt>
                <c:pt idx="25">
                  <c:v>46136</c:v>
                </c:pt>
                <c:pt idx="26">
                  <c:v>46137</c:v>
                </c:pt>
                <c:pt idx="27">
                  <c:v>46138</c:v>
                </c:pt>
                <c:pt idx="28">
                  <c:v>46139</c:v>
                </c:pt>
              </c:numCache>
            </c:numRef>
          </c:cat>
          <c:val>
            <c:numRef>
              <c:f>'Hằng ngày'!$B$15:$AG$15</c:f>
              <c:numCache>
                <c:formatCode>_(* #,##0_);_(* \(#,##0\);_(* "-"??_);_(@_)</c:formatCode>
                <c:ptCount val="32"/>
                <c:pt idx="0">
                  <c:v>1369</c:v>
                </c:pt>
                <c:pt idx="1">
                  <c:v>625</c:v>
                </c:pt>
                <c:pt idx="2">
                  <c:v>584</c:v>
                </c:pt>
                <c:pt idx="3">
                  <c:v>1221</c:v>
                </c:pt>
                <c:pt idx="4">
                  <c:v>669</c:v>
                </c:pt>
                <c:pt idx="5">
                  <c:v>394</c:v>
                </c:pt>
                <c:pt idx="6">
                  <c:v>0</c:v>
                </c:pt>
                <c:pt idx="7">
                  <c:v>1564</c:v>
                </c:pt>
                <c:pt idx="8">
                  <c:v>600</c:v>
                </c:pt>
                <c:pt idx="9">
                  <c:v>1013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67-4C60-8EA8-2EFDED8BA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46966672"/>
        <c:axId val="946970992"/>
      </c:barChart>
      <c:lineChart>
        <c:grouping val="standard"/>
        <c:varyColors val="0"/>
        <c:ser>
          <c:idx val="7"/>
          <c:order val="1"/>
          <c:tx>
            <c:strRef>
              <c:f>'Hằng ngày'!$A$12</c:f>
              <c:strCache>
                <c:ptCount val="1"/>
                <c:pt idx="0">
                  <c:v>MỤC TIÊU SỐ PCS HOÀN THÀNH TRONG NGÀY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  <a:prstDash val="solid"/>
              </a:ln>
            </c:spPr>
          </c:marker>
          <c:dLbls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67-4C60-8EA8-2EFDED8BA2B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'Hằng ngày'!$B$8:$AG$8</c:f>
              <c:numCache>
                <c:formatCode>d\-mmm</c:formatCode>
                <c:ptCount val="32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  <c:pt idx="7">
                  <c:v>46118</c:v>
                </c:pt>
                <c:pt idx="8">
                  <c:v>46119</c:v>
                </c:pt>
                <c:pt idx="9">
                  <c:v>46120</c:v>
                </c:pt>
                <c:pt idx="10">
                  <c:v>46121</c:v>
                </c:pt>
                <c:pt idx="11">
                  <c:v>46122</c:v>
                </c:pt>
                <c:pt idx="12">
                  <c:v>46123</c:v>
                </c:pt>
                <c:pt idx="13">
                  <c:v>46124</c:v>
                </c:pt>
                <c:pt idx="14">
                  <c:v>46125</c:v>
                </c:pt>
                <c:pt idx="15">
                  <c:v>46126</c:v>
                </c:pt>
                <c:pt idx="16">
                  <c:v>46127</c:v>
                </c:pt>
                <c:pt idx="17">
                  <c:v>46128</c:v>
                </c:pt>
                <c:pt idx="18">
                  <c:v>46129</c:v>
                </c:pt>
                <c:pt idx="19">
                  <c:v>46130</c:v>
                </c:pt>
                <c:pt idx="20">
                  <c:v>46131</c:v>
                </c:pt>
                <c:pt idx="21">
                  <c:v>46132</c:v>
                </c:pt>
                <c:pt idx="22">
                  <c:v>46133</c:v>
                </c:pt>
                <c:pt idx="23">
                  <c:v>46134</c:v>
                </c:pt>
                <c:pt idx="24">
                  <c:v>46135</c:v>
                </c:pt>
                <c:pt idx="25">
                  <c:v>46136</c:v>
                </c:pt>
                <c:pt idx="26">
                  <c:v>46137</c:v>
                </c:pt>
                <c:pt idx="27">
                  <c:v>46138</c:v>
                </c:pt>
                <c:pt idx="28">
                  <c:v>46139</c:v>
                </c:pt>
              </c:numCache>
            </c:numRef>
          </c:cat>
          <c:val>
            <c:numRef>
              <c:f>'Hằng ngày'!$B$12:$AG$12</c:f>
              <c:numCache>
                <c:formatCode>0</c:formatCode>
                <c:ptCount val="32"/>
                <c:pt idx="0">
                  <c:v>1708.78</c:v>
                </c:pt>
                <c:pt idx="1">
                  <c:v>1708.78</c:v>
                </c:pt>
                <c:pt idx="2">
                  <c:v>1708.78</c:v>
                </c:pt>
                <c:pt idx="3">
                  <c:v>1708.78</c:v>
                </c:pt>
                <c:pt idx="4">
                  <c:v>1708.78</c:v>
                </c:pt>
                <c:pt idx="7">
                  <c:v>1708.78</c:v>
                </c:pt>
                <c:pt idx="8">
                  <c:v>1708.78</c:v>
                </c:pt>
                <c:pt idx="9">
                  <c:v>1708.78</c:v>
                </c:pt>
                <c:pt idx="10">
                  <c:v>1708.78</c:v>
                </c:pt>
                <c:pt idx="11">
                  <c:v>1708.78</c:v>
                </c:pt>
                <c:pt idx="14">
                  <c:v>1708.78</c:v>
                </c:pt>
                <c:pt idx="15">
                  <c:v>1708.78</c:v>
                </c:pt>
                <c:pt idx="16">
                  <c:v>1708.78</c:v>
                </c:pt>
                <c:pt idx="17">
                  <c:v>1708.78</c:v>
                </c:pt>
                <c:pt idx="18">
                  <c:v>1708.78</c:v>
                </c:pt>
                <c:pt idx="21">
                  <c:v>1708.78</c:v>
                </c:pt>
                <c:pt idx="22">
                  <c:v>1708.78</c:v>
                </c:pt>
                <c:pt idx="23">
                  <c:v>1708.78</c:v>
                </c:pt>
                <c:pt idx="24">
                  <c:v>1708.78</c:v>
                </c:pt>
                <c:pt idx="25">
                  <c:v>1708.78</c:v>
                </c:pt>
                <c:pt idx="28">
                  <c:v>1708.78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67-4C60-8EA8-2EFDED8BA2BB}"/>
            </c:ext>
          </c:extLst>
        </c:ser>
        <c:ser>
          <c:idx val="8"/>
          <c:order val="2"/>
          <c:tx>
            <c:strRef>
              <c:f>'Hằng ngày'!$A$13</c:f>
              <c:strCache>
                <c:ptCount val="1"/>
                <c:pt idx="0">
                  <c:v>MỤC TIÊU LŨY KẾ SỐ PCS HT TRONG NGÀY ( CÒN LẠI)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dLbls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67-4C60-8EA8-2EFDED8BA2B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'Hằng ngày'!$B$8:$AG$8</c:f>
              <c:numCache>
                <c:formatCode>d\-mmm</c:formatCode>
                <c:ptCount val="32"/>
                <c:pt idx="0">
                  <c:v>46111</c:v>
                </c:pt>
                <c:pt idx="1">
                  <c:v>46112</c:v>
                </c:pt>
                <c:pt idx="2">
                  <c:v>46113</c:v>
                </c:pt>
                <c:pt idx="3">
                  <c:v>46114</c:v>
                </c:pt>
                <c:pt idx="4">
                  <c:v>46115</c:v>
                </c:pt>
                <c:pt idx="5">
                  <c:v>46116</c:v>
                </c:pt>
                <c:pt idx="6">
                  <c:v>46117</c:v>
                </c:pt>
                <c:pt idx="7">
                  <c:v>46118</c:v>
                </c:pt>
                <c:pt idx="8">
                  <c:v>46119</c:v>
                </c:pt>
                <c:pt idx="9">
                  <c:v>46120</c:v>
                </c:pt>
                <c:pt idx="10">
                  <c:v>46121</c:v>
                </c:pt>
                <c:pt idx="11">
                  <c:v>46122</c:v>
                </c:pt>
                <c:pt idx="12">
                  <c:v>46123</c:v>
                </c:pt>
                <c:pt idx="13">
                  <c:v>46124</c:v>
                </c:pt>
                <c:pt idx="14">
                  <c:v>46125</c:v>
                </c:pt>
                <c:pt idx="15">
                  <c:v>46126</c:v>
                </c:pt>
                <c:pt idx="16">
                  <c:v>46127</c:v>
                </c:pt>
                <c:pt idx="17">
                  <c:v>46128</c:v>
                </c:pt>
                <c:pt idx="18">
                  <c:v>46129</c:v>
                </c:pt>
                <c:pt idx="19">
                  <c:v>46130</c:v>
                </c:pt>
                <c:pt idx="20">
                  <c:v>46131</c:v>
                </c:pt>
                <c:pt idx="21">
                  <c:v>46132</c:v>
                </c:pt>
                <c:pt idx="22">
                  <c:v>46133</c:v>
                </c:pt>
                <c:pt idx="23">
                  <c:v>46134</c:v>
                </c:pt>
                <c:pt idx="24">
                  <c:v>46135</c:v>
                </c:pt>
                <c:pt idx="25">
                  <c:v>46136</c:v>
                </c:pt>
                <c:pt idx="26">
                  <c:v>46137</c:v>
                </c:pt>
                <c:pt idx="27">
                  <c:v>46138</c:v>
                </c:pt>
                <c:pt idx="28">
                  <c:v>46139</c:v>
                </c:pt>
              </c:numCache>
            </c:numRef>
          </c:cat>
          <c:val>
            <c:numRef>
              <c:f>'Hằng ngày'!$B$13:$AG$13</c:f>
              <c:numCache>
                <c:formatCode>0</c:formatCode>
                <c:ptCount val="32"/>
                <c:pt idx="0">
                  <c:v>1708.78</c:v>
                </c:pt>
                <c:pt idx="1">
                  <c:v>1725.77</c:v>
                </c:pt>
                <c:pt idx="2">
                  <c:v>1783.71</c:v>
                </c:pt>
                <c:pt idx="3">
                  <c:v>1850.36</c:v>
                </c:pt>
                <c:pt idx="4">
                  <c:v>1887.38</c:v>
                </c:pt>
                <c:pt idx="7">
                  <c:v>1938.9</c:v>
                </c:pt>
                <c:pt idx="8">
                  <c:v>1963.89</c:v>
                </c:pt>
                <c:pt idx="9">
                  <c:v>2061.3200000000002</c:v>
                </c:pt>
                <c:pt idx="10">
                  <c:v>2141.96</c:v>
                </c:pt>
                <c:pt idx="11">
                  <c:v>2141.96</c:v>
                </c:pt>
                <c:pt idx="14">
                  <c:v>2141.96</c:v>
                </c:pt>
                <c:pt idx="15">
                  <c:v>2141.96</c:v>
                </c:pt>
                <c:pt idx="16">
                  <c:v>2141.96</c:v>
                </c:pt>
                <c:pt idx="17">
                  <c:v>2141.96</c:v>
                </c:pt>
                <c:pt idx="18">
                  <c:v>2141.96</c:v>
                </c:pt>
                <c:pt idx="21">
                  <c:v>2141.96</c:v>
                </c:pt>
                <c:pt idx="22">
                  <c:v>2141.96</c:v>
                </c:pt>
                <c:pt idx="23">
                  <c:v>2141.96</c:v>
                </c:pt>
                <c:pt idx="24">
                  <c:v>2141.96</c:v>
                </c:pt>
                <c:pt idx="25">
                  <c:v>2141.96</c:v>
                </c:pt>
                <c:pt idx="28">
                  <c:v>2141.96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67-4C60-8EA8-2EFDED8BA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6966672"/>
        <c:axId val="946970992"/>
      </c:lineChart>
      <c:dateAx>
        <c:axId val="94696667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970992"/>
        <c:crosses val="autoZero"/>
        <c:auto val="0"/>
        <c:lblOffset val="100"/>
        <c:baseTimeUnit val="days"/>
      </c:dateAx>
      <c:valAx>
        <c:axId val="94697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96667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Bản vẽ HT Công đoạn Cắt vật liệu (AA)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3564839426579123E-2"/>
          <c:y val="9.3312484965119097E-2"/>
          <c:w val="0.95992961474343153"/>
          <c:h val="0.75597155096794266"/>
        </c:manualLayout>
      </c:layout>
      <c:barChart>
        <c:barDir val="col"/>
        <c:grouping val="clustered"/>
        <c:varyColors val="0"/>
        <c:ser>
          <c:idx val="13"/>
          <c:order val="0"/>
          <c:tx>
            <c:strRef>
              <c:f>'Hằng ngày'!$A$35</c:f>
              <c:strCache>
                <c:ptCount val="1"/>
                <c:pt idx="0">
                  <c:v>Thực tích Bản vẽ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ngày'!$B$21:$AS$21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ngày'!$B$35:$AS$35</c:f>
              <c:numCache>
                <c:formatCode>General</c:formatCode>
                <c:ptCount val="44"/>
                <c:pt idx="0">
                  <c:v>557</c:v>
                </c:pt>
                <c:pt idx="1">
                  <c:v>295</c:v>
                </c:pt>
                <c:pt idx="2">
                  <c:v>553</c:v>
                </c:pt>
                <c:pt idx="3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10-4762-AC84-0E2BACE0A7E1}"/>
            </c:ext>
          </c:extLst>
        </c:ser>
        <c:ser>
          <c:idx val="14"/>
          <c:order val="1"/>
          <c:tx>
            <c:strRef>
              <c:f>'Hằng ngày'!$A$36</c:f>
              <c:strCache>
                <c:ptCount val="1"/>
                <c:pt idx="0">
                  <c:v>Thực tích Bản vẽ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ngày'!$B$21:$AS$21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ngày'!$B$36:$AS$36</c:f>
              <c:numCache>
                <c:formatCode>General</c:formatCode>
                <c:ptCount val="44"/>
                <c:pt idx="0">
                  <c:v>622</c:v>
                </c:pt>
                <c:pt idx="1">
                  <c:v>377</c:v>
                </c:pt>
                <c:pt idx="2">
                  <c:v>573</c:v>
                </c:pt>
                <c:pt idx="3">
                  <c:v>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10-4762-AC84-0E2BACE0A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5"/>
          <c:order val="2"/>
          <c:tx>
            <c:strRef>
              <c:f>'Hằng ngày'!$A$31</c:f>
              <c:strCache>
                <c:ptCount val="1"/>
                <c:pt idx="0">
                  <c:v>Thực tích Bản vẽ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ngày'!$B$21:$AS$21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ngày'!$B$31:$AS$31</c:f>
              <c:numCache>
                <c:formatCode>General</c:formatCode>
                <c:ptCount val="44"/>
                <c:pt idx="12">
                  <c:v>4</c:v>
                </c:pt>
                <c:pt idx="13">
                  <c:v>17</c:v>
                </c:pt>
                <c:pt idx="14">
                  <c:v>26</c:v>
                </c:pt>
                <c:pt idx="15">
                  <c:v>21</c:v>
                </c:pt>
                <c:pt idx="16">
                  <c:v>18</c:v>
                </c:pt>
                <c:pt idx="17">
                  <c:v>29</c:v>
                </c:pt>
                <c:pt idx="18">
                  <c:v>0</c:v>
                </c:pt>
                <c:pt idx="19">
                  <c:v>20</c:v>
                </c:pt>
                <c:pt idx="20">
                  <c:v>27</c:v>
                </c:pt>
                <c:pt idx="2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10-4762-AC84-0E2BACE0A7E1}"/>
            </c:ext>
          </c:extLst>
        </c:ser>
        <c:ser>
          <c:idx val="16"/>
          <c:order val="3"/>
          <c:tx>
            <c:strRef>
              <c:f>'Hằng ngày'!$A$32</c:f>
              <c:strCache>
                <c:ptCount val="1"/>
                <c:pt idx="0">
                  <c:v>Thực tích Bản vẽ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ngày'!$B$21:$AS$21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ngày'!$B$32:$AS$32</c:f>
              <c:numCache>
                <c:formatCode>General</c:formatCode>
                <c:ptCount val="44"/>
                <c:pt idx="12">
                  <c:v>11</c:v>
                </c:pt>
                <c:pt idx="13">
                  <c:v>23</c:v>
                </c:pt>
                <c:pt idx="14">
                  <c:v>20</c:v>
                </c:pt>
                <c:pt idx="15">
                  <c:v>14</c:v>
                </c:pt>
                <c:pt idx="16">
                  <c:v>20</c:v>
                </c:pt>
                <c:pt idx="17">
                  <c:v>19</c:v>
                </c:pt>
                <c:pt idx="18">
                  <c:v>0</c:v>
                </c:pt>
                <c:pt idx="19">
                  <c:v>38</c:v>
                </c:pt>
                <c:pt idx="20">
                  <c:v>25</c:v>
                </c:pt>
                <c:pt idx="2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10-4762-AC84-0E2BACE0A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7"/>
          <c:order val="4"/>
          <c:tx>
            <c:strRef>
              <c:f>'Hằng ngày'!$A$29</c:f>
              <c:strCache>
                <c:ptCount val="1"/>
                <c:pt idx="0">
                  <c:v>Mục tiêu Bản vẽ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ngày'!$B$21:$AS$21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ngày'!$B$29:$AS$29</c:f>
              <c:numCache>
                <c:formatCode>0</c:formatCode>
                <c:ptCount val="44"/>
                <c:pt idx="0">
                  <c:v>718.59140109271266</c:v>
                </c:pt>
                <c:pt idx="1">
                  <c:v>489.94868256321308</c:v>
                </c:pt>
                <c:pt idx="2">
                  <c:v>718.59140109271266</c:v>
                </c:pt>
                <c:pt idx="3">
                  <c:v>685.92815558849838</c:v>
                </c:pt>
                <c:pt idx="4">
                  <c:v>653.26491008428422</c:v>
                </c:pt>
                <c:pt idx="5">
                  <c:v>718.59140109271266</c:v>
                </c:pt>
                <c:pt idx="6">
                  <c:v>751.25464659692682</c:v>
                </c:pt>
                <c:pt idx="7">
                  <c:v>685.92815558849838</c:v>
                </c:pt>
                <c:pt idx="8">
                  <c:v>685.92815558849838</c:v>
                </c:pt>
                <c:pt idx="9">
                  <c:v>718.59140109271266</c:v>
                </c:pt>
                <c:pt idx="10">
                  <c:v>685.92815558849838</c:v>
                </c:pt>
                <c:pt idx="11">
                  <c:v>718.59140109271266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10-4762-AC84-0E2BACE0A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18"/>
          <c:order val="5"/>
          <c:tx>
            <c:strRef>
              <c:f>'Hằng ngày'!$A$23</c:f>
              <c:strCache>
                <c:ptCount val="1"/>
                <c:pt idx="0">
                  <c:v>Mục tiêu Bản vẽ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ngày'!$B$21:$AS$21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ngày'!$B$23:$AS$23</c:f>
              <c:numCache>
                <c:formatCode>0</c:formatCode>
                <c:ptCount val="44"/>
                <c:pt idx="12">
                  <c:v>32.659999999999997</c:v>
                </c:pt>
                <c:pt idx="13">
                  <c:v>32.659999999999997</c:v>
                </c:pt>
                <c:pt idx="14">
                  <c:v>32.659999999999997</c:v>
                </c:pt>
                <c:pt idx="15">
                  <c:v>32.659999999999997</c:v>
                </c:pt>
                <c:pt idx="16">
                  <c:v>32.659999999999997</c:v>
                </c:pt>
                <c:pt idx="19">
                  <c:v>32.659999999999997</c:v>
                </c:pt>
                <c:pt idx="20">
                  <c:v>32.659999999999997</c:v>
                </c:pt>
                <c:pt idx="21">
                  <c:v>32.659999999999997</c:v>
                </c:pt>
                <c:pt idx="22">
                  <c:v>32.659999999999997</c:v>
                </c:pt>
                <c:pt idx="23">
                  <c:v>32.659999999999997</c:v>
                </c:pt>
                <c:pt idx="26">
                  <c:v>32.659999999999997</c:v>
                </c:pt>
                <c:pt idx="27">
                  <c:v>32.659999999999997</c:v>
                </c:pt>
                <c:pt idx="28">
                  <c:v>32.659999999999997</c:v>
                </c:pt>
                <c:pt idx="29">
                  <c:v>32.659999999999997</c:v>
                </c:pt>
                <c:pt idx="30">
                  <c:v>32.659999999999997</c:v>
                </c:pt>
                <c:pt idx="33">
                  <c:v>32.659999999999997</c:v>
                </c:pt>
                <c:pt idx="34">
                  <c:v>32.659999999999997</c:v>
                </c:pt>
                <c:pt idx="35">
                  <c:v>32.659999999999997</c:v>
                </c:pt>
                <c:pt idx="36">
                  <c:v>32.659999999999997</c:v>
                </c:pt>
                <c:pt idx="37">
                  <c:v>32.659999999999997</c:v>
                </c:pt>
                <c:pt idx="40" formatCode="General">
                  <c:v>32.659999999999997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10-4762-AC84-0E2BACE0A7E1}"/>
            </c:ext>
          </c:extLst>
        </c:ser>
        <c:ser>
          <c:idx val="19"/>
          <c:order val="6"/>
          <c:tx>
            <c:strRef>
              <c:f>'Hằng ngày'!$A$25</c:f>
              <c:strCache>
                <c:ptCount val="1"/>
                <c:pt idx="0">
                  <c:v>Mục tiêu Bản vẽ HT CĐ Ca 1 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ngày'!$B$21:$AS$21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ngày'!$B$25:$AS$25</c:f>
              <c:numCache>
                <c:formatCode>General</c:formatCode>
                <c:ptCount val="44"/>
                <c:pt idx="12" formatCode="0">
                  <c:v>32.659999999999997</c:v>
                </c:pt>
                <c:pt idx="13" formatCode="0">
                  <c:v>34.1</c:v>
                </c:pt>
                <c:pt idx="14" formatCode="0">
                  <c:v>35</c:v>
                </c:pt>
                <c:pt idx="15" formatCode="0">
                  <c:v>35.5</c:v>
                </c:pt>
                <c:pt idx="16" formatCode="0">
                  <c:v>36.35</c:v>
                </c:pt>
                <c:pt idx="19" formatCode="0">
                  <c:v>35.68</c:v>
                </c:pt>
                <c:pt idx="20" formatCode="0">
                  <c:v>36.729999999999997</c:v>
                </c:pt>
                <c:pt idx="21" formatCode="0">
                  <c:v>37.42</c:v>
                </c:pt>
                <c:pt idx="22" formatCode="0">
                  <c:v>38.46</c:v>
                </c:pt>
                <c:pt idx="23" formatCode="0">
                  <c:v>38.46</c:v>
                </c:pt>
                <c:pt idx="26" formatCode="0">
                  <c:v>38.46</c:v>
                </c:pt>
                <c:pt idx="27" formatCode="0">
                  <c:v>38.46</c:v>
                </c:pt>
                <c:pt idx="28" formatCode="0">
                  <c:v>38.46</c:v>
                </c:pt>
                <c:pt idx="29" formatCode="0">
                  <c:v>38.46</c:v>
                </c:pt>
                <c:pt idx="30" formatCode="0">
                  <c:v>38.46</c:v>
                </c:pt>
                <c:pt idx="33" formatCode="0">
                  <c:v>38.46</c:v>
                </c:pt>
                <c:pt idx="34" formatCode="0">
                  <c:v>38.46</c:v>
                </c:pt>
                <c:pt idx="35" formatCode="0">
                  <c:v>38.46</c:v>
                </c:pt>
                <c:pt idx="36" formatCode="0">
                  <c:v>38.46</c:v>
                </c:pt>
                <c:pt idx="37" formatCode="0">
                  <c:v>38.46</c:v>
                </c:pt>
                <c:pt idx="40">
                  <c:v>38.46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10-4762-AC84-0E2BACE0A7E1}"/>
            </c:ext>
          </c:extLst>
        </c:ser>
        <c:ser>
          <c:idx val="20"/>
          <c:order val="7"/>
          <c:tx>
            <c:strRef>
              <c:f>'Hằng ngày'!$A$26</c:f>
              <c:strCache>
                <c:ptCount val="1"/>
                <c:pt idx="0">
                  <c:v>Mục tiêu Bản vẽ HT CĐ Ca 2(Còn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ngày'!$B$21:$AS$21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ngày'!$B$26:$AS$26</c:f>
              <c:numCache>
                <c:formatCode>General</c:formatCode>
                <c:ptCount val="44"/>
                <c:pt idx="12" formatCode="0">
                  <c:v>32.659999999999997</c:v>
                </c:pt>
                <c:pt idx="13" formatCode="0">
                  <c:v>33.75</c:v>
                </c:pt>
                <c:pt idx="14" formatCode="0">
                  <c:v>34.31</c:v>
                </c:pt>
                <c:pt idx="15" formatCode="0">
                  <c:v>35.11</c:v>
                </c:pt>
                <c:pt idx="16" formatCode="0">
                  <c:v>36.35</c:v>
                </c:pt>
                <c:pt idx="19" formatCode="0">
                  <c:v>36.18</c:v>
                </c:pt>
                <c:pt idx="20" formatCode="0">
                  <c:v>36.06</c:v>
                </c:pt>
                <c:pt idx="21" formatCode="0">
                  <c:v>36.85</c:v>
                </c:pt>
                <c:pt idx="22" formatCode="0">
                  <c:v>37.92</c:v>
                </c:pt>
                <c:pt idx="23" formatCode="0">
                  <c:v>37.92</c:v>
                </c:pt>
                <c:pt idx="26" formatCode="0">
                  <c:v>37.92</c:v>
                </c:pt>
                <c:pt idx="27" formatCode="0">
                  <c:v>37.92</c:v>
                </c:pt>
                <c:pt idx="28" formatCode="0">
                  <c:v>37.92</c:v>
                </c:pt>
                <c:pt idx="29" formatCode="0">
                  <c:v>37.92</c:v>
                </c:pt>
                <c:pt idx="30" formatCode="0">
                  <c:v>37.92</c:v>
                </c:pt>
                <c:pt idx="33" formatCode="0">
                  <c:v>37.92</c:v>
                </c:pt>
                <c:pt idx="34" formatCode="0">
                  <c:v>37.92</c:v>
                </c:pt>
                <c:pt idx="35" formatCode="0">
                  <c:v>37.92</c:v>
                </c:pt>
                <c:pt idx="36" formatCode="0">
                  <c:v>37.92</c:v>
                </c:pt>
                <c:pt idx="37" formatCode="0">
                  <c:v>37.92</c:v>
                </c:pt>
                <c:pt idx="40">
                  <c:v>37.92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10-4762-AC84-0E2BACE0A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4947361111111111E-2"/>
          <c:y val="0.90366936140330412"/>
          <c:w val="0.94808073581359964"/>
          <c:h val="9.6330638596695856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Số PCS HT Công đoạn Cắt vật liệu (AA)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6962885936217901E-2"/>
          <c:y val="0.10182188109161794"/>
          <c:w val="0.95169935708698905"/>
          <c:h val="0.74818542884990258"/>
        </c:manualLayout>
      </c:layout>
      <c:barChart>
        <c:barDir val="col"/>
        <c:grouping val="clustered"/>
        <c:varyColors val="0"/>
        <c:ser>
          <c:idx val="15"/>
          <c:order val="0"/>
          <c:tx>
            <c:strRef>
              <c:f>'Hằng ngày'!$A$37</c:f>
              <c:strCache>
                <c:ptCount val="1"/>
                <c:pt idx="0">
                  <c:v>Thực tích số PCS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ngày'!$B$21:$AS$21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ngày'!$B$37:$AS$37</c:f>
              <c:numCache>
                <c:formatCode>General</c:formatCode>
                <c:ptCount val="44"/>
                <c:pt idx="0">
                  <c:v>2871</c:v>
                </c:pt>
                <c:pt idx="1">
                  <c:v>1399</c:v>
                </c:pt>
                <c:pt idx="2">
                  <c:v>3032</c:v>
                </c:pt>
                <c:pt idx="3">
                  <c:v>1072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25-4A2D-B069-68696D6A32B0}"/>
            </c:ext>
          </c:extLst>
        </c:ser>
        <c:ser>
          <c:idx val="16"/>
          <c:order val="1"/>
          <c:tx>
            <c:strRef>
              <c:f>'Hằng ngày'!$A$38</c:f>
              <c:strCache>
                <c:ptCount val="1"/>
                <c:pt idx="0">
                  <c:v>Thực tích số PCS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ngày'!$B$21:$AS$21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ngày'!$B$38:$AS$38</c:f>
              <c:numCache>
                <c:formatCode>General</c:formatCode>
                <c:ptCount val="44"/>
                <c:pt idx="0">
                  <c:v>3264</c:v>
                </c:pt>
                <c:pt idx="1">
                  <c:v>1812</c:v>
                </c:pt>
                <c:pt idx="2">
                  <c:v>3249</c:v>
                </c:pt>
                <c:pt idx="3">
                  <c:v>1089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25-4A2D-B069-68696D6A3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7"/>
          <c:order val="2"/>
          <c:tx>
            <c:strRef>
              <c:f>'Hằng ngày'!$A$33</c:f>
              <c:strCache>
                <c:ptCount val="1"/>
                <c:pt idx="0">
                  <c:v>Thực tích số PCS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ngày'!$B$21:$AS$21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ngày'!$B$33:$AS$33</c:f>
              <c:numCache>
                <c:formatCode>General</c:formatCode>
                <c:ptCount val="44"/>
                <c:pt idx="12">
                  <c:v>38</c:v>
                </c:pt>
                <c:pt idx="13">
                  <c:v>162</c:v>
                </c:pt>
                <c:pt idx="14">
                  <c:v>70</c:v>
                </c:pt>
                <c:pt idx="15">
                  <c:v>182</c:v>
                </c:pt>
                <c:pt idx="16">
                  <c:v>81</c:v>
                </c:pt>
                <c:pt idx="17">
                  <c:v>96</c:v>
                </c:pt>
                <c:pt idx="18">
                  <c:v>0</c:v>
                </c:pt>
                <c:pt idx="19">
                  <c:v>136</c:v>
                </c:pt>
                <c:pt idx="20">
                  <c:v>205</c:v>
                </c:pt>
                <c:pt idx="21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25-4A2D-B069-68696D6A32B0}"/>
            </c:ext>
          </c:extLst>
        </c:ser>
        <c:ser>
          <c:idx val="18"/>
          <c:order val="3"/>
          <c:tx>
            <c:strRef>
              <c:f>'Hằng ngày'!$A$34</c:f>
              <c:strCache>
                <c:ptCount val="1"/>
                <c:pt idx="0">
                  <c:v>Thực tích số PCS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ngày'!$B$21:$AS$21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ngày'!$B$34:$AS$34</c:f>
              <c:numCache>
                <c:formatCode>General</c:formatCode>
                <c:ptCount val="44"/>
                <c:pt idx="12">
                  <c:v>40</c:v>
                </c:pt>
                <c:pt idx="13">
                  <c:v>231</c:v>
                </c:pt>
                <c:pt idx="14">
                  <c:v>60</c:v>
                </c:pt>
                <c:pt idx="15">
                  <c:v>130</c:v>
                </c:pt>
                <c:pt idx="16">
                  <c:v>150</c:v>
                </c:pt>
                <c:pt idx="17">
                  <c:v>85</c:v>
                </c:pt>
                <c:pt idx="18">
                  <c:v>0</c:v>
                </c:pt>
                <c:pt idx="19">
                  <c:v>145</c:v>
                </c:pt>
                <c:pt idx="20">
                  <c:v>134</c:v>
                </c:pt>
                <c:pt idx="21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25-4A2D-B069-68696D6A3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9"/>
          <c:order val="4"/>
          <c:tx>
            <c:strRef>
              <c:f>'Hằng ngày'!$A$30</c:f>
              <c:strCache>
                <c:ptCount val="1"/>
                <c:pt idx="0">
                  <c:v>Mục tiêu số PCS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ngày'!$B$21:$AS$21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ngày'!$B$30:$AS$30</c:f>
              <c:numCache>
                <c:formatCode>0</c:formatCode>
                <c:ptCount val="44"/>
                <c:pt idx="0">
                  <c:v>4446.7294174730032</c:v>
                </c:pt>
                <c:pt idx="1">
                  <c:v>3031.8609664588662</c:v>
                </c:pt>
                <c:pt idx="2">
                  <c:v>4446.7294174730032</c:v>
                </c:pt>
                <c:pt idx="3">
                  <c:v>4244.6053530424106</c:v>
                </c:pt>
                <c:pt idx="4">
                  <c:v>4042.4812886118211</c:v>
                </c:pt>
                <c:pt idx="5">
                  <c:v>4446.7294174730032</c:v>
                </c:pt>
                <c:pt idx="6">
                  <c:v>4648.853481903594</c:v>
                </c:pt>
                <c:pt idx="7">
                  <c:v>4244.6053530424106</c:v>
                </c:pt>
                <c:pt idx="8">
                  <c:v>4244.6053530424106</c:v>
                </c:pt>
                <c:pt idx="9">
                  <c:v>4446.7294174730032</c:v>
                </c:pt>
                <c:pt idx="10">
                  <c:v>4244.6053530424106</c:v>
                </c:pt>
                <c:pt idx="11">
                  <c:v>4446.7294174730032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25-4A2D-B069-68696D6A3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20"/>
          <c:order val="5"/>
          <c:tx>
            <c:strRef>
              <c:f>'Hằng ngày'!$A$24</c:f>
              <c:strCache>
                <c:ptCount val="1"/>
                <c:pt idx="0">
                  <c:v>Mục tiêu số PCS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ngày'!$B$21:$AS$21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ngày'!$B$24:$AS$24</c:f>
              <c:numCache>
                <c:formatCode>0</c:formatCode>
                <c:ptCount val="44"/>
                <c:pt idx="12">
                  <c:v>202.12</c:v>
                </c:pt>
                <c:pt idx="13">
                  <c:v>202.12</c:v>
                </c:pt>
                <c:pt idx="14">
                  <c:v>202.12</c:v>
                </c:pt>
                <c:pt idx="15">
                  <c:v>202.12</c:v>
                </c:pt>
                <c:pt idx="16">
                  <c:v>202.12</c:v>
                </c:pt>
                <c:pt idx="19">
                  <c:v>202.12</c:v>
                </c:pt>
                <c:pt idx="20">
                  <c:v>202.12</c:v>
                </c:pt>
                <c:pt idx="21">
                  <c:v>202.12</c:v>
                </c:pt>
                <c:pt idx="22">
                  <c:v>202.12</c:v>
                </c:pt>
                <c:pt idx="23">
                  <c:v>202.12</c:v>
                </c:pt>
                <c:pt idx="26">
                  <c:v>202.12</c:v>
                </c:pt>
                <c:pt idx="27">
                  <c:v>202.12</c:v>
                </c:pt>
                <c:pt idx="28">
                  <c:v>202.12</c:v>
                </c:pt>
                <c:pt idx="29">
                  <c:v>202.12</c:v>
                </c:pt>
                <c:pt idx="30">
                  <c:v>202.12</c:v>
                </c:pt>
                <c:pt idx="33">
                  <c:v>202.12</c:v>
                </c:pt>
                <c:pt idx="34">
                  <c:v>202.12</c:v>
                </c:pt>
                <c:pt idx="35">
                  <c:v>202.12</c:v>
                </c:pt>
                <c:pt idx="36">
                  <c:v>202.12</c:v>
                </c:pt>
                <c:pt idx="37">
                  <c:v>202.12</c:v>
                </c:pt>
                <c:pt idx="40" formatCode="General">
                  <c:v>202.12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25-4A2D-B069-68696D6A32B0}"/>
            </c:ext>
          </c:extLst>
        </c:ser>
        <c:ser>
          <c:idx val="21"/>
          <c:order val="6"/>
          <c:tx>
            <c:strRef>
              <c:f>'Hằng ngày'!$A$27</c:f>
              <c:strCache>
                <c:ptCount val="1"/>
                <c:pt idx="0">
                  <c:v>Mục tiêu số PCS HT CĐ Ca 1(Còn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ngày'!$B$21:$AS$21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ngày'!$B$27:$AS$27</c:f>
              <c:numCache>
                <c:formatCode>General</c:formatCode>
                <c:ptCount val="44"/>
                <c:pt idx="12" formatCode="0">
                  <c:v>202.12</c:v>
                </c:pt>
                <c:pt idx="13" formatCode="0">
                  <c:v>210.33</c:v>
                </c:pt>
                <c:pt idx="14" formatCode="0">
                  <c:v>212.87</c:v>
                </c:pt>
                <c:pt idx="15" formatCode="0">
                  <c:v>220.81</c:v>
                </c:pt>
                <c:pt idx="16" formatCode="0">
                  <c:v>223.09</c:v>
                </c:pt>
                <c:pt idx="19" formatCode="0">
                  <c:v>225.98</c:v>
                </c:pt>
                <c:pt idx="20" formatCode="0">
                  <c:v>231.97</c:v>
                </c:pt>
                <c:pt idx="21" formatCode="0">
                  <c:v>233.9</c:v>
                </c:pt>
                <c:pt idx="22" formatCode="0">
                  <c:v>244.05</c:v>
                </c:pt>
                <c:pt idx="23" formatCode="0">
                  <c:v>244.05</c:v>
                </c:pt>
                <c:pt idx="26" formatCode="0">
                  <c:v>244.05</c:v>
                </c:pt>
                <c:pt idx="27" formatCode="0">
                  <c:v>244.05</c:v>
                </c:pt>
                <c:pt idx="28" formatCode="0">
                  <c:v>244.05</c:v>
                </c:pt>
                <c:pt idx="29" formatCode="0">
                  <c:v>244.05</c:v>
                </c:pt>
                <c:pt idx="30" formatCode="0">
                  <c:v>244.05</c:v>
                </c:pt>
                <c:pt idx="33" formatCode="0">
                  <c:v>244.05</c:v>
                </c:pt>
                <c:pt idx="34" formatCode="0">
                  <c:v>244.05</c:v>
                </c:pt>
                <c:pt idx="35" formatCode="0">
                  <c:v>244.05</c:v>
                </c:pt>
                <c:pt idx="36" formatCode="0">
                  <c:v>244.05</c:v>
                </c:pt>
                <c:pt idx="37" formatCode="0">
                  <c:v>244.05</c:v>
                </c:pt>
                <c:pt idx="40">
                  <c:v>244.05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525-4A2D-B069-68696D6A32B0}"/>
            </c:ext>
          </c:extLst>
        </c:ser>
        <c:ser>
          <c:idx val="22"/>
          <c:order val="7"/>
          <c:tx>
            <c:strRef>
              <c:f>'Hằng ngày'!$A$28</c:f>
              <c:strCache>
                <c:ptCount val="1"/>
                <c:pt idx="0">
                  <c:v>Mục tiêu số PCS HT CĐ Ca 2(Còn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ngày'!$B$21:$AS$21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ngày'!$B$28:$AS$28</c:f>
              <c:numCache>
                <c:formatCode>General</c:formatCode>
                <c:ptCount val="44"/>
                <c:pt idx="12" formatCode="0">
                  <c:v>202.12</c:v>
                </c:pt>
                <c:pt idx="13" formatCode="0">
                  <c:v>210.23</c:v>
                </c:pt>
                <c:pt idx="14" formatCode="0">
                  <c:v>209.14</c:v>
                </c:pt>
                <c:pt idx="15" formatCode="0">
                  <c:v>217.42</c:v>
                </c:pt>
                <c:pt idx="16" formatCode="0">
                  <c:v>222.57</c:v>
                </c:pt>
                <c:pt idx="19" formatCode="0">
                  <c:v>221.79</c:v>
                </c:pt>
                <c:pt idx="20" formatCode="0">
                  <c:v>226.91</c:v>
                </c:pt>
                <c:pt idx="21" formatCode="0">
                  <c:v>233.54</c:v>
                </c:pt>
                <c:pt idx="22" formatCode="0">
                  <c:v>242.74</c:v>
                </c:pt>
                <c:pt idx="23" formatCode="0">
                  <c:v>242.74</c:v>
                </c:pt>
                <c:pt idx="26" formatCode="0">
                  <c:v>242.74</c:v>
                </c:pt>
                <c:pt idx="27" formatCode="0">
                  <c:v>242.74</c:v>
                </c:pt>
                <c:pt idx="28" formatCode="0">
                  <c:v>242.74</c:v>
                </c:pt>
                <c:pt idx="29" formatCode="0">
                  <c:v>242.74</c:v>
                </c:pt>
                <c:pt idx="30" formatCode="0">
                  <c:v>242.74</c:v>
                </c:pt>
                <c:pt idx="33" formatCode="0">
                  <c:v>242.74</c:v>
                </c:pt>
                <c:pt idx="34" formatCode="0">
                  <c:v>242.74</c:v>
                </c:pt>
                <c:pt idx="35" formatCode="0">
                  <c:v>242.74</c:v>
                </c:pt>
                <c:pt idx="36" formatCode="0">
                  <c:v>242.74</c:v>
                </c:pt>
                <c:pt idx="37" formatCode="0">
                  <c:v>242.74</c:v>
                </c:pt>
                <c:pt idx="40">
                  <c:v>242.74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525-4A2D-B069-68696D6A3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1.9904999999999999E-2"/>
          <c:y val="0.90742665692007785"/>
          <c:w val="0.95507416340090612"/>
          <c:h val="9.0186159844054578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Bản vẽ HT Công đoạn Phay vạn năng (MA)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0866135955511459E-2"/>
          <c:y val="0.12191976190918147"/>
          <c:w val="0.96185126994822712"/>
          <c:h val="0.70753748012300532"/>
        </c:manualLayout>
      </c:layout>
      <c:barChart>
        <c:barDir val="col"/>
        <c:grouping val="clustered"/>
        <c:varyColors val="0"/>
        <c:ser>
          <c:idx val="13"/>
          <c:order val="0"/>
          <c:tx>
            <c:strRef>
              <c:f>'Hằng ngày'!$A$55</c:f>
              <c:strCache>
                <c:ptCount val="1"/>
                <c:pt idx="0">
                  <c:v>Thực tích Bản vẽ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ngày'!$B$41:$AS$41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ngày'!$B$55:$AS$55</c:f>
              <c:numCache>
                <c:formatCode>General</c:formatCode>
                <c:ptCount val="44"/>
                <c:pt idx="0">
                  <c:v>555</c:v>
                </c:pt>
                <c:pt idx="1">
                  <c:v>320</c:v>
                </c:pt>
                <c:pt idx="2">
                  <c:v>521</c:v>
                </c:pt>
                <c:pt idx="3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81-42C9-A5F0-3C40901109EC}"/>
            </c:ext>
          </c:extLst>
        </c:ser>
        <c:ser>
          <c:idx val="14"/>
          <c:order val="1"/>
          <c:tx>
            <c:strRef>
              <c:f>'Hằng ngày'!$A$56</c:f>
              <c:strCache>
                <c:ptCount val="1"/>
                <c:pt idx="0">
                  <c:v>Thực tích Bản vẽ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ngày'!$B$41:$AS$41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ngày'!$B$56:$AS$56</c:f>
              <c:numCache>
                <c:formatCode>General</c:formatCode>
                <c:ptCount val="44"/>
                <c:pt idx="0">
                  <c:v>520</c:v>
                </c:pt>
                <c:pt idx="1">
                  <c:v>350</c:v>
                </c:pt>
                <c:pt idx="2">
                  <c:v>556</c:v>
                </c:pt>
                <c:pt idx="3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81-42C9-A5F0-3C4090110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5"/>
          <c:order val="2"/>
          <c:tx>
            <c:strRef>
              <c:f>'Hằng ngày'!$A$51</c:f>
              <c:strCache>
                <c:ptCount val="1"/>
                <c:pt idx="0">
                  <c:v>Thực tích Bản vẽ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ngày'!$B$41:$AS$41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ngày'!$B$51:$AS$51</c:f>
              <c:numCache>
                <c:formatCode>General</c:formatCode>
                <c:ptCount val="44"/>
                <c:pt idx="12">
                  <c:v>14</c:v>
                </c:pt>
                <c:pt idx="13">
                  <c:v>8</c:v>
                </c:pt>
                <c:pt idx="14">
                  <c:v>10</c:v>
                </c:pt>
                <c:pt idx="15">
                  <c:v>9</c:v>
                </c:pt>
                <c:pt idx="16">
                  <c:v>13</c:v>
                </c:pt>
                <c:pt idx="17">
                  <c:v>12</c:v>
                </c:pt>
                <c:pt idx="18">
                  <c:v>0</c:v>
                </c:pt>
                <c:pt idx="19">
                  <c:v>17</c:v>
                </c:pt>
                <c:pt idx="20">
                  <c:v>21</c:v>
                </c:pt>
                <c:pt idx="2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81-42C9-A5F0-3C40901109EC}"/>
            </c:ext>
          </c:extLst>
        </c:ser>
        <c:ser>
          <c:idx val="16"/>
          <c:order val="3"/>
          <c:tx>
            <c:strRef>
              <c:f>'Hằng ngày'!$A$52</c:f>
              <c:strCache>
                <c:ptCount val="1"/>
                <c:pt idx="0">
                  <c:v>Thực tích Bản vẽ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ngày'!$B$41:$AS$41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ngày'!$B$52:$AS$52</c:f>
              <c:numCache>
                <c:formatCode>General</c:formatCode>
                <c:ptCount val="44"/>
                <c:pt idx="12">
                  <c:v>14</c:v>
                </c:pt>
                <c:pt idx="13">
                  <c:v>9</c:v>
                </c:pt>
                <c:pt idx="14">
                  <c:v>15</c:v>
                </c:pt>
                <c:pt idx="15">
                  <c:v>11</c:v>
                </c:pt>
                <c:pt idx="16">
                  <c:v>16</c:v>
                </c:pt>
                <c:pt idx="17">
                  <c:v>13</c:v>
                </c:pt>
                <c:pt idx="18">
                  <c:v>0</c:v>
                </c:pt>
                <c:pt idx="19">
                  <c:v>19</c:v>
                </c:pt>
                <c:pt idx="20">
                  <c:v>20</c:v>
                </c:pt>
                <c:pt idx="2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81-42C9-A5F0-3C4090110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7"/>
          <c:order val="4"/>
          <c:tx>
            <c:strRef>
              <c:f>'Hằng ngày'!$A$49</c:f>
              <c:strCache>
                <c:ptCount val="1"/>
                <c:pt idx="0">
                  <c:v>Mục tiêu Bản vẽ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ngày'!$B$41:$AS$41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ngày'!$B$49:$AS$49</c:f>
              <c:numCache>
                <c:formatCode>0</c:formatCode>
                <c:ptCount val="44"/>
                <c:pt idx="0">
                  <c:v>438.01975519452378</c:v>
                </c:pt>
                <c:pt idx="1">
                  <c:v>298.6498330871753</c:v>
                </c:pt>
                <c:pt idx="2">
                  <c:v>438.01975519452378</c:v>
                </c:pt>
                <c:pt idx="3">
                  <c:v>418.10976632204552</c:v>
                </c:pt>
                <c:pt idx="4">
                  <c:v>398.19977744956708</c:v>
                </c:pt>
                <c:pt idx="5">
                  <c:v>438.01975519452378</c:v>
                </c:pt>
                <c:pt idx="6">
                  <c:v>457.92974406700222</c:v>
                </c:pt>
                <c:pt idx="7">
                  <c:v>418.10976632204552</c:v>
                </c:pt>
                <c:pt idx="8">
                  <c:v>418.10976632204552</c:v>
                </c:pt>
                <c:pt idx="9">
                  <c:v>438.01975519452378</c:v>
                </c:pt>
                <c:pt idx="10">
                  <c:v>418.10976632204552</c:v>
                </c:pt>
                <c:pt idx="11">
                  <c:v>438.01975519452378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81-42C9-A5F0-3C4090110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18"/>
          <c:order val="5"/>
          <c:tx>
            <c:strRef>
              <c:f>'Hằng ngày'!$A$43</c:f>
              <c:strCache>
                <c:ptCount val="1"/>
                <c:pt idx="0">
                  <c:v>Mục tiêu Bản vẽ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ngày'!$B$41:$AS$41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ngày'!$B$43:$AS$43</c:f>
              <c:numCache>
                <c:formatCode>General</c:formatCode>
                <c:ptCount val="44"/>
                <c:pt idx="12" formatCode="0">
                  <c:v>19.91</c:v>
                </c:pt>
                <c:pt idx="13" formatCode="0">
                  <c:v>19.91</c:v>
                </c:pt>
                <c:pt idx="14" formatCode="0">
                  <c:v>19.91</c:v>
                </c:pt>
                <c:pt idx="15" formatCode="0">
                  <c:v>19.91</c:v>
                </c:pt>
                <c:pt idx="16" formatCode="0">
                  <c:v>19.91</c:v>
                </c:pt>
                <c:pt idx="19" formatCode="0">
                  <c:v>19.91</c:v>
                </c:pt>
                <c:pt idx="20" formatCode="0">
                  <c:v>19.91</c:v>
                </c:pt>
                <c:pt idx="21" formatCode="0">
                  <c:v>19.91</c:v>
                </c:pt>
                <c:pt idx="22" formatCode="0">
                  <c:v>19.91</c:v>
                </c:pt>
                <c:pt idx="23" formatCode="0">
                  <c:v>19.91</c:v>
                </c:pt>
                <c:pt idx="26" formatCode="0">
                  <c:v>19.91</c:v>
                </c:pt>
                <c:pt idx="27" formatCode="0">
                  <c:v>19.91</c:v>
                </c:pt>
                <c:pt idx="28" formatCode="0">
                  <c:v>19.91</c:v>
                </c:pt>
                <c:pt idx="29" formatCode="0">
                  <c:v>19.91</c:v>
                </c:pt>
                <c:pt idx="30" formatCode="0">
                  <c:v>19.91</c:v>
                </c:pt>
                <c:pt idx="33" formatCode="0">
                  <c:v>19.91</c:v>
                </c:pt>
                <c:pt idx="34" formatCode="0">
                  <c:v>19.91</c:v>
                </c:pt>
                <c:pt idx="35" formatCode="0">
                  <c:v>19.91</c:v>
                </c:pt>
                <c:pt idx="36" formatCode="0">
                  <c:v>19.91</c:v>
                </c:pt>
                <c:pt idx="37" formatCode="0">
                  <c:v>19.91</c:v>
                </c:pt>
                <c:pt idx="40">
                  <c:v>19.91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81-42C9-A5F0-3C40901109EC}"/>
            </c:ext>
          </c:extLst>
        </c:ser>
        <c:ser>
          <c:idx val="19"/>
          <c:order val="6"/>
          <c:tx>
            <c:strRef>
              <c:f>'Hằng ngày'!$A$45</c:f>
              <c:strCache>
                <c:ptCount val="1"/>
                <c:pt idx="0">
                  <c:v>Mục tiêu Bản vẽ HT CĐ Ca 1 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ngày'!$B$41:$AS$41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ngày'!$B$45:$AS$45</c:f>
              <c:numCache>
                <c:formatCode>General</c:formatCode>
                <c:ptCount val="44"/>
                <c:pt idx="12" formatCode="0">
                  <c:v>19.91</c:v>
                </c:pt>
                <c:pt idx="13" formatCode="0">
                  <c:v>20.21</c:v>
                </c:pt>
                <c:pt idx="14" formatCode="0">
                  <c:v>20.85</c:v>
                </c:pt>
                <c:pt idx="15" formatCode="0">
                  <c:v>21.45</c:v>
                </c:pt>
                <c:pt idx="16" formatCode="0">
                  <c:v>22.18</c:v>
                </c:pt>
                <c:pt idx="19" formatCode="0">
                  <c:v>22.01</c:v>
                </c:pt>
                <c:pt idx="20" formatCode="0">
                  <c:v>22.34</c:v>
                </c:pt>
                <c:pt idx="21" formatCode="0">
                  <c:v>22.44</c:v>
                </c:pt>
                <c:pt idx="22" formatCode="0">
                  <c:v>22.85</c:v>
                </c:pt>
                <c:pt idx="23" formatCode="0">
                  <c:v>22.85</c:v>
                </c:pt>
                <c:pt idx="26" formatCode="0">
                  <c:v>22.85</c:v>
                </c:pt>
                <c:pt idx="27" formatCode="0">
                  <c:v>22.85</c:v>
                </c:pt>
                <c:pt idx="28" formatCode="0">
                  <c:v>22.85</c:v>
                </c:pt>
                <c:pt idx="29" formatCode="0">
                  <c:v>22.85</c:v>
                </c:pt>
                <c:pt idx="30" formatCode="0">
                  <c:v>22.85</c:v>
                </c:pt>
                <c:pt idx="33" formatCode="0">
                  <c:v>22.85</c:v>
                </c:pt>
                <c:pt idx="34" formatCode="0">
                  <c:v>22.85</c:v>
                </c:pt>
                <c:pt idx="35" formatCode="0">
                  <c:v>22.85</c:v>
                </c:pt>
                <c:pt idx="36" formatCode="0">
                  <c:v>22.85</c:v>
                </c:pt>
                <c:pt idx="37" formatCode="0">
                  <c:v>22.85</c:v>
                </c:pt>
                <c:pt idx="40">
                  <c:v>22.85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81-42C9-A5F0-3C40901109EC}"/>
            </c:ext>
          </c:extLst>
        </c:ser>
        <c:ser>
          <c:idx val="20"/>
          <c:order val="7"/>
          <c:tx>
            <c:strRef>
              <c:f>'Hằng ngày'!$A$46</c:f>
              <c:strCache>
                <c:ptCount val="1"/>
                <c:pt idx="0">
                  <c:v>Mục tiêu Bản vẽ HT CĐ Ca 2(Còn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ngày'!$B$41:$AS$41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ngày'!$B$46:$AS$46</c:f>
              <c:numCache>
                <c:formatCode>General</c:formatCode>
                <c:ptCount val="44"/>
                <c:pt idx="12" formatCode="0">
                  <c:v>19.91</c:v>
                </c:pt>
                <c:pt idx="13" formatCode="0">
                  <c:v>20.21</c:v>
                </c:pt>
                <c:pt idx="14" formatCode="0">
                  <c:v>20.8</c:v>
                </c:pt>
                <c:pt idx="15" formatCode="0">
                  <c:v>21.12</c:v>
                </c:pt>
                <c:pt idx="16" formatCode="0">
                  <c:v>21.71</c:v>
                </c:pt>
                <c:pt idx="19" formatCode="0">
                  <c:v>21.26</c:v>
                </c:pt>
                <c:pt idx="20" formatCode="0">
                  <c:v>21.41</c:v>
                </c:pt>
                <c:pt idx="21" formatCode="0">
                  <c:v>21.51</c:v>
                </c:pt>
                <c:pt idx="22" formatCode="0">
                  <c:v>22.16</c:v>
                </c:pt>
                <c:pt idx="23" formatCode="0">
                  <c:v>22.16</c:v>
                </c:pt>
                <c:pt idx="26" formatCode="0">
                  <c:v>22.16</c:v>
                </c:pt>
                <c:pt idx="27" formatCode="0">
                  <c:v>22.16</c:v>
                </c:pt>
                <c:pt idx="28" formatCode="0">
                  <c:v>22.16</c:v>
                </c:pt>
                <c:pt idx="29" formatCode="0">
                  <c:v>22.16</c:v>
                </c:pt>
                <c:pt idx="30" formatCode="0">
                  <c:v>22.16</c:v>
                </c:pt>
                <c:pt idx="33" formatCode="0">
                  <c:v>22.16</c:v>
                </c:pt>
                <c:pt idx="34" formatCode="0">
                  <c:v>22.16</c:v>
                </c:pt>
                <c:pt idx="35" formatCode="0">
                  <c:v>22.16</c:v>
                </c:pt>
                <c:pt idx="36" formatCode="0">
                  <c:v>22.16</c:v>
                </c:pt>
                <c:pt idx="37" formatCode="0">
                  <c:v>22.16</c:v>
                </c:pt>
                <c:pt idx="40">
                  <c:v>22.16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81-42C9-A5F0-3C4090110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1.5671388888888881E-2"/>
          <c:y val="0.91432350156850373"/>
          <c:w val="0.96689333333333349"/>
          <c:h val="8.5676498431496315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Số PCS HT Công đoạn Phay vạn năng (MA)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5325881706266838E-2"/>
          <c:y val="0.12132267864545629"/>
          <c:w val="0.94879088829218683"/>
          <c:h val="0.69938095149703949"/>
        </c:manualLayout>
      </c:layout>
      <c:barChart>
        <c:barDir val="col"/>
        <c:grouping val="clustered"/>
        <c:varyColors val="0"/>
        <c:ser>
          <c:idx val="15"/>
          <c:order val="0"/>
          <c:tx>
            <c:strRef>
              <c:f>'Hằng ngày'!$A$57</c:f>
              <c:strCache>
                <c:ptCount val="1"/>
                <c:pt idx="0">
                  <c:v>Thực tích số PCS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ngày'!$B$41:$AS$41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ngày'!$B$57:$AS$57</c:f>
              <c:numCache>
                <c:formatCode>General</c:formatCode>
                <c:ptCount val="44"/>
                <c:pt idx="0">
                  <c:v>2670</c:v>
                </c:pt>
                <c:pt idx="1">
                  <c:v>1303</c:v>
                </c:pt>
                <c:pt idx="2">
                  <c:v>2828</c:v>
                </c:pt>
                <c:pt idx="3">
                  <c:v>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3-4890-94DC-39FB56653644}"/>
            </c:ext>
          </c:extLst>
        </c:ser>
        <c:ser>
          <c:idx val="22"/>
          <c:order val="7"/>
          <c:tx>
            <c:strRef>
              <c:f>'Hằng ngày'!$A$58</c:f>
              <c:strCache>
                <c:ptCount val="1"/>
                <c:pt idx="0">
                  <c:v>Thực tích số PCS HT CĐ Ca 2  (Tháng)</c:v>
                </c:pt>
              </c:strCache>
            </c:strRef>
          </c:tx>
          <c:spPr>
            <a:solidFill>
              <a:srgbClr val="00B0F0"/>
            </a:solidFill>
            <a:ln w="28575" cap="rnd">
              <a:noFill/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ngày'!$B$41:$AS$41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ngày'!$B$58:$AS$58</c:f>
              <c:numCache>
                <c:formatCode>General</c:formatCode>
                <c:ptCount val="44"/>
                <c:pt idx="0">
                  <c:v>2246</c:v>
                </c:pt>
                <c:pt idx="1">
                  <c:v>1601</c:v>
                </c:pt>
                <c:pt idx="2">
                  <c:v>2621</c:v>
                </c:pt>
                <c:pt idx="3">
                  <c:v>1170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0E3-4890-94DC-39FB56653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6"/>
          <c:order val="1"/>
          <c:tx>
            <c:strRef>
              <c:f>'Hằng ngày'!$A$53</c:f>
              <c:strCache>
                <c:ptCount val="1"/>
                <c:pt idx="0">
                  <c:v>Thực tích số PCS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ngày'!$B$41:$AS$41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ngày'!$B$53:$AS$53</c:f>
              <c:numCache>
                <c:formatCode>General</c:formatCode>
                <c:ptCount val="44"/>
                <c:pt idx="12">
                  <c:v>95</c:v>
                </c:pt>
                <c:pt idx="13">
                  <c:v>21</c:v>
                </c:pt>
                <c:pt idx="14">
                  <c:v>97</c:v>
                </c:pt>
                <c:pt idx="15">
                  <c:v>83</c:v>
                </c:pt>
                <c:pt idx="16">
                  <c:v>54</c:v>
                </c:pt>
                <c:pt idx="17">
                  <c:v>54</c:v>
                </c:pt>
                <c:pt idx="18">
                  <c:v>0</c:v>
                </c:pt>
                <c:pt idx="19">
                  <c:v>170</c:v>
                </c:pt>
                <c:pt idx="20">
                  <c:v>103</c:v>
                </c:pt>
                <c:pt idx="21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E3-4890-94DC-39FB56653644}"/>
            </c:ext>
          </c:extLst>
        </c:ser>
        <c:ser>
          <c:idx val="17"/>
          <c:order val="2"/>
          <c:tx>
            <c:strRef>
              <c:f>'Hằng ngày'!$A$54</c:f>
              <c:strCache>
                <c:ptCount val="1"/>
                <c:pt idx="0">
                  <c:v>Thực tích số PCS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ngày'!$B$41:$AS$41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ngày'!$B$54:$AS$54</c:f>
              <c:numCache>
                <c:formatCode>General</c:formatCode>
                <c:ptCount val="44"/>
                <c:pt idx="12">
                  <c:v>77</c:v>
                </c:pt>
                <c:pt idx="13">
                  <c:v>225</c:v>
                </c:pt>
                <c:pt idx="14">
                  <c:v>101</c:v>
                </c:pt>
                <c:pt idx="15">
                  <c:v>149</c:v>
                </c:pt>
                <c:pt idx="16">
                  <c:v>206</c:v>
                </c:pt>
                <c:pt idx="17">
                  <c:v>83</c:v>
                </c:pt>
                <c:pt idx="18">
                  <c:v>0</c:v>
                </c:pt>
                <c:pt idx="19">
                  <c:v>87</c:v>
                </c:pt>
                <c:pt idx="20">
                  <c:v>84</c:v>
                </c:pt>
                <c:pt idx="21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E3-4890-94DC-39FB56653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8"/>
          <c:order val="3"/>
          <c:tx>
            <c:strRef>
              <c:f>'Hằng ngày'!$A$50</c:f>
              <c:strCache>
                <c:ptCount val="1"/>
                <c:pt idx="0">
                  <c:v>Mục tiêu số PCS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ngày'!$B$41:$AS$41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ngày'!$B$50:$AS$50</c:f>
              <c:numCache>
                <c:formatCode>0</c:formatCode>
                <c:ptCount val="44"/>
                <c:pt idx="0">
                  <c:v>2342.9573072681069</c:v>
                </c:pt>
                <c:pt idx="1">
                  <c:v>1597.4708913191639</c:v>
                </c:pt>
                <c:pt idx="2">
                  <c:v>2342.9573072681069</c:v>
                </c:pt>
                <c:pt idx="3">
                  <c:v>2236.4592478468289</c:v>
                </c:pt>
                <c:pt idx="4">
                  <c:v>2129.9611884255519</c:v>
                </c:pt>
                <c:pt idx="5">
                  <c:v>2342.9573072681069</c:v>
                </c:pt>
                <c:pt idx="6">
                  <c:v>2449.4553666893839</c:v>
                </c:pt>
                <c:pt idx="7">
                  <c:v>2236.4592478468289</c:v>
                </c:pt>
                <c:pt idx="8">
                  <c:v>2236.4592478468289</c:v>
                </c:pt>
                <c:pt idx="9">
                  <c:v>2342.9573072681069</c:v>
                </c:pt>
                <c:pt idx="10">
                  <c:v>2236.4592478468289</c:v>
                </c:pt>
                <c:pt idx="11">
                  <c:v>2342.9573072681069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E3-4890-94DC-39FB56653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19"/>
          <c:order val="4"/>
          <c:tx>
            <c:strRef>
              <c:f>'Hằng ngày'!$A$44</c:f>
              <c:strCache>
                <c:ptCount val="1"/>
                <c:pt idx="0">
                  <c:v>Mục tiêu số PCS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ngày'!$B$41:$AS$41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ngày'!$B$44:$AS$44</c:f>
              <c:numCache>
                <c:formatCode>General</c:formatCode>
                <c:ptCount val="44"/>
                <c:pt idx="12" formatCode="0">
                  <c:v>106.5</c:v>
                </c:pt>
                <c:pt idx="13" formatCode="0">
                  <c:v>106.5</c:v>
                </c:pt>
                <c:pt idx="14" formatCode="0">
                  <c:v>106.5</c:v>
                </c:pt>
                <c:pt idx="15" formatCode="0">
                  <c:v>106.5</c:v>
                </c:pt>
                <c:pt idx="16" formatCode="0">
                  <c:v>106.5</c:v>
                </c:pt>
                <c:pt idx="19" formatCode="0">
                  <c:v>106.5</c:v>
                </c:pt>
                <c:pt idx="20" formatCode="0">
                  <c:v>106.5</c:v>
                </c:pt>
                <c:pt idx="21" formatCode="0">
                  <c:v>106.5</c:v>
                </c:pt>
                <c:pt idx="22" formatCode="0">
                  <c:v>106.5</c:v>
                </c:pt>
                <c:pt idx="23" formatCode="0">
                  <c:v>106.5</c:v>
                </c:pt>
                <c:pt idx="26" formatCode="0">
                  <c:v>106.5</c:v>
                </c:pt>
                <c:pt idx="27" formatCode="0">
                  <c:v>106.5</c:v>
                </c:pt>
                <c:pt idx="28" formatCode="0">
                  <c:v>106.5</c:v>
                </c:pt>
                <c:pt idx="29" formatCode="0">
                  <c:v>106.5</c:v>
                </c:pt>
                <c:pt idx="30" formatCode="0">
                  <c:v>106.5</c:v>
                </c:pt>
                <c:pt idx="33" formatCode="0">
                  <c:v>106.5</c:v>
                </c:pt>
                <c:pt idx="34" formatCode="0">
                  <c:v>106.5</c:v>
                </c:pt>
                <c:pt idx="35" formatCode="0">
                  <c:v>106.5</c:v>
                </c:pt>
                <c:pt idx="36" formatCode="0">
                  <c:v>106.5</c:v>
                </c:pt>
                <c:pt idx="37" formatCode="0">
                  <c:v>106.5</c:v>
                </c:pt>
                <c:pt idx="40">
                  <c:v>106.5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E3-4890-94DC-39FB56653644}"/>
            </c:ext>
          </c:extLst>
        </c:ser>
        <c:ser>
          <c:idx val="20"/>
          <c:order val="5"/>
          <c:tx>
            <c:strRef>
              <c:f>'Hằng ngày'!$A$47</c:f>
              <c:strCache>
                <c:ptCount val="1"/>
                <c:pt idx="0">
                  <c:v>Mục tiêu số PCS HT CĐ Ca 1(Còn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ngày'!$B$41:$AS$41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ngày'!$B$47:$AS$47</c:f>
              <c:numCache>
                <c:formatCode>General</c:formatCode>
                <c:ptCount val="44"/>
                <c:pt idx="12" formatCode="0">
                  <c:v>106.5</c:v>
                </c:pt>
                <c:pt idx="13" formatCode="0">
                  <c:v>107.07</c:v>
                </c:pt>
                <c:pt idx="14" formatCode="0">
                  <c:v>111.6</c:v>
                </c:pt>
                <c:pt idx="15" formatCode="0">
                  <c:v>112.41</c:v>
                </c:pt>
                <c:pt idx="16" formatCode="0">
                  <c:v>114.14</c:v>
                </c:pt>
                <c:pt idx="19" formatCode="0">
                  <c:v>114.53</c:v>
                </c:pt>
                <c:pt idx="20" formatCode="0">
                  <c:v>110.83</c:v>
                </c:pt>
                <c:pt idx="21" formatCode="0">
                  <c:v>111.39</c:v>
                </c:pt>
                <c:pt idx="22" formatCode="0">
                  <c:v>109.11</c:v>
                </c:pt>
                <c:pt idx="23" formatCode="0">
                  <c:v>109.11</c:v>
                </c:pt>
                <c:pt idx="26" formatCode="0">
                  <c:v>109.11</c:v>
                </c:pt>
                <c:pt idx="27" formatCode="0">
                  <c:v>109.11</c:v>
                </c:pt>
                <c:pt idx="28" formatCode="0">
                  <c:v>109.11</c:v>
                </c:pt>
                <c:pt idx="29" formatCode="0">
                  <c:v>109.11</c:v>
                </c:pt>
                <c:pt idx="30" formatCode="0">
                  <c:v>109.11</c:v>
                </c:pt>
                <c:pt idx="33" formatCode="0">
                  <c:v>109.11</c:v>
                </c:pt>
                <c:pt idx="34" formatCode="0">
                  <c:v>109.11</c:v>
                </c:pt>
                <c:pt idx="35" formatCode="0">
                  <c:v>109.11</c:v>
                </c:pt>
                <c:pt idx="36" formatCode="0">
                  <c:v>109.11</c:v>
                </c:pt>
                <c:pt idx="37" formatCode="0">
                  <c:v>109.11</c:v>
                </c:pt>
                <c:pt idx="40">
                  <c:v>109.11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E3-4890-94DC-39FB56653644}"/>
            </c:ext>
          </c:extLst>
        </c:ser>
        <c:ser>
          <c:idx val="21"/>
          <c:order val="6"/>
          <c:tx>
            <c:strRef>
              <c:f>'Hằng ngày'!$A$48</c:f>
              <c:strCache>
                <c:ptCount val="1"/>
                <c:pt idx="0">
                  <c:v>Mục tiêu số PCS HT CĐ Ca 2(Còn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ngày'!$B$41:$AS$41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ngày'!$B$48:$AS$48</c:f>
              <c:numCache>
                <c:formatCode>General</c:formatCode>
                <c:ptCount val="44"/>
                <c:pt idx="12" formatCode="0">
                  <c:v>106.5</c:v>
                </c:pt>
                <c:pt idx="13" formatCode="0">
                  <c:v>107.97</c:v>
                </c:pt>
                <c:pt idx="14" formatCode="0">
                  <c:v>101.81</c:v>
                </c:pt>
                <c:pt idx="15" formatCode="0">
                  <c:v>101.86</c:v>
                </c:pt>
                <c:pt idx="16" formatCode="0">
                  <c:v>99.09</c:v>
                </c:pt>
                <c:pt idx="19" formatCode="0">
                  <c:v>87.22</c:v>
                </c:pt>
                <c:pt idx="20" formatCode="0">
                  <c:v>87.23</c:v>
                </c:pt>
                <c:pt idx="21" formatCode="0">
                  <c:v>87.46</c:v>
                </c:pt>
                <c:pt idx="22" formatCode="0">
                  <c:v>82.04</c:v>
                </c:pt>
                <c:pt idx="23" formatCode="0">
                  <c:v>82.04</c:v>
                </c:pt>
                <c:pt idx="26" formatCode="0">
                  <c:v>82.04</c:v>
                </c:pt>
                <c:pt idx="27" formatCode="0">
                  <c:v>82.04</c:v>
                </c:pt>
                <c:pt idx="28" formatCode="0">
                  <c:v>82.04</c:v>
                </c:pt>
                <c:pt idx="29" formatCode="0">
                  <c:v>82.04</c:v>
                </c:pt>
                <c:pt idx="30" formatCode="0">
                  <c:v>82.04</c:v>
                </c:pt>
                <c:pt idx="33" formatCode="0">
                  <c:v>82.04</c:v>
                </c:pt>
                <c:pt idx="34" formatCode="0">
                  <c:v>82.04</c:v>
                </c:pt>
                <c:pt idx="35" formatCode="0">
                  <c:v>82.04</c:v>
                </c:pt>
                <c:pt idx="36" formatCode="0">
                  <c:v>82.04</c:v>
                </c:pt>
                <c:pt idx="37" formatCode="0">
                  <c:v>82.04</c:v>
                </c:pt>
                <c:pt idx="40">
                  <c:v>82.04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E3-4890-94DC-39FB56653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1.5613852419038151E-2"/>
          <c:y val="0.89787834351159213"/>
          <c:w val="0.95615138888888884"/>
          <c:h val="9.708202624691406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Bản vẽ HT Công đoạn Phay chính xác (BJ)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1570573622402892E-2"/>
          <c:y val="0.11418581727278064"/>
          <c:w val="0.96060004516711839"/>
          <c:h val="0.70281905574147374"/>
        </c:manualLayout>
      </c:layout>
      <c:barChart>
        <c:barDir val="col"/>
        <c:grouping val="clustered"/>
        <c:varyColors val="0"/>
        <c:ser>
          <c:idx val="13"/>
          <c:order val="0"/>
          <c:tx>
            <c:strRef>
              <c:f>'Hằng ngày'!$A$95</c:f>
              <c:strCache>
                <c:ptCount val="1"/>
                <c:pt idx="0">
                  <c:v>Thực tích Bản vẽ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ngày'!$B$81:$AS$81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ngày'!$B$95:$AS$95</c:f>
              <c:numCache>
                <c:formatCode>General</c:formatCode>
                <c:ptCount val="44"/>
                <c:pt idx="0">
                  <c:v>638</c:v>
                </c:pt>
                <c:pt idx="1">
                  <c:v>408</c:v>
                </c:pt>
                <c:pt idx="2">
                  <c:v>616</c:v>
                </c:pt>
                <c:pt idx="3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43-465D-9747-81DC019A6FBA}"/>
            </c:ext>
          </c:extLst>
        </c:ser>
        <c:ser>
          <c:idx val="14"/>
          <c:order val="1"/>
          <c:tx>
            <c:strRef>
              <c:f>'Hằng ngày'!$A$96</c:f>
              <c:strCache>
                <c:ptCount val="1"/>
                <c:pt idx="0">
                  <c:v>Thực tích Bản vẽ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ngày'!$B$81:$AS$81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ngày'!$B$96:$AS$96</c:f>
              <c:numCache>
                <c:formatCode>General</c:formatCode>
                <c:ptCount val="44"/>
                <c:pt idx="0">
                  <c:v>650</c:v>
                </c:pt>
                <c:pt idx="1">
                  <c:v>488</c:v>
                </c:pt>
                <c:pt idx="2">
                  <c:v>681</c:v>
                </c:pt>
                <c:pt idx="3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43-465D-9747-81DC019A6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5"/>
          <c:order val="2"/>
          <c:tx>
            <c:strRef>
              <c:f>'Hằng ngày'!$A$91</c:f>
              <c:strCache>
                <c:ptCount val="1"/>
                <c:pt idx="0">
                  <c:v>Thực tích Bản vẽ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ngày'!$B$81:$AS$81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ngày'!$B$91:$AS$91</c:f>
              <c:numCache>
                <c:formatCode>General</c:formatCode>
                <c:ptCount val="44"/>
                <c:pt idx="12">
                  <c:v>18</c:v>
                </c:pt>
                <c:pt idx="13">
                  <c:v>14</c:v>
                </c:pt>
                <c:pt idx="14">
                  <c:v>16</c:v>
                </c:pt>
                <c:pt idx="15">
                  <c:v>22</c:v>
                </c:pt>
                <c:pt idx="16">
                  <c:v>12</c:v>
                </c:pt>
                <c:pt idx="17">
                  <c:v>11</c:v>
                </c:pt>
                <c:pt idx="18">
                  <c:v>0</c:v>
                </c:pt>
                <c:pt idx="19">
                  <c:v>15</c:v>
                </c:pt>
                <c:pt idx="20">
                  <c:v>17</c:v>
                </c:pt>
                <c:pt idx="2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43-465D-9747-81DC019A6FBA}"/>
            </c:ext>
          </c:extLst>
        </c:ser>
        <c:ser>
          <c:idx val="16"/>
          <c:order val="3"/>
          <c:tx>
            <c:strRef>
              <c:f>'Hằng ngày'!$A$92</c:f>
              <c:strCache>
                <c:ptCount val="1"/>
                <c:pt idx="0">
                  <c:v>Thực tích Bản vẽ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ngày'!$B$81:$AS$81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ngày'!$B$92:$AS$92</c:f>
              <c:numCache>
                <c:formatCode>General</c:formatCode>
                <c:ptCount val="44"/>
                <c:pt idx="12">
                  <c:v>15</c:v>
                </c:pt>
                <c:pt idx="13">
                  <c:v>17</c:v>
                </c:pt>
                <c:pt idx="14">
                  <c:v>21</c:v>
                </c:pt>
                <c:pt idx="15">
                  <c:v>18</c:v>
                </c:pt>
                <c:pt idx="16">
                  <c:v>17</c:v>
                </c:pt>
                <c:pt idx="17">
                  <c:v>12</c:v>
                </c:pt>
                <c:pt idx="18">
                  <c:v>0</c:v>
                </c:pt>
                <c:pt idx="19">
                  <c:v>17</c:v>
                </c:pt>
                <c:pt idx="20">
                  <c:v>21</c:v>
                </c:pt>
                <c:pt idx="2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43-465D-9747-81DC019A6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7"/>
          <c:order val="4"/>
          <c:tx>
            <c:strRef>
              <c:f>'Hằng ngày'!$A$89</c:f>
              <c:strCache>
                <c:ptCount val="1"/>
                <c:pt idx="0">
                  <c:v>Mục tiêu Bản vẽ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ngày'!$B$81:$AS$81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ngày'!$B$89:$AS$89</c:f>
              <c:numCache>
                <c:formatCode>0</c:formatCode>
                <c:ptCount val="44"/>
                <c:pt idx="0">
                  <c:v>690.90844046401969</c:v>
                </c:pt>
                <c:pt idx="1">
                  <c:v>471.07393668001339</c:v>
                </c:pt>
                <c:pt idx="2">
                  <c:v>690.90844046401969</c:v>
                </c:pt>
                <c:pt idx="3">
                  <c:v>659.50351135201879</c:v>
                </c:pt>
                <c:pt idx="4">
                  <c:v>628.09858224001789</c:v>
                </c:pt>
                <c:pt idx="5">
                  <c:v>690.90844046401969</c:v>
                </c:pt>
                <c:pt idx="6">
                  <c:v>722.31336957602059</c:v>
                </c:pt>
                <c:pt idx="7">
                  <c:v>659.50351135201879</c:v>
                </c:pt>
                <c:pt idx="8">
                  <c:v>659.50351135201879</c:v>
                </c:pt>
                <c:pt idx="9">
                  <c:v>690.90844046401969</c:v>
                </c:pt>
                <c:pt idx="10">
                  <c:v>659.50351135201879</c:v>
                </c:pt>
                <c:pt idx="11">
                  <c:v>690.90844046401969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43-465D-9747-81DC019A6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18"/>
          <c:order val="5"/>
          <c:tx>
            <c:strRef>
              <c:f>'Hằng ngày'!$A$83</c:f>
              <c:strCache>
                <c:ptCount val="1"/>
                <c:pt idx="0">
                  <c:v>Mục tiêu Bản vẽ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ngày'!$B$81:$AS$81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ngày'!$B$83:$AS$83</c:f>
              <c:numCache>
                <c:formatCode>General</c:formatCode>
                <c:ptCount val="44"/>
                <c:pt idx="12" formatCode="0">
                  <c:v>31.4</c:v>
                </c:pt>
                <c:pt idx="13" formatCode="0">
                  <c:v>31.4</c:v>
                </c:pt>
                <c:pt idx="14" formatCode="0">
                  <c:v>31.4</c:v>
                </c:pt>
                <c:pt idx="15" formatCode="0">
                  <c:v>31.4</c:v>
                </c:pt>
                <c:pt idx="16" formatCode="0">
                  <c:v>31.4</c:v>
                </c:pt>
                <c:pt idx="19" formatCode="0">
                  <c:v>31.4</c:v>
                </c:pt>
                <c:pt idx="20" formatCode="0">
                  <c:v>31.4</c:v>
                </c:pt>
                <c:pt idx="21" formatCode="0">
                  <c:v>31.4</c:v>
                </c:pt>
                <c:pt idx="22" formatCode="0">
                  <c:v>31.4</c:v>
                </c:pt>
                <c:pt idx="23" formatCode="0">
                  <c:v>31.4</c:v>
                </c:pt>
                <c:pt idx="26" formatCode="0">
                  <c:v>31.4</c:v>
                </c:pt>
                <c:pt idx="27" formatCode="0">
                  <c:v>31.4</c:v>
                </c:pt>
                <c:pt idx="28" formatCode="0">
                  <c:v>31.4</c:v>
                </c:pt>
                <c:pt idx="29" formatCode="0">
                  <c:v>31.4</c:v>
                </c:pt>
                <c:pt idx="30" formatCode="0">
                  <c:v>31.4</c:v>
                </c:pt>
                <c:pt idx="33" formatCode="0">
                  <c:v>31.4</c:v>
                </c:pt>
                <c:pt idx="34" formatCode="0">
                  <c:v>31.4</c:v>
                </c:pt>
                <c:pt idx="35" formatCode="0">
                  <c:v>31.4</c:v>
                </c:pt>
                <c:pt idx="36" formatCode="0">
                  <c:v>31.4</c:v>
                </c:pt>
                <c:pt idx="37" formatCode="0">
                  <c:v>31.4</c:v>
                </c:pt>
                <c:pt idx="40">
                  <c:v>31.4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43-465D-9747-81DC019A6FBA}"/>
            </c:ext>
          </c:extLst>
        </c:ser>
        <c:ser>
          <c:idx val="19"/>
          <c:order val="6"/>
          <c:tx>
            <c:strRef>
              <c:f>'Hằng ngày'!$A$85</c:f>
              <c:strCache>
                <c:ptCount val="1"/>
                <c:pt idx="0">
                  <c:v>Mục tiêu Bản vẽ HT CĐ Ca 1 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ngày'!$B$81:$AS$81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ngày'!$B$85:$AS$85</c:f>
              <c:numCache>
                <c:formatCode>General</c:formatCode>
                <c:ptCount val="44"/>
                <c:pt idx="12" formatCode="0">
                  <c:v>31.4</c:v>
                </c:pt>
                <c:pt idx="13" formatCode="0">
                  <c:v>32.08</c:v>
                </c:pt>
                <c:pt idx="14" formatCode="0">
                  <c:v>33.03</c:v>
                </c:pt>
                <c:pt idx="15" formatCode="0">
                  <c:v>33.97</c:v>
                </c:pt>
                <c:pt idx="16" formatCode="0">
                  <c:v>34.68</c:v>
                </c:pt>
                <c:pt idx="19" formatCode="0">
                  <c:v>35.409999999999997</c:v>
                </c:pt>
                <c:pt idx="20" formatCode="0">
                  <c:v>36.770000000000003</c:v>
                </c:pt>
                <c:pt idx="21" formatCode="0">
                  <c:v>38.18</c:v>
                </c:pt>
                <c:pt idx="22" formatCode="0">
                  <c:v>39.65</c:v>
                </c:pt>
                <c:pt idx="23" formatCode="0">
                  <c:v>39.65</c:v>
                </c:pt>
                <c:pt idx="26" formatCode="0">
                  <c:v>39.65</c:v>
                </c:pt>
                <c:pt idx="27" formatCode="0">
                  <c:v>39.65</c:v>
                </c:pt>
                <c:pt idx="28" formatCode="0">
                  <c:v>39.65</c:v>
                </c:pt>
                <c:pt idx="29" formatCode="0">
                  <c:v>39.65</c:v>
                </c:pt>
                <c:pt idx="30" formatCode="0">
                  <c:v>39.65</c:v>
                </c:pt>
                <c:pt idx="33" formatCode="0">
                  <c:v>39.65</c:v>
                </c:pt>
                <c:pt idx="34" formatCode="0">
                  <c:v>39.65</c:v>
                </c:pt>
                <c:pt idx="35" formatCode="0">
                  <c:v>39.65</c:v>
                </c:pt>
                <c:pt idx="36" formatCode="0">
                  <c:v>39.65</c:v>
                </c:pt>
                <c:pt idx="37" formatCode="0">
                  <c:v>39.65</c:v>
                </c:pt>
                <c:pt idx="40">
                  <c:v>39.65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43-465D-9747-81DC019A6FBA}"/>
            </c:ext>
          </c:extLst>
        </c:ser>
        <c:ser>
          <c:idx val="20"/>
          <c:order val="7"/>
          <c:tx>
            <c:strRef>
              <c:f>'Hằng ngày'!$A$86</c:f>
              <c:strCache>
                <c:ptCount val="1"/>
                <c:pt idx="0">
                  <c:v>Mục tiêu Bản vẽ HT CĐ Ca 2(Còn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ngày'!$B$81:$AS$81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ngày'!$B$86:$AS$86</c:f>
              <c:numCache>
                <c:formatCode>General</c:formatCode>
                <c:ptCount val="44"/>
                <c:pt idx="12" formatCode="0">
                  <c:v>31.4</c:v>
                </c:pt>
                <c:pt idx="13" formatCode="0">
                  <c:v>32.229999999999997</c:v>
                </c:pt>
                <c:pt idx="14" formatCode="0">
                  <c:v>33.03</c:v>
                </c:pt>
                <c:pt idx="15" formatCode="0">
                  <c:v>33.69</c:v>
                </c:pt>
                <c:pt idx="16" formatCode="0">
                  <c:v>34.619999999999997</c:v>
                </c:pt>
                <c:pt idx="19" formatCode="0">
                  <c:v>34.97</c:v>
                </c:pt>
                <c:pt idx="20" formatCode="0">
                  <c:v>36.17</c:v>
                </c:pt>
                <c:pt idx="21" formatCode="0">
                  <c:v>37.25</c:v>
                </c:pt>
                <c:pt idx="22" formatCode="0">
                  <c:v>38.119999999999997</c:v>
                </c:pt>
                <c:pt idx="23" formatCode="0">
                  <c:v>38.119999999999997</c:v>
                </c:pt>
                <c:pt idx="26" formatCode="0">
                  <c:v>38.119999999999997</c:v>
                </c:pt>
                <c:pt idx="27" formatCode="0">
                  <c:v>38.119999999999997</c:v>
                </c:pt>
                <c:pt idx="28" formatCode="0">
                  <c:v>38.119999999999997</c:v>
                </c:pt>
                <c:pt idx="29" formatCode="0">
                  <c:v>38.119999999999997</c:v>
                </c:pt>
                <c:pt idx="30" formatCode="0">
                  <c:v>38.119999999999997</c:v>
                </c:pt>
                <c:pt idx="33" formatCode="0">
                  <c:v>38.119999999999997</c:v>
                </c:pt>
                <c:pt idx="34" formatCode="0">
                  <c:v>38.119999999999997</c:v>
                </c:pt>
                <c:pt idx="35" formatCode="0">
                  <c:v>38.119999999999997</c:v>
                </c:pt>
                <c:pt idx="36" formatCode="0">
                  <c:v>38.119999999999997</c:v>
                </c:pt>
                <c:pt idx="37" formatCode="0">
                  <c:v>38.119999999999997</c:v>
                </c:pt>
                <c:pt idx="40">
                  <c:v>38.119999999999997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A43-465D-9747-81DC019A6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1.919916666666667E-2"/>
          <c:y val="0.89323494603221687"/>
          <c:w val="0.96139805555555558"/>
          <c:h val="9.9338110555931516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Số PCS HT Công đoạn Phay chính xác (BJ)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6042601365040559E-2"/>
          <c:y val="0.10374000832991379"/>
          <c:w val="0.95309120624482913"/>
          <c:h val="0.7385141708431503"/>
        </c:manualLayout>
      </c:layout>
      <c:barChart>
        <c:barDir val="col"/>
        <c:grouping val="clustered"/>
        <c:varyColors val="0"/>
        <c:ser>
          <c:idx val="15"/>
          <c:order val="0"/>
          <c:tx>
            <c:strRef>
              <c:f>'Hằng ngày'!$A$97</c:f>
              <c:strCache>
                <c:ptCount val="1"/>
                <c:pt idx="0">
                  <c:v>Thực tích số PCS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ngày'!$B$81:$AS$81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ngày'!$B$97:$AS$97</c:f>
              <c:numCache>
                <c:formatCode>General</c:formatCode>
                <c:ptCount val="44"/>
                <c:pt idx="0">
                  <c:v>4834</c:v>
                </c:pt>
                <c:pt idx="1">
                  <c:v>1939</c:v>
                </c:pt>
                <c:pt idx="2">
                  <c:v>3151</c:v>
                </c:pt>
                <c:pt idx="3">
                  <c:v>1223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B7-48CF-9756-EF34F4AEBEAC}"/>
            </c:ext>
          </c:extLst>
        </c:ser>
        <c:ser>
          <c:idx val="16"/>
          <c:order val="1"/>
          <c:tx>
            <c:strRef>
              <c:f>'Hằng ngày'!$A$98</c:f>
              <c:strCache>
                <c:ptCount val="1"/>
                <c:pt idx="0">
                  <c:v>Thực tích số PCS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ngày'!$B$81:$AS$81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ngày'!$B$98:$AS$98</c:f>
              <c:numCache>
                <c:formatCode>General</c:formatCode>
                <c:ptCount val="44"/>
                <c:pt idx="0">
                  <c:v>4061</c:v>
                </c:pt>
                <c:pt idx="1">
                  <c:v>2398</c:v>
                </c:pt>
                <c:pt idx="2">
                  <c:v>4410</c:v>
                </c:pt>
                <c:pt idx="3">
                  <c:v>1693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B7-48CF-9756-EF34F4AEB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7"/>
          <c:order val="2"/>
          <c:tx>
            <c:strRef>
              <c:f>'Hằng ngày'!$A$93</c:f>
              <c:strCache>
                <c:ptCount val="1"/>
                <c:pt idx="0">
                  <c:v>Thực tích số PCS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ngày'!$B$81:$AS$81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ngày'!$B$93:$AS$93</c:f>
              <c:numCache>
                <c:formatCode>General</c:formatCode>
                <c:ptCount val="44"/>
                <c:pt idx="12">
                  <c:v>120</c:v>
                </c:pt>
                <c:pt idx="13">
                  <c:v>179</c:v>
                </c:pt>
                <c:pt idx="14">
                  <c:v>259</c:v>
                </c:pt>
                <c:pt idx="15">
                  <c:v>105</c:v>
                </c:pt>
                <c:pt idx="16">
                  <c:v>35</c:v>
                </c:pt>
                <c:pt idx="17">
                  <c:v>99</c:v>
                </c:pt>
                <c:pt idx="18">
                  <c:v>0</c:v>
                </c:pt>
                <c:pt idx="19">
                  <c:v>141</c:v>
                </c:pt>
                <c:pt idx="20">
                  <c:v>101</c:v>
                </c:pt>
                <c:pt idx="21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B7-48CF-9756-EF34F4AEBEAC}"/>
            </c:ext>
          </c:extLst>
        </c:ser>
        <c:ser>
          <c:idx val="18"/>
          <c:order val="3"/>
          <c:tx>
            <c:strRef>
              <c:f>'Hằng ngày'!$A$94</c:f>
              <c:strCache>
                <c:ptCount val="1"/>
                <c:pt idx="0">
                  <c:v>Thực tích số PCS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ngày'!$B$81:$AS$81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ngày'!$B$94:$AS$94</c:f>
              <c:numCache>
                <c:formatCode>General</c:formatCode>
                <c:ptCount val="44"/>
                <c:pt idx="12">
                  <c:v>213</c:v>
                </c:pt>
                <c:pt idx="13">
                  <c:v>342</c:v>
                </c:pt>
                <c:pt idx="14">
                  <c:v>174</c:v>
                </c:pt>
                <c:pt idx="15">
                  <c:v>115</c:v>
                </c:pt>
                <c:pt idx="16">
                  <c:v>118</c:v>
                </c:pt>
                <c:pt idx="17">
                  <c:v>119</c:v>
                </c:pt>
                <c:pt idx="18">
                  <c:v>0</c:v>
                </c:pt>
                <c:pt idx="19">
                  <c:v>304</c:v>
                </c:pt>
                <c:pt idx="20">
                  <c:v>132</c:v>
                </c:pt>
                <c:pt idx="21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B7-48CF-9756-EF34F4AEB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9"/>
          <c:order val="4"/>
          <c:tx>
            <c:strRef>
              <c:f>'Hằng ngày'!$A$90</c:f>
              <c:strCache>
                <c:ptCount val="1"/>
                <c:pt idx="0">
                  <c:v>Mục tiêu số PCS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ngày'!$B$81:$AS$81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ngày'!$B$90:$AS$90</c:f>
              <c:numCache>
                <c:formatCode>0</c:formatCode>
                <c:ptCount val="44"/>
                <c:pt idx="0">
                  <c:v>4170.1123416416413</c:v>
                </c:pt>
                <c:pt idx="1">
                  <c:v>2843.258414755664</c:v>
                </c:pt>
                <c:pt idx="2">
                  <c:v>4170.1123416416413</c:v>
                </c:pt>
                <c:pt idx="3">
                  <c:v>3980.5617806579298</c:v>
                </c:pt>
                <c:pt idx="4">
                  <c:v>3791.0112196742189</c:v>
                </c:pt>
                <c:pt idx="5">
                  <c:v>4170.1123416416413</c:v>
                </c:pt>
                <c:pt idx="6">
                  <c:v>4359.6629026253522</c:v>
                </c:pt>
                <c:pt idx="7">
                  <c:v>3980.5617806579298</c:v>
                </c:pt>
                <c:pt idx="8">
                  <c:v>3980.5617806579298</c:v>
                </c:pt>
                <c:pt idx="9">
                  <c:v>4170.1123416416413</c:v>
                </c:pt>
                <c:pt idx="10">
                  <c:v>3980.5617806579298</c:v>
                </c:pt>
                <c:pt idx="11">
                  <c:v>4170.1123416416413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B7-48CF-9756-EF34F4AEB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20"/>
          <c:order val="5"/>
          <c:tx>
            <c:strRef>
              <c:f>'Hằng ngày'!$A$88</c:f>
              <c:strCache>
                <c:ptCount val="1"/>
                <c:pt idx="0">
                  <c:v>Mục tiêu số PCS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ngày'!$B$81:$AS$81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ngày'!$B$88:$AS$88</c:f>
              <c:numCache>
                <c:formatCode>General</c:formatCode>
                <c:ptCount val="44"/>
                <c:pt idx="12" formatCode="0">
                  <c:v>189.55</c:v>
                </c:pt>
                <c:pt idx="13" formatCode="0">
                  <c:v>188.38</c:v>
                </c:pt>
                <c:pt idx="14" formatCode="0">
                  <c:v>180.29</c:v>
                </c:pt>
                <c:pt idx="15" formatCode="0">
                  <c:v>180.64</c:v>
                </c:pt>
                <c:pt idx="16" formatCode="0">
                  <c:v>184.5</c:v>
                </c:pt>
                <c:pt idx="19" formatCode="0">
                  <c:v>181.22</c:v>
                </c:pt>
                <c:pt idx="20" formatCode="0">
                  <c:v>173.04</c:v>
                </c:pt>
                <c:pt idx="21" formatCode="0">
                  <c:v>175.97</c:v>
                </c:pt>
                <c:pt idx="22" formatCode="0">
                  <c:v>175.97</c:v>
                </c:pt>
                <c:pt idx="23" formatCode="0">
                  <c:v>175.97</c:v>
                </c:pt>
                <c:pt idx="26" formatCode="0">
                  <c:v>175.97</c:v>
                </c:pt>
                <c:pt idx="27" formatCode="0">
                  <c:v>175.97</c:v>
                </c:pt>
                <c:pt idx="28" formatCode="0">
                  <c:v>175.97</c:v>
                </c:pt>
                <c:pt idx="29" formatCode="0">
                  <c:v>175.97</c:v>
                </c:pt>
                <c:pt idx="30" formatCode="0">
                  <c:v>175.97</c:v>
                </c:pt>
                <c:pt idx="33" formatCode="0">
                  <c:v>175.97</c:v>
                </c:pt>
                <c:pt idx="34" formatCode="0">
                  <c:v>175.97</c:v>
                </c:pt>
                <c:pt idx="35" formatCode="0">
                  <c:v>175.97</c:v>
                </c:pt>
                <c:pt idx="36" formatCode="0">
                  <c:v>175.97</c:v>
                </c:pt>
                <c:pt idx="37" formatCode="0">
                  <c:v>175.97</c:v>
                </c:pt>
                <c:pt idx="40">
                  <c:v>175.97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FB7-48CF-9756-EF34F4AEBEAC}"/>
            </c:ext>
          </c:extLst>
        </c:ser>
        <c:ser>
          <c:idx val="21"/>
          <c:order val="6"/>
          <c:tx>
            <c:strRef>
              <c:f>'Hằng ngày'!$A$84</c:f>
              <c:strCache>
                <c:ptCount val="1"/>
                <c:pt idx="0">
                  <c:v>Mục tiêu số PCS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ngày'!$B$81:$AS$81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ngày'!$B$84:$AS$84</c:f>
              <c:numCache>
                <c:formatCode>General</c:formatCode>
                <c:ptCount val="44"/>
                <c:pt idx="12" formatCode="0">
                  <c:v>189.55</c:v>
                </c:pt>
                <c:pt idx="13" formatCode="0">
                  <c:v>189.55</c:v>
                </c:pt>
                <c:pt idx="14" formatCode="0">
                  <c:v>189.55</c:v>
                </c:pt>
                <c:pt idx="15" formatCode="0">
                  <c:v>189.55</c:v>
                </c:pt>
                <c:pt idx="16" formatCode="0">
                  <c:v>189.55</c:v>
                </c:pt>
                <c:pt idx="19" formatCode="0">
                  <c:v>189.55</c:v>
                </c:pt>
                <c:pt idx="20" formatCode="0">
                  <c:v>189.55</c:v>
                </c:pt>
                <c:pt idx="21" formatCode="0">
                  <c:v>189.55</c:v>
                </c:pt>
                <c:pt idx="22" formatCode="0">
                  <c:v>189.55</c:v>
                </c:pt>
                <c:pt idx="23" formatCode="0">
                  <c:v>189.55</c:v>
                </c:pt>
                <c:pt idx="26" formatCode="0">
                  <c:v>189.55</c:v>
                </c:pt>
                <c:pt idx="27" formatCode="0">
                  <c:v>189.55</c:v>
                </c:pt>
                <c:pt idx="28" formatCode="0">
                  <c:v>189.55</c:v>
                </c:pt>
                <c:pt idx="29" formatCode="0">
                  <c:v>189.55</c:v>
                </c:pt>
                <c:pt idx="30" formatCode="0">
                  <c:v>189.55</c:v>
                </c:pt>
                <c:pt idx="33" formatCode="0">
                  <c:v>189.55</c:v>
                </c:pt>
                <c:pt idx="34" formatCode="0">
                  <c:v>189.55</c:v>
                </c:pt>
                <c:pt idx="35" formatCode="0">
                  <c:v>189.55</c:v>
                </c:pt>
                <c:pt idx="36" formatCode="0">
                  <c:v>189.55</c:v>
                </c:pt>
                <c:pt idx="37" formatCode="0">
                  <c:v>189.55</c:v>
                </c:pt>
                <c:pt idx="40">
                  <c:v>189.55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FB7-48CF-9756-EF34F4AEBEAC}"/>
            </c:ext>
          </c:extLst>
        </c:ser>
        <c:ser>
          <c:idx val="22"/>
          <c:order val="7"/>
          <c:tx>
            <c:strRef>
              <c:f>'Hằng ngày'!$A$87</c:f>
              <c:strCache>
                <c:ptCount val="1"/>
                <c:pt idx="0">
                  <c:v>Mục tiêu số PCS HT CĐ Ca 1(Còn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ngày'!$B$81:$AS$81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ngày'!$B$87:$AS$87</c:f>
              <c:numCache>
                <c:formatCode>General</c:formatCode>
                <c:ptCount val="44"/>
                <c:pt idx="12" formatCode="0">
                  <c:v>189.55</c:v>
                </c:pt>
                <c:pt idx="13" formatCode="0">
                  <c:v>193.03</c:v>
                </c:pt>
                <c:pt idx="14" formatCode="0">
                  <c:v>193.77</c:v>
                </c:pt>
                <c:pt idx="15" formatCode="0">
                  <c:v>190.14</c:v>
                </c:pt>
                <c:pt idx="16" formatCode="0">
                  <c:v>195.15</c:v>
                </c:pt>
                <c:pt idx="19" formatCode="0">
                  <c:v>198.97</c:v>
                </c:pt>
                <c:pt idx="20" formatCode="0">
                  <c:v>202.84</c:v>
                </c:pt>
                <c:pt idx="21" formatCode="0">
                  <c:v>210.11</c:v>
                </c:pt>
                <c:pt idx="22" formatCode="0">
                  <c:v>212.12</c:v>
                </c:pt>
                <c:pt idx="23" formatCode="0">
                  <c:v>212.12</c:v>
                </c:pt>
                <c:pt idx="26" formatCode="0">
                  <c:v>212.12</c:v>
                </c:pt>
                <c:pt idx="27" formatCode="0">
                  <c:v>212.12</c:v>
                </c:pt>
                <c:pt idx="28" formatCode="0">
                  <c:v>212.12</c:v>
                </c:pt>
                <c:pt idx="29" formatCode="0">
                  <c:v>212.12</c:v>
                </c:pt>
                <c:pt idx="30" formatCode="0">
                  <c:v>212.12</c:v>
                </c:pt>
                <c:pt idx="33" formatCode="0">
                  <c:v>212.12</c:v>
                </c:pt>
                <c:pt idx="34" formatCode="0">
                  <c:v>212.12</c:v>
                </c:pt>
                <c:pt idx="35" formatCode="0">
                  <c:v>212.12</c:v>
                </c:pt>
                <c:pt idx="36" formatCode="0">
                  <c:v>212.12</c:v>
                </c:pt>
                <c:pt idx="37" formatCode="0">
                  <c:v>212.12</c:v>
                </c:pt>
                <c:pt idx="40">
                  <c:v>212.12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FB7-48CF-9756-EF34F4AEB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1042361111111109E-2"/>
          <c:y val="0.90706305990621927"/>
          <c:w val="0.95791527777777763"/>
          <c:h val="9.2936940093780687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Bản vẽ HT Công đoạn Máy khoan (DA)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2299575273058897E-2"/>
          <c:y val="9.4408382066276789E-2"/>
          <c:w val="0.95771037979369755"/>
          <c:h val="0.75832699805068227"/>
        </c:manualLayout>
      </c:layout>
      <c:barChart>
        <c:barDir val="col"/>
        <c:grouping val="clustered"/>
        <c:varyColors val="0"/>
        <c:ser>
          <c:idx val="13"/>
          <c:order val="0"/>
          <c:tx>
            <c:strRef>
              <c:f>'Hằng ngày'!$A$115</c:f>
              <c:strCache>
                <c:ptCount val="1"/>
                <c:pt idx="0">
                  <c:v>Thực tích Bản vẽ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ngày'!$B$101:$AS$101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ngày'!$B$115:$AS$115</c:f>
              <c:numCache>
                <c:formatCode>General</c:formatCode>
                <c:ptCount val="44"/>
                <c:pt idx="0">
                  <c:v>193</c:v>
                </c:pt>
                <c:pt idx="1">
                  <c:v>185</c:v>
                </c:pt>
                <c:pt idx="2">
                  <c:v>261</c:v>
                </c:pt>
                <c:pt idx="3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A0-4B32-9B01-C3613CEE405B}"/>
            </c:ext>
          </c:extLst>
        </c:ser>
        <c:ser>
          <c:idx val="14"/>
          <c:order val="1"/>
          <c:tx>
            <c:strRef>
              <c:f>'Hằng ngày'!$A$116</c:f>
              <c:strCache>
                <c:ptCount val="1"/>
                <c:pt idx="0">
                  <c:v>Thực tích Bản vẽ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ngày'!$B$101:$AS$101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ngày'!$B$116:$AS$116</c:f>
              <c:numCache>
                <c:formatCode>General</c:formatCode>
                <c:ptCount val="44"/>
                <c:pt idx="0">
                  <c:v>273</c:v>
                </c:pt>
                <c:pt idx="1">
                  <c:v>173</c:v>
                </c:pt>
                <c:pt idx="2">
                  <c:v>261</c:v>
                </c:pt>
                <c:pt idx="3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A0-4B32-9B01-C3613CEE4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5"/>
          <c:order val="2"/>
          <c:tx>
            <c:strRef>
              <c:f>'Hằng ngày'!$A$111</c:f>
              <c:strCache>
                <c:ptCount val="1"/>
                <c:pt idx="0">
                  <c:v>Thực tích Bản vẽ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ngày'!$B$101:$AS$101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ngày'!$B$111:$AS$111</c:f>
              <c:numCache>
                <c:formatCode>General</c:formatCode>
                <c:ptCount val="44"/>
                <c:pt idx="12">
                  <c:v>6</c:v>
                </c:pt>
                <c:pt idx="13">
                  <c:v>3</c:v>
                </c:pt>
                <c:pt idx="14">
                  <c:v>1</c:v>
                </c:pt>
                <c:pt idx="15">
                  <c:v>10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14</c:v>
                </c:pt>
                <c:pt idx="20">
                  <c:v>4</c:v>
                </c:pt>
                <c:pt idx="2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A0-4B32-9B01-C3613CEE405B}"/>
            </c:ext>
          </c:extLst>
        </c:ser>
        <c:ser>
          <c:idx val="16"/>
          <c:order val="3"/>
          <c:tx>
            <c:strRef>
              <c:f>'Hằng ngày'!$A$112</c:f>
              <c:strCache>
                <c:ptCount val="1"/>
                <c:pt idx="0">
                  <c:v>Thực tích Bản vẽ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ngày'!$B$101:$AS$101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ngày'!$B$112:$AS$112</c:f>
              <c:numCache>
                <c:formatCode>General</c:formatCode>
                <c:ptCount val="44"/>
                <c:pt idx="12">
                  <c:v>13</c:v>
                </c:pt>
                <c:pt idx="13">
                  <c:v>3</c:v>
                </c:pt>
                <c:pt idx="14">
                  <c:v>10</c:v>
                </c:pt>
                <c:pt idx="15">
                  <c:v>13</c:v>
                </c:pt>
                <c:pt idx="16">
                  <c:v>14</c:v>
                </c:pt>
                <c:pt idx="17">
                  <c:v>5</c:v>
                </c:pt>
                <c:pt idx="18">
                  <c:v>0</c:v>
                </c:pt>
                <c:pt idx="19">
                  <c:v>3</c:v>
                </c:pt>
                <c:pt idx="20">
                  <c:v>9</c:v>
                </c:pt>
                <c:pt idx="2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A0-4B32-9B01-C3613CEE4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7"/>
          <c:order val="4"/>
          <c:tx>
            <c:strRef>
              <c:f>'Hằng ngày'!$A$109</c:f>
              <c:strCache>
                <c:ptCount val="1"/>
                <c:pt idx="0">
                  <c:v>Mục tiêu Bản vẽ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</c:spPr>
          </c:marker>
          <c:cat>
            <c:strRef>
              <c:f>'Hằng ngày'!$B$101:$AS$101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ngày'!$B$109:$AS$109</c:f>
              <c:numCache>
                <c:formatCode>0</c:formatCode>
                <c:ptCount val="44"/>
                <c:pt idx="0">
                  <c:v>332.52154001833082</c:v>
                </c:pt>
                <c:pt idx="1">
                  <c:v>226.71923183068009</c:v>
                </c:pt>
                <c:pt idx="2">
                  <c:v>332.52154001833082</c:v>
                </c:pt>
                <c:pt idx="3">
                  <c:v>317.4069245629521</c:v>
                </c:pt>
                <c:pt idx="4">
                  <c:v>302.29230910757337</c:v>
                </c:pt>
                <c:pt idx="5">
                  <c:v>332.52154001833082</c:v>
                </c:pt>
                <c:pt idx="6">
                  <c:v>347.63615547370938</c:v>
                </c:pt>
                <c:pt idx="7">
                  <c:v>317.4069245629521</c:v>
                </c:pt>
                <c:pt idx="8">
                  <c:v>317.4069245629521</c:v>
                </c:pt>
                <c:pt idx="9">
                  <c:v>332.52154001833082</c:v>
                </c:pt>
                <c:pt idx="10">
                  <c:v>317.4069245629521</c:v>
                </c:pt>
                <c:pt idx="11">
                  <c:v>332.52154001833082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A0-4B32-9B01-C3613CEE4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18"/>
          <c:order val="5"/>
          <c:tx>
            <c:strRef>
              <c:f>'Hằng ngày'!$A$103</c:f>
              <c:strCache>
                <c:ptCount val="1"/>
                <c:pt idx="0">
                  <c:v>Mục tiêu Bản vẽ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ngày'!$B$101:$AS$101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ngày'!$B$103:$AS$103</c:f>
              <c:numCache>
                <c:formatCode>General</c:formatCode>
                <c:ptCount val="44"/>
                <c:pt idx="12" formatCode="0">
                  <c:v>15.11</c:v>
                </c:pt>
                <c:pt idx="13" formatCode="0">
                  <c:v>15.11</c:v>
                </c:pt>
                <c:pt idx="14" formatCode="0">
                  <c:v>15.11</c:v>
                </c:pt>
                <c:pt idx="15" formatCode="0">
                  <c:v>15.11</c:v>
                </c:pt>
                <c:pt idx="16" formatCode="0">
                  <c:v>15.11</c:v>
                </c:pt>
                <c:pt idx="19" formatCode="0">
                  <c:v>15.11</c:v>
                </c:pt>
                <c:pt idx="20" formatCode="0">
                  <c:v>15.11</c:v>
                </c:pt>
                <c:pt idx="21" formatCode="0">
                  <c:v>15.11</c:v>
                </c:pt>
                <c:pt idx="22" formatCode="0">
                  <c:v>15.11</c:v>
                </c:pt>
                <c:pt idx="23" formatCode="0">
                  <c:v>15.11</c:v>
                </c:pt>
                <c:pt idx="26" formatCode="0">
                  <c:v>15.11</c:v>
                </c:pt>
                <c:pt idx="27" formatCode="0">
                  <c:v>15.11</c:v>
                </c:pt>
                <c:pt idx="28" formatCode="0">
                  <c:v>15.11</c:v>
                </c:pt>
                <c:pt idx="29" formatCode="0">
                  <c:v>15.11</c:v>
                </c:pt>
                <c:pt idx="30" formatCode="0">
                  <c:v>15.11</c:v>
                </c:pt>
                <c:pt idx="33" formatCode="0">
                  <c:v>15.11</c:v>
                </c:pt>
                <c:pt idx="34" formatCode="0">
                  <c:v>15.11</c:v>
                </c:pt>
                <c:pt idx="35" formatCode="0">
                  <c:v>15.11</c:v>
                </c:pt>
                <c:pt idx="36" formatCode="0">
                  <c:v>15.11</c:v>
                </c:pt>
                <c:pt idx="37" formatCode="0">
                  <c:v>15.11</c:v>
                </c:pt>
                <c:pt idx="40">
                  <c:v>15.11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FA0-4B32-9B01-C3613CEE405B}"/>
            </c:ext>
          </c:extLst>
        </c:ser>
        <c:ser>
          <c:idx val="19"/>
          <c:order val="6"/>
          <c:tx>
            <c:strRef>
              <c:f>'Hằng ngày'!$A$105</c:f>
              <c:strCache>
                <c:ptCount val="1"/>
                <c:pt idx="0">
                  <c:v>Mục tiêu Bản vẽ HT CĐ Ca 1 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ngày'!$B$101:$AS$101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ngày'!$B$105:$AS$105</c:f>
              <c:numCache>
                <c:formatCode>General</c:formatCode>
                <c:ptCount val="44"/>
                <c:pt idx="12" formatCode="0">
                  <c:v>15.11</c:v>
                </c:pt>
                <c:pt idx="13" formatCode="0">
                  <c:v>15.57</c:v>
                </c:pt>
                <c:pt idx="14" formatCode="0">
                  <c:v>16.23</c:v>
                </c:pt>
                <c:pt idx="15" formatCode="0">
                  <c:v>17.079999999999998</c:v>
                </c:pt>
                <c:pt idx="16" formatCode="0">
                  <c:v>17.489999999999998</c:v>
                </c:pt>
                <c:pt idx="19" formatCode="0">
                  <c:v>18.46</c:v>
                </c:pt>
                <c:pt idx="20" formatCode="0">
                  <c:v>18.760000000000002</c:v>
                </c:pt>
                <c:pt idx="21" formatCode="0">
                  <c:v>19.809999999999999</c:v>
                </c:pt>
                <c:pt idx="22" formatCode="0">
                  <c:v>20.8</c:v>
                </c:pt>
                <c:pt idx="23" formatCode="0">
                  <c:v>20.8</c:v>
                </c:pt>
                <c:pt idx="26" formatCode="0">
                  <c:v>20.8</c:v>
                </c:pt>
                <c:pt idx="27" formatCode="0">
                  <c:v>20.8</c:v>
                </c:pt>
                <c:pt idx="28" formatCode="0">
                  <c:v>20.8</c:v>
                </c:pt>
                <c:pt idx="29" formatCode="0">
                  <c:v>20.8</c:v>
                </c:pt>
                <c:pt idx="30" formatCode="0">
                  <c:v>20.8</c:v>
                </c:pt>
                <c:pt idx="33" formatCode="0">
                  <c:v>20.8</c:v>
                </c:pt>
                <c:pt idx="34" formatCode="0">
                  <c:v>20.8</c:v>
                </c:pt>
                <c:pt idx="35" formatCode="0">
                  <c:v>20.8</c:v>
                </c:pt>
                <c:pt idx="36" formatCode="0">
                  <c:v>20.8</c:v>
                </c:pt>
                <c:pt idx="37" formatCode="0">
                  <c:v>20.8</c:v>
                </c:pt>
                <c:pt idx="40">
                  <c:v>20.8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FA0-4B32-9B01-C3613CEE405B}"/>
            </c:ext>
          </c:extLst>
        </c:ser>
        <c:ser>
          <c:idx val="20"/>
          <c:order val="7"/>
          <c:tx>
            <c:strRef>
              <c:f>'Hằng ngày'!$A$106</c:f>
              <c:strCache>
                <c:ptCount val="1"/>
                <c:pt idx="0">
                  <c:v>Mục tiêu Bản vẽ HT CĐ Ca 2(Còn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ngày'!$B$101:$AS$101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ngày'!$B$106:$AS$106</c:f>
              <c:numCache>
                <c:formatCode>General</c:formatCode>
                <c:ptCount val="44"/>
                <c:pt idx="12" formatCode="0">
                  <c:v>15.11</c:v>
                </c:pt>
                <c:pt idx="13" formatCode="0">
                  <c:v>15.22</c:v>
                </c:pt>
                <c:pt idx="14" formatCode="0">
                  <c:v>15.86</c:v>
                </c:pt>
                <c:pt idx="15" formatCode="0">
                  <c:v>16.190000000000001</c:v>
                </c:pt>
                <c:pt idx="16" formatCode="0">
                  <c:v>16.38</c:v>
                </c:pt>
                <c:pt idx="19" formatCode="0">
                  <c:v>16.21</c:v>
                </c:pt>
                <c:pt idx="20" formatCode="0">
                  <c:v>17.09</c:v>
                </c:pt>
                <c:pt idx="21" formatCode="0">
                  <c:v>17.670000000000002</c:v>
                </c:pt>
                <c:pt idx="22" formatCode="0">
                  <c:v>18.190000000000001</c:v>
                </c:pt>
                <c:pt idx="23" formatCode="0">
                  <c:v>18.190000000000001</c:v>
                </c:pt>
                <c:pt idx="26" formatCode="0">
                  <c:v>18.190000000000001</c:v>
                </c:pt>
                <c:pt idx="27" formatCode="0">
                  <c:v>18.190000000000001</c:v>
                </c:pt>
                <c:pt idx="28" formatCode="0">
                  <c:v>18.190000000000001</c:v>
                </c:pt>
                <c:pt idx="29" formatCode="0">
                  <c:v>18.190000000000001</c:v>
                </c:pt>
                <c:pt idx="30" formatCode="0">
                  <c:v>18.190000000000001</c:v>
                </c:pt>
                <c:pt idx="33" formatCode="0">
                  <c:v>18.190000000000001</c:v>
                </c:pt>
                <c:pt idx="34" formatCode="0">
                  <c:v>18.190000000000001</c:v>
                </c:pt>
                <c:pt idx="35" formatCode="0">
                  <c:v>18.190000000000001</c:v>
                </c:pt>
                <c:pt idx="36" formatCode="0">
                  <c:v>18.190000000000001</c:v>
                </c:pt>
                <c:pt idx="37" formatCode="0">
                  <c:v>18.190000000000001</c:v>
                </c:pt>
                <c:pt idx="40">
                  <c:v>18.190000000000001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FA0-4B32-9B01-C3613CEE4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2726944444444449E-2"/>
          <c:y val="0.91087548732943457"/>
          <c:w val="0.9616016666666668"/>
          <c:h val="8.9124512670565315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Số PCS HT Công đoạn Máy khoan (DA)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602873757904246E-2"/>
          <c:y val="0.10071757581056678"/>
          <c:w val="0.95240068879855466"/>
          <c:h val="0.75642764069476975"/>
        </c:manualLayout>
      </c:layout>
      <c:barChart>
        <c:barDir val="col"/>
        <c:grouping val="clustered"/>
        <c:varyColors val="0"/>
        <c:ser>
          <c:idx val="15"/>
          <c:order val="0"/>
          <c:tx>
            <c:strRef>
              <c:f>'Hằng ngày'!$A$117</c:f>
              <c:strCache>
                <c:ptCount val="1"/>
                <c:pt idx="0">
                  <c:v>Thực tích số PCS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ngày'!$B$101:$AS$101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ngày'!$B$117:$AS$117</c:f>
              <c:numCache>
                <c:formatCode>General</c:formatCode>
                <c:ptCount val="44"/>
                <c:pt idx="0">
                  <c:v>1445</c:v>
                </c:pt>
                <c:pt idx="1">
                  <c:v>794</c:v>
                </c:pt>
                <c:pt idx="2">
                  <c:v>1179</c:v>
                </c:pt>
                <c:pt idx="3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07-4D13-9802-322E890EA8EB}"/>
            </c:ext>
          </c:extLst>
        </c:ser>
        <c:ser>
          <c:idx val="16"/>
          <c:order val="1"/>
          <c:tx>
            <c:strRef>
              <c:f>'Hằng ngày'!$A$118</c:f>
              <c:strCache>
                <c:ptCount val="1"/>
                <c:pt idx="0">
                  <c:v>Thực tích số PCS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ngày'!$B$101:$AS$101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ngày'!$B$118:$AS$118</c:f>
              <c:numCache>
                <c:formatCode>General</c:formatCode>
                <c:ptCount val="44"/>
                <c:pt idx="0">
                  <c:v>1026</c:v>
                </c:pt>
                <c:pt idx="1">
                  <c:v>727</c:v>
                </c:pt>
                <c:pt idx="2">
                  <c:v>1114</c:v>
                </c:pt>
                <c:pt idx="3">
                  <c:v>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07-4D13-9802-322E890EA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7"/>
          <c:order val="2"/>
          <c:tx>
            <c:strRef>
              <c:f>'Hằng ngày'!$A$113</c:f>
              <c:strCache>
                <c:ptCount val="1"/>
                <c:pt idx="0">
                  <c:v>Thực tích số PCS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ngày'!$B$101:$AS$101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ngày'!$B$113:$AS$113</c:f>
              <c:numCache>
                <c:formatCode>General</c:formatCode>
                <c:ptCount val="44"/>
                <c:pt idx="12">
                  <c:v>28</c:v>
                </c:pt>
                <c:pt idx="13">
                  <c:v>10</c:v>
                </c:pt>
                <c:pt idx="14">
                  <c:v>5</c:v>
                </c:pt>
                <c:pt idx="15">
                  <c:v>30</c:v>
                </c:pt>
                <c:pt idx="16">
                  <c:v>50</c:v>
                </c:pt>
                <c:pt idx="17">
                  <c:v>1</c:v>
                </c:pt>
                <c:pt idx="18">
                  <c:v>0</c:v>
                </c:pt>
                <c:pt idx="19">
                  <c:v>63</c:v>
                </c:pt>
                <c:pt idx="20">
                  <c:v>44</c:v>
                </c:pt>
                <c:pt idx="21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07-4D13-9802-322E890EA8EB}"/>
            </c:ext>
          </c:extLst>
        </c:ser>
        <c:ser>
          <c:idx val="18"/>
          <c:order val="3"/>
          <c:tx>
            <c:strRef>
              <c:f>'Hằng ngày'!$A$114</c:f>
              <c:strCache>
                <c:ptCount val="1"/>
                <c:pt idx="0">
                  <c:v>Thực tích số PCS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ngày'!$B$101:$AS$101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ngày'!$B$114:$AS$114</c:f>
              <c:numCache>
                <c:formatCode>General</c:formatCode>
                <c:ptCount val="44"/>
                <c:pt idx="12">
                  <c:v>53</c:v>
                </c:pt>
                <c:pt idx="13">
                  <c:v>6</c:v>
                </c:pt>
                <c:pt idx="14">
                  <c:v>110</c:v>
                </c:pt>
                <c:pt idx="15">
                  <c:v>106</c:v>
                </c:pt>
                <c:pt idx="16">
                  <c:v>77</c:v>
                </c:pt>
                <c:pt idx="17">
                  <c:v>52</c:v>
                </c:pt>
                <c:pt idx="18">
                  <c:v>0</c:v>
                </c:pt>
                <c:pt idx="19">
                  <c:v>20</c:v>
                </c:pt>
                <c:pt idx="20">
                  <c:v>41</c:v>
                </c:pt>
                <c:pt idx="21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07-4D13-9802-322E890EA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9"/>
          <c:order val="4"/>
          <c:tx>
            <c:strRef>
              <c:f>'Hằng ngày'!$A$110</c:f>
              <c:strCache>
                <c:ptCount val="1"/>
                <c:pt idx="0">
                  <c:v>Mục tiêu số PCS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ngày'!$B$101:$AS$101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ngày'!$B$110:$AS$110</c:f>
              <c:numCache>
                <c:formatCode>0</c:formatCode>
                <c:ptCount val="44"/>
                <c:pt idx="0">
                  <c:v>2355.1815804557341</c:v>
                </c:pt>
                <c:pt idx="1">
                  <c:v>1605.805623038</c:v>
                </c:pt>
                <c:pt idx="2">
                  <c:v>2355.1815804557341</c:v>
                </c:pt>
                <c:pt idx="3">
                  <c:v>2248.1278722532011</c:v>
                </c:pt>
                <c:pt idx="4">
                  <c:v>2141.0741640506681</c:v>
                </c:pt>
                <c:pt idx="5">
                  <c:v>2355.1815804557341</c:v>
                </c:pt>
                <c:pt idx="6">
                  <c:v>2462.235288658268</c:v>
                </c:pt>
                <c:pt idx="7">
                  <c:v>2248.1278722532011</c:v>
                </c:pt>
                <c:pt idx="8">
                  <c:v>2248.1278722532011</c:v>
                </c:pt>
                <c:pt idx="9">
                  <c:v>2355.1815804557341</c:v>
                </c:pt>
                <c:pt idx="10">
                  <c:v>2248.1278722532011</c:v>
                </c:pt>
                <c:pt idx="11">
                  <c:v>2355.1815804557341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07-4D13-9802-322E890EA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20"/>
          <c:order val="5"/>
          <c:tx>
            <c:strRef>
              <c:f>'Hằng ngày'!$A$108</c:f>
              <c:strCache>
                <c:ptCount val="1"/>
                <c:pt idx="0">
                  <c:v>Mục tiêu số PCS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ngày'!$B$101:$AS$101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ngày'!$B$108:$AS$108</c:f>
              <c:numCache>
                <c:formatCode>General</c:formatCode>
                <c:ptCount val="44"/>
                <c:pt idx="12" formatCode="0">
                  <c:v>107.05</c:v>
                </c:pt>
                <c:pt idx="13" formatCode="0">
                  <c:v>109.76</c:v>
                </c:pt>
                <c:pt idx="14" formatCode="0">
                  <c:v>115.22</c:v>
                </c:pt>
                <c:pt idx="15" formatCode="0">
                  <c:v>115.51</c:v>
                </c:pt>
                <c:pt idx="16" formatCode="0">
                  <c:v>116.07</c:v>
                </c:pt>
                <c:pt idx="19" formatCode="0">
                  <c:v>115.26</c:v>
                </c:pt>
                <c:pt idx="20" formatCode="0">
                  <c:v>121.61</c:v>
                </c:pt>
                <c:pt idx="21" formatCode="0">
                  <c:v>127.37</c:v>
                </c:pt>
                <c:pt idx="22" formatCode="0">
                  <c:v>129.32</c:v>
                </c:pt>
                <c:pt idx="23" formatCode="0">
                  <c:v>129.32</c:v>
                </c:pt>
                <c:pt idx="26" formatCode="0">
                  <c:v>129.32</c:v>
                </c:pt>
                <c:pt idx="27" formatCode="0">
                  <c:v>129.32</c:v>
                </c:pt>
                <c:pt idx="28" formatCode="0">
                  <c:v>129.32</c:v>
                </c:pt>
                <c:pt idx="29" formatCode="0">
                  <c:v>129.32</c:v>
                </c:pt>
                <c:pt idx="30" formatCode="0">
                  <c:v>129.32</c:v>
                </c:pt>
                <c:pt idx="33" formatCode="0">
                  <c:v>129.32</c:v>
                </c:pt>
                <c:pt idx="34" formatCode="0">
                  <c:v>129.32</c:v>
                </c:pt>
                <c:pt idx="35" formatCode="0">
                  <c:v>129.32</c:v>
                </c:pt>
                <c:pt idx="36" formatCode="0">
                  <c:v>129.32</c:v>
                </c:pt>
                <c:pt idx="37" formatCode="0">
                  <c:v>129.32</c:v>
                </c:pt>
                <c:pt idx="40">
                  <c:v>129.32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07-4D13-9802-322E890EA8EB}"/>
            </c:ext>
          </c:extLst>
        </c:ser>
        <c:ser>
          <c:idx val="21"/>
          <c:order val="6"/>
          <c:tx>
            <c:strRef>
              <c:f>'Hằng ngày'!$A$104</c:f>
              <c:strCache>
                <c:ptCount val="1"/>
                <c:pt idx="0">
                  <c:v>Mục tiêu số PCS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ngày'!$B$101:$AS$101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ngày'!$B$104:$AS$104</c:f>
              <c:numCache>
                <c:formatCode>General</c:formatCode>
                <c:ptCount val="44"/>
                <c:pt idx="12" formatCode="0">
                  <c:v>107.05</c:v>
                </c:pt>
                <c:pt idx="13" formatCode="0">
                  <c:v>107.05</c:v>
                </c:pt>
                <c:pt idx="14" formatCode="0">
                  <c:v>107.05</c:v>
                </c:pt>
                <c:pt idx="15" formatCode="0">
                  <c:v>107.05</c:v>
                </c:pt>
                <c:pt idx="16" formatCode="0">
                  <c:v>107.05</c:v>
                </c:pt>
                <c:pt idx="19" formatCode="0">
                  <c:v>107.05</c:v>
                </c:pt>
                <c:pt idx="20" formatCode="0">
                  <c:v>107.05</c:v>
                </c:pt>
                <c:pt idx="21" formatCode="0">
                  <c:v>107.05</c:v>
                </c:pt>
                <c:pt idx="22" formatCode="0">
                  <c:v>107.05</c:v>
                </c:pt>
                <c:pt idx="23" formatCode="0">
                  <c:v>107.05</c:v>
                </c:pt>
                <c:pt idx="26" formatCode="0">
                  <c:v>107.05</c:v>
                </c:pt>
                <c:pt idx="27" formatCode="0">
                  <c:v>107.05</c:v>
                </c:pt>
                <c:pt idx="28" formatCode="0">
                  <c:v>107.05</c:v>
                </c:pt>
                <c:pt idx="29" formatCode="0">
                  <c:v>107.05</c:v>
                </c:pt>
                <c:pt idx="30" formatCode="0">
                  <c:v>107.05</c:v>
                </c:pt>
                <c:pt idx="33" formatCode="0">
                  <c:v>107.05</c:v>
                </c:pt>
                <c:pt idx="34" formatCode="0">
                  <c:v>107.05</c:v>
                </c:pt>
                <c:pt idx="35" formatCode="0">
                  <c:v>107.05</c:v>
                </c:pt>
                <c:pt idx="36" formatCode="0">
                  <c:v>107.05</c:v>
                </c:pt>
                <c:pt idx="37" formatCode="0">
                  <c:v>107.05</c:v>
                </c:pt>
                <c:pt idx="40">
                  <c:v>107.05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C07-4D13-9802-322E890EA8EB}"/>
            </c:ext>
          </c:extLst>
        </c:ser>
        <c:ser>
          <c:idx val="22"/>
          <c:order val="7"/>
          <c:tx>
            <c:strRef>
              <c:f>'Hằng ngày'!$A$107</c:f>
              <c:strCache>
                <c:ptCount val="1"/>
                <c:pt idx="0">
                  <c:v>Mục tiêu số PCS HT CĐ Ca 1(Còn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ngày'!$B$101:$AS$101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ngày'!$B$107:$AS$107</c:f>
              <c:numCache>
                <c:formatCode>General</c:formatCode>
                <c:ptCount val="44"/>
                <c:pt idx="12" formatCode="0">
                  <c:v>107.05</c:v>
                </c:pt>
                <c:pt idx="13" formatCode="0">
                  <c:v>111.01</c:v>
                </c:pt>
                <c:pt idx="14" formatCode="0">
                  <c:v>116.32</c:v>
                </c:pt>
                <c:pt idx="15" formatCode="0">
                  <c:v>122.51</c:v>
                </c:pt>
                <c:pt idx="16" formatCode="0">
                  <c:v>127.95</c:v>
                </c:pt>
                <c:pt idx="19" formatCode="0">
                  <c:v>132.76</c:v>
                </c:pt>
                <c:pt idx="20" formatCode="0">
                  <c:v>137.41</c:v>
                </c:pt>
                <c:pt idx="21" formatCode="0">
                  <c:v>144.08000000000001</c:v>
                </c:pt>
                <c:pt idx="22" formatCode="0">
                  <c:v>151.93</c:v>
                </c:pt>
                <c:pt idx="23" formatCode="0">
                  <c:v>151.93</c:v>
                </c:pt>
                <c:pt idx="26" formatCode="0">
                  <c:v>151.93</c:v>
                </c:pt>
                <c:pt idx="27" formatCode="0">
                  <c:v>151.93</c:v>
                </c:pt>
                <c:pt idx="28" formatCode="0">
                  <c:v>151.93</c:v>
                </c:pt>
                <c:pt idx="29" formatCode="0">
                  <c:v>151.93</c:v>
                </c:pt>
                <c:pt idx="30" formatCode="0">
                  <c:v>151.93</c:v>
                </c:pt>
                <c:pt idx="33" formatCode="0">
                  <c:v>151.93</c:v>
                </c:pt>
                <c:pt idx="34" formatCode="0">
                  <c:v>151.93</c:v>
                </c:pt>
                <c:pt idx="35" formatCode="0">
                  <c:v>151.93</c:v>
                </c:pt>
                <c:pt idx="36" formatCode="0">
                  <c:v>151.93</c:v>
                </c:pt>
                <c:pt idx="37" formatCode="0">
                  <c:v>151.93</c:v>
                </c:pt>
                <c:pt idx="40">
                  <c:v>151.93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C07-4D13-9802-322E890EA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809791666666667E-2"/>
          <c:y val="0.90012350221684656"/>
          <c:w val="0.93674861111111096"/>
          <c:h val="9.9876497783153426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Bản vẽ HT Công đoạn Tiện cơ (LA)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2299575273058897E-2"/>
          <c:y val="0.1154511695906433"/>
          <c:w val="0.95914381911124502"/>
          <c:h val="0.72531775905493845"/>
        </c:manualLayout>
      </c:layout>
      <c:barChart>
        <c:barDir val="col"/>
        <c:grouping val="clustered"/>
        <c:varyColors val="0"/>
        <c:ser>
          <c:idx val="13"/>
          <c:order val="0"/>
          <c:tx>
            <c:strRef>
              <c:f>'Hằng ngày'!$A$75</c:f>
              <c:strCache>
                <c:ptCount val="1"/>
                <c:pt idx="0">
                  <c:v>Thực tích Bản vẽ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ngày'!$B$61:$AS$61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ngày'!$B$75:$AS$75</c:f>
              <c:numCache>
                <c:formatCode>General</c:formatCode>
                <c:ptCount val="44"/>
                <c:pt idx="0">
                  <c:v>233</c:v>
                </c:pt>
                <c:pt idx="1">
                  <c:v>130</c:v>
                </c:pt>
                <c:pt idx="2">
                  <c:v>216</c:v>
                </c:pt>
                <c:pt idx="3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BC-4DD5-9F7E-52AB8521F147}"/>
            </c:ext>
          </c:extLst>
        </c:ser>
        <c:ser>
          <c:idx val="14"/>
          <c:order val="1"/>
          <c:tx>
            <c:strRef>
              <c:f>'Hằng ngày'!$A$76</c:f>
              <c:strCache>
                <c:ptCount val="1"/>
                <c:pt idx="0">
                  <c:v>Thực tích Bản vẽ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ngày'!$B$61:$AS$61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ngày'!$B$76:$AS$76</c:f>
              <c:numCache>
                <c:formatCode>General</c:formatCode>
                <c:ptCount val="44"/>
                <c:pt idx="0">
                  <c:v>218</c:v>
                </c:pt>
                <c:pt idx="1">
                  <c:v>146</c:v>
                </c:pt>
                <c:pt idx="2">
                  <c:v>207</c:v>
                </c:pt>
                <c:pt idx="3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BC-4DD5-9F7E-52AB8521F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5"/>
          <c:order val="2"/>
          <c:tx>
            <c:strRef>
              <c:f>'Hằng ngày'!$A$71</c:f>
              <c:strCache>
                <c:ptCount val="1"/>
                <c:pt idx="0">
                  <c:v>Thực tích Bản vẽ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ngày'!$B$61:$AS$61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ngày'!$B$71:$AS$71</c:f>
              <c:numCache>
                <c:formatCode>General</c:formatCode>
                <c:ptCount val="44"/>
                <c:pt idx="12">
                  <c:v>9</c:v>
                </c:pt>
                <c:pt idx="13">
                  <c:v>8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5</c:v>
                </c:pt>
                <c:pt idx="18">
                  <c:v>0</c:v>
                </c:pt>
                <c:pt idx="19">
                  <c:v>2</c:v>
                </c:pt>
                <c:pt idx="20">
                  <c:v>6</c:v>
                </c:pt>
                <c:pt idx="2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BC-4DD5-9F7E-52AB8521F147}"/>
            </c:ext>
          </c:extLst>
        </c:ser>
        <c:ser>
          <c:idx val="16"/>
          <c:order val="3"/>
          <c:tx>
            <c:strRef>
              <c:f>'Hằng ngày'!$A$72</c:f>
              <c:strCache>
                <c:ptCount val="1"/>
                <c:pt idx="0">
                  <c:v>Thực tích Bản vẽ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ngày'!$B$61:$AS$61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ngày'!$B$72:$AS$72</c:f>
              <c:numCache>
                <c:formatCode>General</c:formatCode>
                <c:ptCount val="44"/>
                <c:pt idx="12">
                  <c:v>9</c:v>
                </c:pt>
                <c:pt idx="13">
                  <c:v>6</c:v>
                </c:pt>
                <c:pt idx="14">
                  <c:v>6</c:v>
                </c:pt>
                <c:pt idx="15">
                  <c:v>5</c:v>
                </c:pt>
                <c:pt idx="16">
                  <c:v>3</c:v>
                </c:pt>
                <c:pt idx="17">
                  <c:v>7</c:v>
                </c:pt>
                <c:pt idx="18">
                  <c:v>0</c:v>
                </c:pt>
                <c:pt idx="19">
                  <c:v>5</c:v>
                </c:pt>
                <c:pt idx="20">
                  <c:v>7</c:v>
                </c:pt>
                <c:pt idx="2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BC-4DD5-9F7E-52AB8521F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7"/>
          <c:order val="4"/>
          <c:tx>
            <c:strRef>
              <c:f>'Hằng ngày'!$A$69</c:f>
              <c:strCache>
                <c:ptCount val="1"/>
                <c:pt idx="0">
                  <c:v>Mục tiêu Bản vẽ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ngày'!$B$61:$AS$61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ngày'!$B$69:$AS$69</c:f>
              <c:numCache>
                <c:formatCode>0</c:formatCode>
                <c:ptCount val="44"/>
                <c:pt idx="0">
                  <c:v>201.6832454317655</c:v>
                </c:pt>
                <c:pt idx="1">
                  <c:v>137.5113037034765</c:v>
                </c:pt>
                <c:pt idx="2">
                  <c:v>201.6832454317655</c:v>
                </c:pt>
                <c:pt idx="3">
                  <c:v>192.515825184867</c:v>
                </c:pt>
                <c:pt idx="4">
                  <c:v>183.34840493796861</c:v>
                </c:pt>
                <c:pt idx="5">
                  <c:v>201.6832454317655</c:v>
                </c:pt>
                <c:pt idx="6">
                  <c:v>210.85066567866389</c:v>
                </c:pt>
                <c:pt idx="7">
                  <c:v>192.515825184867</c:v>
                </c:pt>
                <c:pt idx="8">
                  <c:v>192.515825184867</c:v>
                </c:pt>
                <c:pt idx="9">
                  <c:v>201.6832454317655</c:v>
                </c:pt>
                <c:pt idx="10">
                  <c:v>192.515825184867</c:v>
                </c:pt>
                <c:pt idx="11">
                  <c:v>201.6832454317655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BC-4DD5-9F7E-52AB8521F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18"/>
          <c:order val="5"/>
          <c:tx>
            <c:strRef>
              <c:f>'Hằng ngày'!$A$63</c:f>
              <c:strCache>
                <c:ptCount val="1"/>
                <c:pt idx="0">
                  <c:v>Mục tiêu Bản vẽ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ngày'!$B$61:$AS$61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ngày'!$B$63:$AS$63</c:f>
              <c:numCache>
                <c:formatCode>General</c:formatCode>
                <c:ptCount val="44"/>
                <c:pt idx="12" formatCode="0">
                  <c:v>9.17</c:v>
                </c:pt>
                <c:pt idx="13" formatCode="0">
                  <c:v>9.17</c:v>
                </c:pt>
                <c:pt idx="14" formatCode="0">
                  <c:v>9.17</c:v>
                </c:pt>
                <c:pt idx="15" formatCode="0">
                  <c:v>9.17</c:v>
                </c:pt>
                <c:pt idx="16" formatCode="0">
                  <c:v>9.17</c:v>
                </c:pt>
                <c:pt idx="19" formatCode="0">
                  <c:v>9.17</c:v>
                </c:pt>
                <c:pt idx="20" formatCode="0">
                  <c:v>9.17</c:v>
                </c:pt>
                <c:pt idx="21" formatCode="0">
                  <c:v>9.17</c:v>
                </c:pt>
                <c:pt idx="22" formatCode="0">
                  <c:v>9.17</c:v>
                </c:pt>
                <c:pt idx="23" formatCode="0">
                  <c:v>9.17</c:v>
                </c:pt>
                <c:pt idx="26" formatCode="0">
                  <c:v>9.17</c:v>
                </c:pt>
                <c:pt idx="27" formatCode="0">
                  <c:v>9.17</c:v>
                </c:pt>
                <c:pt idx="28" formatCode="0">
                  <c:v>9.17</c:v>
                </c:pt>
                <c:pt idx="29" formatCode="0">
                  <c:v>9.17</c:v>
                </c:pt>
                <c:pt idx="30" formatCode="0">
                  <c:v>9.17</c:v>
                </c:pt>
                <c:pt idx="33" formatCode="0">
                  <c:v>9.17</c:v>
                </c:pt>
                <c:pt idx="34" formatCode="0">
                  <c:v>9.17</c:v>
                </c:pt>
                <c:pt idx="35" formatCode="0">
                  <c:v>9.17</c:v>
                </c:pt>
                <c:pt idx="36" formatCode="0">
                  <c:v>9.17</c:v>
                </c:pt>
                <c:pt idx="37" formatCode="0">
                  <c:v>9.17</c:v>
                </c:pt>
                <c:pt idx="40">
                  <c:v>9.17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7BC-4DD5-9F7E-52AB8521F147}"/>
            </c:ext>
          </c:extLst>
        </c:ser>
        <c:ser>
          <c:idx val="19"/>
          <c:order val="6"/>
          <c:tx>
            <c:strRef>
              <c:f>'Hằng ngày'!$A$65</c:f>
              <c:strCache>
                <c:ptCount val="1"/>
                <c:pt idx="0">
                  <c:v>Mục tiêu Bản vẽ HT CĐ Ca 1 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ngày'!$B$61:$AS$61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ngày'!$B$65:$AS$65</c:f>
              <c:numCache>
                <c:formatCode>General</c:formatCode>
                <c:ptCount val="44"/>
                <c:pt idx="12" formatCode="0">
                  <c:v>9.17</c:v>
                </c:pt>
                <c:pt idx="13" formatCode="0">
                  <c:v>9.18</c:v>
                </c:pt>
                <c:pt idx="14" formatCode="0">
                  <c:v>9.24</c:v>
                </c:pt>
                <c:pt idx="15" formatCode="0">
                  <c:v>9.36</c:v>
                </c:pt>
                <c:pt idx="16" formatCode="0">
                  <c:v>9.5</c:v>
                </c:pt>
                <c:pt idx="19" formatCode="0">
                  <c:v>9.34</c:v>
                </c:pt>
                <c:pt idx="20" formatCode="0">
                  <c:v>9.83</c:v>
                </c:pt>
                <c:pt idx="21" formatCode="0">
                  <c:v>10.11</c:v>
                </c:pt>
                <c:pt idx="22" formatCode="0">
                  <c:v>10.35</c:v>
                </c:pt>
                <c:pt idx="23" formatCode="0">
                  <c:v>10.35</c:v>
                </c:pt>
                <c:pt idx="26" formatCode="0">
                  <c:v>10.35</c:v>
                </c:pt>
                <c:pt idx="27" formatCode="0">
                  <c:v>10.35</c:v>
                </c:pt>
                <c:pt idx="28" formatCode="0">
                  <c:v>10.35</c:v>
                </c:pt>
                <c:pt idx="29" formatCode="0">
                  <c:v>10.35</c:v>
                </c:pt>
                <c:pt idx="30" formatCode="0">
                  <c:v>10.35</c:v>
                </c:pt>
                <c:pt idx="33" formatCode="0">
                  <c:v>10.35</c:v>
                </c:pt>
                <c:pt idx="34" formatCode="0">
                  <c:v>10.35</c:v>
                </c:pt>
                <c:pt idx="35" formatCode="0">
                  <c:v>10.35</c:v>
                </c:pt>
                <c:pt idx="36" formatCode="0">
                  <c:v>10.35</c:v>
                </c:pt>
                <c:pt idx="37" formatCode="0">
                  <c:v>10.35</c:v>
                </c:pt>
                <c:pt idx="40">
                  <c:v>10.35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7BC-4DD5-9F7E-52AB8521F147}"/>
            </c:ext>
          </c:extLst>
        </c:ser>
        <c:ser>
          <c:idx val="20"/>
          <c:order val="7"/>
          <c:tx>
            <c:strRef>
              <c:f>'Hằng ngày'!$A$66</c:f>
              <c:strCache>
                <c:ptCount val="1"/>
                <c:pt idx="0">
                  <c:v>Mục tiêu Bản vẽ HT CĐ Ca 2(Còn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ngày'!$B$61:$AS$61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ngày'!$B$66:$AS$66</c:f>
              <c:numCache>
                <c:formatCode>General</c:formatCode>
                <c:ptCount val="44"/>
                <c:pt idx="12" formatCode="0">
                  <c:v>9.17</c:v>
                </c:pt>
                <c:pt idx="13" formatCode="0">
                  <c:v>9.18</c:v>
                </c:pt>
                <c:pt idx="14" formatCode="0">
                  <c:v>9.34</c:v>
                </c:pt>
                <c:pt idx="15" formatCode="0">
                  <c:v>9.5299999999999994</c:v>
                </c:pt>
                <c:pt idx="16" formatCode="0">
                  <c:v>9.8000000000000007</c:v>
                </c:pt>
                <c:pt idx="19" formatCode="0">
                  <c:v>9.7799999999999994</c:v>
                </c:pt>
                <c:pt idx="20" formatCode="0">
                  <c:v>10.1</c:v>
                </c:pt>
                <c:pt idx="21" formatCode="0">
                  <c:v>10.32</c:v>
                </c:pt>
                <c:pt idx="22" formatCode="0">
                  <c:v>10.42</c:v>
                </c:pt>
                <c:pt idx="23" formatCode="0">
                  <c:v>10.42</c:v>
                </c:pt>
                <c:pt idx="26" formatCode="0">
                  <c:v>10.42</c:v>
                </c:pt>
                <c:pt idx="27" formatCode="0">
                  <c:v>10.42</c:v>
                </c:pt>
                <c:pt idx="28" formatCode="0">
                  <c:v>10.42</c:v>
                </c:pt>
                <c:pt idx="29" formatCode="0">
                  <c:v>10.42</c:v>
                </c:pt>
                <c:pt idx="30" formatCode="0">
                  <c:v>10.42</c:v>
                </c:pt>
                <c:pt idx="33" formatCode="0">
                  <c:v>10.42</c:v>
                </c:pt>
                <c:pt idx="34" formatCode="0">
                  <c:v>10.42</c:v>
                </c:pt>
                <c:pt idx="35" formatCode="0">
                  <c:v>10.42</c:v>
                </c:pt>
                <c:pt idx="36" formatCode="0">
                  <c:v>10.42</c:v>
                </c:pt>
                <c:pt idx="37" formatCode="0">
                  <c:v>10.42</c:v>
                </c:pt>
                <c:pt idx="40">
                  <c:v>10.42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7BC-4DD5-9F7E-52AB8521F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2726944444444449E-2"/>
          <c:y val="0.90768417385728506"/>
          <c:w val="0.95454611111111121"/>
          <c:h val="9.2315826142714899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Số PCS HT Công đoạn Tiện cơ (LA)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6759321023814276E-2"/>
          <c:y val="0.1181905047660812"/>
          <c:w val="0.9502243276097343"/>
          <c:h val="0.66383917649502622"/>
        </c:manualLayout>
      </c:layout>
      <c:barChart>
        <c:barDir val="col"/>
        <c:grouping val="clustered"/>
        <c:varyColors val="0"/>
        <c:ser>
          <c:idx val="15"/>
          <c:order val="0"/>
          <c:tx>
            <c:strRef>
              <c:f>'Hằng ngày'!$A$77</c:f>
              <c:strCache>
                <c:ptCount val="1"/>
                <c:pt idx="0">
                  <c:v>Thực tích số PCS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ngày'!$B$61:$AS$61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ngày'!$B$77:$AS$77</c:f>
              <c:numCache>
                <c:formatCode>General</c:formatCode>
                <c:ptCount val="44"/>
                <c:pt idx="0">
                  <c:v>1744</c:v>
                </c:pt>
                <c:pt idx="1">
                  <c:v>1198</c:v>
                </c:pt>
                <c:pt idx="2">
                  <c:v>1817</c:v>
                </c:pt>
                <c:pt idx="3">
                  <c:v>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33-40A7-9417-AAE97CBCA26E}"/>
            </c:ext>
          </c:extLst>
        </c:ser>
        <c:ser>
          <c:idx val="16"/>
          <c:order val="1"/>
          <c:tx>
            <c:strRef>
              <c:f>'Hằng ngày'!$A$78</c:f>
              <c:strCache>
                <c:ptCount val="1"/>
                <c:pt idx="0">
                  <c:v>Thực tích số PCS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ngày'!$B$61:$AS$61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ngày'!$B$78:$AS$78</c:f>
              <c:numCache>
                <c:formatCode>General</c:formatCode>
                <c:ptCount val="44"/>
                <c:pt idx="0">
                  <c:v>1118</c:v>
                </c:pt>
                <c:pt idx="1">
                  <c:v>827</c:v>
                </c:pt>
                <c:pt idx="2">
                  <c:v>1300</c:v>
                </c:pt>
                <c:pt idx="3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33-40A7-9417-AAE97CBCA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7"/>
          <c:order val="2"/>
          <c:tx>
            <c:strRef>
              <c:f>'Hằng ngày'!$A$73</c:f>
              <c:strCache>
                <c:ptCount val="1"/>
                <c:pt idx="0">
                  <c:v>Thực tích số PCS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ngày'!$B$61:$AS$61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ngày'!$B$73:$AS$73</c:f>
              <c:numCache>
                <c:formatCode>General</c:formatCode>
                <c:ptCount val="44"/>
                <c:pt idx="12">
                  <c:v>73</c:v>
                </c:pt>
                <c:pt idx="13">
                  <c:v>28</c:v>
                </c:pt>
                <c:pt idx="14">
                  <c:v>23</c:v>
                </c:pt>
                <c:pt idx="15">
                  <c:v>384</c:v>
                </c:pt>
                <c:pt idx="16">
                  <c:v>14</c:v>
                </c:pt>
                <c:pt idx="17">
                  <c:v>33</c:v>
                </c:pt>
                <c:pt idx="18">
                  <c:v>0</c:v>
                </c:pt>
                <c:pt idx="19">
                  <c:v>6</c:v>
                </c:pt>
                <c:pt idx="20">
                  <c:v>22</c:v>
                </c:pt>
                <c:pt idx="2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33-40A7-9417-AAE97CBCA26E}"/>
            </c:ext>
          </c:extLst>
        </c:ser>
        <c:ser>
          <c:idx val="18"/>
          <c:order val="3"/>
          <c:tx>
            <c:strRef>
              <c:f>'Hằng ngày'!$A$74</c:f>
              <c:strCache>
                <c:ptCount val="1"/>
                <c:pt idx="0">
                  <c:v>Thực tích số PCS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ngày'!$B$61:$AS$61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ngày'!$B$74:$AS$74</c:f>
              <c:numCache>
                <c:formatCode>General</c:formatCode>
                <c:ptCount val="44"/>
                <c:pt idx="12">
                  <c:v>38</c:v>
                </c:pt>
                <c:pt idx="13">
                  <c:v>26</c:v>
                </c:pt>
                <c:pt idx="14">
                  <c:v>28</c:v>
                </c:pt>
                <c:pt idx="15">
                  <c:v>12</c:v>
                </c:pt>
                <c:pt idx="16">
                  <c:v>56</c:v>
                </c:pt>
                <c:pt idx="17">
                  <c:v>18</c:v>
                </c:pt>
                <c:pt idx="18">
                  <c:v>0</c:v>
                </c:pt>
                <c:pt idx="19">
                  <c:v>11</c:v>
                </c:pt>
                <c:pt idx="20">
                  <c:v>29</c:v>
                </c:pt>
                <c:pt idx="2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33-40A7-9417-AAE97CBCA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9"/>
          <c:order val="4"/>
          <c:tx>
            <c:strRef>
              <c:f>'Hằng ngày'!$A$70</c:f>
              <c:strCache>
                <c:ptCount val="1"/>
                <c:pt idx="0">
                  <c:v>Mục tiêu số PCS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ngày'!$B$61:$AS$61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ngày'!$B$70:$AS$70</c:f>
              <c:numCache>
                <c:formatCode>0</c:formatCode>
                <c:ptCount val="44"/>
                <c:pt idx="0">
                  <c:v>1080.806161254299</c:v>
                </c:pt>
                <c:pt idx="1">
                  <c:v>736.9132917642944</c:v>
                </c:pt>
                <c:pt idx="2">
                  <c:v>1080.806161254299</c:v>
                </c:pt>
                <c:pt idx="3">
                  <c:v>1031.678608470012</c:v>
                </c:pt>
                <c:pt idx="4">
                  <c:v>982.55105568572594</c:v>
                </c:pt>
                <c:pt idx="5">
                  <c:v>1080.806161254299</c:v>
                </c:pt>
                <c:pt idx="6">
                  <c:v>1129.9337140385851</c:v>
                </c:pt>
                <c:pt idx="7">
                  <c:v>1031.678608470012</c:v>
                </c:pt>
                <c:pt idx="8">
                  <c:v>1031.678608470012</c:v>
                </c:pt>
                <c:pt idx="9">
                  <c:v>1080.806161254299</c:v>
                </c:pt>
                <c:pt idx="10">
                  <c:v>1031.678608470012</c:v>
                </c:pt>
                <c:pt idx="11">
                  <c:v>1080.806161254299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33-40A7-9417-AAE97CBCA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20"/>
          <c:order val="5"/>
          <c:tx>
            <c:strRef>
              <c:f>'Hằng ngày'!$A$68</c:f>
              <c:strCache>
                <c:ptCount val="1"/>
                <c:pt idx="0">
                  <c:v>Mục tiêu số PCS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ngày'!$B$61:$AS$61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ngày'!$B$68:$AS$68</c:f>
              <c:numCache>
                <c:formatCode>General</c:formatCode>
                <c:ptCount val="44"/>
                <c:pt idx="12" formatCode="0">
                  <c:v>49.13</c:v>
                </c:pt>
                <c:pt idx="13" formatCode="0">
                  <c:v>49.68</c:v>
                </c:pt>
                <c:pt idx="14" formatCode="0">
                  <c:v>50.93</c:v>
                </c:pt>
                <c:pt idx="15" formatCode="0">
                  <c:v>52.2</c:v>
                </c:pt>
                <c:pt idx="16" formatCode="0">
                  <c:v>54.57</c:v>
                </c:pt>
                <c:pt idx="19" formatCode="0">
                  <c:v>53.35</c:v>
                </c:pt>
                <c:pt idx="20" formatCode="0">
                  <c:v>56.18</c:v>
                </c:pt>
                <c:pt idx="21" formatCode="0">
                  <c:v>58.12</c:v>
                </c:pt>
                <c:pt idx="22" formatCode="0">
                  <c:v>60.98</c:v>
                </c:pt>
                <c:pt idx="23" formatCode="0">
                  <c:v>60.98</c:v>
                </c:pt>
                <c:pt idx="26" formatCode="0">
                  <c:v>60.98</c:v>
                </c:pt>
                <c:pt idx="27" formatCode="0">
                  <c:v>60.98</c:v>
                </c:pt>
                <c:pt idx="28" formatCode="0">
                  <c:v>60.98</c:v>
                </c:pt>
                <c:pt idx="29" formatCode="0">
                  <c:v>60.98</c:v>
                </c:pt>
                <c:pt idx="30" formatCode="0">
                  <c:v>60.98</c:v>
                </c:pt>
                <c:pt idx="33" formatCode="0">
                  <c:v>60.98</c:v>
                </c:pt>
                <c:pt idx="34" formatCode="0">
                  <c:v>60.98</c:v>
                </c:pt>
                <c:pt idx="35" formatCode="0">
                  <c:v>60.98</c:v>
                </c:pt>
                <c:pt idx="36" formatCode="0">
                  <c:v>60.98</c:v>
                </c:pt>
                <c:pt idx="37" formatCode="0">
                  <c:v>60.98</c:v>
                </c:pt>
                <c:pt idx="40">
                  <c:v>60.98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33-40A7-9417-AAE97CBCA26E}"/>
            </c:ext>
          </c:extLst>
        </c:ser>
        <c:ser>
          <c:idx val="21"/>
          <c:order val="6"/>
          <c:tx>
            <c:strRef>
              <c:f>'Hằng ngày'!$A$64</c:f>
              <c:strCache>
                <c:ptCount val="1"/>
                <c:pt idx="0">
                  <c:v>Mục tiêu số PCS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ngày'!$B$61:$AS$61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ngày'!$B$64:$AS$64</c:f>
              <c:numCache>
                <c:formatCode>General</c:formatCode>
                <c:ptCount val="44"/>
                <c:pt idx="12" formatCode="0">
                  <c:v>49.13</c:v>
                </c:pt>
                <c:pt idx="13" formatCode="0">
                  <c:v>49.13</c:v>
                </c:pt>
                <c:pt idx="14" formatCode="0">
                  <c:v>49.13</c:v>
                </c:pt>
                <c:pt idx="15" formatCode="0">
                  <c:v>49.13</c:v>
                </c:pt>
                <c:pt idx="16" formatCode="0">
                  <c:v>49.13</c:v>
                </c:pt>
                <c:pt idx="19" formatCode="0">
                  <c:v>49.13</c:v>
                </c:pt>
                <c:pt idx="20" formatCode="0">
                  <c:v>49.13</c:v>
                </c:pt>
                <c:pt idx="21" formatCode="0">
                  <c:v>49.13</c:v>
                </c:pt>
                <c:pt idx="22" formatCode="0">
                  <c:v>49.13</c:v>
                </c:pt>
                <c:pt idx="23" formatCode="0">
                  <c:v>49.13</c:v>
                </c:pt>
                <c:pt idx="26" formatCode="0">
                  <c:v>49.13</c:v>
                </c:pt>
                <c:pt idx="27" formatCode="0">
                  <c:v>49.13</c:v>
                </c:pt>
                <c:pt idx="28" formatCode="0">
                  <c:v>49.13</c:v>
                </c:pt>
                <c:pt idx="29" formatCode="0">
                  <c:v>49.13</c:v>
                </c:pt>
                <c:pt idx="30" formatCode="0">
                  <c:v>49.13</c:v>
                </c:pt>
                <c:pt idx="33" formatCode="0">
                  <c:v>49.13</c:v>
                </c:pt>
                <c:pt idx="34" formatCode="0">
                  <c:v>49.13</c:v>
                </c:pt>
                <c:pt idx="35" formatCode="0">
                  <c:v>49.13</c:v>
                </c:pt>
                <c:pt idx="36" formatCode="0">
                  <c:v>49.13</c:v>
                </c:pt>
                <c:pt idx="37" formatCode="0">
                  <c:v>49.13</c:v>
                </c:pt>
                <c:pt idx="40">
                  <c:v>49.13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33-40A7-9417-AAE97CBCA26E}"/>
            </c:ext>
          </c:extLst>
        </c:ser>
        <c:ser>
          <c:idx val="22"/>
          <c:order val="7"/>
          <c:tx>
            <c:strRef>
              <c:f>'Hằng ngày'!$A$67</c:f>
              <c:strCache>
                <c:ptCount val="1"/>
                <c:pt idx="0">
                  <c:v>Mục tiêu số PCS HT CĐ Ca 1(Còn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ngày'!$B$61:$AS$61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ngày'!$B$67:$AS$67</c:f>
              <c:numCache>
                <c:formatCode>General</c:formatCode>
                <c:ptCount val="44"/>
                <c:pt idx="12" formatCode="0">
                  <c:v>49.13</c:v>
                </c:pt>
                <c:pt idx="13" formatCode="0">
                  <c:v>47.93</c:v>
                </c:pt>
                <c:pt idx="14" formatCode="0">
                  <c:v>48.98</c:v>
                </c:pt>
                <c:pt idx="15" formatCode="0">
                  <c:v>50.43</c:v>
                </c:pt>
                <c:pt idx="16" formatCode="0">
                  <c:v>30.8</c:v>
                </c:pt>
                <c:pt idx="19" formatCode="0">
                  <c:v>29.79</c:v>
                </c:pt>
                <c:pt idx="20" formatCode="0">
                  <c:v>31.38</c:v>
                </c:pt>
                <c:pt idx="21" formatCode="0">
                  <c:v>32.049999999999997</c:v>
                </c:pt>
                <c:pt idx="22" formatCode="0">
                  <c:v>33.36</c:v>
                </c:pt>
                <c:pt idx="23" formatCode="0">
                  <c:v>33.36</c:v>
                </c:pt>
                <c:pt idx="26" formatCode="0">
                  <c:v>33.36</c:v>
                </c:pt>
                <c:pt idx="27" formatCode="0">
                  <c:v>33.36</c:v>
                </c:pt>
                <c:pt idx="28" formatCode="0">
                  <c:v>33.36</c:v>
                </c:pt>
                <c:pt idx="29" formatCode="0">
                  <c:v>33.36</c:v>
                </c:pt>
                <c:pt idx="30" formatCode="0">
                  <c:v>33.36</c:v>
                </c:pt>
                <c:pt idx="33" formatCode="0">
                  <c:v>33.36</c:v>
                </c:pt>
                <c:pt idx="34" formatCode="0">
                  <c:v>33.36</c:v>
                </c:pt>
                <c:pt idx="35" formatCode="0">
                  <c:v>33.36</c:v>
                </c:pt>
                <c:pt idx="36" formatCode="0">
                  <c:v>33.36</c:v>
                </c:pt>
                <c:pt idx="37" formatCode="0">
                  <c:v>33.36</c:v>
                </c:pt>
                <c:pt idx="40">
                  <c:v>33.36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333-40A7-9417-AAE97CBCA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9861805555555551E-2"/>
          <c:y val="0.87256014340557464"/>
          <c:w val="0.95262361111111094"/>
          <c:h val="0.1051593694463037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Bản vẽ HT Công đoạn Mài phẳng (GS)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228760162601626E-2"/>
          <c:y val="0.11415798885032082"/>
          <c:w val="0.95988301716350477"/>
          <c:h val="0.70521813648147802"/>
        </c:manualLayout>
      </c:layout>
      <c:barChart>
        <c:barDir val="col"/>
        <c:grouping val="clustered"/>
        <c:varyColors val="0"/>
        <c:ser>
          <c:idx val="13"/>
          <c:order val="0"/>
          <c:tx>
            <c:strRef>
              <c:f>'Hằng ngày'!$A$135</c:f>
              <c:strCache>
                <c:ptCount val="1"/>
                <c:pt idx="0">
                  <c:v>Thực tích Bản vẽ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ngày'!$B$121:$AS$121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ngày'!$B$135:$AS$135</c:f>
              <c:numCache>
                <c:formatCode>General</c:formatCode>
                <c:ptCount val="44"/>
                <c:pt idx="0">
                  <c:v>682</c:v>
                </c:pt>
                <c:pt idx="1">
                  <c:v>397</c:v>
                </c:pt>
                <c:pt idx="2">
                  <c:v>581</c:v>
                </c:pt>
                <c:pt idx="3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A8-4AAD-97F2-F76B2C578B63}"/>
            </c:ext>
          </c:extLst>
        </c:ser>
        <c:ser>
          <c:idx val="14"/>
          <c:order val="1"/>
          <c:tx>
            <c:strRef>
              <c:f>'Hằng ngày'!$A$136</c:f>
              <c:strCache>
                <c:ptCount val="1"/>
                <c:pt idx="0">
                  <c:v>Thực tích Bản vẽ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ngày'!$B$121:$AS$121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ngày'!$B$136:$AS$136</c:f>
              <c:numCache>
                <c:formatCode>General</c:formatCode>
                <c:ptCount val="44"/>
                <c:pt idx="0">
                  <c:v>668</c:v>
                </c:pt>
                <c:pt idx="1">
                  <c:v>478</c:v>
                </c:pt>
                <c:pt idx="2">
                  <c:v>690</c:v>
                </c:pt>
                <c:pt idx="3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A8-4AAD-97F2-F76B2C578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5"/>
          <c:order val="2"/>
          <c:tx>
            <c:strRef>
              <c:f>'Hằng ngày'!$A$131</c:f>
              <c:strCache>
                <c:ptCount val="1"/>
                <c:pt idx="0">
                  <c:v>Thực tích Bản vẽ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ngày'!$B$121:$AS$121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ngày'!$B$131:$AS$131</c:f>
              <c:numCache>
                <c:formatCode>General</c:formatCode>
                <c:ptCount val="44"/>
                <c:pt idx="12">
                  <c:v>29</c:v>
                </c:pt>
                <c:pt idx="13">
                  <c:v>22</c:v>
                </c:pt>
                <c:pt idx="14">
                  <c:v>14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0</c:v>
                </c:pt>
                <c:pt idx="19">
                  <c:v>28</c:v>
                </c:pt>
                <c:pt idx="20">
                  <c:v>20</c:v>
                </c:pt>
                <c:pt idx="2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A8-4AAD-97F2-F76B2C578B63}"/>
            </c:ext>
          </c:extLst>
        </c:ser>
        <c:ser>
          <c:idx val="16"/>
          <c:order val="3"/>
          <c:tx>
            <c:strRef>
              <c:f>'Hằng ngày'!$A$132</c:f>
              <c:strCache>
                <c:ptCount val="1"/>
                <c:pt idx="0">
                  <c:v>Thực tích Bản vẽ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ngày'!$B$121:$AS$121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ngày'!$B$132:$AS$132</c:f>
              <c:numCache>
                <c:formatCode>General</c:formatCode>
                <c:ptCount val="44"/>
                <c:pt idx="12">
                  <c:v>16</c:v>
                </c:pt>
                <c:pt idx="13">
                  <c:v>19</c:v>
                </c:pt>
                <c:pt idx="14">
                  <c:v>15</c:v>
                </c:pt>
                <c:pt idx="15">
                  <c:v>22</c:v>
                </c:pt>
                <c:pt idx="16">
                  <c:v>17</c:v>
                </c:pt>
                <c:pt idx="17">
                  <c:v>12</c:v>
                </c:pt>
                <c:pt idx="18">
                  <c:v>0</c:v>
                </c:pt>
                <c:pt idx="19">
                  <c:v>22</c:v>
                </c:pt>
                <c:pt idx="20">
                  <c:v>25</c:v>
                </c:pt>
                <c:pt idx="2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A8-4AAD-97F2-F76B2C578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7"/>
          <c:order val="4"/>
          <c:tx>
            <c:strRef>
              <c:f>'Hằng ngày'!$A$129</c:f>
              <c:strCache>
                <c:ptCount val="1"/>
                <c:pt idx="0">
                  <c:v>Mục tiêu Bản vẽ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ngày'!$B$121:$AS$121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ngày'!$B$129:$AS$129</c:f>
              <c:numCache>
                <c:formatCode>0</c:formatCode>
                <c:ptCount val="44"/>
                <c:pt idx="0">
                  <c:v>705.00592080724391</c:v>
                </c:pt>
                <c:pt idx="1">
                  <c:v>480.68585509584813</c:v>
                </c:pt>
                <c:pt idx="2">
                  <c:v>705.00592080724391</c:v>
                </c:pt>
                <c:pt idx="3">
                  <c:v>672.96019713418741</c:v>
                </c:pt>
                <c:pt idx="4">
                  <c:v>640.91447346113091</c:v>
                </c:pt>
                <c:pt idx="5">
                  <c:v>705.00592080724391</c:v>
                </c:pt>
                <c:pt idx="6">
                  <c:v>737.05164448030052</c:v>
                </c:pt>
                <c:pt idx="7">
                  <c:v>672.96019713418741</c:v>
                </c:pt>
                <c:pt idx="8">
                  <c:v>672.96019713418741</c:v>
                </c:pt>
                <c:pt idx="9">
                  <c:v>705.00592080724391</c:v>
                </c:pt>
                <c:pt idx="10">
                  <c:v>672.96019713418741</c:v>
                </c:pt>
                <c:pt idx="11">
                  <c:v>705.00592080724391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A8-4AAD-97F2-F76B2C578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18"/>
          <c:order val="5"/>
          <c:tx>
            <c:strRef>
              <c:f>'Hằng ngày'!$A$123</c:f>
              <c:strCache>
                <c:ptCount val="1"/>
                <c:pt idx="0">
                  <c:v>Mục tiêu Bản vẽ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ngày'!$B$121:$AS$121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ngày'!$B$123:$AS$123</c:f>
              <c:numCache>
                <c:formatCode>General</c:formatCode>
                <c:ptCount val="44"/>
                <c:pt idx="12" formatCode="0">
                  <c:v>32.049999999999997</c:v>
                </c:pt>
                <c:pt idx="13" formatCode="0">
                  <c:v>32.049999999999997</c:v>
                </c:pt>
                <c:pt idx="14" formatCode="0">
                  <c:v>32.049999999999997</c:v>
                </c:pt>
                <c:pt idx="15" formatCode="0">
                  <c:v>32.049999999999997</c:v>
                </c:pt>
                <c:pt idx="16" formatCode="0">
                  <c:v>32.049999999999997</c:v>
                </c:pt>
                <c:pt idx="19" formatCode="0">
                  <c:v>32.049999999999997</c:v>
                </c:pt>
                <c:pt idx="20" formatCode="0">
                  <c:v>32.049999999999997</c:v>
                </c:pt>
                <c:pt idx="21" formatCode="0">
                  <c:v>32.049999999999997</c:v>
                </c:pt>
                <c:pt idx="22" formatCode="0">
                  <c:v>32.049999999999997</c:v>
                </c:pt>
                <c:pt idx="23" formatCode="0">
                  <c:v>32.049999999999997</c:v>
                </c:pt>
                <c:pt idx="26" formatCode="0">
                  <c:v>32.049999999999997</c:v>
                </c:pt>
                <c:pt idx="27" formatCode="0">
                  <c:v>32.049999999999997</c:v>
                </c:pt>
                <c:pt idx="28" formatCode="0">
                  <c:v>32.049999999999997</c:v>
                </c:pt>
                <c:pt idx="29" formatCode="0">
                  <c:v>32.049999999999997</c:v>
                </c:pt>
                <c:pt idx="30" formatCode="0">
                  <c:v>32.049999999999997</c:v>
                </c:pt>
                <c:pt idx="33" formatCode="0">
                  <c:v>32.049999999999997</c:v>
                </c:pt>
                <c:pt idx="34" formatCode="0">
                  <c:v>32.049999999999997</c:v>
                </c:pt>
                <c:pt idx="35" formatCode="0">
                  <c:v>32.049999999999997</c:v>
                </c:pt>
                <c:pt idx="36" formatCode="0">
                  <c:v>32.049999999999997</c:v>
                </c:pt>
                <c:pt idx="37" formatCode="0">
                  <c:v>32.049999999999997</c:v>
                </c:pt>
                <c:pt idx="40">
                  <c:v>32.049999999999997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CA8-4AAD-97F2-F76B2C578B63}"/>
            </c:ext>
          </c:extLst>
        </c:ser>
        <c:ser>
          <c:idx val="19"/>
          <c:order val="6"/>
          <c:tx>
            <c:strRef>
              <c:f>'Hằng ngày'!$A$125</c:f>
              <c:strCache>
                <c:ptCount val="1"/>
                <c:pt idx="0">
                  <c:v>Mục tiêu Bản vẽ HT CĐ Ca 1 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ngày'!$B$121:$AS$121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ngày'!$B$125:$AS$125</c:f>
              <c:numCache>
                <c:formatCode>General</c:formatCode>
                <c:ptCount val="44"/>
                <c:pt idx="12" formatCode="0">
                  <c:v>32.049999999999997</c:v>
                </c:pt>
                <c:pt idx="13" formatCode="0">
                  <c:v>32.200000000000003</c:v>
                </c:pt>
                <c:pt idx="14" formatCode="0">
                  <c:v>32.729999999999997</c:v>
                </c:pt>
                <c:pt idx="15" formatCode="0">
                  <c:v>33.78</c:v>
                </c:pt>
                <c:pt idx="16" formatCode="0">
                  <c:v>34.47</c:v>
                </c:pt>
                <c:pt idx="19" formatCode="0">
                  <c:v>34.31</c:v>
                </c:pt>
                <c:pt idx="20" formatCode="0">
                  <c:v>34.729999999999997</c:v>
                </c:pt>
                <c:pt idx="21" formatCode="0">
                  <c:v>35.78</c:v>
                </c:pt>
                <c:pt idx="22" formatCode="0">
                  <c:v>37.15</c:v>
                </c:pt>
                <c:pt idx="23" formatCode="0">
                  <c:v>37.15</c:v>
                </c:pt>
                <c:pt idx="26" formatCode="0">
                  <c:v>37.15</c:v>
                </c:pt>
                <c:pt idx="27" formatCode="0">
                  <c:v>37.15</c:v>
                </c:pt>
                <c:pt idx="28" formatCode="0">
                  <c:v>37.15</c:v>
                </c:pt>
                <c:pt idx="29" formatCode="0">
                  <c:v>37.15</c:v>
                </c:pt>
                <c:pt idx="30" formatCode="0">
                  <c:v>37.15</c:v>
                </c:pt>
                <c:pt idx="33" formatCode="0">
                  <c:v>37.15</c:v>
                </c:pt>
                <c:pt idx="34" formatCode="0">
                  <c:v>37.15</c:v>
                </c:pt>
                <c:pt idx="35" formatCode="0">
                  <c:v>37.15</c:v>
                </c:pt>
                <c:pt idx="36" formatCode="0">
                  <c:v>37.15</c:v>
                </c:pt>
                <c:pt idx="37" formatCode="0">
                  <c:v>37.15</c:v>
                </c:pt>
                <c:pt idx="40">
                  <c:v>37.15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CA8-4AAD-97F2-F76B2C578B63}"/>
            </c:ext>
          </c:extLst>
        </c:ser>
        <c:ser>
          <c:idx val="20"/>
          <c:order val="7"/>
          <c:tx>
            <c:strRef>
              <c:f>'Hằng ngày'!$A$126</c:f>
              <c:strCache>
                <c:ptCount val="1"/>
                <c:pt idx="0">
                  <c:v>Mục tiêu Bản vẽ HT CĐ Ca 2(Còn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ngày'!$B$121:$AS$121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ngày'!$B$126:$AS$126</c:f>
              <c:numCache>
                <c:formatCode>General</c:formatCode>
                <c:ptCount val="44"/>
                <c:pt idx="12" formatCode="0">
                  <c:v>32.049999999999997</c:v>
                </c:pt>
                <c:pt idx="13" formatCode="0">
                  <c:v>32.85</c:v>
                </c:pt>
                <c:pt idx="14" formatCode="0">
                  <c:v>33.58</c:v>
                </c:pt>
                <c:pt idx="15" formatCode="0">
                  <c:v>34.61</c:v>
                </c:pt>
                <c:pt idx="16" formatCode="0">
                  <c:v>35.35</c:v>
                </c:pt>
                <c:pt idx="19" formatCode="0">
                  <c:v>35.75</c:v>
                </c:pt>
                <c:pt idx="20" formatCode="0">
                  <c:v>36.659999999999997</c:v>
                </c:pt>
                <c:pt idx="21" formatCode="0">
                  <c:v>37.5</c:v>
                </c:pt>
                <c:pt idx="22" formatCode="0">
                  <c:v>38.380000000000003</c:v>
                </c:pt>
                <c:pt idx="23" formatCode="0">
                  <c:v>38.380000000000003</c:v>
                </c:pt>
                <c:pt idx="26" formatCode="0">
                  <c:v>38.380000000000003</c:v>
                </c:pt>
                <c:pt idx="27" formatCode="0">
                  <c:v>38.380000000000003</c:v>
                </c:pt>
                <c:pt idx="28" formatCode="0">
                  <c:v>38.380000000000003</c:v>
                </c:pt>
                <c:pt idx="29" formatCode="0">
                  <c:v>38.380000000000003</c:v>
                </c:pt>
                <c:pt idx="30" formatCode="0">
                  <c:v>38.380000000000003</c:v>
                </c:pt>
                <c:pt idx="33" formatCode="0">
                  <c:v>38.380000000000003</c:v>
                </c:pt>
                <c:pt idx="34" formatCode="0">
                  <c:v>38.380000000000003</c:v>
                </c:pt>
                <c:pt idx="35" formatCode="0">
                  <c:v>38.380000000000003</c:v>
                </c:pt>
                <c:pt idx="36" formatCode="0">
                  <c:v>38.380000000000003</c:v>
                </c:pt>
                <c:pt idx="37" formatCode="0">
                  <c:v>38.380000000000003</c:v>
                </c:pt>
                <c:pt idx="40">
                  <c:v>38.380000000000003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CA8-4AAD-97F2-F76B2C578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2726944444444449E-2"/>
          <c:y val="0.91104170920498206"/>
          <c:w val="0.95454611111111121"/>
          <c:h val="8.1531255607323397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Số PCS HT Công đoạn Mài phẳng (GS)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3.1939463449110618E-2"/>
          <c:y val="0.13773187134502921"/>
          <c:w val="0.94145802914816878"/>
          <c:h val="0.68522674168428743"/>
        </c:manualLayout>
      </c:layout>
      <c:barChart>
        <c:barDir val="col"/>
        <c:grouping val="clustered"/>
        <c:varyColors val="0"/>
        <c:ser>
          <c:idx val="15"/>
          <c:order val="0"/>
          <c:tx>
            <c:strRef>
              <c:f>'Hằng ngày'!$A$137</c:f>
              <c:strCache>
                <c:ptCount val="1"/>
                <c:pt idx="0">
                  <c:v>Thực tích số PCS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ngày'!$B$121:$AS$121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ngày'!$B$137:$AS$137</c:f>
              <c:numCache>
                <c:formatCode>General</c:formatCode>
                <c:ptCount val="44"/>
                <c:pt idx="0">
                  <c:v>10190</c:v>
                </c:pt>
                <c:pt idx="1">
                  <c:v>4821</c:v>
                </c:pt>
                <c:pt idx="2">
                  <c:v>11261</c:v>
                </c:pt>
                <c:pt idx="3">
                  <c:v>3628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E8-4333-8DE5-C010861F2FB9}"/>
            </c:ext>
          </c:extLst>
        </c:ser>
        <c:ser>
          <c:idx val="16"/>
          <c:order val="1"/>
          <c:tx>
            <c:strRef>
              <c:f>'Hằng ngày'!$A$138</c:f>
              <c:strCache>
                <c:ptCount val="1"/>
                <c:pt idx="0">
                  <c:v>Thực tích số PCS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ngày'!$B$121:$AS$121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ngày'!$B$138:$AS$138</c:f>
              <c:numCache>
                <c:formatCode>General</c:formatCode>
                <c:ptCount val="44"/>
                <c:pt idx="0">
                  <c:v>10502</c:v>
                </c:pt>
                <c:pt idx="1">
                  <c:v>6287</c:v>
                </c:pt>
                <c:pt idx="2">
                  <c:v>14722</c:v>
                </c:pt>
                <c:pt idx="3">
                  <c:v>4298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E8-4333-8DE5-C010861F2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7"/>
          <c:order val="2"/>
          <c:tx>
            <c:strRef>
              <c:f>'Hằng ngày'!$A$133</c:f>
              <c:strCache>
                <c:ptCount val="1"/>
                <c:pt idx="0">
                  <c:v>Thực tích số PCS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ngày'!$B$121:$AS$121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ngày'!$B$133:$AS$133</c:f>
              <c:numCache>
                <c:formatCode>General</c:formatCode>
                <c:ptCount val="44"/>
                <c:pt idx="12">
                  <c:v>257</c:v>
                </c:pt>
                <c:pt idx="13">
                  <c:v>87</c:v>
                </c:pt>
                <c:pt idx="14">
                  <c:v>42</c:v>
                </c:pt>
                <c:pt idx="15">
                  <c:v>213</c:v>
                </c:pt>
                <c:pt idx="16">
                  <c:v>129</c:v>
                </c:pt>
                <c:pt idx="17">
                  <c:v>370</c:v>
                </c:pt>
                <c:pt idx="18">
                  <c:v>0</c:v>
                </c:pt>
                <c:pt idx="19">
                  <c:v>513</c:v>
                </c:pt>
                <c:pt idx="20">
                  <c:v>679</c:v>
                </c:pt>
                <c:pt idx="21">
                  <c:v>1338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E8-4333-8DE5-C010861F2FB9}"/>
            </c:ext>
          </c:extLst>
        </c:ser>
        <c:ser>
          <c:idx val="18"/>
          <c:order val="3"/>
          <c:tx>
            <c:strRef>
              <c:f>'Hằng ngày'!$A$134</c:f>
              <c:strCache>
                <c:ptCount val="1"/>
                <c:pt idx="0">
                  <c:v>Thực tích số PCS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ngày'!$B$121:$AS$121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ngày'!$B$134:$AS$134</c:f>
              <c:numCache>
                <c:formatCode>General</c:formatCode>
                <c:ptCount val="44"/>
                <c:pt idx="12">
                  <c:v>448</c:v>
                </c:pt>
                <c:pt idx="13">
                  <c:v>455</c:v>
                </c:pt>
                <c:pt idx="14">
                  <c:v>155</c:v>
                </c:pt>
                <c:pt idx="15">
                  <c:v>627</c:v>
                </c:pt>
                <c:pt idx="16">
                  <c:v>267</c:v>
                </c:pt>
                <c:pt idx="17">
                  <c:v>39</c:v>
                </c:pt>
                <c:pt idx="18">
                  <c:v>0</c:v>
                </c:pt>
                <c:pt idx="19">
                  <c:v>906</c:v>
                </c:pt>
                <c:pt idx="20">
                  <c:v>149</c:v>
                </c:pt>
                <c:pt idx="21">
                  <c:v>1252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E8-4333-8DE5-C010861F2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9"/>
          <c:order val="4"/>
          <c:tx>
            <c:strRef>
              <c:f>'Hằng ngày'!$A$130</c:f>
              <c:strCache>
                <c:ptCount val="1"/>
                <c:pt idx="0">
                  <c:v>Mục tiêu số PCS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ngày'!$B$121:$AS$121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ngày'!$B$130:$AS$130</c:f>
              <c:numCache>
                <c:formatCode>0</c:formatCode>
                <c:ptCount val="44"/>
                <c:pt idx="0">
                  <c:v>11767.23363645778</c:v>
                </c:pt>
                <c:pt idx="1">
                  <c:v>8023.1138430393958</c:v>
                </c:pt>
                <c:pt idx="2">
                  <c:v>11767.23363645778</c:v>
                </c:pt>
                <c:pt idx="3">
                  <c:v>11232.35938025515</c:v>
                </c:pt>
                <c:pt idx="4">
                  <c:v>10697.485124052529</c:v>
                </c:pt>
                <c:pt idx="5">
                  <c:v>11767.23363645778</c:v>
                </c:pt>
                <c:pt idx="6">
                  <c:v>12302.10789266041</c:v>
                </c:pt>
                <c:pt idx="7">
                  <c:v>11232.35938025515</c:v>
                </c:pt>
                <c:pt idx="8">
                  <c:v>11232.35938025515</c:v>
                </c:pt>
                <c:pt idx="9">
                  <c:v>11767.23363645778</c:v>
                </c:pt>
                <c:pt idx="10">
                  <c:v>11232.35938025515</c:v>
                </c:pt>
                <c:pt idx="11">
                  <c:v>11767.23363645778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E8-4333-8DE5-C010861F2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20"/>
          <c:order val="5"/>
          <c:tx>
            <c:strRef>
              <c:f>'Hằng ngày'!$A$128</c:f>
              <c:strCache>
                <c:ptCount val="1"/>
                <c:pt idx="0">
                  <c:v>Mục tiêu số PCS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ngày'!$B$121:$AS$121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ngày'!$B$128:$AS$128</c:f>
              <c:numCache>
                <c:formatCode>General</c:formatCode>
                <c:ptCount val="44"/>
                <c:pt idx="12" formatCode="0">
                  <c:v>534.87</c:v>
                </c:pt>
                <c:pt idx="13" formatCode="0">
                  <c:v>539.22</c:v>
                </c:pt>
                <c:pt idx="14" formatCode="0">
                  <c:v>543.65</c:v>
                </c:pt>
                <c:pt idx="15" formatCode="0">
                  <c:v>565.24</c:v>
                </c:pt>
                <c:pt idx="16" formatCode="0">
                  <c:v>561.61</c:v>
                </c:pt>
                <c:pt idx="19" formatCode="0">
                  <c:v>577.58000000000004</c:v>
                </c:pt>
                <c:pt idx="20" formatCode="0">
                  <c:v>555.69000000000005</c:v>
                </c:pt>
                <c:pt idx="21" formatCode="0">
                  <c:v>584.74</c:v>
                </c:pt>
                <c:pt idx="22" formatCode="0">
                  <c:v>533.41</c:v>
                </c:pt>
                <c:pt idx="23" formatCode="0">
                  <c:v>533.41</c:v>
                </c:pt>
                <c:pt idx="26" formatCode="0">
                  <c:v>533.41</c:v>
                </c:pt>
                <c:pt idx="27" formatCode="0">
                  <c:v>533.41</c:v>
                </c:pt>
                <c:pt idx="28" formatCode="0">
                  <c:v>533.41</c:v>
                </c:pt>
                <c:pt idx="29" formatCode="0">
                  <c:v>533.41</c:v>
                </c:pt>
                <c:pt idx="30" formatCode="0">
                  <c:v>533.41</c:v>
                </c:pt>
                <c:pt idx="33" formatCode="0">
                  <c:v>533.41</c:v>
                </c:pt>
                <c:pt idx="34" formatCode="0">
                  <c:v>533.41</c:v>
                </c:pt>
                <c:pt idx="35" formatCode="0">
                  <c:v>533.41</c:v>
                </c:pt>
                <c:pt idx="36" formatCode="0">
                  <c:v>533.41</c:v>
                </c:pt>
                <c:pt idx="37" formatCode="0">
                  <c:v>533.41</c:v>
                </c:pt>
                <c:pt idx="40">
                  <c:v>533.41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5E8-4333-8DE5-C010861F2FB9}"/>
            </c:ext>
          </c:extLst>
        </c:ser>
        <c:ser>
          <c:idx val="21"/>
          <c:order val="6"/>
          <c:tx>
            <c:strRef>
              <c:f>'Hằng ngày'!$A$124</c:f>
              <c:strCache>
                <c:ptCount val="1"/>
                <c:pt idx="0">
                  <c:v>Mục tiêu số PCS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ngày'!$B$121:$AS$121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ngày'!$B$124:$AS$124</c:f>
              <c:numCache>
                <c:formatCode>General</c:formatCode>
                <c:ptCount val="44"/>
                <c:pt idx="12" formatCode="0">
                  <c:v>534.87</c:v>
                </c:pt>
                <c:pt idx="13" formatCode="0">
                  <c:v>534.87</c:v>
                </c:pt>
                <c:pt idx="14" formatCode="0">
                  <c:v>534.87</c:v>
                </c:pt>
                <c:pt idx="15" formatCode="0">
                  <c:v>534.87</c:v>
                </c:pt>
                <c:pt idx="16" formatCode="0">
                  <c:v>534.87</c:v>
                </c:pt>
                <c:pt idx="19" formatCode="0">
                  <c:v>534.87</c:v>
                </c:pt>
                <c:pt idx="20" formatCode="0">
                  <c:v>534.87</c:v>
                </c:pt>
                <c:pt idx="21" formatCode="0">
                  <c:v>534.87</c:v>
                </c:pt>
                <c:pt idx="22" formatCode="0">
                  <c:v>534.87</c:v>
                </c:pt>
                <c:pt idx="23" formatCode="0">
                  <c:v>534.87</c:v>
                </c:pt>
                <c:pt idx="26" formatCode="0">
                  <c:v>534.87</c:v>
                </c:pt>
                <c:pt idx="27" formatCode="0">
                  <c:v>534.87</c:v>
                </c:pt>
                <c:pt idx="28" formatCode="0">
                  <c:v>534.87</c:v>
                </c:pt>
                <c:pt idx="29" formatCode="0">
                  <c:v>534.87</c:v>
                </c:pt>
                <c:pt idx="30" formatCode="0">
                  <c:v>534.87</c:v>
                </c:pt>
                <c:pt idx="33" formatCode="0">
                  <c:v>534.87</c:v>
                </c:pt>
                <c:pt idx="34" formatCode="0">
                  <c:v>534.87</c:v>
                </c:pt>
                <c:pt idx="35" formatCode="0">
                  <c:v>534.87</c:v>
                </c:pt>
                <c:pt idx="36" formatCode="0">
                  <c:v>534.87</c:v>
                </c:pt>
                <c:pt idx="37" formatCode="0">
                  <c:v>534.87</c:v>
                </c:pt>
                <c:pt idx="40">
                  <c:v>534.87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5E8-4333-8DE5-C010861F2FB9}"/>
            </c:ext>
          </c:extLst>
        </c:ser>
        <c:ser>
          <c:idx val="22"/>
          <c:order val="7"/>
          <c:tx>
            <c:strRef>
              <c:f>'Hằng ngày'!$A$127</c:f>
              <c:strCache>
                <c:ptCount val="1"/>
                <c:pt idx="0">
                  <c:v>Mục tiêu số PCS HT CĐ Ca 1(Còn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ngày'!$B$121:$AS$121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ngày'!$B$127:$AS$127</c:f>
              <c:numCache>
                <c:formatCode>General</c:formatCode>
                <c:ptCount val="44"/>
                <c:pt idx="12" formatCode="0">
                  <c:v>534.87</c:v>
                </c:pt>
                <c:pt idx="13" formatCode="0">
                  <c:v>548.77</c:v>
                </c:pt>
                <c:pt idx="14" formatCode="0">
                  <c:v>573.07000000000005</c:v>
                </c:pt>
                <c:pt idx="15" formatCode="0">
                  <c:v>602.58000000000004</c:v>
                </c:pt>
                <c:pt idx="16" formatCode="0">
                  <c:v>625.49</c:v>
                </c:pt>
                <c:pt idx="19" formatCode="0">
                  <c:v>633.4</c:v>
                </c:pt>
                <c:pt idx="20" formatCode="0">
                  <c:v>641.41999999999996</c:v>
                </c:pt>
                <c:pt idx="21" formatCode="0">
                  <c:v>638.74</c:v>
                </c:pt>
                <c:pt idx="22" formatCode="0">
                  <c:v>584.95000000000005</c:v>
                </c:pt>
                <c:pt idx="23" formatCode="0">
                  <c:v>584.95000000000005</c:v>
                </c:pt>
                <c:pt idx="26" formatCode="0">
                  <c:v>584.95000000000005</c:v>
                </c:pt>
                <c:pt idx="27" formatCode="0">
                  <c:v>584.95000000000005</c:v>
                </c:pt>
                <c:pt idx="28" formatCode="0">
                  <c:v>584.95000000000005</c:v>
                </c:pt>
                <c:pt idx="29" formatCode="0">
                  <c:v>584.95000000000005</c:v>
                </c:pt>
                <c:pt idx="30" formatCode="0">
                  <c:v>584.95000000000005</c:v>
                </c:pt>
                <c:pt idx="33" formatCode="0">
                  <c:v>584.95000000000005</c:v>
                </c:pt>
                <c:pt idx="34" formatCode="0">
                  <c:v>584.95000000000005</c:v>
                </c:pt>
                <c:pt idx="35" formatCode="0">
                  <c:v>584.95000000000005</c:v>
                </c:pt>
                <c:pt idx="36" formatCode="0">
                  <c:v>584.95000000000005</c:v>
                </c:pt>
                <c:pt idx="37" formatCode="0">
                  <c:v>584.95000000000005</c:v>
                </c:pt>
                <c:pt idx="40">
                  <c:v>584.95000000000005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5E8-4333-8DE5-C010861F2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6334027777777779E-2"/>
          <c:y val="0.89124665898599742"/>
          <c:w val="0.94027638888888887"/>
          <c:h val="0.10503978370741894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Bản vẽ HT Công đoạn Mài tròn có tâm (GR)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3721657633242996E-2"/>
          <c:y val="0.11813302469135803"/>
          <c:w val="0.95844896115627798"/>
          <c:h val="0.70118117283950621"/>
        </c:manualLayout>
      </c:layout>
      <c:barChart>
        <c:barDir val="col"/>
        <c:grouping val="clustered"/>
        <c:varyColors val="0"/>
        <c:ser>
          <c:idx val="13"/>
          <c:order val="0"/>
          <c:tx>
            <c:strRef>
              <c:f>'Hằng ngày'!$A$155</c:f>
              <c:strCache>
                <c:ptCount val="1"/>
                <c:pt idx="0">
                  <c:v>Thực tích Bản vẽ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ngày'!$B$141:$AS$141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ngày'!$B$155:$AS$155</c:f>
              <c:numCache>
                <c:formatCode>General</c:formatCode>
                <c:ptCount val="44"/>
                <c:pt idx="0">
                  <c:v>174</c:v>
                </c:pt>
                <c:pt idx="1">
                  <c:v>91</c:v>
                </c:pt>
                <c:pt idx="2">
                  <c:v>120</c:v>
                </c:pt>
                <c:pt idx="3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53-4615-A482-5BEE601BD069}"/>
            </c:ext>
          </c:extLst>
        </c:ser>
        <c:ser>
          <c:idx val="14"/>
          <c:order val="1"/>
          <c:tx>
            <c:strRef>
              <c:f>'Hằng ngày'!$A$156</c:f>
              <c:strCache>
                <c:ptCount val="1"/>
                <c:pt idx="0">
                  <c:v>Thực tích Bản vẽ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ngày'!$B$141:$AS$141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ngày'!$B$156:$AS$156</c:f>
              <c:numCache>
                <c:formatCode>General</c:formatCode>
                <c:ptCount val="44"/>
                <c:pt idx="0">
                  <c:v>172</c:v>
                </c:pt>
                <c:pt idx="1">
                  <c:v>132</c:v>
                </c:pt>
                <c:pt idx="2">
                  <c:v>124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53-4615-A482-5BEE601BD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5"/>
          <c:order val="2"/>
          <c:tx>
            <c:strRef>
              <c:f>'Hằng ngày'!$A$151</c:f>
              <c:strCache>
                <c:ptCount val="1"/>
                <c:pt idx="0">
                  <c:v>Thực tích Bản vẽ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ngày'!$B$141:$AS$141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ngày'!$B$151:$AS$151</c:f>
              <c:numCache>
                <c:formatCode>General</c:formatCode>
                <c:ptCount val="44"/>
                <c:pt idx="12">
                  <c:v>5</c:v>
                </c:pt>
                <c:pt idx="13">
                  <c:v>4</c:v>
                </c:pt>
                <c:pt idx="14">
                  <c:v>6</c:v>
                </c:pt>
                <c:pt idx="15">
                  <c:v>5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4</c:v>
                </c:pt>
                <c:pt idx="20">
                  <c:v>7</c:v>
                </c:pt>
                <c:pt idx="2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53-4615-A482-5BEE601BD069}"/>
            </c:ext>
          </c:extLst>
        </c:ser>
        <c:ser>
          <c:idx val="16"/>
          <c:order val="3"/>
          <c:tx>
            <c:strRef>
              <c:f>'Hằng ngày'!$A$152</c:f>
              <c:strCache>
                <c:ptCount val="1"/>
                <c:pt idx="0">
                  <c:v>Thực tích Bản vẽ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ngày'!$B$141:$AS$141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ngày'!$B$152:$AS$152</c:f>
              <c:numCache>
                <c:formatCode>General</c:formatCode>
                <c:ptCount val="44"/>
                <c:pt idx="12">
                  <c:v>8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3</c:v>
                </c:pt>
                <c:pt idx="17">
                  <c:v>2</c:v>
                </c:pt>
                <c:pt idx="18">
                  <c:v>0</c:v>
                </c:pt>
                <c:pt idx="19">
                  <c:v>2</c:v>
                </c:pt>
                <c:pt idx="20">
                  <c:v>4</c:v>
                </c:pt>
                <c:pt idx="2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53-4615-A482-5BEE601BD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7"/>
          <c:order val="4"/>
          <c:tx>
            <c:strRef>
              <c:f>'Hằng ngày'!$A$149</c:f>
              <c:strCache>
                <c:ptCount val="1"/>
                <c:pt idx="0">
                  <c:v>Mục tiêu Bản vẽ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ngày'!$B$141:$AS$141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ngày'!$B$149:$AS$149</c:f>
              <c:numCache>
                <c:formatCode>0</c:formatCode>
                <c:ptCount val="44"/>
                <c:pt idx="0">
                  <c:v>154</c:v>
                </c:pt>
                <c:pt idx="1">
                  <c:v>105</c:v>
                </c:pt>
                <c:pt idx="2">
                  <c:v>154</c:v>
                </c:pt>
                <c:pt idx="3">
                  <c:v>147</c:v>
                </c:pt>
                <c:pt idx="4">
                  <c:v>140</c:v>
                </c:pt>
                <c:pt idx="5">
                  <c:v>154</c:v>
                </c:pt>
                <c:pt idx="6">
                  <c:v>161</c:v>
                </c:pt>
                <c:pt idx="7">
                  <c:v>147</c:v>
                </c:pt>
                <c:pt idx="8">
                  <c:v>147</c:v>
                </c:pt>
                <c:pt idx="9">
                  <c:v>154</c:v>
                </c:pt>
                <c:pt idx="10">
                  <c:v>147</c:v>
                </c:pt>
                <c:pt idx="11">
                  <c:v>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53-4615-A482-5BEE601BD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18"/>
          <c:order val="5"/>
          <c:tx>
            <c:strRef>
              <c:f>'Hằng ngày'!$A$143</c:f>
              <c:strCache>
                <c:ptCount val="1"/>
                <c:pt idx="0">
                  <c:v>Mục tiêu Bản vẽ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ngày'!$B$141:$AS$141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ngày'!$B$143:$AS$143</c:f>
              <c:numCache>
                <c:formatCode>General</c:formatCode>
                <c:ptCount val="44"/>
                <c:pt idx="12" formatCode="0">
                  <c:v>7</c:v>
                </c:pt>
                <c:pt idx="13" formatCode="0">
                  <c:v>7</c:v>
                </c:pt>
                <c:pt idx="14" formatCode="0">
                  <c:v>7</c:v>
                </c:pt>
                <c:pt idx="15" formatCode="0">
                  <c:v>7</c:v>
                </c:pt>
                <c:pt idx="16" formatCode="0">
                  <c:v>7</c:v>
                </c:pt>
                <c:pt idx="19" formatCode="0">
                  <c:v>7</c:v>
                </c:pt>
                <c:pt idx="20" formatCode="0">
                  <c:v>7</c:v>
                </c:pt>
                <c:pt idx="21" formatCode="0">
                  <c:v>7</c:v>
                </c:pt>
                <c:pt idx="22" formatCode="0">
                  <c:v>7</c:v>
                </c:pt>
                <c:pt idx="23" formatCode="0">
                  <c:v>7</c:v>
                </c:pt>
                <c:pt idx="26" formatCode="0">
                  <c:v>7</c:v>
                </c:pt>
                <c:pt idx="27" formatCode="0">
                  <c:v>7</c:v>
                </c:pt>
                <c:pt idx="28" formatCode="0">
                  <c:v>7</c:v>
                </c:pt>
                <c:pt idx="29" formatCode="0">
                  <c:v>7</c:v>
                </c:pt>
                <c:pt idx="30" formatCode="0">
                  <c:v>7</c:v>
                </c:pt>
                <c:pt idx="33" formatCode="0">
                  <c:v>7</c:v>
                </c:pt>
                <c:pt idx="34" formatCode="0">
                  <c:v>7</c:v>
                </c:pt>
                <c:pt idx="35" formatCode="0">
                  <c:v>7</c:v>
                </c:pt>
                <c:pt idx="36" formatCode="0">
                  <c:v>7</c:v>
                </c:pt>
                <c:pt idx="37" formatCode="0">
                  <c:v>7</c:v>
                </c:pt>
                <c:pt idx="4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53-4615-A482-5BEE601BD069}"/>
            </c:ext>
          </c:extLst>
        </c:ser>
        <c:ser>
          <c:idx val="19"/>
          <c:order val="6"/>
          <c:tx>
            <c:strRef>
              <c:f>'Hằng ngày'!$A$145</c:f>
              <c:strCache>
                <c:ptCount val="1"/>
                <c:pt idx="0">
                  <c:v>Mục tiêu Bản vẽ HT CĐ Ca 1 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ngày'!$B$141:$AS$141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ngày'!$B$145:$AS$145</c:f>
              <c:numCache>
                <c:formatCode>General</c:formatCode>
                <c:ptCount val="44"/>
                <c:pt idx="12" formatCode="0">
                  <c:v>7</c:v>
                </c:pt>
                <c:pt idx="13" formatCode="0">
                  <c:v>7.1</c:v>
                </c:pt>
                <c:pt idx="14" formatCode="0">
                  <c:v>7.26</c:v>
                </c:pt>
                <c:pt idx="15" formatCode="0">
                  <c:v>7.33</c:v>
                </c:pt>
                <c:pt idx="16" formatCode="0">
                  <c:v>7.47</c:v>
                </c:pt>
                <c:pt idx="19" formatCode="0">
                  <c:v>7.44</c:v>
                </c:pt>
                <c:pt idx="20" formatCode="0">
                  <c:v>7.67</c:v>
                </c:pt>
                <c:pt idx="21" formatCode="0">
                  <c:v>7.71</c:v>
                </c:pt>
                <c:pt idx="22" formatCode="0">
                  <c:v>7.69</c:v>
                </c:pt>
                <c:pt idx="23" formatCode="0">
                  <c:v>7.69</c:v>
                </c:pt>
                <c:pt idx="26" formatCode="0">
                  <c:v>7.69</c:v>
                </c:pt>
                <c:pt idx="27" formatCode="0">
                  <c:v>7.69</c:v>
                </c:pt>
                <c:pt idx="28" formatCode="0">
                  <c:v>7.69</c:v>
                </c:pt>
                <c:pt idx="29" formatCode="0">
                  <c:v>7.69</c:v>
                </c:pt>
                <c:pt idx="30" formatCode="0">
                  <c:v>7.69</c:v>
                </c:pt>
                <c:pt idx="33" formatCode="0">
                  <c:v>7.69</c:v>
                </c:pt>
                <c:pt idx="34" formatCode="0">
                  <c:v>7.69</c:v>
                </c:pt>
                <c:pt idx="35" formatCode="0">
                  <c:v>7.69</c:v>
                </c:pt>
                <c:pt idx="36" formatCode="0">
                  <c:v>7.69</c:v>
                </c:pt>
                <c:pt idx="37" formatCode="0">
                  <c:v>7.69</c:v>
                </c:pt>
                <c:pt idx="40">
                  <c:v>7.69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053-4615-A482-5BEE601BD069}"/>
            </c:ext>
          </c:extLst>
        </c:ser>
        <c:ser>
          <c:idx val="20"/>
          <c:order val="7"/>
          <c:tx>
            <c:strRef>
              <c:f>'Hằng ngày'!$A$146</c:f>
              <c:strCache>
                <c:ptCount val="1"/>
                <c:pt idx="0">
                  <c:v>Mục tiêu Bản vẽ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ngày'!$B$141:$AS$141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ngày'!$B$146:$AS$146</c:f>
              <c:numCache>
                <c:formatCode>General</c:formatCode>
                <c:ptCount val="44"/>
                <c:pt idx="12" formatCode="0">
                  <c:v>7</c:v>
                </c:pt>
                <c:pt idx="13" formatCode="0">
                  <c:v>6.95</c:v>
                </c:pt>
                <c:pt idx="14" formatCode="0">
                  <c:v>7.05</c:v>
                </c:pt>
                <c:pt idx="15" formatCode="0">
                  <c:v>7.11</c:v>
                </c:pt>
                <c:pt idx="16" formatCode="0">
                  <c:v>7.18</c:v>
                </c:pt>
                <c:pt idx="19" formatCode="0">
                  <c:v>7.31</c:v>
                </c:pt>
                <c:pt idx="20" formatCode="0">
                  <c:v>7.67</c:v>
                </c:pt>
                <c:pt idx="21" formatCode="0">
                  <c:v>7.93</c:v>
                </c:pt>
                <c:pt idx="22" formatCode="0">
                  <c:v>8.23</c:v>
                </c:pt>
                <c:pt idx="23" formatCode="0">
                  <c:v>8.23</c:v>
                </c:pt>
                <c:pt idx="26" formatCode="0">
                  <c:v>8.23</c:v>
                </c:pt>
                <c:pt idx="27" formatCode="0">
                  <c:v>8.23</c:v>
                </c:pt>
                <c:pt idx="28" formatCode="0">
                  <c:v>8.23</c:v>
                </c:pt>
                <c:pt idx="29" formatCode="0">
                  <c:v>8.23</c:v>
                </c:pt>
                <c:pt idx="30" formatCode="0">
                  <c:v>8.23</c:v>
                </c:pt>
                <c:pt idx="33" formatCode="0">
                  <c:v>8.23</c:v>
                </c:pt>
                <c:pt idx="34" formatCode="0">
                  <c:v>8.23</c:v>
                </c:pt>
                <c:pt idx="35" formatCode="0">
                  <c:v>8.23</c:v>
                </c:pt>
                <c:pt idx="36" formatCode="0">
                  <c:v>8.23</c:v>
                </c:pt>
                <c:pt idx="37" formatCode="0">
                  <c:v>8.23</c:v>
                </c:pt>
                <c:pt idx="40">
                  <c:v>8.23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053-4615-A482-5BEE601BD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449083333333334E-2"/>
          <c:y val="0.92263456790123444"/>
          <c:w val="0.94572666666666683"/>
          <c:h val="7.7365432098765438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Số PCS HT Công đoạn Mài tròn có tâm (GR)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3019237904187147E-2"/>
          <c:y val="0.13773187134502921"/>
          <c:w val="0.95897802248959951"/>
          <c:h val="0.68936590976893242"/>
        </c:manualLayout>
      </c:layout>
      <c:barChart>
        <c:barDir val="col"/>
        <c:grouping val="clustered"/>
        <c:varyColors val="0"/>
        <c:ser>
          <c:idx val="15"/>
          <c:order val="0"/>
          <c:tx>
            <c:strRef>
              <c:f>'Hằng ngày'!$A$157</c:f>
              <c:strCache>
                <c:ptCount val="1"/>
                <c:pt idx="0">
                  <c:v>Thực tích số PCS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ngày'!$B$141:$AS$141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ngày'!$B$157:$AS$157</c:f>
              <c:numCache>
                <c:formatCode>General</c:formatCode>
                <c:ptCount val="44"/>
                <c:pt idx="0">
                  <c:v>432</c:v>
                </c:pt>
                <c:pt idx="1">
                  <c:v>305</c:v>
                </c:pt>
                <c:pt idx="2">
                  <c:v>373</c:v>
                </c:pt>
                <c:pt idx="3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6B-4963-B65A-3A4C55B790EE}"/>
            </c:ext>
          </c:extLst>
        </c:ser>
        <c:ser>
          <c:idx val="16"/>
          <c:order val="1"/>
          <c:tx>
            <c:strRef>
              <c:f>'Hằng ngày'!$A$158</c:f>
              <c:strCache>
                <c:ptCount val="1"/>
                <c:pt idx="0">
                  <c:v>Thực tích số PCS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ngày'!$B$141:$AS$141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ngày'!$B$158:$AS$158</c:f>
              <c:numCache>
                <c:formatCode>General</c:formatCode>
                <c:ptCount val="44"/>
                <c:pt idx="0">
                  <c:v>484</c:v>
                </c:pt>
                <c:pt idx="1">
                  <c:v>317</c:v>
                </c:pt>
                <c:pt idx="2">
                  <c:v>393</c:v>
                </c:pt>
                <c:pt idx="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6B-4963-B65A-3A4C55B79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7"/>
          <c:order val="2"/>
          <c:tx>
            <c:strRef>
              <c:f>'Hằng ngày'!$A$153</c:f>
              <c:strCache>
                <c:ptCount val="1"/>
                <c:pt idx="0">
                  <c:v>Thực tích số PCS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ngày'!$B$141:$AS$141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ngày'!$B$153:$AS$153</c:f>
              <c:numCache>
                <c:formatCode>General</c:formatCode>
                <c:ptCount val="44"/>
                <c:pt idx="12">
                  <c:v>24</c:v>
                </c:pt>
                <c:pt idx="13">
                  <c:v>22</c:v>
                </c:pt>
                <c:pt idx="14">
                  <c:v>6</c:v>
                </c:pt>
                <c:pt idx="15">
                  <c:v>20</c:v>
                </c:pt>
                <c:pt idx="16">
                  <c:v>18</c:v>
                </c:pt>
                <c:pt idx="17">
                  <c:v>2</c:v>
                </c:pt>
                <c:pt idx="18">
                  <c:v>0</c:v>
                </c:pt>
                <c:pt idx="19">
                  <c:v>6</c:v>
                </c:pt>
                <c:pt idx="20">
                  <c:v>26</c:v>
                </c:pt>
                <c:pt idx="2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6B-4963-B65A-3A4C55B790EE}"/>
            </c:ext>
          </c:extLst>
        </c:ser>
        <c:ser>
          <c:idx val="18"/>
          <c:order val="3"/>
          <c:tx>
            <c:strRef>
              <c:f>'Hằng ngày'!$A$154</c:f>
              <c:strCache>
                <c:ptCount val="1"/>
                <c:pt idx="0">
                  <c:v>Thực tích số PCS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ngày'!$B$141:$AS$141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ngày'!$B$154:$AS$154</c:f>
              <c:numCache>
                <c:formatCode>General</c:formatCode>
                <c:ptCount val="44"/>
                <c:pt idx="12">
                  <c:v>17</c:v>
                </c:pt>
                <c:pt idx="13">
                  <c:v>9</c:v>
                </c:pt>
                <c:pt idx="14">
                  <c:v>10</c:v>
                </c:pt>
                <c:pt idx="15">
                  <c:v>8</c:v>
                </c:pt>
                <c:pt idx="16">
                  <c:v>5</c:v>
                </c:pt>
                <c:pt idx="17">
                  <c:v>6</c:v>
                </c:pt>
                <c:pt idx="18">
                  <c:v>0</c:v>
                </c:pt>
                <c:pt idx="19">
                  <c:v>3</c:v>
                </c:pt>
                <c:pt idx="20">
                  <c:v>18</c:v>
                </c:pt>
                <c:pt idx="2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6B-4963-B65A-3A4C55B79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9"/>
          <c:order val="4"/>
          <c:tx>
            <c:strRef>
              <c:f>'Hằng ngày'!$A$150</c:f>
              <c:strCache>
                <c:ptCount val="1"/>
                <c:pt idx="0">
                  <c:v>Mục tiêu số PCS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ngày'!$B$141:$AS$141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ngày'!$B$150:$AS$150</c:f>
              <c:numCache>
                <c:formatCode>0</c:formatCode>
                <c:ptCount val="44"/>
                <c:pt idx="0">
                  <c:v>501.49447060979901</c:v>
                </c:pt>
                <c:pt idx="1">
                  <c:v>341.92804814304469</c:v>
                </c:pt>
                <c:pt idx="2">
                  <c:v>501.49447060979901</c:v>
                </c:pt>
                <c:pt idx="3">
                  <c:v>478.69926740026273</c:v>
                </c:pt>
                <c:pt idx="4">
                  <c:v>455.90406419072627</c:v>
                </c:pt>
                <c:pt idx="5">
                  <c:v>501.49447060979901</c:v>
                </c:pt>
                <c:pt idx="6">
                  <c:v>524.28967381933535</c:v>
                </c:pt>
                <c:pt idx="7">
                  <c:v>478.69926740026273</c:v>
                </c:pt>
                <c:pt idx="8">
                  <c:v>478.69926740026273</c:v>
                </c:pt>
                <c:pt idx="9">
                  <c:v>501.49447060979901</c:v>
                </c:pt>
                <c:pt idx="10">
                  <c:v>478.69926740026273</c:v>
                </c:pt>
                <c:pt idx="11">
                  <c:v>501.49447060979901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6B-4963-B65A-3A4C55B79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20"/>
          <c:order val="5"/>
          <c:tx>
            <c:strRef>
              <c:f>'Hằng ngày'!$A$148</c:f>
              <c:strCache>
                <c:ptCount val="1"/>
                <c:pt idx="0">
                  <c:v>Mục tiêu số PCS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ngày'!$B$141:$AS$141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ngày'!$B$148:$AS$148</c:f>
              <c:numCache>
                <c:formatCode>General</c:formatCode>
                <c:ptCount val="44"/>
                <c:pt idx="12" formatCode="0">
                  <c:v>22.8</c:v>
                </c:pt>
                <c:pt idx="13" formatCode="0">
                  <c:v>23.08</c:v>
                </c:pt>
                <c:pt idx="14" formatCode="0">
                  <c:v>23.83</c:v>
                </c:pt>
                <c:pt idx="15" formatCode="0">
                  <c:v>24.59</c:v>
                </c:pt>
                <c:pt idx="16" formatCode="0">
                  <c:v>25.57</c:v>
                </c:pt>
                <c:pt idx="19" formatCode="0">
                  <c:v>26.48</c:v>
                </c:pt>
                <c:pt idx="20" formatCode="0">
                  <c:v>28.05</c:v>
                </c:pt>
                <c:pt idx="21" formatCode="0">
                  <c:v>28.76</c:v>
                </c:pt>
                <c:pt idx="22" formatCode="0">
                  <c:v>29.9</c:v>
                </c:pt>
                <c:pt idx="23" formatCode="0">
                  <c:v>29.9</c:v>
                </c:pt>
                <c:pt idx="26" formatCode="0">
                  <c:v>29.9</c:v>
                </c:pt>
                <c:pt idx="27" formatCode="0">
                  <c:v>29.9</c:v>
                </c:pt>
                <c:pt idx="28" formatCode="0">
                  <c:v>29.9</c:v>
                </c:pt>
                <c:pt idx="29" formatCode="0">
                  <c:v>29.9</c:v>
                </c:pt>
                <c:pt idx="30" formatCode="0">
                  <c:v>29.9</c:v>
                </c:pt>
                <c:pt idx="33" formatCode="0">
                  <c:v>29.9</c:v>
                </c:pt>
                <c:pt idx="34" formatCode="0">
                  <c:v>29.9</c:v>
                </c:pt>
                <c:pt idx="35" formatCode="0">
                  <c:v>29.9</c:v>
                </c:pt>
                <c:pt idx="36" formatCode="0">
                  <c:v>29.9</c:v>
                </c:pt>
                <c:pt idx="37" formatCode="0">
                  <c:v>29.9</c:v>
                </c:pt>
                <c:pt idx="40">
                  <c:v>29.9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6B-4963-B65A-3A4C55B790EE}"/>
            </c:ext>
          </c:extLst>
        </c:ser>
        <c:ser>
          <c:idx val="21"/>
          <c:order val="6"/>
          <c:tx>
            <c:strRef>
              <c:f>'Hằng ngày'!$A$144</c:f>
              <c:strCache>
                <c:ptCount val="1"/>
                <c:pt idx="0">
                  <c:v>Mục tiêu số PCS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ngày'!$B$141:$AS$141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ngày'!$B$144:$AS$144</c:f>
              <c:numCache>
                <c:formatCode>General</c:formatCode>
                <c:ptCount val="44"/>
                <c:pt idx="12" formatCode="0">
                  <c:v>22.8</c:v>
                </c:pt>
                <c:pt idx="13" formatCode="0">
                  <c:v>22.8</c:v>
                </c:pt>
                <c:pt idx="14" formatCode="0">
                  <c:v>22.8</c:v>
                </c:pt>
                <c:pt idx="15" formatCode="0">
                  <c:v>22.8</c:v>
                </c:pt>
                <c:pt idx="16" formatCode="0">
                  <c:v>22.8</c:v>
                </c:pt>
                <c:pt idx="19" formatCode="0">
                  <c:v>22.8</c:v>
                </c:pt>
                <c:pt idx="20" formatCode="0">
                  <c:v>22.8</c:v>
                </c:pt>
                <c:pt idx="21" formatCode="0">
                  <c:v>22.8</c:v>
                </c:pt>
                <c:pt idx="22" formatCode="0">
                  <c:v>22.8</c:v>
                </c:pt>
                <c:pt idx="23" formatCode="0">
                  <c:v>22.8</c:v>
                </c:pt>
                <c:pt idx="26" formatCode="0">
                  <c:v>22.8</c:v>
                </c:pt>
                <c:pt idx="27" formatCode="0">
                  <c:v>22.8</c:v>
                </c:pt>
                <c:pt idx="28" formatCode="0">
                  <c:v>22.8</c:v>
                </c:pt>
                <c:pt idx="29" formatCode="0">
                  <c:v>22.8</c:v>
                </c:pt>
                <c:pt idx="30" formatCode="0">
                  <c:v>22.8</c:v>
                </c:pt>
                <c:pt idx="33" formatCode="0">
                  <c:v>22.8</c:v>
                </c:pt>
                <c:pt idx="34" formatCode="0">
                  <c:v>22.8</c:v>
                </c:pt>
                <c:pt idx="35" formatCode="0">
                  <c:v>22.8</c:v>
                </c:pt>
                <c:pt idx="36" formatCode="0">
                  <c:v>22.8</c:v>
                </c:pt>
                <c:pt idx="37" formatCode="0">
                  <c:v>22.8</c:v>
                </c:pt>
                <c:pt idx="40">
                  <c:v>22.8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6B-4963-B65A-3A4C55B790EE}"/>
            </c:ext>
          </c:extLst>
        </c:ser>
        <c:ser>
          <c:idx val="22"/>
          <c:order val="7"/>
          <c:tx>
            <c:strRef>
              <c:f>'Hằng ngày'!$A$147</c:f>
              <c:strCache>
                <c:ptCount val="1"/>
                <c:pt idx="0">
                  <c:v>Mục tiêu số PCS HT CĐ Ca 1(Còn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ngày'!$B$141:$AS$141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ngày'!$B$147:$AS$147</c:f>
              <c:numCache>
                <c:formatCode>General</c:formatCode>
                <c:ptCount val="44"/>
                <c:pt idx="12" formatCode="0">
                  <c:v>22.8</c:v>
                </c:pt>
                <c:pt idx="13" formatCode="0">
                  <c:v>22.73</c:v>
                </c:pt>
                <c:pt idx="14" formatCode="0">
                  <c:v>22.77</c:v>
                </c:pt>
                <c:pt idx="15" formatCode="0">
                  <c:v>23.71</c:v>
                </c:pt>
                <c:pt idx="16" formatCode="0">
                  <c:v>23.92</c:v>
                </c:pt>
                <c:pt idx="19" formatCode="0">
                  <c:v>24.17</c:v>
                </c:pt>
                <c:pt idx="20" formatCode="0">
                  <c:v>25.38</c:v>
                </c:pt>
                <c:pt idx="21" formatCode="0">
                  <c:v>25.34</c:v>
                </c:pt>
                <c:pt idx="22" formatCode="0">
                  <c:v>25.59</c:v>
                </c:pt>
                <c:pt idx="23" formatCode="0">
                  <c:v>25.59</c:v>
                </c:pt>
                <c:pt idx="26" formatCode="0">
                  <c:v>25.59</c:v>
                </c:pt>
                <c:pt idx="27" formatCode="0">
                  <c:v>25.59</c:v>
                </c:pt>
                <c:pt idx="28" formatCode="0">
                  <c:v>25.59</c:v>
                </c:pt>
                <c:pt idx="29" formatCode="0">
                  <c:v>25.59</c:v>
                </c:pt>
                <c:pt idx="30" formatCode="0">
                  <c:v>25.59</c:v>
                </c:pt>
                <c:pt idx="33" formatCode="0">
                  <c:v>25.59</c:v>
                </c:pt>
                <c:pt idx="34" formatCode="0">
                  <c:v>25.59</c:v>
                </c:pt>
                <c:pt idx="35" formatCode="0">
                  <c:v>25.59</c:v>
                </c:pt>
                <c:pt idx="36" formatCode="0">
                  <c:v>25.59</c:v>
                </c:pt>
                <c:pt idx="37" formatCode="0">
                  <c:v>25.59</c:v>
                </c:pt>
                <c:pt idx="40">
                  <c:v>25.59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56B-4963-B65A-3A4C55B79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809791666666666E-2"/>
          <c:y val="0.89929446428186988"/>
          <c:w val="0.94556805555555545"/>
          <c:h val="0.10070553571813018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Bản vẽ HT Công đoạn Mài tròn vô tâm (GC) 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1570573622402892E-2"/>
          <c:y val="0.12201597584442424"/>
          <c:w val="0.96275112917795846"/>
          <c:h val="0.69779110129378352"/>
        </c:manualLayout>
      </c:layout>
      <c:barChart>
        <c:barDir val="col"/>
        <c:grouping val="clustered"/>
        <c:varyColors val="0"/>
        <c:ser>
          <c:idx val="13"/>
          <c:order val="0"/>
          <c:tx>
            <c:strRef>
              <c:f>'Hằng ngày'!$A$175</c:f>
              <c:strCache>
                <c:ptCount val="1"/>
                <c:pt idx="0">
                  <c:v>Thực tích Bản vẽ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ngày'!$B$161:$AS$161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ngày'!$B$175:$AS$175</c:f>
              <c:numCache>
                <c:formatCode>General</c:formatCode>
                <c:ptCount val="44"/>
                <c:pt idx="0">
                  <c:v>92</c:v>
                </c:pt>
                <c:pt idx="1">
                  <c:v>49</c:v>
                </c:pt>
                <c:pt idx="2">
                  <c:v>78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5-4C1C-BE71-78540486D522}"/>
            </c:ext>
          </c:extLst>
        </c:ser>
        <c:ser>
          <c:idx val="14"/>
          <c:order val="1"/>
          <c:tx>
            <c:strRef>
              <c:f>'Hằng ngày'!$A$176</c:f>
              <c:strCache>
                <c:ptCount val="1"/>
                <c:pt idx="0">
                  <c:v>Thực tích Bản vẽ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ngày'!$B$161:$AS$161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ngày'!$B$176:$AS$176</c:f>
              <c:numCache>
                <c:formatCode>General</c:formatCode>
                <c:ptCount val="44"/>
                <c:pt idx="0">
                  <c:v>97</c:v>
                </c:pt>
                <c:pt idx="1">
                  <c:v>63</c:v>
                </c:pt>
                <c:pt idx="2">
                  <c:v>86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F5-4C1C-BE71-78540486D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5"/>
          <c:order val="2"/>
          <c:tx>
            <c:strRef>
              <c:f>'Hằng ngày'!$A$171</c:f>
              <c:strCache>
                <c:ptCount val="1"/>
                <c:pt idx="0">
                  <c:v>Thực tích Bản vẽ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ngày'!$B$161:$AS$161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ngày'!$B$171:$AS$171</c:f>
              <c:numCache>
                <c:formatCode>General</c:formatCode>
                <c:ptCount val="44"/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0</c:v>
                </c:pt>
                <c:pt idx="19">
                  <c:v>3</c:v>
                </c:pt>
                <c:pt idx="20">
                  <c:v>1</c:v>
                </c:pt>
                <c:pt idx="2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F5-4C1C-BE71-78540486D522}"/>
            </c:ext>
          </c:extLst>
        </c:ser>
        <c:ser>
          <c:idx val="16"/>
          <c:order val="3"/>
          <c:tx>
            <c:strRef>
              <c:f>'Hằng ngày'!$A$172</c:f>
              <c:strCache>
                <c:ptCount val="1"/>
                <c:pt idx="0">
                  <c:v>Thực tích Bản vẽ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ngày'!$B$161:$AS$161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ngày'!$B$172:$AS$172</c:f>
              <c:numCache>
                <c:formatCode>General</c:formatCode>
                <c:ptCount val="44"/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1</c:v>
                </c:pt>
                <c:pt idx="18">
                  <c:v>0</c:v>
                </c:pt>
                <c:pt idx="19">
                  <c:v>2</c:v>
                </c:pt>
                <c:pt idx="20">
                  <c:v>1</c:v>
                </c:pt>
                <c:pt idx="2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F5-4C1C-BE71-78540486D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7"/>
          <c:order val="4"/>
          <c:tx>
            <c:strRef>
              <c:f>'Hằng ngày'!$A$169</c:f>
              <c:strCache>
                <c:ptCount val="1"/>
                <c:pt idx="0">
                  <c:v>Mục tiêu Bản vẽ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ngày'!$B$161:$AS$161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ngày'!$B$169:$AS$169</c:f>
              <c:numCache>
                <c:formatCode>0</c:formatCode>
                <c:ptCount val="44"/>
                <c:pt idx="0">
                  <c:v>64.327398715517702</c:v>
                </c:pt>
                <c:pt idx="1">
                  <c:v>43.859590033307533</c:v>
                </c:pt>
                <c:pt idx="2">
                  <c:v>64.327398715517702</c:v>
                </c:pt>
                <c:pt idx="3">
                  <c:v>61.403426046630543</c:v>
                </c:pt>
                <c:pt idx="4">
                  <c:v>58.479453377743368</c:v>
                </c:pt>
                <c:pt idx="5">
                  <c:v>64.327398715517702</c:v>
                </c:pt>
                <c:pt idx="6">
                  <c:v>67.251371384404877</c:v>
                </c:pt>
                <c:pt idx="7">
                  <c:v>61.403426046630543</c:v>
                </c:pt>
                <c:pt idx="8">
                  <c:v>61.403426046630543</c:v>
                </c:pt>
                <c:pt idx="9">
                  <c:v>64.327398715517702</c:v>
                </c:pt>
                <c:pt idx="10">
                  <c:v>61.403426046630543</c:v>
                </c:pt>
                <c:pt idx="11">
                  <c:v>64.327398715517702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F5-4C1C-BE71-78540486D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18"/>
          <c:order val="5"/>
          <c:tx>
            <c:strRef>
              <c:f>'Hằng ngày'!$A$163</c:f>
              <c:strCache>
                <c:ptCount val="1"/>
                <c:pt idx="0">
                  <c:v>Mục tiêu Bản vẽ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ngày'!$B$161:$AS$161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ngày'!$B$163:$AS$163</c:f>
              <c:numCache>
                <c:formatCode>General</c:formatCode>
                <c:ptCount val="44"/>
                <c:pt idx="12" formatCode="0">
                  <c:v>2.92</c:v>
                </c:pt>
                <c:pt idx="13" formatCode="0">
                  <c:v>2.92</c:v>
                </c:pt>
                <c:pt idx="14" formatCode="0">
                  <c:v>2.92</c:v>
                </c:pt>
                <c:pt idx="15" formatCode="0">
                  <c:v>2.92</c:v>
                </c:pt>
                <c:pt idx="16" formatCode="0">
                  <c:v>2.92</c:v>
                </c:pt>
                <c:pt idx="19" formatCode="0">
                  <c:v>2.92</c:v>
                </c:pt>
                <c:pt idx="20" formatCode="0">
                  <c:v>2.92</c:v>
                </c:pt>
                <c:pt idx="21" formatCode="0">
                  <c:v>2.92</c:v>
                </c:pt>
                <c:pt idx="22" formatCode="0">
                  <c:v>2.92</c:v>
                </c:pt>
                <c:pt idx="23" formatCode="0">
                  <c:v>2.92</c:v>
                </c:pt>
                <c:pt idx="26" formatCode="0">
                  <c:v>2.92</c:v>
                </c:pt>
                <c:pt idx="27" formatCode="0">
                  <c:v>2.92</c:v>
                </c:pt>
                <c:pt idx="28" formatCode="0">
                  <c:v>2.92</c:v>
                </c:pt>
                <c:pt idx="29" formatCode="0">
                  <c:v>2.92</c:v>
                </c:pt>
                <c:pt idx="30" formatCode="0">
                  <c:v>2.92</c:v>
                </c:pt>
                <c:pt idx="33" formatCode="0">
                  <c:v>2.92</c:v>
                </c:pt>
                <c:pt idx="34" formatCode="0">
                  <c:v>2.92</c:v>
                </c:pt>
                <c:pt idx="35" formatCode="0">
                  <c:v>2.92</c:v>
                </c:pt>
                <c:pt idx="36" formatCode="0">
                  <c:v>2.92</c:v>
                </c:pt>
                <c:pt idx="37" formatCode="0">
                  <c:v>2.92</c:v>
                </c:pt>
                <c:pt idx="40">
                  <c:v>2.92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6F5-4C1C-BE71-78540486D522}"/>
            </c:ext>
          </c:extLst>
        </c:ser>
        <c:ser>
          <c:idx val="19"/>
          <c:order val="6"/>
          <c:tx>
            <c:strRef>
              <c:f>'Hằng ngày'!$A$165</c:f>
              <c:strCache>
                <c:ptCount val="1"/>
                <c:pt idx="0">
                  <c:v>Mục tiêu Bản vẽ HT CĐ Ca 1 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ngày'!$B$161:$AS$161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ngày'!$B$165:$AS$165</c:f>
              <c:numCache>
                <c:formatCode>General</c:formatCode>
                <c:ptCount val="44"/>
                <c:pt idx="12" formatCode="0">
                  <c:v>2.92</c:v>
                </c:pt>
                <c:pt idx="13" formatCode="0">
                  <c:v>3.02</c:v>
                </c:pt>
                <c:pt idx="14" formatCode="0">
                  <c:v>3.02</c:v>
                </c:pt>
                <c:pt idx="15" formatCode="0">
                  <c:v>3.13</c:v>
                </c:pt>
                <c:pt idx="16" formatCode="0">
                  <c:v>3.14</c:v>
                </c:pt>
                <c:pt idx="19" formatCode="0">
                  <c:v>3.09</c:v>
                </c:pt>
                <c:pt idx="20" formatCode="0">
                  <c:v>3.09</c:v>
                </c:pt>
                <c:pt idx="21" formatCode="0">
                  <c:v>3.24</c:v>
                </c:pt>
                <c:pt idx="22" formatCode="0">
                  <c:v>3.18</c:v>
                </c:pt>
                <c:pt idx="23" formatCode="0">
                  <c:v>3.18</c:v>
                </c:pt>
                <c:pt idx="26" formatCode="0">
                  <c:v>3.18</c:v>
                </c:pt>
                <c:pt idx="27" formatCode="0">
                  <c:v>3.18</c:v>
                </c:pt>
                <c:pt idx="28" formatCode="0">
                  <c:v>3.18</c:v>
                </c:pt>
                <c:pt idx="29" formatCode="0">
                  <c:v>3.18</c:v>
                </c:pt>
                <c:pt idx="30" formatCode="0">
                  <c:v>3.18</c:v>
                </c:pt>
                <c:pt idx="33" formatCode="0">
                  <c:v>3.18</c:v>
                </c:pt>
                <c:pt idx="34" formatCode="0">
                  <c:v>3.18</c:v>
                </c:pt>
                <c:pt idx="35" formatCode="0">
                  <c:v>3.18</c:v>
                </c:pt>
                <c:pt idx="36" formatCode="0">
                  <c:v>3.18</c:v>
                </c:pt>
                <c:pt idx="37" formatCode="0">
                  <c:v>3.18</c:v>
                </c:pt>
                <c:pt idx="40">
                  <c:v>3.18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6F5-4C1C-BE71-78540486D522}"/>
            </c:ext>
          </c:extLst>
        </c:ser>
        <c:ser>
          <c:idx val="20"/>
          <c:order val="7"/>
          <c:tx>
            <c:strRef>
              <c:f>'Hằng ngày'!$A$166</c:f>
              <c:strCache>
                <c:ptCount val="1"/>
                <c:pt idx="0">
                  <c:v>Mục tiêu Bản vẽ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ngày'!$B$161:$AS$161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ngày'!$B$166:$AS$166</c:f>
              <c:numCache>
                <c:formatCode>General</c:formatCode>
                <c:ptCount val="44"/>
                <c:pt idx="12" formatCode="0">
                  <c:v>2.92</c:v>
                </c:pt>
                <c:pt idx="13" formatCode="0">
                  <c:v>2.92</c:v>
                </c:pt>
                <c:pt idx="14" formatCode="0">
                  <c:v>2.92</c:v>
                </c:pt>
                <c:pt idx="15" formatCode="0">
                  <c:v>2.86</c:v>
                </c:pt>
                <c:pt idx="16" formatCode="0">
                  <c:v>2.79</c:v>
                </c:pt>
                <c:pt idx="19" formatCode="0">
                  <c:v>2.65</c:v>
                </c:pt>
                <c:pt idx="20" formatCode="0">
                  <c:v>2.69</c:v>
                </c:pt>
                <c:pt idx="21" formatCode="0">
                  <c:v>2.81</c:v>
                </c:pt>
                <c:pt idx="22" formatCode="0">
                  <c:v>2.72</c:v>
                </c:pt>
                <c:pt idx="23" formatCode="0">
                  <c:v>2.72</c:v>
                </c:pt>
                <c:pt idx="26" formatCode="0">
                  <c:v>2.72</c:v>
                </c:pt>
                <c:pt idx="27" formatCode="0">
                  <c:v>2.72</c:v>
                </c:pt>
                <c:pt idx="28" formatCode="0">
                  <c:v>2.72</c:v>
                </c:pt>
                <c:pt idx="29" formatCode="0">
                  <c:v>2.72</c:v>
                </c:pt>
                <c:pt idx="30" formatCode="0">
                  <c:v>2.72</c:v>
                </c:pt>
                <c:pt idx="33" formatCode="0">
                  <c:v>2.72</c:v>
                </c:pt>
                <c:pt idx="34" formatCode="0">
                  <c:v>2.72</c:v>
                </c:pt>
                <c:pt idx="35" formatCode="0">
                  <c:v>2.72</c:v>
                </c:pt>
                <c:pt idx="36" formatCode="0">
                  <c:v>2.72</c:v>
                </c:pt>
                <c:pt idx="37" formatCode="0">
                  <c:v>2.72</c:v>
                </c:pt>
                <c:pt idx="40">
                  <c:v>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6F5-4C1C-BE71-78540486D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1.732904332099906E-2"/>
          <c:y val="0.90646613331353365"/>
          <c:w val="0.9493607171688605"/>
          <c:h val="9.3533866686466322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Số PCS HT Công đoạn Mài tròn vô tâm (GC)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6762708062652622E-2"/>
          <c:y val="0.13773187134502921"/>
          <c:w val="0.949501411419164"/>
          <c:h val="0.68512121994077246"/>
        </c:manualLayout>
      </c:layout>
      <c:barChart>
        <c:barDir val="col"/>
        <c:grouping val="clustered"/>
        <c:varyColors val="0"/>
        <c:ser>
          <c:idx val="15"/>
          <c:order val="0"/>
          <c:tx>
            <c:strRef>
              <c:f>'Hằng ngày'!$A$177</c:f>
              <c:strCache>
                <c:ptCount val="1"/>
                <c:pt idx="0">
                  <c:v>Thực tích số PCS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ngày'!$B$161:$AS$161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ngày'!$B$177:$AS$177</c:f>
              <c:numCache>
                <c:formatCode>General</c:formatCode>
                <c:ptCount val="44"/>
                <c:pt idx="0">
                  <c:v>1145</c:v>
                </c:pt>
                <c:pt idx="1">
                  <c:v>705</c:v>
                </c:pt>
                <c:pt idx="2">
                  <c:v>2693</c:v>
                </c:pt>
                <c:pt idx="3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DF-4DD6-BC8C-DE068F246019}"/>
            </c:ext>
          </c:extLst>
        </c:ser>
        <c:ser>
          <c:idx val="16"/>
          <c:order val="1"/>
          <c:tx>
            <c:strRef>
              <c:f>'Hằng ngày'!$A$178</c:f>
              <c:strCache>
                <c:ptCount val="1"/>
                <c:pt idx="0">
                  <c:v>Thực tích số PCS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ngày'!$B$161:$AS$161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ngày'!$B$178:$AS$178</c:f>
              <c:numCache>
                <c:formatCode>General</c:formatCode>
                <c:ptCount val="44"/>
                <c:pt idx="0">
                  <c:v>1494</c:v>
                </c:pt>
                <c:pt idx="1">
                  <c:v>1288</c:v>
                </c:pt>
                <c:pt idx="2">
                  <c:v>2591</c:v>
                </c:pt>
                <c:pt idx="3">
                  <c:v>1076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DF-4DD6-BC8C-DE068F246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7"/>
          <c:order val="2"/>
          <c:tx>
            <c:strRef>
              <c:f>'Hằng ngày'!$A$173</c:f>
              <c:strCache>
                <c:ptCount val="1"/>
                <c:pt idx="0">
                  <c:v>Thực tích số PCS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ngày'!$B$161:$AS$161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ngày'!$B$173:$AS$173</c:f>
              <c:numCache>
                <c:formatCode>General</c:formatCode>
                <c:ptCount val="44"/>
                <c:pt idx="12">
                  <c:v>36</c:v>
                </c:pt>
                <c:pt idx="13">
                  <c:v>7</c:v>
                </c:pt>
                <c:pt idx="14">
                  <c:v>5</c:v>
                </c:pt>
                <c:pt idx="15">
                  <c:v>34</c:v>
                </c:pt>
                <c:pt idx="16">
                  <c:v>78</c:v>
                </c:pt>
                <c:pt idx="17">
                  <c:v>10</c:v>
                </c:pt>
                <c:pt idx="18">
                  <c:v>0</c:v>
                </c:pt>
                <c:pt idx="19">
                  <c:v>21</c:v>
                </c:pt>
                <c:pt idx="20">
                  <c:v>10</c:v>
                </c:pt>
                <c:pt idx="21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DF-4DD6-BC8C-DE068F246019}"/>
            </c:ext>
          </c:extLst>
        </c:ser>
        <c:ser>
          <c:idx val="18"/>
          <c:order val="3"/>
          <c:tx>
            <c:strRef>
              <c:f>'Hằng ngày'!$A$174</c:f>
              <c:strCache>
                <c:ptCount val="1"/>
                <c:pt idx="0">
                  <c:v>Thực tích số PCS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ngày'!$B$161:$AS$161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ngày'!$B$174:$AS$174</c:f>
              <c:numCache>
                <c:formatCode>General</c:formatCode>
                <c:ptCount val="44"/>
                <c:pt idx="12">
                  <c:v>59</c:v>
                </c:pt>
                <c:pt idx="13">
                  <c:v>26</c:v>
                </c:pt>
                <c:pt idx="14">
                  <c:v>209</c:v>
                </c:pt>
                <c:pt idx="15">
                  <c:v>353</c:v>
                </c:pt>
                <c:pt idx="16">
                  <c:v>312</c:v>
                </c:pt>
                <c:pt idx="17">
                  <c:v>40</c:v>
                </c:pt>
                <c:pt idx="18">
                  <c:v>0</c:v>
                </c:pt>
                <c:pt idx="19">
                  <c:v>48</c:v>
                </c:pt>
                <c:pt idx="20">
                  <c:v>3</c:v>
                </c:pt>
                <c:pt idx="2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DF-4DD6-BC8C-DE068F246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9"/>
          <c:order val="4"/>
          <c:tx>
            <c:strRef>
              <c:f>'Hằng ngày'!$A$170</c:f>
              <c:strCache>
                <c:ptCount val="1"/>
                <c:pt idx="0">
                  <c:v>Mục tiêu số PCS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ngày'!$B$161:$AS$161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ngày'!$B$170:$AS$170</c:f>
              <c:numCache>
                <c:formatCode>0</c:formatCode>
                <c:ptCount val="44"/>
                <c:pt idx="0">
                  <c:v>1655.744275539877</c:v>
                </c:pt>
                <c:pt idx="1">
                  <c:v>1128.916551504461</c:v>
                </c:pt>
                <c:pt idx="2">
                  <c:v>1655.744275539877</c:v>
                </c:pt>
                <c:pt idx="3">
                  <c:v>1580.483172106246</c:v>
                </c:pt>
                <c:pt idx="4">
                  <c:v>1505.222068672615</c:v>
                </c:pt>
                <c:pt idx="5">
                  <c:v>1655.744275539877</c:v>
                </c:pt>
                <c:pt idx="6">
                  <c:v>1731.005378973507</c:v>
                </c:pt>
                <c:pt idx="7">
                  <c:v>1580.483172106246</c:v>
                </c:pt>
                <c:pt idx="8">
                  <c:v>1580.483172106246</c:v>
                </c:pt>
                <c:pt idx="9">
                  <c:v>1655.744275539877</c:v>
                </c:pt>
                <c:pt idx="10">
                  <c:v>1580.483172106246</c:v>
                </c:pt>
                <c:pt idx="11">
                  <c:v>1655.744275539877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DF-4DD6-BC8C-DE068F246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20"/>
          <c:order val="5"/>
          <c:tx>
            <c:strRef>
              <c:f>'Hằng ngày'!$A$168</c:f>
              <c:strCache>
                <c:ptCount val="1"/>
                <c:pt idx="0">
                  <c:v>Mục tiêu số PCS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ngày'!$B$161:$AS$161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ngày'!$B$168:$AS$168</c:f>
              <c:numCache>
                <c:formatCode>General</c:formatCode>
                <c:ptCount val="44"/>
                <c:pt idx="12" formatCode="0">
                  <c:v>75.260000000000005</c:v>
                </c:pt>
                <c:pt idx="13" formatCode="0">
                  <c:v>76.069999999999993</c:v>
                </c:pt>
                <c:pt idx="14" formatCode="0">
                  <c:v>78.709999999999994</c:v>
                </c:pt>
                <c:pt idx="15" formatCode="0">
                  <c:v>71.47</c:v>
                </c:pt>
                <c:pt idx="16" formatCode="0">
                  <c:v>54.91</c:v>
                </c:pt>
                <c:pt idx="19" formatCode="0">
                  <c:v>36.340000000000003</c:v>
                </c:pt>
                <c:pt idx="20" formatCode="0">
                  <c:v>35.57</c:v>
                </c:pt>
                <c:pt idx="21" formatCode="0">
                  <c:v>37.89</c:v>
                </c:pt>
                <c:pt idx="22" formatCode="0">
                  <c:v>38.81</c:v>
                </c:pt>
                <c:pt idx="23" formatCode="0">
                  <c:v>38.81</c:v>
                </c:pt>
                <c:pt idx="26" formatCode="0">
                  <c:v>38.81</c:v>
                </c:pt>
                <c:pt idx="27" formatCode="0">
                  <c:v>38.81</c:v>
                </c:pt>
                <c:pt idx="28" formatCode="0">
                  <c:v>38.81</c:v>
                </c:pt>
                <c:pt idx="29" formatCode="0">
                  <c:v>38.81</c:v>
                </c:pt>
                <c:pt idx="30" formatCode="0">
                  <c:v>38.81</c:v>
                </c:pt>
                <c:pt idx="33" formatCode="0">
                  <c:v>38.81</c:v>
                </c:pt>
                <c:pt idx="34" formatCode="0">
                  <c:v>38.81</c:v>
                </c:pt>
                <c:pt idx="35" formatCode="0">
                  <c:v>38.81</c:v>
                </c:pt>
                <c:pt idx="36" formatCode="0">
                  <c:v>38.81</c:v>
                </c:pt>
                <c:pt idx="37" formatCode="0">
                  <c:v>38.81</c:v>
                </c:pt>
                <c:pt idx="40">
                  <c:v>38.81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2DF-4DD6-BC8C-DE068F246019}"/>
            </c:ext>
          </c:extLst>
        </c:ser>
        <c:ser>
          <c:idx val="21"/>
          <c:order val="6"/>
          <c:tx>
            <c:strRef>
              <c:f>'Hằng ngày'!$A$164</c:f>
              <c:strCache>
                <c:ptCount val="1"/>
                <c:pt idx="0">
                  <c:v>Mục tiêu số PCS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ngày'!$B$161:$AS$161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ngày'!$B$164:$AS$164</c:f>
              <c:numCache>
                <c:formatCode>General</c:formatCode>
                <c:ptCount val="44"/>
                <c:pt idx="12" formatCode="0">
                  <c:v>75.260000000000005</c:v>
                </c:pt>
                <c:pt idx="13" formatCode="0">
                  <c:v>75.260000000000005</c:v>
                </c:pt>
                <c:pt idx="14" formatCode="0">
                  <c:v>75.260000000000005</c:v>
                </c:pt>
                <c:pt idx="15" formatCode="0">
                  <c:v>75.260000000000005</c:v>
                </c:pt>
                <c:pt idx="16" formatCode="0">
                  <c:v>75.260000000000005</c:v>
                </c:pt>
                <c:pt idx="19" formatCode="0">
                  <c:v>75.260000000000005</c:v>
                </c:pt>
                <c:pt idx="20" formatCode="0">
                  <c:v>75.260000000000005</c:v>
                </c:pt>
                <c:pt idx="21" formatCode="0">
                  <c:v>75.260000000000005</c:v>
                </c:pt>
                <c:pt idx="22" formatCode="0">
                  <c:v>75.260000000000005</c:v>
                </c:pt>
                <c:pt idx="23" formatCode="0">
                  <c:v>75.260000000000005</c:v>
                </c:pt>
                <c:pt idx="26" formatCode="0">
                  <c:v>75.260000000000005</c:v>
                </c:pt>
                <c:pt idx="27" formatCode="0">
                  <c:v>75.260000000000005</c:v>
                </c:pt>
                <c:pt idx="28" formatCode="0">
                  <c:v>75.260000000000005</c:v>
                </c:pt>
                <c:pt idx="29" formatCode="0">
                  <c:v>75.260000000000005</c:v>
                </c:pt>
                <c:pt idx="30" formatCode="0">
                  <c:v>75.260000000000005</c:v>
                </c:pt>
                <c:pt idx="33" formatCode="0">
                  <c:v>75.260000000000005</c:v>
                </c:pt>
                <c:pt idx="34" formatCode="0">
                  <c:v>75.260000000000005</c:v>
                </c:pt>
                <c:pt idx="35" formatCode="0">
                  <c:v>75.260000000000005</c:v>
                </c:pt>
                <c:pt idx="36" formatCode="0">
                  <c:v>75.260000000000005</c:v>
                </c:pt>
                <c:pt idx="37" formatCode="0">
                  <c:v>75.260000000000005</c:v>
                </c:pt>
                <c:pt idx="40">
                  <c:v>75.260000000000005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2DF-4DD6-BC8C-DE068F246019}"/>
            </c:ext>
          </c:extLst>
        </c:ser>
        <c:ser>
          <c:idx val="22"/>
          <c:order val="7"/>
          <c:tx>
            <c:strRef>
              <c:f>'Hằng ngày'!$A$167</c:f>
              <c:strCache>
                <c:ptCount val="1"/>
                <c:pt idx="0">
                  <c:v>Mục tiêu số PCS HT CĐ Ca 1(Còn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ngày'!$B$161:$AS$161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ngày'!$B$167:$AS$167</c:f>
              <c:numCache>
                <c:formatCode>General</c:formatCode>
                <c:ptCount val="44"/>
                <c:pt idx="12" formatCode="0">
                  <c:v>75.260000000000005</c:v>
                </c:pt>
                <c:pt idx="13" formatCode="0">
                  <c:v>77.22</c:v>
                </c:pt>
                <c:pt idx="14" formatCode="0">
                  <c:v>80.92</c:v>
                </c:pt>
                <c:pt idx="15" formatCode="0">
                  <c:v>85.14</c:v>
                </c:pt>
                <c:pt idx="16" formatCode="0">
                  <c:v>88.15</c:v>
                </c:pt>
                <c:pt idx="19" formatCode="0">
                  <c:v>88.16</c:v>
                </c:pt>
                <c:pt idx="20" formatCode="0">
                  <c:v>92.63</c:v>
                </c:pt>
                <c:pt idx="21" formatCode="0">
                  <c:v>98.53</c:v>
                </c:pt>
                <c:pt idx="22" formatCode="0">
                  <c:v>89.81</c:v>
                </c:pt>
                <c:pt idx="23" formatCode="0">
                  <c:v>89.81</c:v>
                </c:pt>
                <c:pt idx="26" formatCode="0">
                  <c:v>89.81</c:v>
                </c:pt>
                <c:pt idx="27" formatCode="0">
                  <c:v>89.81</c:v>
                </c:pt>
                <c:pt idx="28" formatCode="0">
                  <c:v>89.81</c:v>
                </c:pt>
                <c:pt idx="29" formatCode="0">
                  <c:v>89.81</c:v>
                </c:pt>
                <c:pt idx="30" formatCode="0">
                  <c:v>89.81</c:v>
                </c:pt>
                <c:pt idx="33" formatCode="0">
                  <c:v>89.81</c:v>
                </c:pt>
                <c:pt idx="34" formatCode="0">
                  <c:v>89.81</c:v>
                </c:pt>
                <c:pt idx="35" formatCode="0">
                  <c:v>89.81</c:v>
                </c:pt>
                <c:pt idx="36" formatCode="0">
                  <c:v>89.81</c:v>
                </c:pt>
                <c:pt idx="37" formatCode="0">
                  <c:v>89.81</c:v>
                </c:pt>
                <c:pt idx="40">
                  <c:v>89.81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2DF-4DD6-BC8C-DE068F246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0949420476190739E-2"/>
          <c:y val="0.90607973605632763"/>
          <c:w val="0.94566100194060854"/>
          <c:h val="9.3920263943672339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Bản vẽ HT Công đoạn Mài dụng cụ (GJ) 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1570573622402892E-2"/>
          <c:y val="0.12210811858167021"/>
          <c:w val="0.96259513324299906"/>
          <c:h val="0.68859578708445213"/>
        </c:manualLayout>
      </c:layout>
      <c:barChart>
        <c:barDir val="col"/>
        <c:grouping val="clustered"/>
        <c:varyColors val="0"/>
        <c:ser>
          <c:idx val="13"/>
          <c:order val="0"/>
          <c:tx>
            <c:strRef>
              <c:f>'Hằng ngày'!$A$195</c:f>
              <c:strCache>
                <c:ptCount val="1"/>
                <c:pt idx="0">
                  <c:v>Thực tích Bản vẽ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ngày'!$B$181:$AS$181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ngày'!$B$195:$AS$195</c:f>
              <c:numCache>
                <c:formatCode>General</c:formatCode>
                <c:ptCount val="44"/>
                <c:pt idx="0">
                  <c:v>85</c:v>
                </c:pt>
                <c:pt idx="1">
                  <c:v>48</c:v>
                </c:pt>
                <c:pt idx="2">
                  <c:v>38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A-4A29-8BC0-35B7BE2F77FA}"/>
            </c:ext>
          </c:extLst>
        </c:ser>
        <c:ser>
          <c:idx val="14"/>
          <c:order val="1"/>
          <c:tx>
            <c:strRef>
              <c:f>'Hằng ngày'!$A$196</c:f>
              <c:strCache>
                <c:ptCount val="1"/>
                <c:pt idx="0">
                  <c:v>Thực tích Bản vẽ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ngày'!$B$181:$AS$181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ngày'!$B$196:$AS$196</c:f>
              <c:numCache>
                <c:formatCode>General</c:formatCode>
                <c:ptCount val="44"/>
                <c:pt idx="0">
                  <c:v>79</c:v>
                </c:pt>
                <c:pt idx="1">
                  <c:v>44</c:v>
                </c:pt>
                <c:pt idx="2">
                  <c:v>73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2A-4A29-8BC0-35B7BE2F7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5"/>
          <c:order val="2"/>
          <c:tx>
            <c:strRef>
              <c:f>'Hằng ngày'!$A$191</c:f>
              <c:strCache>
                <c:ptCount val="1"/>
                <c:pt idx="0">
                  <c:v>Thực tích Bản vẽ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ngày'!$B$181:$AS$181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ngày'!$B$191:$AS$191</c:f>
              <c:numCache>
                <c:formatCode>General</c:formatCode>
                <c:ptCount val="44"/>
                <c:pt idx="12">
                  <c:v>2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4</c:v>
                </c:pt>
                <c:pt idx="20">
                  <c:v>2</c:v>
                </c:pt>
                <c:pt idx="2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2A-4A29-8BC0-35B7BE2F77FA}"/>
            </c:ext>
          </c:extLst>
        </c:ser>
        <c:ser>
          <c:idx val="16"/>
          <c:order val="3"/>
          <c:tx>
            <c:strRef>
              <c:f>'Hằng ngày'!$A$192</c:f>
              <c:strCache>
                <c:ptCount val="1"/>
                <c:pt idx="0">
                  <c:v>Thực tích Bản vẽ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ngày'!$B$181:$AS$181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ngày'!$B$192:$AS$192</c:f>
              <c:numCache>
                <c:formatCode>General</c:formatCode>
                <c:ptCount val="44"/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3</c:v>
                </c:pt>
                <c:pt idx="2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2A-4A29-8BC0-35B7BE2F7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7"/>
          <c:order val="4"/>
          <c:tx>
            <c:strRef>
              <c:f>'Hằng ngày'!$A$189</c:f>
              <c:strCache>
                <c:ptCount val="1"/>
                <c:pt idx="0">
                  <c:v>Mục tiêu Bản vẽ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cat>
            <c:strRef>
              <c:f>'Hằng ngày'!$B$181:$AS$181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ngày'!$B$189:$AS$189</c:f>
              <c:numCache>
                <c:formatCode>0</c:formatCode>
                <c:ptCount val="44"/>
                <c:pt idx="0">
                  <c:v>89.409187571682978</c:v>
                </c:pt>
                <c:pt idx="1">
                  <c:v>60.960809707965673</c:v>
                </c:pt>
                <c:pt idx="2">
                  <c:v>89.409187571682978</c:v>
                </c:pt>
                <c:pt idx="3">
                  <c:v>85.345133591151935</c:v>
                </c:pt>
                <c:pt idx="4">
                  <c:v>81.281079610620878</c:v>
                </c:pt>
                <c:pt idx="5">
                  <c:v>89.409187571682978</c:v>
                </c:pt>
                <c:pt idx="6">
                  <c:v>93.47324155221402</c:v>
                </c:pt>
                <c:pt idx="7">
                  <c:v>85.345133591151935</c:v>
                </c:pt>
                <c:pt idx="8">
                  <c:v>85.345133591151935</c:v>
                </c:pt>
                <c:pt idx="9">
                  <c:v>89.409187571682978</c:v>
                </c:pt>
                <c:pt idx="10">
                  <c:v>85.345133591151935</c:v>
                </c:pt>
                <c:pt idx="11">
                  <c:v>89.409187571682978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2A-4A29-8BC0-35B7BE2F7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18"/>
          <c:order val="5"/>
          <c:tx>
            <c:strRef>
              <c:f>'Hằng ngày'!$A$183</c:f>
              <c:strCache>
                <c:ptCount val="1"/>
                <c:pt idx="0">
                  <c:v>Mục tiêu Bản vẽ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ngày'!$B$181:$AS$181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ngày'!$B$183:$AS$183</c:f>
              <c:numCache>
                <c:formatCode>General</c:formatCode>
                <c:ptCount val="44"/>
                <c:pt idx="12" formatCode="0">
                  <c:v>4.0599999999999996</c:v>
                </c:pt>
                <c:pt idx="13" formatCode="0">
                  <c:v>4.0599999999999996</c:v>
                </c:pt>
                <c:pt idx="14" formatCode="0">
                  <c:v>4.0599999999999996</c:v>
                </c:pt>
                <c:pt idx="15" formatCode="0">
                  <c:v>4.0599999999999996</c:v>
                </c:pt>
                <c:pt idx="16" formatCode="0">
                  <c:v>4.0599999999999996</c:v>
                </c:pt>
                <c:pt idx="19" formatCode="0">
                  <c:v>4.0599999999999996</c:v>
                </c:pt>
                <c:pt idx="20" formatCode="0">
                  <c:v>4.0599999999999996</c:v>
                </c:pt>
                <c:pt idx="21" formatCode="0">
                  <c:v>4.0599999999999996</c:v>
                </c:pt>
                <c:pt idx="22" formatCode="0">
                  <c:v>4.0599999999999996</c:v>
                </c:pt>
                <c:pt idx="23" formatCode="0">
                  <c:v>4.0599999999999996</c:v>
                </c:pt>
                <c:pt idx="26" formatCode="0">
                  <c:v>4.0599999999999996</c:v>
                </c:pt>
                <c:pt idx="27" formatCode="0">
                  <c:v>4.0599999999999996</c:v>
                </c:pt>
                <c:pt idx="28" formatCode="0">
                  <c:v>4.0599999999999996</c:v>
                </c:pt>
                <c:pt idx="29" formatCode="0">
                  <c:v>4.0599999999999996</c:v>
                </c:pt>
                <c:pt idx="30" formatCode="0">
                  <c:v>4.0599999999999996</c:v>
                </c:pt>
                <c:pt idx="33" formatCode="0">
                  <c:v>4.0599999999999996</c:v>
                </c:pt>
                <c:pt idx="34" formatCode="0">
                  <c:v>4.0599999999999996</c:v>
                </c:pt>
                <c:pt idx="35" formatCode="0">
                  <c:v>4.0599999999999996</c:v>
                </c:pt>
                <c:pt idx="36" formatCode="0">
                  <c:v>4.0599999999999996</c:v>
                </c:pt>
                <c:pt idx="37" formatCode="0">
                  <c:v>4.0599999999999996</c:v>
                </c:pt>
                <c:pt idx="40">
                  <c:v>4.0599999999999996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C2A-4A29-8BC0-35B7BE2F77FA}"/>
            </c:ext>
          </c:extLst>
        </c:ser>
        <c:ser>
          <c:idx val="19"/>
          <c:order val="6"/>
          <c:tx>
            <c:strRef>
              <c:f>'Hằng ngày'!$A$185</c:f>
              <c:strCache>
                <c:ptCount val="1"/>
                <c:pt idx="0">
                  <c:v>Mục tiêu Bản vẽ HT CĐ Ca 1 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ngày'!$B$181:$AS$181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ngày'!$B$185:$AS$185</c:f>
              <c:numCache>
                <c:formatCode>General</c:formatCode>
                <c:ptCount val="44"/>
                <c:pt idx="12" formatCode="0">
                  <c:v>4.0599999999999996</c:v>
                </c:pt>
                <c:pt idx="13" formatCode="0">
                  <c:v>4.17</c:v>
                </c:pt>
                <c:pt idx="14" formatCode="0">
                  <c:v>4.3899999999999997</c:v>
                </c:pt>
                <c:pt idx="15" formatCode="0">
                  <c:v>4.46</c:v>
                </c:pt>
                <c:pt idx="16" formatCode="0">
                  <c:v>4.67</c:v>
                </c:pt>
                <c:pt idx="19" formatCode="0">
                  <c:v>4.83</c:v>
                </c:pt>
                <c:pt idx="20" formatCode="0">
                  <c:v>4.8899999999999997</c:v>
                </c:pt>
                <c:pt idx="21" formatCode="0">
                  <c:v>5.0999999999999996</c:v>
                </c:pt>
                <c:pt idx="22" formatCode="0">
                  <c:v>5.26</c:v>
                </c:pt>
                <c:pt idx="23" formatCode="0">
                  <c:v>5.26</c:v>
                </c:pt>
                <c:pt idx="26" formatCode="0">
                  <c:v>5.26</c:v>
                </c:pt>
                <c:pt idx="27" formatCode="0">
                  <c:v>5.26</c:v>
                </c:pt>
                <c:pt idx="28" formatCode="0">
                  <c:v>5.26</c:v>
                </c:pt>
                <c:pt idx="29" formatCode="0">
                  <c:v>5.26</c:v>
                </c:pt>
                <c:pt idx="30" formatCode="0">
                  <c:v>5.26</c:v>
                </c:pt>
                <c:pt idx="33" formatCode="0">
                  <c:v>5.26</c:v>
                </c:pt>
                <c:pt idx="34" formatCode="0">
                  <c:v>5.26</c:v>
                </c:pt>
                <c:pt idx="35" formatCode="0">
                  <c:v>5.26</c:v>
                </c:pt>
                <c:pt idx="36" formatCode="0">
                  <c:v>5.26</c:v>
                </c:pt>
                <c:pt idx="37" formatCode="0">
                  <c:v>5.26</c:v>
                </c:pt>
                <c:pt idx="40">
                  <c:v>5.26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C2A-4A29-8BC0-35B7BE2F77FA}"/>
            </c:ext>
          </c:extLst>
        </c:ser>
        <c:ser>
          <c:idx val="20"/>
          <c:order val="7"/>
          <c:tx>
            <c:strRef>
              <c:f>'Hằng ngày'!$A$186</c:f>
              <c:strCache>
                <c:ptCount val="1"/>
                <c:pt idx="0">
                  <c:v>Mục tiêu Bản vẽ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ngày'!$B$181:$AS$181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ngày'!$B$186:$AS$186</c:f>
              <c:numCache>
                <c:formatCode>General</c:formatCode>
                <c:ptCount val="44"/>
                <c:pt idx="12" formatCode="0">
                  <c:v>4.0599999999999996</c:v>
                </c:pt>
                <c:pt idx="13" formatCode="0">
                  <c:v>4.17</c:v>
                </c:pt>
                <c:pt idx="14" formatCode="0">
                  <c:v>4.28</c:v>
                </c:pt>
                <c:pt idx="15" formatCode="0">
                  <c:v>4.3499999999999996</c:v>
                </c:pt>
                <c:pt idx="16" formatCode="0">
                  <c:v>4.43</c:v>
                </c:pt>
                <c:pt idx="19" formatCode="0">
                  <c:v>4.5199999999999996</c:v>
                </c:pt>
                <c:pt idx="20" formatCode="0">
                  <c:v>4.62</c:v>
                </c:pt>
                <c:pt idx="21" formatCode="0">
                  <c:v>4.74</c:v>
                </c:pt>
                <c:pt idx="22" formatCode="0">
                  <c:v>4.72</c:v>
                </c:pt>
                <c:pt idx="23" formatCode="0">
                  <c:v>4.72</c:v>
                </c:pt>
                <c:pt idx="26" formatCode="0">
                  <c:v>4.72</c:v>
                </c:pt>
                <c:pt idx="27" formatCode="0">
                  <c:v>4.72</c:v>
                </c:pt>
                <c:pt idx="28" formatCode="0">
                  <c:v>4.72</c:v>
                </c:pt>
                <c:pt idx="29" formatCode="0">
                  <c:v>4.72</c:v>
                </c:pt>
                <c:pt idx="30" formatCode="0">
                  <c:v>4.72</c:v>
                </c:pt>
                <c:pt idx="33" formatCode="0">
                  <c:v>4.72</c:v>
                </c:pt>
                <c:pt idx="34" formatCode="0">
                  <c:v>4.72</c:v>
                </c:pt>
                <c:pt idx="35" formatCode="0">
                  <c:v>4.72</c:v>
                </c:pt>
                <c:pt idx="36" formatCode="0">
                  <c:v>4.72</c:v>
                </c:pt>
                <c:pt idx="37" formatCode="0">
                  <c:v>4.72</c:v>
                </c:pt>
                <c:pt idx="40">
                  <c:v>4.72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C2A-4A29-8BC0-35B7BE2F7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0896668178423498E-2"/>
          <c:y val="0.91376317497224302"/>
          <c:w val="0.94755696410307499"/>
          <c:h val="8.6236825027757022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Bản vẽ HT Công đoạn Phay CNC (MC)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3004629629629625E-2"/>
          <c:y val="0.12599319410361046"/>
          <c:w val="0.95701490514905152"/>
          <c:h val="0.70014187937018502"/>
        </c:manualLayout>
      </c:layout>
      <c:barChart>
        <c:barDir val="col"/>
        <c:grouping val="clustered"/>
        <c:varyColors val="0"/>
        <c:ser>
          <c:idx val="13"/>
          <c:order val="0"/>
          <c:tx>
            <c:strRef>
              <c:f>'Hằng ngày'!$A$215</c:f>
              <c:strCache>
                <c:ptCount val="1"/>
                <c:pt idx="0">
                  <c:v>Thực tích Bản vẽ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ngày'!$B$201:$AS$201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ngày'!$B$215:$AS$215</c:f>
              <c:numCache>
                <c:formatCode>General</c:formatCode>
                <c:ptCount val="44"/>
                <c:pt idx="0">
                  <c:v>124</c:v>
                </c:pt>
                <c:pt idx="1">
                  <c:v>81</c:v>
                </c:pt>
                <c:pt idx="2">
                  <c:v>146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6-4A48-BBCD-D4D6C0E38FC2}"/>
            </c:ext>
          </c:extLst>
        </c:ser>
        <c:ser>
          <c:idx val="14"/>
          <c:order val="1"/>
          <c:tx>
            <c:strRef>
              <c:f>'Hằng ngày'!$A$216</c:f>
              <c:strCache>
                <c:ptCount val="1"/>
                <c:pt idx="0">
                  <c:v>Thực tích Bản vẽ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ngày'!$B$201:$AS$201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ngày'!$B$216:$AS$216</c:f>
              <c:numCache>
                <c:formatCode>General</c:formatCode>
                <c:ptCount val="44"/>
                <c:pt idx="0">
                  <c:v>133</c:v>
                </c:pt>
                <c:pt idx="1">
                  <c:v>90</c:v>
                </c:pt>
                <c:pt idx="2">
                  <c:v>166</c:v>
                </c:pt>
                <c:pt idx="3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16-4A48-BBCD-D4D6C0E38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5"/>
          <c:order val="2"/>
          <c:tx>
            <c:strRef>
              <c:f>'Hằng ngày'!$A$211</c:f>
              <c:strCache>
                <c:ptCount val="1"/>
                <c:pt idx="0">
                  <c:v>Thực tích Bản vẽ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ngày'!$B$201:$AS$201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ngày'!$B$211:$AS$211</c:f>
              <c:numCache>
                <c:formatCode>General</c:formatCode>
                <c:ptCount val="44"/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5</c:v>
                </c:pt>
                <c:pt idx="2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16-4A48-BBCD-D4D6C0E38FC2}"/>
            </c:ext>
          </c:extLst>
        </c:ser>
        <c:ser>
          <c:idx val="16"/>
          <c:order val="3"/>
          <c:tx>
            <c:strRef>
              <c:f>'Hằng ngày'!$A$212</c:f>
              <c:strCache>
                <c:ptCount val="1"/>
                <c:pt idx="0">
                  <c:v>Thực tích Bản vẽ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ngày'!$B$201:$AS$201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ngày'!$B$212:$AS$212</c:f>
              <c:numCache>
                <c:formatCode>General</c:formatCode>
                <c:ptCount val="44"/>
                <c:pt idx="12">
                  <c:v>5</c:v>
                </c:pt>
                <c:pt idx="13">
                  <c:v>4</c:v>
                </c:pt>
                <c:pt idx="14">
                  <c:v>5</c:v>
                </c:pt>
                <c:pt idx="15">
                  <c:v>4</c:v>
                </c:pt>
                <c:pt idx="16">
                  <c:v>4</c:v>
                </c:pt>
                <c:pt idx="17">
                  <c:v>3</c:v>
                </c:pt>
                <c:pt idx="18">
                  <c:v>0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16-4A48-BBCD-D4D6C0E38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7"/>
          <c:order val="4"/>
          <c:tx>
            <c:strRef>
              <c:f>'Hằng ngày'!$A$209</c:f>
              <c:strCache>
                <c:ptCount val="1"/>
                <c:pt idx="0">
                  <c:v>Mục tiêu Bản vẽ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ngày'!$B$201:$AS$201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ngày'!$B$209:$AS$209</c:f>
              <c:numCache>
                <c:formatCode>0</c:formatCode>
                <c:ptCount val="44"/>
                <c:pt idx="0">
                  <c:v>140.64707010493339</c:v>
                </c:pt>
                <c:pt idx="1">
                  <c:v>95.895729617000029</c:v>
                </c:pt>
                <c:pt idx="2">
                  <c:v>140.64707010493339</c:v>
                </c:pt>
                <c:pt idx="3">
                  <c:v>134.2540214638</c:v>
                </c:pt>
                <c:pt idx="4">
                  <c:v>127.8609728226667</c:v>
                </c:pt>
                <c:pt idx="5">
                  <c:v>140.64707010493339</c:v>
                </c:pt>
                <c:pt idx="6">
                  <c:v>147.0401187460667</c:v>
                </c:pt>
                <c:pt idx="7">
                  <c:v>134.2540214638</c:v>
                </c:pt>
                <c:pt idx="8">
                  <c:v>134.2540214638</c:v>
                </c:pt>
                <c:pt idx="9">
                  <c:v>140.64707010493339</c:v>
                </c:pt>
                <c:pt idx="10">
                  <c:v>134.2540214638</c:v>
                </c:pt>
                <c:pt idx="11">
                  <c:v>140.64707010493339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16-4A48-BBCD-D4D6C0E38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18"/>
          <c:order val="5"/>
          <c:tx>
            <c:strRef>
              <c:f>'Hằng ngày'!$A$203</c:f>
              <c:strCache>
                <c:ptCount val="1"/>
                <c:pt idx="0">
                  <c:v>Mục tiêu Bản vẽ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ngày'!$B$201:$AS$201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ngày'!$B$203:$AS$203</c:f>
              <c:numCache>
                <c:formatCode>General</c:formatCode>
                <c:ptCount val="44"/>
                <c:pt idx="12" formatCode="0">
                  <c:v>6.39</c:v>
                </c:pt>
                <c:pt idx="13" formatCode="0">
                  <c:v>6.39</c:v>
                </c:pt>
                <c:pt idx="14" formatCode="0">
                  <c:v>6.39</c:v>
                </c:pt>
                <c:pt idx="15" formatCode="0">
                  <c:v>6.39</c:v>
                </c:pt>
                <c:pt idx="16" formatCode="0">
                  <c:v>6.39</c:v>
                </c:pt>
                <c:pt idx="19" formatCode="0">
                  <c:v>6.39</c:v>
                </c:pt>
                <c:pt idx="20" formatCode="0">
                  <c:v>6.39</c:v>
                </c:pt>
                <c:pt idx="21" formatCode="0">
                  <c:v>6.39</c:v>
                </c:pt>
                <c:pt idx="22" formatCode="0">
                  <c:v>6.39</c:v>
                </c:pt>
                <c:pt idx="23" formatCode="0">
                  <c:v>6.39</c:v>
                </c:pt>
                <c:pt idx="26" formatCode="0">
                  <c:v>6.39</c:v>
                </c:pt>
                <c:pt idx="27" formatCode="0">
                  <c:v>6.39</c:v>
                </c:pt>
                <c:pt idx="28" formatCode="0">
                  <c:v>6.39</c:v>
                </c:pt>
                <c:pt idx="29" formatCode="0">
                  <c:v>6.39</c:v>
                </c:pt>
                <c:pt idx="30" formatCode="0">
                  <c:v>6.39</c:v>
                </c:pt>
                <c:pt idx="33" formatCode="0">
                  <c:v>6.39</c:v>
                </c:pt>
                <c:pt idx="34" formatCode="0">
                  <c:v>6.39</c:v>
                </c:pt>
                <c:pt idx="35" formatCode="0">
                  <c:v>6.39</c:v>
                </c:pt>
                <c:pt idx="36" formatCode="0">
                  <c:v>6.39</c:v>
                </c:pt>
                <c:pt idx="37" formatCode="0">
                  <c:v>6.39</c:v>
                </c:pt>
                <c:pt idx="40">
                  <c:v>6.39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16-4A48-BBCD-D4D6C0E38FC2}"/>
            </c:ext>
          </c:extLst>
        </c:ser>
        <c:ser>
          <c:idx val="19"/>
          <c:order val="6"/>
          <c:tx>
            <c:strRef>
              <c:f>'Hằng ngày'!$A$205</c:f>
              <c:strCache>
                <c:ptCount val="1"/>
                <c:pt idx="0">
                  <c:v>Mục tiêu Bản vẽ HT CĐ Ca 1 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ngày'!$B$201:$AS$201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ngày'!$B$205:$AS$205</c:f>
              <c:numCache>
                <c:formatCode>General</c:formatCode>
                <c:ptCount val="44"/>
                <c:pt idx="12" formatCode="0">
                  <c:v>6.39</c:v>
                </c:pt>
                <c:pt idx="13" formatCode="0">
                  <c:v>6.51</c:v>
                </c:pt>
                <c:pt idx="14" formatCode="0">
                  <c:v>6.64</c:v>
                </c:pt>
                <c:pt idx="15" formatCode="0">
                  <c:v>6.74</c:v>
                </c:pt>
                <c:pt idx="16" formatCode="0">
                  <c:v>6.96</c:v>
                </c:pt>
                <c:pt idx="19" formatCode="0">
                  <c:v>7.08</c:v>
                </c:pt>
                <c:pt idx="20" formatCode="0">
                  <c:v>7.35</c:v>
                </c:pt>
                <c:pt idx="21" formatCode="0">
                  <c:v>7.52</c:v>
                </c:pt>
                <c:pt idx="22" formatCode="0">
                  <c:v>7.4</c:v>
                </c:pt>
                <c:pt idx="23" formatCode="0">
                  <c:v>7.4</c:v>
                </c:pt>
                <c:pt idx="26" formatCode="0">
                  <c:v>7.4</c:v>
                </c:pt>
                <c:pt idx="27" formatCode="0">
                  <c:v>7.4</c:v>
                </c:pt>
                <c:pt idx="28" formatCode="0">
                  <c:v>7.4</c:v>
                </c:pt>
                <c:pt idx="29" formatCode="0">
                  <c:v>7.4</c:v>
                </c:pt>
                <c:pt idx="30" formatCode="0">
                  <c:v>7.4</c:v>
                </c:pt>
                <c:pt idx="33" formatCode="0">
                  <c:v>7.4</c:v>
                </c:pt>
                <c:pt idx="34" formatCode="0">
                  <c:v>7.4</c:v>
                </c:pt>
                <c:pt idx="35" formatCode="0">
                  <c:v>7.4</c:v>
                </c:pt>
                <c:pt idx="36" formatCode="0">
                  <c:v>7.4</c:v>
                </c:pt>
                <c:pt idx="37" formatCode="0">
                  <c:v>7.4</c:v>
                </c:pt>
                <c:pt idx="40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16-4A48-BBCD-D4D6C0E38FC2}"/>
            </c:ext>
          </c:extLst>
        </c:ser>
        <c:ser>
          <c:idx val="20"/>
          <c:order val="7"/>
          <c:tx>
            <c:strRef>
              <c:f>'Hằng ngày'!$A$206</c:f>
              <c:strCache>
                <c:ptCount val="1"/>
                <c:pt idx="0">
                  <c:v>Mục tiêu Bản vẽ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ngày'!$B$201:$AS$201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ngày'!$B$206:$AS$206</c:f>
              <c:numCache>
                <c:formatCode>General</c:formatCode>
                <c:ptCount val="44"/>
                <c:pt idx="12" formatCode="0">
                  <c:v>6.39</c:v>
                </c:pt>
                <c:pt idx="13" formatCode="0">
                  <c:v>6.46</c:v>
                </c:pt>
                <c:pt idx="14" formatCode="0">
                  <c:v>6.59</c:v>
                </c:pt>
                <c:pt idx="15" formatCode="0">
                  <c:v>6.68</c:v>
                </c:pt>
                <c:pt idx="16" formatCode="0">
                  <c:v>6.84</c:v>
                </c:pt>
                <c:pt idx="19" formatCode="0">
                  <c:v>6.83</c:v>
                </c:pt>
                <c:pt idx="20" formatCode="0">
                  <c:v>6.82</c:v>
                </c:pt>
                <c:pt idx="21" formatCode="0">
                  <c:v>6.73</c:v>
                </c:pt>
                <c:pt idx="22" formatCode="0">
                  <c:v>6.56</c:v>
                </c:pt>
                <c:pt idx="23" formatCode="0">
                  <c:v>6.56</c:v>
                </c:pt>
                <c:pt idx="26" formatCode="0">
                  <c:v>6.56</c:v>
                </c:pt>
                <c:pt idx="27" formatCode="0">
                  <c:v>6.56</c:v>
                </c:pt>
                <c:pt idx="28" formatCode="0">
                  <c:v>6.56</c:v>
                </c:pt>
                <c:pt idx="29" formatCode="0">
                  <c:v>6.56</c:v>
                </c:pt>
                <c:pt idx="30" formatCode="0">
                  <c:v>6.56</c:v>
                </c:pt>
                <c:pt idx="33" formatCode="0">
                  <c:v>6.56</c:v>
                </c:pt>
                <c:pt idx="34" formatCode="0">
                  <c:v>6.56</c:v>
                </c:pt>
                <c:pt idx="35" formatCode="0">
                  <c:v>6.56</c:v>
                </c:pt>
                <c:pt idx="36" formatCode="0">
                  <c:v>6.56</c:v>
                </c:pt>
                <c:pt idx="37" formatCode="0">
                  <c:v>6.56</c:v>
                </c:pt>
                <c:pt idx="40">
                  <c:v>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516-4A48-BBCD-D4D6C0E38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1.7302455804901369E-2"/>
          <c:y val="0.90624007345068791"/>
          <c:w val="0.95291504826823614"/>
          <c:h val="9.3759926549311937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Số PCS HT Công đoạn Phay CNC (MC)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6762708062652622E-2"/>
          <c:y val="9.4513021365062275E-2"/>
          <c:w val="0.95165133926115297"/>
          <c:h val="0.74014781677896779"/>
        </c:manualLayout>
      </c:layout>
      <c:barChart>
        <c:barDir val="col"/>
        <c:grouping val="clustered"/>
        <c:varyColors val="0"/>
        <c:ser>
          <c:idx val="15"/>
          <c:order val="0"/>
          <c:tx>
            <c:strRef>
              <c:f>'Hằng ngày'!$A$217</c:f>
              <c:strCache>
                <c:ptCount val="1"/>
                <c:pt idx="0">
                  <c:v>Thực tích số PCS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ngày'!$B$201:$AS$201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ngày'!$B$217:$AS$217</c:f>
              <c:numCache>
                <c:formatCode>General</c:formatCode>
                <c:ptCount val="44"/>
                <c:pt idx="0">
                  <c:v>1366</c:v>
                </c:pt>
                <c:pt idx="1">
                  <c:v>639</c:v>
                </c:pt>
                <c:pt idx="2">
                  <c:v>1736</c:v>
                </c:pt>
                <c:pt idx="3">
                  <c:v>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4C-4B37-8457-9F20110F5253}"/>
            </c:ext>
          </c:extLst>
        </c:ser>
        <c:ser>
          <c:idx val="16"/>
          <c:order val="1"/>
          <c:tx>
            <c:strRef>
              <c:f>'Hằng ngày'!$A$218</c:f>
              <c:strCache>
                <c:ptCount val="1"/>
                <c:pt idx="0">
                  <c:v>Thực tích số PCS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ngày'!$B$201:$AS$201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ngày'!$B$218:$AS$218</c:f>
              <c:numCache>
                <c:formatCode>General</c:formatCode>
                <c:ptCount val="44"/>
                <c:pt idx="0">
                  <c:v>2215</c:v>
                </c:pt>
                <c:pt idx="1">
                  <c:v>1561</c:v>
                </c:pt>
                <c:pt idx="2">
                  <c:v>1650</c:v>
                </c:pt>
                <c:pt idx="3">
                  <c:v>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4C-4B37-8457-9F20110F5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7"/>
          <c:order val="2"/>
          <c:tx>
            <c:strRef>
              <c:f>'Hằng ngày'!$A$213</c:f>
              <c:strCache>
                <c:ptCount val="1"/>
                <c:pt idx="0">
                  <c:v>Thực tích số PCS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ngày'!$B$201:$AS$201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ngày'!$B$213:$AS$213</c:f>
              <c:numCache>
                <c:formatCode>General</c:formatCode>
                <c:ptCount val="44"/>
                <c:pt idx="12">
                  <c:v>35</c:v>
                </c:pt>
                <c:pt idx="13">
                  <c:v>18</c:v>
                </c:pt>
                <c:pt idx="14">
                  <c:v>41</c:v>
                </c:pt>
                <c:pt idx="15">
                  <c:v>29</c:v>
                </c:pt>
                <c:pt idx="16">
                  <c:v>32</c:v>
                </c:pt>
                <c:pt idx="17">
                  <c:v>24</c:v>
                </c:pt>
                <c:pt idx="18">
                  <c:v>5</c:v>
                </c:pt>
                <c:pt idx="19">
                  <c:v>7</c:v>
                </c:pt>
                <c:pt idx="20">
                  <c:v>60</c:v>
                </c:pt>
                <c:pt idx="2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4C-4B37-8457-9F20110F5253}"/>
            </c:ext>
          </c:extLst>
        </c:ser>
        <c:ser>
          <c:idx val="18"/>
          <c:order val="3"/>
          <c:tx>
            <c:strRef>
              <c:f>'Hằng ngày'!$A$214</c:f>
              <c:strCache>
                <c:ptCount val="1"/>
                <c:pt idx="0">
                  <c:v>Thực tích số PCS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ngày'!$B$201:$AS$201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ngày'!$B$214:$AS$214</c:f>
              <c:numCache>
                <c:formatCode>General</c:formatCode>
                <c:ptCount val="44"/>
                <c:pt idx="12">
                  <c:v>26</c:v>
                </c:pt>
                <c:pt idx="13">
                  <c:v>80</c:v>
                </c:pt>
                <c:pt idx="14">
                  <c:v>50</c:v>
                </c:pt>
                <c:pt idx="15">
                  <c:v>9</c:v>
                </c:pt>
                <c:pt idx="16">
                  <c:v>118</c:v>
                </c:pt>
                <c:pt idx="17">
                  <c:v>29</c:v>
                </c:pt>
                <c:pt idx="18">
                  <c:v>0</c:v>
                </c:pt>
                <c:pt idx="19">
                  <c:v>18</c:v>
                </c:pt>
                <c:pt idx="20">
                  <c:v>43</c:v>
                </c:pt>
                <c:pt idx="2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4C-4B37-8457-9F20110F5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9"/>
          <c:order val="4"/>
          <c:tx>
            <c:strRef>
              <c:f>'Hằng ngày'!$A$210</c:f>
              <c:strCache>
                <c:ptCount val="1"/>
                <c:pt idx="0">
                  <c:v>Mục tiêu số PCS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ngày'!$B$201:$AS$201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ngày'!$B$210:$AS$210</c:f>
              <c:numCache>
                <c:formatCode>0</c:formatCode>
                <c:ptCount val="44"/>
                <c:pt idx="0">
                  <c:v>2358.6679888455978</c:v>
                </c:pt>
                <c:pt idx="1">
                  <c:v>1608.1827196674531</c:v>
                </c:pt>
                <c:pt idx="2">
                  <c:v>2358.6679888455978</c:v>
                </c:pt>
                <c:pt idx="3">
                  <c:v>2251.4558075344339</c:v>
                </c:pt>
                <c:pt idx="4">
                  <c:v>2144.24362622327</c:v>
                </c:pt>
                <c:pt idx="5">
                  <c:v>2358.6679888455978</c:v>
                </c:pt>
                <c:pt idx="6">
                  <c:v>2465.8801701567609</c:v>
                </c:pt>
                <c:pt idx="7">
                  <c:v>2251.4558075344339</c:v>
                </c:pt>
                <c:pt idx="8">
                  <c:v>2251.4558075344339</c:v>
                </c:pt>
                <c:pt idx="9">
                  <c:v>2358.6679888455978</c:v>
                </c:pt>
                <c:pt idx="10">
                  <c:v>2251.4558075344339</c:v>
                </c:pt>
                <c:pt idx="11">
                  <c:v>2358.6679888455978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4C-4B37-8457-9F20110F5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20"/>
          <c:order val="5"/>
          <c:tx>
            <c:strRef>
              <c:f>'Hằng ngày'!$A$208</c:f>
              <c:strCache>
                <c:ptCount val="1"/>
                <c:pt idx="0">
                  <c:v>Mục tiêu số PCS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ngày'!$B$201:$AS$201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ngày'!$B$208:$AS$208</c:f>
              <c:numCache>
                <c:formatCode>General</c:formatCode>
                <c:ptCount val="44"/>
                <c:pt idx="12" formatCode="0">
                  <c:v>107.21</c:v>
                </c:pt>
                <c:pt idx="13" formatCode="0">
                  <c:v>111.27</c:v>
                </c:pt>
                <c:pt idx="14" formatCode="0">
                  <c:v>112.92</c:v>
                </c:pt>
                <c:pt idx="15" formatCode="0">
                  <c:v>116.41</c:v>
                </c:pt>
                <c:pt idx="16" formatCode="0">
                  <c:v>122.73</c:v>
                </c:pt>
                <c:pt idx="19" formatCode="0">
                  <c:v>121.22</c:v>
                </c:pt>
                <c:pt idx="20" formatCode="0">
                  <c:v>128.1</c:v>
                </c:pt>
                <c:pt idx="21" formatCode="0">
                  <c:v>134.18</c:v>
                </c:pt>
                <c:pt idx="22" formatCode="0">
                  <c:v>142.27000000000001</c:v>
                </c:pt>
                <c:pt idx="23" formatCode="0">
                  <c:v>142.27000000000001</c:v>
                </c:pt>
                <c:pt idx="26" formatCode="0">
                  <c:v>142.27000000000001</c:v>
                </c:pt>
                <c:pt idx="27" formatCode="0">
                  <c:v>142.27000000000001</c:v>
                </c:pt>
                <c:pt idx="28" formatCode="0">
                  <c:v>142.27000000000001</c:v>
                </c:pt>
                <c:pt idx="29" formatCode="0">
                  <c:v>142.27000000000001</c:v>
                </c:pt>
                <c:pt idx="30" formatCode="0">
                  <c:v>142.27000000000001</c:v>
                </c:pt>
                <c:pt idx="33" formatCode="0">
                  <c:v>142.27000000000001</c:v>
                </c:pt>
                <c:pt idx="34" formatCode="0">
                  <c:v>142.27000000000001</c:v>
                </c:pt>
                <c:pt idx="35" formatCode="0">
                  <c:v>142.27000000000001</c:v>
                </c:pt>
                <c:pt idx="36" formatCode="0">
                  <c:v>142.27000000000001</c:v>
                </c:pt>
                <c:pt idx="37" formatCode="0">
                  <c:v>142.27000000000001</c:v>
                </c:pt>
                <c:pt idx="40">
                  <c:v>142.27000000000001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74C-4B37-8457-9F20110F5253}"/>
            </c:ext>
          </c:extLst>
        </c:ser>
        <c:ser>
          <c:idx val="21"/>
          <c:order val="6"/>
          <c:tx>
            <c:strRef>
              <c:f>'Hằng ngày'!$A$204</c:f>
              <c:strCache>
                <c:ptCount val="1"/>
                <c:pt idx="0">
                  <c:v>Mục tiêu số PCS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ngày'!$B$201:$AS$201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ngày'!$B$204:$AS$204</c:f>
              <c:numCache>
                <c:formatCode>General</c:formatCode>
                <c:ptCount val="44"/>
                <c:pt idx="12" formatCode="0">
                  <c:v>107.21</c:v>
                </c:pt>
                <c:pt idx="13" formatCode="0">
                  <c:v>107.21</c:v>
                </c:pt>
                <c:pt idx="14" formatCode="0">
                  <c:v>107.21</c:v>
                </c:pt>
                <c:pt idx="15" formatCode="0">
                  <c:v>107.21</c:v>
                </c:pt>
                <c:pt idx="16" formatCode="0">
                  <c:v>107.21</c:v>
                </c:pt>
                <c:pt idx="19" formatCode="0">
                  <c:v>107.21</c:v>
                </c:pt>
                <c:pt idx="20" formatCode="0">
                  <c:v>107.21</c:v>
                </c:pt>
                <c:pt idx="21" formatCode="0">
                  <c:v>107.21</c:v>
                </c:pt>
                <c:pt idx="22" formatCode="0">
                  <c:v>107.21</c:v>
                </c:pt>
                <c:pt idx="23" formatCode="0">
                  <c:v>107.21</c:v>
                </c:pt>
                <c:pt idx="26" formatCode="0">
                  <c:v>107.21</c:v>
                </c:pt>
                <c:pt idx="27" formatCode="0">
                  <c:v>107.21</c:v>
                </c:pt>
                <c:pt idx="28" formatCode="0">
                  <c:v>107.21</c:v>
                </c:pt>
                <c:pt idx="29" formatCode="0">
                  <c:v>107.21</c:v>
                </c:pt>
                <c:pt idx="30" formatCode="0">
                  <c:v>107.21</c:v>
                </c:pt>
                <c:pt idx="33" formatCode="0">
                  <c:v>107.21</c:v>
                </c:pt>
                <c:pt idx="34" formatCode="0">
                  <c:v>107.21</c:v>
                </c:pt>
                <c:pt idx="35" formatCode="0">
                  <c:v>107.21</c:v>
                </c:pt>
                <c:pt idx="36" formatCode="0">
                  <c:v>107.21</c:v>
                </c:pt>
                <c:pt idx="37" formatCode="0">
                  <c:v>107.21</c:v>
                </c:pt>
                <c:pt idx="40">
                  <c:v>107.21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74C-4B37-8457-9F20110F5253}"/>
            </c:ext>
          </c:extLst>
        </c:ser>
        <c:ser>
          <c:idx val="22"/>
          <c:order val="7"/>
          <c:tx>
            <c:strRef>
              <c:f>'Hằng ngày'!$A$207</c:f>
              <c:strCache>
                <c:ptCount val="1"/>
                <c:pt idx="0">
                  <c:v>Mục tiêu số PCS HT CĐ Ca 1(Còn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ngày'!$B$201:$AS$201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ngày'!$B$207:$AS$207</c:f>
              <c:numCache>
                <c:formatCode>General</c:formatCode>
                <c:ptCount val="44"/>
                <c:pt idx="12" formatCode="0">
                  <c:v>107.21</c:v>
                </c:pt>
                <c:pt idx="13" formatCode="0">
                  <c:v>110.82</c:v>
                </c:pt>
                <c:pt idx="14" formatCode="0">
                  <c:v>115.71</c:v>
                </c:pt>
                <c:pt idx="15" formatCode="0">
                  <c:v>119.86</c:v>
                </c:pt>
                <c:pt idx="16" formatCode="0">
                  <c:v>125.2</c:v>
                </c:pt>
                <c:pt idx="19" formatCode="0">
                  <c:v>129.22</c:v>
                </c:pt>
                <c:pt idx="20" formatCode="0">
                  <c:v>137.36000000000001</c:v>
                </c:pt>
                <c:pt idx="21" formatCode="0">
                  <c:v>142.88999999999999</c:v>
                </c:pt>
                <c:pt idx="22" formatCode="0">
                  <c:v>147.72999999999999</c:v>
                </c:pt>
                <c:pt idx="23" formatCode="0">
                  <c:v>147.72999999999999</c:v>
                </c:pt>
                <c:pt idx="26" formatCode="0">
                  <c:v>147.72999999999999</c:v>
                </c:pt>
                <c:pt idx="27" formatCode="0">
                  <c:v>147.72999999999999</c:v>
                </c:pt>
                <c:pt idx="28" formatCode="0">
                  <c:v>147.72999999999999</c:v>
                </c:pt>
                <c:pt idx="29" formatCode="0">
                  <c:v>147.72999999999999</c:v>
                </c:pt>
                <c:pt idx="30" formatCode="0">
                  <c:v>147.72999999999999</c:v>
                </c:pt>
                <c:pt idx="33" formatCode="0">
                  <c:v>147.72999999999999</c:v>
                </c:pt>
                <c:pt idx="34" formatCode="0">
                  <c:v>147.72999999999999</c:v>
                </c:pt>
                <c:pt idx="35" formatCode="0">
                  <c:v>147.72999999999999</c:v>
                </c:pt>
                <c:pt idx="36" formatCode="0">
                  <c:v>147.72999999999999</c:v>
                </c:pt>
                <c:pt idx="37" formatCode="0">
                  <c:v>147.72999999999999</c:v>
                </c:pt>
                <c:pt idx="40">
                  <c:v>147.72999999999999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74C-4B37-8457-9F20110F5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6334027777777779E-2"/>
          <c:y val="0.90253713981648198"/>
          <c:w val="0.95085972222222226"/>
          <c:h val="9.7462860183518032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Bản vẽ HT Công đoạn Tiện CNC (LN)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0136517615176149E-2"/>
          <c:y val="0.12205277777777777"/>
          <c:w val="0.95988301716350477"/>
          <c:h val="0.70613240740740746"/>
        </c:manualLayout>
      </c:layout>
      <c:barChart>
        <c:barDir val="col"/>
        <c:grouping val="clustered"/>
        <c:varyColors val="0"/>
        <c:ser>
          <c:idx val="13"/>
          <c:order val="0"/>
          <c:tx>
            <c:strRef>
              <c:f>'Hằng ngày'!$A$235</c:f>
              <c:strCache>
                <c:ptCount val="1"/>
                <c:pt idx="0">
                  <c:v>Thực tích Bản vẽ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ngày'!$B$221:$AS$221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ngày'!$B$235:$AS$235</c:f>
              <c:numCache>
                <c:formatCode>General</c:formatCode>
                <c:ptCount val="44"/>
                <c:pt idx="0">
                  <c:v>36</c:v>
                </c:pt>
                <c:pt idx="1">
                  <c:v>13</c:v>
                </c:pt>
                <c:pt idx="2">
                  <c:v>42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D-4697-907B-9CEFC3607FE1}"/>
            </c:ext>
          </c:extLst>
        </c:ser>
        <c:ser>
          <c:idx val="14"/>
          <c:order val="1"/>
          <c:tx>
            <c:strRef>
              <c:f>'Hằng ngày'!$A$236</c:f>
              <c:strCache>
                <c:ptCount val="1"/>
                <c:pt idx="0">
                  <c:v>Thực tích Bản vẽ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ngày'!$B$221:$AS$221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ngày'!$B$236:$AS$236</c:f>
              <c:numCache>
                <c:formatCode>General</c:formatCode>
                <c:ptCount val="44"/>
                <c:pt idx="0">
                  <c:v>41</c:v>
                </c:pt>
                <c:pt idx="1">
                  <c:v>22</c:v>
                </c:pt>
                <c:pt idx="2">
                  <c:v>51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6D-4697-907B-9CEFC3607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5"/>
          <c:order val="2"/>
          <c:tx>
            <c:strRef>
              <c:f>'Hằng ngày'!$A$231</c:f>
              <c:strCache>
                <c:ptCount val="1"/>
                <c:pt idx="0">
                  <c:v>Thực tích Bản vẽ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ngày'!$B$221:$AS$221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ngày'!$B$231:$AS$231</c:f>
              <c:numCache>
                <c:formatCode>General</c:formatCode>
                <c:ptCount val="44"/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0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3</c:v>
                </c:pt>
                <c:pt idx="20">
                  <c:v>0</c:v>
                </c:pt>
                <c:pt idx="2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6D-4697-907B-9CEFC3607FE1}"/>
            </c:ext>
          </c:extLst>
        </c:ser>
        <c:ser>
          <c:idx val="16"/>
          <c:order val="3"/>
          <c:tx>
            <c:strRef>
              <c:f>'Hằng ngày'!$A$232</c:f>
              <c:strCache>
                <c:ptCount val="1"/>
                <c:pt idx="0">
                  <c:v>Thực tích Bản vẽ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ngày'!$B$221:$AS$221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ngày'!$B$232:$AS$232</c:f>
              <c:numCache>
                <c:formatCode>General</c:formatCode>
                <c:ptCount val="44"/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3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6D-4697-907B-9CEFC3607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7"/>
          <c:order val="4"/>
          <c:tx>
            <c:strRef>
              <c:f>'Hằng ngày'!$A$229</c:f>
              <c:strCache>
                <c:ptCount val="1"/>
                <c:pt idx="0">
                  <c:v>Mục tiêu Bản vẽ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ngày'!$B$221:$AS$221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ngày'!$B$229:$AS$229</c:f>
              <c:numCache>
                <c:formatCode>0</c:formatCode>
                <c:ptCount val="44"/>
                <c:pt idx="0">
                  <c:v>44.697561976870112</c:v>
                </c:pt>
                <c:pt idx="1">
                  <c:v>30.475610438775071</c:v>
                </c:pt>
                <c:pt idx="2">
                  <c:v>44.697561976870112</c:v>
                </c:pt>
                <c:pt idx="3">
                  <c:v>42.665854614285102</c:v>
                </c:pt>
                <c:pt idx="4">
                  <c:v>40.634147251700092</c:v>
                </c:pt>
                <c:pt idx="5">
                  <c:v>44.697561976870112</c:v>
                </c:pt>
                <c:pt idx="6">
                  <c:v>46.729269339455108</c:v>
                </c:pt>
                <c:pt idx="7">
                  <c:v>42.665854614285102</c:v>
                </c:pt>
                <c:pt idx="8">
                  <c:v>42.665854614285102</c:v>
                </c:pt>
                <c:pt idx="9">
                  <c:v>44.697561976870112</c:v>
                </c:pt>
                <c:pt idx="10">
                  <c:v>42.665854614285102</c:v>
                </c:pt>
                <c:pt idx="11">
                  <c:v>44.697561976870112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6D-4697-907B-9CEFC3607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18"/>
          <c:order val="5"/>
          <c:tx>
            <c:strRef>
              <c:f>'Hằng ngày'!$A$223</c:f>
              <c:strCache>
                <c:ptCount val="1"/>
                <c:pt idx="0">
                  <c:v>Mục tiêu Bản vẽ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ngày'!$B$221:$AS$221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ngày'!$B$223:$AS$223</c:f>
              <c:numCache>
                <c:formatCode>General</c:formatCode>
                <c:ptCount val="44"/>
                <c:pt idx="12" formatCode="0">
                  <c:v>2.0299999999999998</c:v>
                </c:pt>
                <c:pt idx="13" formatCode="0">
                  <c:v>2.0299999999999998</c:v>
                </c:pt>
                <c:pt idx="14" formatCode="0">
                  <c:v>2.0299999999999998</c:v>
                </c:pt>
                <c:pt idx="15" formatCode="0">
                  <c:v>2.0299999999999998</c:v>
                </c:pt>
                <c:pt idx="16" formatCode="0">
                  <c:v>2.0299999999999998</c:v>
                </c:pt>
                <c:pt idx="19" formatCode="0">
                  <c:v>2.0299999999999998</c:v>
                </c:pt>
                <c:pt idx="20" formatCode="0">
                  <c:v>2.0299999999999998</c:v>
                </c:pt>
                <c:pt idx="21" formatCode="0">
                  <c:v>2.0299999999999998</c:v>
                </c:pt>
                <c:pt idx="22" formatCode="0">
                  <c:v>2.0299999999999998</c:v>
                </c:pt>
                <c:pt idx="23" formatCode="0">
                  <c:v>2.0299999999999998</c:v>
                </c:pt>
                <c:pt idx="26" formatCode="0">
                  <c:v>2.0299999999999998</c:v>
                </c:pt>
                <c:pt idx="27" formatCode="0">
                  <c:v>2.0299999999999998</c:v>
                </c:pt>
                <c:pt idx="28" formatCode="0">
                  <c:v>2.0299999999999998</c:v>
                </c:pt>
                <c:pt idx="29" formatCode="0">
                  <c:v>2.0299999999999998</c:v>
                </c:pt>
                <c:pt idx="30" formatCode="0">
                  <c:v>2.0299999999999998</c:v>
                </c:pt>
                <c:pt idx="33" formatCode="0">
                  <c:v>2.0299999999999998</c:v>
                </c:pt>
                <c:pt idx="34" formatCode="0">
                  <c:v>2.0299999999999998</c:v>
                </c:pt>
                <c:pt idx="35" formatCode="0">
                  <c:v>2.0299999999999998</c:v>
                </c:pt>
                <c:pt idx="36" formatCode="0">
                  <c:v>2.0299999999999998</c:v>
                </c:pt>
                <c:pt idx="37" formatCode="0">
                  <c:v>2.0299999999999998</c:v>
                </c:pt>
                <c:pt idx="40">
                  <c:v>2.0299999999999998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A6D-4697-907B-9CEFC3607FE1}"/>
            </c:ext>
          </c:extLst>
        </c:ser>
        <c:ser>
          <c:idx val="19"/>
          <c:order val="6"/>
          <c:tx>
            <c:strRef>
              <c:f>'Hằng ngày'!$A$225</c:f>
              <c:strCache>
                <c:ptCount val="1"/>
                <c:pt idx="0">
                  <c:v>Mục tiêu Bản vẽ HT CĐ Ca 1 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ngày'!$B$221:$AS$221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ngày'!$B$225:$AS$225</c:f>
              <c:numCache>
                <c:formatCode>General</c:formatCode>
                <c:ptCount val="44"/>
                <c:pt idx="12" formatCode="0">
                  <c:v>2.0299999999999998</c:v>
                </c:pt>
                <c:pt idx="13" formatCode="0">
                  <c:v>1.98</c:v>
                </c:pt>
                <c:pt idx="14" formatCode="0">
                  <c:v>1.93</c:v>
                </c:pt>
                <c:pt idx="15" formatCode="0">
                  <c:v>1.87</c:v>
                </c:pt>
                <c:pt idx="16" formatCode="0">
                  <c:v>1.98</c:v>
                </c:pt>
                <c:pt idx="19" formatCode="0">
                  <c:v>1.85</c:v>
                </c:pt>
                <c:pt idx="20" formatCode="0">
                  <c:v>1.78</c:v>
                </c:pt>
                <c:pt idx="21" formatCode="0">
                  <c:v>1.9</c:v>
                </c:pt>
                <c:pt idx="22" formatCode="0">
                  <c:v>1.82</c:v>
                </c:pt>
                <c:pt idx="23" formatCode="0">
                  <c:v>1.82</c:v>
                </c:pt>
                <c:pt idx="26" formatCode="0">
                  <c:v>1.82</c:v>
                </c:pt>
                <c:pt idx="27" formatCode="0">
                  <c:v>1.82</c:v>
                </c:pt>
                <c:pt idx="28" formatCode="0">
                  <c:v>1.82</c:v>
                </c:pt>
                <c:pt idx="29" formatCode="0">
                  <c:v>1.82</c:v>
                </c:pt>
                <c:pt idx="30" formatCode="0">
                  <c:v>1.82</c:v>
                </c:pt>
                <c:pt idx="33" formatCode="0">
                  <c:v>1.82</c:v>
                </c:pt>
                <c:pt idx="34" formatCode="0">
                  <c:v>1.82</c:v>
                </c:pt>
                <c:pt idx="35" formatCode="0">
                  <c:v>1.82</c:v>
                </c:pt>
                <c:pt idx="36" formatCode="0">
                  <c:v>1.82</c:v>
                </c:pt>
                <c:pt idx="37" formatCode="0">
                  <c:v>1.82</c:v>
                </c:pt>
                <c:pt idx="40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A6D-4697-907B-9CEFC3607FE1}"/>
            </c:ext>
          </c:extLst>
        </c:ser>
        <c:ser>
          <c:idx val="20"/>
          <c:order val="7"/>
          <c:tx>
            <c:strRef>
              <c:f>'Hằng ngày'!$A$226</c:f>
              <c:strCache>
                <c:ptCount val="1"/>
                <c:pt idx="0">
                  <c:v>Mục tiêu Bản vẽ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ngày'!$B$221:$AS$221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ngày'!$B$226:$AS$226</c:f>
              <c:numCache>
                <c:formatCode>General</c:formatCode>
                <c:ptCount val="44"/>
                <c:pt idx="12" formatCode="0">
                  <c:v>2.0299999999999998</c:v>
                </c:pt>
                <c:pt idx="13" formatCode="0">
                  <c:v>1.98</c:v>
                </c:pt>
                <c:pt idx="14" formatCode="0">
                  <c:v>1.88</c:v>
                </c:pt>
                <c:pt idx="15" formatCode="0">
                  <c:v>1.76</c:v>
                </c:pt>
                <c:pt idx="16" formatCode="0">
                  <c:v>1.69</c:v>
                </c:pt>
                <c:pt idx="19" formatCode="0">
                  <c:v>1.6</c:v>
                </c:pt>
                <c:pt idx="20" formatCode="0">
                  <c:v>1.64</c:v>
                </c:pt>
                <c:pt idx="21" formatCode="0">
                  <c:v>1.55</c:v>
                </c:pt>
                <c:pt idx="22" formatCode="0">
                  <c:v>1.67</c:v>
                </c:pt>
                <c:pt idx="23" formatCode="0">
                  <c:v>1.67</c:v>
                </c:pt>
                <c:pt idx="26" formatCode="0">
                  <c:v>1.67</c:v>
                </c:pt>
                <c:pt idx="27" formatCode="0">
                  <c:v>1.67</c:v>
                </c:pt>
                <c:pt idx="28" formatCode="0">
                  <c:v>1.67</c:v>
                </c:pt>
                <c:pt idx="29" formatCode="0">
                  <c:v>1.67</c:v>
                </c:pt>
                <c:pt idx="30" formatCode="0">
                  <c:v>1.67</c:v>
                </c:pt>
                <c:pt idx="33" formatCode="0">
                  <c:v>1.67</c:v>
                </c:pt>
                <c:pt idx="34" formatCode="0">
                  <c:v>1.67</c:v>
                </c:pt>
                <c:pt idx="35" formatCode="0">
                  <c:v>1.67</c:v>
                </c:pt>
                <c:pt idx="36" formatCode="0">
                  <c:v>1.67</c:v>
                </c:pt>
                <c:pt idx="37" formatCode="0">
                  <c:v>1.67</c:v>
                </c:pt>
                <c:pt idx="40">
                  <c:v>1.67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A6D-4697-907B-9CEFC3607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97825E-2"/>
          <c:y val="0.89664043209876543"/>
          <c:w val="0.94219888888888914"/>
          <c:h val="9.9645987654320992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Số PCS HT Công đoạn Tiện CNC (LN)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6762708062652622E-2"/>
          <c:y val="0.12602757400376008"/>
          <c:w val="0.95021805403316029"/>
          <c:h val="0.70137839299099303"/>
        </c:manualLayout>
      </c:layout>
      <c:barChart>
        <c:barDir val="col"/>
        <c:grouping val="clustered"/>
        <c:varyColors val="0"/>
        <c:ser>
          <c:idx val="15"/>
          <c:order val="0"/>
          <c:tx>
            <c:strRef>
              <c:f>'Hằng ngày'!$A$237</c:f>
              <c:strCache>
                <c:ptCount val="1"/>
                <c:pt idx="0">
                  <c:v>Thực tích số PCS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ngày'!$B$221:$AS$221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ngày'!$B$237:$AS$237</c:f>
              <c:numCache>
                <c:formatCode>General</c:formatCode>
                <c:ptCount val="44"/>
                <c:pt idx="0">
                  <c:v>2878</c:v>
                </c:pt>
                <c:pt idx="1">
                  <c:v>1465</c:v>
                </c:pt>
                <c:pt idx="2">
                  <c:v>3084</c:v>
                </c:pt>
                <c:pt idx="3">
                  <c:v>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D8-4A46-BCEA-3448EF1CE103}"/>
            </c:ext>
          </c:extLst>
        </c:ser>
        <c:ser>
          <c:idx val="16"/>
          <c:order val="1"/>
          <c:tx>
            <c:strRef>
              <c:f>'Hằng ngày'!$A$238</c:f>
              <c:strCache>
                <c:ptCount val="1"/>
                <c:pt idx="0">
                  <c:v>Thực tích số PCS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ngày'!$B$221:$AS$221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ngày'!$B$238:$AS$238</c:f>
              <c:numCache>
                <c:formatCode>General</c:formatCode>
                <c:ptCount val="44"/>
                <c:pt idx="0">
                  <c:v>3058</c:v>
                </c:pt>
                <c:pt idx="1">
                  <c:v>1690</c:v>
                </c:pt>
                <c:pt idx="2">
                  <c:v>2644</c:v>
                </c:pt>
                <c:pt idx="3">
                  <c:v>1030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D8-4A46-BCEA-3448EF1CE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8"/>
          <c:order val="3"/>
          <c:tx>
            <c:strRef>
              <c:f>'Hằng ngày'!$A$233</c:f>
              <c:strCache>
                <c:ptCount val="1"/>
                <c:pt idx="0">
                  <c:v>Thực tích số PCS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ngày'!$B$221:$AS$221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ngày'!$B$233:$AS$233</c:f>
              <c:numCache>
                <c:formatCode>General</c:formatCode>
                <c:ptCount val="44"/>
                <c:pt idx="12">
                  <c:v>80</c:v>
                </c:pt>
                <c:pt idx="13">
                  <c:v>50</c:v>
                </c:pt>
                <c:pt idx="14">
                  <c:v>55</c:v>
                </c:pt>
                <c:pt idx="15">
                  <c:v>0</c:v>
                </c:pt>
                <c:pt idx="16">
                  <c:v>5</c:v>
                </c:pt>
                <c:pt idx="17">
                  <c:v>13</c:v>
                </c:pt>
                <c:pt idx="18">
                  <c:v>20</c:v>
                </c:pt>
                <c:pt idx="19">
                  <c:v>33</c:v>
                </c:pt>
                <c:pt idx="20">
                  <c:v>0</c:v>
                </c:pt>
                <c:pt idx="2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D8-4A46-BCEA-3448EF1CE103}"/>
            </c:ext>
          </c:extLst>
        </c:ser>
        <c:ser>
          <c:idx val="19"/>
          <c:order val="4"/>
          <c:tx>
            <c:strRef>
              <c:f>'Hằng ngày'!$A$234</c:f>
              <c:strCache>
                <c:ptCount val="1"/>
                <c:pt idx="0">
                  <c:v>Thực tích số PCS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ngày'!$B$221:$AS$221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ngày'!$B$234:$AS$234</c:f>
              <c:numCache>
                <c:formatCode>General</c:formatCode>
                <c:ptCount val="44"/>
                <c:pt idx="12">
                  <c:v>22</c:v>
                </c:pt>
                <c:pt idx="13">
                  <c:v>24</c:v>
                </c:pt>
                <c:pt idx="14">
                  <c:v>224</c:v>
                </c:pt>
                <c:pt idx="15">
                  <c:v>11</c:v>
                </c:pt>
                <c:pt idx="16">
                  <c:v>31</c:v>
                </c:pt>
                <c:pt idx="17">
                  <c:v>12</c:v>
                </c:pt>
                <c:pt idx="18">
                  <c:v>0</c:v>
                </c:pt>
                <c:pt idx="19">
                  <c:v>96</c:v>
                </c:pt>
                <c:pt idx="20">
                  <c:v>610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D8-4A46-BCEA-3448EF1CE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  <c:extLst>
          <c:ext xmlns:c15="http://schemas.microsoft.com/office/drawing/2012/chart" uri="{02D57815-91ED-43cb-92C2-25804820EDAC}">
            <c15:filteredBarSeries>
              <c15:ser>
                <c:idx val="17"/>
                <c:order val="2"/>
                <c:tx>
                  <c:strRef>
                    <c:extLst>
                      <c:ext uri="{02D57815-91ED-43cb-92C2-25804820EDAC}">
                        <c15:formulaRef>
                          <c15:sqref>'Hằng ngày'!$A$231</c15:sqref>
                        </c15:formulaRef>
                      </c:ext>
                    </c:extLst>
                    <c:strCache>
                      <c:ptCount val="1"/>
                      <c:pt idx="0">
                        <c:v>Thực tích Bản vẽ HT CĐ Ca 1 (Ngày)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  <a:prstDash val="solid"/>
                  </a:ln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'Hằng ngày'!$B$221:$AS$221</c15:sqref>
                        </c15:formulaRef>
                      </c:ext>
                    </c:extLst>
                    <c:strCache>
                      <c:ptCount val="41"/>
                      <c:pt idx="0">
                        <c:v>1月</c:v>
                      </c:pt>
                      <c:pt idx="1">
                        <c:v>2月</c:v>
                      </c:pt>
                      <c:pt idx="2">
                        <c:v>3月</c:v>
                      </c:pt>
                      <c:pt idx="3">
                        <c:v>4月</c:v>
                      </c:pt>
                      <c:pt idx="4">
                        <c:v>5月</c:v>
                      </c:pt>
                      <c:pt idx="5">
                        <c:v>6月</c:v>
                      </c:pt>
                      <c:pt idx="6">
                        <c:v>7月</c:v>
                      </c:pt>
                      <c:pt idx="7">
                        <c:v>8月</c:v>
                      </c:pt>
                      <c:pt idx="8">
                        <c:v>9月</c:v>
                      </c:pt>
                      <c:pt idx="9">
                        <c:v>10月</c:v>
                      </c:pt>
                      <c:pt idx="10">
                        <c:v>11月</c:v>
                      </c:pt>
                      <c:pt idx="11">
                        <c:v>12月</c:v>
                      </c:pt>
                      <c:pt idx="12">
                        <c:v>30-Mar</c:v>
                      </c:pt>
                      <c:pt idx="13">
                        <c:v>31-Mar</c:v>
                      </c:pt>
                      <c:pt idx="14">
                        <c:v>01-Apr</c:v>
                      </c:pt>
                      <c:pt idx="15">
                        <c:v>02-Apr</c:v>
                      </c:pt>
                      <c:pt idx="16">
                        <c:v>03-Apr</c:v>
                      </c:pt>
                      <c:pt idx="17">
                        <c:v>04-Apr</c:v>
                      </c:pt>
                      <c:pt idx="18">
                        <c:v>05-Apr</c:v>
                      </c:pt>
                      <c:pt idx="19">
                        <c:v>06-Apr</c:v>
                      </c:pt>
                      <c:pt idx="20">
                        <c:v>07-Apr</c:v>
                      </c:pt>
                      <c:pt idx="21">
                        <c:v>08-Apr</c:v>
                      </c:pt>
                      <c:pt idx="22">
                        <c:v>09-Apr</c:v>
                      </c:pt>
                      <c:pt idx="23">
                        <c:v>10-Apr</c:v>
                      </c:pt>
                      <c:pt idx="24">
                        <c:v>11-Apr</c:v>
                      </c:pt>
                      <c:pt idx="25">
                        <c:v>12-Apr</c:v>
                      </c:pt>
                      <c:pt idx="26">
                        <c:v>13-Apr</c:v>
                      </c:pt>
                      <c:pt idx="27">
                        <c:v>14-Apr</c:v>
                      </c:pt>
                      <c:pt idx="28">
                        <c:v>15-Apr</c:v>
                      </c:pt>
                      <c:pt idx="29">
                        <c:v>16-Apr</c:v>
                      </c:pt>
                      <c:pt idx="30">
                        <c:v>17-Apr</c:v>
                      </c:pt>
                      <c:pt idx="31">
                        <c:v>18-Apr</c:v>
                      </c:pt>
                      <c:pt idx="32">
                        <c:v>19-Apr</c:v>
                      </c:pt>
                      <c:pt idx="33">
                        <c:v>20-Apr</c:v>
                      </c:pt>
                      <c:pt idx="34">
                        <c:v>21-Apr</c:v>
                      </c:pt>
                      <c:pt idx="35">
                        <c:v>22-Apr</c:v>
                      </c:pt>
                      <c:pt idx="36">
                        <c:v>23-Apr</c:v>
                      </c:pt>
                      <c:pt idx="37">
                        <c:v>24-Apr</c:v>
                      </c:pt>
                      <c:pt idx="38">
                        <c:v>25-Apr</c:v>
                      </c:pt>
                      <c:pt idx="39">
                        <c:v>26-Apr</c:v>
                      </c:pt>
                      <c:pt idx="40">
                        <c:v>27-Apr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'Hằng ngày'!$B$231:$AS$231</c15:sqref>
                        </c15:formulaRef>
                      </c:ext>
                    </c:extLst>
                    <c:numCache>
                      <c:formatCode>General</c:formatCode>
                      <c:ptCount val="44"/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0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1</c:v>
                      </c:pt>
                      <c:pt idx="19">
                        <c:v>3</c:v>
                      </c:pt>
                      <c:pt idx="20">
                        <c:v>0</c:v>
                      </c:pt>
                      <c:pt idx="21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5D8-4A46-BCEA-3448EF1CE10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0"/>
          <c:order val="5"/>
          <c:tx>
            <c:strRef>
              <c:f>'Hằng ngày'!$A$230</c:f>
              <c:strCache>
                <c:ptCount val="1"/>
                <c:pt idx="0">
                  <c:v>Mục tiêu số PCS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ngày'!$B$221:$AS$221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ngày'!$B$230:$AS$230</c:f>
              <c:numCache>
                <c:formatCode>0</c:formatCode>
                <c:ptCount val="44"/>
                <c:pt idx="0">
                  <c:v>2860.8669793515301</c:v>
                </c:pt>
                <c:pt idx="1">
                  <c:v>1950.5911222851339</c:v>
                </c:pt>
                <c:pt idx="2">
                  <c:v>2860.8669793515301</c:v>
                </c:pt>
                <c:pt idx="3">
                  <c:v>2730.8275711991869</c:v>
                </c:pt>
                <c:pt idx="4">
                  <c:v>2600.7881630468451</c:v>
                </c:pt>
                <c:pt idx="5">
                  <c:v>2860.8669793515301</c:v>
                </c:pt>
                <c:pt idx="6">
                  <c:v>2990.9063875038719</c:v>
                </c:pt>
                <c:pt idx="7">
                  <c:v>2730.8275711991869</c:v>
                </c:pt>
                <c:pt idx="8">
                  <c:v>2730.8275711991869</c:v>
                </c:pt>
                <c:pt idx="9">
                  <c:v>2860.8669793515301</c:v>
                </c:pt>
                <c:pt idx="10">
                  <c:v>2730.8275711991869</c:v>
                </c:pt>
                <c:pt idx="11">
                  <c:v>2860.8669793515301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5D8-4A46-BCEA-3448EF1CE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21"/>
          <c:order val="6"/>
          <c:tx>
            <c:strRef>
              <c:f>'Hằng ngày'!$A$224</c:f>
              <c:strCache>
                <c:ptCount val="1"/>
                <c:pt idx="0">
                  <c:v>Mục tiêu số PCS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ngày'!$B$221:$AS$221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ngày'!$B$224:$AS$224</c:f>
              <c:numCache>
                <c:formatCode>General</c:formatCode>
                <c:ptCount val="44"/>
                <c:pt idx="12" formatCode="0">
                  <c:v>130.04</c:v>
                </c:pt>
                <c:pt idx="13" formatCode="0">
                  <c:v>130.04</c:v>
                </c:pt>
                <c:pt idx="14" formatCode="0">
                  <c:v>130.04</c:v>
                </c:pt>
                <c:pt idx="15" formatCode="0">
                  <c:v>130.04</c:v>
                </c:pt>
                <c:pt idx="16" formatCode="0">
                  <c:v>130.04</c:v>
                </c:pt>
                <c:pt idx="19" formatCode="0">
                  <c:v>130.04</c:v>
                </c:pt>
                <c:pt idx="20" formatCode="0">
                  <c:v>130.04</c:v>
                </c:pt>
                <c:pt idx="21" formatCode="0">
                  <c:v>130.04</c:v>
                </c:pt>
                <c:pt idx="22" formatCode="0">
                  <c:v>130.04</c:v>
                </c:pt>
                <c:pt idx="23" formatCode="0">
                  <c:v>130.04</c:v>
                </c:pt>
                <c:pt idx="26" formatCode="0">
                  <c:v>130.04</c:v>
                </c:pt>
                <c:pt idx="27" formatCode="0">
                  <c:v>130.04</c:v>
                </c:pt>
                <c:pt idx="28" formatCode="0">
                  <c:v>130.04</c:v>
                </c:pt>
                <c:pt idx="29" formatCode="0">
                  <c:v>130.04</c:v>
                </c:pt>
                <c:pt idx="30" formatCode="0">
                  <c:v>130.04</c:v>
                </c:pt>
                <c:pt idx="33" formatCode="0">
                  <c:v>130.04</c:v>
                </c:pt>
                <c:pt idx="34" formatCode="0">
                  <c:v>130.04</c:v>
                </c:pt>
                <c:pt idx="35" formatCode="0">
                  <c:v>130.04</c:v>
                </c:pt>
                <c:pt idx="36" formatCode="0">
                  <c:v>130.04</c:v>
                </c:pt>
                <c:pt idx="37" formatCode="0">
                  <c:v>130.04</c:v>
                </c:pt>
                <c:pt idx="40">
                  <c:v>130.04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5D8-4A46-BCEA-3448EF1CE103}"/>
            </c:ext>
          </c:extLst>
        </c:ser>
        <c:ser>
          <c:idx val="22"/>
          <c:order val="7"/>
          <c:tx>
            <c:strRef>
              <c:f>'Hằng ngày'!$A$227</c:f>
              <c:strCache>
                <c:ptCount val="1"/>
                <c:pt idx="0">
                  <c:v>Mục tiêu số PCS HT CĐ Ca 1(Còn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ngày'!$B$221:$AS$221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ngày'!$B$227:$AS$227</c:f>
              <c:numCache>
                <c:formatCode>General</c:formatCode>
                <c:ptCount val="44"/>
                <c:pt idx="12" formatCode="0">
                  <c:v>130.04</c:v>
                </c:pt>
                <c:pt idx="13" formatCode="0">
                  <c:v>132.54</c:v>
                </c:pt>
                <c:pt idx="14" formatCode="0">
                  <c:v>136.88999999999999</c:v>
                </c:pt>
                <c:pt idx="15" formatCode="0">
                  <c:v>141.43</c:v>
                </c:pt>
                <c:pt idx="16" formatCode="0">
                  <c:v>149.75</c:v>
                </c:pt>
                <c:pt idx="19" formatCode="0">
                  <c:v>156.74</c:v>
                </c:pt>
                <c:pt idx="20" formatCode="0">
                  <c:v>164.99</c:v>
                </c:pt>
                <c:pt idx="21" formatCode="0">
                  <c:v>176.77</c:v>
                </c:pt>
                <c:pt idx="22" formatCode="0">
                  <c:v>189.99</c:v>
                </c:pt>
                <c:pt idx="23" formatCode="0">
                  <c:v>189.99</c:v>
                </c:pt>
                <c:pt idx="26" formatCode="0">
                  <c:v>189.99</c:v>
                </c:pt>
                <c:pt idx="27" formatCode="0">
                  <c:v>189.99</c:v>
                </c:pt>
                <c:pt idx="28" formatCode="0">
                  <c:v>189.99</c:v>
                </c:pt>
                <c:pt idx="29" formatCode="0">
                  <c:v>189.99</c:v>
                </c:pt>
                <c:pt idx="30" formatCode="0">
                  <c:v>189.99</c:v>
                </c:pt>
                <c:pt idx="33" formatCode="0">
                  <c:v>189.99</c:v>
                </c:pt>
                <c:pt idx="34" formatCode="0">
                  <c:v>189.99</c:v>
                </c:pt>
                <c:pt idx="35" formatCode="0">
                  <c:v>189.99</c:v>
                </c:pt>
                <c:pt idx="36" formatCode="0">
                  <c:v>189.99</c:v>
                </c:pt>
                <c:pt idx="37" formatCode="0">
                  <c:v>189.99</c:v>
                </c:pt>
                <c:pt idx="40">
                  <c:v>189.99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5D8-4A46-BCEA-3448EF1CE103}"/>
            </c:ext>
          </c:extLst>
        </c:ser>
        <c:ser>
          <c:idx val="23"/>
          <c:order val="8"/>
          <c:tx>
            <c:strRef>
              <c:f>'Hằng ngày'!$A$228</c:f>
              <c:strCache>
                <c:ptCount val="1"/>
                <c:pt idx="0">
                  <c:v>Mục tiêu số PCS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ngày'!$B$221:$AS$221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ngày'!$B$228:$AS$228</c:f>
              <c:numCache>
                <c:formatCode>General</c:formatCode>
                <c:ptCount val="44"/>
                <c:pt idx="12" formatCode="0">
                  <c:v>130.04</c:v>
                </c:pt>
                <c:pt idx="13" formatCode="0">
                  <c:v>135.44</c:v>
                </c:pt>
                <c:pt idx="14" formatCode="0">
                  <c:v>141.31</c:v>
                </c:pt>
                <c:pt idx="15" formatCode="0">
                  <c:v>136.71</c:v>
                </c:pt>
                <c:pt idx="16" formatCode="0">
                  <c:v>144.11000000000001</c:v>
                </c:pt>
                <c:pt idx="19" formatCode="0">
                  <c:v>150.43</c:v>
                </c:pt>
                <c:pt idx="20" formatCode="0">
                  <c:v>154.06</c:v>
                </c:pt>
                <c:pt idx="21" formatCode="0">
                  <c:v>121.49</c:v>
                </c:pt>
                <c:pt idx="22" formatCode="0">
                  <c:v>130.83000000000001</c:v>
                </c:pt>
                <c:pt idx="23" formatCode="0">
                  <c:v>130.83000000000001</c:v>
                </c:pt>
                <c:pt idx="26" formatCode="0">
                  <c:v>130.83000000000001</c:v>
                </c:pt>
                <c:pt idx="27" formatCode="0">
                  <c:v>130.83000000000001</c:v>
                </c:pt>
                <c:pt idx="28" formatCode="0">
                  <c:v>130.83000000000001</c:v>
                </c:pt>
                <c:pt idx="29" formatCode="0">
                  <c:v>130.83000000000001</c:v>
                </c:pt>
                <c:pt idx="30" formatCode="0">
                  <c:v>130.83000000000001</c:v>
                </c:pt>
                <c:pt idx="33" formatCode="0">
                  <c:v>130.83000000000001</c:v>
                </c:pt>
                <c:pt idx="34" formatCode="0">
                  <c:v>130.83000000000001</c:v>
                </c:pt>
                <c:pt idx="35" formatCode="0">
                  <c:v>130.83000000000001</c:v>
                </c:pt>
                <c:pt idx="36" formatCode="0">
                  <c:v>130.83000000000001</c:v>
                </c:pt>
                <c:pt idx="37" formatCode="0">
                  <c:v>130.83000000000001</c:v>
                </c:pt>
                <c:pt idx="40">
                  <c:v>130.83000000000001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5D8-4A46-BCEA-3448EF1CE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9861805555555551E-2"/>
          <c:y val="0.89244172472690186"/>
          <c:w val="0.93851249999999986"/>
          <c:h val="0.10755827527309816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Bản vẽ HT Công đoạn Phóng điện (EN) 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0149416296737738E-2"/>
          <c:y val="0.12595179460066136"/>
          <c:w val="0.96272741740511369"/>
          <c:h val="0.70471062383185157"/>
        </c:manualLayout>
      </c:layout>
      <c:barChart>
        <c:barDir val="col"/>
        <c:grouping val="clustered"/>
        <c:varyColors val="0"/>
        <c:ser>
          <c:idx val="13"/>
          <c:order val="0"/>
          <c:tx>
            <c:strRef>
              <c:f>'Hằng ngày'!$A$255</c:f>
              <c:strCache>
                <c:ptCount val="1"/>
                <c:pt idx="0">
                  <c:v>Thực tích Bản vẽ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ngày'!$B$241:$AS$241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ngày'!$B$255:$AS$255</c:f>
              <c:numCache>
                <c:formatCode>General</c:formatCode>
                <c:ptCount val="44"/>
                <c:pt idx="0">
                  <c:v>135</c:v>
                </c:pt>
                <c:pt idx="1">
                  <c:v>84</c:v>
                </c:pt>
                <c:pt idx="2">
                  <c:v>133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8-4690-92FE-2A2894F12733}"/>
            </c:ext>
          </c:extLst>
        </c:ser>
        <c:ser>
          <c:idx val="14"/>
          <c:order val="1"/>
          <c:tx>
            <c:strRef>
              <c:f>'Hằng ngày'!$A$256</c:f>
              <c:strCache>
                <c:ptCount val="1"/>
                <c:pt idx="0">
                  <c:v>Thực tích Bản vẽ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ngày'!$B$241:$AS$241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ngày'!$B$256:$AS$256</c:f>
              <c:numCache>
                <c:formatCode>General</c:formatCode>
                <c:ptCount val="44"/>
                <c:pt idx="0">
                  <c:v>161</c:v>
                </c:pt>
                <c:pt idx="1">
                  <c:v>100</c:v>
                </c:pt>
                <c:pt idx="2">
                  <c:v>143</c:v>
                </c:pt>
                <c:pt idx="3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C8-4690-92FE-2A2894F12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5"/>
          <c:order val="2"/>
          <c:tx>
            <c:strRef>
              <c:f>'Hằng ngày'!$A$251</c:f>
              <c:strCache>
                <c:ptCount val="1"/>
                <c:pt idx="0">
                  <c:v>Thực tích Bản vẽ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ngày'!$B$241:$AS$241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ngày'!$B$251:$AS$251</c:f>
              <c:numCache>
                <c:formatCode>General</c:formatCode>
                <c:ptCount val="44"/>
                <c:pt idx="12">
                  <c:v>5</c:v>
                </c:pt>
                <c:pt idx="13">
                  <c:v>8</c:v>
                </c:pt>
                <c:pt idx="14">
                  <c:v>8</c:v>
                </c:pt>
                <c:pt idx="15">
                  <c:v>6</c:v>
                </c:pt>
                <c:pt idx="16">
                  <c:v>5</c:v>
                </c:pt>
                <c:pt idx="17">
                  <c:v>2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C8-4690-92FE-2A2894F12733}"/>
            </c:ext>
          </c:extLst>
        </c:ser>
        <c:ser>
          <c:idx val="16"/>
          <c:order val="3"/>
          <c:tx>
            <c:strRef>
              <c:f>'Hằng ngày'!$A$252</c:f>
              <c:strCache>
                <c:ptCount val="1"/>
                <c:pt idx="0">
                  <c:v>Thực tích Bản vẽ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ngày'!$B$241:$AS$241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ngày'!$B$252:$AS$252</c:f>
              <c:numCache>
                <c:formatCode>General</c:formatCode>
                <c:ptCount val="44"/>
                <c:pt idx="12">
                  <c:v>3</c:v>
                </c:pt>
                <c:pt idx="13">
                  <c:v>7</c:v>
                </c:pt>
                <c:pt idx="14">
                  <c:v>5</c:v>
                </c:pt>
                <c:pt idx="15">
                  <c:v>7</c:v>
                </c:pt>
                <c:pt idx="16">
                  <c:v>5</c:v>
                </c:pt>
                <c:pt idx="17">
                  <c:v>3</c:v>
                </c:pt>
                <c:pt idx="18">
                  <c:v>0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C8-4690-92FE-2A2894F12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7"/>
          <c:order val="4"/>
          <c:tx>
            <c:strRef>
              <c:f>'Hằng ngày'!$A$249</c:f>
              <c:strCache>
                <c:ptCount val="1"/>
                <c:pt idx="0">
                  <c:v>Mục tiêu Bản vẽ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ngày'!$B$241:$AS$241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ngày'!$B$249:$AS$249</c:f>
              <c:numCache>
                <c:formatCode>0</c:formatCode>
                <c:ptCount val="44"/>
                <c:pt idx="0">
                  <c:v>131.02295396119419</c:v>
                </c:pt>
                <c:pt idx="1">
                  <c:v>89.333832246268784</c:v>
                </c:pt>
                <c:pt idx="2">
                  <c:v>131.02295396119419</c:v>
                </c:pt>
                <c:pt idx="3">
                  <c:v>125.0673651447763</c:v>
                </c:pt>
                <c:pt idx="4">
                  <c:v>119.1117763283584</c:v>
                </c:pt>
                <c:pt idx="5">
                  <c:v>131.02295396119419</c:v>
                </c:pt>
                <c:pt idx="6">
                  <c:v>136.97854277761209</c:v>
                </c:pt>
                <c:pt idx="7">
                  <c:v>125.0673651447763</c:v>
                </c:pt>
                <c:pt idx="8">
                  <c:v>125.0673651447763</c:v>
                </c:pt>
                <c:pt idx="9">
                  <c:v>131.02295396119419</c:v>
                </c:pt>
                <c:pt idx="10">
                  <c:v>125.0673651447763</c:v>
                </c:pt>
                <c:pt idx="11">
                  <c:v>131.02295396119419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C8-4690-92FE-2A2894F12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18"/>
          <c:order val="5"/>
          <c:tx>
            <c:strRef>
              <c:f>'Hằng ngày'!$A$243</c:f>
              <c:strCache>
                <c:ptCount val="1"/>
                <c:pt idx="0">
                  <c:v>Mục tiêu Bản vẽ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'Hằng ngày'!$B$241:$AS$241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ngày'!$B$243:$AS$243</c:f>
              <c:numCache>
                <c:formatCode>General</c:formatCode>
                <c:ptCount val="44"/>
                <c:pt idx="12" formatCode="0">
                  <c:v>5.96</c:v>
                </c:pt>
                <c:pt idx="13" formatCode="0">
                  <c:v>5.96</c:v>
                </c:pt>
                <c:pt idx="14" formatCode="0">
                  <c:v>5.96</c:v>
                </c:pt>
                <c:pt idx="15" formatCode="0">
                  <c:v>5.96</c:v>
                </c:pt>
                <c:pt idx="16" formatCode="0">
                  <c:v>5.96</c:v>
                </c:pt>
                <c:pt idx="19" formatCode="0">
                  <c:v>5.96</c:v>
                </c:pt>
                <c:pt idx="20" formatCode="0">
                  <c:v>5.96</c:v>
                </c:pt>
                <c:pt idx="21" formatCode="0">
                  <c:v>5.96</c:v>
                </c:pt>
                <c:pt idx="22" formatCode="0">
                  <c:v>5.96</c:v>
                </c:pt>
                <c:pt idx="23" formatCode="0">
                  <c:v>5.96</c:v>
                </c:pt>
                <c:pt idx="26" formatCode="0">
                  <c:v>5.96</c:v>
                </c:pt>
                <c:pt idx="27" formatCode="0">
                  <c:v>5.96</c:v>
                </c:pt>
                <c:pt idx="28" formatCode="0">
                  <c:v>5.96</c:v>
                </c:pt>
                <c:pt idx="29" formatCode="0">
                  <c:v>5.96</c:v>
                </c:pt>
                <c:pt idx="30" formatCode="0">
                  <c:v>5.96</c:v>
                </c:pt>
                <c:pt idx="33" formatCode="0">
                  <c:v>5.96</c:v>
                </c:pt>
                <c:pt idx="34" formatCode="0">
                  <c:v>5.96</c:v>
                </c:pt>
                <c:pt idx="35" formatCode="0">
                  <c:v>5.96</c:v>
                </c:pt>
                <c:pt idx="36" formatCode="0">
                  <c:v>5.96</c:v>
                </c:pt>
                <c:pt idx="37" formatCode="0">
                  <c:v>5.96</c:v>
                </c:pt>
                <c:pt idx="40">
                  <c:v>5.96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4C8-4690-92FE-2A2894F12733}"/>
            </c:ext>
          </c:extLst>
        </c:ser>
        <c:ser>
          <c:idx val="19"/>
          <c:order val="6"/>
          <c:tx>
            <c:strRef>
              <c:f>'Hằng ngày'!$A$245</c:f>
              <c:strCache>
                <c:ptCount val="1"/>
                <c:pt idx="0">
                  <c:v>Mục tiêu Bản vẽ HT CĐ Ca 1 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ngày'!$B$241:$AS$241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ngày'!$B$245:$AS$245</c:f>
              <c:numCache>
                <c:formatCode>General</c:formatCode>
                <c:ptCount val="44"/>
                <c:pt idx="12" formatCode="0">
                  <c:v>5.96</c:v>
                </c:pt>
                <c:pt idx="13" formatCode="0">
                  <c:v>6</c:v>
                </c:pt>
                <c:pt idx="14" formatCode="0">
                  <c:v>5.9</c:v>
                </c:pt>
                <c:pt idx="15" formatCode="0">
                  <c:v>5.78</c:v>
                </c:pt>
                <c:pt idx="16" formatCode="0">
                  <c:v>5.77</c:v>
                </c:pt>
                <c:pt idx="19" formatCode="0">
                  <c:v>5.5</c:v>
                </c:pt>
                <c:pt idx="20" formatCode="0">
                  <c:v>5.6</c:v>
                </c:pt>
                <c:pt idx="21" formatCode="0">
                  <c:v>5.65</c:v>
                </c:pt>
                <c:pt idx="22" formatCode="0">
                  <c:v>5.62</c:v>
                </c:pt>
                <c:pt idx="23" formatCode="0">
                  <c:v>5.62</c:v>
                </c:pt>
                <c:pt idx="26" formatCode="0">
                  <c:v>5.62</c:v>
                </c:pt>
                <c:pt idx="27" formatCode="0">
                  <c:v>5.62</c:v>
                </c:pt>
                <c:pt idx="28" formatCode="0">
                  <c:v>5.62</c:v>
                </c:pt>
                <c:pt idx="29" formatCode="0">
                  <c:v>5.62</c:v>
                </c:pt>
                <c:pt idx="30" formatCode="0">
                  <c:v>5.62</c:v>
                </c:pt>
                <c:pt idx="33" formatCode="0">
                  <c:v>5.62</c:v>
                </c:pt>
                <c:pt idx="34" formatCode="0">
                  <c:v>5.62</c:v>
                </c:pt>
                <c:pt idx="35" formatCode="0">
                  <c:v>5.62</c:v>
                </c:pt>
                <c:pt idx="36" formatCode="0">
                  <c:v>5.62</c:v>
                </c:pt>
                <c:pt idx="37" formatCode="0">
                  <c:v>5.62</c:v>
                </c:pt>
                <c:pt idx="40">
                  <c:v>5.62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4C8-4690-92FE-2A2894F12733}"/>
            </c:ext>
          </c:extLst>
        </c:ser>
        <c:ser>
          <c:idx val="20"/>
          <c:order val="7"/>
          <c:tx>
            <c:strRef>
              <c:f>'Hằng ngày'!$A$246</c:f>
              <c:strCache>
                <c:ptCount val="1"/>
                <c:pt idx="0">
                  <c:v>Mục tiêu Bản vẽ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ngày'!$B$241:$AS$241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ngày'!$B$246:$AS$246</c:f>
              <c:numCache>
                <c:formatCode>General</c:formatCode>
                <c:ptCount val="44"/>
                <c:pt idx="12" formatCode="0">
                  <c:v>5.96</c:v>
                </c:pt>
                <c:pt idx="13" formatCode="0">
                  <c:v>6.1</c:v>
                </c:pt>
                <c:pt idx="14" formatCode="0">
                  <c:v>6.06</c:v>
                </c:pt>
                <c:pt idx="15" formatCode="0">
                  <c:v>6.11</c:v>
                </c:pt>
                <c:pt idx="16" formatCode="0">
                  <c:v>6.06</c:v>
                </c:pt>
                <c:pt idx="19" formatCode="0">
                  <c:v>5.94</c:v>
                </c:pt>
                <c:pt idx="20" formatCode="0">
                  <c:v>5.94</c:v>
                </c:pt>
                <c:pt idx="21" formatCode="0">
                  <c:v>5.93</c:v>
                </c:pt>
                <c:pt idx="22" formatCode="0">
                  <c:v>5.93</c:v>
                </c:pt>
                <c:pt idx="23" formatCode="0">
                  <c:v>5.93</c:v>
                </c:pt>
                <c:pt idx="26" formatCode="0">
                  <c:v>5.93</c:v>
                </c:pt>
                <c:pt idx="27" formatCode="0">
                  <c:v>5.93</c:v>
                </c:pt>
                <c:pt idx="28" formatCode="0">
                  <c:v>5.93</c:v>
                </c:pt>
                <c:pt idx="29" formatCode="0">
                  <c:v>5.93</c:v>
                </c:pt>
                <c:pt idx="30" formatCode="0">
                  <c:v>5.93</c:v>
                </c:pt>
                <c:pt idx="33" formatCode="0">
                  <c:v>5.93</c:v>
                </c:pt>
                <c:pt idx="34" formatCode="0">
                  <c:v>5.93</c:v>
                </c:pt>
                <c:pt idx="35" formatCode="0">
                  <c:v>5.93</c:v>
                </c:pt>
                <c:pt idx="36" formatCode="0">
                  <c:v>5.93</c:v>
                </c:pt>
                <c:pt idx="37" formatCode="0">
                  <c:v>5.93</c:v>
                </c:pt>
                <c:pt idx="40">
                  <c:v>5.93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4C8-4690-92FE-2A2894F12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6254722222222211E-2"/>
          <c:y val="0.90293341495879309"/>
          <c:w val="0.95101833333333341"/>
          <c:h val="9.7066585041206938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Số PCS HT Công đoạn Phóng điện (EN)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3019237904187147E-2"/>
          <c:y val="0.11807520565861057"/>
          <c:w val="0.95897802248959951"/>
          <c:h val="0.71731092176847044"/>
        </c:manualLayout>
      </c:layout>
      <c:barChart>
        <c:barDir val="col"/>
        <c:grouping val="clustered"/>
        <c:varyColors val="0"/>
        <c:ser>
          <c:idx val="15"/>
          <c:order val="0"/>
          <c:tx>
            <c:strRef>
              <c:f>'Hằng ngày'!$A$257</c:f>
              <c:strCache>
                <c:ptCount val="1"/>
                <c:pt idx="0">
                  <c:v>Thực tích số PCS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509-4E71-BB46-65551C5EF24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ngày'!$B$241:$AS$241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ngày'!$B$257:$AS$257</c:f>
              <c:numCache>
                <c:formatCode>General</c:formatCode>
                <c:ptCount val="44"/>
                <c:pt idx="0">
                  <c:v>354</c:v>
                </c:pt>
                <c:pt idx="1">
                  <c:v>362</c:v>
                </c:pt>
                <c:pt idx="2">
                  <c:v>333</c:v>
                </c:pt>
                <c:pt idx="3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09-4E71-BB46-65551C5EF24A}"/>
            </c:ext>
          </c:extLst>
        </c:ser>
        <c:ser>
          <c:idx val="16"/>
          <c:order val="1"/>
          <c:tx>
            <c:strRef>
              <c:f>'Hằng ngày'!$A$258</c:f>
              <c:strCache>
                <c:ptCount val="1"/>
                <c:pt idx="0">
                  <c:v>Thực tích số PCS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ngày'!$B$241:$AS$241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ngày'!$B$258:$AS$258</c:f>
              <c:numCache>
                <c:formatCode>General</c:formatCode>
                <c:ptCount val="44"/>
                <c:pt idx="0">
                  <c:v>591</c:v>
                </c:pt>
                <c:pt idx="1">
                  <c:v>306</c:v>
                </c:pt>
                <c:pt idx="2">
                  <c:v>522</c:v>
                </c:pt>
                <c:pt idx="3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09-4E71-BB46-65551C5EF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7"/>
          <c:order val="2"/>
          <c:tx>
            <c:strRef>
              <c:f>'Hằng ngày'!$A$253</c:f>
              <c:strCache>
                <c:ptCount val="1"/>
                <c:pt idx="0">
                  <c:v>Thực tích số PCS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ngày'!$B$241:$AS$241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ngày'!$B$253:$AS$253</c:f>
              <c:numCache>
                <c:formatCode>General</c:formatCode>
                <c:ptCount val="44"/>
                <c:pt idx="12">
                  <c:v>19</c:v>
                </c:pt>
                <c:pt idx="13">
                  <c:v>19</c:v>
                </c:pt>
                <c:pt idx="14">
                  <c:v>11</c:v>
                </c:pt>
                <c:pt idx="15">
                  <c:v>14</c:v>
                </c:pt>
                <c:pt idx="16">
                  <c:v>18</c:v>
                </c:pt>
                <c:pt idx="17">
                  <c:v>8</c:v>
                </c:pt>
                <c:pt idx="18">
                  <c:v>4</c:v>
                </c:pt>
                <c:pt idx="19">
                  <c:v>4</c:v>
                </c:pt>
                <c:pt idx="20">
                  <c:v>10</c:v>
                </c:pt>
                <c:pt idx="2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09-4E71-BB46-65551C5EF24A}"/>
            </c:ext>
          </c:extLst>
        </c:ser>
        <c:ser>
          <c:idx val="18"/>
          <c:order val="3"/>
          <c:tx>
            <c:strRef>
              <c:f>'Hằng ngày'!$A$254</c:f>
              <c:strCache>
                <c:ptCount val="1"/>
                <c:pt idx="0">
                  <c:v>Thực tích số PCS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ngày'!$B$241:$AS$241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ngày'!$B$254:$AS$254</c:f>
              <c:numCache>
                <c:formatCode>General</c:formatCode>
                <c:ptCount val="44"/>
                <c:pt idx="12">
                  <c:v>10</c:v>
                </c:pt>
                <c:pt idx="13">
                  <c:v>12</c:v>
                </c:pt>
                <c:pt idx="14">
                  <c:v>13</c:v>
                </c:pt>
                <c:pt idx="15">
                  <c:v>24</c:v>
                </c:pt>
                <c:pt idx="16">
                  <c:v>33</c:v>
                </c:pt>
                <c:pt idx="17">
                  <c:v>11</c:v>
                </c:pt>
                <c:pt idx="18">
                  <c:v>0</c:v>
                </c:pt>
                <c:pt idx="19">
                  <c:v>8</c:v>
                </c:pt>
                <c:pt idx="20">
                  <c:v>26</c:v>
                </c:pt>
                <c:pt idx="2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09-4E71-BB46-65551C5EF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9"/>
          <c:order val="4"/>
          <c:tx>
            <c:strRef>
              <c:f>'Hằng ngày'!$A$250</c:f>
              <c:strCache>
                <c:ptCount val="1"/>
                <c:pt idx="0">
                  <c:v>Mục tiêu số PCS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ngày'!$B$241:$AS$241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ngày'!$B$250:$AS$250</c:f>
              <c:numCache>
                <c:formatCode>0</c:formatCode>
                <c:ptCount val="44"/>
                <c:pt idx="0">
                  <c:v>460.22462862461799</c:v>
                </c:pt>
                <c:pt idx="1">
                  <c:v>313.78951951678499</c:v>
                </c:pt>
                <c:pt idx="2">
                  <c:v>460.22462862461799</c:v>
                </c:pt>
                <c:pt idx="3">
                  <c:v>439.305327323499</c:v>
                </c:pt>
                <c:pt idx="4">
                  <c:v>418.38602602238001</c:v>
                </c:pt>
                <c:pt idx="5">
                  <c:v>460.22462862461799</c:v>
                </c:pt>
                <c:pt idx="6">
                  <c:v>481.14392992573698</c:v>
                </c:pt>
                <c:pt idx="7">
                  <c:v>439.305327323499</c:v>
                </c:pt>
                <c:pt idx="8">
                  <c:v>439.305327323499</c:v>
                </c:pt>
                <c:pt idx="9">
                  <c:v>460.22462862461799</c:v>
                </c:pt>
                <c:pt idx="10">
                  <c:v>439.305327323499</c:v>
                </c:pt>
                <c:pt idx="11">
                  <c:v>460.22462862461799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09-4E71-BB46-65551C5EF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20"/>
          <c:order val="5"/>
          <c:tx>
            <c:strRef>
              <c:f>'Hằng ngày'!$A$248</c:f>
              <c:strCache>
                <c:ptCount val="1"/>
                <c:pt idx="0">
                  <c:v>Mục tiêu số PCS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ngày'!$B$241:$AS$241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ngày'!$B$248:$AS$248</c:f>
              <c:numCache>
                <c:formatCode>General</c:formatCode>
                <c:ptCount val="44"/>
                <c:pt idx="12" formatCode="0">
                  <c:v>20.92</c:v>
                </c:pt>
                <c:pt idx="13" formatCode="0">
                  <c:v>21.47</c:v>
                </c:pt>
                <c:pt idx="14" formatCode="0">
                  <c:v>21.96</c:v>
                </c:pt>
                <c:pt idx="15" formatCode="0">
                  <c:v>22.46</c:v>
                </c:pt>
                <c:pt idx="16" formatCode="0">
                  <c:v>22.37</c:v>
                </c:pt>
                <c:pt idx="19" formatCode="0">
                  <c:v>21.02</c:v>
                </c:pt>
                <c:pt idx="20" formatCode="0">
                  <c:v>21.89</c:v>
                </c:pt>
                <c:pt idx="21" formatCode="0">
                  <c:v>21.59</c:v>
                </c:pt>
                <c:pt idx="22" formatCode="0">
                  <c:v>22.02</c:v>
                </c:pt>
                <c:pt idx="23" formatCode="0">
                  <c:v>22.02</c:v>
                </c:pt>
                <c:pt idx="26" formatCode="0">
                  <c:v>22.02</c:v>
                </c:pt>
                <c:pt idx="27" formatCode="0">
                  <c:v>22.02</c:v>
                </c:pt>
                <c:pt idx="28" formatCode="0">
                  <c:v>22.02</c:v>
                </c:pt>
                <c:pt idx="29" formatCode="0">
                  <c:v>22.02</c:v>
                </c:pt>
                <c:pt idx="30" formatCode="0">
                  <c:v>22.02</c:v>
                </c:pt>
                <c:pt idx="33" formatCode="0">
                  <c:v>22.02</c:v>
                </c:pt>
                <c:pt idx="34" formatCode="0">
                  <c:v>22.02</c:v>
                </c:pt>
                <c:pt idx="35" formatCode="0">
                  <c:v>22.02</c:v>
                </c:pt>
                <c:pt idx="36" formatCode="0">
                  <c:v>22.02</c:v>
                </c:pt>
                <c:pt idx="37" formatCode="0">
                  <c:v>22.02</c:v>
                </c:pt>
                <c:pt idx="40">
                  <c:v>22.02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509-4E71-BB46-65551C5EF24A}"/>
            </c:ext>
          </c:extLst>
        </c:ser>
        <c:ser>
          <c:idx val="21"/>
          <c:order val="6"/>
          <c:tx>
            <c:strRef>
              <c:f>'Hằng ngày'!$A$244</c:f>
              <c:strCache>
                <c:ptCount val="1"/>
                <c:pt idx="0">
                  <c:v>Mục tiêu số PCS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ngày'!$B$241:$AS$241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ngày'!$B$244:$AS$244</c:f>
              <c:numCache>
                <c:formatCode>General</c:formatCode>
                <c:ptCount val="44"/>
                <c:pt idx="12" formatCode="0">
                  <c:v>20.92</c:v>
                </c:pt>
                <c:pt idx="13" formatCode="0">
                  <c:v>20.92</c:v>
                </c:pt>
                <c:pt idx="14" formatCode="0">
                  <c:v>20.92</c:v>
                </c:pt>
                <c:pt idx="15" formatCode="0">
                  <c:v>20.92</c:v>
                </c:pt>
                <c:pt idx="16" formatCode="0">
                  <c:v>20.92</c:v>
                </c:pt>
                <c:pt idx="19" formatCode="0">
                  <c:v>20.92</c:v>
                </c:pt>
                <c:pt idx="20" formatCode="0">
                  <c:v>20.92</c:v>
                </c:pt>
                <c:pt idx="21" formatCode="0">
                  <c:v>20.92</c:v>
                </c:pt>
                <c:pt idx="22" formatCode="0">
                  <c:v>20.92</c:v>
                </c:pt>
                <c:pt idx="23" formatCode="0">
                  <c:v>20.92</c:v>
                </c:pt>
                <c:pt idx="26" formatCode="0">
                  <c:v>20.92</c:v>
                </c:pt>
                <c:pt idx="27" formatCode="0">
                  <c:v>20.92</c:v>
                </c:pt>
                <c:pt idx="28" formatCode="0">
                  <c:v>20.92</c:v>
                </c:pt>
                <c:pt idx="29" formatCode="0">
                  <c:v>20.92</c:v>
                </c:pt>
                <c:pt idx="30" formatCode="0">
                  <c:v>20.92</c:v>
                </c:pt>
                <c:pt idx="33" formatCode="0">
                  <c:v>20.92</c:v>
                </c:pt>
                <c:pt idx="34" formatCode="0">
                  <c:v>20.92</c:v>
                </c:pt>
                <c:pt idx="35" formatCode="0">
                  <c:v>20.92</c:v>
                </c:pt>
                <c:pt idx="36" formatCode="0">
                  <c:v>20.92</c:v>
                </c:pt>
                <c:pt idx="37" formatCode="0">
                  <c:v>20.92</c:v>
                </c:pt>
                <c:pt idx="40">
                  <c:v>20.92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509-4E71-BB46-65551C5EF24A}"/>
            </c:ext>
          </c:extLst>
        </c:ser>
        <c:ser>
          <c:idx val="22"/>
          <c:order val="7"/>
          <c:tx>
            <c:strRef>
              <c:f>'Hằng ngày'!$A$247</c:f>
              <c:strCache>
                <c:ptCount val="1"/>
                <c:pt idx="0">
                  <c:v>Mục tiêu số PCS HT CĐ Ca 1(Còn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ngày'!$B$241:$AS$241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ngày'!$B$247:$AS$247</c:f>
              <c:numCache>
                <c:formatCode>General</c:formatCode>
                <c:ptCount val="44"/>
                <c:pt idx="12" formatCode="0">
                  <c:v>20.92</c:v>
                </c:pt>
                <c:pt idx="13" formatCode="0">
                  <c:v>21.02</c:v>
                </c:pt>
                <c:pt idx="14" formatCode="0">
                  <c:v>21.12</c:v>
                </c:pt>
                <c:pt idx="15" formatCode="0">
                  <c:v>21.68</c:v>
                </c:pt>
                <c:pt idx="16" formatCode="0">
                  <c:v>22.14</c:v>
                </c:pt>
                <c:pt idx="19" formatCode="0">
                  <c:v>21.64</c:v>
                </c:pt>
                <c:pt idx="20" formatCode="0">
                  <c:v>22.82</c:v>
                </c:pt>
                <c:pt idx="21" formatCode="0">
                  <c:v>23.74</c:v>
                </c:pt>
                <c:pt idx="22" formatCode="0">
                  <c:v>24.49</c:v>
                </c:pt>
                <c:pt idx="23" formatCode="0">
                  <c:v>24.49</c:v>
                </c:pt>
                <c:pt idx="26" formatCode="0">
                  <c:v>24.49</c:v>
                </c:pt>
                <c:pt idx="27" formatCode="0">
                  <c:v>24.49</c:v>
                </c:pt>
                <c:pt idx="28" formatCode="0">
                  <c:v>24.49</c:v>
                </c:pt>
                <c:pt idx="29" formatCode="0">
                  <c:v>24.49</c:v>
                </c:pt>
                <c:pt idx="30" formatCode="0">
                  <c:v>24.49</c:v>
                </c:pt>
                <c:pt idx="33" formatCode="0">
                  <c:v>24.49</c:v>
                </c:pt>
                <c:pt idx="34" formatCode="0">
                  <c:v>24.49</c:v>
                </c:pt>
                <c:pt idx="35" formatCode="0">
                  <c:v>24.49</c:v>
                </c:pt>
                <c:pt idx="36" formatCode="0">
                  <c:v>24.49</c:v>
                </c:pt>
                <c:pt idx="37" formatCode="0">
                  <c:v>24.49</c:v>
                </c:pt>
                <c:pt idx="40">
                  <c:v>24.49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509-4E71-BB46-65551C5EF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3.3389583333333327E-2"/>
          <c:y val="0.9069344291474164"/>
          <c:w val="0.94204027777777766"/>
          <c:h val="9.3065570852583601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Bản vẽ HT Công đoạn Cắt dây (EW)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1582855614285176E-2"/>
          <c:y val="0.12200651606961825"/>
          <c:w val="0.96129397808756623"/>
          <c:h val="0.71053761443750529"/>
        </c:manualLayout>
      </c:layout>
      <c:barChart>
        <c:barDir val="col"/>
        <c:grouping val="clustered"/>
        <c:varyColors val="0"/>
        <c:ser>
          <c:idx val="13"/>
          <c:order val="0"/>
          <c:tx>
            <c:strRef>
              <c:f>'Hằng ngày'!$A$275</c:f>
              <c:strCache>
                <c:ptCount val="1"/>
                <c:pt idx="0">
                  <c:v>Thực tích Bản vẽ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ngày'!$B$261:$AS$261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ngày'!$B$275:$AS$275</c:f>
              <c:numCache>
                <c:formatCode>General</c:formatCode>
                <c:ptCount val="44"/>
                <c:pt idx="0">
                  <c:v>260</c:v>
                </c:pt>
                <c:pt idx="1">
                  <c:v>130</c:v>
                </c:pt>
                <c:pt idx="2">
                  <c:v>267</c:v>
                </c:pt>
                <c:pt idx="3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1-4C8F-B690-A3BE720665D0}"/>
            </c:ext>
          </c:extLst>
        </c:ser>
        <c:ser>
          <c:idx val="14"/>
          <c:order val="1"/>
          <c:tx>
            <c:strRef>
              <c:f>'Hằng ngày'!$A$276</c:f>
              <c:strCache>
                <c:ptCount val="1"/>
                <c:pt idx="0">
                  <c:v>Thực tích Bản vẽ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ngày'!$B$261:$AS$261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ngày'!$B$276:$AS$276</c:f>
              <c:numCache>
                <c:formatCode>General</c:formatCode>
                <c:ptCount val="44"/>
                <c:pt idx="0">
                  <c:v>246</c:v>
                </c:pt>
                <c:pt idx="1">
                  <c:v>168</c:v>
                </c:pt>
                <c:pt idx="2">
                  <c:v>268</c:v>
                </c:pt>
                <c:pt idx="3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E1-4C8F-B690-A3BE72066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5"/>
          <c:order val="2"/>
          <c:tx>
            <c:strRef>
              <c:f>'Hằng ngày'!$A$271</c:f>
              <c:strCache>
                <c:ptCount val="1"/>
                <c:pt idx="0">
                  <c:v>Thực tích Bản vẽ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ngày'!$B$261:$AS$261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ngày'!$B$271:$AS$271</c:f>
              <c:numCache>
                <c:formatCode>General</c:formatCode>
                <c:ptCount val="44"/>
                <c:pt idx="12">
                  <c:v>8</c:v>
                </c:pt>
                <c:pt idx="13">
                  <c:v>8</c:v>
                </c:pt>
                <c:pt idx="14">
                  <c:v>6</c:v>
                </c:pt>
                <c:pt idx="15">
                  <c:v>11</c:v>
                </c:pt>
                <c:pt idx="16">
                  <c:v>5</c:v>
                </c:pt>
                <c:pt idx="17">
                  <c:v>3</c:v>
                </c:pt>
                <c:pt idx="18">
                  <c:v>2</c:v>
                </c:pt>
                <c:pt idx="19">
                  <c:v>12</c:v>
                </c:pt>
                <c:pt idx="20">
                  <c:v>11</c:v>
                </c:pt>
                <c:pt idx="2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E1-4C8F-B690-A3BE720665D0}"/>
            </c:ext>
          </c:extLst>
        </c:ser>
        <c:ser>
          <c:idx val="16"/>
          <c:order val="3"/>
          <c:tx>
            <c:strRef>
              <c:f>'Hằng ngày'!$A$272</c:f>
              <c:strCache>
                <c:ptCount val="1"/>
                <c:pt idx="0">
                  <c:v>Thực tích Bản vẽ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ngày'!$B$261:$AS$261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ngày'!$B$272:$AS$272</c:f>
              <c:numCache>
                <c:formatCode>General</c:formatCode>
                <c:ptCount val="44"/>
                <c:pt idx="12">
                  <c:v>12</c:v>
                </c:pt>
                <c:pt idx="13">
                  <c:v>15</c:v>
                </c:pt>
                <c:pt idx="14">
                  <c:v>11</c:v>
                </c:pt>
                <c:pt idx="15">
                  <c:v>9</c:v>
                </c:pt>
                <c:pt idx="16">
                  <c:v>12</c:v>
                </c:pt>
                <c:pt idx="17">
                  <c:v>6</c:v>
                </c:pt>
                <c:pt idx="18">
                  <c:v>0</c:v>
                </c:pt>
                <c:pt idx="19">
                  <c:v>6</c:v>
                </c:pt>
                <c:pt idx="20">
                  <c:v>10</c:v>
                </c:pt>
                <c:pt idx="2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E1-4C8F-B690-A3BE72066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7"/>
          <c:order val="4"/>
          <c:tx>
            <c:strRef>
              <c:f>'Hằng ngày'!$A$269</c:f>
              <c:strCache>
                <c:ptCount val="1"/>
                <c:pt idx="0">
                  <c:v>Mục tiêu Bản vẽ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ngày'!$B$261:$AS$261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ngày'!$B$269:$AS$269</c:f>
              <c:numCache>
                <c:formatCode>0</c:formatCode>
                <c:ptCount val="44"/>
                <c:pt idx="0">
                  <c:v>222.2703903465441</c:v>
                </c:pt>
                <c:pt idx="1">
                  <c:v>151.54799341809829</c:v>
                </c:pt>
                <c:pt idx="2">
                  <c:v>222.2703903465441</c:v>
                </c:pt>
                <c:pt idx="3">
                  <c:v>212.1671907853376</c:v>
                </c:pt>
                <c:pt idx="4">
                  <c:v>202.063991224131</c:v>
                </c:pt>
                <c:pt idx="5">
                  <c:v>222.2703903465441</c:v>
                </c:pt>
                <c:pt idx="6">
                  <c:v>232.3735899077507</c:v>
                </c:pt>
                <c:pt idx="7">
                  <c:v>212.1671907853376</c:v>
                </c:pt>
                <c:pt idx="8">
                  <c:v>212.1671907853376</c:v>
                </c:pt>
                <c:pt idx="9">
                  <c:v>222.2703903465441</c:v>
                </c:pt>
                <c:pt idx="10">
                  <c:v>212.1671907853376</c:v>
                </c:pt>
                <c:pt idx="11">
                  <c:v>222.2703903465441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E1-4C8F-B690-A3BE72066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18"/>
          <c:order val="5"/>
          <c:tx>
            <c:strRef>
              <c:f>'Hằng ngày'!$A$263</c:f>
              <c:strCache>
                <c:ptCount val="1"/>
                <c:pt idx="0">
                  <c:v>Mục tiêu Bản vẽ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ngày'!$B$261:$AS$261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ngày'!$B$263:$AS$263</c:f>
              <c:numCache>
                <c:formatCode>General</c:formatCode>
                <c:ptCount val="44"/>
                <c:pt idx="12" formatCode="0">
                  <c:v>10.1</c:v>
                </c:pt>
                <c:pt idx="13" formatCode="0">
                  <c:v>10.1</c:v>
                </c:pt>
                <c:pt idx="14" formatCode="0">
                  <c:v>10.1</c:v>
                </c:pt>
                <c:pt idx="15" formatCode="0">
                  <c:v>10.1</c:v>
                </c:pt>
                <c:pt idx="16" formatCode="0">
                  <c:v>10.1</c:v>
                </c:pt>
                <c:pt idx="19" formatCode="0">
                  <c:v>10.1</c:v>
                </c:pt>
                <c:pt idx="20" formatCode="0">
                  <c:v>10.1</c:v>
                </c:pt>
                <c:pt idx="21" formatCode="0">
                  <c:v>10.1</c:v>
                </c:pt>
                <c:pt idx="22" formatCode="0">
                  <c:v>10.1</c:v>
                </c:pt>
                <c:pt idx="23" formatCode="0">
                  <c:v>10.1</c:v>
                </c:pt>
                <c:pt idx="26" formatCode="0">
                  <c:v>10.1</c:v>
                </c:pt>
                <c:pt idx="27" formatCode="0">
                  <c:v>10.1</c:v>
                </c:pt>
                <c:pt idx="28" formatCode="0">
                  <c:v>10.1</c:v>
                </c:pt>
                <c:pt idx="29" formatCode="0">
                  <c:v>10.1</c:v>
                </c:pt>
                <c:pt idx="30" formatCode="0">
                  <c:v>10.1</c:v>
                </c:pt>
                <c:pt idx="33" formatCode="0">
                  <c:v>10.1</c:v>
                </c:pt>
                <c:pt idx="34" formatCode="0">
                  <c:v>10.1</c:v>
                </c:pt>
                <c:pt idx="35" formatCode="0">
                  <c:v>10.1</c:v>
                </c:pt>
                <c:pt idx="36" formatCode="0">
                  <c:v>10.1</c:v>
                </c:pt>
                <c:pt idx="37" formatCode="0">
                  <c:v>10.1</c:v>
                </c:pt>
                <c:pt idx="40">
                  <c:v>10.1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2E1-4C8F-B690-A3BE720665D0}"/>
            </c:ext>
          </c:extLst>
        </c:ser>
        <c:ser>
          <c:idx val="19"/>
          <c:order val="6"/>
          <c:tx>
            <c:strRef>
              <c:f>'Hằng ngày'!$A$265</c:f>
              <c:strCache>
                <c:ptCount val="1"/>
                <c:pt idx="0">
                  <c:v>Mục tiêu Bản vẽ HT CĐ Ca 1 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ngày'!$B$261:$AS$261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ngày'!$B$265:$AS$265</c:f>
              <c:numCache>
                <c:formatCode>General</c:formatCode>
                <c:ptCount val="44"/>
                <c:pt idx="12" formatCode="0">
                  <c:v>10.1</c:v>
                </c:pt>
                <c:pt idx="13" formatCode="0">
                  <c:v>10.210000000000001</c:v>
                </c:pt>
                <c:pt idx="14" formatCode="0">
                  <c:v>10.32</c:v>
                </c:pt>
                <c:pt idx="15" formatCode="0">
                  <c:v>10.56</c:v>
                </c:pt>
                <c:pt idx="16" formatCode="0">
                  <c:v>10.54</c:v>
                </c:pt>
                <c:pt idx="19" formatCode="0">
                  <c:v>10.57</c:v>
                </c:pt>
                <c:pt idx="20" formatCode="0">
                  <c:v>10.48</c:v>
                </c:pt>
                <c:pt idx="21" formatCode="0">
                  <c:v>10.44</c:v>
                </c:pt>
                <c:pt idx="22" formatCode="0">
                  <c:v>10.78</c:v>
                </c:pt>
                <c:pt idx="23" formatCode="0">
                  <c:v>10.78</c:v>
                </c:pt>
                <c:pt idx="26" formatCode="0">
                  <c:v>10.78</c:v>
                </c:pt>
                <c:pt idx="27" formatCode="0">
                  <c:v>10.78</c:v>
                </c:pt>
                <c:pt idx="28" formatCode="0">
                  <c:v>10.78</c:v>
                </c:pt>
                <c:pt idx="29" formatCode="0">
                  <c:v>10.78</c:v>
                </c:pt>
                <c:pt idx="30" formatCode="0">
                  <c:v>10.78</c:v>
                </c:pt>
                <c:pt idx="33" formatCode="0">
                  <c:v>10.78</c:v>
                </c:pt>
                <c:pt idx="34" formatCode="0">
                  <c:v>10.78</c:v>
                </c:pt>
                <c:pt idx="35" formatCode="0">
                  <c:v>10.78</c:v>
                </c:pt>
                <c:pt idx="36" formatCode="0">
                  <c:v>10.78</c:v>
                </c:pt>
                <c:pt idx="37" formatCode="0">
                  <c:v>10.78</c:v>
                </c:pt>
                <c:pt idx="40">
                  <c:v>10.78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2E1-4C8F-B690-A3BE720665D0}"/>
            </c:ext>
          </c:extLst>
        </c:ser>
        <c:ser>
          <c:idx val="20"/>
          <c:order val="7"/>
          <c:tx>
            <c:strRef>
              <c:f>'Hằng ngày'!$A$266</c:f>
              <c:strCache>
                <c:ptCount val="1"/>
                <c:pt idx="0">
                  <c:v>Mục tiêu Bản vẽ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ngày'!$B$261:$AS$261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ngày'!$B$266:$AS$266</c:f>
              <c:numCache>
                <c:formatCode>General</c:formatCode>
                <c:ptCount val="44"/>
                <c:pt idx="12" formatCode="0">
                  <c:v>10.1</c:v>
                </c:pt>
                <c:pt idx="13" formatCode="0">
                  <c:v>10.01</c:v>
                </c:pt>
                <c:pt idx="14" formatCode="0">
                  <c:v>9.75</c:v>
                </c:pt>
                <c:pt idx="15" formatCode="0">
                  <c:v>9.68</c:v>
                </c:pt>
                <c:pt idx="16" formatCode="0">
                  <c:v>9.7200000000000006</c:v>
                </c:pt>
                <c:pt idx="19" formatCode="0">
                  <c:v>9.1999999999999993</c:v>
                </c:pt>
                <c:pt idx="20" formatCode="0">
                  <c:v>9.41</c:v>
                </c:pt>
                <c:pt idx="21" formatCode="0">
                  <c:v>9.3699999999999992</c:v>
                </c:pt>
                <c:pt idx="22" formatCode="0">
                  <c:v>9.09</c:v>
                </c:pt>
                <c:pt idx="23" formatCode="0">
                  <c:v>9.09</c:v>
                </c:pt>
                <c:pt idx="26" formatCode="0">
                  <c:v>9.09</c:v>
                </c:pt>
                <c:pt idx="27" formatCode="0">
                  <c:v>9.09</c:v>
                </c:pt>
                <c:pt idx="28" formatCode="0">
                  <c:v>9.09</c:v>
                </c:pt>
                <c:pt idx="29" formatCode="0">
                  <c:v>9.09</c:v>
                </c:pt>
                <c:pt idx="30" formatCode="0">
                  <c:v>9.09</c:v>
                </c:pt>
                <c:pt idx="33" formatCode="0">
                  <c:v>9.09</c:v>
                </c:pt>
                <c:pt idx="34" formatCode="0">
                  <c:v>9.09</c:v>
                </c:pt>
                <c:pt idx="35" formatCode="0">
                  <c:v>9.09</c:v>
                </c:pt>
                <c:pt idx="36" formatCode="0">
                  <c:v>9.09</c:v>
                </c:pt>
                <c:pt idx="37" formatCode="0">
                  <c:v>9.09</c:v>
                </c:pt>
                <c:pt idx="40">
                  <c:v>9.09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2E1-4C8F-B690-A3BE72066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978249999999999E-2"/>
          <c:y val="0.89652636222227378"/>
          <c:w val="0.94572666666666683"/>
          <c:h val="0.1034735290573174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Số PCS HT Công đoạn Cắt dây (EW)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4612780220663856E-2"/>
          <c:y val="0.118167491600464"/>
          <c:w val="0.95165133926115297"/>
          <c:h val="0.70505173744460004"/>
        </c:manualLayout>
      </c:layout>
      <c:barChart>
        <c:barDir val="col"/>
        <c:grouping val="clustered"/>
        <c:varyColors val="0"/>
        <c:ser>
          <c:idx val="15"/>
          <c:order val="0"/>
          <c:tx>
            <c:strRef>
              <c:f>'Hằng ngày'!$A$277</c:f>
              <c:strCache>
                <c:ptCount val="1"/>
                <c:pt idx="0">
                  <c:v>Thực tích số PCS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ngày'!$B$261:$AS$261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ngày'!$B$277:$AS$277</c:f>
              <c:numCache>
                <c:formatCode>General</c:formatCode>
                <c:ptCount val="44"/>
                <c:pt idx="0">
                  <c:v>1000</c:v>
                </c:pt>
                <c:pt idx="1">
                  <c:v>487</c:v>
                </c:pt>
                <c:pt idx="2">
                  <c:v>1299</c:v>
                </c:pt>
                <c:pt idx="3">
                  <c:v>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F-437D-8AB5-D3A84903C969}"/>
            </c:ext>
          </c:extLst>
        </c:ser>
        <c:ser>
          <c:idx val="16"/>
          <c:order val="1"/>
          <c:tx>
            <c:strRef>
              <c:f>'Hằng ngày'!$A$278</c:f>
              <c:strCache>
                <c:ptCount val="1"/>
                <c:pt idx="0">
                  <c:v>Thực tích số PCS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ngày'!$B$261:$AS$261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ngày'!$B$278:$AS$278</c:f>
              <c:numCache>
                <c:formatCode>General</c:formatCode>
                <c:ptCount val="44"/>
                <c:pt idx="0">
                  <c:v>1001</c:v>
                </c:pt>
                <c:pt idx="1">
                  <c:v>793</c:v>
                </c:pt>
                <c:pt idx="2">
                  <c:v>974</c:v>
                </c:pt>
                <c:pt idx="3">
                  <c:v>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8F-437D-8AB5-D3A84903C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7"/>
          <c:order val="2"/>
          <c:tx>
            <c:strRef>
              <c:f>'Hằng ngày'!$A$273</c:f>
              <c:strCache>
                <c:ptCount val="1"/>
                <c:pt idx="0">
                  <c:v>Thực tích số PCS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ngày'!$B$261:$AS$261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ngày'!$B$273:$AS$273</c:f>
              <c:numCache>
                <c:formatCode>General</c:formatCode>
                <c:ptCount val="44"/>
                <c:pt idx="12">
                  <c:v>17</c:v>
                </c:pt>
                <c:pt idx="13">
                  <c:v>21</c:v>
                </c:pt>
                <c:pt idx="14">
                  <c:v>52</c:v>
                </c:pt>
                <c:pt idx="15">
                  <c:v>20</c:v>
                </c:pt>
                <c:pt idx="16">
                  <c:v>19</c:v>
                </c:pt>
                <c:pt idx="17">
                  <c:v>3</c:v>
                </c:pt>
                <c:pt idx="18">
                  <c:v>5</c:v>
                </c:pt>
                <c:pt idx="19">
                  <c:v>15</c:v>
                </c:pt>
                <c:pt idx="20">
                  <c:v>73</c:v>
                </c:pt>
                <c:pt idx="21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8F-437D-8AB5-D3A84903C969}"/>
            </c:ext>
          </c:extLst>
        </c:ser>
        <c:ser>
          <c:idx val="18"/>
          <c:order val="3"/>
          <c:tx>
            <c:strRef>
              <c:f>'Hằng ngày'!$A$274</c:f>
              <c:strCache>
                <c:ptCount val="1"/>
                <c:pt idx="0">
                  <c:v>Thực tích số PCS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ngày'!$B$261:$AS$261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ngày'!$B$274:$AS$274</c:f>
              <c:numCache>
                <c:formatCode>General</c:formatCode>
                <c:ptCount val="44"/>
                <c:pt idx="12">
                  <c:v>136</c:v>
                </c:pt>
                <c:pt idx="13">
                  <c:v>51</c:v>
                </c:pt>
                <c:pt idx="14">
                  <c:v>25</c:v>
                </c:pt>
                <c:pt idx="15">
                  <c:v>53</c:v>
                </c:pt>
                <c:pt idx="16">
                  <c:v>47</c:v>
                </c:pt>
                <c:pt idx="17">
                  <c:v>38</c:v>
                </c:pt>
                <c:pt idx="18">
                  <c:v>0</c:v>
                </c:pt>
                <c:pt idx="19">
                  <c:v>44</c:v>
                </c:pt>
                <c:pt idx="20">
                  <c:v>98</c:v>
                </c:pt>
                <c:pt idx="2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8F-437D-8AB5-D3A84903C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9"/>
          <c:order val="4"/>
          <c:tx>
            <c:strRef>
              <c:f>'Hằng ngày'!$A$270</c:f>
              <c:strCache>
                <c:ptCount val="1"/>
                <c:pt idx="0">
                  <c:v>Mục tiêu số PCS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ngày'!$B$261:$AS$261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ngày'!$B$270:$AS$270</c:f>
              <c:numCache>
                <c:formatCode>0</c:formatCode>
                <c:ptCount val="44"/>
                <c:pt idx="0">
                  <c:v>1205.085568876691</c:v>
                </c:pt>
                <c:pt idx="1">
                  <c:v>821.64925150683484</c:v>
                </c:pt>
                <c:pt idx="2">
                  <c:v>1205.085568876691</c:v>
                </c:pt>
                <c:pt idx="3">
                  <c:v>1150.308952109569</c:v>
                </c:pt>
                <c:pt idx="4">
                  <c:v>1095.532335342446</c:v>
                </c:pt>
                <c:pt idx="5">
                  <c:v>1205.085568876691</c:v>
                </c:pt>
                <c:pt idx="6">
                  <c:v>1259.8621856438131</c:v>
                </c:pt>
                <c:pt idx="7">
                  <c:v>1150.308952109569</c:v>
                </c:pt>
                <c:pt idx="8">
                  <c:v>1150.308952109569</c:v>
                </c:pt>
                <c:pt idx="9">
                  <c:v>1205.085568876691</c:v>
                </c:pt>
                <c:pt idx="10">
                  <c:v>1150.308952109569</c:v>
                </c:pt>
                <c:pt idx="11">
                  <c:v>1205.085568876691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8F-437D-8AB5-D3A84903C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20"/>
          <c:order val="5"/>
          <c:tx>
            <c:strRef>
              <c:f>'Hằng ngày'!$A$268</c:f>
              <c:strCache>
                <c:ptCount val="1"/>
                <c:pt idx="0">
                  <c:v>Mục tiêu số PCS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ngày'!$B$261:$AS$261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ngày'!$B$268:$AS$268</c:f>
              <c:numCache>
                <c:formatCode>General</c:formatCode>
                <c:ptCount val="44"/>
                <c:pt idx="12" formatCode="0">
                  <c:v>54.78</c:v>
                </c:pt>
                <c:pt idx="13" formatCode="0">
                  <c:v>50.72</c:v>
                </c:pt>
                <c:pt idx="14" formatCode="0">
                  <c:v>50.7</c:v>
                </c:pt>
                <c:pt idx="15" formatCode="0">
                  <c:v>52.13</c:v>
                </c:pt>
                <c:pt idx="16" formatCode="0">
                  <c:v>52.08</c:v>
                </c:pt>
                <c:pt idx="19" formatCode="0">
                  <c:v>50.02</c:v>
                </c:pt>
                <c:pt idx="20" formatCode="0">
                  <c:v>50.42</c:v>
                </c:pt>
                <c:pt idx="21" formatCode="0">
                  <c:v>47.02</c:v>
                </c:pt>
                <c:pt idx="22" formatCode="0">
                  <c:v>47.49</c:v>
                </c:pt>
                <c:pt idx="23" formatCode="0">
                  <c:v>47.49</c:v>
                </c:pt>
                <c:pt idx="26" formatCode="0">
                  <c:v>47.49</c:v>
                </c:pt>
                <c:pt idx="27" formatCode="0">
                  <c:v>47.49</c:v>
                </c:pt>
                <c:pt idx="28" formatCode="0">
                  <c:v>47.49</c:v>
                </c:pt>
                <c:pt idx="29" formatCode="0">
                  <c:v>47.49</c:v>
                </c:pt>
                <c:pt idx="30" formatCode="0">
                  <c:v>47.49</c:v>
                </c:pt>
                <c:pt idx="33" formatCode="0">
                  <c:v>47.49</c:v>
                </c:pt>
                <c:pt idx="34" formatCode="0">
                  <c:v>47.49</c:v>
                </c:pt>
                <c:pt idx="35" formatCode="0">
                  <c:v>47.49</c:v>
                </c:pt>
                <c:pt idx="36" formatCode="0">
                  <c:v>47.49</c:v>
                </c:pt>
                <c:pt idx="37" formatCode="0">
                  <c:v>47.49</c:v>
                </c:pt>
                <c:pt idx="40">
                  <c:v>47.49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F8F-437D-8AB5-D3A84903C969}"/>
            </c:ext>
          </c:extLst>
        </c:ser>
        <c:ser>
          <c:idx val="21"/>
          <c:order val="6"/>
          <c:tx>
            <c:strRef>
              <c:f>'Hằng ngày'!$A$264</c:f>
              <c:strCache>
                <c:ptCount val="1"/>
                <c:pt idx="0">
                  <c:v>Mục tiêu số PCS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ngày'!$B$261:$AS$261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ngày'!$B$264:$AS$264</c:f>
              <c:numCache>
                <c:formatCode>General</c:formatCode>
                <c:ptCount val="44"/>
                <c:pt idx="12" formatCode="0">
                  <c:v>54.78</c:v>
                </c:pt>
                <c:pt idx="13" formatCode="0">
                  <c:v>54.78</c:v>
                </c:pt>
                <c:pt idx="14" formatCode="0">
                  <c:v>54.78</c:v>
                </c:pt>
                <c:pt idx="15" formatCode="0">
                  <c:v>54.78</c:v>
                </c:pt>
                <c:pt idx="16" formatCode="0">
                  <c:v>54.78</c:v>
                </c:pt>
                <c:pt idx="19" formatCode="0">
                  <c:v>54.78</c:v>
                </c:pt>
                <c:pt idx="20" formatCode="0">
                  <c:v>54.78</c:v>
                </c:pt>
                <c:pt idx="21" formatCode="0">
                  <c:v>54.78</c:v>
                </c:pt>
                <c:pt idx="22" formatCode="0">
                  <c:v>54.78</c:v>
                </c:pt>
                <c:pt idx="23" formatCode="0">
                  <c:v>54.78</c:v>
                </c:pt>
                <c:pt idx="26" formatCode="0">
                  <c:v>54.78</c:v>
                </c:pt>
                <c:pt idx="27" formatCode="0">
                  <c:v>54.78</c:v>
                </c:pt>
                <c:pt idx="28" formatCode="0">
                  <c:v>54.78</c:v>
                </c:pt>
                <c:pt idx="29" formatCode="0">
                  <c:v>54.78</c:v>
                </c:pt>
                <c:pt idx="30" formatCode="0">
                  <c:v>54.78</c:v>
                </c:pt>
                <c:pt idx="33" formatCode="0">
                  <c:v>54.78</c:v>
                </c:pt>
                <c:pt idx="34" formatCode="0">
                  <c:v>54.78</c:v>
                </c:pt>
                <c:pt idx="35" formatCode="0">
                  <c:v>54.78</c:v>
                </c:pt>
                <c:pt idx="36" formatCode="0">
                  <c:v>54.78</c:v>
                </c:pt>
                <c:pt idx="37" formatCode="0">
                  <c:v>54.78</c:v>
                </c:pt>
                <c:pt idx="40">
                  <c:v>54.78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8F-437D-8AB5-D3A84903C969}"/>
            </c:ext>
          </c:extLst>
        </c:ser>
        <c:ser>
          <c:idx val="22"/>
          <c:order val="7"/>
          <c:tx>
            <c:strRef>
              <c:f>'Hằng ngày'!$A$267</c:f>
              <c:strCache>
                <c:ptCount val="1"/>
                <c:pt idx="0">
                  <c:v>Mục tiêu số PCS HT CĐ Ca 1(Còn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ngày'!$B$261:$AS$261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ngày'!$B$267:$AS$267</c:f>
              <c:numCache>
                <c:formatCode>General</c:formatCode>
                <c:ptCount val="44"/>
                <c:pt idx="12" formatCode="0">
                  <c:v>54.78</c:v>
                </c:pt>
                <c:pt idx="13" formatCode="0">
                  <c:v>56.67</c:v>
                </c:pt>
                <c:pt idx="14" formatCode="0">
                  <c:v>58.54</c:v>
                </c:pt>
                <c:pt idx="15" formatCode="0">
                  <c:v>58.91</c:v>
                </c:pt>
                <c:pt idx="16" formatCode="0">
                  <c:v>61.19</c:v>
                </c:pt>
                <c:pt idx="19" formatCode="0">
                  <c:v>63.33</c:v>
                </c:pt>
                <c:pt idx="20" formatCode="0">
                  <c:v>66.55</c:v>
                </c:pt>
                <c:pt idx="21" formatCode="0">
                  <c:v>66.09</c:v>
                </c:pt>
                <c:pt idx="22" formatCode="0">
                  <c:v>67.02</c:v>
                </c:pt>
                <c:pt idx="23" formatCode="0">
                  <c:v>67.02</c:v>
                </c:pt>
                <c:pt idx="26" formatCode="0">
                  <c:v>67.02</c:v>
                </c:pt>
                <c:pt idx="27" formatCode="0">
                  <c:v>67.02</c:v>
                </c:pt>
                <c:pt idx="28" formatCode="0">
                  <c:v>67.02</c:v>
                </c:pt>
                <c:pt idx="29" formatCode="0">
                  <c:v>67.02</c:v>
                </c:pt>
                <c:pt idx="30" formatCode="0">
                  <c:v>67.02</c:v>
                </c:pt>
                <c:pt idx="33" formatCode="0">
                  <c:v>67.02</c:v>
                </c:pt>
                <c:pt idx="34" formatCode="0">
                  <c:v>67.02</c:v>
                </c:pt>
                <c:pt idx="35" formatCode="0">
                  <c:v>67.02</c:v>
                </c:pt>
                <c:pt idx="36" formatCode="0">
                  <c:v>67.02</c:v>
                </c:pt>
                <c:pt idx="37" formatCode="0">
                  <c:v>67.02</c:v>
                </c:pt>
                <c:pt idx="40">
                  <c:v>67.02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F8F-437D-8AB5-D3A84903C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809791666666666E-2"/>
          <c:y val="0.92308782502468645"/>
          <c:w val="0.94027638888888887"/>
          <c:h val="7.6912174975313621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Bản vẽ HT Công đoạn Mài mô phỏng (GP)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3004629629629632E-2"/>
          <c:y val="0.12991082700562259"/>
          <c:w val="0.96060004516711839"/>
          <c:h val="0.68071510829468962"/>
        </c:manualLayout>
      </c:layout>
      <c:barChart>
        <c:barDir val="col"/>
        <c:grouping val="clustered"/>
        <c:varyColors val="0"/>
        <c:ser>
          <c:idx val="13"/>
          <c:order val="0"/>
          <c:tx>
            <c:strRef>
              <c:f>'Hằng ngày'!$A$295</c:f>
              <c:strCache>
                <c:ptCount val="1"/>
                <c:pt idx="0">
                  <c:v>Thực tích Bản vẽ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ngày'!$B$281:$AS$281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ngày'!$B$295:$AS$295</c:f>
              <c:numCache>
                <c:formatCode>General</c:formatCode>
                <c:ptCount val="44"/>
                <c:pt idx="0">
                  <c:v>130</c:v>
                </c:pt>
                <c:pt idx="1">
                  <c:v>74</c:v>
                </c:pt>
                <c:pt idx="2">
                  <c:v>133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EC-4199-A1CB-8393BB0D706D}"/>
            </c:ext>
          </c:extLst>
        </c:ser>
        <c:ser>
          <c:idx val="14"/>
          <c:order val="1"/>
          <c:tx>
            <c:strRef>
              <c:f>'Hằng ngày'!$A$296</c:f>
              <c:strCache>
                <c:ptCount val="1"/>
                <c:pt idx="0">
                  <c:v>Thực tích Bản vẽ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ngày'!$B$281:$AS$281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ngày'!$B$296:$AS$296</c:f>
              <c:numCache>
                <c:formatCode>General</c:formatCode>
                <c:ptCount val="44"/>
                <c:pt idx="0">
                  <c:v>114</c:v>
                </c:pt>
                <c:pt idx="1">
                  <c:v>85</c:v>
                </c:pt>
                <c:pt idx="2">
                  <c:v>125</c:v>
                </c:pt>
                <c:pt idx="3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EC-4199-A1CB-8393BB0D7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5"/>
          <c:order val="2"/>
          <c:tx>
            <c:strRef>
              <c:f>'Hằng ngày'!$A$291</c:f>
              <c:strCache>
                <c:ptCount val="1"/>
                <c:pt idx="0">
                  <c:v>Thực tích Bản vẽ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ngày'!$B$281:$AS$281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ngày'!$B$291:$AS$291</c:f>
              <c:numCache>
                <c:formatCode>General</c:formatCode>
                <c:ptCount val="44"/>
                <c:pt idx="12">
                  <c:v>4</c:v>
                </c:pt>
                <c:pt idx="13">
                  <c:v>6</c:v>
                </c:pt>
                <c:pt idx="14">
                  <c:v>4</c:v>
                </c:pt>
                <c:pt idx="15">
                  <c:v>5</c:v>
                </c:pt>
                <c:pt idx="16">
                  <c:v>2</c:v>
                </c:pt>
                <c:pt idx="17">
                  <c:v>3</c:v>
                </c:pt>
                <c:pt idx="18">
                  <c:v>0</c:v>
                </c:pt>
                <c:pt idx="19">
                  <c:v>1</c:v>
                </c:pt>
                <c:pt idx="20">
                  <c:v>3</c:v>
                </c:pt>
                <c:pt idx="2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EC-4199-A1CB-8393BB0D706D}"/>
            </c:ext>
          </c:extLst>
        </c:ser>
        <c:ser>
          <c:idx val="16"/>
          <c:order val="3"/>
          <c:tx>
            <c:strRef>
              <c:f>'Hằng ngày'!$A$292</c:f>
              <c:strCache>
                <c:ptCount val="1"/>
                <c:pt idx="0">
                  <c:v>Thực tích Bản vẽ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ngày'!$B$281:$AS$281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ngày'!$B$292:$AS$292</c:f>
              <c:numCache>
                <c:formatCode>General</c:formatCode>
                <c:ptCount val="44"/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6</c:v>
                </c:pt>
                <c:pt idx="16">
                  <c:v>4</c:v>
                </c:pt>
                <c:pt idx="17">
                  <c:v>2</c:v>
                </c:pt>
                <c:pt idx="18">
                  <c:v>0</c:v>
                </c:pt>
                <c:pt idx="19">
                  <c:v>3</c:v>
                </c:pt>
                <c:pt idx="20">
                  <c:v>5</c:v>
                </c:pt>
                <c:pt idx="2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EC-4199-A1CB-8393BB0D7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7"/>
          <c:order val="4"/>
          <c:tx>
            <c:strRef>
              <c:f>'Hằng ngày'!$A$289</c:f>
              <c:strCache>
                <c:ptCount val="1"/>
                <c:pt idx="0">
                  <c:v>Mục tiêu Bản vẽ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ngày'!$B$281:$AS$281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ngày'!$B$289:$AS$289</c:f>
              <c:numCache>
                <c:formatCode>0</c:formatCode>
                <c:ptCount val="44"/>
                <c:pt idx="0">
                  <c:v>156.8727983764669</c:v>
                </c:pt>
                <c:pt idx="1">
                  <c:v>106.9587261657729</c:v>
                </c:pt>
                <c:pt idx="2">
                  <c:v>156.8727983764669</c:v>
                </c:pt>
                <c:pt idx="3">
                  <c:v>149.74221663208209</c:v>
                </c:pt>
                <c:pt idx="4">
                  <c:v>142.61163488769719</c:v>
                </c:pt>
                <c:pt idx="5">
                  <c:v>156.8727983764669</c:v>
                </c:pt>
                <c:pt idx="6">
                  <c:v>164.0033801208518</c:v>
                </c:pt>
                <c:pt idx="7">
                  <c:v>149.74221663208209</c:v>
                </c:pt>
                <c:pt idx="8">
                  <c:v>149.74221663208209</c:v>
                </c:pt>
                <c:pt idx="9">
                  <c:v>156.8727983764669</c:v>
                </c:pt>
                <c:pt idx="10">
                  <c:v>149.74221663208209</c:v>
                </c:pt>
                <c:pt idx="11">
                  <c:v>156.8727983764669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EC-4199-A1CB-8393BB0D7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18"/>
          <c:order val="5"/>
          <c:tx>
            <c:strRef>
              <c:f>'Hằng ngày'!$A$283</c:f>
              <c:strCache>
                <c:ptCount val="1"/>
                <c:pt idx="0">
                  <c:v>Mục tiêu Bản vẽ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ngày'!$B$281:$AS$281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ngày'!$B$283:$AS$283</c:f>
              <c:numCache>
                <c:formatCode>0</c:formatCode>
                <c:ptCount val="44"/>
                <c:pt idx="12">
                  <c:v>7.13</c:v>
                </c:pt>
                <c:pt idx="13">
                  <c:v>7.13</c:v>
                </c:pt>
                <c:pt idx="14">
                  <c:v>7.13</c:v>
                </c:pt>
                <c:pt idx="15">
                  <c:v>7.13</c:v>
                </c:pt>
                <c:pt idx="16">
                  <c:v>7.13</c:v>
                </c:pt>
                <c:pt idx="19">
                  <c:v>7.13</c:v>
                </c:pt>
                <c:pt idx="20">
                  <c:v>7.13</c:v>
                </c:pt>
                <c:pt idx="21">
                  <c:v>7.13</c:v>
                </c:pt>
                <c:pt idx="22">
                  <c:v>7.13</c:v>
                </c:pt>
                <c:pt idx="23">
                  <c:v>7.13</c:v>
                </c:pt>
                <c:pt idx="26">
                  <c:v>7.13</c:v>
                </c:pt>
                <c:pt idx="27">
                  <c:v>7.13</c:v>
                </c:pt>
                <c:pt idx="28">
                  <c:v>7.13</c:v>
                </c:pt>
                <c:pt idx="29">
                  <c:v>7.13</c:v>
                </c:pt>
                <c:pt idx="30">
                  <c:v>7.13</c:v>
                </c:pt>
                <c:pt idx="33">
                  <c:v>7.13</c:v>
                </c:pt>
                <c:pt idx="34">
                  <c:v>7.13</c:v>
                </c:pt>
                <c:pt idx="35">
                  <c:v>7.13</c:v>
                </c:pt>
                <c:pt idx="36">
                  <c:v>7.13</c:v>
                </c:pt>
                <c:pt idx="37">
                  <c:v>7.13</c:v>
                </c:pt>
                <c:pt idx="40" formatCode="General">
                  <c:v>7.13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BEC-4199-A1CB-8393BB0D706D}"/>
            </c:ext>
          </c:extLst>
        </c:ser>
        <c:ser>
          <c:idx val="19"/>
          <c:order val="6"/>
          <c:tx>
            <c:strRef>
              <c:f>'Hằng ngày'!$A$285</c:f>
              <c:strCache>
                <c:ptCount val="1"/>
                <c:pt idx="0">
                  <c:v>Mục tiêu Bản vẽ HT CĐ Ca 1 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ngày'!$B$281:$AS$281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ngày'!$B$285:$AS$285</c:f>
              <c:numCache>
                <c:formatCode>0</c:formatCode>
                <c:ptCount val="44"/>
                <c:pt idx="12">
                  <c:v>7.13</c:v>
                </c:pt>
                <c:pt idx="13">
                  <c:v>7.29</c:v>
                </c:pt>
                <c:pt idx="14">
                  <c:v>7.35</c:v>
                </c:pt>
                <c:pt idx="15">
                  <c:v>7.54</c:v>
                </c:pt>
                <c:pt idx="16">
                  <c:v>7.69</c:v>
                </c:pt>
                <c:pt idx="19">
                  <c:v>7.86</c:v>
                </c:pt>
                <c:pt idx="20">
                  <c:v>8.32</c:v>
                </c:pt>
                <c:pt idx="21">
                  <c:v>8.6999999999999993</c:v>
                </c:pt>
                <c:pt idx="22">
                  <c:v>8.98</c:v>
                </c:pt>
                <c:pt idx="23">
                  <c:v>8.98</c:v>
                </c:pt>
                <c:pt idx="26">
                  <c:v>8.98</c:v>
                </c:pt>
                <c:pt idx="27">
                  <c:v>8.98</c:v>
                </c:pt>
                <c:pt idx="28">
                  <c:v>8.98</c:v>
                </c:pt>
                <c:pt idx="29">
                  <c:v>8.98</c:v>
                </c:pt>
                <c:pt idx="30">
                  <c:v>8.98</c:v>
                </c:pt>
                <c:pt idx="33">
                  <c:v>8.98</c:v>
                </c:pt>
                <c:pt idx="34">
                  <c:v>8.98</c:v>
                </c:pt>
                <c:pt idx="35">
                  <c:v>8.98</c:v>
                </c:pt>
                <c:pt idx="36">
                  <c:v>8.98</c:v>
                </c:pt>
                <c:pt idx="37">
                  <c:v>8.98</c:v>
                </c:pt>
                <c:pt idx="40" formatCode="General">
                  <c:v>8.98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BEC-4199-A1CB-8393BB0D706D}"/>
            </c:ext>
          </c:extLst>
        </c:ser>
        <c:ser>
          <c:idx val="20"/>
          <c:order val="7"/>
          <c:tx>
            <c:strRef>
              <c:f>'Hằng ngày'!$A$286</c:f>
              <c:strCache>
                <c:ptCount val="1"/>
                <c:pt idx="0">
                  <c:v>Mục tiêu Bản vẽ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ngày'!$B$281:$AS$281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ngày'!$B$286:$AS$286</c:f>
              <c:numCache>
                <c:formatCode>0</c:formatCode>
                <c:ptCount val="44"/>
                <c:pt idx="12">
                  <c:v>7.13</c:v>
                </c:pt>
                <c:pt idx="13">
                  <c:v>7.29</c:v>
                </c:pt>
                <c:pt idx="14">
                  <c:v>7.46</c:v>
                </c:pt>
                <c:pt idx="15">
                  <c:v>7.65</c:v>
                </c:pt>
                <c:pt idx="16">
                  <c:v>7.75</c:v>
                </c:pt>
                <c:pt idx="19">
                  <c:v>7.86</c:v>
                </c:pt>
                <c:pt idx="20">
                  <c:v>8.18</c:v>
                </c:pt>
                <c:pt idx="21">
                  <c:v>8.41</c:v>
                </c:pt>
                <c:pt idx="22">
                  <c:v>8.1300000000000008</c:v>
                </c:pt>
                <c:pt idx="23">
                  <c:v>8.1300000000000008</c:v>
                </c:pt>
                <c:pt idx="26">
                  <c:v>8.1300000000000008</c:v>
                </c:pt>
                <c:pt idx="27">
                  <c:v>8.1300000000000008</c:v>
                </c:pt>
                <c:pt idx="28">
                  <c:v>8.1300000000000008</c:v>
                </c:pt>
                <c:pt idx="29">
                  <c:v>8.1300000000000008</c:v>
                </c:pt>
                <c:pt idx="30">
                  <c:v>8.1300000000000008</c:v>
                </c:pt>
                <c:pt idx="33">
                  <c:v>8.1300000000000008</c:v>
                </c:pt>
                <c:pt idx="34">
                  <c:v>8.1300000000000008</c:v>
                </c:pt>
                <c:pt idx="35">
                  <c:v>8.1300000000000008</c:v>
                </c:pt>
                <c:pt idx="36">
                  <c:v>8.1300000000000008</c:v>
                </c:pt>
                <c:pt idx="37">
                  <c:v>8.1300000000000008</c:v>
                </c:pt>
                <c:pt idx="40" formatCode="General">
                  <c:v>8.1300000000000008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BEC-4199-A1CB-8393BB0D7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3.3310277777777772E-2"/>
          <c:y val="0.89818975126400258"/>
          <c:w val="0.94572666666666683"/>
          <c:h val="0.10181024873599745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Số PCS HT Công đoạn Mài mô phỏng (GP)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6046065448656369E-2"/>
          <c:y val="0.12203455297742098"/>
          <c:w val="0.95093469664715669"/>
          <c:h val="0.70197547115589631"/>
        </c:manualLayout>
      </c:layout>
      <c:barChart>
        <c:barDir val="col"/>
        <c:grouping val="clustered"/>
        <c:varyColors val="0"/>
        <c:ser>
          <c:idx val="15"/>
          <c:order val="0"/>
          <c:tx>
            <c:strRef>
              <c:f>'Hằng ngày'!$A$297</c:f>
              <c:strCache>
                <c:ptCount val="1"/>
                <c:pt idx="0">
                  <c:v>Thực tích số PCS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ngày'!$B$281:$AS$281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ngày'!$B$297:$AS$297</c:f>
              <c:numCache>
                <c:formatCode>General</c:formatCode>
                <c:ptCount val="44"/>
                <c:pt idx="0">
                  <c:v>1974</c:v>
                </c:pt>
                <c:pt idx="1">
                  <c:v>738</c:v>
                </c:pt>
                <c:pt idx="2">
                  <c:v>1646</c:v>
                </c:pt>
                <c:pt idx="3">
                  <c:v>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9-4554-83E1-5CC0A190C9ED}"/>
            </c:ext>
          </c:extLst>
        </c:ser>
        <c:ser>
          <c:idx val="16"/>
          <c:order val="1"/>
          <c:tx>
            <c:strRef>
              <c:f>'Hằng ngày'!$A$298</c:f>
              <c:strCache>
                <c:ptCount val="1"/>
                <c:pt idx="0">
                  <c:v>Thực tích số PCS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ngày'!$B$281:$AS$281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ngày'!$B$298:$AS$298</c:f>
              <c:numCache>
                <c:formatCode>General</c:formatCode>
                <c:ptCount val="44"/>
                <c:pt idx="0">
                  <c:v>1457</c:v>
                </c:pt>
                <c:pt idx="1">
                  <c:v>790</c:v>
                </c:pt>
                <c:pt idx="2">
                  <c:v>1776</c:v>
                </c:pt>
                <c:pt idx="3">
                  <c:v>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F9-4554-83E1-5CC0A190C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7"/>
          <c:order val="2"/>
          <c:tx>
            <c:strRef>
              <c:f>'Hằng ngày'!$A$293</c:f>
              <c:strCache>
                <c:ptCount val="1"/>
                <c:pt idx="0">
                  <c:v>Thực tích số PCS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ngày'!$B$281:$AS$281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ngày'!$B$293:$AS$293</c:f>
              <c:numCache>
                <c:formatCode>General</c:formatCode>
                <c:ptCount val="44"/>
                <c:pt idx="12">
                  <c:v>208</c:v>
                </c:pt>
                <c:pt idx="13">
                  <c:v>130</c:v>
                </c:pt>
                <c:pt idx="14">
                  <c:v>13</c:v>
                </c:pt>
                <c:pt idx="15">
                  <c:v>18</c:v>
                </c:pt>
                <c:pt idx="16">
                  <c:v>49</c:v>
                </c:pt>
                <c:pt idx="17">
                  <c:v>7</c:v>
                </c:pt>
                <c:pt idx="18">
                  <c:v>0</c:v>
                </c:pt>
                <c:pt idx="19">
                  <c:v>1</c:v>
                </c:pt>
                <c:pt idx="20">
                  <c:v>16</c:v>
                </c:pt>
                <c:pt idx="2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F9-4554-83E1-5CC0A190C9ED}"/>
            </c:ext>
          </c:extLst>
        </c:ser>
        <c:ser>
          <c:idx val="18"/>
          <c:order val="3"/>
          <c:tx>
            <c:strRef>
              <c:f>'Hằng ngày'!$A$294</c:f>
              <c:strCache>
                <c:ptCount val="1"/>
                <c:pt idx="0">
                  <c:v>Thực tích số PCS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ngày'!$B$281:$AS$281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ngày'!$B$294:$AS$294</c:f>
              <c:numCache>
                <c:formatCode>General</c:formatCode>
                <c:ptCount val="44"/>
                <c:pt idx="12">
                  <c:v>8</c:v>
                </c:pt>
                <c:pt idx="13">
                  <c:v>7</c:v>
                </c:pt>
                <c:pt idx="14">
                  <c:v>199</c:v>
                </c:pt>
                <c:pt idx="15">
                  <c:v>94</c:v>
                </c:pt>
                <c:pt idx="16">
                  <c:v>13</c:v>
                </c:pt>
                <c:pt idx="17">
                  <c:v>36</c:v>
                </c:pt>
                <c:pt idx="18">
                  <c:v>0</c:v>
                </c:pt>
                <c:pt idx="19">
                  <c:v>18</c:v>
                </c:pt>
                <c:pt idx="20">
                  <c:v>15</c:v>
                </c:pt>
                <c:pt idx="21">
                  <c:v>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F9-4554-83E1-5CC0A190C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9"/>
          <c:order val="4"/>
          <c:tx>
            <c:strRef>
              <c:f>'Hằng ngày'!$A$290</c:f>
              <c:strCache>
                <c:ptCount val="1"/>
                <c:pt idx="0">
                  <c:v>Mục tiêu số PCS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ngày'!$B$281:$AS$281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ngày'!$B$290:$AS$290</c:f>
              <c:numCache>
                <c:formatCode>0</c:formatCode>
                <c:ptCount val="44"/>
                <c:pt idx="0">
                  <c:v>2455.7145069342828</c:v>
                </c:pt>
                <c:pt idx="1">
                  <c:v>1674.350800182465</c:v>
                </c:pt>
                <c:pt idx="2">
                  <c:v>2455.7145069342828</c:v>
                </c:pt>
                <c:pt idx="3">
                  <c:v>2344.0911202554521</c:v>
                </c:pt>
                <c:pt idx="4">
                  <c:v>2232.467733576621</c:v>
                </c:pt>
                <c:pt idx="5">
                  <c:v>2455.7145069342828</c:v>
                </c:pt>
                <c:pt idx="6">
                  <c:v>2567.3378936131139</c:v>
                </c:pt>
                <c:pt idx="7">
                  <c:v>2344.0911202554521</c:v>
                </c:pt>
                <c:pt idx="8">
                  <c:v>2344.0911202554521</c:v>
                </c:pt>
                <c:pt idx="9">
                  <c:v>2455.7145069342828</c:v>
                </c:pt>
                <c:pt idx="10">
                  <c:v>2344.0911202554521</c:v>
                </c:pt>
                <c:pt idx="11">
                  <c:v>2455.7145069342828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F9-4554-83E1-5CC0A190C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20"/>
          <c:order val="5"/>
          <c:tx>
            <c:strRef>
              <c:f>'Hằng ngày'!$A$288</c:f>
              <c:strCache>
                <c:ptCount val="1"/>
                <c:pt idx="0">
                  <c:v>Mục tiêu số PCS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ngày'!$B$281:$AS$281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ngày'!$B$288:$AS$288</c:f>
              <c:numCache>
                <c:formatCode>0</c:formatCode>
                <c:ptCount val="44"/>
                <c:pt idx="12">
                  <c:v>111.62</c:v>
                </c:pt>
                <c:pt idx="13">
                  <c:v>116.8</c:v>
                </c:pt>
                <c:pt idx="14">
                  <c:v>122.58</c:v>
                </c:pt>
                <c:pt idx="15">
                  <c:v>118.34</c:v>
                </c:pt>
                <c:pt idx="16">
                  <c:v>119.77</c:v>
                </c:pt>
                <c:pt idx="19">
                  <c:v>124.19</c:v>
                </c:pt>
                <c:pt idx="20">
                  <c:v>131.27000000000001</c:v>
                </c:pt>
                <c:pt idx="21">
                  <c:v>139.58000000000001</c:v>
                </c:pt>
                <c:pt idx="22">
                  <c:v>127.08</c:v>
                </c:pt>
                <c:pt idx="23">
                  <c:v>127.08</c:v>
                </c:pt>
                <c:pt idx="26">
                  <c:v>127.08</c:v>
                </c:pt>
                <c:pt idx="27">
                  <c:v>127.08</c:v>
                </c:pt>
                <c:pt idx="28">
                  <c:v>127.08</c:v>
                </c:pt>
                <c:pt idx="29">
                  <c:v>127.08</c:v>
                </c:pt>
                <c:pt idx="30">
                  <c:v>127.08</c:v>
                </c:pt>
                <c:pt idx="33">
                  <c:v>127.08</c:v>
                </c:pt>
                <c:pt idx="34">
                  <c:v>127.08</c:v>
                </c:pt>
                <c:pt idx="35">
                  <c:v>127.08</c:v>
                </c:pt>
                <c:pt idx="36">
                  <c:v>127.08</c:v>
                </c:pt>
                <c:pt idx="37">
                  <c:v>127.08</c:v>
                </c:pt>
                <c:pt idx="40" formatCode="General">
                  <c:v>127.08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F9-4554-83E1-5CC0A190C9ED}"/>
            </c:ext>
          </c:extLst>
        </c:ser>
        <c:ser>
          <c:idx val="21"/>
          <c:order val="6"/>
          <c:tx>
            <c:strRef>
              <c:f>'Hằng ngày'!$A$284</c:f>
              <c:strCache>
                <c:ptCount val="1"/>
                <c:pt idx="0">
                  <c:v>Mục tiêu số PCS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ngày'!$B$281:$AS$281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ngày'!$B$284:$AS$284</c:f>
              <c:numCache>
                <c:formatCode>0</c:formatCode>
                <c:ptCount val="44"/>
                <c:pt idx="12">
                  <c:v>111.62</c:v>
                </c:pt>
                <c:pt idx="13">
                  <c:v>111.62</c:v>
                </c:pt>
                <c:pt idx="14">
                  <c:v>111.62</c:v>
                </c:pt>
                <c:pt idx="15">
                  <c:v>111.62</c:v>
                </c:pt>
                <c:pt idx="16">
                  <c:v>111.62</c:v>
                </c:pt>
                <c:pt idx="19">
                  <c:v>111.62</c:v>
                </c:pt>
                <c:pt idx="20">
                  <c:v>111.62</c:v>
                </c:pt>
                <c:pt idx="21">
                  <c:v>111.62</c:v>
                </c:pt>
                <c:pt idx="22">
                  <c:v>111.62</c:v>
                </c:pt>
                <c:pt idx="23">
                  <c:v>111.62</c:v>
                </c:pt>
                <c:pt idx="26">
                  <c:v>111.62</c:v>
                </c:pt>
                <c:pt idx="27">
                  <c:v>111.62</c:v>
                </c:pt>
                <c:pt idx="28">
                  <c:v>111.62</c:v>
                </c:pt>
                <c:pt idx="29">
                  <c:v>111.62</c:v>
                </c:pt>
                <c:pt idx="30">
                  <c:v>111.62</c:v>
                </c:pt>
                <c:pt idx="33">
                  <c:v>111.62</c:v>
                </c:pt>
                <c:pt idx="34">
                  <c:v>111.62</c:v>
                </c:pt>
                <c:pt idx="35">
                  <c:v>111.62</c:v>
                </c:pt>
                <c:pt idx="36">
                  <c:v>111.62</c:v>
                </c:pt>
                <c:pt idx="37">
                  <c:v>111.62</c:v>
                </c:pt>
                <c:pt idx="40" formatCode="General">
                  <c:v>111.62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0F9-4554-83E1-5CC0A190C9ED}"/>
            </c:ext>
          </c:extLst>
        </c:ser>
        <c:ser>
          <c:idx val="22"/>
          <c:order val="7"/>
          <c:tx>
            <c:strRef>
              <c:f>'Hằng ngày'!$A$287</c:f>
              <c:strCache>
                <c:ptCount val="1"/>
                <c:pt idx="0">
                  <c:v>Mục tiêu số PCS HT CĐ Ca 1(Còn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ngày'!$B$281:$AS$281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ngày'!$B$287:$AS$287</c:f>
              <c:numCache>
                <c:formatCode>0</c:formatCode>
                <c:ptCount val="44"/>
                <c:pt idx="12">
                  <c:v>111.62</c:v>
                </c:pt>
                <c:pt idx="13">
                  <c:v>106.8</c:v>
                </c:pt>
                <c:pt idx="14">
                  <c:v>105.58</c:v>
                </c:pt>
                <c:pt idx="15">
                  <c:v>110.73</c:v>
                </c:pt>
                <c:pt idx="16">
                  <c:v>116.18</c:v>
                </c:pt>
                <c:pt idx="19">
                  <c:v>119.94</c:v>
                </c:pt>
                <c:pt idx="20">
                  <c:v>127.87</c:v>
                </c:pt>
                <c:pt idx="21">
                  <c:v>135.86000000000001</c:v>
                </c:pt>
                <c:pt idx="22">
                  <c:v>145.85</c:v>
                </c:pt>
                <c:pt idx="23">
                  <c:v>145.85</c:v>
                </c:pt>
                <c:pt idx="26">
                  <c:v>145.85</c:v>
                </c:pt>
                <c:pt idx="27">
                  <c:v>145.85</c:v>
                </c:pt>
                <c:pt idx="28">
                  <c:v>145.85</c:v>
                </c:pt>
                <c:pt idx="29">
                  <c:v>145.85</c:v>
                </c:pt>
                <c:pt idx="30">
                  <c:v>145.85</c:v>
                </c:pt>
                <c:pt idx="33">
                  <c:v>145.85</c:v>
                </c:pt>
                <c:pt idx="34">
                  <c:v>145.85</c:v>
                </c:pt>
                <c:pt idx="35">
                  <c:v>145.85</c:v>
                </c:pt>
                <c:pt idx="36">
                  <c:v>145.85</c:v>
                </c:pt>
                <c:pt idx="37">
                  <c:v>145.85</c:v>
                </c:pt>
                <c:pt idx="40" formatCode="General">
                  <c:v>145.85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0F9-4554-83E1-5CC0A190C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3.5153472222222218E-2"/>
          <c:y val="0.89218031079757365"/>
          <c:w val="0.94380416666666667"/>
          <c:h val="0.10781968920242631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Số PCS HT Công đoạn Mài dụng cụ (GJ) 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1585952676194634E-2"/>
          <c:y val="0.12601409226094365"/>
          <c:w val="0.9596946651035958"/>
          <c:h val="0.69250176076372549"/>
        </c:manualLayout>
      </c:layout>
      <c:barChart>
        <c:barDir val="col"/>
        <c:grouping val="clustered"/>
        <c:varyColors val="0"/>
        <c:ser>
          <c:idx val="15"/>
          <c:order val="0"/>
          <c:tx>
            <c:strRef>
              <c:f>'Hằng ngày'!$A$197</c:f>
              <c:strCache>
                <c:ptCount val="1"/>
                <c:pt idx="0">
                  <c:v>Thực tích số PCS HT CĐ Ca 1  (Tháng)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ngày'!$B$181:$AS$181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ngày'!$B$197:$AS$197</c:f>
              <c:numCache>
                <c:formatCode>General</c:formatCode>
                <c:ptCount val="44"/>
                <c:pt idx="0">
                  <c:v>267</c:v>
                </c:pt>
                <c:pt idx="1">
                  <c:v>167</c:v>
                </c:pt>
                <c:pt idx="2">
                  <c:v>109</c:v>
                </c:pt>
                <c:pt idx="3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E-46C0-B329-5B429FF5C197}"/>
            </c:ext>
          </c:extLst>
        </c:ser>
        <c:ser>
          <c:idx val="16"/>
          <c:order val="1"/>
          <c:tx>
            <c:strRef>
              <c:f>'Hằng ngày'!$A$198</c:f>
              <c:strCache>
                <c:ptCount val="1"/>
                <c:pt idx="0">
                  <c:v>Thực tích số PCS HT CĐ Ca 2  (Tháng)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ngày'!$B$181:$AS$181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ngày'!$B$198:$AS$198</c:f>
              <c:numCache>
                <c:formatCode>General</c:formatCode>
                <c:ptCount val="44"/>
                <c:pt idx="0">
                  <c:v>232</c:v>
                </c:pt>
                <c:pt idx="1">
                  <c:v>103</c:v>
                </c:pt>
                <c:pt idx="2">
                  <c:v>243</c:v>
                </c:pt>
                <c:pt idx="3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6E-46C0-B329-5B429FF5C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43528"/>
        <c:axId val="1056546768"/>
      </c:barChart>
      <c:barChart>
        <c:barDir val="col"/>
        <c:grouping val="clustered"/>
        <c:varyColors val="0"/>
        <c:ser>
          <c:idx val="17"/>
          <c:order val="2"/>
          <c:tx>
            <c:strRef>
              <c:f>'Hằng ngày'!$A$193</c:f>
              <c:strCache>
                <c:ptCount val="1"/>
                <c:pt idx="0">
                  <c:v>Thực tích số PCS HT CĐ Ca 1 (Ngày)</c:v>
                </c:pt>
              </c:strCache>
            </c:strRef>
          </c:tx>
          <c:spPr>
            <a:solidFill>
              <a:srgbClr val="92D05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ngày'!$B$181:$AS$181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ngày'!$B$193:$AS$193</c:f>
              <c:numCache>
                <c:formatCode>General</c:formatCode>
                <c:ptCount val="44"/>
                <c:pt idx="12">
                  <c:v>3</c:v>
                </c:pt>
                <c:pt idx="13">
                  <c:v>0</c:v>
                </c:pt>
                <c:pt idx="14">
                  <c:v>3</c:v>
                </c:pt>
                <c:pt idx="15">
                  <c:v>12</c:v>
                </c:pt>
                <c:pt idx="16">
                  <c:v>3</c:v>
                </c:pt>
                <c:pt idx="17">
                  <c:v>0</c:v>
                </c:pt>
                <c:pt idx="18">
                  <c:v>0</c:v>
                </c:pt>
                <c:pt idx="19">
                  <c:v>7</c:v>
                </c:pt>
                <c:pt idx="20">
                  <c:v>2</c:v>
                </c:pt>
                <c:pt idx="2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6E-46C0-B329-5B429FF5C197}"/>
            </c:ext>
          </c:extLst>
        </c:ser>
        <c:ser>
          <c:idx val="18"/>
          <c:order val="3"/>
          <c:tx>
            <c:strRef>
              <c:f>'Hằng ngày'!$A$194</c:f>
              <c:strCache>
                <c:ptCount val="1"/>
                <c:pt idx="0">
                  <c:v>Thực tích số PCS HT CĐ Ca 2 (Ngày)</c:v>
                </c:pt>
              </c:strCache>
            </c:strRef>
          </c:tx>
          <c:spPr>
            <a:solidFill>
              <a:srgbClr val="00B0F0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'Hằng ngày'!$B$181:$AS$181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ngày'!$B$194:$AS$194</c:f>
              <c:numCache>
                <c:formatCode>General</c:formatCode>
                <c:ptCount val="44"/>
                <c:pt idx="12">
                  <c:v>2</c:v>
                </c:pt>
                <c:pt idx="13">
                  <c:v>2</c:v>
                </c:pt>
                <c:pt idx="14">
                  <c:v>14</c:v>
                </c:pt>
                <c:pt idx="15">
                  <c:v>13</c:v>
                </c:pt>
                <c:pt idx="16">
                  <c:v>6</c:v>
                </c:pt>
                <c:pt idx="17">
                  <c:v>0</c:v>
                </c:pt>
                <c:pt idx="18">
                  <c:v>0</c:v>
                </c:pt>
                <c:pt idx="19">
                  <c:v>9</c:v>
                </c:pt>
                <c:pt idx="20">
                  <c:v>8</c:v>
                </c:pt>
                <c:pt idx="2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6E-46C0-B329-5B429FF5C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64408"/>
        <c:axId val="1056560088"/>
      </c:barChart>
      <c:lineChart>
        <c:grouping val="standard"/>
        <c:varyColors val="0"/>
        <c:ser>
          <c:idx val="19"/>
          <c:order val="4"/>
          <c:tx>
            <c:strRef>
              <c:f>'Hằng ngày'!$A$190</c:f>
              <c:strCache>
                <c:ptCount val="1"/>
                <c:pt idx="0">
                  <c:v>Mục tiêu số PCS  HT CĐ  (Tháng)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ngày'!$B$181:$AS$181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ngày'!$B$190:$AS$190</c:f>
              <c:numCache>
                <c:formatCode>0</c:formatCode>
                <c:ptCount val="44"/>
                <c:pt idx="0">
                  <c:v>230.1110884516998</c:v>
                </c:pt>
                <c:pt idx="1">
                  <c:v>156.8939239443408</c:v>
                </c:pt>
                <c:pt idx="2">
                  <c:v>230.1110884516998</c:v>
                </c:pt>
                <c:pt idx="3">
                  <c:v>219.65149352207709</c:v>
                </c:pt>
                <c:pt idx="4">
                  <c:v>209.19189859245441</c:v>
                </c:pt>
                <c:pt idx="5">
                  <c:v>230.1110884516998</c:v>
                </c:pt>
                <c:pt idx="6">
                  <c:v>240.57068338132251</c:v>
                </c:pt>
                <c:pt idx="7">
                  <c:v>219.65149352207709</c:v>
                </c:pt>
                <c:pt idx="8">
                  <c:v>219.65149352207709</c:v>
                </c:pt>
                <c:pt idx="9">
                  <c:v>230.1110884516998</c:v>
                </c:pt>
                <c:pt idx="10">
                  <c:v>219.65149352207709</c:v>
                </c:pt>
                <c:pt idx="11">
                  <c:v>230.1110884516998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6E-46C0-B329-5B429FF5C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43528"/>
        <c:axId val="1056546768"/>
      </c:lineChart>
      <c:lineChart>
        <c:grouping val="standard"/>
        <c:varyColors val="0"/>
        <c:ser>
          <c:idx val="20"/>
          <c:order val="5"/>
          <c:tx>
            <c:strRef>
              <c:f>'Hằng ngày'!$A$184</c:f>
              <c:strCache>
                <c:ptCount val="1"/>
                <c:pt idx="0">
                  <c:v>Mục tiêu số PCS  HT CĐ (Ngày)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  <a:prstDash val="solid"/>
              </a:ln>
            </c:spPr>
          </c:marker>
          <c:cat>
            <c:strRef>
              <c:f>'Hằng ngày'!$B$181:$AS$181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ngày'!$B$184:$AS$184</c:f>
              <c:numCache>
                <c:formatCode>General</c:formatCode>
                <c:ptCount val="44"/>
                <c:pt idx="12" formatCode="0">
                  <c:v>10.46</c:v>
                </c:pt>
                <c:pt idx="13" formatCode="0">
                  <c:v>10.46</c:v>
                </c:pt>
                <c:pt idx="14" formatCode="0">
                  <c:v>10.46</c:v>
                </c:pt>
                <c:pt idx="15" formatCode="0">
                  <c:v>10.46</c:v>
                </c:pt>
                <c:pt idx="16" formatCode="0">
                  <c:v>10.46</c:v>
                </c:pt>
                <c:pt idx="19" formatCode="0">
                  <c:v>10.46</c:v>
                </c:pt>
                <c:pt idx="20" formatCode="0">
                  <c:v>10.46</c:v>
                </c:pt>
                <c:pt idx="21" formatCode="0">
                  <c:v>10.46</c:v>
                </c:pt>
                <c:pt idx="22" formatCode="0">
                  <c:v>10.46</c:v>
                </c:pt>
                <c:pt idx="23" formatCode="0">
                  <c:v>10.46</c:v>
                </c:pt>
                <c:pt idx="26" formatCode="0">
                  <c:v>10.46</c:v>
                </c:pt>
                <c:pt idx="27" formatCode="0">
                  <c:v>10.46</c:v>
                </c:pt>
                <c:pt idx="28" formatCode="0">
                  <c:v>10.46</c:v>
                </c:pt>
                <c:pt idx="29" formatCode="0">
                  <c:v>10.46</c:v>
                </c:pt>
                <c:pt idx="30" formatCode="0">
                  <c:v>10.46</c:v>
                </c:pt>
                <c:pt idx="33" formatCode="0">
                  <c:v>10.46</c:v>
                </c:pt>
                <c:pt idx="34" formatCode="0">
                  <c:v>10.46</c:v>
                </c:pt>
                <c:pt idx="35" formatCode="0">
                  <c:v>10.46</c:v>
                </c:pt>
                <c:pt idx="36" formatCode="0">
                  <c:v>10.46</c:v>
                </c:pt>
                <c:pt idx="37" formatCode="0">
                  <c:v>10.46</c:v>
                </c:pt>
                <c:pt idx="40">
                  <c:v>10.46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6E-46C0-B329-5B429FF5C197}"/>
            </c:ext>
          </c:extLst>
        </c:ser>
        <c:ser>
          <c:idx val="21"/>
          <c:order val="6"/>
          <c:tx>
            <c:strRef>
              <c:f>'Hằng ngày'!$A$188</c:f>
              <c:strCache>
                <c:ptCount val="1"/>
                <c:pt idx="0">
                  <c:v>Mục tiêu số PCS HT CĐ Ca 2(Còn lại/Ngày)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ngày'!$B$181:$AS$181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ngày'!$B$188:$AS$188</c:f>
              <c:numCache>
                <c:formatCode>General</c:formatCode>
                <c:ptCount val="44"/>
                <c:pt idx="12" formatCode="0">
                  <c:v>10.46</c:v>
                </c:pt>
                <c:pt idx="13" formatCode="0">
                  <c:v>10.88</c:v>
                </c:pt>
                <c:pt idx="14" formatCode="0">
                  <c:v>11.35</c:v>
                </c:pt>
                <c:pt idx="15" formatCode="0">
                  <c:v>11.2</c:v>
                </c:pt>
                <c:pt idx="16" formatCode="0">
                  <c:v>11.1</c:v>
                </c:pt>
                <c:pt idx="19" formatCode="0">
                  <c:v>11.42</c:v>
                </c:pt>
                <c:pt idx="20" formatCode="0">
                  <c:v>11.58</c:v>
                </c:pt>
                <c:pt idx="21" formatCode="0">
                  <c:v>11.83</c:v>
                </c:pt>
                <c:pt idx="22" formatCode="0">
                  <c:v>10.97</c:v>
                </c:pt>
                <c:pt idx="23" formatCode="0">
                  <c:v>10.97</c:v>
                </c:pt>
                <c:pt idx="26" formatCode="0">
                  <c:v>10.97</c:v>
                </c:pt>
                <c:pt idx="27" formatCode="0">
                  <c:v>10.97</c:v>
                </c:pt>
                <c:pt idx="28" formatCode="0">
                  <c:v>10.97</c:v>
                </c:pt>
                <c:pt idx="29" formatCode="0">
                  <c:v>10.97</c:v>
                </c:pt>
                <c:pt idx="30" formatCode="0">
                  <c:v>10.97</c:v>
                </c:pt>
                <c:pt idx="33" formatCode="0">
                  <c:v>10.97</c:v>
                </c:pt>
                <c:pt idx="34" formatCode="0">
                  <c:v>10.97</c:v>
                </c:pt>
                <c:pt idx="35" formatCode="0">
                  <c:v>10.97</c:v>
                </c:pt>
                <c:pt idx="36" formatCode="0">
                  <c:v>10.97</c:v>
                </c:pt>
                <c:pt idx="37" formatCode="0">
                  <c:v>10.97</c:v>
                </c:pt>
                <c:pt idx="40">
                  <c:v>10.97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6E-46C0-B329-5B429FF5C197}"/>
            </c:ext>
          </c:extLst>
        </c:ser>
        <c:ser>
          <c:idx val="22"/>
          <c:order val="7"/>
          <c:tx>
            <c:strRef>
              <c:f>'Hằng ngày'!$A$187</c:f>
              <c:strCache>
                <c:ptCount val="1"/>
                <c:pt idx="0">
                  <c:v>Mục tiêu số PCS HT CĐ Ca 1(Còn lại/Ngày)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  <a:prstDash val="solid"/>
              </a:ln>
            </c:spPr>
          </c:marker>
          <c:cat>
            <c:strRef>
              <c:f>'Hằng ngày'!$B$181:$AS$181</c:f>
              <c:strCache>
                <c:ptCount val="41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30-Mar</c:v>
                </c:pt>
                <c:pt idx="13">
                  <c:v>31-Mar</c:v>
                </c:pt>
                <c:pt idx="14">
                  <c:v>01-Apr</c:v>
                </c:pt>
                <c:pt idx="15">
                  <c:v>02-Apr</c:v>
                </c:pt>
                <c:pt idx="16">
                  <c:v>03-Apr</c:v>
                </c:pt>
                <c:pt idx="17">
                  <c:v>04-Apr</c:v>
                </c:pt>
                <c:pt idx="18">
                  <c:v>05-Apr</c:v>
                </c:pt>
                <c:pt idx="19">
                  <c:v>06-Apr</c:v>
                </c:pt>
                <c:pt idx="20">
                  <c:v>07-Apr</c:v>
                </c:pt>
                <c:pt idx="21">
                  <c:v>08-Apr</c:v>
                </c:pt>
                <c:pt idx="22">
                  <c:v>09-Apr</c:v>
                </c:pt>
                <c:pt idx="23">
                  <c:v>10-Apr</c:v>
                </c:pt>
                <c:pt idx="24">
                  <c:v>11-Apr</c:v>
                </c:pt>
                <c:pt idx="25">
                  <c:v>12-Apr</c:v>
                </c:pt>
                <c:pt idx="26">
                  <c:v>13-Apr</c:v>
                </c:pt>
                <c:pt idx="27">
                  <c:v>14-Apr</c:v>
                </c:pt>
                <c:pt idx="28">
                  <c:v>15-Apr</c:v>
                </c:pt>
                <c:pt idx="29">
                  <c:v>16-Apr</c:v>
                </c:pt>
                <c:pt idx="30">
                  <c:v>17-Apr</c:v>
                </c:pt>
                <c:pt idx="31">
                  <c:v>18-Apr</c:v>
                </c:pt>
                <c:pt idx="32">
                  <c:v>19-Apr</c:v>
                </c:pt>
                <c:pt idx="33">
                  <c:v>20-Apr</c:v>
                </c:pt>
                <c:pt idx="34">
                  <c:v>21-Apr</c:v>
                </c:pt>
                <c:pt idx="35">
                  <c:v>22-Apr</c:v>
                </c:pt>
                <c:pt idx="36">
                  <c:v>23-Apr</c:v>
                </c:pt>
                <c:pt idx="37">
                  <c:v>24-Apr</c:v>
                </c:pt>
                <c:pt idx="38">
                  <c:v>25-Apr</c:v>
                </c:pt>
                <c:pt idx="39">
                  <c:v>26-Apr</c:v>
                </c:pt>
                <c:pt idx="40">
                  <c:v>27-Apr</c:v>
                </c:pt>
              </c:strCache>
            </c:strRef>
          </c:cat>
          <c:val>
            <c:numRef>
              <c:f>'Hằng ngày'!$B$187:$AS$187</c:f>
              <c:numCache>
                <c:formatCode>General</c:formatCode>
                <c:ptCount val="44"/>
                <c:pt idx="12" formatCode="0">
                  <c:v>10.46</c:v>
                </c:pt>
                <c:pt idx="13" formatCode="0">
                  <c:v>10.83</c:v>
                </c:pt>
                <c:pt idx="14" formatCode="0">
                  <c:v>11.4</c:v>
                </c:pt>
                <c:pt idx="15" formatCode="0">
                  <c:v>11.87</c:v>
                </c:pt>
                <c:pt idx="16" formatCode="0">
                  <c:v>11.86</c:v>
                </c:pt>
                <c:pt idx="19" formatCode="0">
                  <c:v>12.42</c:v>
                </c:pt>
                <c:pt idx="20" formatCode="0">
                  <c:v>12.78</c:v>
                </c:pt>
                <c:pt idx="21" formatCode="0">
                  <c:v>13.55</c:v>
                </c:pt>
                <c:pt idx="22" formatCode="0">
                  <c:v>13.74</c:v>
                </c:pt>
                <c:pt idx="23" formatCode="0">
                  <c:v>13.74</c:v>
                </c:pt>
                <c:pt idx="26" formatCode="0">
                  <c:v>13.74</c:v>
                </c:pt>
                <c:pt idx="27" formatCode="0">
                  <c:v>13.74</c:v>
                </c:pt>
                <c:pt idx="28" formatCode="0">
                  <c:v>13.74</c:v>
                </c:pt>
                <c:pt idx="29" formatCode="0">
                  <c:v>13.74</c:v>
                </c:pt>
                <c:pt idx="30" formatCode="0">
                  <c:v>13.74</c:v>
                </c:pt>
                <c:pt idx="33" formatCode="0">
                  <c:v>13.74</c:v>
                </c:pt>
                <c:pt idx="34" formatCode="0">
                  <c:v>13.74</c:v>
                </c:pt>
                <c:pt idx="35" formatCode="0">
                  <c:v>13.74</c:v>
                </c:pt>
                <c:pt idx="36" formatCode="0">
                  <c:v>13.74</c:v>
                </c:pt>
                <c:pt idx="37" formatCode="0">
                  <c:v>13.74</c:v>
                </c:pt>
                <c:pt idx="40">
                  <c:v>13.74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16E-46C0-B329-5B429FF5C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564408"/>
        <c:axId val="1056560088"/>
      </c:lineChart>
      <c:catAx>
        <c:axId val="1056543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6768"/>
        <c:crosses val="autoZero"/>
        <c:auto val="1"/>
        <c:lblAlgn val="ctr"/>
        <c:lblOffset val="100"/>
        <c:noMultiLvlLbl val="0"/>
      </c:catAx>
      <c:valAx>
        <c:axId val="1056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43528"/>
        <c:crosses val="autoZero"/>
        <c:crossBetween val="between"/>
      </c:valAx>
      <c:catAx>
        <c:axId val="1056564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6560088"/>
        <c:crosses val="autoZero"/>
        <c:auto val="1"/>
        <c:lblAlgn val="ctr"/>
        <c:lblOffset val="100"/>
        <c:noMultiLvlLbl val="0"/>
      </c:catAx>
      <c:valAx>
        <c:axId val="1056560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64408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2.97825E-2"/>
          <c:y val="0.89910193361074975"/>
          <c:w val="0.93867111111111123"/>
          <c:h val="0.10089806638925028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243887</xdr:colOff>
      <xdr:row>1</xdr:row>
      <xdr:rowOff>16307</xdr:rowOff>
    </xdr:from>
    <xdr:to>
      <xdr:col>74</xdr:col>
      <xdr:colOff>437507</xdr:colOff>
      <xdr:row>23</xdr:row>
      <xdr:rowOff>119807</xdr:rowOff>
    </xdr:to>
    <xdr:graphicFrame macro="">
      <xdr:nvGraphicFramePr>
        <xdr:cNvPr id="2" name="Cht_01_BV_HT_Trong_Tha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76</xdr:col>
      <xdr:colOff>210173</xdr:colOff>
      <xdr:row>1</xdr:row>
      <xdr:rowOff>26104</xdr:rowOff>
    </xdr:from>
    <xdr:to>
      <xdr:col>104</xdr:col>
      <xdr:colOff>401888</xdr:colOff>
      <xdr:row>23</xdr:row>
      <xdr:rowOff>129604</xdr:rowOff>
    </xdr:to>
    <xdr:graphicFrame macro="">
      <xdr:nvGraphicFramePr>
        <xdr:cNvPr id="3" name="Cht_02_PCS_HT_Trong_Tha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46</xdr:col>
      <xdr:colOff>249601</xdr:colOff>
      <xdr:row>25</xdr:row>
      <xdr:rowOff>99627</xdr:rowOff>
    </xdr:from>
    <xdr:to>
      <xdr:col>74</xdr:col>
      <xdr:colOff>435601</xdr:colOff>
      <xdr:row>48</xdr:row>
      <xdr:rowOff>115497</xdr:rowOff>
    </xdr:to>
    <xdr:graphicFrame macro="">
      <xdr:nvGraphicFramePr>
        <xdr:cNvPr id="4" name="Cht_03_BV_HT_AA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76</xdr:col>
      <xdr:colOff>208268</xdr:colOff>
      <xdr:row>25</xdr:row>
      <xdr:rowOff>109016</xdr:rowOff>
    </xdr:from>
    <xdr:to>
      <xdr:col>104</xdr:col>
      <xdr:colOff>403793</xdr:colOff>
      <xdr:row>48</xdr:row>
      <xdr:rowOff>115361</xdr:rowOff>
    </xdr:to>
    <xdr:graphicFrame macro="">
      <xdr:nvGraphicFramePr>
        <xdr:cNvPr id="5" name="Cht_04_PCS_HT_AA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46</xdr:col>
      <xdr:colOff>251170</xdr:colOff>
      <xdr:row>50</xdr:row>
      <xdr:rowOff>93413</xdr:rowOff>
    </xdr:from>
    <xdr:to>
      <xdr:col>74</xdr:col>
      <xdr:colOff>437170</xdr:colOff>
      <xdr:row>67</xdr:row>
      <xdr:rowOff>198055</xdr:rowOff>
    </xdr:to>
    <xdr:graphicFrame macro="">
      <xdr:nvGraphicFramePr>
        <xdr:cNvPr id="6" name="Cht_05_BV_HT_MA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76</xdr:col>
      <xdr:colOff>213030</xdr:colOff>
      <xdr:row>50</xdr:row>
      <xdr:rowOff>90964</xdr:rowOff>
    </xdr:from>
    <xdr:to>
      <xdr:col>104</xdr:col>
      <xdr:colOff>399030</xdr:colOff>
      <xdr:row>67</xdr:row>
      <xdr:rowOff>195606</xdr:rowOff>
    </xdr:to>
    <xdr:graphicFrame macro="">
      <xdr:nvGraphicFramePr>
        <xdr:cNvPr id="7" name="Cht_06_PCS_HT_MA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46</xdr:col>
      <xdr:colOff>245793</xdr:colOff>
      <xdr:row>89</xdr:row>
      <xdr:rowOff>168993</xdr:rowOff>
    </xdr:from>
    <xdr:to>
      <xdr:col>74</xdr:col>
      <xdr:colOff>439413</xdr:colOff>
      <xdr:row>108</xdr:row>
      <xdr:rowOff>34421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76</xdr:col>
      <xdr:colOff>213030</xdr:colOff>
      <xdr:row>89</xdr:row>
      <xdr:rowOff>173348</xdr:rowOff>
    </xdr:from>
    <xdr:to>
      <xdr:col>104</xdr:col>
      <xdr:colOff>399030</xdr:colOff>
      <xdr:row>108</xdr:row>
      <xdr:rowOff>46396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249603</xdr:colOff>
      <xdr:row>110</xdr:row>
      <xdr:rowOff>12336</xdr:rowOff>
    </xdr:from>
    <xdr:to>
      <xdr:col>74</xdr:col>
      <xdr:colOff>435603</xdr:colOff>
      <xdr:row>133</xdr:row>
      <xdr:rowOff>38004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76</xdr:col>
      <xdr:colOff>209220</xdr:colOff>
      <xdr:row>110</xdr:row>
      <xdr:rowOff>21998</xdr:rowOff>
    </xdr:from>
    <xdr:to>
      <xdr:col>104</xdr:col>
      <xdr:colOff>402840</xdr:colOff>
      <xdr:row>133</xdr:row>
      <xdr:rowOff>49571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46</xdr:col>
      <xdr:colOff>251170</xdr:colOff>
      <xdr:row>69</xdr:row>
      <xdr:rowOff>148756</xdr:rowOff>
    </xdr:from>
    <xdr:to>
      <xdr:col>74</xdr:col>
      <xdr:colOff>437170</xdr:colOff>
      <xdr:row>88</xdr:row>
      <xdr:rowOff>14184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76</xdr:col>
      <xdr:colOff>213030</xdr:colOff>
      <xdr:row>69</xdr:row>
      <xdr:rowOff>143994</xdr:rowOff>
    </xdr:from>
    <xdr:to>
      <xdr:col>104</xdr:col>
      <xdr:colOff>399030</xdr:colOff>
      <xdr:row>88</xdr:row>
      <xdr:rowOff>20852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46</xdr:col>
      <xdr:colOff>245793</xdr:colOff>
      <xdr:row>135</xdr:row>
      <xdr:rowOff>15919</xdr:rowOff>
    </xdr:from>
    <xdr:to>
      <xdr:col>74</xdr:col>
      <xdr:colOff>439413</xdr:colOff>
      <xdr:row>153</xdr:row>
      <xdr:rowOff>58240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76</xdr:col>
      <xdr:colOff>212078</xdr:colOff>
      <xdr:row>135</xdr:row>
      <xdr:rowOff>25173</xdr:rowOff>
    </xdr:from>
    <xdr:to>
      <xdr:col>104</xdr:col>
      <xdr:colOff>399983</xdr:colOff>
      <xdr:row>153</xdr:row>
      <xdr:rowOff>67494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46</xdr:col>
      <xdr:colOff>245793</xdr:colOff>
      <xdr:row>155</xdr:row>
      <xdr:rowOff>36156</xdr:rowOff>
    </xdr:from>
    <xdr:to>
      <xdr:col>74</xdr:col>
      <xdr:colOff>439413</xdr:colOff>
      <xdr:row>173</xdr:row>
      <xdr:rowOff>78477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76</xdr:col>
      <xdr:colOff>212078</xdr:colOff>
      <xdr:row>155</xdr:row>
      <xdr:rowOff>43097</xdr:rowOff>
    </xdr:from>
    <xdr:to>
      <xdr:col>104</xdr:col>
      <xdr:colOff>399983</xdr:colOff>
      <xdr:row>173</xdr:row>
      <xdr:rowOff>94943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46</xdr:col>
      <xdr:colOff>245793</xdr:colOff>
      <xdr:row>175</xdr:row>
      <xdr:rowOff>56392</xdr:rowOff>
    </xdr:from>
    <xdr:to>
      <xdr:col>74</xdr:col>
      <xdr:colOff>439413</xdr:colOff>
      <xdr:row>193</xdr:row>
      <xdr:rowOff>98714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76</xdr:col>
      <xdr:colOff>212078</xdr:colOff>
      <xdr:row>175</xdr:row>
      <xdr:rowOff>70545</xdr:rowOff>
    </xdr:from>
    <xdr:to>
      <xdr:col>104</xdr:col>
      <xdr:colOff>399983</xdr:colOff>
      <xdr:row>193</xdr:row>
      <xdr:rowOff>124297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46</xdr:col>
      <xdr:colOff>245793</xdr:colOff>
      <xdr:row>195</xdr:row>
      <xdr:rowOff>76629</xdr:rowOff>
    </xdr:from>
    <xdr:to>
      <xdr:col>74</xdr:col>
      <xdr:colOff>439413</xdr:colOff>
      <xdr:row>213</xdr:row>
      <xdr:rowOff>126570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46</xdr:col>
      <xdr:colOff>245793</xdr:colOff>
      <xdr:row>215</xdr:row>
      <xdr:rowOff>104486</xdr:rowOff>
    </xdr:from>
    <xdr:to>
      <xdr:col>74</xdr:col>
      <xdr:colOff>439413</xdr:colOff>
      <xdr:row>233</xdr:row>
      <xdr:rowOff>150617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76</xdr:col>
      <xdr:colOff>212078</xdr:colOff>
      <xdr:row>215</xdr:row>
      <xdr:rowOff>125443</xdr:rowOff>
    </xdr:from>
    <xdr:to>
      <xdr:col>104</xdr:col>
      <xdr:colOff>399983</xdr:colOff>
      <xdr:row>233</xdr:row>
      <xdr:rowOff>160144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245793</xdr:colOff>
      <xdr:row>235</xdr:row>
      <xdr:rowOff>128532</xdr:rowOff>
    </xdr:from>
    <xdr:to>
      <xdr:col>74</xdr:col>
      <xdr:colOff>439413</xdr:colOff>
      <xdr:row>253</xdr:row>
      <xdr:rowOff>170854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76</xdr:col>
      <xdr:colOff>212078</xdr:colOff>
      <xdr:row>235</xdr:row>
      <xdr:rowOff>135746</xdr:rowOff>
    </xdr:from>
    <xdr:to>
      <xdr:col>104</xdr:col>
      <xdr:colOff>399983</xdr:colOff>
      <xdr:row>254</xdr:row>
      <xdr:rowOff>10700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46</xdr:col>
      <xdr:colOff>251170</xdr:colOff>
      <xdr:row>255</xdr:row>
      <xdr:rowOff>148769</xdr:rowOff>
    </xdr:from>
    <xdr:to>
      <xdr:col>74</xdr:col>
      <xdr:colOff>437170</xdr:colOff>
      <xdr:row>274</xdr:row>
      <xdr:rowOff>6578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76</xdr:col>
      <xdr:colOff>212078</xdr:colOff>
      <xdr:row>255</xdr:row>
      <xdr:rowOff>163195</xdr:rowOff>
    </xdr:from>
    <xdr:to>
      <xdr:col>104</xdr:col>
      <xdr:colOff>399983</xdr:colOff>
      <xdr:row>274</xdr:row>
      <xdr:rowOff>17194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257228</xdr:colOff>
      <xdr:row>275</xdr:row>
      <xdr:rowOff>161386</xdr:rowOff>
    </xdr:from>
    <xdr:to>
      <xdr:col>74</xdr:col>
      <xdr:colOff>450848</xdr:colOff>
      <xdr:row>294</xdr:row>
      <xdr:rowOff>23004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76</xdr:col>
      <xdr:colOff>212078</xdr:colOff>
      <xdr:row>275</xdr:row>
      <xdr:rowOff>169689</xdr:rowOff>
    </xdr:from>
    <xdr:to>
      <xdr:col>104</xdr:col>
      <xdr:colOff>399983</xdr:colOff>
      <xdr:row>294</xdr:row>
      <xdr:rowOff>42737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46</xdr:col>
      <xdr:colOff>245793</xdr:colOff>
      <xdr:row>296</xdr:row>
      <xdr:rowOff>924</xdr:rowOff>
    </xdr:from>
    <xdr:to>
      <xdr:col>74</xdr:col>
      <xdr:colOff>439413</xdr:colOff>
      <xdr:row>314</xdr:row>
      <xdr:rowOff>66377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76</xdr:col>
      <xdr:colOff>212078</xdr:colOff>
      <xdr:row>296</xdr:row>
      <xdr:rowOff>14531</xdr:rowOff>
    </xdr:from>
    <xdr:to>
      <xdr:col>104</xdr:col>
      <xdr:colOff>399983</xdr:colOff>
      <xdr:row>314</xdr:row>
      <xdr:rowOff>72364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76</xdr:col>
      <xdr:colOff>212078</xdr:colOff>
      <xdr:row>195</xdr:row>
      <xdr:rowOff>99899</xdr:rowOff>
    </xdr:from>
    <xdr:to>
      <xdr:col>104</xdr:col>
      <xdr:colOff>399983</xdr:colOff>
      <xdr:row>213</xdr:row>
      <xdr:rowOff>149840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externalLinks/_rels/externalLink1.xml.rels><Relationships xmlns="http://schemas.openxmlformats.org/package/2006/relationships"><Relationship Type="http://schemas.openxmlformats.org/officeDocument/2006/relationships/externalLinkPath" Target="T&#237;nh%20s&#7843;n%20xu&#7845;t%20n&#259;m%202026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ĂM 2026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CU306"/>
  <sheetViews>
    <sheetView tabSelected="1" zoomScale="85" zoomScaleNormal="85" workbookViewId="0">
      <selection activeCell="C26" sqref="C26"/>
    </sheetView>
  </sheetViews>
  <sheetFormatPr baseColWidth="8" defaultColWidth="9.109375" defaultRowHeight="14.4"/>
  <cols>
    <col width="48.109375" bestFit="1" customWidth="1" style="13" min="1" max="1"/>
    <col width="10.5546875" bestFit="1" customWidth="1" style="15" min="2" max="32"/>
    <col width="9.109375" customWidth="1" style="15" min="33" max="40"/>
    <col width="9.109375" customWidth="1" style="15" min="41" max="16384"/>
  </cols>
  <sheetData>
    <row r="2">
      <c r="A2" s="4" t="inlineStr">
        <is>
          <t>Tháng làm việc</t>
        </is>
      </c>
      <c r="B2" s="1" t="inlineStr">
        <is>
          <t>4月</t>
        </is>
      </c>
    </row>
    <row r="3">
      <c r="A3" s="4" t="inlineStr">
        <is>
          <t>Số ngày làm việc</t>
        </is>
      </c>
      <c r="B3" s="1">
        <f>INDEX('\\vdm-fsvr\Du lieu dung chung VDM\PROJECT-IT HOA NGHIEP VU\Báo Cáo Hằng Ngày CK\[Tính sản xuất năm 2026.xlsx]NĂM 2026'!$B$2:$I$13,MATCH($B$2,'\\vdm-fsvr\Du lieu dung chung VDM\PROJECT-IT HOA NGHIEP VU\Báo Cáo Hằng Ngày CK\[Tính sản xuất năm 2026.xlsx]NĂM 2026'!$A$2:$A$13,0),1)</f>
        <v/>
      </c>
    </row>
    <row r="4">
      <c r="A4" s="4" t="inlineStr">
        <is>
          <t>Mục tiêu Tăng ca của bản vẽ</t>
        </is>
      </c>
      <c r="B4" s="1">
        <f>INDEX('\\vdm-fsvr\Du lieu dung chung VDM\PROJECT-IT HOA NGHIEP VU\Báo Cáo Hằng Ngày CK\[Tính sản xuất năm 2026.xlsx]NĂM 2026'!$B$2:$I$13,MATCH($B$2,'\\vdm-fsvr\Du lieu dung chung VDM\PROJECT-IT HOA NGHIEP VU\Báo Cáo Hằng Ngày CK\[Tính sản xuất năm 2026.xlsx]NĂM 2026'!$A$2:$A$13,0),3)</f>
        <v/>
      </c>
    </row>
    <row r="5">
      <c r="A5" s="4" t="inlineStr">
        <is>
          <t>Mục tiêu Tăng ca của số PCS</t>
        </is>
      </c>
      <c r="B5" s="1">
        <f>INDEX('\\vdm-fsvr\Du lieu dung chung VDM\PROJECT-IT HOA NGHIEP VU\Báo Cáo Hằng Ngày CK\[Tính sản xuất năm 2026.xlsx]NĂM 2026'!$B$2:$I$13,MATCH($B$2,'\\vdm-fsvr\Du lieu dung chung VDM\PROJECT-IT HOA NGHIEP VU\Báo Cáo Hằng Ngày CK\[Tính sản xuất năm 2026.xlsx]NĂM 2026'!$A$2:$A$13,0),6)</f>
        <v/>
      </c>
    </row>
    <row r="6">
      <c r="A6" s="14" t="inlineStr">
        <is>
          <t>Làm việc</t>
        </is>
      </c>
      <c r="B6" s="16" t="n">
        <v>1</v>
      </c>
    </row>
    <row r="8" ht="14.4" customHeight="1">
      <c r="A8" s="4" t="inlineStr">
        <is>
          <t>Ngày làm việc</t>
        </is>
      </c>
      <c r="B8" s="2" t="n">
        <v>46111</v>
      </c>
      <c r="C8" s="2" t="n">
        <v>46112</v>
      </c>
      <c r="D8" s="2" t="n">
        <v>46113</v>
      </c>
      <c r="E8" s="2" t="n">
        <v>46114</v>
      </c>
      <c r="F8" s="2" t="n">
        <v>46115</v>
      </c>
      <c r="G8" s="2" t="n">
        <v>46116</v>
      </c>
      <c r="H8" s="2" t="n">
        <v>46117</v>
      </c>
      <c r="I8" s="2" t="n">
        <v>46118</v>
      </c>
      <c r="J8" s="2" t="n">
        <v>46119</v>
      </c>
      <c r="K8" s="2" t="n">
        <v>46120</v>
      </c>
      <c r="L8" s="2" t="n">
        <v>46121</v>
      </c>
      <c r="M8" s="2" t="n">
        <v>46122</v>
      </c>
      <c r="N8" s="2" t="n">
        <v>46123</v>
      </c>
      <c r="O8" s="2" t="n">
        <v>46124</v>
      </c>
      <c r="P8" s="2" t="n">
        <v>46125</v>
      </c>
      <c r="Q8" s="2" t="n">
        <v>46126</v>
      </c>
      <c r="R8" s="2" t="n">
        <v>46127</v>
      </c>
      <c r="S8" s="2" t="n">
        <v>46128</v>
      </c>
      <c r="T8" s="2" t="n">
        <v>46129</v>
      </c>
      <c r="U8" s="2" t="n">
        <v>46130</v>
      </c>
      <c r="V8" s="2" t="n">
        <v>46131</v>
      </c>
      <c r="W8" s="2" t="n">
        <v>46132</v>
      </c>
      <c r="X8" s="2" t="n">
        <v>46133</v>
      </c>
      <c r="Y8" s="2" t="n">
        <v>46134</v>
      </c>
      <c r="Z8" s="2" t="n">
        <v>46135</v>
      </c>
      <c r="AA8" s="2" t="n">
        <v>46136</v>
      </c>
      <c r="AB8" s="2" t="n">
        <v>46137</v>
      </c>
      <c r="AC8" s="2" t="n">
        <v>46138</v>
      </c>
      <c r="AD8" s="2" t="n">
        <v>46139</v>
      </c>
      <c r="AE8" s="2" t="n"/>
      <c r="AF8" s="2" t="n"/>
      <c r="AG8" s="2" t="n"/>
      <c r="AH8" s="21" t="n"/>
    </row>
    <row r="9" ht="15" customHeight="1">
      <c r="A9" s="7" t="inlineStr">
        <is>
          <t>Làm việc? 1=Yes, 0=No</t>
        </is>
      </c>
      <c r="B9" s="17" t="n">
        <v>1</v>
      </c>
      <c r="C9" s="17" t="n">
        <v>1</v>
      </c>
      <c r="D9" s="17" t="n">
        <v>1</v>
      </c>
      <c r="E9" s="17" t="n">
        <v>1</v>
      </c>
      <c r="F9" s="17" t="n">
        <v>1</v>
      </c>
      <c r="G9" s="17" t="n">
        <v>0</v>
      </c>
      <c r="H9" s="17" t="n">
        <v>0</v>
      </c>
      <c r="I9" s="17" t="n">
        <v>1</v>
      </c>
      <c r="J9" s="17" t="n">
        <v>1</v>
      </c>
      <c r="K9" s="17" t="n">
        <v>1</v>
      </c>
      <c r="L9" s="17" t="n">
        <v>1</v>
      </c>
      <c r="M9" s="17" t="n">
        <v>1</v>
      </c>
      <c r="N9" s="17" t="n">
        <v>0</v>
      </c>
      <c r="O9" s="17" t="n">
        <v>0</v>
      </c>
      <c r="P9" s="17" t="n">
        <v>1</v>
      </c>
      <c r="Q9" s="17" t="n">
        <v>1</v>
      </c>
      <c r="R9" s="17" t="n">
        <v>1</v>
      </c>
      <c r="S9" s="17" t="n">
        <v>1</v>
      </c>
      <c r="T9" s="17" t="n">
        <v>1</v>
      </c>
      <c r="U9" s="17" t="n">
        <v>0</v>
      </c>
      <c r="V9" s="17" t="n">
        <v>0</v>
      </c>
      <c r="W9" s="17" t="n">
        <v>1</v>
      </c>
      <c r="X9" s="17" t="n">
        <v>1</v>
      </c>
      <c r="Y9" s="17" t="n">
        <v>1</v>
      </c>
      <c r="Z9" s="17" t="n">
        <v>1</v>
      </c>
      <c r="AA9" s="17" t="n">
        <v>1</v>
      </c>
      <c r="AB9" s="17" t="n">
        <v>0</v>
      </c>
      <c r="AC9" s="17" t="n">
        <v>0</v>
      </c>
      <c r="AD9" s="17" t="n">
        <v>1</v>
      </c>
      <c r="AE9" s="17" t="n"/>
      <c r="AF9" s="17" t="n"/>
      <c r="AG9" s="17" t="n"/>
    </row>
    <row r="10" ht="15" customFormat="1" customHeight="1" s="18">
      <c r="A10" s="4" t="inlineStr">
        <is>
          <t>MỤC TIÊU SỐ BẢN VẼ HOÀN THÀNH TRONG NGÀY</t>
        </is>
      </c>
      <c r="B10" s="17" t="n">
        <v>122.43</v>
      </c>
      <c r="C10" s="17" t="n">
        <v>122.43</v>
      </c>
      <c r="D10" s="17" t="n">
        <v>122.43</v>
      </c>
      <c r="E10" s="17" t="n">
        <v>122.43</v>
      </c>
      <c r="F10" s="17" t="n">
        <v>122.43</v>
      </c>
      <c r="G10" s="17" t="n"/>
      <c r="H10" s="17" t="n"/>
      <c r="I10" s="17" t="n">
        <v>122.43</v>
      </c>
      <c r="J10" s="17" t="n">
        <v>122.43</v>
      </c>
      <c r="K10" s="17" t="n">
        <v>122.43</v>
      </c>
      <c r="L10" s="17" t="n">
        <v>122.43</v>
      </c>
      <c r="M10" s="17" t="n">
        <v>122.43</v>
      </c>
      <c r="N10" s="17" t="n"/>
      <c r="O10" s="17" t="n"/>
      <c r="P10" s="17" t="n">
        <v>122.43</v>
      </c>
      <c r="Q10" s="17" t="n">
        <v>122.43</v>
      </c>
      <c r="R10" s="17" t="n">
        <v>122.43</v>
      </c>
      <c r="S10" s="17" t="n">
        <v>122.43</v>
      </c>
      <c r="T10" s="17" t="n">
        <v>122.43</v>
      </c>
      <c r="U10" s="17" t="n"/>
      <c r="V10" s="17" t="n"/>
      <c r="W10" s="17" t="n">
        <v>122.43</v>
      </c>
      <c r="X10" s="17" t="n">
        <v>122.43</v>
      </c>
      <c r="Y10" s="17" t="n">
        <v>122.43</v>
      </c>
      <c r="Z10" s="17" t="n">
        <v>122.43</v>
      </c>
      <c r="AA10" s="17" t="n">
        <v>122.43</v>
      </c>
      <c r="AB10" s="17" t="n"/>
      <c r="AC10" s="17" t="n"/>
      <c r="AD10" s="17" t="n">
        <v>122.43</v>
      </c>
      <c r="AE10" s="17" t="n"/>
      <c r="AF10" s="17" t="n"/>
      <c r="AG10" s="17" t="n"/>
    </row>
    <row r="11" ht="15" customFormat="1" customHeight="1" s="18">
      <c r="A11" s="4" t="inlineStr">
        <is>
          <t>MỤC TIÊU LŨY KẾ BẢN VẼ HT TRONG NGÀY ( CÒN LẠI)</t>
        </is>
      </c>
      <c r="B11" s="17" t="n">
        <v>122.43</v>
      </c>
      <c r="C11" s="17" t="n">
        <v>124.25</v>
      </c>
      <c r="D11" s="17" t="n">
        <v>128.11</v>
      </c>
      <c r="E11" s="17" t="n">
        <v>132.22</v>
      </c>
      <c r="F11" s="17" t="n">
        <v>135.24</v>
      </c>
      <c r="G11" s="17" t="n"/>
      <c r="H11" s="17" t="n"/>
      <c r="I11" s="17" t="n">
        <v>137.06</v>
      </c>
      <c r="J11" s="17" t="n">
        <v>140.07</v>
      </c>
      <c r="K11" s="17" t="n">
        <v>145.07</v>
      </c>
      <c r="L11" s="17" t="n">
        <v>148.92</v>
      </c>
      <c r="M11" s="17" t="n">
        <v>153</v>
      </c>
      <c r="N11" s="17" t="n"/>
      <c r="O11" s="17" t="n"/>
      <c r="P11" s="17" t="n">
        <v>153</v>
      </c>
      <c r="Q11" s="17" t="n">
        <v>153</v>
      </c>
      <c r="R11" s="17" t="n">
        <v>153</v>
      </c>
      <c r="S11" s="17" t="n">
        <v>153</v>
      </c>
      <c r="T11" s="17" t="n">
        <v>153</v>
      </c>
      <c r="U11" s="17" t="n"/>
      <c r="V11" s="17" t="n"/>
      <c r="W11" s="17" t="n">
        <v>153</v>
      </c>
      <c r="X11" s="17" t="n">
        <v>153</v>
      </c>
      <c r="Y11" s="17" t="n">
        <v>153</v>
      </c>
      <c r="Z11" s="17" t="n">
        <v>153</v>
      </c>
      <c r="AA11" s="17" t="n">
        <v>153</v>
      </c>
      <c r="AB11" s="17" t="n"/>
      <c r="AC11" s="17" t="n"/>
      <c r="AD11" s="17" t="n">
        <v>153</v>
      </c>
      <c r="AE11" s="17" t="n"/>
      <c r="AF11" s="17" t="n"/>
      <c r="AG11" s="17" t="n"/>
    </row>
    <row r="12" ht="15" customFormat="1" customHeight="1" s="18">
      <c r="A12" s="4" t="inlineStr">
        <is>
          <t>MỤC TIÊU SỐ PCS HOÀN THÀNH TRONG NGÀY</t>
        </is>
      </c>
      <c r="B12" s="17" t="n">
        <v>1708.78</v>
      </c>
      <c r="C12" s="17" t="n">
        <v>1708.78</v>
      </c>
      <c r="D12" s="17" t="n">
        <v>1708.78</v>
      </c>
      <c r="E12" s="17" t="n">
        <v>1708.78</v>
      </c>
      <c r="F12" s="17" t="n">
        <v>1708.78</v>
      </c>
      <c r="G12" s="17" t="n"/>
      <c r="H12" s="17" t="n"/>
      <c r="I12" s="17" t="n">
        <v>1708.78</v>
      </c>
      <c r="J12" s="17" t="n">
        <v>1708.78</v>
      </c>
      <c r="K12" s="17" t="n">
        <v>1708.78</v>
      </c>
      <c r="L12" s="17" t="n">
        <v>1708.78</v>
      </c>
      <c r="M12" s="17" t="n">
        <v>1708.78</v>
      </c>
      <c r="N12" s="17" t="n"/>
      <c r="O12" s="17" t="n"/>
      <c r="P12" s="17" t="n">
        <v>1708.78</v>
      </c>
      <c r="Q12" s="17" t="n">
        <v>1708.78</v>
      </c>
      <c r="R12" s="17" t="n">
        <v>1708.78</v>
      </c>
      <c r="S12" s="17" t="n">
        <v>1708.78</v>
      </c>
      <c r="T12" s="17" t="n">
        <v>1708.78</v>
      </c>
      <c r="U12" s="17" t="n"/>
      <c r="V12" s="17" t="n"/>
      <c r="W12" s="17" t="n">
        <v>1708.78</v>
      </c>
      <c r="X12" s="17" t="n">
        <v>1708.78</v>
      </c>
      <c r="Y12" s="17" t="n">
        <v>1708.78</v>
      </c>
      <c r="Z12" s="17" t="n">
        <v>1708.78</v>
      </c>
      <c r="AA12" s="17" t="n">
        <v>1708.78</v>
      </c>
      <c r="AB12" s="17" t="n"/>
      <c r="AC12" s="17" t="n"/>
      <c r="AD12" s="17" t="n">
        <v>1708.78</v>
      </c>
      <c r="AE12" s="17" t="n"/>
      <c r="AF12" s="17" t="n"/>
      <c r="AG12" s="17" t="n"/>
    </row>
    <row r="13" ht="15" customFormat="1" customHeight="1" s="18">
      <c r="A13" s="4" t="inlineStr">
        <is>
          <t>MỤC TIÊU LŨY KẾ SỐ PCS HT TRONG NGÀY ( CÒN LẠI)</t>
        </is>
      </c>
      <c r="B13" s="17" t="n">
        <v>1708.78</v>
      </c>
      <c r="C13" s="17" t="n">
        <v>1725.77</v>
      </c>
      <c r="D13" s="17" t="n">
        <v>1783.71</v>
      </c>
      <c r="E13" s="17" t="n">
        <v>1850.36</v>
      </c>
      <c r="F13" s="17" t="n">
        <v>1887.38</v>
      </c>
      <c r="G13" s="17" t="n"/>
      <c r="H13" s="17" t="n"/>
      <c r="I13" s="17" t="n">
        <v>1938.9</v>
      </c>
      <c r="J13" s="17" t="n">
        <v>1963.89</v>
      </c>
      <c r="K13" s="17" t="n">
        <v>2061.32</v>
      </c>
      <c r="L13" s="17" t="n">
        <v>2141.96</v>
      </c>
      <c r="M13" s="17" t="n">
        <v>2130.87</v>
      </c>
      <c r="N13" s="17" t="n"/>
      <c r="O13" s="17" t="n"/>
      <c r="P13" s="17" t="n">
        <v>2130.87</v>
      </c>
      <c r="Q13" s="17" t="n">
        <v>2130.87</v>
      </c>
      <c r="R13" s="17" t="n">
        <v>2130.87</v>
      </c>
      <c r="S13" s="17" t="n">
        <v>2130.87</v>
      </c>
      <c r="T13" s="17" t="n">
        <v>2130.87</v>
      </c>
      <c r="U13" s="17" t="n"/>
      <c r="V13" s="17" t="n"/>
      <c r="W13" s="17" t="n">
        <v>2130.87</v>
      </c>
      <c r="X13" s="17" t="n">
        <v>2130.87</v>
      </c>
      <c r="Y13" s="17" t="n">
        <v>2130.87</v>
      </c>
      <c r="Z13" s="17" t="n">
        <v>2130.87</v>
      </c>
      <c r="AA13" s="17" t="n">
        <v>2130.87</v>
      </c>
      <c r="AB13" s="17" t="n"/>
      <c r="AC13" s="17" t="n"/>
      <c r="AD13" s="17" t="n">
        <v>2130.87</v>
      </c>
      <c r="AE13" s="17" t="n"/>
      <c r="AF13" s="17" t="n"/>
      <c r="AG13" s="17" t="n"/>
    </row>
    <row r="14" ht="15" customFormat="1" customHeight="1" s="18">
      <c r="A14" s="4" t="inlineStr">
        <is>
          <t>THỰC TÍCH SỐ BẢN VẼ HOÀN THÀNH TRONG NGÀY</t>
        </is>
      </c>
      <c r="B14" s="8" t="n">
        <v>86</v>
      </c>
      <c r="C14" s="8" t="n">
        <v>51</v>
      </c>
      <c r="D14" s="8" t="n">
        <v>54</v>
      </c>
      <c r="E14" s="8" t="n">
        <v>81</v>
      </c>
      <c r="F14" s="8" t="n">
        <v>63</v>
      </c>
      <c r="G14" s="8" t="n">
        <v>43</v>
      </c>
      <c r="H14" s="8" t="n">
        <v>0</v>
      </c>
      <c r="I14" s="8" t="n">
        <v>92</v>
      </c>
      <c r="J14" s="8" t="n">
        <v>70</v>
      </c>
      <c r="K14" s="8" t="n">
        <v>95</v>
      </c>
      <c r="L14" s="8" t="n">
        <v>100</v>
      </c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19" t="n"/>
      <c r="AE14" s="19" t="n"/>
      <c r="AF14" s="19" t="n"/>
      <c r="AG14" s="19" t="n"/>
    </row>
    <row r="15" ht="15" customFormat="1" customHeight="1" s="18">
      <c r="A15" s="4" t="inlineStr">
        <is>
          <t>THỰC TÍCH SỐ PCS HOÀN THÀNH TRONG NGÀY</t>
        </is>
      </c>
      <c r="B15" s="8" t="n">
        <v>1369</v>
      </c>
      <c r="C15" s="8" t="n">
        <v>625</v>
      </c>
      <c r="D15" s="8" t="n">
        <v>584</v>
      </c>
      <c r="E15" s="8" t="n">
        <v>1221</v>
      </c>
      <c r="F15" s="8" t="n">
        <v>669</v>
      </c>
      <c r="G15" s="8" t="n">
        <v>394</v>
      </c>
      <c r="H15" s="8" t="n">
        <v>0</v>
      </c>
      <c r="I15" s="8" t="n">
        <v>1564</v>
      </c>
      <c r="J15" s="8" t="n">
        <v>600</v>
      </c>
      <c r="K15" s="8" t="n">
        <v>1013</v>
      </c>
      <c r="L15" s="8" t="n">
        <v>2275</v>
      </c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19" t="n"/>
      <c r="AE15" s="19" t="n"/>
      <c r="AF15" s="19" t="n"/>
      <c r="AG15" s="19" t="n"/>
    </row>
    <row r="20">
      <c r="A20" s="4" t="inlineStr">
        <is>
          <t>Công đoạn:</t>
        </is>
      </c>
      <c r="B20" s="1" t="inlineStr">
        <is>
          <t>AA</t>
        </is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</row>
    <row r="21" ht="14.4" customHeight="1">
      <c r="A21" s="4" t="inlineStr">
        <is>
          <t>Ngày làm việc</t>
        </is>
      </c>
      <c r="B21" s="1" t="inlineStr">
        <is>
          <t>1月</t>
        </is>
      </c>
      <c r="C21" s="1" t="inlineStr">
        <is>
          <t>2月</t>
        </is>
      </c>
      <c r="D21" s="1" t="inlineStr">
        <is>
          <t>3月</t>
        </is>
      </c>
      <c r="E21" s="1" t="inlineStr">
        <is>
          <t>4月</t>
        </is>
      </c>
      <c r="F21" s="1" t="inlineStr">
        <is>
          <t>5月</t>
        </is>
      </c>
      <c r="G21" s="1" t="inlineStr">
        <is>
          <t>6月</t>
        </is>
      </c>
      <c r="H21" s="1" t="inlineStr">
        <is>
          <t>7月</t>
        </is>
      </c>
      <c r="I21" s="1" t="inlineStr">
        <is>
          <t>8月</t>
        </is>
      </c>
      <c r="J21" s="1" t="inlineStr">
        <is>
          <t>9月</t>
        </is>
      </c>
      <c r="K21" s="1" t="inlineStr">
        <is>
          <t>10月</t>
        </is>
      </c>
      <c r="L21" s="1" t="inlineStr">
        <is>
          <t>11月</t>
        </is>
      </c>
      <c r="M21" s="1" t="inlineStr">
        <is>
          <t>12月</t>
        </is>
      </c>
      <c r="N21" s="2" t="n">
        <v>46111</v>
      </c>
      <c r="O21" s="2" t="n">
        <v>46112</v>
      </c>
      <c r="P21" s="2" t="n">
        <v>46113</v>
      </c>
      <c r="Q21" s="2" t="n">
        <v>46114</v>
      </c>
      <c r="R21" s="2" t="n">
        <v>46115</v>
      </c>
      <c r="S21" s="2" t="n">
        <v>46116</v>
      </c>
      <c r="T21" s="2" t="n">
        <v>46117</v>
      </c>
      <c r="U21" s="2" t="n">
        <v>46118</v>
      </c>
      <c r="V21" s="2" t="n">
        <v>46119</v>
      </c>
      <c r="W21" s="2" t="n">
        <v>46120</v>
      </c>
      <c r="X21" s="2" t="n">
        <v>46121</v>
      </c>
      <c r="Y21" s="2" t="n">
        <v>46122</v>
      </c>
      <c r="Z21" s="2" t="n">
        <v>46123</v>
      </c>
      <c r="AA21" s="2" t="n">
        <v>46124</v>
      </c>
      <c r="AB21" s="2" t="n">
        <v>46125</v>
      </c>
      <c r="AC21" s="2" t="n">
        <v>46126</v>
      </c>
      <c r="AD21" s="2" t="n">
        <v>46127</v>
      </c>
      <c r="AE21" s="2" t="n">
        <v>46128</v>
      </c>
      <c r="AF21" s="2" t="n">
        <v>46129</v>
      </c>
      <c r="AG21" s="2" t="n">
        <v>46130</v>
      </c>
      <c r="AH21" s="2" t="n">
        <v>46131</v>
      </c>
      <c r="AI21" s="2" t="n">
        <v>46132</v>
      </c>
      <c r="AJ21" s="2" t="n">
        <v>46133</v>
      </c>
      <c r="AK21" s="2" t="n">
        <v>46134</v>
      </c>
      <c r="AL21" s="2" t="n">
        <v>46135</v>
      </c>
      <c r="AM21" s="2" t="n">
        <v>46136</v>
      </c>
      <c r="AN21" s="2" t="n">
        <v>46137</v>
      </c>
      <c r="AO21" s="2" t="n">
        <v>46138</v>
      </c>
      <c r="AP21" s="2" t="n">
        <v>46139</v>
      </c>
      <c r="AQ21" s="2" t="n"/>
      <c r="AR21" s="2" t="n"/>
      <c r="AS21" s="2" t="n"/>
      <c r="AT21" s="21" t="n"/>
    </row>
    <row r="22" ht="15" customHeight="1">
      <c r="A22" s="7" t="inlineStr">
        <is>
          <t>Làm việc? 1=Yes, 0=No</t>
        </is>
      </c>
      <c r="B22" s="3" t="n">
        <v>1</v>
      </c>
      <c r="C22" s="3" t="n">
        <v>1</v>
      </c>
      <c r="D22" s="3" t="n">
        <v>1</v>
      </c>
      <c r="E22" s="3" t="n">
        <v>1</v>
      </c>
      <c r="F22" s="3" t="n">
        <v>1</v>
      </c>
      <c r="G22" s="3" t="n">
        <v>1</v>
      </c>
      <c r="H22" s="3" t="n">
        <v>1</v>
      </c>
      <c r="I22" s="3" t="n">
        <v>1</v>
      </c>
      <c r="J22" s="3" t="n">
        <v>1</v>
      </c>
      <c r="K22" s="3" t="n">
        <v>1</v>
      </c>
      <c r="L22" s="3" t="n">
        <v>1</v>
      </c>
      <c r="M22" s="16" t="n">
        <v>1</v>
      </c>
      <c r="N22" s="16" t="n">
        <v>1</v>
      </c>
      <c r="O22" s="16" t="n">
        <v>1</v>
      </c>
      <c r="P22" s="16" t="n">
        <v>1</v>
      </c>
      <c r="Q22" s="16" t="n">
        <v>1</v>
      </c>
      <c r="R22" s="16" t="n">
        <v>1</v>
      </c>
      <c r="S22" s="16" t="n">
        <v>0</v>
      </c>
      <c r="T22" s="16" t="n">
        <v>0</v>
      </c>
      <c r="U22" s="16" t="n">
        <v>1</v>
      </c>
      <c r="V22" s="16" t="n">
        <v>1</v>
      </c>
      <c r="W22" s="16" t="n">
        <v>1</v>
      </c>
      <c r="X22" s="16" t="n">
        <v>1</v>
      </c>
      <c r="Y22" s="16" t="n">
        <v>1</v>
      </c>
      <c r="Z22" s="16" t="n">
        <v>0</v>
      </c>
      <c r="AA22" s="16" t="n">
        <v>0</v>
      </c>
      <c r="AB22" s="16" t="n">
        <v>1</v>
      </c>
      <c r="AC22" s="16" t="n">
        <v>1</v>
      </c>
      <c r="AD22" s="16" t="n">
        <v>1</v>
      </c>
      <c r="AE22" s="16" t="n">
        <v>1</v>
      </c>
      <c r="AF22" s="16" t="n">
        <v>1</v>
      </c>
      <c r="AG22" s="16" t="n">
        <v>0</v>
      </c>
      <c r="AH22" s="16" t="n">
        <v>0</v>
      </c>
      <c r="AI22" s="16" t="n">
        <v>1</v>
      </c>
      <c r="AJ22" s="16" t="n">
        <v>1</v>
      </c>
      <c r="AK22" s="16" t="n">
        <v>1</v>
      </c>
      <c r="AL22" s="16" t="n">
        <v>1</v>
      </c>
      <c r="AM22" s="16" t="n">
        <v>1</v>
      </c>
      <c r="AN22" s="16" t="n">
        <v>0</v>
      </c>
      <c r="AO22" s="16" t="n">
        <v>0</v>
      </c>
      <c r="AP22" s="16" t="n">
        <v>1</v>
      </c>
      <c r="AQ22" s="16" t="n"/>
      <c r="AR22" s="16" t="n"/>
      <c r="AS22" s="16" t="n"/>
    </row>
    <row r="23">
      <c r="A23" s="4" t="inlineStr">
        <is>
          <t>Mục tiêu Bản vẽ  HT CĐ (Ngày)</t>
        </is>
      </c>
      <c r="B23" s="1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>
        <v>32.66</v>
      </c>
      <c r="O23" s="5" t="n">
        <v>32.66</v>
      </c>
      <c r="P23" s="5" t="n">
        <v>32.66</v>
      </c>
      <c r="Q23" s="5" t="n">
        <v>32.66</v>
      </c>
      <c r="R23" s="5" t="n">
        <v>32.66</v>
      </c>
      <c r="S23" s="5" t="n"/>
      <c r="T23" s="5" t="n"/>
      <c r="U23" s="5" t="n">
        <v>32.66</v>
      </c>
      <c r="V23" s="5" t="n">
        <v>32.66</v>
      </c>
      <c r="W23" s="5" t="n">
        <v>32.66</v>
      </c>
      <c r="X23" s="5" t="n">
        <v>32.66</v>
      </c>
      <c r="Y23" s="5" t="n">
        <v>32.66</v>
      </c>
      <c r="Z23" s="5" t="n"/>
      <c r="AA23" s="5" t="n"/>
      <c r="AB23" s="5" t="n">
        <v>32.66</v>
      </c>
      <c r="AC23" s="5" t="n">
        <v>32.66</v>
      </c>
      <c r="AD23" s="5" t="n">
        <v>32.66</v>
      </c>
      <c r="AE23" s="5" t="n">
        <v>32.66</v>
      </c>
      <c r="AF23" s="5" t="n">
        <v>32.66</v>
      </c>
      <c r="AG23" s="5" t="n"/>
      <c r="AH23" s="5" t="n"/>
      <c r="AI23" s="5" t="n">
        <v>32.66</v>
      </c>
      <c r="AJ23" s="5" t="n">
        <v>32.66</v>
      </c>
      <c r="AK23" s="5" t="n">
        <v>32.66</v>
      </c>
      <c r="AL23" s="5" t="n">
        <v>32.66</v>
      </c>
      <c r="AM23" s="5" t="n">
        <v>32.66</v>
      </c>
      <c r="AN23" s="5" t="n"/>
      <c r="AO23" s="5" t="n"/>
      <c r="AP23" s="16" t="n">
        <v>32.66</v>
      </c>
      <c r="AQ23" s="16" t="n"/>
      <c r="AR23" s="16" t="n"/>
      <c r="AS23" s="16" t="n"/>
    </row>
    <row r="24">
      <c r="A24" s="4" t="inlineStr">
        <is>
          <t>Mục tiêu số PCS  HT CĐ (Ngày)</t>
        </is>
      </c>
      <c r="B24" s="1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>
        <v>202.12</v>
      </c>
      <c r="O24" s="5" t="n">
        <v>202.12</v>
      </c>
      <c r="P24" s="5" t="n">
        <v>202.12</v>
      </c>
      <c r="Q24" s="5" t="n">
        <v>202.12</v>
      </c>
      <c r="R24" s="5" t="n">
        <v>202.12</v>
      </c>
      <c r="S24" s="5" t="n"/>
      <c r="T24" s="5" t="n"/>
      <c r="U24" s="5" t="n">
        <v>202.12</v>
      </c>
      <c r="V24" s="5" t="n">
        <v>202.12</v>
      </c>
      <c r="W24" s="5" t="n">
        <v>202.12</v>
      </c>
      <c r="X24" s="5" t="n">
        <v>202.12</v>
      </c>
      <c r="Y24" s="5" t="n">
        <v>202.12</v>
      </c>
      <c r="Z24" s="5" t="n"/>
      <c r="AA24" s="5" t="n"/>
      <c r="AB24" s="5" t="n">
        <v>202.12</v>
      </c>
      <c r="AC24" s="5" t="n">
        <v>202.12</v>
      </c>
      <c r="AD24" s="5" t="n">
        <v>202.12</v>
      </c>
      <c r="AE24" s="5" t="n">
        <v>202.12</v>
      </c>
      <c r="AF24" s="5" t="n">
        <v>202.12</v>
      </c>
      <c r="AG24" s="5" t="n"/>
      <c r="AH24" s="5" t="n"/>
      <c r="AI24" s="5" t="n">
        <v>202.12</v>
      </c>
      <c r="AJ24" s="5" t="n">
        <v>202.12</v>
      </c>
      <c r="AK24" s="5" t="n">
        <v>202.12</v>
      </c>
      <c r="AL24" s="5" t="n">
        <v>202.12</v>
      </c>
      <c r="AM24" s="5" t="n">
        <v>202.12</v>
      </c>
      <c r="AN24" s="5" t="n"/>
      <c r="AO24" s="5" t="n"/>
      <c r="AP24" s="16" t="n">
        <v>202.12</v>
      </c>
      <c r="AQ24" s="16" t="n"/>
      <c r="AR24" s="16" t="n"/>
      <c r="AS24" s="16" t="n"/>
    </row>
    <row r="25">
      <c r="A25" s="4" t="inlineStr">
        <is>
          <t>Mục tiêu Bản vẽ HT CĐ Ca 1 (Còn lại/Ngày)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5" t="n">
        <v>32.66</v>
      </c>
      <c r="O25" s="5" t="n">
        <v>34.1</v>
      </c>
      <c r="P25" s="5" t="n">
        <v>34.94</v>
      </c>
      <c r="Q25" s="5" t="n">
        <v>35.44</v>
      </c>
      <c r="R25" s="5" t="n">
        <v>36.29</v>
      </c>
      <c r="S25" s="5" t="n"/>
      <c r="T25" s="5" t="n"/>
      <c r="U25" s="5" t="n">
        <v>35.62</v>
      </c>
      <c r="V25" s="5" t="n">
        <v>36.66</v>
      </c>
      <c r="W25" s="5" t="n">
        <v>37.28</v>
      </c>
      <c r="X25" s="5" t="n">
        <v>38.3</v>
      </c>
      <c r="Y25" s="5" t="n">
        <v>39.41</v>
      </c>
      <c r="Z25" s="5" t="n"/>
      <c r="AA25" s="5" t="n"/>
      <c r="AB25" s="5" t="n">
        <v>39.41</v>
      </c>
      <c r="AC25" s="5" t="n">
        <v>39.41</v>
      </c>
      <c r="AD25" s="5" t="n">
        <v>39.41</v>
      </c>
      <c r="AE25" s="5" t="n">
        <v>39.41</v>
      </c>
      <c r="AF25" s="5" t="n">
        <v>39.41</v>
      </c>
      <c r="AG25" s="5" t="n"/>
      <c r="AH25" s="5" t="n"/>
      <c r="AI25" s="5" t="n">
        <v>39.41</v>
      </c>
      <c r="AJ25" s="5" t="n">
        <v>39.41</v>
      </c>
      <c r="AK25" s="5" t="n">
        <v>39.41</v>
      </c>
      <c r="AL25" s="5" t="n">
        <v>39.41</v>
      </c>
      <c r="AM25" s="5" t="n">
        <v>39.41</v>
      </c>
      <c r="AN25" s="5" t="n"/>
      <c r="AO25" s="5" t="n"/>
      <c r="AP25" s="16" t="n">
        <v>39.41</v>
      </c>
      <c r="AQ25" s="16" t="n"/>
      <c r="AR25" s="16" t="n"/>
      <c r="AS25" s="16" t="n"/>
    </row>
    <row r="26">
      <c r="A26" s="4" t="inlineStr">
        <is>
          <t>Mục tiêu Bản vẽ HT CĐ Ca 2(Còn lại/Ngày)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5" t="n">
        <v>32.66</v>
      </c>
      <c r="O26" s="5" t="n">
        <v>33.75</v>
      </c>
      <c r="P26" s="5" t="n">
        <v>34.31</v>
      </c>
      <c r="Q26" s="5" t="n">
        <v>35.05</v>
      </c>
      <c r="R26" s="5" t="n">
        <v>36.29</v>
      </c>
      <c r="S26" s="5" t="n"/>
      <c r="T26" s="5" t="n"/>
      <c r="U26" s="5" t="n">
        <v>36.12</v>
      </c>
      <c r="V26" s="5" t="n">
        <v>36</v>
      </c>
      <c r="W26" s="5" t="n">
        <v>36.78</v>
      </c>
      <c r="X26" s="5" t="n">
        <v>37.84</v>
      </c>
      <c r="Y26" s="5" t="n">
        <v>38.33</v>
      </c>
      <c r="Z26" s="5" t="n"/>
      <c r="AA26" s="5" t="n"/>
      <c r="AB26" s="5" t="n">
        <v>38.33</v>
      </c>
      <c r="AC26" s="5" t="n">
        <v>38.33</v>
      </c>
      <c r="AD26" s="5" t="n">
        <v>38.33</v>
      </c>
      <c r="AE26" s="5" t="n">
        <v>38.33</v>
      </c>
      <c r="AF26" s="5" t="n">
        <v>38.33</v>
      </c>
      <c r="AG26" s="5" t="n"/>
      <c r="AH26" s="5" t="n"/>
      <c r="AI26" s="5" t="n">
        <v>38.33</v>
      </c>
      <c r="AJ26" s="5" t="n">
        <v>38.33</v>
      </c>
      <c r="AK26" s="5" t="n">
        <v>38.33</v>
      </c>
      <c r="AL26" s="5" t="n">
        <v>38.33</v>
      </c>
      <c r="AM26" s="5" t="n">
        <v>38.33</v>
      </c>
      <c r="AN26" s="5" t="n"/>
      <c r="AO26" s="5" t="n"/>
      <c r="AP26" s="16" t="n">
        <v>38.33</v>
      </c>
      <c r="AQ26" s="16" t="n"/>
      <c r="AR26" s="16" t="n"/>
      <c r="AS26" s="16" t="n"/>
    </row>
    <row r="27">
      <c r="A27" s="4" t="inlineStr">
        <is>
          <t>Mục tiêu số PCS HT CĐ Ca 1(Còn lại/Ngày)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5" t="n">
        <v>202.12</v>
      </c>
      <c r="O27" s="5" t="n">
        <v>210.33</v>
      </c>
      <c r="P27" s="5" t="n">
        <v>212.35</v>
      </c>
      <c r="Q27" s="5" t="n">
        <v>220.26</v>
      </c>
      <c r="R27" s="5" t="n">
        <v>222.51</v>
      </c>
      <c r="S27" s="5" t="n"/>
      <c r="T27" s="5" t="n"/>
      <c r="U27" s="5" t="n">
        <v>225.35</v>
      </c>
      <c r="V27" s="5" t="n">
        <v>231.31</v>
      </c>
      <c r="W27" s="5" t="n">
        <v>232.9</v>
      </c>
      <c r="X27" s="5" t="n">
        <v>242.97</v>
      </c>
      <c r="Y27" s="5" t="n">
        <v>256.05</v>
      </c>
      <c r="Z27" s="5" t="n"/>
      <c r="AA27" s="5" t="n"/>
      <c r="AB27" s="5" t="n">
        <v>256.05</v>
      </c>
      <c r="AC27" s="5" t="n">
        <v>256.05</v>
      </c>
      <c r="AD27" s="5" t="n">
        <v>256.05</v>
      </c>
      <c r="AE27" s="5" t="n">
        <v>256.05</v>
      </c>
      <c r="AF27" s="5" t="n">
        <v>256.05</v>
      </c>
      <c r="AG27" s="5" t="n"/>
      <c r="AH27" s="5" t="n"/>
      <c r="AI27" s="5" t="n">
        <v>256.05</v>
      </c>
      <c r="AJ27" s="5" t="n">
        <v>256.05</v>
      </c>
      <c r="AK27" s="5" t="n">
        <v>256.05</v>
      </c>
      <c r="AL27" s="5" t="n">
        <v>256.05</v>
      </c>
      <c r="AM27" s="5" t="n">
        <v>256.05</v>
      </c>
      <c r="AN27" s="5" t="n"/>
      <c r="AO27" s="5" t="n"/>
      <c r="AP27" s="16" t="n">
        <v>256.05</v>
      </c>
      <c r="AQ27" s="16" t="n"/>
      <c r="AR27" s="16" t="n"/>
      <c r="AS27" s="16" t="n"/>
    </row>
    <row r="28">
      <c r="A28" s="4" t="inlineStr">
        <is>
          <t>Mục tiêu số PCS HT CĐ Ca 2(Còn lại/Ngày)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5" t="n">
        <v>202.12</v>
      </c>
      <c r="O28" s="5" t="n">
        <v>210.23</v>
      </c>
      <c r="P28" s="5" t="n">
        <v>209.14</v>
      </c>
      <c r="Q28" s="5" t="n">
        <v>217.31</v>
      </c>
      <c r="R28" s="5" t="n">
        <v>222.45</v>
      </c>
      <c r="S28" s="5" t="n"/>
      <c r="T28" s="5" t="n"/>
      <c r="U28" s="5" t="n">
        <v>221.66</v>
      </c>
      <c r="V28" s="5" t="n">
        <v>226.77</v>
      </c>
      <c r="W28" s="5" t="n">
        <v>233.4</v>
      </c>
      <c r="X28" s="5" t="n">
        <v>242.59</v>
      </c>
      <c r="Y28" s="5" t="n">
        <v>251.88</v>
      </c>
      <c r="Z28" s="5" t="n"/>
      <c r="AA28" s="5" t="n"/>
      <c r="AB28" s="5" t="n">
        <v>251.88</v>
      </c>
      <c r="AC28" s="5" t="n">
        <v>251.88</v>
      </c>
      <c r="AD28" s="5" t="n">
        <v>251.88</v>
      </c>
      <c r="AE28" s="5" t="n">
        <v>251.88</v>
      </c>
      <c r="AF28" s="5" t="n">
        <v>251.88</v>
      </c>
      <c r="AG28" s="5" t="n"/>
      <c r="AH28" s="5" t="n"/>
      <c r="AI28" s="5" t="n">
        <v>251.88</v>
      </c>
      <c r="AJ28" s="5" t="n">
        <v>251.88</v>
      </c>
      <c r="AK28" s="5" t="n">
        <v>251.88</v>
      </c>
      <c r="AL28" s="5" t="n">
        <v>251.88</v>
      </c>
      <c r="AM28" s="5" t="n">
        <v>251.88</v>
      </c>
      <c r="AN28" s="5" t="n"/>
      <c r="AO28" s="5" t="n"/>
      <c r="AP28" s="16" t="n">
        <v>251.88</v>
      </c>
      <c r="AQ28" s="16" t="n"/>
      <c r="AR28" s="16" t="n"/>
      <c r="AS28" s="16" t="n"/>
    </row>
    <row r="29">
      <c r="A29" s="4" t="inlineStr">
        <is>
          <t>Mục tiêu Bản vẽ  HT CĐ  (Tháng)</t>
        </is>
      </c>
      <c r="B29" s="17" t="n">
        <v>718.5914010927127</v>
      </c>
      <c r="C29" s="17" t="n">
        <v>489.9486825632131</v>
      </c>
      <c r="D29" s="17" t="n">
        <v>718.5914010927127</v>
      </c>
      <c r="E29" s="17" t="n">
        <v>685.9281555884984</v>
      </c>
      <c r="F29" s="17" t="n">
        <v>653.2649100842842</v>
      </c>
      <c r="G29" s="17" t="n">
        <v>718.5914010927127</v>
      </c>
      <c r="H29" s="17" t="n">
        <v>751.2546465969268</v>
      </c>
      <c r="I29" s="17" t="n">
        <v>685.9281555884984</v>
      </c>
      <c r="J29" s="17" t="n">
        <v>685.9281555884984</v>
      </c>
      <c r="K29" s="17" t="n">
        <v>718.5914010927127</v>
      </c>
      <c r="L29" s="17" t="n">
        <v>685.9281555884984</v>
      </c>
      <c r="M29" s="17" t="n">
        <v>718.5914010927127</v>
      </c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6" t="n"/>
      <c r="AP29" s="16" t="n"/>
      <c r="AQ29" s="16" t="n"/>
      <c r="AR29" s="16" t="n"/>
      <c r="AS29" s="16" t="n"/>
    </row>
    <row r="30">
      <c r="A30" s="4" t="inlineStr">
        <is>
          <t>Mục tiêu số PCS  HT CĐ  (Tháng)</t>
        </is>
      </c>
      <c r="B30" s="17" t="n">
        <v>4446.729417473003</v>
      </c>
      <c r="C30" s="17" t="n">
        <v>3031.860966458866</v>
      </c>
      <c r="D30" s="17" t="n">
        <v>4446.729417473003</v>
      </c>
      <c r="E30" s="17" t="n">
        <v>4244.605353042411</v>
      </c>
      <c r="F30" s="17" t="n">
        <v>4042.481288611821</v>
      </c>
      <c r="G30" s="17" t="n">
        <v>4446.729417473003</v>
      </c>
      <c r="H30" s="17" t="n">
        <v>4648.853481903594</v>
      </c>
      <c r="I30" s="17" t="n">
        <v>4244.605353042411</v>
      </c>
      <c r="J30" s="17" t="n">
        <v>4244.605353042411</v>
      </c>
      <c r="K30" s="17" t="n">
        <v>4446.729417473003</v>
      </c>
      <c r="L30" s="17" t="n">
        <v>4244.605353042411</v>
      </c>
      <c r="M30" s="17" t="n">
        <v>4446.729417473003</v>
      </c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6" t="n"/>
      <c r="AP30" s="16" t="n"/>
      <c r="AQ30" s="16" t="n"/>
      <c r="AR30" s="16" t="n"/>
      <c r="AS30" s="16" t="n"/>
    </row>
    <row r="31">
      <c r="A31" s="4" t="inlineStr">
        <is>
          <t>Thực tích Bản vẽ HT CĐ Ca 1 (Ngày)</t>
        </is>
      </c>
      <c r="N31" s="1" t="n">
        <v>4</v>
      </c>
      <c r="O31" s="1" t="n">
        <v>18</v>
      </c>
      <c r="P31" s="1" t="n">
        <v>26</v>
      </c>
      <c r="Q31" s="1" t="n">
        <v>21</v>
      </c>
      <c r="R31" s="1" t="n">
        <v>18</v>
      </c>
      <c r="S31" s="1" t="n">
        <v>29</v>
      </c>
      <c r="T31" s="1" t="n">
        <v>0</v>
      </c>
      <c r="U31" s="1" t="n">
        <v>20</v>
      </c>
      <c r="V31" s="1" t="n">
        <v>28</v>
      </c>
      <c r="W31" s="1" t="n">
        <v>24</v>
      </c>
      <c r="X31" s="1" t="n">
        <v>25</v>
      </c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6" t="n"/>
      <c r="AP31" s="16" t="n"/>
      <c r="AQ31" s="16" t="n"/>
      <c r="AR31" s="16" t="n"/>
      <c r="AS31" s="16" t="n"/>
    </row>
    <row r="32">
      <c r="A32" s="4" t="inlineStr">
        <is>
          <t>Thực tích Bản vẽ HT CĐ Ca 2 (Ngày)</t>
        </is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" t="n">
        <v>11</v>
      </c>
      <c r="O32" s="1" t="n">
        <v>23</v>
      </c>
      <c r="P32" s="1" t="n">
        <v>21</v>
      </c>
      <c r="Q32" s="1" t="n">
        <v>14</v>
      </c>
      <c r="R32" s="1" t="n">
        <v>20</v>
      </c>
      <c r="S32" s="1" t="n">
        <v>19</v>
      </c>
      <c r="T32" s="1" t="n">
        <v>0</v>
      </c>
      <c r="U32" s="1" t="n">
        <v>38</v>
      </c>
      <c r="V32" s="1" t="n">
        <v>25</v>
      </c>
      <c r="W32" s="1" t="n">
        <v>23</v>
      </c>
      <c r="X32" s="1" t="n">
        <v>32</v>
      </c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6" t="n"/>
      <c r="AP32" s="16" t="n"/>
      <c r="AQ32" s="16" t="n"/>
      <c r="AR32" s="16" t="n"/>
      <c r="AS32" s="16" t="n"/>
    </row>
    <row r="33">
      <c r="A33" s="4" t="inlineStr">
        <is>
          <t>Thực tích số PCS HT CĐ Ca 1 (Ngày)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>
        <v>38</v>
      </c>
      <c r="O33" s="1" t="n">
        <v>172</v>
      </c>
      <c r="P33" s="1" t="n">
        <v>70</v>
      </c>
      <c r="Q33" s="1" t="n">
        <v>182</v>
      </c>
      <c r="R33" s="1" t="n">
        <v>81</v>
      </c>
      <c r="S33" s="1" t="n">
        <v>96</v>
      </c>
      <c r="T33" s="1" t="n">
        <v>0</v>
      </c>
      <c r="U33" s="1" t="n">
        <v>136</v>
      </c>
      <c r="V33" s="1" t="n">
        <v>209</v>
      </c>
      <c r="W33" s="1" t="n">
        <v>102</v>
      </c>
      <c r="X33" s="1" t="n">
        <v>86</v>
      </c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6" t="n"/>
      <c r="AP33" s="16" t="n"/>
      <c r="AQ33" s="16" t="n"/>
      <c r="AR33" s="16" t="n"/>
      <c r="AS33" s="16" t="n"/>
    </row>
    <row r="34">
      <c r="A34" s="4" t="inlineStr">
        <is>
          <t>Thực tích số PCS HT CĐ Ca 2 (Ngày)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>
        <v>40</v>
      </c>
      <c r="O34" s="1" t="n">
        <v>231</v>
      </c>
      <c r="P34" s="1" t="n">
        <v>62</v>
      </c>
      <c r="Q34" s="1" t="n">
        <v>130</v>
      </c>
      <c r="R34" s="1" t="n">
        <v>150</v>
      </c>
      <c r="S34" s="1" t="n">
        <v>85</v>
      </c>
      <c r="T34" s="1" t="n">
        <v>0</v>
      </c>
      <c r="U34" s="1" t="n">
        <v>145</v>
      </c>
      <c r="V34" s="1" t="n">
        <v>134</v>
      </c>
      <c r="W34" s="1" t="n">
        <v>114</v>
      </c>
      <c r="X34" s="1" t="n">
        <v>131</v>
      </c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6" t="n"/>
      <c r="AP34" s="16" t="n"/>
      <c r="AQ34" s="16" t="n"/>
      <c r="AR34" s="16" t="n"/>
      <c r="AS34" s="16" t="n"/>
    </row>
    <row r="35">
      <c r="A35" s="4" t="inlineStr">
        <is>
          <t>Thực tích Bản vẽ HT CĐ Ca 1  (Tháng)</t>
        </is>
      </c>
      <c r="B35" s="1" t="n"/>
      <c r="C35" s="1" t="n"/>
      <c r="D35" s="1" t="n"/>
      <c r="E35" s="1" t="n">
        <v>213</v>
      </c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6" t="n"/>
      <c r="AP35" s="16" t="n"/>
      <c r="AQ35" s="16" t="n"/>
      <c r="AR35" s="16" t="n"/>
      <c r="AS35" s="16" t="n"/>
    </row>
    <row r="36">
      <c r="A36" s="4" t="inlineStr">
        <is>
          <t>Thực tích Bản vẽ HT CĐ Ca 2  (Tháng)</t>
        </is>
      </c>
      <c r="B36" s="1" t="n"/>
      <c r="C36" s="1" t="n"/>
      <c r="D36" s="1" t="n"/>
      <c r="E36" s="1" t="n">
        <v>226</v>
      </c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6" t="n"/>
      <c r="AP36" s="16" t="n"/>
      <c r="AQ36" s="16" t="n"/>
      <c r="AR36" s="16" t="n"/>
      <c r="AS36" s="16" t="n"/>
    </row>
    <row r="37">
      <c r="A37" s="4" t="inlineStr">
        <is>
          <t>Thực tích số PCS HT CĐ Ca 1  (Tháng)</t>
        </is>
      </c>
      <c r="B37" s="1" t="n"/>
      <c r="C37" s="1" t="n"/>
      <c r="D37" s="1" t="n"/>
      <c r="E37" s="1" t="n">
        <v>1172</v>
      </c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6" t="n"/>
      <c r="AP37" s="16" t="n"/>
      <c r="AQ37" s="16" t="n"/>
      <c r="AR37" s="16" t="n"/>
      <c r="AS37" s="16" t="n"/>
    </row>
    <row r="38">
      <c r="A38" s="4" t="inlineStr">
        <is>
          <t>Thực tích số PCS HT CĐ Ca 2  (Tháng)</t>
        </is>
      </c>
      <c r="B38" s="1" t="n"/>
      <c r="C38" s="1" t="n"/>
      <c r="D38" s="1" t="n"/>
      <c r="E38" s="1" t="n">
        <v>1222</v>
      </c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6" t="n"/>
      <c r="AP38" s="16" t="n"/>
      <c r="AQ38" s="16" t="n"/>
      <c r="AR38" s="16" t="n"/>
      <c r="AS38" s="16" t="n"/>
    </row>
    <row r="39">
      <c r="A39" s="9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</row>
    <row r="40">
      <c r="A40" s="4" t="inlineStr">
        <is>
          <t>Công đoạn:</t>
        </is>
      </c>
      <c r="B40" s="1" t="inlineStr">
        <is>
          <t>MA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</row>
    <row r="41" ht="15" customHeight="1">
      <c r="A41" s="4" t="inlineStr">
        <is>
          <t>Ngày làm việc</t>
        </is>
      </c>
      <c r="B41" s="1" t="inlineStr">
        <is>
          <t>1月</t>
        </is>
      </c>
      <c r="C41" s="11" t="inlineStr">
        <is>
          <t>2月</t>
        </is>
      </c>
      <c r="D41" s="1" t="inlineStr">
        <is>
          <t>3月</t>
        </is>
      </c>
      <c r="E41" s="1" t="inlineStr">
        <is>
          <t>4月</t>
        </is>
      </c>
      <c r="F41" s="11" t="inlineStr">
        <is>
          <t>5月</t>
        </is>
      </c>
      <c r="G41" s="1" t="inlineStr">
        <is>
          <t>6月</t>
        </is>
      </c>
      <c r="H41" s="1" t="inlineStr">
        <is>
          <t>7月</t>
        </is>
      </c>
      <c r="I41" s="11" t="inlineStr">
        <is>
          <t>8月</t>
        </is>
      </c>
      <c r="J41" s="1" t="inlineStr">
        <is>
          <t>9月</t>
        </is>
      </c>
      <c r="K41" s="1" t="inlineStr">
        <is>
          <t>10月</t>
        </is>
      </c>
      <c r="L41" s="11" t="inlineStr">
        <is>
          <t>11月</t>
        </is>
      </c>
      <c r="M41" s="1" t="inlineStr">
        <is>
          <t>12月</t>
        </is>
      </c>
      <c r="N41" s="2" t="n">
        <v>46111</v>
      </c>
      <c r="O41" s="2" t="n">
        <v>46112</v>
      </c>
      <c r="P41" s="2" t="n">
        <v>46113</v>
      </c>
      <c r="Q41" s="2" t="n">
        <v>46114</v>
      </c>
      <c r="R41" s="2" t="n">
        <v>46115</v>
      </c>
      <c r="S41" s="2" t="n">
        <v>46116</v>
      </c>
      <c r="T41" s="2" t="n">
        <v>46117</v>
      </c>
      <c r="U41" s="2" t="n">
        <v>46118</v>
      </c>
      <c r="V41" s="2" t="n">
        <v>46119</v>
      </c>
      <c r="W41" s="2" t="n">
        <v>46120</v>
      </c>
      <c r="X41" s="2" t="n">
        <v>46121</v>
      </c>
      <c r="Y41" s="2" t="n">
        <v>46122</v>
      </c>
      <c r="Z41" s="2" t="n">
        <v>46123</v>
      </c>
      <c r="AA41" s="2" t="n">
        <v>46124</v>
      </c>
      <c r="AB41" s="2" t="n">
        <v>46125</v>
      </c>
      <c r="AC41" s="2" t="n">
        <v>46126</v>
      </c>
      <c r="AD41" s="2" t="n">
        <v>46127</v>
      </c>
      <c r="AE41" s="2" t="n">
        <v>46128</v>
      </c>
      <c r="AF41" s="2" t="n">
        <v>46129</v>
      </c>
      <c r="AG41" s="2" t="n">
        <v>46130</v>
      </c>
      <c r="AH41" s="2" t="n">
        <v>46131</v>
      </c>
      <c r="AI41" s="2" t="n">
        <v>46132</v>
      </c>
      <c r="AJ41" s="2" t="n">
        <v>46133</v>
      </c>
      <c r="AK41" s="2" t="n">
        <v>46134</v>
      </c>
      <c r="AL41" s="2" t="n">
        <v>46135</v>
      </c>
      <c r="AM41" s="2" t="n">
        <v>46136</v>
      </c>
      <c r="AN41" s="2" t="n">
        <v>46137</v>
      </c>
      <c r="AO41" s="2" t="n">
        <v>46138</v>
      </c>
      <c r="AP41" s="2" t="n">
        <v>46139</v>
      </c>
      <c r="AQ41" s="2" t="n"/>
      <c r="AR41" s="2" t="n"/>
      <c r="AS41" s="2" t="n"/>
      <c r="AT41" s="21" t="n"/>
    </row>
    <row r="42" ht="15" customHeight="1">
      <c r="A42" s="7" t="inlineStr">
        <is>
          <t>Làm việc? 1=Yes, 0=No</t>
        </is>
      </c>
      <c r="B42" s="3" t="n">
        <v>1</v>
      </c>
      <c r="C42" s="3" t="n">
        <v>1</v>
      </c>
      <c r="D42" s="3" t="n">
        <v>1</v>
      </c>
      <c r="E42" s="3" t="n">
        <v>1</v>
      </c>
      <c r="F42" s="3" t="n">
        <v>1</v>
      </c>
      <c r="G42" s="3" t="n">
        <v>1</v>
      </c>
      <c r="H42" s="3" t="n">
        <v>1</v>
      </c>
      <c r="I42" s="3" t="n">
        <v>1</v>
      </c>
      <c r="J42" s="3" t="n">
        <v>1</v>
      </c>
      <c r="K42" s="3" t="n">
        <v>1</v>
      </c>
      <c r="L42" s="3" t="n">
        <v>1</v>
      </c>
      <c r="M42" s="3" t="n">
        <v>1</v>
      </c>
      <c r="N42" s="1" t="n">
        <v>1</v>
      </c>
      <c r="O42" s="1" t="n">
        <v>1</v>
      </c>
      <c r="P42" s="1" t="n">
        <v>1</v>
      </c>
      <c r="Q42" s="1" t="n">
        <v>1</v>
      </c>
      <c r="R42" s="1" t="n">
        <v>1</v>
      </c>
      <c r="S42" s="1" t="n">
        <v>0</v>
      </c>
      <c r="T42" s="1" t="n">
        <v>0</v>
      </c>
      <c r="U42" s="1" t="n">
        <v>1</v>
      </c>
      <c r="V42" s="1" t="n">
        <v>1</v>
      </c>
      <c r="W42" s="1" t="n">
        <v>1</v>
      </c>
      <c r="X42" s="1" t="n">
        <v>1</v>
      </c>
      <c r="Y42" s="1" t="n">
        <v>1</v>
      </c>
      <c r="Z42" s="1" t="n">
        <v>0</v>
      </c>
      <c r="AA42" s="1" t="n">
        <v>0</v>
      </c>
      <c r="AB42" s="1" t="n">
        <v>1</v>
      </c>
      <c r="AC42" s="1" t="n">
        <v>1</v>
      </c>
      <c r="AD42" s="1" t="n">
        <v>1</v>
      </c>
      <c r="AE42" s="1" t="n">
        <v>1</v>
      </c>
      <c r="AF42" s="1" t="n">
        <v>1</v>
      </c>
      <c r="AG42" s="1" t="n">
        <v>0</v>
      </c>
      <c r="AH42" s="1" t="n">
        <v>0</v>
      </c>
      <c r="AI42" s="1" t="n">
        <v>1</v>
      </c>
      <c r="AJ42" s="1" t="n">
        <v>1</v>
      </c>
      <c r="AK42" s="1" t="n">
        <v>1</v>
      </c>
      <c r="AL42" s="1" t="n">
        <v>1</v>
      </c>
      <c r="AM42" s="1" t="n">
        <v>1</v>
      </c>
      <c r="AN42" s="1" t="n">
        <v>0</v>
      </c>
      <c r="AO42" s="1" t="n">
        <v>0</v>
      </c>
      <c r="AP42" s="16" t="n">
        <v>1</v>
      </c>
      <c r="AQ42" s="16" t="n"/>
      <c r="AR42" s="16" t="n"/>
      <c r="AS42" s="16" t="n"/>
    </row>
    <row r="43">
      <c r="A43" s="4" t="inlineStr">
        <is>
          <t>Mục tiêu Bản vẽ  HT CĐ (Ngày)</t>
        </is>
      </c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5" t="n">
        <v>19.91</v>
      </c>
      <c r="O43" s="5" t="n">
        <v>19.91</v>
      </c>
      <c r="P43" s="5" t="n">
        <v>19.91</v>
      </c>
      <c r="Q43" s="5" t="n">
        <v>19.91</v>
      </c>
      <c r="R43" s="5" t="n">
        <v>19.91</v>
      </c>
      <c r="S43" s="5" t="n"/>
      <c r="T43" s="5" t="n"/>
      <c r="U43" s="5" t="n">
        <v>19.91</v>
      </c>
      <c r="V43" s="5" t="n">
        <v>19.91</v>
      </c>
      <c r="W43" s="5" t="n">
        <v>19.91</v>
      </c>
      <c r="X43" s="5" t="n">
        <v>19.91</v>
      </c>
      <c r="Y43" s="5" t="n">
        <v>19.91</v>
      </c>
      <c r="Z43" s="5" t="n"/>
      <c r="AA43" s="5" t="n"/>
      <c r="AB43" s="5" t="n">
        <v>19.91</v>
      </c>
      <c r="AC43" s="5" t="n">
        <v>19.91</v>
      </c>
      <c r="AD43" s="5" t="n">
        <v>19.91</v>
      </c>
      <c r="AE43" s="5" t="n">
        <v>19.91</v>
      </c>
      <c r="AF43" s="5" t="n">
        <v>19.91</v>
      </c>
      <c r="AG43" s="5" t="n"/>
      <c r="AH43" s="5" t="n"/>
      <c r="AI43" s="5" t="n">
        <v>19.91</v>
      </c>
      <c r="AJ43" s="5" t="n">
        <v>19.91</v>
      </c>
      <c r="AK43" s="5" t="n">
        <v>19.91</v>
      </c>
      <c r="AL43" s="5" t="n">
        <v>19.91</v>
      </c>
      <c r="AM43" s="5" t="n">
        <v>19.91</v>
      </c>
      <c r="AN43" s="5" t="n"/>
      <c r="AO43" s="5" t="n"/>
      <c r="AP43" s="16" t="n">
        <v>19.91</v>
      </c>
      <c r="AQ43" s="16" t="n"/>
      <c r="AR43" s="16" t="n"/>
      <c r="AS43" s="16" t="n"/>
    </row>
    <row r="44">
      <c r="A44" s="4" t="inlineStr">
        <is>
          <t>Mục tiêu số PCS  HT CĐ (Ngày)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5" t="n">
        <v>106.5</v>
      </c>
      <c r="O44" s="5" t="n">
        <v>106.5</v>
      </c>
      <c r="P44" s="5" t="n">
        <v>106.5</v>
      </c>
      <c r="Q44" s="5" t="n">
        <v>106.5</v>
      </c>
      <c r="R44" s="5" t="n">
        <v>106.5</v>
      </c>
      <c r="S44" s="5" t="n"/>
      <c r="T44" s="5" t="n"/>
      <c r="U44" s="5" t="n">
        <v>106.5</v>
      </c>
      <c r="V44" s="5" t="n">
        <v>106.5</v>
      </c>
      <c r="W44" s="5" t="n">
        <v>106.5</v>
      </c>
      <c r="X44" s="5" t="n">
        <v>106.5</v>
      </c>
      <c r="Y44" s="5" t="n">
        <v>106.5</v>
      </c>
      <c r="Z44" s="5" t="n"/>
      <c r="AA44" s="5" t="n"/>
      <c r="AB44" s="5" t="n">
        <v>106.5</v>
      </c>
      <c r="AC44" s="5" t="n">
        <v>106.5</v>
      </c>
      <c r="AD44" s="5" t="n">
        <v>106.5</v>
      </c>
      <c r="AE44" s="5" t="n">
        <v>106.5</v>
      </c>
      <c r="AF44" s="5" t="n">
        <v>106.5</v>
      </c>
      <c r="AG44" s="5" t="n"/>
      <c r="AH44" s="5" t="n"/>
      <c r="AI44" s="5" t="n">
        <v>106.5</v>
      </c>
      <c r="AJ44" s="5" t="n">
        <v>106.5</v>
      </c>
      <c r="AK44" s="5" t="n">
        <v>106.5</v>
      </c>
      <c r="AL44" s="5" t="n">
        <v>106.5</v>
      </c>
      <c r="AM44" s="5" t="n">
        <v>106.5</v>
      </c>
      <c r="AN44" s="5" t="n"/>
      <c r="AO44" s="5" t="n"/>
      <c r="AP44" s="16" t="n">
        <v>106.5</v>
      </c>
      <c r="AQ44" s="16" t="n"/>
      <c r="AR44" s="16" t="n"/>
      <c r="AS44" s="16" t="n"/>
    </row>
    <row r="45">
      <c r="A45" s="4" t="inlineStr">
        <is>
          <t>Mục tiêu Bản vẽ HT CĐ Ca 1 (Còn lại/Ngày)</t>
        </is>
      </c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5" t="n">
        <v>19.91</v>
      </c>
      <c r="O45" s="5" t="n">
        <v>20.21</v>
      </c>
      <c r="P45" s="5" t="n">
        <v>20.85</v>
      </c>
      <c r="Q45" s="5" t="n">
        <v>21.45</v>
      </c>
      <c r="R45" s="5" t="n">
        <v>22.18</v>
      </c>
      <c r="S45" s="5" t="n"/>
      <c r="T45" s="5" t="n"/>
      <c r="U45" s="5" t="n">
        <v>22.01</v>
      </c>
      <c r="V45" s="5" t="n">
        <v>22.34</v>
      </c>
      <c r="W45" s="5" t="n">
        <v>22.44</v>
      </c>
      <c r="X45" s="5" t="n">
        <v>22.85</v>
      </c>
      <c r="Y45" s="5" t="n">
        <v>22.26</v>
      </c>
      <c r="Z45" s="5" t="n"/>
      <c r="AA45" s="5" t="n"/>
      <c r="AB45" s="5" t="n">
        <v>22.26</v>
      </c>
      <c r="AC45" s="5" t="n">
        <v>22.26</v>
      </c>
      <c r="AD45" s="5" t="n">
        <v>22.26</v>
      </c>
      <c r="AE45" s="5" t="n">
        <v>22.26</v>
      </c>
      <c r="AF45" s="5" t="n">
        <v>22.26</v>
      </c>
      <c r="AG45" s="5" t="n"/>
      <c r="AH45" s="5" t="n"/>
      <c r="AI45" s="5" t="n">
        <v>22.26</v>
      </c>
      <c r="AJ45" s="5" t="n">
        <v>22.26</v>
      </c>
      <c r="AK45" s="5" t="n">
        <v>22.26</v>
      </c>
      <c r="AL45" s="5" t="n">
        <v>22.26</v>
      </c>
      <c r="AM45" s="5" t="n">
        <v>22.26</v>
      </c>
      <c r="AN45" s="5" t="n"/>
      <c r="AO45" s="5" t="n"/>
      <c r="AP45" s="16" t="n">
        <v>22.26</v>
      </c>
      <c r="AQ45" s="16" t="n"/>
      <c r="AR45" s="16" t="n"/>
      <c r="AS45" s="16" t="n"/>
    </row>
    <row r="46">
      <c r="A46" s="4" t="inlineStr">
        <is>
          <t>Mục tiêu Bản vẽ HT CĐ Ca 2(Còn lại/Ngày)</t>
        </is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5" t="n">
        <v>19.91</v>
      </c>
      <c r="O46" s="5" t="n">
        <v>20.21</v>
      </c>
      <c r="P46" s="5" t="n">
        <v>20.8</v>
      </c>
      <c r="Q46" s="5" t="n">
        <v>21.12</v>
      </c>
      <c r="R46" s="5" t="n">
        <v>21.71</v>
      </c>
      <c r="S46" s="5" t="n"/>
      <c r="T46" s="5" t="n"/>
      <c r="U46" s="5" t="n">
        <v>21.26</v>
      </c>
      <c r="V46" s="5" t="n">
        <v>21.41</v>
      </c>
      <c r="W46" s="5" t="n">
        <v>21.51</v>
      </c>
      <c r="X46" s="5" t="n">
        <v>22.16</v>
      </c>
      <c r="Y46" s="5" t="n">
        <v>22.43</v>
      </c>
      <c r="Z46" s="5" t="n"/>
      <c r="AA46" s="5" t="n"/>
      <c r="AB46" s="5" t="n">
        <v>22.43</v>
      </c>
      <c r="AC46" s="5" t="n">
        <v>22.43</v>
      </c>
      <c r="AD46" s="5" t="n">
        <v>22.43</v>
      </c>
      <c r="AE46" s="5" t="n">
        <v>22.43</v>
      </c>
      <c r="AF46" s="5" t="n">
        <v>22.43</v>
      </c>
      <c r="AG46" s="5" t="n"/>
      <c r="AH46" s="5" t="n"/>
      <c r="AI46" s="5" t="n">
        <v>22.43</v>
      </c>
      <c r="AJ46" s="5" t="n">
        <v>22.43</v>
      </c>
      <c r="AK46" s="5" t="n">
        <v>22.43</v>
      </c>
      <c r="AL46" s="5" t="n">
        <v>22.43</v>
      </c>
      <c r="AM46" s="5" t="n">
        <v>22.43</v>
      </c>
      <c r="AN46" s="5" t="n"/>
      <c r="AO46" s="5" t="n"/>
      <c r="AP46" s="16" t="n">
        <v>22.43</v>
      </c>
      <c r="AQ46" s="16" t="n"/>
      <c r="AR46" s="16" t="n"/>
      <c r="AS46" s="16" t="n"/>
    </row>
    <row r="47">
      <c r="A47" s="4" t="inlineStr">
        <is>
          <t>Mục tiêu số PCS HT CĐ Ca 1(Còn lại/Ngày)</t>
        </is>
      </c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5" t="n">
        <v>106.5</v>
      </c>
      <c r="O47" s="5" t="n">
        <v>107.07</v>
      </c>
      <c r="P47" s="5" t="n">
        <v>111.6</v>
      </c>
      <c r="Q47" s="5" t="n">
        <v>112.41</v>
      </c>
      <c r="R47" s="5" t="n">
        <v>114.14</v>
      </c>
      <c r="S47" s="5" t="n"/>
      <c r="T47" s="5" t="n"/>
      <c r="U47" s="5" t="n">
        <v>114.53</v>
      </c>
      <c r="V47" s="5" t="n">
        <v>110.83</v>
      </c>
      <c r="W47" s="5" t="n">
        <v>111.39</v>
      </c>
      <c r="X47" s="5" t="n">
        <v>109.11</v>
      </c>
      <c r="Y47" s="5" t="n">
        <v>108.79</v>
      </c>
      <c r="Z47" s="5" t="n"/>
      <c r="AA47" s="5" t="n"/>
      <c r="AB47" s="5" t="n">
        <v>108.79</v>
      </c>
      <c r="AC47" s="5" t="n">
        <v>108.79</v>
      </c>
      <c r="AD47" s="5" t="n">
        <v>108.79</v>
      </c>
      <c r="AE47" s="5" t="n">
        <v>108.79</v>
      </c>
      <c r="AF47" s="5" t="n">
        <v>108.79</v>
      </c>
      <c r="AG47" s="5" t="n"/>
      <c r="AH47" s="5" t="n"/>
      <c r="AI47" s="5" t="n">
        <v>108.79</v>
      </c>
      <c r="AJ47" s="5" t="n">
        <v>108.79</v>
      </c>
      <c r="AK47" s="5" t="n">
        <v>108.79</v>
      </c>
      <c r="AL47" s="5" t="n">
        <v>108.79</v>
      </c>
      <c r="AM47" s="5" t="n">
        <v>108.79</v>
      </c>
      <c r="AN47" s="5" t="n"/>
      <c r="AO47" s="5" t="n"/>
      <c r="AP47" s="16" t="n">
        <v>108.79</v>
      </c>
      <c r="AQ47" s="16" t="n"/>
      <c r="AR47" s="16" t="n"/>
      <c r="AS47" s="16" t="n"/>
    </row>
    <row r="48">
      <c r="A48" s="4" t="inlineStr">
        <is>
          <t>Mục tiêu số PCS HT CĐ Ca 2(Còn lại/Ngày)</t>
        </is>
      </c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5" t="n">
        <v>106.5</v>
      </c>
      <c r="O48" s="5" t="n">
        <v>107.97</v>
      </c>
      <c r="P48" s="5" t="n">
        <v>101.81</v>
      </c>
      <c r="Q48" s="5" t="n">
        <v>101.86</v>
      </c>
      <c r="R48" s="5" t="n">
        <v>99.09</v>
      </c>
      <c r="S48" s="5" t="n"/>
      <c r="T48" s="5" t="n"/>
      <c r="U48" s="5" t="n">
        <v>87.22</v>
      </c>
      <c r="V48" s="5" t="n">
        <v>87.23</v>
      </c>
      <c r="W48" s="5" t="n">
        <v>87.45999999999999</v>
      </c>
      <c r="X48" s="5" t="n">
        <v>82.04000000000001</v>
      </c>
      <c r="Y48" s="5" t="n">
        <v>79.79000000000001</v>
      </c>
      <c r="Z48" s="5" t="n"/>
      <c r="AA48" s="5" t="n"/>
      <c r="AB48" s="5" t="n">
        <v>79.79000000000001</v>
      </c>
      <c r="AC48" s="5" t="n">
        <v>79.79000000000001</v>
      </c>
      <c r="AD48" s="5" t="n">
        <v>79.79000000000001</v>
      </c>
      <c r="AE48" s="5" t="n">
        <v>79.79000000000001</v>
      </c>
      <c r="AF48" s="5" t="n">
        <v>79.79000000000001</v>
      </c>
      <c r="AG48" s="5" t="n"/>
      <c r="AH48" s="5" t="n"/>
      <c r="AI48" s="5" t="n">
        <v>79.79000000000001</v>
      </c>
      <c r="AJ48" s="5" t="n">
        <v>79.79000000000001</v>
      </c>
      <c r="AK48" s="5" t="n">
        <v>79.79000000000001</v>
      </c>
      <c r="AL48" s="5" t="n">
        <v>79.79000000000001</v>
      </c>
      <c r="AM48" s="5" t="n">
        <v>79.79000000000001</v>
      </c>
      <c r="AN48" s="5" t="n"/>
      <c r="AO48" s="5" t="n"/>
      <c r="AP48" s="16" t="n">
        <v>79.79000000000001</v>
      </c>
      <c r="AQ48" s="16" t="n"/>
      <c r="AR48" s="16" t="n"/>
      <c r="AS48" s="16" t="n"/>
    </row>
    <row r="49">
      <c r="A49" s="4" t="inlineStr">
        <is>
          <t>Mục tiêu Bản vẽ  HT CĐ  (Tháng)</t>
        </is>
      </c>
      <c r="B49" s="17" t="n">
        <v>438.0197551945238</v>
      </c>
      <c r="C49" s="17" t="n">
        <v>298.6498330871753</v>
      </c>
      <c r="D49" s="17" t="n">
        <v>438.0197551945238</v>
      </c>
      <c r="E49" s="17" t="n">
        <v>418.1097663220455</v>
      </c>
      <c r="F49" s="17" t="n">
        <v>398.1997774495671</v>
      </c>
      <c r="G49" s="17" t="n">
        <v>438.0197551945238</v>
      </c>
      <c r="H49" s="17" t="n">
        <v>457.9297440670022</v>
      </c>
      <c r="I49" s="17" t="n">
        <v>418.1097663220455</v>
      </c>
      <c r="J49" s="17" t="n">
        <v>418.1097663220455</v>
      </c>
      <c r="K49" s="17" t="n">
        <v>438.0197551945238</v>
      </c>
      <c r="L49" s="17" t="n">
        <v>418.1097663220455</v>
      </c>
      <c r="M49" s="17" t="n">
        <v>438.0197551945238</v>
      </c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16" t="n"/>
      <c r="AQ49" s="16" t="n"/>
      <c r="AR49" s="16" t="n"/>
      <c r="AS49" s="16" t="n"/>
    </row>
    <row r="50">
      <c r="A50" s="4" t="inlineStr">
        <is>
          <t>Mục tiêu số PCS  HT CĐ  (Tháng)</t>
        </is>
      </c>
      <c r="B50" s="17" t="n">
        <v>2342.957307268107</v>
      </c>
      <c r="C50" s="17" t="n">
        <v>1597.470891319164</v>
      </c>
      <c r="D50" s="17" t="n">
        <v>2342.957307268107</v>
      </c>
      <c r="E50" s="17" t="n">
        <v>2236.459247846829</v>
      </c>
      <c r="F50" s="17" t="n">
        <v>2129.961188425552</v>
      </c>
      <c r="G50" s="17" t="n">
        <v>2342.957307268107</v>
      </c>
      <c r="H50" s="17" t="n">
        <v>2449.455366689384</v>
      </c>
      <c r="I50" s="17" t="n">
        <v>2236.459247846829</v>
      </c>
      <c r="J50" s="17" t="n">
        <v>2236.459247846829</v>
      </c>
      <c r="K50" s="17" t="n">
        <v>2342.957307268107</v>
      </c>
      <c r="L50" s="17" t="n">
        <v>2236.459247846829</v>
      </c>
      <c r="M50" s="17" t="n">
        <v>2342.957307268107</v>
      </c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16" t="n"/>
      <c r="AQ50" s="16" t="n"/>
      <c r="AR50" s="16" t="n"/>
      <c r="AS50" s="16" t="n"/>
    </row>
    <row r="51">
      <c r="A51" s="4" t="inlineStr">
        <is>
          <t>Thực tích Bản vẽ HT CĐ Ca 1 (Ngày)</t>
        </is>
      </c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>
        <v>14</v>
      </c>
      <c r="O51" s="1" t="n">
        <v>8</v>
      </c>
      <c r="P51" s="1" t="n">
        <v>10</v>
      </c>
      <c r="Q51" s="1" t="n">
        <v>9</v>
      </c>
      <c r="R51" s="1" t="n">
        <v>13</v>
      </c>
      <c r="S51" s="1" t="n">
        <v>12</v>
      </c>
      <c r="T51" s="1" t="n">
        <v>0</v>
      </c>
      <c r="U51" s="6" t="n">
        <v>17</v>
      </c>
      <c r="V51" s="6" t="n">
        <v>21</v>
      </c>
      <c r="W51" s="6" t="n">
        <v>17</v>
      </c>
      <c r="X51" s="6" t="n">
        <v>30</v>
      </c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20" t="n"/>
      <c r="AP51" s="16" t="n"/>
      <c r="AQ51" s="16" t="n"/>
      <c r="AR51" s="16" t="n"/>
      <c r="AS51" s="16" t="n"/>
    </row>
    <row r="52">
      <c r="A52" s="4" t="inlineStr">
        <is>
          <t>Thực tích Bản vẽ HT CĐ Ca 2 (Ngày)</t>
        </is>
      </c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>
        <v>14</v>
      </c>
      <c r="O52" s="1" t="n">
        <v>9</v>
      </c>
      <c r="P52" s="1" t="n">
        <v>15</v>
      </c>
      <c r="Q52" s="1" t="n">
        <v>11</v>
      </c>
      <c r="R52" s="1" t="n">
        <v>16</v>
      </c>
      <c r="S52" s="1" t="n">
        <v>13</v>
      </c>
      <c r="T52" s="1" t="n">
        <v>0</v>
      </c>
      <c r="U52" s="6" t="n">
        <v>19</v>
      </c>
      <c r="V52" s="6" t="n">
        <v>20</v>
      </c>
      <c r="W52" s="6" t="n">
        <v>13</v>
      </c>
      <c r="X52" s="6" t="n">
        <v>19</v>
      </c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20" t="n"/>
      <c r="AP52" s="16" t="n"/>
      <c r="AQ52" s="16" t="n"/>
      <c r="AR52" s="16" t="n"/>
      <c r="AS52" s="16" t="n"/>
    </row>
    <row r="53">
      <c r="A53" s="4" t="inlineStr">
        <is>
          <t>Thực tích số PCS HT CĐ Ca 1 (Ngày)</t>
        </is>
      </c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>
        <v>95</v>
      </c>
      <c r="O53" s="1" t="n">
        <v>21</v>
      </c>
      <c r="P53" s="1" t="n">
        <v>97</v>
      </c>
      <c r="Q53" s="1" t="n">
        <v>83</v>
      </c>
      <c r="R53" s="1" t="n">
        <v>54</v>
      </c>
      <c r="S53" s="1" t="n">
        <v>54</v>
      </c>
      <c r="T53" s="1" t="n">
        <v>0</v>
      </c>
      <c r="U53" s="6" t="n">
        <v>170</v>
      </c>
      <c r="V53" s="6" t="n">
        <v>103</v>
      </c>
      <c r="W53" s="6" t="n">
        <v>141</v>
      </c>
      <c r="X53" s="6" t="n">
        <v>113</v>
      </c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20" t="n"/>
      <c r="AP53" s="16" t="n"/>
      <c r="AQ53" s="16" t="n"/>
      <c r="AR53" s="16" t="n"/>
      <c r="AS53" s="16" t="n"/>
    </row>
    <row r="54">
      <c r="A54" s="4" t="inlineStr">
        <is>
          <t>Thực tích số PCS HT CĐ Ca 2 (Ngày)</t>
        </is>
      </c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>
        <v>77</v>
      </c>
      <c r="O54" s="1" t="n">
        <v>225</v>
      </c>
      <c r="P54" s="1" t="n">
        <v>101</v>
      </c>
      <c r="Q54" s="1" t="n">
        <v>149</v>
      </c>
      <c r="R54" s="1" t="n">
        <v>206</v>
      </c>
      <c r="S54" s="1" t="n">
        <v>83</v>
      </c>
      <c r="T54" s="1" t="n">
        <v>0</v>
      </c>
      <c r="U54" s="6" t="n">
        <v>87</v>
      </c>
      <c r="V54" s="6" t="n">
        <v>84</v>
      </c>
      <c r="W54" s="6" t="n">
        <v>158</v>
      </c>
      <c r="X54" s="6" t="n">
        <v>109</v>
      </c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20" t="n"/>
      <c r="AP54" s="16" t="n"/>
      <c r="AQ54" s="16" t="n"/>
      <c r="AR54" s="16" t="n"/>
      <c r="AS54" s="16" t="n"/>
    </row>
    <row r="55">
      <c r="A55" s="4" t="inlineStr">
        <is>
          <t>Thực tích Bản vẽ HT CĐ Ca 1  (Tháng)</t>
        </is>
      </c>
      <c r="B55" s="1" t="n"/>
      <c r="C55" s="1" t="n"/>
      <c r="D55" s="1" t="n"/>
      <c r="E55" s="1" t="n">
        <v>151</v>
      </c>
      <c r="F55" s="1" t="n"/>
      <c r="G55" s="1" t="n"/>
      <c r="H55" s="1" t="n"/>
      <c r="I55" s="1" t="n"/>
      <c r="J55" s="1" t="n"/>
      <c r="K55" s="1" t="n"/>
      <c r="L55" s="1" t="n"/>
      <c r="M55" s="1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20" t="n"/>
      <c r="AP55" s="16" t="n"/>
      <c r="AQ55" s="16" t="n"/>
      <c r="AR55" s="16" t="n"/>
      <c r="AS55" s="16" t="n"/>
    </row>
    <row r="56">
      <c r="A56" s="4" t="inlineStr">
        <is>
          <t>Thực tích Bản vẽ HT CĐ Ca 2  (Tháng)</t>
        </is>
      </c>
      <c r="B56" s="1" t="n"/>
      <c r="C56" s="1" t="n"/>
      <c r="D56" s="1" t="n"/>
      <c r="E56" s="1" t="n">
        <v>149</v>
      </c>
      <c r="F56" s="1" t="n"/>
      <c r="G56" s="1" t="n"/>
      <c r="H56" s="1" t="n"/>
      <c r="I56" s="1" t="n"/>
      <c r="J56" s="1" t="n"/>
      <c r="K56" s="1" t="n"/>
      <c r="L56" s="1" t="n"/>
      <c r="M56" s="1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20" t="n"/>
      <c r="AP56" s="16" t="n"/>
      <c r="AQ56" s="16" t="n"/>
      <c r="AR56" s="16" t="n"/>
      <c r="AS56" s="16" t="n"/>
    </row>
    <row r="57">
      <c r="A57" s="4" t="inlineStr">
        <is>
          <t>Thực tích số PCS HT CĐ Ca 1  (Tháng)</t>
        </is>
      </c>
      <c r="B57" s="1" t="n"/>
      <c r="C57" s="1" t="n"/>
      <c r="D57" s="1" t="n"/>
      <c r="E57" s="1" t="n">
        <v>931</v>
      </c>
      <c r="F57" s="1" t="n"/>
      <c r="G57" s="1" t="n"/>
      <c r="H57" s="1" t="n"/>
      <c r="I57" s="1" t="n"/>
      <c r="J57" s="1" t="n"/>
      <c r="K57" s="1" t="n"/>
      <c r="L57" s="1" t="n"/>
      <c r="M57" s="1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20" t="n"/>
      <c r="AP57" s="16" t="n"/>
      <c r="AQ57" s="16" t="n"/>
      <c r="AR57" s="16" t="n"/>
      <c r="AS57" s="16" t="n"/>
    </row>
    <row r="58">
      <c r="A58" s="4" t="inlineStr">
        <is>
          <t>Thực tích số PCS HT CĐ Ca 2  (Tháng)</t>
        </is>
      </c>
      <c r="B58" s="1" t="n"/>
      <c r="C58" s="1" t="n"/>
      <c r="D58" s="1" t="n"/>
      <c r="E58" s="1" t="n">
        <v>1279</v>
      </c>
      <c r="F58" s="1" t="n"/>
      <c r="G58" s="1" t="n"/>
      <c r="H58" s="1" t="n"/>
      <c r="I58" s="1" t="n"/>
      <c r="J58" s="1" t="n"/>
      <c r="K58" s="1" t="n"/>
      <c r="L58" s="1" t="n"/>
      <c r="M58" s="1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20" t="n"/>
      <c r="AP58" s="16" t="n"/>
      <c r="AQ58" s="16" t="n"/>
      <c r="AR58" s="16" t="n"/>
      <c r="AS58" s="16" t="n"/>
    </row>
    <row r="59">
      <c r="A59" s="9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</row>
    <row r="60">
      <c r="A60" s="4" t="inlineStr">
        <is>
          <t>Công đoạn:</t>
        </is>
      </c>
      <c r="B60" s="1" t="inlineStr">
        <is>
          <t>LA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</row>
    <row r="61" ht="14.4" customHeight="1">
      <c r="A61" s="4" t="inlineStr">
        <is>
          <t>Ngày làm việc</t>
        </is>
      </c>
      <c r="B61" s="1" t="inlineStr">
        <is>
          <t>1月</t>
        </is>
      </c>
      <c r="C61" s="11" t="inlineStr">
        <is>
          <t>2月</t>
        </is>
      </c>
      <c r="D61" s="1" t="inlineStr">
        <is>
          <t>3月</t>
        </is>
      </c>
      <c r="E61" s="1" t="inlineStr">
        <is>
          <t>4月</t>
        </is>
      </c>
      <c r="F61" s="11" t="inlineStr">
        <is>
          <t>5月</t>
        </is>
      </c>
      <c r="G61" s="1" t="inlineStr">
        <is>
          <t>6月</t>
        </is>
      </c>
      <c r="H61" s="1" t="inlineStr">
        <is>
          <t>7月</t>
        </is>
      </c>
      <c r="I61" s="11" t="inlineStr">
        <is>
          <t>8月</t>
        </is>
      </c>
      <c r="J61" s="1" t="inlineStr">
        <is>
          <t>9月</t>
        </is>
      </c>
      <c r="K61" s="1" t="inlineStr">
        <is>
          <t>10月</t>
        </is>
      </c>
      <c r="L61" s="11" t="inlineStr">
        <is>
          <t>11月</t>
        </is>
      </c>
      <c r="M61" s="1" t="inlineStr">
        <is>
          <t>12月</t>
        </is>
      </c>
      <c r="N61" s="2" t="n">
        <v>46111</v>
      </c>
      <c r="O61" s="2" t="n">
        <v>46112</v>
      </c>
      <c r="P61" s="2" t="n">
        <v>46113</v>
      </c>
      <c r="Q61" s="2" t="n">
        <v>46114</v>
      </c>
      <c r="R61" s="2" t="n">
        <v>46115</v>
      </c>
      <c r="S61" s="2" t="n">
        <v>46116</v>
      </c>
      <c r="T61" s="2" t="n">
        <v>46117</v>
      </c>
      <c r="U61" s="2" t="n">
        <v>46118</v>
      </c>
      <c r="V61" s="2" t="n">
        <v>46119</v>
      </c>
      <c r="W61" s="2" t="n">
        <v>46120</v>
      </c>
      <c r="X61" s="2" t="n">
        <v>46121</v>
      </c>
      <c r="Y61" s="2" t="n">
        <v>46122</v>
      </c>
      <c r="Z61" s="2" t="n">
        <v>46123</v>
      </c>
      <c r="AA61" s="2" t="n">
        <v>46124</v>
      </c>
      <c r="AB61" s="2" t="n">
        <v>46125</v>
      </c>
      <c r="AC61" s="2" t="n">
        <v>46126</v>
      </c>
      <c r="AD61" s="2" t="n">
        <v>46127</v>
      </c>
      <c r="AE61" s="2" t="n">
        <v>46128</v>
      </c>
      <c r="AF61" s="2" t="n">
        <v>46129</v>
      </c>
      <c r="AG61" s="2" t="n">
        <v>46130</v>
      </c>
      <c r="AH61" s="2" t="n">
        <v>46131</v>
      </c>
      <c r="AI61" s="2" t="n">
        <v>46132</v>
      </c>
      <c r="AJ61" s="2" t="n">
        <v>46133</v>
      </c>
      <c r="AK61" s="2" t="n">
        <v>46134</v>
      </c>
      <c r="AL61" s="2" t="n">
        <v>46135</v>
      </c>
      <c r="AM61" s="2" t="n">
        <v>46136</v>
      </c>
      <c r="AN61" s="2" t="n">
        <v>46137</v>
      </c>
      <c r="AO61" s="2" t="n">
        <v>46138</v>
      </c>
      <c r="AP61" s="2" t="n">
        <v>46139</v>
      </c>
      <c r="AQ61" s="2" t="n"/>
      <c r="AR61" s="2" t="n"/>
      <c r="AS61" s="2" t="n"/>
      <c r="AT61" s="21" t="n"/>
    </row>
    <row r="62" ht="15" customHeight="1">
      <c r="A62" s="7" t="inlineStr">
        <is>
          <t>Làm việc? 1=Yes, 0=No</t>
        </is>
      </c>
      <c r="B62" s="3" t="n">
        <v>1</v>
      </c>
      <c r="C62" s="3" t="n">
        <v>1</v>
      </c>
      <c r="D62" s="3" t="n">
        <v>1</v>
      </c>
      <c r="E62" s="3" t="n">
        <v>1</v>
      </c>
      <c r="F62" s="3" t="n">
        <v>1</v>
      </c>
      <c r="G62" s="3" t="n">
        <v>1</v>
      </c>
      <c r="H62" s="3" t="n">
        <v>1</v>
      </c>
      <c r="I62" s="3" t="n">
        <v>1</v>
      </c>
      <c r="J62" s="3" t="n">
        <v>1</v>
      </c>
      <c r="K62" s="3" t="n">
        <v>1</v>
      </c>
      <c r="L62" s="3" t="n">
        <v>1</v>
      </c>
      <c r="M62" s="3" t="n">
        <v>1</v>
      </c>
      <c r="N62" s="1" t="n">
        <v>1</v>
      </c>
      <c r="O62" s="1" t="n">
        <v>1</v>
      </c>
      <c r="P62" s="1" t="n">
        <v>1</v>
      </c>
      <c r="Q62" s="1" t="n">
        <v>1</v>
      </c>
      <c r="R62" s="1" t="n">
        <v>1</v>
      </c>
      <c r="S62" s="1" t="n">
        <v>0</v>
      </c>
      <c r="T62" s="1" t="n">
        <v>0</v>
      </c>
      <c r="U62" s="1" t="n">
        <v>1</v>
      </c>
      <c r="V62" s="1" t="n">
        <v>1</v>
      </c>
      <c r="W62" s="1" t="n">
        <v>1</v>
      </c>
      <c r="X62" s="1" t="n">
        <v>1</v>
      </c>
      <c r="Y62" s="1" t="n">
        <v>1</v>
      </c>
      <c r="Z62" s="1" t="n">
        <v>0</v>
      </c>
      <c r="AA62" s="1" t="n">
        <v>0</v>
      </c>
      <c r="AB62" s="1" t="n">
        <v>1</v>
      </c>
      <c r="AC62" s="1" t="n">
        <v>1</v>
      </c>
      <c r="AD62" s="1" t="n">
        <v>1</v>
      </c>
      <c r="AE62" s="1" t="n">
        <v>1</v>
      </c>
      <c r="AF62" s="1" t="n">
        <v>1</v>
      </c>
      <c r="AG62" s="1" t="n">
        <v>0</v>
      </c>
      <c r="AH62" s="1" t="n">
        <v>0</v>
      </c>
      <c r="AI62" s="1" t="n">
        <v>1</v>
      </c>
      <c r="AJ62" s="1" t="n">
        <v>1</v>
      </c>
      <c r="AK62" s="1" t="n">
        <v>1</v>
      </c>
      <c r="AL62" s="1" t="n">
        <v>1</v>
      </c>
      <c r="AM62" s="1" t="n">
        <v>1</v>
      </c>
      <c r="AN62" s="1" t="n">
        <v>0</v>
      </c>
      <c r="AO62" s="1" t="n">
        <v>0</v>
      </c>
      <c r="AP62" s="16" t="n">
        <v>1</v>
      </c>
      <c r="AQ62" s="16" t="n"/>
      <c r="AR62" s="16" t="n"/>
      <c r="AS62" s="16" t="n"/>
    </row>
    <row r="63">
      <c r="A63" s="4" t="inlineStr">
        <is>
          <t>Mục tiêu Bản vẽ  HT CĐ (Ngày)</t>
        </is>
      </c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5" t="n">
        <v>9.17</v>
      </c>
      <c r="O63" s="5" t="n">
        <v>9.17</v>
      </c>
      <c r="P63" s="5" t="n">
        <v>9.17</v>
      </c>
      <c r="Q63" s="5" t="n">
        <v>9.17</v>
      </c>
      <c r="R63" s="5" t="n">
        <v>9.17</v>
      </c>
      <c r="S63" s="5" t="n"/>
      <c r="T63" s="5" t="n"/>
      <c r="U63" s="5" t="n">
        <v>9.17</v>
      </c>
      <c r="V63" s="5" t="n">
        <v>9.17</v>
      </c>
      <c r="W63" s="5" t="n">
        <v>9.17</v>
      </c>
      <c r="X63" s="5" t="n">
        <v>9.17</v>
      </c>
      <c r="Y63" s="5" t="n">
        <v>9.17</v>
      </c>
      <c r="Z63" s="5" t="n"/>
      <c r="AA63" s="5" t="n"/>
      <c r="AB63" s="5" t="n">
        <v>9.17</v>
      </c>
      <c r="AC63" s="5" t="n">
        <v>9.17</v>
      </c>
      <c r="AD63" s="5" t="n">
        <v>9.17</v>
      </c>
      <c r="AE63" s="5" t="n">
        <v>9.17</v>
      </c>
      <c r="AF63" s="5" t="n">
        <v>9.17</v>
      </c>
      <c r="AG63" s="5" t="n"/>
      <c r="AH63" s="5" t="n"/>
      <c r="AI63" s="5" t="n">
        <v>9.17</v>
      </c>
      <c r="AJ63" s="5" t="n">
        <v>9.17</v>
      </c>
      <c r="AK63" s="5" t="n">
        <v>9.17</v>
      </c>
      <c r="AL63" s="5" t="n">
        <v>9.17</v>
      </c>
      <c r="AM63" s="5" t="n">
        <v>9.17</v>
      </c>
      <c r="AN63" s="5" t="n"/>
      <c r="AO63" s="5" t="n"/>
      <c r="AP63" s="16" t="n">
        <v>9.17</v>
      </c>
      <c r="AQ63" s="16" t="n"/>
      <c r="AR63" s="16" t="n"/>
      <c r="AS63" s="16" t="n"/>
    </row>
    <row r="64" ht="15.75" customHeight="1">
      <c r="A64" s="4" t="inlineStr">
        <is>
          <t>Mục tiêu số PCS  HT CĐ (Ngày)</t>
        </is>
      </c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5" t="n">
        <v>49.13</v>
      </c>
      <c r="O64" s="5" t="n">
        <v>49.13</v>
      </c>
      <c r="P64" s="5" t="n">
        <v>49.13</v>
      </c>
      <c r="Q64" s="5" t="n">
        <v>49.13</v>
      </c>
      <c r="R64" s="5" t="n">
        <v>49.13</v>
      </c>
      <c r="S64" s="5" t="n"/>
      <c r="T64" s="5" t="n"/>
      <c r="U64" s="5" t="n">
        <v>49.13</v>
      </c>
      <c r="V64" s="5" t="n">
        <v>49.13</v>
      </c>
      <c r="W64" s="5" t="n">
        <v>49.13</v>
      </c>
      <c r="X64" s="5" t="n">
        <v>49.13</v>
      </c>
      <c r="Y64" s="5" t="n">
        <v>49.13</v>
      </c>
      <c r="Z64" s="5" t="n"/>
      <c r="AA64" s="5" t="n"/>
      <c r="AB64" s="5" t="n">
        <v>49.13</v>
      </c>
      <c r="AC64" s="5" t="n">
        <v>49.13</v>
      </c>
      <c r="AD64" s="5" t="n">
        <v>49.13</v>
      </c>
      <c r="AE64" s="5" t="n">
        <v>49.13</v>
      </c>
      <c r="AF64" s="5" t="n">
        <v>49.13</v>
      </c>
      <c r="AG64" s="5" t="n"/>
      <c r="AH64" s="5" t="n"/>
      <c r="AI64" s="5" t="n">
        <v>49.13</v>
      </c>
      <c r="AJ64" s="5" t="n">
        <v>49.13</v>
      </c>
      <c r="AK64" s="5" t="n">
        <v>49.13</v>
      </c>
      <c r="AL64" s="5" t="n">
        <v>49.13</v>
      </c>
      <c r="AM64" s="5" t="n">
        <v>49.13</v>
      </c>
      <c r="AN64" s="5" t="n"/>
      <c r="AO64" s="5" t="n"/>
      <c r="AP64" s="16" t="n">
        <v>49.13</v>
      </c>
      <c r="AQ64" s="16" t="n"/>
      <c r="AR64" s="16" t="n"/>
      <c r="AS64" s="16" t="n"/>
    </row>
    <row r="65" ht="15.75" customHeight="1">
      <c r="A65" s="4" t="inlineStr">
        <is>
          <t>Mục tiêu Bản vẽ HT CĐ Ca 1 (Còn lại/Ngày)</t>
        </is>
      </c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5" t="n">
        <v>9.17</v>
      </c>
      <c r="O65" s="5" t="n">
        <v>9.18</v>
      </c>
      <c r="P65" s="5" t="n">
        <v>9.24</v>
      </c>
      <c r="Q65" s="5" t="n">
        <v>9.359999999999999</v>
      </c>
      <c r="R65" s="5" t="n">
        <v>9.5</v>
      </c>
      <c r="S65" s="5" t="n"/>
      <c r="T65" s="5" t="n"/>
      <c r="U65" s="5" t="n">
        <v>9.34</v>
      </c>
      <c r="V65" s="5" t="n">
        <v>9.83</v>
      </c>
      <c r="W65" s="5" t="n">
        <v>10.11</v>
      </c>
      <c r="X65" s="5" t="n">
        <v>10.35</v>
      </c>
      <c r="Y65" s="5" t="n">
        <v>10.71</v>
      </c>
      <c r="Z65" s="5" t="n"/>
      <c r="AA65" s="5" t="n"/>
      <c r="AB65" s="5" t="n">
        <v>10.71</v>
      </c>
      <c r="AC65" s="5" t="n">
        <v>10.71</v>
      </c>
      <c r="AD65" s="5" t="n">
        <v>10.71</v>
      </c>
      <c r="AE65" s="5" t="n">
        <v>10.71</v>
      </c>
      <c r="AF65" s="5" t="n">
        <v>10.71</v>
      </c>
      <c r="AG65" s="5" t="n"/>
      <c r="AH65" s="5" t="n"/>
      <c r="AI65" s="5" t="n">
        <v>10.71</v>
      </c>
      <c r="AJ65" s="5" t="n">
        <v>10.71</v>
      </c>
      <c r="AK65" s="5" t="n">
        <v>10.71</v>
      </c>
      <c r="AL65" s="5" t="n">
        <v>10.71</v>
      </c>
      <c r="AM65" s="5" t="n">
        <v>10.71</v>
      </c>
      <c r="AN65" s="5" t="n"/>
      <c r="AO65" s="5" t="n"/>
      <c r="AP65" s="16" t="n">
        <v>10.71</v>
      </c>
      <c r="AQ65" s="16" t="n"/>
      <c r="AR65" s="16" t="n"/>
      <c r="AS65" s="16" t="n"/>
    </row>
    <row r="66" ht="15.75" customHeight="1">
      <c r="A66" s="4" t="inlineStr">
        <is>
          <t>Mục tiêu Bản vẽ HT CĐ Ca 2(Còn lại/Ngày)</t>
        </is>
      </c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5" t="n">
        <v>9.17</v>
      </c>
      <c r="O66" s="5" t="n">
        <v>9.18</v>
      </c>
      <c r="P66" s="5" t="n">
        <v>9.34</v>
      </c>
      <c r="Q66" s="5" t="n">
        <v>9.529999999999999</v>
      </c>
      <c r="R66" s="5" t="n">
        <v>9.800000000000001</v>
      </c>
      <c r="S66" s="5" t="n"/>
      <c r="T66" s="5" t="n"/>
      <c r="U66" s="5" t="n">
        <v>9.779999999999999</v>
      </c>
      <c r="V66" s="5" t="n">
        <v>10.1</v>
      </c>
      <c r="W66" s="5" t="n">
        <v>10.32</v>
      </c>
      <c r="X66" s="5" t="n">
        <v>10.42</v>
      </c>
      <c r="Y66" s="5" t="n">
        <v>10.79</v>
      </c>
      <c r="Z66" s="5" t="n"/>
      <c r="AA66" s="5" t="n"/>
      <c r="AB66" s="5" t="n">
        <v>10.79</v>
      </c>
      <c r="AC66" s="5" t="n">
        <v>10.79</v>
      </c>
      <c r="AD66" s="5" t="n">
        <v>10.79</v>
      </c>
      <c r="AE66" s="5" t="n">
        <v>10.79</v>
      </c>
      <c r="AF66" s="5" t="n">
        <v>10.79</v>
      </c>
      <c r="AG66" s="5" t="n"/>
      <c r="AH66" s="5" t="n"/>
      <c r="AI66" s="5" t="n">
        <v>10.79</v>
      </c>
      <c r="AJ66" s="5" t="n">
        <v>10.79</v>
      </c>
      <c r="AK66" s="5" t="n">
        <v>10.79</v>
      </c>
      <c r="AL66" s="5" t="n">
        <v>10.79</v>
      </c>
      <c r="AM66" s="5" t="n">
        <v>10.79</v>
      </c>
      <c r="AN66" s="5" t="n"/>
      <c r="AO66" s="5" t="n"/>
      <c r="AP66" s="16" t="n">
        <v>10.79</v>
      </c>
      <c r="AQ66" s="16" t="n"/>
      <c r="AR66" s="16" t="n"/>
      <c r="AS66" s="16" t="n"/>
    </row>
    <row r="67" ht="15.75" customHeight="1">
      <c r="A67" s="4" t="inlineStr">
        <is>
          <t>Mục tiêu số PCS HT CĐ Ca 1(Còn lại/Ngày)</t>
        </is>
      </c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5" t="n">
        <v>49.13</v>
      </c>
      <c r="O67" s="5" t="n">
        <v>47.93</v>
      </c>
      <c r="P67" s="5" t="n">
        <v>48.98</v>
      </c>
      <c r="Q67" s="5" t="n">
        <v>50.43</v>
      </c>
      <c r="R67" s="5" t="n">
        <v>30.8</v>
      </c>
      <c r="S67" s="5" t="n"/>
      <c r="T67" s="5" t="n"/>
      <c r="U67" s="5" t="n">
        <v>29.79</v>
      </c>
      <c r="V67" s="5" t="n">
        <v>31.38</v>
      </c>
      <c r="W67" s="5" t="n">
        <v>32.05</v>
      </c>
      <c r="X67" s="5" t="n">
        <v>33.36</v>
      </c>
      <c r="Y67" s="5" t="n">
        <v>34.31</v>
      </c>
      <c r="Z67" s="5" t="n"/>
      <c r="AA67" s="5" t="n"/>
      <c r="AB67" s="5" t="n">
        <v>34.31</v>
      </c>
      <c r="AC67" s="5" t="n">
        <v>34.31</v>
      </c>
      <c r="AD67" s="5" t="n">
        <v>34.31</v>
      </c>
      <c r="AE67" s="5" t="n">
        <v>34.31</v>
      </c>
      <c r="AF67" s="5" t="n">
        <v>34.31</v>
      </c>
      <c r="AG67" s="5" t="n"/>
      <c r="AH67" s="5" t="n"/>
      <c r="AI67" s="5" t="n">
        <v>34.31</v>
      </c>
      <c r="AJ67" s="5" t="n">
        <v>34.31</v>
      </c>
      <c r="AK67" s="5" t="n">
        <v>34.31</v>
      </c>
      <c r="AL67" s="5" t="n">
        <v>34.31</v>
      </c>
      <c r="AM67" s="5" t="n">
        <v>34.31</v>
      </c>
      <c r="AN67" s="5" t="n"/>
      <c r="AO67" s="5" t="n"/>
      <c r="AP67" s="16" t="n">
        <v>34.31</v>
      </c>
      <c r="AQ67" s="16" t="n"/>
      <c r="AR67" s="16" t="n"/>
      <c r="AS67" s="16" t="n"/>
    </row>
    <row r="68" ht="15.75" customHeight="1">
      <c r="A68" s="4" t="inlineStr">
        <is>
          <t>Mục tiêu số PCS HT CĐ Ca 2(Còn lại/Ngày)</t>
        </is>
      </c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5" t="n">
        <v>49.13</v>
      </c>
      <c r="O68" s="5" t="n">
        <v>49.68</v>
      </c>
      <c r="P68" s="5" t="n">
        <v>50.93</v>
      </c>
      <c r="Q68" s="5" t="n">
        <v>52.2</v>
      </c>
      <c r="R68" s="5" t="n">
        <v>54.57</v>
      </c>
      <c r="S68" s="5" t="n"/>
      <c r="T68" s="5" t="n"/>
      <c r="U68" s="5" t="n">
        <v>53.35</v>
      </c>
      <c r="V68" s="5" t="n">
        <v>56.18</v>
      </c>
      <c r="W68" s="5" t="n">
        <v>58.12</v>
      </c>
      <c r="X68" s="5" t="n">
        <v>60.98</v>
      </c>
      <c r="Y68" s="5" t="n">
        <v>63.56</v>
      </c>
      <c r="Z68" s="5" t="n"/>
      <c r="AA68" s="5" t="n"/>
      <c r="AB68" s="5" t="n">
        <v>63.56</v>
      </c>
      <c r="AC68" s="5" t="n">
        <v>63.56</v>
      </c>
      <c r="AD68" s="5" t="n">
        <v>63.56</v>
      </c>
      <c r="AE68" s="5" t="n">
        <v>63.56</v>
      </c>
      <c r="AF68" s="5" t="n">
        <v>63.56</v>
      </c>
      <c r="AG68" s="5" t="n"/>
      <c r="AH68" s="5" t="n"/>
      <c r="AI68" s="5" t="n">
        <v>63.56</v>
      </c>
      <c r="AJ68" s="5" t="n">
        <v>63.56</v>
      </c>
      <c r="AK68" s="5" t="n">
        <v>63.56</v>
      </c>
      <c r="AL68" s="5" t="n">
        <v>63.56</v>
      </c>
      <c r="AM68" s="5" t="n">
        <v>63.56</v>
      </c>
      <c r="AN68" s="5" t="n"/>
      <c r="AO68" s="5" t="n"/>
      <c r="AP68" s="16" t="n">
        <v>63.56</v>
      </c>
      <c r="AQ68" s="16" t="n"/>
      <c r="AR68" s="16" t="n"/>
      <c r="AS68" s="16" t="n"/>
    </row>
    <row r="69">
      <c r="A69" s="4" t="inlineStr">
        <is>
          <t>Mục tiêu Bản vẽ  HT CĐ  (Tháng)</t>
        </is>
      </c>
      <c r="B69" s="17" t="n">
        <v>201.6832454317655</v>
      </c>
      <c r="C69" s="17" t="n">
        <v>137.5113037034765</v>
      </c>
      <c r="D69" s="17" t="n">
        <v>201.6832454317655</v>
      </c>
      <c r="E69" s="17" t="n">
        <v>192.515825184867</v>
      </c>
      <c r="F69" s="17" t="n">
        <v>183.3484049379686</v>
      </c>
      <c r="G69" s="17" t="n">
        <v>201.6832454317655</v>
      </c>
      <c r="H69" s="17" t="n">
        <v>210.8506656786639</v>
      </c>
      <c r="I69" s="17" t="n">
        <v>192.515825184867</v>
      </c>
      <c r="J69" s="17" t="n">
        <v>192.515825184867</v>
      </c>
      <c r="K69" s="17" t="n">
        <v>201.6832454317655</v>
      </c>
      <c r="L69" s="17" t="n">
        <v>192.515825184867</v>
      </c>
      <c r="M69" s="17" t="n">
        <v>201.6832454317655</v>
      </c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16" t="n"/>
      <c r="AQ69" s="16" t="n"/>
      <c r="AR69" s="16" t="n"/>
      <c r="AS69" s="16" t="n"/>
    </row>
    <row r="70">
      <c r="A70" s="4" t="inlineStr">
        <is>
          <t>Mục tiêu số PCS  HT CĐ  (Tháng)</t>
        </is>
      </c>
      <c r="B70" s="17" t="n">
        <v>1080.806161254299</v>
      </c>
      <c r="C70" s="17" t="n">
        <v>736.9132917642944</v>
      </c>
      <c r="D70" s="17" t="n">
        <v>1080.806161254299</v>
      </c>
      <c r="E70" s="17" t="n">
        <v>1031.678608470012</v>
      </c>
      <c r="F70" s="17" t="n">
        <v>982.5510556857259</v>
      </c>
      <c r="G70" s="17" t="n">
        <v>1080.806161254299</v>
      </c>
      <c r="H70" s="17" t="n">
        <v>1129.933714038585</v>
      </c>
      <c r="I70" s="17" t="n">
        <v>1031.678608470012</v>
      </c>
      <c r="J70" s="17" t="n">
        <v>1031.678608470012</v>
      </c>
      <c r="K70" s="17" t="n">
        <v>1080.806161254299</v>
      </c>
      <c r="L70" s="17" t="n">
        <v>1031.678608470012</v>
      </c>
      <c r="M70" s="17" t="n">
        <v>1080.806161254299</v>
      </c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16" t="n"/>
      <c r="AQ70" s="16" t="n"/>
      <c r="AR70" s="16" t="n"/>
      <c r="AS70" s="16" t="n"/>
    </row>
    <row r="71">
      <c r="A71" s="4" t="inlineStr">
        <is>
          <t>Thực tích Bản vẽ HT CĐ Ca 1 (Ngày)</t>
        </is>
      </c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>
        <v>9</v>
      </c>
      <c r="O71" s="1" t="n">
        <v>8</v>
      </c>
      <c r="P71" s="1" t="n">
        <v>7</v>
      </c>
      <c r="Q71" s="1" t="n">
        <v>7</v>
      </c>
      <c r="R71" s="1" t="n">
        <v>7</v>
      </c>
      <c r="S71" s="1" t="n">
        <v>5</v>
      </c>
      <c r="T71" s="1" t="n">
        <v>0</v>
      </c>
      <c r="U71" s="1" t="n">
        <v>2</v>
      </c>
      <c r="V71" s="1" t="n">
        <v>6</v>
      </c>
      <c r="W71" s="1" t="n">
        <v>7</v>
      </c>
      <c r="X71" s="1" t="n">
        <v>6</v>
      </c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6" t="n"/>
      <c r="AP71" s="16" t="n"/>
      <c r="AQ71" s="16" t="n"/>
      <c r="AR71" s="16" t="n"/>
      <c r="AS71" s="16" t="n"/>
    </row>
    <row r="72">
      <c r="A72" s="4" t="inlineStr">
        <is>
          <t>Thực tích Bản vẽ HT CĐ Ca 2 (Ngày)</t>
        </is>
      </c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>
        <v>9</v>
      </c>
      <c r="O72" s="1" t="n">
        <v>6</v>
      </c>
      <c r="P72" s="1" t="n">
        <v>6</v>
      </c>
      <c r="Q72" s="1" t="n">
        <v>5</v>
      </c>
      <c r="R72" s="1" t="n">
        <v>3</v>
      </c>
      <c r="S72" s="1" t="n">
        <v>7</v>
      </c>
      <c r="T72" s="1" t="n">
        <v>0</v>
      </c>
      <c r="U72" s="1" t="n">
        <v>5</v>
      </c>
      <c r="V72" s="1" t="n">
        <v>7</v>
      </c>
      <c r="W72" s="1" t="n">
        <v>9</v>
      </c>
      <c r="X72" s="1" t="n">
        <v>6</v>
      </c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6" t="n"/>
      <c r="AP72" s="16" t="n"/>
      <c r="AQ72" s="16" t="n"/>
      <c r="AR72" s="16" t="n"/>
      <c r="AS72" s="16" t="n"/>
    </row>
    <row r="73">
      <c r="A73" s="4" t="inlineStr">
        <is>
          <t>Thực tích số PCS HT CĐ Ca 1 (Ngày)</t>
        </is>
      </c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>
        <v>73</v>
      </c>
      <c r="O73" s="1" t="n">
        <v>28</v>
      </c>
      <c r="P73" s="1" t="n">
        <v>23</v>
      </c>
      <c r="Q73" s="1" t="n">
        <v>384</v>
      </c>
      <c r="R73" s="1" t="n">
        <v>14</v>
      </c>
      <c r="S73" s="1" t="n">
        <v>33</v>
      </c>
      <c r="T73" s="1" t="n">
        <v>0</v>
      </c>
      <c r="U73" s="1" t="n">
        <v>6</v>
      </c>
      <c r="V73" s="1" t="n">
        <v>22</v>
      </c>
      <c r="W73" s="1" t="n">
        <v>15</v>
      </c>
      <c r="X73" s="1" t="n">
        <v>22</v>
      </c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6" t="n"/>
      <c r="AP73" s="16" t="n"/>
      <c r="AQ73" s="16" t="n"/>
      <c r="AR73" s="16" t="n"/>
      <c r="AS73" s="16" t="n"/>
    </row>
    <row r="74">
      <c r="A74" s="4" t="inlineStr">
        <is>
          <t>Thực tích số PCS HT CĐ Ca 2 (Ngày)</t>
        </is>
      </c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>
        <v>38</v>
      </c>
      <c r="O74" s="1" t="n">
        <v>26</v>
      </c>
      <c r="P74" s="1" t="n">
        <v>28</v>
      </c>
      <c r="Q74" s="1" t="n">
        <v>12</v>
      </c>
      <c r="R74" s="1" t="n">
        <v>56</v>
      </c>
      <c r="S74" s="1" t="n">
        <v>18</v>
      </c>
      <c r="T74" s="1" t="n">
        <v>0</v>
      </c>
      <c r="U74" s="1" t="n">
        <v>11</v>
      </c>
      <c r="V74" s="1" t="n">
        <v>29</v>
      </c>
      <c r="W74" s="1" t="n">
        <v>21</v>
      </c>
      <c r="X74" s="1" t="n">
        <v>30</v>
      </c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6" t="n"/>
      <c r="AP74" s="16" t="n"/>
      <c r="AQ74" s="16" t="n"/>
      <c r="AR74" s="16" t="n"/>
      <c r="AS74" s="16" t="n"/>
    </row>
    <row r="75">
      <c r="A75" s="4" t="inlineStr">
        <is>
          <t>Thực tích Bản vẽ HT CĐ Ca 1  (Tháng)</t>
        </is>
      </c>
      <c r="B75" s="1" t="n"/>
      <c r="C75" s="1" t="n"/>
      <c r="D75" s="1" t="n"/>
      <c r="E75" s="1" t="n">
        <v>64</v>
      </c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6" t="n"/>
      <c r="AP75" s="16" t="n"/>
      <c r="AQ75" s="16" t="n"/>
      <c r="AR75" s="16" t="n"/>
      <c r="AS75" s="16" t="n"/>
    </row>
    <row r="76">
      <c r="A76" s="4" t="inlineStr">
        <is>
          <t>Thực tích Bản vẽ HT CĐ Ca 2  (Tháng)</t>
        </is>
      </c>
      <c r="B76" s="1" t="n"/>
      <c r="C76" s="1" t="n"/>
      <c r="D76" s="1" t="n"/>
      <c r="E76" s="1" t="n">
        <v>63</v>
      </c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6" t="n"/>
      <c r="AP76" s="16" t="n"/>
      <c r="AQ76" s="16" t="n"/>
      <c r="AR76" s="16" t="n"/>
      <c r="AS76" s="16" t="n"/>
    </row>
    <row r="77">
      <c r="A77" s="4" t="inlineStr">
        <is>
          <t>Thực tích số PCS HT CĐ Ca 1  (Tháng)</t>
        </is>
      </c>
      <c r="B77" s="1" t="n"/>
      <c r="C77" s="1" t="n"/>
      <c r="D77" s="1" t="n"/>
      <c r="E77" s="1" t="n">
        <v>620</v>
      </c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6" t="n"/>
      <c r="AP77" s="16" t="n"/>
      <c r="AQ77" s="16" t="n"/>
      <c r="AR77" s="16" t="n"/>
      <c r="AS77" s="16" t="n"/>
    </row>
    <row r="78">
      <c r="A78" s="4" t="inlineStr">
        <is>
          <t>Thực tích số PCS HT CĐ Ca 2  (Tháng)</t>
        </is>
      </c>
      <c r="B78" s="1" t="n"/>
      <c r="C78" s="1" t="n"/>
      <c r="D78" s="1" t="n"/>
      <c r="E78" s="1" t="n">
        <v>269</v>
      </c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6" t="n"/>
      <c r="AP78" s="16" t="n"/>
      <c r="AQ78" s="16" t="n"/>
      <c r="AR78" s="16" t="n"/>
      <c r="AS78" s="16" t="n"/>
    </row>
    <row r="79">
      <c r="A79" s="9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</row>
    <row r="80">
      <c r="A80" s="4" t="inlineStr">
        <is>
          <t>Công đoạn:</t>
        </is>
      </c>
      <c r="B80" s="1" t="inlineStr">
        <is>
          <t>BJ</t>
        </is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</row>
    <row r="81" ht="14.4" customHeight="1">
      <c r="A81" s="4" t="inlineStr">
        <is>
          <t>Ngày làm việc</t>
        </is>
      </c>
      <c r="B81" s="1" t="inlineStr">
        <is>
          <t>1月</t>
        </is>
      </c>
      <c r="C81" s="11" t="inlineStr">
        <is>
          <t>2月</t>
        </is>
      </c>
      <c r="D81" s="1" t="inlineStr">
        <is>
          <t>3月</t>
        </is>
      </c>
      <c r="E81" s="1" t="inlineStr">
        <is>
          <t>4月</t>
        </is>
      </c>
      <c r="F81" s="11" t="inlineStr">
        <is>
          <t>5月</t>
        </is>
      </c>
      <c r="G81" s="1" t="inlineStr">
        <is>
          <t>6月</t>
        </is>
      </c>
      <c r="H81" s="1" t="inlineStr">
        <is>
          <t>7月</t>
        </is>
      </c>
      <c r="I81" s="11" t="inlineStr">
        <is>
          <t>8月</t>
        </is>
      </c>
      <c r="J81" s="1" t="inlineStr">
        <is>
          <t>9月</t>
        </is>
      </c>
      <c r="K81" s="1" t="inlineStr">
        <is>
          <t>10月</t>
        </is>
      </c>
      <c r="L81" s="11" t="inlineStr">
        <is>
          <t>11月</t>
        </is>
      </c>
      <c r="M81" s="1" t="inlineStr">
        <is>
          <t>12月</t>
        </is>
      </c>
      <c r="N81" s="2" t="n">
        <v>46111</v>
      </c>
      <c r="O81" s="2" t="n">
        <v>46112</v>
      </c>
      <c r="P81" s="2" t="n">
        <v>46113</v>
      </c>
      <c r="Q81" s="2" t="n">
        <v>46114</v>
      </c>
      <c r="R81" s="2" t="n">
        <v>46115</v>
      </c>
      <c r="S81" s="2" t="n">
        <v>46116</v>
      </c>
      <c r="T81" s="2" t="n">
        <v>46117</v>
      </c>
      <c r="U81" s="2" t="n">
        <v>46118</v>
      </c>
      <c r="V81" s="2" t="n">
        <v>46119</v>
      </c>
      <c r="W81" s="2" t="n">
        <v>46120</v>
      </c>
      <c r="X81" s="2" t="n">
        <v>46121</v>
      </c>
      <c r="Y81" s="2" t="n">
        <v>46122</v>
      </c>
      <c r="Z81" s="2" t="n">
        <v>46123</v>
      </c>
      <c r="AA81" s="2" t="n">
        <v>46124</v>
      </c>
      <c r="AB81" s="2" t="n">
        <v>46125</v>
      </c>
      <c r="AC81" s="2" t="n">
        <v>46126</v>
      </c>
      <c r="AD81" s="2" t="n">
        <v>46127</v>
      </c>
      <c r="AE81" s="2" t="n">
        <v>46128</v>
      </c>
      <c r="AF81" s="2" t="n">
        <v>46129</v>
      </c>
      <c r="AG81" s="2" t="n">
        <v>46130</v>
      </c>
      <c r="AH81" s="2" t="n">
        <v>46131</v>
      </c>
      <c r="AI81" s="2" t="n">
        <v>46132</v>
      </c>
      <c r="AJ81" s="2" t="n">
        <v>46133</v>
      </c>
      <c r="AK81" s="2" t="n">
        <v>46134</v>
      </c>
      <c r="AL81" s="2" t="n">
        <v>46135</v>
      </c>
      <c r="AM81" s="2" t="n">
        <v>46136</v>
      </c>
      <c r="AN81" s="2" t="n">
        <v>46137</v>
      </c>
      <c r="AO81" s="2" t="n">
        <v>46138</v>
      </c>
      <c r="AP81" s="2" t="n">
        <v>46139</v>
      </c>
      <c r="AQ81" s="2" t="n"/>
      <c r="AR81" s="2" t="n"/>
      <c r="AS81" s="2" t="n"/>
      <c r="AT81" s="21" t="n"/>
    </row>
    <row r="82" ht="15" customHeight="1">
      <c r="A82" s="7" t="inlineStr">
        <is>
          <t>Làm việc? 1=Yes, 0=No</t>
        </is>
      </c>
      <c r="B82" s="3" t="n">
        <v>1</v>
      </c>
      <c r="C82" s="3" t="n">
        <v>1</v>
      </c>
      <c r="D82" s="3" t="n">
        <v>1</v>
      </c>
      <c r="E82" s="3" t="n">
        <v>1</v>
      </c>
      <c r="F82" s="3" t="n">
        <v>1</v>
      </c>
      <c r="G82" s="3" t="n">
        <v>1</v>
      </c>
      <c r="H82" s="3" t="n">
        <v>1</v>
      </c>
      <c r="I82" s="3" t="n">
        <v>1</v>
      </c>
      <c r="J82" s="3" t="n">
        <v>1</v>
      </c>
      <c r="K82" s="3" t="n">
        <v>1</v>
      </c>
      <c r="L82" s="3" t="n">
        <v>1</v>
      </c>
      <c r="M82" s="3" t="n">
        <v>1</v>
      </c>
      <c r="N82" s="1" t="n">
        <v>1</v>
      </c>
      <c r="O82" s="1" t="n">
        <v>1</v>
      </c>
      <c r="P82" s="1" t="n">
        <v>1</v>
      </c>
      <c r="Q82" s="1" t="n">
        <v>1</v>
      </c>
      <c r="R82" s="1" t="n">
        <v>1</v>
      </c>
      <c r="S82" s="1" t="n">
        <v>0</v>
      </c>
      <c r="T82" s="1" t="n">
        <v>0</v>
      </c>
      <c r="U82" s="1" t="n">
        <v>1</v>
      </c>
      <c r="V82" s="1" t="n">
        <v>1</v>
      </c>
      <c r="W82" s="1" t="n">
        <v>1</v>
      </c>
      <c r="X82" s="1" t="n">
        <v>1</v>
      </c>
      <c r="Y82" s="1" t="n">
        <v>1</v>
      </c>
      <c r="Z82" s="1" t="n">
        <v>0</v>
      </c>
      <c r="AA82" s="1" t="n">
        <v>0</v>
      </c>
      <c r="AB82" s="1" t="n">
        <v>1</v>
      </c>
      <c r="AC82" s="1" t="n">
        <v>1</v>
      </c>
      <c r="AD82" s="1" t="n">
        <v>1</v>
      </c>
      <c r="AE82" s="1" t="n">
        <v>1</v>
      </c>
      <c r="AF82" s="1" t="n">
        <v>1</v>
      </c>
      <c r="AG82" s="1" t="n">
        <v>0</v>
      </c>
      <c r="AH82" s="1" t="n">
        <v>0</v>
      </c>
      <c r="AI82" s="1" t="n">
        <v>1</v>
      </c>
      <c r="AJ82" s="1" t="n">
        <v>1</v>
      </c>
      <c r="AK82" s="1" t="n">
        <v>1</v>
      </c>
      <c r="AL82" s="1" t="n">
        <v>1</v>
      </c>
      <c r="AM82" s="1" t="n">
        <v>1</v>
      </c>
      <c r="AN82" s="1" t="n">
        <v>0</v>
      </c>
      <c r="AO82" s="1" t="n">
        <v>0</v>
      </c>
      <c r="AP82" s="16" t="n">
        <v>1</v>
      </c>
      <c r="AQ82" s="16" t="n"/>
      <c r="AR82" s="16" t="n"/>
      <c r="AS82" s="16" t="n"/>
    </row>
    <row r="83">
      <c r="A83" s="4" t="inlineStr">
        <is>
          <t>Mục tiêu Bản vẽ  HT CĐ (Ngày)</t>
        </is>
      </c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5" t="n">
        <v>31.4</v>
      </c>
      <c r="O83" s="5" t="n">
        <v>31.4</v>
      </c>
      <c r="P83" s="5" t="n">
        <v>31.4</v>
      </c>
      <c r="Q83" s="5" t="n">
        <v>31.4</v>
      </c>
      <c r="R83" s="5" t="n">
        <v>31.4</v>
      </c>
      <c r="S83" s="5" t="n"/>
      <c r="T83" s="5" t="n"/>
      <c r="U83" s="5" t="n">
        <v>31.4</v>
      </c>
      <c r="V83" s="5" t="n">
        <v>31.4</v>
      </c>
      <c r="W83" s="5" t="n">
        <v>31.4</v>
      </c>
      <c r="X83" s="5" t="n">
        <v>31.4</v>
      </c>
      <c r="Y83" s="5" t="n">
        <v>31.4</v>
      </c>
      <c r="Z83" s="5" t="n"/>
      <c r="AA83" s="5" t="n"/>
      <c r="AB83" s="5" t="n">
        <v>31.4</v>
      </c>
      <c r="AC83" s="5" t="n">
        <v>31.4</v>
      </c>
      <c r="AD83" s="5" t="n">
        <v>31.4</v>
      </c>
      <c r="AE83" s="5" t="n">
        <v>31.4</v>
      </c>
      <c r="AF83" s="5" t="n">
        <v>31.4</v>
      </c>
      <c r="AG83" s="5" t="n"/>
      <c r="AH83" s="5" t="n"/>
      <c r="AI83" s="5" t="n">
        <v>31.4</v>
      </c>
      <c r="AJ83" s="5" t="n">
        <v>31.4</v>
      </c>
      <c r="AK83" s="5" t="n">
        <v>31.4</v>
      </c>
      <c r="AL83" s="5" t="n">
        <v>31.4</v>
      </c>
      <c r="AM83" s="5" t="n">
        <v>31.4</v>
      </c>
      <c r="AN83" s="5" t="n"/>
      <c r="AO83" s="5" t="n"/>
      <c r="AP83" s="16" t="n">
        <v>31.4</v>
      </c>
      <c r="AQ83" s="16" t="n"/>
      <c r="AR83" s="16" t="n"/>
      <c r="AS83" s="16" t="n"/>
    </row>
    <row r="84">
      <c r="A84" s="4" t="inlineStr">
        <is>
          <t>Mục tiêu số PCS  HT CĐ (Ngày)</t>
        </is>
      </c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5" t="n">
        <v>189.55</v>
      </c>
      <c r="O84" s="5" t="n">
        <v>189.55</v>
      </c>
      <c r="P84" s="5" t="n">
        <v>189.55</v>
      </c>
      <c r="Q84" s="5" t="n">
        <v>189.55</v>
      </c>
      <c r="R84" s="5" t="n">
        <v>189.55</v>
      </c>
      <c r="S84" s="5" t="n"/>
      <c r="T84" s="5" t="n"/>
      <c r="U84" s="5" t="n">
        <v>189.55</v>
      </c>
      <c r="V84" s="5" t="n">
        <v>189.55</v>
      </c>
      <c r="W84" s="5" t="n">
        <v>189.55</v>
      </c>
      <c r="X84" s="5" t="n">
        <v>189.55</v>
      </c>
      <c r="Y84" s="5" t="n">
        <v>189.55</v>
      </c>
      <c r="Z84" s="5" t="n"/>
      <c r="AA84" s="5" t="n"/>
      <c r="AB84" s="5" t="n">
        <v>189.55</v>
      </c>
      <c r="AC84" s="5" t="n">
        <v>189.55</v>
      </c>
      <c r="AD84" s="5" t="n">
        <v>189.55</v>
      </c>
      <c r="AE84" s="5" t="n">
        <v>189.55</v>
      </c>
      <c r="AF84" s="5" t="n">
        <v>189.55</v>
      </c>
      <c r="AG84" s="5" t="n"/>
      <c r="AH84" s="5" t="n"/>
      <c r="AI84" s="5" t="n">
        <v>189.55</v>
      </c>
      <c r="AJ84" s="5" t="n">
        <v>189.55</v>
      </c>
      <c r="AK84" s="5" t="n">
        <v>189.55</v>
      </c>
      <c r="AL84" s="5" t="n">
        <v>189.55</v>
      </c>
      <c r="AM84" s="5" t="n">
        <v>189.55</v>
      </c>
      <c r="AN84" s="5" t="n"/>
      <c r="AO84" s="5" t="n"/>
      <c r="AP84" s="16" t="n">
        <v>189.55</v>
      </c>
      <c r="AQ84" s="16" t="n"/>
      <c r="AR84" s="16" t="n"/>
      <c r="AS84" s="16" t="n"/>
    </row>
    <row r="85">
      <c r="A85" s="4" t="inlineStr">
        <is>
          <t>Mục tiêu Bản vẽ HT CĐ Ca 1 (Còn lại/Ngày)</t>
        </is>
      </c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5" t="n">
        <v>31.4</v>
      </c>
      <c r="O85" s="5" t="n">
        <v>32.08</v>
      </c>
      <c r="P85" s="5" t="n">
        <v>33.03</v>
      </c>
      <c r="Q85" s="5" t="n">
        <v>33.97</v>
      </c>
      <c r="R85" s="5" t="n">
        <v>34.68</v>
      </c>
      <c r="S85" s="5" t="n"/>
      <c r="T85" s="5" t="n"/>
      <c r="U85" s="5" t="n">
        <v>35.41</v>
      </c>
      <c r="V85" s="5" t="n">
        <v>36.77</v>
      </c>
      <c r="W85" s="5" t="n">
        <v>38.18</v>
      </c>
      <c r="X85" s="5" t="n">
        <v>39.65</v>
      </c>
      <c r="Y85" s="5" t="n">
        <v>41.88</v>
      </c>
      <c r="Z85" s="5" t="n"/>
      <c r="AA85" s="5" t="n"/>
      <c r="AB85" s="5" t="n">
        <v>41.88</v>
      </c>
      <c r="AC85" s="5" t="n">
        <v>41.88</v>
      </c>
      <c r="AD85" s="5" t="n">
        <v>41.88</v>
      </c>
      <c r="AE85" s="5" t="n">
        <v>41.88</v>
      </c>
      <c r="AF85" s="5" t="n">
        <v>41.88</v>
      </c>
      <c r="AG85" s="5" t="n"/>
      <c r="AH85" s="5" t="n"/>
      <c r="AI85" s="5" t="n">
        <v>41.88</v>
      </c>
      <c r="AJ85" s="5" t="n">
        <v>41.88</v>
      </c>
      <c r="AK85" s="5" t="n">
        <v>41.88</v>
      </c>
      <c r="AL85" s="5" t="n">
        <v>41.88</v>
      </c>
      <c r="AM85" s="5" t="n">
        <v>41.88</v>
      </c>
      <c r="AN85" s="5" t="n"/>
      <c r="AO85" s="5" t="n"/>
      <c r="AP85" s="16" t="n">
        <v>41.88</v>
      </c>
      <c r="AQ85" s="16" t="n"/>
      <c r="AR85" s="16" t="n"/>
      <c r="AS85" s="16" t="n"/>
    </row>
    <row r="86">
      <c r="A86" s="4" t="inlineStr">
        <is>
          <t>Mục tiêu Bản vẽ HT CĐ Ca 2(Còn lại/Ngày)</t>
        </is>
      </c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5" t="n">
        <v>31.4</v>
      </c>
      <c r="O86" s="5" t="n">
        <v>32.23</v>
      </c>
      <c r="P86" s="5" t="n">
        <v>33.03</v>
      </c>
      <c r="Q86" s="5" t="n">
        <v>33.69</v>
      </c>
      <c r="R86" s="5" t="n">
        <v>34.62</v>
      </c>
      <c r="S86" s="5" t="n"/>
      <c r="T86" s="5" t="n"/>
      <c r="U86" s="5" t="n">
        <v>34.97</v>
      </c>
      <c r="V86" s="5" t="n">
        <v>36.17</v>
      </c>
      <c r="W86" s="5" t="n">
        <v>37.25</v>
      </c>
      <c r="X86" s="5" t="n">
        <v>38.12</v>
      </c>
      <c r="Y86" s="5" t="n">
        <v>38.71</v>
      </c>
      <c r="Z86" s="5" t="n"/>
      <c r="AA86" s="5" t="n"/>
      <c r="AB86" s="5" t="n">
        <v>38.71</v>
      </c>
      <c r="AC86" s="5" t="n">
        <v>38.71</v>
      </c>
      <c r="AD86" s="5" t="n">
        <v>38.71</v>
      </c>
      <c r="AE86" s="5" t="n">
        <v>38.71</v>
      </c>
      <c r="AF86" s="5" t="n">
        <v>38.71</v>
      </c>
      <c r="AG86" s="5" t="n"/>
      <c r="AH86" s="5" t="n"/>
      <c r="AI86" s="5" t="n">
        <v>38.71</v>
      </c>
      <c r="AJ86" s="5" t="n">
        <v>38.71</v>
      </c>
      <c r="AK86" s="5" t="n">
        <v>38.71</v>
      </c>
      <c r="AL86" s="5" t="n">
        <v>38.71</v>
      </c>
      <c r="AM86" s="5" t="n">
        <v>38.71</v>
      </c>
      <c r="AN86" s="5" t="n"/>
      <c r="AO86" s="5" t="n"/>
      <c r="AP86" s="16" t="n">
        <v>38.71</v>
      </c>
      <c r="AQ86" s="16" t="n"/>
      <c r="AR86" s="16" t="n"/>
      <c r="AS86" s="16" t="n"/>
    </row>
    <row r="87">
      <c r="A87" s="4" t="inlineStr">
        <is>
          <t>Mục tiêu số PCS HT CĐ Ca 1(Còn lại/Ngày)</t>
        </is>
      </c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5" t="n">
        <v>189.55</v>
      </c>
      <c r="O87" s="5" t="n">
        <v>193.03</v>
      </c>
      <c r="P87" s="5" t="n">
        <v>193.77</v>
      </c>
      <c r="Q87" s="5" t="n">
        <v>190.14</v>
      </c>
      <c r="R87" s="5" t="n">
        <v>195.15</v>
      </c>
      <c r="S87" s="5" t="n"/>
      <c r="T87" s="5" t="n"/>
      <c r="U87" s="5" t="n">
        <v>198.97</v>
      </c>
      <c r="V87" s="5" t="n">
        <v>202.84</v>
      </c>
      <c r="W87" s="5" t="n">
        <v>210.11</v>
      </c>
      <c r="X87" s="5" t="n">
        <v>212.12</v>
      </c>
      <c r="Y87" s="5" t="n">
        <v>223.38</v>
      </c>
      <c r="Z87" s="5" t="n"/>
      <c r="AA87" s="5" t="n"/>
      <c r="AB87" s="5" t="n">
        <v>223.38</v>
      </c>
      <c r="AC87" s="5" t="n">
        <v>223.38</v>
      </c>
      <c r="AD87" s="5" t="n">
        <v>223.38</v>
      </c>
      <c r="AE87" s="5" t="n">
        <v>223.38</v>
      </c>
      <c r="AF87" s="5" t="n">
        <v>223.38</v>
      </c>
      <c r="AG87" s="5" t="n"/>
      <c r="AH87" s="5" t="n"/>
      <c r="AI87" s="5" t="n">
        <v>223.38</v>
      </c>
      <c r="AJ87" s="5" t="n">
        <v>223.38</v>
      </c>
      <c r="AK87" s="5" t="n">
        <v>223.38</v>
      </c>
      <c r="AL87" s="5" t="n">
        <v>223.38</v>
      </c>
      <c r="AM87" s="5" t="n">
        <v>223.38</v>
      </c>
      <c r="AN87" s="5" t="n"/>
      <c r="AO87" s="5" t="n"/>
      <c r="AP87" s="16" t="n">
        <v>223.38</v>
      </c>
      <c r="AQ87" s="16" t="n"/>
      <c r="AR87" s="16" t="n"/>
      <c r="AS87" s="16" t="n"/>
    </row>
    <row r="88">
      <c r="A88" s="4" t="inlineStr">
        <is>
          <t>Mục tiêu số PCS HT CĐ Ca 2(Còn lại/Ngày)</t>
        </is>
      </c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5" t="n">
        <v>189.55</v>
      </c>
      <c r="O88" s="5" t="n">
        <v>188.38</v>
      </c>
      <c r="P88" s="5" t="n">
        <v>180.29</v>
      </c>
      <c r="Q88" s="5" t="n">
        <v>180.64</v>
      </c>
      <c r="R88" s="5" t="n">
        <v>184.5</v>
      </c>
      <c r="S88" s="5" t="n"/>
      <c r="T88" s="5" t="n"/>
      <c r="U88" s="5" t="n">
        <v>181.22</v>
      </c>
      <c r="V88" s="5" t="n">
        <v>173.04</v>
      </c>
      <c r="W88" s="5" t="n">
        <v>175.97</v>
      </c>
      <c r="X88" s="5" t="n">
        <v>175.97</v>
      </c>
      <c r="Y88" s="5" t="n">
        <v>175.46</v>
      </c>
      <c r="Z88" s="5" t="n"/>
      <c r="AA88" s="5" t="n"/>
      <c r="AB88" s="5" t="n">
        <v>175.46</v>
      </c>
      <c r="AC88" s="5" t="n">
        <v>175.46</v>
      </c>
      <c r="AD88" s="5" t="n">
        <v>175.46</v>
      </c>
      <c r="AE88" s="5" t="n">
        <v>175.46</v>
      </c>
      <c r="AF88" s="5" t="n">
        <v>175.46</v>
      </c>
      <c r="AG88" s="5" t="n"/>
      <c r="AH88" s="5" t="n"/>
      <c r="AI88" s="5" t="n">
        <v>175.46</v>
      </c>
      <c r="AJ88" s="5" t="n">
        <v>175.46</v>
      </c>
      <c r="AK88" s="5" t="n">
        <v>175.46</v>
      </c>
      <c r="AL88" s="5" t="n">
        <v>175.46</v>
      </c>
      <c r="AM88" s="5" t="n">
        <v>175.46</v>
      </c>
      <c r="AN88" s="5" t="n"/>
      <c r="AO88" s="5" t="n"/>
      <c r="AP88" s="16" t="n">
        <v>175.46</v>
      </c>
      <c r="AQ88" s="16" t="n"/>
      <c r="AR88" s="16" t="n"/>
      <c r="AS88" s="16" t="n"/>
    </row>
    <row r="89">
      <c r="A89" s="4" t="inlineStr">
        <is>
          <t>Mục tiêu Bản vẽ  HT CĐ  (Tháng)</t>
        </is>
      </c>
      <c r="B89" s="17" t="n">
        <v>690.9084404640197</v>
      </c>
      <c r="C89" s="17" t="n">
        <v>471.0739366800134</v>
      </c>
      <c r="D89" s="17" t="n">
        <v>690.9084404640197</v>
      </c>
      <c r="E89" s="17" t="n">
        <v>659.5035113520188</v>
      </c>
      <c r="F89" s="17" t="n">
        <v>628.0985822400179</v>
      </c>
      <c r="G89" s="17" t="n">
        <v>690.9084404640197</v>
      </c>
      <c r="H89" s="17" t="n">
        <v>722.3133695760206</v>
      </c>
      <c r="I89" s="17" t="n">
        <v>659.5035113520188</v>
      </c>
      <c r="J89" s="17" t="n">
        <v>659.5035113520188</v>
      </c>
      <c r="K89" s="17" t="n">
        <v>690.9084404640197</v>
      </c>
      <c r="L89" s="17" t="n">
        <v>659.5035113520188</v>
      </c>
      <c r="M89" s="17" t="n">
        <v>690.9084404640197</v>
      </c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16" t="n"/>
      <c r="AQ89" s="16" t="n"/>
      <c r="AR89" s="16" t="n"/>
      <c r="AS89" s="16" t="n"/>
    </row>
    <row r="90">
      <c r="A90" s="4" t="inlineStr">
        <is>
          <t>Mục tiêu số PCS  HT CĐ  (Tháng)</t>
        </is>
      </c>
      <c r="B90" s="17" t="n">
        <v>4170.112341641641</v>
      </c>
      <c r="C90" s="17" t="n">
        <v>2843.258414755664</v>
      </c>
      <c r="D90" s="17" t="n">
        <v>4170.112341641641</v>
      </c>
      <c r="E90" s="17" t="n">
        <v>3980.56178065793</v>
      </c>
      <c r="F90" s="17" t="n">
        <v>3791.011219674219</v>
      </c>
      <c r="G90" s="17" t="n">
        <v>4170.112341641641</v>
      </c>
      <c r="H90" s="17" t="n">
        <v>4359.662902625352</v>
      </c>
      <c r="I90" s="17" t="n">
        <v>3980.56178065793</v>
      </c>
      <c r="J90" s="17" t="n">
        <v>3980.56178065793</v>
      </c>
      <c r="K90" s="17" t="n">
        <v>4170.112341641641</v>
      </c>
      <c r="L90" s="17" t="n">
        <v>3980.56178065793</v>
      </c>
      <c r="M90" s="17" t="n">
        <v>4170.112341641641</v>
      </c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16" t="n"/>
      <c r="AQ90" s="16" t="n"/>
      <c r="AR90" s="16" t="n"/>
      <c r="AS90" s="16" t="n"/>
    </row>
    <row r="91">
      <c r="A91" s="4" t="inlineStr">
        <is>
          <t>Thực tích Bản vẽ HT CĐ Ca 1 (Ngày)</t>
        </is>
      </c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>
        <v>18</v>
      </c>
      <c r="O91" s="1" t="n">
        <v>14</v>
      </c>
      <c r="P91" s="1" t="n">
        <v>16</v>
      </c>
      <c r="Q91" s="1" t="n">
        <v>22</v>
      </c>
      <c r="R91" s="1" t="n">
        <v>12</v>
      </c>
      <c r="S91" s="1" t="n">
        <v>11</v>
      </c>
      <c r="T91" s="1" t="n">
        <v>0</v>
      </c>
      <c r="U91" s="1" t="n">
        <v>15</v>
      </c>
      <c r="V91" s="1" t="n">
        <v>17</v>
      </c>
      <c r="W91" s="1" t="n">
        <v>19</v>
      </c>
      <c r="X91" s="1" t="n">
        <v>13</v>
      </c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6" t="n"/>
      <c r="AP91" s="16" t="n"/>
      <c r="AQ91" s="16" t="n"/>
      <c r="AR91" s="16" t="n"/>
      <c r="AS91" s="16" t="n"/>
    </row>
    <row r="92">
      <c r="A92" s="4" t="inlineStr">
        <is>
          <t>Thực tích Bản vẽ HT CĐ Ca 2 (Ngày)</t>
        </is>
      </c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>
        <v>15</v>
      </c>
      <c r="O92" s="1" t="n">
        <v>17</v>
      </c>
      <c r="P92" s="1" t="n">
        <v>21</v>
      </c>
      <c r="Q92" s="1" t="n">
        <v>18</v>
      </c>
      <c r="R92" s="1" t="n">
        <v>17</v>
      </c>
      <c r="S92" s="1" t="n">
        <v>12</v>
      </c>
      <c r="T92" s="1" t="n">
        <v>0</v>
      </c>
      <c r="U92" s="1" t="n">
        <v>17</v>
      </c>
      <c r="V92" s="1" t="n">
        <v>21</v>
      </c>
      <c r="W92" s="1" t="n">
        <v>26</v>
      </c>
      <c r="X92" s="1" t="n">
        <v>31</v>
      </c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6" t="n"/>
      <c r="AP92" s="16" t="n"/>
      <c r="AQ92" s="16" t="n"/>
      <c r="AR92" s="16" t="n"/>
      <c r="AS92" s="16" t="n"/>
    </row>
    <row r="93">
      <c r="A93" s="4" t="inlineStr">
        <is>
          <t>Thực tích số PCS HT CĐ Ca 1 (Ngày)</t>
        </is>
      </c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>
        <v>120</v>
      </c>
      <c r="O93" s="1" t="n">
        <v>179</v>
      </c>
      <c r="P93" s="1" t="n">
        <v>259</v>
      </c>
      <c r="Q93" s="1" t="n">
        <v>105</v>
      </c>
      <c r="R93" s="1" t="n">
        <v>35</v>
      </c>
      <c r="S93" s="1" t="n">
        <v>99</v>
      </c>
      <c r="T93" s="1" t="n">
        <v>0</v>
      </c>
      <c r="U93" s="1" t="n">
        <v>141</v>
      </c>
      <c r="V93" s="1" t="n">
        <v>101</v>
      </c>
      <c r="W93" s="1" t="n">
        <v>184</v>
      </c>
      <c r="X93" s="1" t="n">
        <v>77</v>
      </c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6" t="n"/>
      <c r="AP93" s="16" t="n"/>
      <c r="AQ93" s="16" t="n"/>
      <c r="AR93" s="16" t="n"/>
      <c r="AS93" s="16" t="n"/>
    </row>
    <row r="94">
      <c r="A94" s="4" t="inlineStr">
        <is>
          <t>Thực tích số PCS HT CĐ Ca 2 (Ngày)</t>
        </is>
      </c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>
        <v>213</v>
      </c>
      <c r="O94" s="1" t="n">
        <v>342</v>
      </c>
      <c r="P94" s="1" t="n">
        <v>174</v>
      </c>
      <c r="Q94" s="1" t="n">
        <v>115</v>
      </c>
      <c r="R94" s="1" t="n">
        <v>118</v>
      </c>
      <c r="S94" s="1" t="n">
        <v>119</v>
      </c>
      <c r="T94" s="1" t="n">
        <v>0</v>
      </c>
      <c r="U94" s="1" t="n">
        <v>304</v>
      </c>
      <c r="V94" s="1" t="n">
        <v>132</v>
      </c>
      <c r="W94" s="1" t="n">
        <v>176</v>
      </c>
      <c r="X94" s="1" t="n">
        <v>182</v>
      </c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6" t="n"/>
      <c r="AP94" s="16" t="n"/>
      <c r="AQ94" s="16" t="n"/>
      <c r="AR94" s="16" t="n"/>
      <c r="AS94" s="16" t="n"/>
    </row>
    <row r="95">
      <c r="A95" s="4" t="inlineStr">
        <is>
          <t>Thực tích Bản vẽ HT CĐ Ca 1  (Tháng)</t>
        </is>
      </c>
      <c r="B95" s="16" t="n"/>
      <c r="C95" s="1" t="n"/>
      <c r="D95" s="1" t="n"/>
      <c r="E95" s="1" t="n">
        <v>157</v>
      </c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6" t="n"/>
      <c r="AP95" s="16" t="n"/>
      <c r="AQ95" s="16" t="n"/>
      <c r="AR95" s="16" t="n"/>
      <c r="AS95" s="16" t="n"/>
    </row>
    <row r="96">
      <c r="A96" s="4" t="inlineStr">
        <is>
          <t>Thực tích Bản vẽ HT CĐ Ca 2  (Tháng)</t>
        </is>
      </c>
      <c r="B96" s="16" t="n"/>
      <c r="C96" s="1" t="n"/>
      <c r="D96" s="1" t="n"/>
      <c r="E96" s="1" t="n">
        <v>195</v>
      </c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6" t="n"/>
      <c r="AP96" s="16" t="n"/>
      <c r="AQ96" s="16" t="n"/>
      <c r="AR96" s="16" t="n"/>
      <c r="AS96" s="16" t="n"/>
    </row>
    <row r="97">
      <c r="A97" s="4" t="inlineStr">
        <is>
          <t>Thực tích số PCS HT CĐ Ca 1  (Tháng)</t>
        </is>
      </c>
      <c r="B97" s="16" t="n"/>
      <c r="C97" s="1" t="n"/>
      <c r="D97" s="1" t="n"/>
      <c r="E97" s="1" t="n">
        <v>1300</v>
      </c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6" t="n"/>
      <c r="AP97" s="16" t="n"/>
      <c r="AQ97" s="16" t="n"/>
      <c r="AR97" s="16" t="n"/>
      <c r="AS97" s="16" t="n"/>
    </row>
    <row r="98">
      <c r="A98" s="4" t="inlineStr">
        <is>
          <t>Thực tích số PCS HT CĐ Ca 2  (Tháng)</t>
        </is>
      </c>
      <c r="B98" s="16" t="n"/>
      <c r="C98" s="1" t="n"/>
      <c r="D98" s="1" t="n"/>
      <c r="E98" s="1" t="n">
        <v>1875</v>
      </c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6" t="n"/>
      <c r="AP98" s="16" t="n"/>
      <c r="AQ98" s="16" t="n"/>
      <c r="AR98" s="16" t="n"/>
      <c r="AS98" s="16" t="n"/>
    </row>
    <row r="99">
      <c r="A99" s="9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</row>
    <row r="100">
      <c r="A100" s="4" t="inlineStr">
        <is>
          <t>Công đoạn:</t>
        </is>
      </c>
      <c r="B100" s="1" t="inlineStr">
        <is>
          <t>DA</t>
        </is>
      </c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</row>
    <row r="101" ht="14.4" customHeight="1">
      <c r="A101" s="4" t="inlineStr">
        <is>
          <t>Ngày làm việc</t>
        </is>
      </c>
      <c r="B101" s="1" t="inlineStr">
        <is>
          <t>1月</t>
        </is>
      </c>
      <c r="C101" s="11" t="inlineStr">
        <is>
          <t>2月</t>
        </is>
      </c>
      <c r="D101" s="1" t="inlineStr">
        <is>
          <t>3月</t>
        </is>
      </c>
      <c r="E101" s="1" t="inlineStr">
        <is>
          <t>4月</t>
        </is>
      </c>
      <c r="F101" s="11" t="inlineStr">
        <is>
          <t>5月</t>
        </is>
      </c>
      <c r="G101" s="1" t="inlineStr">
        <is>
          <t>6月</t>
        </is>
      </c>
      <c r="H101" s="1" t="inlineStr">
        <is>
          <t>7月</t>
        </is>
      </c>
      <c r="I101" s="11" t="inlineStr">
        <is>
          <t>8月</t>
        </is>
      </c>
      <c r="J101" s="1" t="inlineStr">
        <is>
          <t>9月</t>
        </is>
      </c>
      <c r="K101" s="1" t="inlineStr">
        <is>
          <t>10月</t>
        </is>
      </c>
      <c r="L101" s="11" t="inlineStr">
        <is>
          <t>11月</t>
        </is>
      </c>
      <c r="M101" s="1" t="inlineStr">
        <is>
          <t>12月</t>
        </is>
      </c>
      <c r="N101" s="2" t="n">
        <v>46111</v>
      </c>
      <c r="O101" s="2" t="n">
        <v>46112</v>
      </c>
      <c r="P101" s="2" t="n">
        <v>46113</v>
      </c>
      <c r="Q101" s="2" t="n">
        <v>46114</v>
      </c>
      <c r="R101" s="2" t="n">
        <v>46115</v>
      </c>
      <c r="S101" s="2" t="n">
        <v>46116</v>
      </c>
      <c r="T101" s="2" t="n">
        <v>46117</v>
      </c>
      <c r="U101" s="2" t="n">
        <v>46118</v>
      </c>
      <c r="V101" s="2" t="n">
        <v>46119</v>
      </c>
      <c r="W101" s="2" t="n">
        <v>46120</v>
      </c>
      <c r="X101" s="2" t="n">
        <v>46121</v>
      </c>
      <c r="Y101" s="2" t="n">
        <v>46122</v>
      </c>
      <c r="Z101" s="2" t="n">
        <v>46123</v>
      </c>
      <c r="AA101" s="2" t="n">
        <v>46124</v>
      </c>
      <c r="AB101" s="2" t="n">
        <v>46125</v>
      </c>
      <c r="AC101" s="2" t="n">
        <v>46126</v>
      </c>
      <c r="AD101" s="2" t="n">
        <v>46127</v>
      </c>
      <c r="AE101" s="2" t="n">
        <v>46128</v>
      </c>
      <c r="AF101" s="2" t="n">
        <v>46129</v>
      </c>
      <c r="AG101" s="2" t="n">
        <v>46130</v>
      </c>
      <c r="AH101" s="2" t="n">
        <v>46131</v>
      </c>
      <c r="AI101" s="2" t="n">
        <v>46132</v>
      </c>
      <c r="AJ101" s="2" t="n">
        <v>46133</v>
      </c>
      <c r="AK101" s="2" t="n">
        <v>46134</v>
      </c>
      <c r="AL101" s="2" t="n">
        <v>46135</v>
      </c>
      <c r="AM101" s="2" t="n">
        <v>46136</v>
      </c>
      <c r="AN101" s="2" t="n">
        <v>46137</v>
      </c>
      <c r="AO101" s="2" t="n">
        <v>46138</v>
      </c>
      <c r="AP101" s="2" t="n">
        <v>46139</v>
      </c>
      <c r="AQ101" s="2" t="n"/>
      <c r="AR101" s="2" t="n"/>
      <c r="AS101" s="2" t="n"/>
      <c r="AT101" s="21" t="n"/>
    </row>
    <row r="102" ht="15" customHeight="1">
      <c r="A102" s="7" t="inlineStr">
        <is>
          <t>Làm việc? 1=Yes, 0=No</t>
        </is>
      </c>
      <c r="B102" s="3" t="n">
        <v>1</v>
      </c>
      <c r="C102" s="3" t="n">
        <v>1</v>
      </c>
      <c r="D102" s="3" t="n">
        <v>1</v>
      </c>
      <c r="E102" s="3" t="n">
        <v>1</v>
      </c>
      <c r="F102" s="3" t="n">
        <v>1</v>
      </c>
      <c r="G102" s="3" t="n">
        <v>1</v>
      </c>
      <c r="H102" s="3" t="n">
        <v>1</v>
      </c>
      <c r="I102" s="3" t="n">
        <v>1</v>
      </c>
      <c r="J102" s="3" t="n">
        <v>1</v>
      </c>
      <c r="K102" s="3" t="n">
        <v>1</v>
      </c>
      <c r="L102" s="3" t="n">
        <v>1</v>
      </c>
      <c r="M102" s="3" t="n">
        <v>1</v>
      </c>
      <c r="N102" s="1" t="n">
        <v>1</v>
      </c>
      <c r="O102" s="1" t="n">
        <v>1</v>
      </c>
      <c r="P102" s="1" t="n">
        <v>1</v>
      </c>
      <c r="Q102" s="1" t="n">
        <v>1</v>
      </c>
      <c r="R102" s="1" t="n">
        <v>1</v>
      </c>
      <c r="S102" s="1" t="n">
        <v>0</v>
      </c>
      <c r="T102" s="1" t="n">
        <v>0</v>
      </c>
      <c r="U102" s="1" t="n">
        <v>1</v>
      </c>
      <c r="V102" s="1" t="n">
        <v>1</v>
      </c>
      <c r="W102" s="1" t="n">
        <v>1</v>
      </c>
      <c r="X102" s="1" t="n">
        <v>1</v>
      </c>
      <c r="Y102" s="1" t="n">
        <v>1</v>
      </c>
      <c r="Z102" s="1" t="n">
        <v>0</v>
      </c>
      <c r="AA102" s="1" t="n">
        <v>0</v>
      </c>
      <c r="AB102" s="1" t="n">
        <v>1</v>
      </c>
      <c r="AC102" s="1" t="n">
        <v>1</v>
      </c>
      <c r="AD102" s="1" t="n">
        <v>1</v>
      </c>
      <c r="AE102" s="1" t="n">
        <v>1</v>
      </c>
      <c r="AF102" s="1" t="n">
        <v>1</v>
      </c>
      <c r="AG102" s="1" t="n">
        <v>0</v>
      </c>
      <c r="AH102" s="1" t="n">
        <v>0</v>
      </c>
      <c r="AI102" s="1" t="n">
        <v>1</v>
      </c>
      <c r="AJ102" s="1" t="n">
        <v>1</v>
      </c>
      <c r="AK102" s="1" t="n">
        <v>1</v>
      </c>
      <c r="AL102" s="1" t="n">
        <v>1</v>
      </c>
      <c r="AM102" s="1" t="n">
        <v>1</v>
      </c>
      <c r="AN102" s="1" t="n">
        <v>0</v>
      </c>
      <c r="AO102" s="1" t="n">
        <v>0</v>
      </c>
      <c r="AP102" s="16" t="n">
        <v>1</v>
      </c>
      <c r="AQ102" s="16" t="n"/>
      <c r="AR102" s="16" t="n"/>
      <c r="AS102" s="16" t="n"/>
    </row>
    <row r="103">
      <c r="A103" s="4" t="inlineStr">
        <is>
          <t>Mục tiêu Bản vẽ  HT CĐ (Ngày)</t>
        </is>
      </c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5" t="n">
        <v>15.11</v>
      </c>
      <c r="O103" s="5" t="n">
        <v>15.11</v>
      </c>
      <c r="P103" s="5" t="n">
        <v>15.11</v>
      </c>
      <c r="Q103" s="5" t="n">
        <v>15.11</v>
      </c>
      <c r="R103" s="5" t="n">
        <v>15.11</v>
      </c>
      <c r="S103" s="5" t="n"/>
      <c r="T103" s="5" t="n"/>
      <c r="U103" s="5" t="n">
        <v>15.11</v>
      </c>
      <c r="V103" s="5" t="n">
        <v>15.11</v>
      </c>
      <c r="W103" s="5" t="n">
        <v>15.11</v>
      </c>
      <c r="X103" s="5" t="n">
        <v>15.11</v>
      </c>
      <c r="Y103" s="5" t="n">
        <v>15.11</v>
      </c>
      <c r="Z103" s="5" t="n"/>
      <c r="AA103" s="5" t="n"/>
      <c r="AB103" s="5" t="n">
        <v>15.11</v>
      </c>
      <c r="AC103" s="5" t="n">
        <v>15.11</v>
      </c>
      <c r="AD103" s="5" t="n">
        <v>15.11</v>
      </c>
      <c r="AE103" s="5" t="n">
        <v>15.11</v>
      </c>
      <c r="AF103" s="5" t="n">
        <v>15.11</v>
      </c>
      <c r="AG103" s="5" t="n"/>
      <c r="AH103" s="5" t="n"/>
      <c r="AI103" s="5" t="n">
        <v>15.11</v>
      </c>
      <c r="AJ103" s="5" t="n">
        <v>15.11</v>
      </c>
      <c r="AK103" s="5" t="n">
        <v>15.11</v>
      </c>
      <c r="AL103" s="5" t="n">
        <v>15.11</v>
      </c>
      <c r="AM103" s="5" t="n">
        <v>15.11</v>
      </c>
      <c r="AN103" s="5" t="n"/>
      <c r="AO103" s="5" t="n"/>
      <c r="AP103" s="16" t="n">
        <v>15.11</v>
      </c>
      <c r="AQ103" s="16" t="n"/>
      <c r="AR103" s="16" t="n"/>
      <c r="AS103" s="16" t="n"/>
    </row>
    <row r="104">
      <c r="A104" s="4" t="inlineStr">
        <is>
          <t>Mục tiêu số PCS  HT CĐ (Ngày)</t>
        </is>
      </c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5" t="n">
        <v>107.05</v>
      </c>
      <c r="O104" s="5" t="n">
        <v>107.05</v>
      </c>
      <c r="P104" s="5" t="n">
        <v>107.05</v>
      </c>
      <c r="Q104" s="5" t="n">
        <v>107.05</v>
      </c>
      <c r="R104" s="5" t="n">
        <v>107.05</v>
      </c>
      <c r="S104" s="5" t="n"/>
      <c r="T104" s="5" t="n"/>
      <c r="U104" s="5" t="n">
        <v>107.05</v>
      </c>
      <c r="V104" s="5" t="n">
        <v>107.05</v>
      </c>
      <c r="W104" s="5" t="n">
        <v>107.05</v>
      </c>
      <c r="X104" s="5" t="n">
        <v>107.05</v>
      </c>
      <c r="Y104" s="5" t="n">
        <v>107.05</v>
      </c>
      <c r="Z104" s="5" t="n"/>
      <c r="AA104" s="5" t="n"/>
      <c r="AB104" s="5" t="n">
        <v>107.05</v>
      </c>
      <c r="AC104" s="5" t="n">
        <v>107.05</v>
      </c>
      <c r="AD104" s="5" t="n">
        <v>107.05</v>
      </c>
      <c r="AE104" s="5" t="n">
        <v>107.05</v>
      </c>
      <c r="AF104" s="5" t="n">
        <v>107.05</v>
      </c>
      <c r="AG104" s="5" t="n"/>
      <c r="AH104" s="5" t="n"/>
      <c r="AI104" s="5" t="n">
        <v>107.05</v>
      </c>
      <c r="AJ104" s="5" t="n">
        <v>107.05</v>
      </c>
      <c r="AK104" s="5" t="n">
        <v>107.05</v>
      </c>
      <c r="AL104" s="5" t="n">
        <v>107.05</v>
      </c>
      <c r="AM104" s="5" t="n">
        <v>107.05</v>
      </c>
      <c r="AN104" s="5" t="n"/>
      <c r="AO104" s="5" t="n"/>
      <c r="AP104" s="16" t="n">
        <v>107.05</v>
      </c>
      <c r="AQ104" s="16" t="n"/>
      <c r="AR104" s="16" t="n"/>
      <c r="AS104" s="16" t="n"/>
    </row>
    <row r="105">
      <c r="A105" s="4" t="inlineStr">
        <is>
          <t>Mục tiêu Bản vẽ HT CĐ Ca 1 (Còn lại/Ngày)</t>
        </is>
      </c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5" t="n">
        <v>15.11</v>
      </c>
      <c r="O105" s="5" t="n">
        <v>15.57</v>
      </c>
      <c r="P105" s="5" t="n">
        <v>16.23</v>
      </c>
      <c r="Q105" s="5" t="n">
        <v>17.08</v>
      </c>
      <c r="R105" s="5" t="n">
        <v>17.49</v>
      </c>
      <c r="S105" s="5" t="n"/>
      <c r="T105" s="5" t="n"/>
      <c r="U105" s="5" t="n">
        <v>18.46</v>
      </c>
      <c r="V105" s="5" t="n">
        <v>18.76</v>
      </c>
      <c r="W105" s="5" t="n">
        <v>19.81</v>
      </c>
      <c r="X105" s="5" t="n">
        <v>20.8</v>
      </c>
      <c r="Y105" s="5" t="n">
        <v>22.12</v>
      </c>
      <c r="Z105" s="5" t="n"/>
      <c r="AA105" s="5" t="n"/>
      <c r="AB105" s="5" t="n">
        <v>22.12</v>
      </c>
      <c r="AC105" s="5" t="n">
        <v>22.12</v>
      </c>
      <c r="AD105" s="5" t="n">
        <v>22.12</v>
      </c>
      <c r="AE105" s="5" t="n">
        <v>22.12</v>
      </c>
      <c r="AF105" s="5" t="n">
        <v>22.12</v>
      </c>
      <c r="AG105" s="5" t="n"/>
      <c r="AH105" s="5" t="n"/>
      <c r="AI105" s="5" t="n">
        <v>22.12</v>
      </c>
      <c r="AJ105" s="5" t="n">
        <v>22.12</v>
      </c>
      <c r="AK105" s="5" t="n">
        <v>22.12</v>
      </c>
      <c r="AL105" s="5" t="n">
        <v>22.12</v>
      </c>
      <c r="AM105" s="5" t="n">
        <v>22.12</v>
      </c>
      <c r="AN105" s="5" t="n"/>
      <c r="AO105" s="5" t="n"/>
      <c r="AP105" s="16" t="n">
        <v>22.12</v>
      </c>
      <c r="AQ105" s="16" t="n"/>
      <c r="AR105" s="16" t="n"/>
      <c r="AS105" s="16" t="n"/>
    </row>
    <row r="106">
      <c r="A106" s="4" t="inlineStr">
        <is>
          <t>Mục tiêu Bản vẽ HT CĐ Ca 2(Còn lại/Ngày)</t>
        </is>
      </c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5" t="n">
        <v>15.11</v>
      </c>
      <c r="O106" s="5" t="n">
        <v>15.22</v>
      </c>
      <c r="P106" s="5" t="n">
        <v>15.86</v>
      </c>
      <c r="Q106" s="5" t="n">
        <v>16.19</v>
      </c>
      <c r="R106" s="5" t="n">
        <v>16.38</v>
      </c>
      <c r="S106" s="5" t="n"/>
      <c r="T106" s="5" t="n"/>
      <c r="U106" s="5" t="n">
        <v>16.21</v>
      </c>
      <c r="V106" s="5" t="n">
        <v>17.09</v>
      </c>
      <c r="W106" s="5" t="n">
        <v>17.67</v>
      </c>
      <c r="X106" s="5" t="n">
        <v>18.19</v>
      </c>
      <c r="Y106" s="5" t="n">
        <v>18.7</v>
      </c>
      <c r="Z106" s="5" t="n"/>
      <c r="AA106" s="5" t="n"/>
      <c r="AB106" s="5" t="n">
        <v>18.7</v>
      </c>
      <c r="AC106" s="5" t="n">
        <v>18.7</v>
      </c>
      <c r="AD106" s="5" t="n">
        <v>18.7</v>
      </c>
      <c r="AE106" s="5" t="n">
        <v>18.7</v>
      </c>
      <c r="AF106" s="5" t="n">
        <v>18.7</v>
      </c>
      <c r="AG106" s="5" t="n"/>
      <c r="AH106" s="5" t="n"/>
      <c r="AI106" s="5" t="n">
        <v>18.7</v>
      </c>
      <c r="AJ106" s="5" t="n">
        <v>18.7</v>
      </c>
      <c r="AK106" s="5" t="n">
        <v>18.7</v>
      </c>
      <c r="AL106" s="5" t="n">
        <v>18.7</v>
      </c>
      <c r="AM106" s="5" t="n">
        <v>18.7</v>
      </c>
      <c r="AN106" s="5" t="n"/>
      <c r="AO106" s="5" t="n"/>
      <c r="AP106" s="16" t="n">
        <v>18.7</v>
      </c>
      <c r="AQ106" s="16" t="n"/>
      <c r="AR106" s="16" t="n"/>
      <c r="AS106" s="16" t="n"/>
    </row>
    <row r="107">
      <c r="A107" s="4" t="inlineStr">
        <is>
          <t>Mục tiêu số PCS HT CĐ Ca 1(Còn lại/Ngày)</t>
        </is>
      </c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5" t="n">
        <v>107.05</v>
      </c>
      <c r="O107" s="5" t="n">
        <v>111.01</v>
      </c>
      <c r="P107" s="5" t="n">
        <v>116.32</v>
      </c>
      <c r="Q107" s="5" t="n">
        <v>122.51</v>
      </c>
      <c r="R107" s="5" t="n">
        <v>127.95</v>
      </c>
      <c r="S107" s="5" t="n"/>
      <c r="T107" s="5" t="n"/>
      <c r="U107" s="5" t="n">
        <v>132.76</v>
      </c>
      <c r="V107" s="5" t="n">
        <v>137.41</v>
      </c>
      <c r="W107" s="5" t="n">
        <v>144.08</v>
      </c>
      <c r="X107" s="5" t="n">
        <v>151.93</v>
      </c>
      <c r="Y107" s="5" t="n">
        <v>163.34</v>
      </c>
      <c r="Z107" s="5" t="n"/>
      <c r="AA107" s="5" t="n"/>
      <c r="AB107" s="5" t="n">
        <v>163.34</v>
      </c>
      <c r="AC107" s="5" t="n">
        <v>163.34</v>
      </c>
      <c r="AD107" s="5" t="n">
        <v>163.34</v>
      </c>
      <c r="AE107" s="5" t="n">
        <v>163.34</v>
      </c>
      <c r="AF107" s="5" t="n">
        <v>163.34</v>
      </c>
      <c r="AG107" s="5" t="n"/>
      <c r="AH107" s="5" t="n"/>
      <c r="AI107" s="5" t="n">
        <v>163.34</v>
      </c>
      <c r="AJ107" s="5" t="n">
        <v>163.34</v>
      </c>
      <c r="AK107" s="5" t="n">
        <v>163.34</v>
      </c>
      <c r="AL107" s="5" t="n">
        <v>163.34</v>
      </c>
      <c r="AM107" s="5" t="n">
        <v>163.34</v>
      </c>
      <c r="AN107" s="5" t="n"/>
      <c r="AO107" s="5" t="n"/>
      <c r="AP107" s="16" t="n">
        <v>163.34</v>
      </c>
      <c r="AQ107" s="16" t="n"/>
      <c r="AR107" s="16" t="n"/>
      <c r="AS107" s="16" t="n"/>
    </row>
    <row r="108">
      <c r="A108" s="4" t="inlineStr">
        <is>
          <t>Mục tiêu số PCS HT CĐ Ca 2(Còn lại/Ngày)</t>
        </is>
      </c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5" t="n">
        <v>107.05</v>
      </c>
      <c r="O108" s="5" t="n">
        <v>109.76</v>
      </c>
      <c r="P108" s="5" t="n">
        <v>115.22</v>
      </c>
      <c r="Q108" s="5" t="n">
        <v>115.51</v>
      </c>
      <c r="R108" s="5" t="n">
        <v>116.07</v>
      </c>
      <c r="S108" s="5" t="n"/>
      <c r="T108" s="5" t="n"/>
      <c r="U108" s="5" t="n">
        <v>115.26</v>
      </c>
      <c r="V108" s="5" t="n">
        <v>121.61</v>
      </c>
      <c r="W108" s="5" t="n">
        <v>127.37</v>
      </c>
      <c r="X108" s="5" t="n">
        <v>129.32</v>
      </c>
      <c r="Y108" s="5" t="n">
        <v>137.68</v>
      </c>
      <c r="Z108" s="5" t="n"/>
      <c r="AA108" s="5" t="n"/>
      <c r="AB108" s="5" t="n">
        <v>137.68</v>
      </c>
      <c r="AC108" s="5" t="n">
        <v>137.68</v>
      </c>
      <c r="AD108" s="5" t="n">
        <v>137.68</v>
      </c>
      <c r="AE108" s="5" t="n">
        <v>137.68</v>
      </c>
      <c r="AF108" s="5" t="n">
        <v>137.68</v>
      </c>
      <c r="AG108" s="5" t="n"/>
      <c r="AH108" s="5" t="n"/>
      <c r="AI108" s="5" t="n">
        <v>137.68</v>
      </c>
      <c r="AJ108" s="5" t="n">
        <v>137.68</v>
      </c>
      <c r="AK108" s="5" t="n">
        <v>137.68</v>
      </c>
      <c r="AL108" s="5" t="n">
        <v>137.68</v>
      </c>
      <c r="AM108" s="5" t="n">
        <v>137.68</v>
      </c>
      <c r="AN108" s="5" t="n"/>
      <c r="AO108" s="5" t="n"/>
      <c r="AP108" s="16" t="n">
        <v>137.68</v>
      </c>
      <c r="AQ108" s="16" t="n"/>
      <c r="AR108" s="16" t="n"/>
      <c r="AS108" s="16" t="n"/>
    </row>
    <row r="109">
      <c r="A109" s="4" t="inlineStr">
        <is>
          <t>Mục tiêu Bản vẽ  HT CĐ  (Tháng)</t>
        </is>
      </c>
      <c r="B109" s="17" t="n">
        <v>332.5215400183308</v>
      </c>
      <c r="C109" s="17" t="n">
        <v>226.7192318306801</v>
      </c>
      <c r="D109" s="17" t="n">
        <v>332.5215400183308</v>
      </c>
      <c r="E109" s="17" t="n">
        <v>317.4069245629521</v>
      </c>
      <c r="F109" s="17" t="n">
        <v>302.2923091075734</v>
      </c>
      <c r="G109" s="17" t="n">
        <v>332.5215400183308</v>
      </c>
      <c r="H109" s="17" t="n">
        <v>347.6361554737094</v>
      </c>
      <c r="I109" s="17" t="n">
        <v>317.4069245629521</v>
      </c>
      <c r="J109" s="17" t="n">
        <v>317.4069245629521</v>
      </c>
      <c r="K109" s="17" t="n">
        <v>332.5215400183308</v>
      </c>
      <c r="L109" s="17" t="n">
        <v>317.4069245629521</v>
      </c>
      <c r="M109" s="17" t="n">
        <v>332.5215400183308</v>
      </c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16" t="n"/>
      <c r="AQ109" s="16" t="n"/>
      <c r="AR109" s="16" t="n"/>
      <c r="AS109" s="16" t="n"/>
    </row>
    <row r="110">
      <c r="A110" s="4" t="inlineStr">
        <is>
          <t>Mục tiêu số PCS  HT CĐ  (Tháng)</t>
        </is>
      </c>
      <c r="B110" s="17" t="n">
        <v>2355.181580455734</v>
      </c>
      <c r="C110" s="17" t="n">
        <v>1605.805623038</v>
      </c>
      <c r="D110" s="17" t="n">
        <v>2355.181580455734</v>
      </c>
      <c r="E110" s="17" t="n">
        <v>2248.127872253201</v>
      </c>
      <c r="F110" s="17" t="n">
        <v>2141.074164050668</v>
      </c>
      <c r="G110" s="17" t="n">
        <v>2355.181580455734</v>
      </c>
      <c r="H110" s="17" t="n">
        <v>2462.235288658268</v>
      </c>
      <c r="I110" s="17" t="n">
        <v>2248.127872253201</v>
      </c>
      <c r="J110" s="17" t="n">
        <v>2248.127872253201</v>
      </c>
      <c r="K110" s="17" t="n">
        <v>2355.181580455734</v>
      </c>
      <c r="L110" s="17" t="n">
        <v>2248.127872253201</v>
      </c>
      <c r="M110" s="17" t="n">
        <v>2355.181580455734</v>
      </c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16" t="n"/>
      <c r="AQ110" s="16" t="n"/>
      <c r="AR110" s="16" t="n"/>
      <c r="AS110" s="16" t="n"/>
    </row>
    <row r="111">
      <c r="A111" s="4" t="inlineStr">
        <is>
          <t>Thực tích Bản vẽ HT CĐ Ca 1 (Ngày)</t>
        </is>
      </c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>
        <v>6</v>
      </c>
      <c r="O111" s="1" t="n">
        <v>3</v>
      </c>
      <c r="P111" s="1" t="n">
        <v>1</v>
      </c>
      <c r="Q111" s="1" t="n">
        <v>10</v>
      </c>
      <c r="R111" s="1" t="n">
        <v>1</v>
      </c>
      <c r="S111" s="1" t="n">
        <v>1</v>
      </c>
      <c r="T111" s="1" t="n">
        <v>0</v>
      </c>
      <c r="U111" s="1" t="n">
        <v>14</v>
      </c>
      <c r="V111" s="1" t="n">
        <v>4</v>
      </c>
      <c r="W111" s="1" t="n">
        <v>7</v>
      </c>
      <c r="X111" s="1" t="n">
        <v>5</v>
      </c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6" t="n"/>
      <c r="AP111" s="16" t="n"/>
      <c r="AQ111" s="16" t="n"/>
      <c r="AR111" s="16" t="n"/>
      <c r="AS111" s="16" t="n"/>
    </row>
    <row r="112">
      <c r="A112" s="4" t="inlineStr">
        <is>
          <t>Thực tích Bản vẽ HT CĐ Ca 2 (Ngày)</t>
        </is>
      </c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>
        <v>13</v>
      </c>
      <c r="O112" s="1" t="n">
        <v>3</v>
      </c>
      <c r="P112" s="1" t="n">
        <v>10</v>
      </c>
      <c r="Q112" s="1" t="n">
        <v>13</v>
      </c>
      <c r="R112" s="1" t="n">
        <v>14</v>
      </c>
      <c r="S112" s="1" t="n">
        <v>5</v>
      </c>
      <c r="T112" s="1" t="n">
        <v>0</v>
      </c>
      <c r="U112" s="1" t="n">
        <v>3</v>
      </c>
      <c r="V112" s="1" t="n">
        <v>9</v>
      </c>
      <c r="W112" s="1" t="n">
        <v>11</v>
      </c>
      <c r="X112" s="1" t="n">
        <v>12</v>
      </c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6" t="n"/>
      <c r="AP112" s="16" t="n"/>
      <c r="AQ112" s="16" t="n"/>
      <c r="AR112" s="16" t="n"/>
      <c r="AS112" s="16" t="n"/>
    </row>
    <row r="113">
      <c r="A113" s="4" t="inlineStr">
        <is>
          <t>Thực tích số PCS HT CĐ Ca 1 (Ngày)</t>
        </is>
      </c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>
        <v>28</v>
      </c>
      <c r="O113" s="1" t="n">
        <v>10</v>
      </c>
      <c r="P113" s="1" t="n">
        <v>5</v>
      </c>
      <c r="Q113" s="1" t="n">
        <v>30</v>
      </c>
      <c r="R113" s="1" t="n">
        <v>50</v>
      </c>
      <c r="S113" s="1" t="n">
        <v>1</v>
      </c>
      <c r="T113" s="1" t="n">
        <v>0</v>
      </c>
      <c r="U113" s="1" t="n">
        <v>63</v>
      </c>
      <c r="V113" s="1" t="n">
        <v>44</v>
      </c>
      <c r="W113" s="1" t="n">
        <v>42</v>
      </c>
      <c r="X113" s="1" t="n">
        <v>15</v>
      </c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6" t="n"/>
      <c r="AP113" s="16" t="n"/>
      <c r="AQ113" s="16" t="n"/>
      <c r="AR113" s="16" t="n"/>
      <c r="AS113" s="16" t="n"/>
    </row>
    <row r="114">
      <c r="A114" s="4" t="inlineStr">
        <is>
          <t>Thực tích số PCS HT CĐ Ca 2 (Ngày)</t>
        </is>
      </c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>
        <v>53</v>
      </c>
      <c r="O114" s="1" t="n">
        <v>6</v>
      </c>
      <c r="P114" s="1" t="n">
        <v>110</v>
      </c>
      <c r="Q114" s="1" t="n">
        <v>106</v>
      </c>
      <c r="R114" s="1" t="n">
        <v>77</v>
      </c>
      <c r="S114" s="1" t="n">
        <v>52</v>
      </c>
      <c r="T114" s="1" t="n">
        <v>0</v>
      </c>
      <c r="U114" s="1" t="n">
        <v>20</v>
      </c>
      <c r="V114" s="1" t="n">
        <v>41</v>
      </c>
      <c r="W114" s="1" t="n">
        <v>102</v>
      </c>
      <c r="X114" s="1" t="n">
        <v>29</v>
      </c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6" t="n"/>
      <c r="AP114" s="16" t="n"/>
      <c r="AQ114" s="16" t="n"/>
      <c r="AR114" s="16" t="n"/>
      <c r="AS114" s="16" t="n"/>
    </row>
    <row r="115">
      <c r="A115" s="4" t="inlineStr">
        <is>
          <t>Thực tích Bản vẽ HT CĐ Ca 1  (Tháng)</t>
        </is>
      </c>
      <c r="B115" s="1" t="n"/>
      <c r="C115" s="1" t="n"/>
      <c r="D115" s="1" t="n"/>
      <c r="E115" s="1" t="n">
        <v>52</v>
      </c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6" t="n"/>
      <c r="AP115" s="16" t="n"/>
      <c r="AQ115" s="16" t="n"/>
      <c r="AR115" s="16" t="n"/>
      <c r="AS115" s="16" t="n"/>
    </row>
    <row r="116">
      <c r="A116" s="4" t="inlineStr">
        <is>
          <t>Thực tích Bản vẽ HT CĐ Ca 2  (Tháng)</t>
        </is>
      </c>
      <c r="B116" s="1" t="n"/>
      <c r="C116" s="1" t="n"/>
      <c r="D116" s="1" t="n"/>
      <c r="E116" s="1" t="n">
        <v>93</v>
      </c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6" t="n"/>
      <c r="AP116" s="16" t="n"/>
      <c r="AQ116" s="16" t="n"/>
      <c r="AR116" s="16" t="n"/>
      <c r="AS116" s="16" t="n"/>
    </row>
    <row r="117">
      <c r="A117" s="4" t="inlineStr">
        <is>
          <t>Thực tích số PCS HT CĐ Ca 1  (Tháng)</t>
        </is>
      </c>
      <c r="B117" s="1" t="n"/>
      <c r="C117" s="1" t="n"/>
      <c r="D117" s="1" t="n"/>
      <c r="E117" s="1" t="n">
        <v>288</v>
      </c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6" t="n"/>
      <c r="AP117" s="16" t="n"/>
      <c r="AQ117" s="16" t="n"/>
      <c r="AR117" s="16" t="n"/>
      <c r="AS117" s="16" t="n"/>
    </row>
    <row r="118">
      <c r="A118" s="4" t="inlineStr">
        <is>
          <t>Thực tích số PCS HT CĐ Ca 2  (Tháng)</t>
        </is>
      </c>
      <c r="B118" s="1" t="n"/>
      <c r="C118" s="1" t="n"/>
      <c r="D118" s="1" t="n"/>
      <c r="E118" s="1" t="n">
        <v>596</v>
      </c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6" t="n"/>
      <c r="AP118" s="16" t="n"/>
      <c r="AQ118" s="16" t="n"/>
      <c r="AR118" s="16" t="n"/>
      <c r="AS118" s="16" t="n"/>
    </row>
    <row r="119">
      <c r="A119" s="9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</row>
    <row r="120">
      <c r="A120" s="4" t="inlineStr">
        <is>
          <t>Công đoạn:</t>
        </is>
      </c>
      <c r="B120" s="1" t="inlineStr">
        <is>
          <t>GS</t>
        </is>
      </c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  <c r="AG120" s="10" t="n"/>
      <c r="AH120" s="10" t="n"/>
      <c r="AI120" s="10" t="n"/>
      <c r="AJ120" s="10" t="n"/>
      <c r="AK120" s="10" t="n"/>
      <c r="AL120" s="10" t="n"/>
    </row>
    <row r="121" ht="14.4" customHeight="1">
      <c r="A121" s="4" t="inlineStr">
        <is>
          <t>Ngày làm việc</t>
        </is>
      </c>
      <c r="B121" s="1" t="inlineStr">
        <is>
          <t>1月</t>
        </is>
      </c>
      <c r="C121" s="11" t="inlineStr">
        <is>
          <t>2月</t>
        </is>
      </c>
      <c r="D121" s="1" t="inlineStr">
        <is>
          <t>3月</t>
        </is>
      </c>
      <c r="E121" s="1" t="inlineStr">
        <is>
          <t>4月</t>
        </is>
      </c>
      <c r="F121" s="11" t="inlineStr">
        <is>
          <t>5月</t>
        </is>
      </c>
      <c r="G121" s="1" t="inlineStr">
        <is>
          <t>6月</t>
        </is>
      </c>
      <c r="H121" s="1" t="inlineStr">
        <is>
          <t>7月</t>
        </is>
      </c>
      <c r="I121" s="11" t="inlineStr">
        <is>
          <t>8月</t>
        </is>
      </c>
      <c r="J121" s="1" t="inlineStr">
        <is>
          <t>9月</t>
        </is>
      </c>
      <c r="K121" s="1" t="inlineStr">
        <is>
          <t>10月</t>
        </is>
      </c>
      <c r="L121" s="11" t="inlineStr">
        <is>
          <t>11月</t>
        </is>
      </c>
      <c r="M121" s="1" t="inlineStr">
        <is>
          <t>12月</t>
        </is>
      </c>
      <c r="N121" s="2" t="n">
        <v>46111</v>
      </c>
      <c r="O121" s="2" t="n">
        <v>46112</v>
      </c>
      <c r="P121" s="2" t="n">
        <v>46113</v>
      </c>
      <c r="Q121" s="2" t="n">
        <v>46114</v>
      </c>
      <c r="R121" s="2" t="n">
        <v>46115</v>
      </c>
      <c r="S121" s="2" t="n">
        <v>46116</v>
      </c>
      <c r="T121" s="2" t="n">
        <v>46117</v>
      </c>
      <c r="U121" s="2" t="n">
        <v>46118</v>
      </c>
      <c r="V121" s="2" t="n">
        <v>46119</v>
      </c>
      <c r="W121" s="2" t="n">
        <v>46120</v>
      </c>
      <c r="X121" s="2" t="n">
        <v>46121</v>
      </c>
      <c r="Y121" s="2" t="n">
        <v>46122</v>
      </c>
      <c r="Z121" s="2" t="n">
        <v>46123</v>
      </c>
      <c r="AA121" s="2" t="n">
        <v>46124</v>
      </c>
      <c r="AB121" s="2" t="n">
        <v>46125</v>
      </c>
      <c r="AC121" s="2" t="n">
        <v>46126</v>
      </c>
      <c r="AD121" s="2" t="n">
        <v>46127</v>
      </c>
      <c r="AE121" s="2" t="n">
        <v>46128</v>
      </c>
      <c r="AF121" s="2" t="n">
        <v>46129</v>
      </c>
      <c r="AG121" s="2" t="n">
        <v>46130</v>
      </c>
      <c r="AH121" s="2" t="n">
        <v>46131</v>
      </c>
      <c r="AI121" s="2" t="n">
        <v>46132</v>
      </c>
      <c r="AJ121" s="2" t="n">
        <v>46133</v>
      </c>
      <c r="AK121" s="2" t="n">
        <v>46134</v>
      </c>
      <c r="AL121" s="2" t="n">
        <v>46135</v>
      </c>
      <c r="AM121" s="2" t="n">
        <v>46136</v>
      </c>
      <c r="AN121" s="2" t="n">
        <v>46137</v>
      </c>
      <c r="AO121" s="2" t="n">
        <v>46138</v>
      </c>
      <c r="AP121" s="2" t="n">
        <v>46139</v>
      </c>
      <c r="AQ121" s="2" t="n"/>
      <c r="AR121" s="2" t="n"/>
      <c r="AS121" s="2" t="n"/>
      <c r="AT121" s="21" t="n"/>
    </row>
    <row r="122" ht="15" customHeight="1">
      <c r="A122" s="7" t="inlineStr">
        <is>
          <t>Làm việc? 1=Yes, 0=No</t>
        </is>
      </c>
      <c r="B122" s="3" t="n">
        <v>1</v>
      </c>
      <c r="C122" s="3" t="n">
        <v>1</v>
      </c>
      <c r="D122" s="3" t="n">
        <v>1</v>
      </c>
      <c r="E122" s="3" t="n">
        <v>1</v>
      </c>
      <c r="F122" s="3" t="n">
        <v>1</v>
      </c>
      <c r="G122" s="3" t="n">
        <v>1</v>
      </c>
      <c r="H122" s="3" t="n">
        <v>1</v>
      </c>
      <c r="I122" s="3" t="n">
        <v>1</v>
      </c>
      <c r="J122" s="3" t="n">
        <v>1</v>
      </c>
      <c r="K122" s="3" t="n">
        <v>1</v>
      </c>
      <c r="L122" s="3" t="n">
        <v>1</v>
      </c>
      <c r="M122" s="3" t="n">
        <v>1</v>
      </c>
      <c r="N122" s="1" t="n">
        <v>1</v>
      </c>
      <c r="O122" s="1" t="n">
        <v>1</v>
      </c>
      <c r="P122" s="1" t="n">
        <v>1</v>
      </c>
      <c r="Q122" s="1" t="n">
        <v>1</v>
      </c>
      <c r="R122" s="1" t="n">
        <v>1</v>
      </c>
      <c r="S122" s="1" t="n">
        <v>0</v>
      </c>
      <c r="T122" s="1" t="n">
        <v>0</v>
      </c>
      <c r="U122" s="1" t="n">
        <v>1</v>
      </c>
      <c r="V122" s="1" t="n">
        <v>1</v>
      </c>
      <c r="W122" s="1" t="n">
        <v>1</v>
      </c>
      <c r="X122" s="1" t="n">
        <v>1</v>
      </c>
      <c r="Y122" s="1" t="n">
        <v>1</v>
      </c>
      <c r="Z122" s="1" t="n">
        <v>0</v>
      </c>
      <c r="AA122" s="1" t="n">
        <v>0</v>
      </c>
      <c r="AB122" s="1" t="n">
        <v>1</v>
      </c>
      <c r="AC122" s="1" t="n">
        <v>1</v>
      </c>
      <c r="AD122" s="1" t="n">
        <v>1</v>
      </c>
      <c r="AE122" s="1" t="n">
        <v>1</v>
      </c>
      <c r="AF122" s="1" t="n">
        <v>1</v>
      </c>
      <c r="AG122" s="1" t="n">
        <v>0</v>
      </c>
      <c r="AH122" s="1" t="n">
        <v>0</v>
      </c>
      <c r="AI122" s="1" t="n">
        <v>1</v>
      </c>
      <c r="AJ122" s="1" t="n">
        <v>1</v>
      </c>
      <c r="AK122" s="1" t="n">
        <v>1</v>
      </c>
      <c r="AL122" s="1" t="n">
        <v>1</v>
      </c>
      <c r="AM122" s="1" t="n">
        <v>1</v>
      </c>
      <c r="AN122" s="1" t="n">
        <v>0</v>
      </c>
      <c r="AO122" s="1" t="n">
        <v>0</v>
      </c>
      <c r="AP122" s="16" t="n">
        <v>1</v>
      </c>
      <c r="AQ122" s="16" t="n"/>
      <c r="AR122" s="16" t="n"/>
      <c r="AS122" s="16" t="n"/>
    </row>
    <row r="123">
      <c r="A123" s="4" t="inlineStr">
        <is>
          <t>Mục tiêu Bản vẽ  HT CĐ (Ngày)</t>
        </is>
      </c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5" t="n">
        <v>32.05</v>
      </c>
      <c r="O123" s="5" t="n">
        <v>32.05</v>
      </c>
      <c r="P123" s="5" t="n">
        <v>32.05</v>
      </c>
      <c r="Q123" s="5" t="n">
        <v>32.05</v>
      </c>
      <c r="R123" s="5" t="n">
        <v>32.05</v>
      </c>
      <c r="S123" s="5" t="n"/>
      <c r="T123" s="5" t="n"/>
      <c r="U123" s="5" t="n">
        <v>32.05</v>
      </c>
      <c r="V123" s="5" t="n">
        <v>32.05</v>
      </c>
      <c r="W123" s="5" t="n">
        <v>32.05</v>
      </c>
      <c r="X123" s="5" t="n">
        <v>32.05</v>
      </c>
      <c r="Y123" s="5" t="n">
        <v>32.05</v>
      </c>
      <c r="Z123" s="5" t="n"/>
      <c r="AA123" s="5" t="n"/>
      <c r="AB123" s="5" t="n">
        <v>32.05</v>
      </c>
      <c r="AC123" s="5" t="n">
        <v>32.05</v>
      </c>
      <c r="AD123" s="5" t="n">
        <v>32.05</v>
      </c>
      <c r="AE123" s="5" t="n">
        <v>32.05</v>
      </c>
      <c r="AF123" s="5" t="n">
        <v>32.05</v>
      </c>
      <c r="AG123" s="5" t="n"/>
      <c r="AH123" s="5" t="n"/>
      <c r="AI123" s="5" t="n">
        <v>32.05</v>
      </c>
      <c r="AJ123" s="5" t="n">
        <v>32.05</v>
      </c>
      <c r="AK123" s="5" t="n">
        <v>32.05</v>
      </c>
      <c r="AL123" s="5" t="n">
        <v>32.05</v>
      </c>
      <c r="AM123" s="5" t="n">
        <v>32.05</v>
      </c>
      <c r="AN123" s="5" t="n"/>
      <c r="AO123" s="5" t="n"/>
      <c r="AP123" s="16" t="n">
        <v>32.05</v>
      </c>
      <c r="AQ123" s="16" t="n"/>
      <c r="AR123" s="16" t="n"/>
      <c r="AS123" s="16" t="n"/>
    </row>
    <row r="124">
      <c r="A124" s="4" t="inlineStr">
        <is>
          <t>Mục tiêu số PCS  HT CĐ (Ngày)</t>
        </is>
      </c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5" t="n">
        <v>534.87</v>
      </c>
      <c r="O124" s="5" t="n">
        <v>534.87</v>
      </c>
      <c r="P124" s="5" t="n">
        <v>534.87</v>
      </c>
      <c r="Q124" s="5" t="n">
        <v>534.87</v>
      </c>
      <c r="R124" s="5" t="n">
        <v>534.87</v>
      </c>
      <c r="S124" s="5" t="n"/>
      <c r="T124" s="5" t="n"/>
      <c r="U124" s="5" t="n">
        <v>534.87</v>
      </c>
      <c r="V124" s="5" t="n">
        <v>534.87</v>
      </c>
      <c r="W124" s="5" t="n">
        <v>534.87</v>
      </c>
      <c r="X124" s="5" t="n">
        <v>534.87</v>
      </c>
      <c r="Y124" s="5" t="n">
        <v>534.87</v>
      </c>
      <c r="Z124" s="5" t="n"/>
      <c r="AA124" s="5" t="n"/>
      <c r="AB124" s="5" t="n">
        <v>534.87</v>
      </c>
      <c r="AC124" s="5" t="n">
        <v>534.87</v>
      </c>
      <c r="AD124" s="5" t="n">
        <v>534.87</v>
      </c>
      <c r="AE124" s="5" t="n">
        <v>534.87</v>
      </c>
      <c r="AF124" s="5" t="n">
        <v>534.87</v>
      </c>
      <c r="AG124" s="5" t="n"/>
      <c r="AH124" s="5" t="n"/>
      <c r="AI124" s="5" t="n">
        <v>534.87</v>
      </c>
      <c r="AJ124" s="5" t="n">
        <v>534.87</v>
      </c>
      <c r="AK124" s="5" t="n">
        <v>534.87</v>
      </c>
      <c r="AL124" s="5" t="n">
        <v>534.87</v>
      </c>
      <c r="AM124" s="5" t="n">
        <v>534.87</v>
      </c>
      <c r="AN124" s="5" t="n"/>
      <c r="AO124" s="5" t="n"/>
      <c r="AP124" s="16" t="n">
        <v>534.87</v>
      </c>
      <c r="AQ124" s="16" t="n"/>
      <c r="AR124" s="16" t="n"/>
      <c r="AS124" s="16" t="n"/>
    </row>
    <row r="125">
      <c r="A125" s="4" t="inlineStr">
        <is>
          <t>Mục tiêu Bản vẽ HT CĐ Ca 1 (Còn lại/Ngày)</t>
        </is>
      </c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5" t="n">
        <v>32.05</v>
      </c>
      <c r="O125" s="5" t="n">
        <v>32.2</v>
      </c>
      <c r="P125" s="5" t="n">
        <v>32.73</v>
      </c>
      <c r="Q125" s="5" t="n">
        <v>33.72</v>
      </c>
      <c r="R125" s="5" t="n">
        <v>34.41</v>
      </c>
      <c r="S125" s="5" t="n"/>
      <c r="T125" s="5" t="n"/>
      <c r="U125" s="5" t="n">
        <v>34.25</v>
      </c>
      <c r="V125" s="5" t="n">
        <v>34.66</v>
      </c>
      <c r="W125" s="5" t="n">
        <v>35.71</v>
      </c>
      <c r="X125" s="5" t="n">
        <v>37.07</v>
      </c>
      <c r="Y125" s="5" t="n">
        <v>38.58</v>
      </c>
      <c r="Z125" s="5" t="n"/>
      <c r="AA125" s="5" t="n"/>
      <c r="AB125" s="5" t="n">
        <v>38.58</v>
      </c>
      <c r="AC125" s="5" t="n">
        <v>38.58</v>
      </c>
      <c r="AD125" s="5" t="n">
        <v>38.58</v>
      </c>
      <c r="AE125" s="5" t="n">
        <v>38.58</v>
      </c>
      <c r="AF125" s="5" t="n">
        <v>38.58</v>
      </c>
      <c r="AG125" s="5" t="n"/>
      <c r="AH125" s="5" t="n"/>
      <c r="AI125" s="5" t="n">
        <v>38.58</v>
      </c>
      <c r="AJ125" s="5" t="n">
        <v>38.58</v>
      </c>
      <c r="AK125" s="5" t="n">
        <v>38.58</v>
      </c>
      <c r="AL125" s="5" t="n">
        <v>38.58</v>
      </c>
      <c r="AM125" s="5" t="n">
        <v>38.58</v>
      </c>
      <c r="AN125" s="5" t="n"/>
      <c r="AO125" s="5" t="n"/>
      <c r="AP125" s="16" t="n">
        <v>38.58</v>
      </c>
      <c r="AQ125" s="16" t="n"/>
      <c r="AR125" s="16" t="n"/>
      <c r="AS125" s="16" t="n"/>
    </row>
    <row r="126">
      <c r="A126" s="4" t="inlineStr">
        <is>
          <t>Mục tiêu Bản vẽ HT CĐ Ca 2(Còn lại/Ngày)</t>
        </is>
      </c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5" t="n">
        <v>32.05</v>
      </c>
      <c r="O126" s="5" t="n">
        <v>32.85</v>
      </c>
      <c r="P126" s="5" t="n">
        <v>33.58</v>
      </c>
      <c r="Q126" s="5" t="n">
        <v>34.55</v>
      </c>
      <c r="R126" s="5" t="n">
        <v>35.29</v>
      </c>
      <c r="S126" s="5" t="n"/>
      <c r="T126" s="5" t="n"/>
      <c r="U126" s="5" t="n">
        <v>35.69</v>
      </c>
      <c r="V126" s="5" t="n">
        <v>36.6</v>
      </c>
      <c r="W126" s="5" t="n">
        <v>37.43</v>
      </c>
      <c r="X126" s="5" t="n">
        <v>38.38</v>
      </c>
      <c r="Y126" s="5" t="n">
        <v>39</v>
      </c>
      <c r="Z126" s="5" t="n"/>
      <c r="AA126" s="5" t="n"/>
      <c r="AB126" s="5" t="n">
        <v>39</v>
      </c>
      <c r="AC126" s="5" t="n">
        <v>39</v>
      </c>
      <c r="AD126" s="5" t="n">
        <v>39</v>
      </c>
      <c r="AE126" s="5" t="n">
        <v>39</v>
      </c>
      <c r="AF126" s="5" t="n">
        <v>39</v>
      </c>
      <c r="AG126" s="5" t="n"/>
      <c r="AH126" s="5" t="n"/>
      <c r="AI126" s="5" t="n">
        <v>39</v>
      </c>
      <c r="AJ126" s="5" t="n">
        <v>39</v>
      </c>
      <c r="AK126" s="5" t="n">
        <v>39</v>
      </c>
      <c r="AL126" s="5" t="n">
        <v>39</v>
      </c>
      <c r="AM126" s="5" t="n">
        <v>39</v>
      </c>
      <c r="AN126" s="5" t="n"/>
      <c r="AO126" s="5" t="n"/>
      <c r="AP126" s="16" t="n">
        <v>39</v>
      </c>
      <c r="AQ126" s="16" t="n"/>
      <c r="AR126" s="16" t="n"/>
      <c r="AS126" s="16" t="n"/>
    </row>
    <row r="127">
      <c r="A127" s="4" t="inlineStr">
        <is>
          <t>Mục tiêu số PCS HT CĐ Ca 1(Còn lại/Ngày)</t>
        </is>
      </c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5" t="n">
        <v>534.87</v>
      </c>
      <c r="O127" s="5" t="n">
        <v>549.17</v>
      </c>
      <c r="P127" s="5" t="n">
        <v>573.49</v>
      </c>
      <c r="Q127" s="5" t="n">
        <v>600.35</v>
      </c>
      <c r="R127" s="5" t="n">
        <v>623.14</v>
      </c>
      <c r="S127" s="5" t="n"/>
      <c r="T127" s="5" t="n"/>
      <c r="U127" s="5" t="n">
        <v>630.9</v>
      </c>
      <c r="V127" s="5" t="n">
        <v>638.89</v>
      </c>
      <c r="W127" s="5" t="n">
        <v>636.03</v>
      </c>
      <c r="X127" s="5" t="n">
        <v>582.41</v>
      </c>
      <c r="Y127" s="5" t="n">
        <v>585.78</v>
      </c>
      <c r="Z127" s="5" t="n"/>
      <c r="AA127" s="5" t="n"/>
      <c r="AB127" s="5" t="n">
        <v>585.78</v>
      </c>
      <c r="AC127" s="5" t="n">
        <v>585.78</v>
      </c>
      <c r="AD127" s="5" t="n">
        <v>585.78</v>
      </c>
      <c r="AE127" s="5" t="n">
        <v>585.78</v>
      </c>
      <c r="AF127" s="5" t="n">
        <v>585.78</v>
      </c>
      <c r="AG127" s="5" t="n"/>
      <c r="AH127" s="5" t="n"/>
      <c r="AI127" s="5" t="n">
        <v>585.78</v>
      </c>
      <c r="AJ127" s="5" t="n">
        <v>585.78</v>
      </c>
      <c r="AK127" s="5" t="n">
        <v>585.78</v>
      </c>
      <c r="AL127" s="5" t="n">
        <v>585.78</v>
      </c>
      <c r="AM127" s="5" t="n">
        <v>585.78</v>
      </c>
      <c r="AN127" s="5" t="n"/>
      <c r="AO127" s="5" t="n"/>
      <c r="AP127" s="16" t="n">
        <v>585.78</v>
      </c>
      <c r="AQ127" s="16" t="n"/>
      <c r="AR127" s="16" t="n"/>
      <c r="AS127" s="16" t="n"/>
    </row>
    <row r="128">
      <c r="A128" s="4" t="inlineStr">
        <is>
          <t>Mục tiêu số PCS HT CĐ Ca 2(Còn lại/Ngày)</t>
        </is>
      </c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5" t="n">
        <v>534.87</v>
      </c>
      <c r="O128" s="5" t="n">
        <v>539.22</v>
      </c>
      <c r="P128" s="5" t="n">
        <v>543.65</v>
      </c>
      <c r="Q128" s="5" t="n">
        <v>537.46</v>
      </c>
      <c r="R128" s="5" t="n">
        <v>532.2</v>
      </c>
      <c r="S128" s="5" t="n"/>
      <c r="T128" s="5" t="n"/>
      <c r="U128" s="5" t="n">
        <v>546.33</v>
      </c>
      <c r="V128" s="5" t="n">
        <v>522.36</v>
      </c>
      <c r="W128" s="5" t="n">
        <v>549.03</v>
      </c>
      <c r="X128" s="5" t="n">
        <v>533.41</v>
      </c>
      <c r="Y128" s="5" t="n">
        <v>511.78</v>
      </c>
      <c r="Z128" s="5" t="n"/>
      <c r="AA128" s="5" t="n"/>
      <c r="AB128" s="5" t="n">
        <v>511.78</v>
      </c>
      <c r="AC128" s="5" t="n">
        <v>511.78</v>
      </c>
      <c r="AD128" s="5" t="n">
        <v>511.78</v>
      </c>
      <c r="AE128" s="5" t="n">
        <v>511.78</v>
      </c>
      <c r="AF128" s="5" t="n">
        <v>511.78</v>
      </c>
      <c r="AG128" s="5" t="n"/>
      <c r="AH128" s="5" t="n"/>
      <c r="AI128" s="5" t="n">
        <v>511.78</v>
      </c>
      <c r="AJ128" s="5" t="n">
        <v>511.78</v>
      </c>
      <c r="AK128" s="5" t="n">
        <v>511.78</v>
      </c>
      <c r="AL128" s="5" t="n">
        <v>511.78</v>
      </c>
      <c r="AM128" s="5" t="n">
        <v>511.78</v>
      </c>
      <c r="AN128" s="5" t="n"/>
      <c r="AO128" s="5" t="n"/>
      <c r="AP128" s="16" t="n">
        <v>511.78</v>
      </c>
      <c r="AQ128" s="16" t="n"/>
      <c r="AR128" s="16" t="n"/>
      <c r="AS128" s="16" t="n"/>
    </row>
    <row r="129">
      <c r="A129" s="4" t="inlineStr">
        <is>
          <t>Mục tiêu Bản vẽ  HT CĐ  (Tháng)</t>
        </is>
      </c>
      <c r="B129" s="17" t="n">
        <v>705.0059208072439</v>
      </c>
      <c r="C129" s="17" t="n">
        <v>480.6858550958481</v>
      </c>
      <c r="D129" s="17" t="n">
        <v>705.0059208072439</v>
      </c>
      <c r="E129" s="17" t="n">
        <v>672.9601971341874</v>
      </c>
      <c r="F129" s="17" t="n">
        <v>640.9144734611309</v>
      </c>
      <c r="G129" s="17" t="n">
        <v>705.0059208072439</v>
      </c>
      <c r="H129" s="17" t="n">
        <v>737.0516444803005</v>
      </c>
      <c r="I129" s="17" t="n">
        <v>672.9601971341874</v>
      </c>
      <c r="J129" s="17" t="n">
        <v>672.9601971341874</v>
      </c>
      <c r="K129" s="17" t="n">
        <v>705.0059208072439</v>
      </c>
      <c r="L129" s="17" t="n">
        <v>672.9601971341874</v>
      </c>
      <c r="M129" s="17" t="n">
        <v>705.0059208072439</v>
      </c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16" t="n"/>
      <c r="AQ129" s="16" t="n"/>
      <c r="AR129" s="16" t="n"/>
      <c r="AS129" s="16" t="n"/>
    </row>
    <row r="130">
      <c r="A130" s="4" t="inlineStr">
        <is>
          <t>Mục tiêu số PCS  HT CĐ  (Tháng)</t>
        </is>
      </c>
      <c r="B130" s="17" t="n">
        <v>11767.23363645778</v>
      </c>
      <c r="C130" s="17" t="n">
        <v>8023.113843039396</v>
      </c>
      <c r="D130" s="17" t="n">
        <v>11767.23363645778</v>
      </c>
      <c r="E130" s="17" t="n">
        <v>11232.35938025515</v>
      </c>
      <c r="F130" s="17" t="n">
        <v>10697.48512405253</v>
      </c>
      <c r="G130" s="17" t="n">
        <v>11767.23363645778</v>
      </c>
      <c r="H130" s="17" t="n">
        <v>12302.10789266041</v>
      </c>
      <c r="I130" s="17" t="n">
        <v>11232.35938025515</v>
      </c>
      <c r="J130" s="17" t="n">
        <v>11232.35938025515</v>
      </c>
      <c r="K130" s="17" t="n">
        <v>11767.23363645778</v>
      </c>
      <c r="L130" s="17" t="n">
        <v>11232.35938025515</v>
      </c>
      <c r="M130" s="17" t="n">
        <v>11767.23363645778</v>
      </c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16" t="n"/>
      <c r="AQ130" s="16" t="n"/>
      <c r="AR130" s="16" t="n"/>
      <c r="AS130" s="16" t="n"/>
    </row>
    <row r="131">
      <c r="A131" s="4" t="inlineStr">
        <is>
          <t>Thực tích Bản vẽ HT CĐ Ca 1 (Ngày)</t>
        </is>
      </c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>
        <v>29</v>
      </c>
      <c r="O131" s="1" t="n">
        <v>22</v>
      </c>
      <c r="P131" s="1" t="n">
        <v>15</v>
      </c>
      <c r="Q131" s="1" t="n">
        <v>22</v>
      </c>
      <c r="R131" s="1" t="n">
        <v>19</v>
      </c>
      <c r="S131" s="1" t="n">
        <v>18</v>
      </c>
      <c r="T131" s="1" t="n">
        <v>0</v>
      </c>
      <c r="U131" s="1" t="n">
        <v>28</v>
      </c>
      <c r="V131" s="1" t="n">
        <v>20</v>
      </c>
      <c r="W131" s="1" t="n">
        <v>18</v>
      </c>
      <c r="X131" s="1" t="n">
        <v>19</v>
      </c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6" t="n"/>
      <c r="AP131" s="16" t="n"/>
      <c r="AQ131" s="16" t="n"/>
      <c r="AR131" s="16" t="n"/>
      <c r="AS131" s="16" t="n"/>
    </row>
    <row r="132">
      <c r="A132" s="4" t="inlineStr">
        <is>
          <t>Thực tích Bản vẽ HT CĐ Ca 2 (Ngày)</t>
        </is>
      </c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>
        <v>16</v>
      </c>
      <c r="O132" s="1" t="n">
        <v>19</v>
      </c>
      <c r="P132" s="1" t="n">
        <v>16</v>
      </c>
      <c r="Q132" s="1" t="n">
        <v>22</v>
      </c>
      <c r="R132" s="1" t="n">
        <v>17</v>
      </c>
      <c r="S132" s="1" t="n">
        <v>12</v>
      </c>
      <c r="T132" s="1" t="n">
        <v>0</v>
      </c>
      <c r="U132" s="1" t="n">
        <v>22</v>
      </c>
      <c r="V132" s="1" t="n">
        <v>25</v>
      </c>
      <c r="W132" s="1" t="n">
        <v>25</v>
      </c>
      <c r="X132" s="1" t="n">
        <v>31</v>
      </c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6" t="n"/>
      <c r="AP132" s="16" t="n"/>
      <c r="AQ132" s="16" t="n"/>
      <c r="AR132" s="16" t="n"/>
      <c r="AS132" s="16" t="n"/>
    </row>
    <row r="133">
      <c r="A133" s="4" t="inlineStr">
        <is>
          <t>Thực tích số PCS HT CĐ Ca 1 (Ngày)</t>
        </is>
      </c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>
        <v>249</v>
      </c>
      <c r="O133" s="1" t="n">
        <v>87</v>
      </c>
      <c r="P133" s="1" t="n">
        <v>90</v>
      </c>
      <c r="Q133" s="1" t="n">
        <v>213</v>
      </c>
      <c r="R133" s="1" t="n">
        <v>129</v>
      </c>
      <c r="S133" s="1" t="n">
        <v>370</v>
      </c>
      <c r="T133" s="1" t="n">
        <v>0</v>
      </c>
      <c r="U133" s="1" t="n">
        <v>511</v>
      </c>
      <c r="V133" s="1" t="n">
        <v>679</v>
      </c>
      <c r="W133" s="1" t="n">
        <v>1333</v>
      </c>
      <c r="X133" s="1" t="n">
        <v>542</v>
      </c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6" t="n"/>
      <c r="AP133" s="16" t="n"/>
      <c r="AQ133" s="16" t="n"/>
      <c r="AR133" s="16" t="n"/>
      <c r="AS133" s="16" t="n"/>
    </row>
    <row r="134">
      <c r="A134" s="4" t="inlineStr">
        <is>
          <t>Thực tích số PCS HT CĐ Ca 2 (Ngày)</t>
        </is>
      </c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>
        <v>448</v>
      </c>
      <c r="O134" s="1" t="n">
        <v>455</v>
      </c>
      <c r="P134" s="1" t="n">
        <v>655</v>
      </c>
      <c r="Q134" s="1" t="n">
        <v>627</v>
      </c>
      <c r="R134" s="1" t="n">
        <v>267</v>
      </c>
      <c r="S134" s="1" t="n">
        <v>39</v>
      </c>
      <c r="T134" s="1" t="n">
        <v>0</v>
      </c>
      <c r="U134" s="1" t="n">
        <v>906</v>
      </c>
      <c r="V134" s="1" t="n">
        <v>149</v>
      </c>
      <c r="W134" s="1" t="n">
        <v>752</v>
      </c>
      <c r="X134" s="1" t="n">
        <v>793</v>
      </c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6" t="n"/>
      <c r="AP134" s="16" t="n"/>
      <c r="AQ134" s="16" t="n"/>
      <c r="AR134" s="16" t="n"/>
      <c r="AS134" s="16" t="n"/>
    </row>
    <row r="135">
      <c r="A135" s="4" t="inlineStr">
        <is>
          <t>Thực tích Bản vẽ HT CĐ Ca 1  (Tháng)</t>
        </is>
      </c>
      <c r="B135" s="1" t="n"/>
      <c r="C135" s="1" t="n"/>
      <c r="D135" s="1" t="n"/>
      <c r="E135" s="1" t="n">
        <v>210</v>
      </c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6" t="n"/>
      <c r="AP135" s="16" t="n"/>
      <c r="AQ135" s="16" t="n"/>
      <c r="AR135" s="16" t="n"/>
      <c r="AS135" s="16" t="n"/>
    </row>
    <row r="136">
      <c r="A136" s="4" t="inlineStr">
        <is>
          <t>Thực tích Bản vẽ HT CĐ Ca 2  (Tháng)</t>
        </is>
      </c>
      <c r="B136" s="1" t="n"/>
      <c r="C136" s="1" t="n"/>
      <c r="D136" s="1" t="n"/>
      <c r="E136" s="1" t="n">
        <v>205</v>
      </c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6" t="n"/>
      <c r="AP136" s="16" t="n"/>
      <c r="AQ136" s="16" t="n"/>
      <c r="AR136" s="16" t="n"/>
      <c r="AS136" s="16" t="n"/>
    </row>
    <row r="137">
      <c r="A137" s="4" t="inlineStr">
        <is>
          <t>Thực tích số PCS HT CĐ Ca 1  (Tháng)</t>
        </is>
      </c>
      <c r="B137" s="1" t="n"/>
      <c r="C137" s="1" t="n"/>
      <c r="D137" s="1" t="n"/>
      <c r="E137" s="1" t="n">
        <v>4203</v>
      </c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6" t="n"/>
      <c r="AP137" s="16" t="n"/>
      <c r="AQ137" s="16" t="n"/>
      <c r="AR137" s="16" t="n"/>
      <c r="AS137" s="16" t="n"/>
    </row>
    <row r="138">
      <c r="A138" s="4" t="inlineStr">
        <is>
          <t>Thực tích số PCS HT CĐ Ca 2  (Tháng)</t>
        </is>
      </c>
      <c r="B138" s="1" t="n"/>
      <c r="C138" s="1" t="n"/>
      <c r="D138" s="1" t="n"/>
      <c r="E138" s="1" t="n">
        <v>5091</v>
      </c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6" t="n"/>
      <c r="AP138" s="16" t="n"/>
      <c r="AQ138" s="16" t="n"/>
      <c r="AR138" s="16" t="n"/>
      <c r="AS138" s="16" t="n"/>
    </row>
    <row r="139">
      <c r="A139" s="9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  <c r="AH139" s="10" t="n"/>
      <c r="AI139" s="10" t="n"/>
      <c r="AJ139" s="10" t="n"/>
      <c r="AK139" s="10" t="n"/>
      <c r="AL139" s="10" t="n"/>
    </row>
    <row r="140">
      <c r="A140" s="4" t="inlineStr">
        <is>
          <t>Công đoạn:</t>
        </is>
      </c>
      <c r="B140" s="1" t="inlineStr">
        <is>
          <t>GR</t>
        </is>
      </c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  <c r="AD140" s="10" t="n"/>
      <c r="AE140" s="10" t="n"/>
      <c r="AF140" s="10" t="n"/>
      <c r="AG140" s="10" t="n"/>
      <c r="AH140" s="10" t="n"/>
      <c r="AI140" s="10" t="n"/>
      <c r="AJ140" s="10" t="n"/>
      <c r="AK140" s="10" t="n"/>
      <c r="AL140" s="10" t="n"/>
    </row>
    <row r="141" ht="14.4" customHeight="1">
      <c r="A141" s="4" t="inlineStr">
        <is>
          <t>Ngày làm việc</t>
        </is>
      </c>
      <c r="B141" s="1" t="inlineStr">
        <is>
          <t>1月</t>
        </is>
      </c>
      <c r="C141" s="11" t="inlineStr">
        <is>
          <t>2月</t>
        </is>
      </c>
      <c r="D141" s="1" t="inlineStr">
        <is>
          <t>3月</t>
        </is>
      </c>
      <c r="E141" s="1" t="inlineStr">
        <is>
          <t>4月</t>
        </is>
      </c>
      <c r="F141" s="11" t="inlineStr">
        <is>
          <t>5月</t>
        </is>
      </c>
      <c r="G141" s="1" t="inlineStr">
        <is>
          <t>6月</t>
        </is>
      </c>
      <c r="H141" s="1" t="inlineStr">
        <is>
          <t>7月</t>
        </is>
      </c>
      <c r="I141" s="11" t="inlineStr">
        <is>
          <t>8月</t>
        </is>
      </c>
      <c r="J141" s="1" t="inlineStr">
        <is>
          <t>9月</t>
        </is>
      </c>
      <c r="K141" s="1" t="inlineStr">
        <is>
          <t>10月</t>
        </is>
      </c>
      <c r="L141" s="11" t="inlineStr">
        <is>
          <t>11月</t>
        </is>
      </c>
      <c r="M141" s="1" t="inlineStr">
        <is>
          <t>12月</t>
        </is>
      </c>
      <c r="N141" s="2" t="n">
        <v>46111</v>
      </c>
      <c r="O141" s="2" t="n">
        <v>46112</v>
      </c>
      <c r="P141" s="2" t="n">
        <v>46113</v>
      </c>
      <c r="Q141" s="2" t="n">
        <v>46114</v>
      </c>
      <c r="R141" s="2" t="n">
        <v>46115</v>
      </c>
      <c r="S141" s="2" t="n">
        <v>46116</v>
      </c>
      <c r="T141" s="2" t="n">
        <v>46117</v>
      </c>
      <c r="U141" s="2" t="n">
        <v>46118</v>
      </c>
      <c r="V141" s="2" t="n">
        <v>46119</v>
      </c>
      <c r="W141" s="2" t="n">
        <v>46120</v>
      </c>
      <c r="X141" s="2" t="n">
        <v>46121</v>
      </c>
      <c r="Y141" s="2" t="n">
        <v>46122</v>
      </c>
      <c r="Z141" s="2" t="n">
        <v>46123</v>
      </c>
      <c r="AA141" s="2" t="n">
        <v>46124</v>
      </c>
      <c r="AB141" s="2" t="n">
        <v>46125</v>
      </c>
      <c r="AC141" s="2" t="n">
        <v>46126</v>
      </c>
      <c r="AD141" s="2" t="n">
        <v>46127</v>
      </c>
      <c r="AE141" s="2" t="n">
        <v>46128</v>
      </c>
      <c r="AF141" s="2" t="n">
        <v>46129</v>
      </c>
      <c r="AG141" s="2" t="n">
        <v>46130</v>
      </c>
      <c r="AH141" s="2" t="n">
        <v>46131</v>
      </c>
      <c r="AI141" s="2" t="n">
        <v>46132</v>
      </c>
      <c r="AJ141" s="2" t="n">
        <v>46133</v>
      </c>
      <c r="AK141" s="2" t="n">
        <v>46134</v>
      </c>
      <c r="AL141" s="2" t="n">
        <v>46135</v>
      </c>
      <c r="AM141" s="2" t="n">
        <v>46136</v>
      </c>
      <c r="AN141" s="2" t="n">
        <v>46137</v>
      </c>
      <c r="AO141" s="2" t="n">
        <v>46138</v>
      </c>
      <c r="AP141" s="2" t="n">
        <v>46139</v>
      </c>
      <c r="AQ141" s="2" t="n"/>
      <c r="AR141" s="2" t="n"/>
      <c r="AS141" s="2" t="n"/>
      <c r="AT141" s="21" t="n"/>
    </row>
    <row r="142" ht="15" customHeight="1">
      <c r="A142" s="7" t="inlineStr">
        <is>
          <t>Làm việc? 1=Yes, 0=No</t>
        </is>
      </c>
      <c r="B142" s="3" t="n">
        <v>1</v>
      </c>
      <c r="C142" s="3" t="n">
        <v>1</v>
      </c>
      <c r="D142" s="3" t="n">
        <v>1</v>
      </c>
      <c r="E142" s="3" t="n">
        <v>1</v>
      </c>
      <c r="F142" s="3" t="n">
        <v>1</v>
      </c>
      <c r="G142" s="3" t="n">
        <v>1</v>
      </c>
      <c r="H142" s="3" t="n">
        <v>1</v>
      </c>
      <c r="I142" s="3" t="n">
        <v>1</v>
      </c>
      <c r="J142" s="3" t="n">
        <v>1</v>
      </c>
      <c r="K142" s="3" t="n">
        <v>1</v>
      </c>
      <c r="L142" s="3" t="n">
        <v>1</v>
      </c>
      <c r="M142" s="3" t="n">
        <v>1</v>
      </c>
      <c r="N142" s="1" t="n">
        <v>1</v>
      </c>
      <c r="O142" s="1" t="n">
        <v>1</v>
      </c>
      <c r="P142" s="1" t="n">
        <v>1</v>
      </c>
      <c r="Q142" s="1" t="n">
        <v>1</v>
      </c>
      <c r="R142" s="1" t="n">
        <v>1</v>
      </c>
      <c r="S142" s="1" t="n">
        <v>0</v>
      </c>
      <c r="T142" s="1" t="n">
        <v>0</v>
      </c>
      <c r="U142" s="1" t="n">
        <v>1</v>
      </c>
      <c r="V142" s="1" t="n">
        <v>1</v>
      </c>
      <c r="W142" s="1" t="n">
        <v>1</v>
      </c>
      <c r="X142" s="1" t="n">
        <v>1</v>
      </c>
      <c r="Y142" s="1" t="n">
        <v>1</v>
      </c>
      <c r="Z142" s="1" t="n">
        <v>0</v>
      </c>
      <c r="AA142" s="1" t="n">
        <v>0</v>
      </c>
      <c r="AB142" s="1" t="n">
        <v>1</v>
      </c>
      <c r="AC142" s="1" t="n">
        <v>1</v>
      </c>
      <c r="AD142" s="1" t="n">
        <v>1</v>
      </c>
      <c r="AE142" s="1" t="n">
        <v>1</v>
      </c>
      <c r="AF142" s="1" t="n">
        <v>1</v>
      </c>
      <c r="AG142" s="1" t="n">
        <v>0</v>
      </c>
      <c r="AH142" s="1" t="n">
        <v>0</v>
      </c>
      <c r="AI142" s="1" t="n">
        <v>1</v>
      </c>
      <c r="AJ142" s="1" t="n">
        <v>1</v>
      </c>
      <c r="AK142" s="1" t="n">
        <v>1</v>
      </c>
      <c r="AL142" s="1" t="n">
        <v>1</v>
      </c>
      <c r="AM142" s="1" t="n">
        <v>1</v>
      </c>
      <c r="AN142" s="1" t="n">
        <v>0</v>
      </c>
      <c r="AO142" s="1" t="n">
        <v>0</v>
      </c>
      <c r="AP142" s="16" t="n">
        <v>1</v>
      </c>
      <c r="AQ142" s="16" t="n"/>
      <c r="AR142" s="16" t="n"/>
      <c r="AS142" s="16" t="n"/>
    </row>
    <row r="143">
      <c r="A143" s="4" t="inlineStr">
        <is>
          <t>Mục tiêu Bản vẽ  HT CĐ (Ngày)</t>
        </is>
      </c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5" t="n">
        <v>7</v>
      </c>
      <c r="O143" s="5" t="n">
        <v>7</v>
      </c>
      <c r="P143" s="5" t="n">
        <v>7</v>
      </c>
      <c r="Q143" s="5" t="n">
        <v>7</v>
      </c>
      <c r="R143" s="5" t="n">
        <v>7</v>
      </c>
      <c r="S143" s="5" t="n"/>
      <c r="T143" s="5" t="n"/>
      <c r="U143" s="5" t="n">
        <v>7</v>
      </c>
      <c r="V143" s="5" t="n">
        <v>7</v>
      </c>
      <c r="W143" s="5" t="n">
        <v>7</v>
      </c>
      <c r="X143" s="5" t="n">
        <v>7</v>
      </c>
      <c r="Y143" s="5" t="n">
        <v>7</v>
      </c>
      <c r="Z143" s="5" t="n"/>
      <c r="AA143" s="5" t="n"/>
      <c r="AB143" s="5" t="n">
        <v>7</v>
      </c>
      <c r="AC143" s="5" t="n">
        <v>7</v>
      </c>
      <c r="AD143" s="5" t="n">
        <v>7</v>
      </c>
      <c r="AE143" s="5" t="n">
        <v>7</v>
      </c>
      <c r="AF143" s="5" t="n">
        <v>7</v>
      </c>
      <c r="AG143" s="5" t="n"/>
      <c r="AH143" s="5" t="n"/>
      <c r="AI143" s="5" t="n">
        <v>7</v>
      </c>
      <c r="AJ143" s="5" t="n">
        <v>7</v>
      </c>
      <c r="AK143" s="5" t="n">
        <v>7</v>
      </c>
      <c r="AL143" s="5" t="n">
        <v>7</v>
      </c>
      <c r="AM143" s="5" t="n">
        <v>7</v>
      </c>
      <c r="AN143" s="5" t="n"/>
      <c r="AO143" s="5" t="n"/>
      <c r="AP143" s="16" t="n">
        <v>7</v>
      </c>
      <c r="AQ143" s="16" t="n"/>
      <c r="AR143" s="16" t="n"/>
      <c r="AS143" s="16" t="n"/>
    </row>
    <row r="144">
      <c r="A144" s="4" t="inlineStr">
        <is>
          <t>Mục tiêu số PCS  HT CĐ (Ngày)</t>
        </is>
      </c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5" t="n">
        <v>22.8</v>
      </c>
      <c r="O144" s="5" t="n">
        <v>22.8</v>
      </c>
      <c r="P144" s="5" t="n">
        <v>22.8</v>
      </c>
      <c r="Q144" s="5" t="n">
        <v>22.8</v>
      </c>
      <c r="R144" s="5" t="n">
        <v>22.8</v>
      </c>
      <c r="S144" s="5" t="n"/>
      <c r="T144" s="5" t="n"/>
      <c r="U144" s="5" t="n">
        <v>22.8</v>
      </c>
      <c r="V144" s="5" t="n">
        <v>22.8</v>
      </c>
      <c r="W144" s="5" t="n">
        <v>22.8</v>
      </c>
      <c r="X144" s="5" t="n">
        <v>22.8</v>
      </c>
      <c r="Y144" s="5" t="n">
        <v>22.8</v>
      </c>
      <c r="Z144" s="5" t="n"/>
      <c r="AA144" s="5" t="n"/>
      <c r="AB144" s="5" t="n">
        <v>22.8</v>
      </c>
      <c r="AC144" s="5" t="n">
        <v>22.8</v>
      </c>
      <c r="AD144" s="5" t="n">
        <v>22.8</v>
      </c>
      <c r="AE144" s="5" t="n">
        <v>22.8</v>
      </c>
      <c r="AF144" s="5" t="n">
        <v>22.8</v>
      </c>
      <c r="AG144" s="5" t="n"/>
      <c r="AH144" s="5" t="n"/>
      <c r="AI144" s="5" t="n">
        <v>22.8</v>
      </c>
      <c r="AJ144" s="5" t="n">
        <v>22.8</v>
      </c>
      <c r="AK144" s="5" t="n">
        <v>22.8</v>
      </c>
      <c r="AL144" s="5" t="n">
        <v>22.8</v>
      </c>
      <c r="AM144" s="5" t="n">
        <v>22.8</v>
      </c>
      <c r="AN144" s="5" t="n"/>
      <c r="AO144" s="5" t="n"/>
      <c r="AP144" s="16" t="n">
        <v>22.8</v>
      </c>
      <c r="AQ144" s="16" t="n"/>
      <c r="AR144" s="16" t="n"/>
      <c r="AS144" s="16" t="n"/>
    </row>
    <row r="145">
      <c r="A145" s="4" t="inlineStr">
        <is>
          <t>Mục tiêu Bản vẽ HT CĐ Ca 1 (Còn lại/Ngày)</t>
        </is>
      </c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5" t="n">
        <v>7</v>
      </c>
      <c r="O145" s="5" t="n">
        <v>7.1</v>
      </c>
      <c r="P145" s="5" t="n">
        <v>7.26</v>
      </c>
      <c r="Q145" s="5" t="n">
        <v>7.33</v>
      </c>
      <c r="R145" s="5" t="n">
        <v>7.47</v>
      </c>
      <c r="S145" s="5" t="n"/>
      <c r="T145" s="5" t="n"/>
      <c r="U145" s="5" t="n">
        <v>7.44</v>
      </c>
      <c r="V145" s="5" t="n">
        <v>7.67</v>
      </c>
      <c r="W145" s="5" t="n">
        <v>7.71</v>
      </c>
      <c r="X145" s="5" t="n">
        <v>7.69</v>
      </c>
      <c r="Y145" s="5" t="n">
        <v>7.92</v>
      </c>
      <c r="Z145" s="5" t="n"/>
      <c r="AA145" s="5" t="n"/>
      <c r="AB145" s="5" t="n">
        <v>7.92</v>
      </c>
      <c r="AC145" s="5" t="n">
        <v>7.92</v>
      </c>
      <c r="AD145" s="5" t="n">
        <v>7.92</v>
      </c>
      <c r="AE145" s="5" t="n">
        <v>7.92</v>
      </c>
      <c r="AF145" s="5" t="n">
        <v>7.92</v>
      </c>
      <c r="AG145" s="5" t="n"/>
      <c r="AH145" s="5" t="n"/>
      <c r="AI145" s="5" t="n">
        <v>7.92</v>
      </c>
      <c r="AJ145" s="5" t="n">
        <v>7.92</v>
      </c>
      <c r="AK145" s="5" t="n">
        <v>7.92</v>
      </c>
      <c r="AL145" s="5" t="n">
        <v>7.92</v>
      </c>
      <c r="AM145" s="5" t="n">
        <v>7.92</v>
      </c>
      <c r="AN145" s="5" t="n"/>
      <c r="AO145" s="5" t="n"/>
      <c r="AP145" s="16" t="n">
        <v>7.92</v>
      </c>
      <c r="AQ145" s="16" t="n"/>
      <c r="AR145" s="16" t="n"/>
      <c r="AS145" s="16" t="n"/>
    </row>
    <row r="146">
      <c r="A146" s="4" t="inlineStr">
        <is>
          <t>Mục tiêu Bản vẽ HT CĐ Ca 2(Còn lại/Ngày)</t>
        </is>
      </c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5" t="n">
        <v>7</v>
      </c>
      <c r="O146" s="5" t="n">
        <v>6.95</v>
      </c>
      <c r="P146" s="5" t="n">
        <v>7.05</v>
      </c>
      <c r="Q146" s="5" t="n">
        <v>7.11</v>
      </c>
      <c r="R146" s="5" t="n">
        <v>7.18</v>
      </c>
      <c r="S146" s="5" t="n"/>
      <c r="T146" s="5" t="n"/>
      <c r="U146" s="5" t="n">
        <v>7.31</v>
      </c>
      <c r="V146" s="5" t="n">
        <v>7.67</v>
      </c>
      <c r="W146" s="5" t="n">
        <v>7.93</v>
      </c>
      <c r="X146" s="5" t="n">
        <v>8.23</v>
      </c>
      <c r="Y146" s="5" t="n">
        <v>8.42</v>
      </c>
      <c r="Z146" s="5" t="n"/>
      <c r="AA146" s="5" t="n"/>
      <c r="AB146" s="5" t="n">
        <v>8.42</v>
      </c>
      <c r="AC146" s="5" t="n">
        <v>8.42</v>
      </c>
      <c r="AD146" s="5" t="n">
        <v>8.42</v>
      </c>
      <c r="AE146" s="5" t="n">
        <v>8.42</v>
      </c>
      <c r="AF146" s="5" t="n">
        <v>8.42</v>
      </c>
      <c r="AG146" s="5" t="n"/>
      <c r="AH146" s="5" t="n"/>
      <c r="AI146" s="5" t="n">
        <v>8.42</v>
      </c>
      <c r="AJ146" s="5" t="n">
        <v>8.42</v>
      </c>
      <c r="AK146" s="5" t="n">
        <v>8.42</v>
      </c>
      <c r="AL146" s="5" t="n">
        <v>8.42</v>
      </c>
      <c r="AM146" s="5" t="n">
        <v>8.42</v>
      </c>
      <c r="AN146" s="5" t="n"/>
      <c r="AO146" s="5" t="n"/>
      <c r="AP146" s="16" t="n">
        <v>8.42</v>
      </c>
      <c r="AQ146" s="16" t="n"/>
      <c r="AR146" s="16" t="n"/>
      <c r="AS146" s="16" t="n"/>
    </row>
    <row r="147">
      <c r="A147" s="4" t="inlineStr">
        <is>
          <t>Mục tiêu số PCS HT CĐ Ca 1(Còn lại/Ngày)</t>
        </is>
      </c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5" t="n">
        <v>22.8</v>
      </c>
      <c r="O147" s="5" t="n">
        <v>22.73</v>
      </c>
      <c r="P147" s="5" t="n">
        <v>22.77</v>
      </c>
      <c r="Q147" s="5" t="n">
        <v>23.71</v>
      </c>
      <c r="R147" s="5" t="n">
        <v>23.92</v>
      </c>
      <c r="S147" s="5" t="n"/>
      <c r="T147" s="5" t="n"/>
      <c r="U147" s="5" t="n">
        <v>24.17</v>
      </c>
      <c r="V147" s="5" t="n">
        <v>25.38</v>
      </c>
      <c r="W147" s="5" t="n">
        <v>25.34</v>
      </c>
      <c r="X147" s="5" t="n">
        <v>25.59</v>
      </c>
      <c r="Y147" s="5" t="n">
        <v>25.39</v>
      </c>
      <c r="Z147" s="5" t="n"/>
      <c r="AA147" s="5" t="n"/>
      <c r="AB147" s="5" t="n">
        <v>25.39</v>
      </c>
      <c r="AC147" s="5" t="n">
        <v>25.39</v>
      </c>
      <c r="AD147" s="5" t="n">
        <v>25.39</v>
      </c>
      <c r="AE147" s="5" t="n">
        <v>25.39</v>
      </c>
      <c r="AF147" s="5" t="n">
        <v>25.39</v>
      </c>
      <c r="AG147" s="5" t="n"/>
      <c r="AH147" s="5" t="n"/>
      <c r="AI147" s="5" t="n">
        <v>25.39</v>
      </c>
      <c r="AJ147" s="5" t="n">
        <v>25.39</v>
      </c>
      <c r="AK147" s="5" t="n">
        <v>25.39</v>
      </c>
      <c r="AL147" s="5" t="n">
        <v>25.39</v>
      </c>
      <c r="AM147" s="5" t="n">
        <v>25.39</v>
      </c>
      <c r="AN147" s="5" t="n"/>
      <c r="AO147" s="5" t="n"/>
      <c r="AP147" s="16" t="n">
        <v>25.39</v>
      </c>
      <c r="AQ147" s="16" t="n"/>
      <c r="AR147" s="16" t="n"/>
      <c r="AS147" s="16" t="n"/>
    </row>
    <row r="148">
      <c r="A148" s="4" t="inlineStr">
        <is>
          <t>Mục tiêu số PCS HT CĐ Ca 2(Còn lại/Ngày)</t>
        </is>
      </c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5" t="n">
        <v>22.8</v>
      </c>
      <c r="O148" s="5" t="n">
        <v>23.08</v>
      </c>
      <c r="P148" s="5" t="n">
        <v>23.83</v>
      </c>
      <c r="Q148" s="5" t="n">
        <v>24.59</v>
      </c>
      <c r="R148" s="5" t="n">
        <v>25.57</v>
      </c>
      <c r="S148" s="5" t="n"/>
      <c r="T148" s="5" t="n"/>
      <c r="U148" s="5" t="n">
        <v>26.48</v>
      </c>
      <c r="V148" s="5" t="n">
        <v>28.05</v>
      </c>
      <c r="W148" s="5" t="n">
        <v>28.76</v>
      </c>
      <c r="X148" s="5" t="n">
        <v>29.9</v>
      </c>
      <c r="Y148" s="5" t="n">
        <v>30.31</v>
      </c>
      <c r="Z148" s="5" t="n"/>
      <c r="AA148" s="5" t="n"/>
      <c r="AB148" s="5" t="n">
        <v>30.31</v>
      </c>
      <c r="AC148" s="5" t="n">
        <v>30.31</v>
      </c>
      <c r="AD148" s="5" t="n">
        <v>30.31</v>
      </c>
      <c r="AE148" s="5" t="n">
        <v>30.31</v>
      </c>
      <c r="AF148" s="5" t="n">
        <v>30.31</v>
      </c>
      <c r="AG148" s="5" t="n"/>
      <c r="AH148" s="5" t="n"/>
      <c r="AI148" s="5" t="n">
        <v>30.31</v>
      </c>
      <c r="AJ148" s="5" t="n">
        <v>30.31</v>
      </c>
      <c r="AK148" s="5" t="n">
        <v>30.31</v>
      </c>
      <c r="AL148" s="5" t="n">
        <v>30.31</v>
      </c>
      <c r="AM148" s="5" t="n">
        <v>30.31</v>
      </c>
      <c r="AN148" s="5" t="n"/>
      <c r="AO148" s="5" t="n"/>
      <c r="AP148" s="16" t="n">
        <v>30.31</v>
      </c>
      <c r="AQ148" s="16" t="n"/>
      <c r="AR148" s="16" t="n"/>
      <c r="AS148" s="16" t="n"/>
    </row>
    <row r="149">
      <c r="A149" s="4" t="inlineStr">
        <is>
          <t>Mục tiêu Bản vẽ  HT CĐ  (Tháng)</t>
        </is>
      </c>
      <c r="B149" s="17" t="n">
        <v>154</v>
      </c>
      <c r="C149" s="17" t="n">
        <v>105</v>
      </c>
      <c r="D149" s="17" t="n">
        <v>154</v>
      </c>
      <c r="E149" s="17" t="n">
        <v>147</v>
      </c>
      <c r="F149" s="17" t="n">
        <v>140</v>
      </c>
      <c r="G149" s="17" t="n">
        <v>154</v>
      </c>
      <c r="H149" s="17" t="n">
        <v>161</v>
      </c>
      <c r="I149" s="17" t="n">
        <v>147</v>
      </c>
      <c r="J149" s="17" t="n">
        <v>147</v>
      </c>
      <c r="K149" s="17" t="n">
        <v>154</v>
      </c>
      <c r="L149" s="17" t="n">
        <v>147</v>
      </c>
      <c r="M149" s="17" t="n">
        <v>154</v>
      </c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16" t="n"/>
      <c r="AQ149" s="16" t="n"/>
      <c r="AR149" s="16" t="n"/>
      <c r="AS149" s="16" t="n"/>
    </row>
    <row r="150">
      <c r="A150" s="4" t="inlineStr">
        <is>
          <t>Mục tiêu số PCS  HT CĐ  (Tháng)</t>
        </is>
      </c>
      <c r="B150" s="17" t="n">
        <v>501.494470609799</v>
      </c>
      <c r="C150" s="17" t="n">
        <v>341.9280481430447</v>
      </c>
      <c r="D150" s="17" t="n">
        <v>501.494470609799</v>
      </c>
      <c r="E150" s="17" t="n">
        <v>478.6992674002627</v>
      </c>
      <c r="F150" s="17" t="n">
        <v>455.9040641907263</v>
      </c>
      <c r="G150" s="17" t="n">
        <v>501.494470609799</v>
      </c>
      <c r="H150" s="17" t="n">
        <v>524.2896738193353</v>
      </c>
      <c r="I150" s="17" t="n">
        <v>478.6992674002627</v>
      </c>
      <c r="J150" s="17" t="n">
        <v>478.6992674002627</v>
      </c>
      <c r="K150" s="17" t="n">
        <v>501.494470609799</v>
      </c>
      <c r="L150" s="17" t="n">
        <v>478.6992674002627</v>
      </c>
      <c r="M150" s="17" t="n">
        <v>501.494470609799</v>
      </c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16" t="n"/>
      <c r="AQ150" s="16" t="n"/>
      <c r="AR150" s="16" t="n"/>
      <c r="AS150" s="16" t="n"/>
    </row>
    <row r="151">
      <c r="A151" s="4" t="inlineStr">
        <is>
          <t>Thực tích Bản vẽ HT CĐ Ca 1 (Ngày)</t>
        </is>
      </c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>
        <v>5</v>
      </c>
      <c r="O151" s="1" t="n">
        <v>4</v>
      </c>
      <c r="P151" s="1" t="n">
        <v>6</v>
      </c>
      <c r="Q151" s="1" t="n">
        <v>5</v>
      </c>
      <c r="R151" s="1" t="n">
        <v>7</v>
      </c>
      <c r="S151" s="1" t="n">
        <v>1</v>
      </c>
      <c r="T151" s="1" t="n">
        <v>0</v>
      </c>
      <c r="U151" s="1" t="n">
        <v>4</v>
      </c>
      <c r="V151" s="1" t="n">
        <v>7</v>
      </c>
      <c r="W151" s="1" t="n">
        <v>8</v>
      </c>
      <c r="X151" s="1" t="n">
        <v>5</v>
      </c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6" t="n"/>
      <c r="AP151" s="16" t="n"/>
      <c r="AQ151" s="16" t="n"/>
      <c r="AR151" s="16" t="n"/>
      <c r="AS151" s="16" t="n"/>
    </row>
    <row r="152">
      <c r="A152" s="4" t="inlineStr">
        <is>
          <t>Thực tích Bản vẽ HT CĐ Ca 2 (Ngày)</t>
        </is>
      </c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>
        <v>8</v>
      </c>
      <c r="O152" s="1" t="n">
        <v>5</v>
      </c>
      <c r="P152" s="1" t="n">
        <v>6</v>
      </c>
      <c r="Q152" s="1" t="n">
        <v>6</v>
      </c>
      <c r="R152" s="1" t="n">
        <v>3</v>
      </c>
      <c r="S152" s="1" t="n">
        <v>2</v>
      </c>
      <c r="T152" s="1" t="n">
        <v>0</v>
      </c>
      <c r="U152" s="1" t="n">
        <v>2</v>
      </c>
      <c r="V152" s="1" t="n">
        <v>4</v>
      </c>
      <c r="W152" s="1" t="n">
        <v>4</v>
      </c>
      <c r="X152" s="1" t="n">
        <v>6</v>
      </c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6" t="n"/>
      <c r="AP152" s="16" t="n"/>
      <c r="AQ152" s="16" t="n"/>
      <c r="AR152" s="16" t="n"/>
      <c r="AS152" s="16" t="n"/>
    </row>
    <row r="153">
      <c r="A153" s="4" t="inlineStr">
        <is>
          <t>Thực tích số PCS HT CĐ Ca 1 (Ngày)</t>
        </is>
      </c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>
        <v>24</v>
      </c>
      <c r="O153" s="1" t="n">
        <v>22</v>
      </c>
      <c r="P153" s="1" t="n">
        <v>6</v>
      </c>
      <c r="Q153" s="1" t="n">
        <v>20</v>
      </c>
      <c r="R153" s="1" t="n">
        <v>18</v>
      </c>
      <c r="S153" s="1" t="n">
        <v>2</v>
      </c>
      <c r="T153" s="1" t="n">
        <v>0</v>
      </c>
      <c r="U153" s="1" t="n">
        <v>6</v>
      </c>
      <c r="V153" s="1" t="n">
        <v>26</v>
      </c>
      <c r="W153" s="1" t="n">
        <v>22</v>
      </c>
      <c r="X153" s="1" t="n">
        <v>28</v>
      </c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6" t="n"/>
      <c r="AP153" s="16" t="n"/>
      <c r="AQ153" s="16" t="n"/>
      <c r="AR153" s="16" t="n"/>
      <c r="AS153" s="16" t="n"/>
    </row>
    <row r="154">
      <c r="A154" s="4" t="inlineStr">
        <is>
          <t>Thực tích số PCS HT CĐ Ca 2 (Ngày)</t>
        </is>
      </c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>
        <v>17</v>
      </c>
      <c r="O154" s="1" t="n">
        <v>9</v>
      </c>
      <c r="P154" s="1" t="n">
        <v>10</v>
      </c>
      <c r="Q154" s="1" t="n">
        <v>8</v>
      </c>
      <c r="R154" s="1" t="n">
        <v>5</v>
      </c>
      <c r="S154" s="1" t="n">
        <v>6</v>
      </c>
      <c r="T154" s="1" t="n">
        <v>0</v>
      </c>
      <c r="U154" s="1" t="n">
        <v>3</v>
      </c>
      <c r="V154" s="1" t="n">
        <v>18</v>
      </c>
      <c r="W154" s="1" t="n">
        <v>14</v>
      </c>
      <c r="X154" s="1" t="n">
        <v>25</v>
      </c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6" t="n"/>
      <c r="AP154" s="16" t="n"/>
      <c r="AQ154" s="16" t="n"/>
      <c r="AR154" s="16" t="n"/>
      <c r="AS154" s="16" t="n"/>
    </row>
    <row r="155">
      <c r="A155" s="4" t="inlineStr">
        <is>
          <t>Thực tích Bản vẽ HT CĐ Ca 1  (Tháng)</t>
        </is>
      </c>
      <c r="B155" s="1" t="n"/>
      <c r="C155" s="1" t="n"/>
      <c r="D155" s="1" t="n"/>
      <c r="E155" s="1" t="n">
        <v>52</v>
      </c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6" t="n"/>
      <c r="AP155" s="16" t="n"/>
      <c r="AQ155" s="16" t="n"/>
      <c r="AR155" s="16" t="n"/>
      <c r="AS155" s="16" t="n"/>
    </row>
    <row r="156">
      <c r="A156" s="4" t="inlineStr">
        <is>
          <t>Thực tích Bản vẽ HT CĐ Ca 2  (Tháng)</t>
        </is>
      </c>
      <c r="B156" s="1" t="n"/>
      <c r="C156" s="1" t="n"/>
      <c r="D156" s="1" t="n"/>
      <c r="E156" s="1" t="n">
        <v>46</v>
      </c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6" t="n"/>
      <c r="AP156" s="16" t="n"/>
      <c r="AQ156" s="16" t="n"/>
      <c r="AR156" s="16" t="n"/>
      <c r="AS156" s="16" t="n"/>
    </row>
    <row r="157">
      <c r="A157" s="4" t="inlineStr">
        <is>
          <t>Thực tích số PCS HT CĐ Ca 1  (Tháng)</t>
        </is>
      </c>
      <c r="B157" s="1" t="n"/>
      <c r="C157" s="1" t="n"/>
      <c r="D157" s="1" t="n"/>
      <c r="E157" s="1" t="n">
        <v>174</v>
      </c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6" t="n"/>
      <c r="AP157" s="16" t="n"/>
      <c r="AQ157" s="16" t="n"/>
      <c r="AR157" s="16" t="n"/>
      <c r="AS157" s="16" t="n"/>
    </row>
    <row r="158">
      <c r="A158" s="4" t="inlineStr">
        <is>
          <t>Thực tích số PCS HT CĐ Ca 2  (Tháng)</t>
        </is>
      </c>
      <c r="B158" s="1" t="n"/>
      <c r="C158" s="1" t="n"/>
      <c r="D158" s="1" t="n"/>
      <c r="E158" s="1" t="n">
        <v>115</v>
      </c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6" t="n"/>
      <c r="AP158" s="16" t="n"/>
      <c r="AQ158" s="16" t="n"/>
      <c r="AR158" s="16" t="n"/>
      <c r="AS158" s="16" t="n"/>
    </row>
    <row r="159">
      <c r="A159" s="9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  <c r="AD159" s="10" t="n"/>
      <c r="AE159" s="10" t="n"/>
      <c r="AF159" s="10" t="n"/>
      <c r="AG159" s="10" t="n"/>
      <c r="AH159" s="10" t="n"/>
      <c r="AI159" s="10" t="n"/>
      <c r="AJ159" s="10" t="n"/>
      <c r="AK159" s="10" t="n"/>
      <c r="AL159" s="10" t="n"/>
    </row>
    <row r="160">
      <c r="A160" s="4" t="inlineStr">
        <is>
          <t>Công đoạn:</t>
        </is>
      </c>
      <c r="B160" s="1" t="inlineStr">
        <is>
          <t>GC</t>
        </is>
      </c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  <c r="AD160" s="10" t="n"/>
      <c r="AE160" s="10" t="n"/>
      <c r="AF160" s="10" t="n"/>
      <c r="AG160" s="10" t="n"/>
      <c r="AH160" s="10" t="n"/>
      <c r="AI160" s="10" t="n"/>
      <c r="AJ160" s="10" t="n"/>
      <c r="AK160" s="10" t="n"/>
      <c r="AL160" s="10" t="n"/>
    </row>
    <row r="161" ht="14.4" customHeight="1">
      <c r="A161" s="4" t="inlineStr">
        <is>
          <t>Ngày làm việc</t>
        </is>
      </c>
      <c r="B161" s="1" t="inlineStr">
        <is>
          <t>1月</t>
        </is>
      </c>
      <c r="C161" s="11" t="inlineStr">
        <is>
          <t>2月</t>
        </is>
      </c>
      <c r="D161" s="1" t="inlineStr">
        <is>
          <t>3月</t>
        </is>
      </c>
      <c r="E161" s="1" t="inlineStr">
        <is>
          <t>4月</t>
        </is>
      </c>
      <c r="F161" s="11" t="inlineStr">
        <is>
          <t>5月</t>
        </is>
      </c>
      <c r="G161" s="1" t="inlineStr">
        <is>
          <t>6月</t>
        </is>
      </c>
      <c r="H161" s="1" t="inlineStr">
        <is>
          <t>7月</t>
        </is>
      </c>
      <c r="I161" s="11" t="inlineStr">
        <is>
          <t>8月</t>
        </is>
      </c>
      <c r="J161" s="1" t="inlineStr">
        <is>
          <t>9月</t>
        </is>
      </c>
      <c r="K161" s="1" t="inlineStr">
        <is>
          <t>10月</t>
        </is>
      </c>
      <c r="L161" s="11" t="inlineStr">
        <is>
          <t>11月</t>
        </is>
      </c>
      <c r="M161" s="1" t="inlineStr">
        <is>
          <t>12月</t>
        </is>
      </c>
      <c r="N161" s="2" t="n">
        <v>46111</v>
      </c>
      <c r="O161" s="2" t="n">
        <v>46112</v>
      </c>
      <c r="P161" s="2" t="n">
        <v>46113</v>
      </c>
      <c r="Q161" s="2" t="n">
        <v>46114</v>
      </c>
      <c r="R161" s="2" t="n">
        <v>46115</v>
      </c>
      <c r="S161" s="2" t="n">
        <v>46116</v>
      </c>
      <c r="T161" s="2" t="n">
        <v>46117</v>
      </c>
      <c r="U161" s="2" t="n">
        <v>46118</v>
      </c>
      <c r="V161" s="2" t="n">
        <v>46119</v>
      </c>
      <c r="W161" s="2" t="n">
        <v>46120</v>
      </c>
      <c r="X161" s="2" t="n">
        <v>46121</v>
      </c>
      <c r="Y161" s="2" t="n">
        <v>46122</v>
      </c>
      <c r="Z161" s="2" t="n">
        <v>46123</v>
      </c>
      <c r="AA161" s="2" t="n">
        <v>46124</v>
      </c>
      <c r="AB161" s="2" t="n">
        <v>46125</v>
      </c>
      <c r="AC161" s="2" t="n">
        <v>46126</v>
      </c>
      <c r="AD161" s="2" t="n">
        <v>46127</v>
      </c>
      <c r="AE161" s="2" t="n">
        <v>46128</v>
      </c>
      <c r="AF161" s="2" t="n">
        <v>46129</v>
      </c>
      <c r="AG161" s="2" t="n">
        <v>46130</v>
      </c>
      <c r="AH161" s="2" t="n">
        <v>46131</v>
      </c>
      <c r="AI161" s="2" t="n">
        <v>46132</v>
      </c>
      <c r="AJ161" s="2" t="n">
        <v>46133</v>
      </c>
      <c r="AK161" s="2" t="n">
        <v>46134</v>
      </c>
      <c r="AL161" s="2" t="n">
        <v>46135</v>
      </c>
      <c r="AM161" s="2" t="n">
        <v>46136</v>
      </c>
      <c r="AN161" s="2" t="n">
        <v>46137</v>
      </c>
      <c r="AO161" s="2" t="n">
        <v>46138</v>
      </c>
      <c r="AP161" s="2" t="n">
        <v>46139</v>
      </c>
      <c r="AQ161" s="2" t="n"/>
      <c r="AR161" s="2" t="n"/>
      <c r="AS161" s="2" t="n"/>
      <c r="AT161" s="21" t="n"/>
    </row>
    <row r="162" ht="15" customHeight="1">
      <c r="A162" s="7" t="inlineStr">
        <is>
          <t>Làm việc? 1=Yes, 0=No</t>
        </is>
      </c>
      <c r="B162" s="3" t="n">
        <v>1</v>
      </c>
      <c r="C162" s="3" t="n">
        <v>1</v>
      </c>
      <c r="D162" s="3" t="n">
        <v>1</v>
      </c>
      <c r="E162" s="3" t="n">
        <v>1</v>
      </c>
      <c r="F162" s="3" t="n">
        <v>1</v>
      </c>
      <c r="G162" s="3" t="n">
        <v>1</v>
      </c>
      <c r="H162" s="3" t="n">
        <v>1</v>
      </c>
      <c r="I162" s="3" t="n">
        <v>1</v>
      </c>
      <c r="J162" s="3" t="n">
        <v>1</v>
      </c>
      <c r="K162" s="3" t="n">
        <v>1</v>
      </c>
      <c r="L162" s="3" t="n">
        <v>1</v>
      </c>
      <c r="M162" s="3" t="n">
        <v>1</v>
      </c>
      <c r="N162" s="1" t="n">
        <v>1</v>
      </c>
      <c r="O162" s="1" t="n">
        <v>1</v>
      </c>
      <c r="P162" s="1" t="n">
        <v>1</v>
      </c>
      <c r="Q162" s="1" t="n">
        <v>1</v>
      </c>
      <c r="R162" s="1" t="n">
        <v>1</v>
      </c>
      <c r="S162" s="1" t="n">
        <v>0</v>
      </c>
      <c r="T162" s="1" t="n">
        <v>0</v>
      </c>
      <c r="U162" s="1" t="n">
        <v>1</v>
      </c>
      <c r="V162" s="1" t="n">
        <v>1</v>
      </c>
      <c r="W162" s="1" t="n">
        <v>1</v>
      </c>
      <c r="X162" s="1" t="n">
        <v>1</v>
      </c>
      <c r="Y162" s="1" t="n">
        <v>1</v>
      </c>
      <c r="Z162" s="1" t="n">
        <v>0</v>
      </c>
      <c r="AA162" s="1" t="n">
        <v>0</v>
      </c>
      <c r="AB162" s="1" t="n">
        <v>1</v>
      </c>
      <c r="AC162" s="1" t="n">
        <v>1</v>
      </c>
      <c r="AD162" s="1" t="n">
        <v>1</v>
      </c>
      <c r="AE162" s="1" t="n">
        <v>1</v>
      </c>
      <c r="AF162" s="1" t="n">
        <v>1</v>
      </c>
      <c r="AG162" s="1" t="n">
        <v>0</v>
      </c>
      <c r="AH162" s="1" t="n">
        <v>0</v>
      </c>
      <c r="AI162" s="1" t="n">
        <v>1</v>
      </c>
      <c r="AJ162" s="1" t="n">
        <v>1</v>
      </c>
      <c r="AK162" s="1" t="n">
        <v>1</v>
      </c>
      <c r="AL162" s="1" t="n">
        <v>1</v>
      </c>
      <c r="AM162" s="1" t="n">
        <v>1</v>
      </c>
      <c r="AN162" s="1" t="n">
        <v>0</v>
      </c>
      <c r="AO162" s="1" t="n">
        <v>0</v>
      </c>
      <c r="AP162" s="16" t="n">
        <v>1</v>
      </c>
      <c r="AQ162" s="16" t="n"/>
      <c r="AR162" s="16" t="n"/>
      <c r="AS162" s="16" t="n"/>
    </row>
    <row r="163">
      <c r="A163" s="4" t="inlineStr">
        <is>
          <t>Mục tiêu Bản vẽ  HT CĐ (Ngày)</t>
        </is>
      </c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5" t="n">
        <v>2.92</v>
      </c>
      <c r="O163" s="5" t="n">
        <v>2.92</v>
      </c>
      <c r="P163" s="5" t="n">
        <v>2.92</v>
      </c>
      <c r="Q163" s="5" t="n">
        <v>2.92</v>
      </c>
      <c r="R163" s="5" t="n">
        <v>2.92</v>
      </c>
      <c r="S163" s="5" t="n"/>
      <c r="T163" s="5" t="n"/>
      <c r="U163" s="5" t="n">
        <v>2.92</v>
      </c>
      <c r="V163" s="5" t="n">
        <v>2.92</v>
      </c>
      <c r="W163" s="5" t="n">
        <v>2.92</v>
      </c>
      <c r="X163" s="5" t="n">
        <v>2.92</v>
      </c>
      <c r="Y163" s="5" t="n">
        <v>2.92</v>
      </c>
      <c r="Z163" s="5" t="n"/>
      <c r="AA163" s="5" t="n"/>
      <c r="AB163" s="5" t="n">
        <v>2.92</v>
      </c>
      <c r="AC163" s="5" t="n">
        <v>2.92</v>
      </c>
      <c r="AD163" s="5" t="n">
        <v>2.92</v>
      </c>
      <c r="AE163" s="5" t="n">
        <v>2.92</v>
      </c>
      <c r="AF163" s="5" t="n">
        <v>2.92</v>
      </c>
      <c r="AG163" s="5" t="n"/>
      <c r="AH163" s="5" t="n"/>
      <c r="AI163" s="5" t="n">
        <v>2.92</v>
      </c>
      <c r="AJ163" s="5" t="n">
        <v>2.92</v>
      </c>
      <c r="AK163" s="5" t="n">
        <v>2.92</v>
      </c>
      <c r="AL163" s="5" t="n">
        <v>2.92</v>
      </c>
      <c r="AM163" s="5" t="n">
        <v>2.92</v>
      </c>
      <c r="AN163" s="5" t="n"/>
      <c r="AO163" s="5" t="n"/>
      <c r="AP163" s="16" t="n">
        <v>2.92</v>
      </c>
      <c r="AQ163" s="16" t="n"/>
      <c r="AR163" s="16" t="n"/>
      <c r="AS163" s="16" t="n"/>
    </row>
    <row r="164">
      <c r="A164" s="4" t="inlineStr">
        <is>
          <t>Mục tiêu số PCS  HT CĐ (Ngày)</t>
        </is>
      </c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5" t="n">
        <v>75.26000000000001</v>
      </c>
      <c r="O164" s="5" t="n">
        <v>75.26000000000001</v>
      </c>
      <c r="P164" s="5" t="n">
        <v>75.26000000000001</v>
      </c>
      <c r="Q164" s="5" t="n">
        <v>75.26000000000001</v>
      </c>
      <c r="R164" s="5" t="n">
        <v>75.26000000000001</v>
      </c>
      <c r="S164" s="5" t="n"/>
      <c r="T164" s="5" t="n"/>
      <c r="U164" s="5" t="n">
        <v>75.26000000000001</v>
      </c>
      <c r="V164" s="5" t="n">
        <v>75.26000000000001</v>
      </c>
      <c r="W164" s="5" t="n">
        <v>75.26000000000001</v>
      </c>
      <c r="X164" s="5" t="n">
        <v>75.26000000000001</v>
      </c>
      <c r="Y164" s="5" t="n">
        <v>75.26000000000001</v>
      </c>
      <c r="Z164" s="5" t="n"/>
      <c r="AA164" s="5" t="n"/>
      <c r="AB164" s="5" t="n">
        <v>75.26000000000001</v>
      </c>
      <c r="AC164" s="5" t="n">
        <v>75.26000000000001</v>
      </c>
      <c r="AD164" s="5" t="n">
        <v>75.26000000000001</v>
      </c>
      <c r="AE164" s="5" t="n">
        <v>75.26000000000001</v>
      </c>
      <c r="AF164" s="5" t="n">
        <v>75.26000000000001</v>
      </c>
      <c r="AG164" s="5" t="n"/>
      <c r="AH164" s="5" t="n"/>
      <c r="AI164" s="5" t="n">
        <v>75.26000000000001</v>
      </c>
      <c r="AJ164" s="5" t="n">
        <v>75.26000000000001</v>
      </c>
      <c r="AK164" s="5" t="n">
        <v>75.26000000000001</v>
      </c>
      <c r="AL164" s="5" t="n">
        <v>75.26000000000001</v>
      </c>
      <c r="AM164" s="5" t="n">
        <v>75.26000000000001</v>
      </c>
      <c r="AN164" s="5" t="n"/>
      <c r="AO164" s="5" t="n"/>
      <c r="AP164" s="16" t="n">
        <v>75.26000000000001</v>
      </c>
      <c r="AQ164" s="16" t="n"/>
      <c r="AR164" s="16" t="n"/>
      <c r="AS164" s="16" t="n"/>
    </row>
    <row r="165">
      <c r="A165" s="4" t="inlineStr">
        <is>
          <t>Mục tiêu Bản vẽ HT CĐ Ca 1 (Còn lại/Ngày)</t>
        </is>
      </c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5" t="n">
        <v>2.92</v>
      </c>
      <c r="O165" s="5" t="n">
        <v>3.02</v>
      </c>
      <c r="P165" s="5" t="n">
        <v>3.02</v>
      </c>
      <c r="Q165" s="5" t="n">
        <v>3.13</v>
      </c>
      <c r="R165" s="5" t="n">
        <v>3.14</v>
      </c>
      <c r="S165" s="5" t="n"/>
      <c r="T165" s="5" t="n"/>
      <c r="U165" s="5" t="n">
        <v>3.09</v>
      </c>
      <c r="V165" s="5" t="n">
        <v>3.09</v>
      </c>
      <c r="W165" s="5" t="n">
        <v>3.24</v>
      </c>
      <c r="X165" s="5" t="n">
        <v>3.18</v>
      </c>
      <c r="Y165" s="5" t="n">
        <v>3.28</v>
      </c>
      <c r="Z165" s="5" t="n"/>
      <c r="AA165" s="5" t="n"/>
      <c r="AB165" s="5" t="n">
        <v>3.28</v>
      </c>
      <c r="AC165" s="5" t="n">
        <v>3.28</v>
      </c>
      <c r="AD165" s="5" t="n">
        <v>3.28</v>
      </c>
      <c r="AE165" s="5" t="n">
        <v>3.28</v>
      </c>
      <c r="AF165" s="5" t="n">
        <v>3.28</v>
      </c>
      <c r="AG165" s="5" t="n"/>
      <c r="AH165" s="5" t="n"/>
      <c r="AI165" s="5" t="n">
        <v>3.28</v>
      </c>
      <c r="AJ165" s="5" t="n">
        <v>3.28</v>
      </c>
      <c r="AK165" s="5" t="n">
        <v>3.28</v>
      </c>
      <c r="AL165" s="5" t="n">
        <v>3.28</v>
      </c>
      <c r="AM165" s="5" t="n">
        <v>3.28</v>
      </c>
      <c r="AN165" s="5" t="n"/>
      <c r="AO165" s="5" t="n"/>
      <c r="AP165" s="16" t="n">
        <v>3.28</v>
      </c>
      <c r="AQ165" s="16" t="n"/>
      <c r="AR165" s="16" t="n"/>
      <c r="AS165" s="16" t="n"/>
    </row>
    <row r="166">
      <c r="A166" s="4" t="inlineStr">
        <is>
          <t>Mục tiêu Bản vẽ HT CĐ Ca 2(Còn lại/Ngày)</t>
        </is>
      </c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5" t="n">
        <v>2.92</v>
      </c>
      <c r="O166" s="5" t="n">
        <v>2.92</v>
      </c>
      <c r="P166" s="5" t="n">
        <v>2.92</v>
      </c>
      <c r="Q166" s="5" t="n">
        <v>2.86</v>
      </c>
      <c r="R166" s="5" t="n">
        <v>2.79</v>
      </c>
      <c r="S166" s="5" t="n"/>
      <c r="T166" s="5" t="n"/>
      <c r="U166" s="5" t="n">
        <v>2.65</v>
      </c>
      <c r="V166" s="5" t="n">
        <v>2.69</v>
      </c>
      <c r="W166" s="5" t="n">
        <v>2.81</v>
      </c>
      <c r="X166" s="5" t="n">
        <v>2.72</v>
      </c>
      <c r="Y166" s="5" t="n">
        <v>2.62</v>
      </c>
      <c r="Z166" s="5" t="n"/>
      <c r="AA166" s="5" t="n"/>
      <c r="AB166" s="5" t="n">
        <v>2.62</v>
      </c>
      <c r="AC166" s="5" t="n">
        <v>2.62</v>
      </c>
      <c r="AD166" s="5" t="n">
        <v>2.62</v>
      </c>
      <c r="AE166" s="5" t="n">
        <v>2.62</v>
      </c>
      <c r="AF166" s="5" t="n">
        <v>2.62</v>
      </c>
      <c r="AG166" s="5" t="n"/>
      <c r="AH166" s="5" t="n"/>
      <c r="AI166" s="5" t="n">
        <v>2.62</v>
      </c>
      <c r="AJ166" s="5" t="n">
        <v>2.62</v>
      </c>
      <c r="AK166" s="5" t="n">
        <v>2.62</v>
      </c>
      <c r="AL166" s="5" t="n">
        <v>2.62</v>
      </c>
      <c r="AM166" s="5" t="n">
        <v>2.62</v>
      </c>
      <c r="AN166" s="5" t="n"/>
      <c r="AO166" s="5" t="n"/>
      <c r="AP166" s="16" t="n">
        <v>2.62</v>
      </c>
      <c r="AQ166" s="16" t="n"/>
      <c r="AR166" s="16" t="n"/>
      <c r="AS166" s="16" t="n"/>
    </row>
    <row r="167">
      <c r="A167" s="4" t="inlineStr">
        <is>
          <t>Mục tiêu số PCS HT CĐ Ca 1(Còn lại/Ngày)</t>
        </is>
      </c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5" t="n">
        <v>75.26000000000001</v>
      </c>
      <c r="O167" s="5" t="n">
        <v>77.22</v>
      </c>
      <c r="P167" s="5" t="n">
        <v>80.92</v>
      </c>
      <c r="Q167" s="5" t="n">
        <v>85.14</v>
      </c>
      <c r="R167" s="5" t="n">
        <v>88.15000000000001</v>
      </c>
      <c r="S167" s="5" t="n"/>
      <c r="T167" s="5" t="n"/>
      <c r="U167" s="5" t="n">
        <v>88.16</v>
      </c>
      <c r="V167" s="5" t="n">
        <v>92.63</v>
      </c>
      <c r="W167" s="5" t="n">
        <v>98.53</v>
      </c>
      <c r="X167" s="5" t="n">
        <v>89.81</v>
      </c>
      <c r="Y167" s="5" t="n">
        <v>63.96</v>
      </c>
      <c r="Z167" s="5" t="n"/>
      <c r="AA167" s="5" t="n"/>
      <c r="AB167" s="5" t="n">
        <v>63.96</v>
      </c>
      <c r="AC167" s="5" t="n">
        <v>63.96</v>
      </c>
      <c r="AD167" s="5" t="n">
        <v>63.96</v>
      </c>
      <c r="AE167" s="5" t="n">
        <v>63.96</v>
      </c>
      <c r="AF167" s="5" t="n">
        <v>63.96</v>
      </c>
      <c r="AG167" s="5" t="n"/>
      <c r="AH167" s="5" t="n"/>
      <c r="AI167" s="5" t="n">
        <v>63.96</v>
      </c>
      <c r="AJ167" s="5" t="n">
        <v>63.96</v>
      </c>
      <c r="AK167" s="5" t="n">
        <v>63.96</v>
      </c>
      <c r="AL167" s="5" t="n">
        <v>63.96</v>
      </c>
      <c r="AM167" s="5" t="n">
        <v>63.96</v>
      </c>
      <c r="AN167" s="5" t="n"/>
      <c r="AO167" s="5" t="n"/>
      <c r="AP167" s="16" t="n">
        <v>63.96</v>
      </c>
      <c r="AQ167" s="16" t="n"/>
      <c r="AR167" s="16" t="n"/>
      <c r="AS167" s="16" t="n"/>
    </row>
    <row r="168">
      <c r="A168" s="4" t="inlineStr">
        <is>
          <t>Mục tiêu số PCS HT CĐ Ca 2(Còn lại/Ngày)</t>
        </is>
      </c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5" t="n">
        <v>75.26000000000001</v>
      </c>
      <c r="O168" s="5" t="n">
        <v>76.06999999999999</v>
      </c>
      <c r="P168" s="5" t="n">
        <v>78.70999999999999</v>
      </c>
      <c r="Q168" s="5" t="n">
        <v>71.47</v>
      </c>
      <c r="R168" s="5" t="n">
        <v>54.91</v>
      </c>
      <c r="S168" s="5" t="n"/>
      <c r="T168" s="5" t="n"/>
      <c r="U168" s="5" t="n">
        <v>36.34</v>
      </c>
      <c r="V168" s="5" t="n">
        <v>35.57</v>
      </c>
      <c r="W168" s="5" t="n">
        <v>37.89</v>
      </c>
      <c r="X168" s="5" t="n">
        <v>38.81</v>
      </c>
      <c r="Y168" s="5" t="n">
        <v>20.79</v>
      </c>
      <c r="Z168" s="5" t="n"/>
      <c r="AA168" s="5" t="n"/>
      <c r="AB168" s="5" t="n">
        <v>20.79</v>
      </c>
      <c r="AC168" s="5" t="n">
        <v>20.79</v>
      </c>
      <c r="AD168" s="5" t="n">
        <v>20.79</v>
      </c>
      <c r="AE168" s="5" t="n">
        <v>20.79</v>
      </c>
      <c r="AF168" s="5" t="n">
        <v>20.79</v>
      </c>
      <c r="AG168" s="5" t="n"/>
      <c r="AH168" s="5" t="n"/>
      <c r="AI168" s="5" t="n">
        <v>20.79</v>
      </c>
      <c r="AJ168" s="5" t="n">
        <v>20.79</v>
      </c>
      <c r="AK168" s="5" t="n">
        <v>20.79</v>
      </c>
      <c r="AL168" s="5" t="n">
        <v>20.79</v>
      </c>
      <c r="AM168" s="5" t="n">
        <v>20.79</v>
      </c>
      <c r="AN168" s="5" t="n"/>
      <c r="AO168" s="5" t="n"/>
      <c r="AP168" s="16" t="n">
        <v>20.79</v>
      </c>
      <c r="AQ168" s="16" t="n"/>
      <c r="AR168" s="16" t="n"/>
      <c r="AS168" s="16" t="n"/>
    </row>
    <row r="169">
      <c r="A169" s="4" t="inlineStr">
        <is>
          <t>Mục tiêu Bản vẽ  HT CĐ  (Tháng)</t>
        </is>
      </c>
      <c r="B169" s="17" t="n">
        <v>64.3273987155177</v>
      </c>
      <c r="C169" s="17" t="n">
        <v>43.85959003330753</v>
      </c>
      <c r="D169" s="17" t="n">
        <v>64.3273987155177</v>
      </c>
      <c r="E169" s="17" t="n">
        <v>61.40342604663054</v>
      </c>
      <c r="F169" s="17" t="n">
        <v>58.47945337774337</v>
      </c>
      <c r="G169" s="17" t="n">
        <v>64.3273987155177</v>
      </c>
      <c r="H169" s="17" t="n">
        <v>67.25137138440488</v>
      </c>
      <c r="I169" s="17" t="n">
        <v>61.40342604663054</v>
      </c>
      <c r="J169" s="17" t="n">
        <v>61.40342604663054</v>
      </c>
      <c r="K169" s="17" t="n">
        <v>64.3273987155177</v>
      </c>
      <c r="L169" s="17" t="n">
        <v>61.40342604663054</v>
      </c>
      <c r="M169" s="17" t="n">
        <v>64.3273987155177</v>
      </c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  <c r="AN169" s="5" t="n"/>
      <c r="AO169" s="5" t="n"/>
      <c r="AP169" s="16" t="n"/>
      <c r="AQ169" s="16" t="n"/>
      <c r="AR169" s="16" t="n"/>
      <c r="AS169" s="16" t="n"/>
    </row>
    <row r="170">
      <c r="A170" s="4" t="inlineStr">
        <is>
          <t>Mục tiêu số PCS  HT CĐ  (Tháng)</t>
        </is>
      </c>
      <c r="B170" s="17" t="n">
        <v>1655.744275539877</v>
      </c>
      <c r="C170" s="17" t="n">
        <v>1128.916551504461</v>
      </c>
      <c r="D170" s="17" t="n">
        <v>1655.744275539877</v>
      </c>
      <c r="E170" s="17" t="n">
        <v>1580.483172106246</v>
      </c>
      <c r="F170" s="17" t="n">
        <v>1505.222068672615</v>
      </c>
      <c r="G170" s="17" t="n">
        <v>1655.744275539877</v>
      </c>
      <c r="H170" s="17" t="n">
        <v>1731.005378973507</v>
      </c>
      <c r="I170" s="17" t="n">
        <v>1580.483172106246</v>
      </c>
      <c r="J170" s="17" t="n">
        <v>1580.483172106246</v>
      </c>
      <c r="K170" s="17" t="n">
        <v>1655.744275539877</v>
      </c>
      <c r="L170" s="17" t="n">
        <v>1580.483172106246</v>
      </c>
      <c r="M170" s="17" t="n">
        <v>1655.744275539877</v>
      </c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N170" s="5" t="n"/>
      <c r="AO170" s="5" t="n"/>
      <c r="AP170" s="16" t="n"/>
      <c r="AQ170" s="16" t="n"/>
      <c r="AR170" s="16" t="n"/>
      <c r="AS170" s="16" t="n"/>
    </row>
    <row r="171">
      <c r="A171" s="4" t="inlineStr">
        <is>
          <t>Thực tích Bản vẽ HT CĐ Ca 1 (Ngày)</t>
        </is>
      </c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>
        <v>1</v>
      </c>
      <c r="O171" s="1" t="n">
        <v>3</v>
      </c>
      <c r="P171" s="1" t="n">
        <v>1</v>
      </c>
      <c r="Q171" s="1" t="n">
        <v>3</v>
      </c>
      <c r="R171" s="1" t="n">
        <v>2</v>
      </c>
      <c r="S171" s="1" t="n">
        <v>2</v>
      </c>
      <c r="T171" s="1" t="n">
        <v>0</v>
      </c>
      <c r="U171" s="1" t="n">
        <v>3</v>
      </c>
      <c r="V171" s="1" t="n">
        <v>1</v>
      </c>
      <c r="W171" s="1" t="n">
        <v>4</v>
      </c>
      <c r="X171" s="1" t="n">
        <v>2</v>
      </c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6" t="n"/>
      <c r="AP171" s="16" t="n"/>
      <c r="AQ171" s="16" t="n"/>
      <c r="AR171" s="16" t="n"/>
      <c r="AS171" s="16" t="n"/>
    </row>
    <row r="172">
      <c r="A172" s="4" t="inlineStr">
        <is>
          <t>Thực tích Bản vẽ HT CĐ Ca 2 (Ngày)</t>
        </is>
      </c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>
        <v>3</v>
      </c>
      <c r="O172" s="1" t="n">
        <v>3</v>
      </c>
      <c r="P172" s="1" t="n">
        <v>4</v>
      </c>
      <c r="Q172" s="1" t="n">
        <v>4</v>
      </c>
      <c r="R172" s="1" t="n">
        <v>4</v>
      </c>
      <c r="S172" s="1" t="n">
        <v>1</v>
      </c>
      <c r="T172" s="1" t="n">
        <v>0</v>
      </c>
      <c r="U172" s="1" t="n">
        <v>2</v>
      </c>
      <c r="V172" s="1" t="n">
        <v>1</v>
      </c>
      <c r="W172" s="1" t="n">
        <v>4</v>
      </c>
      <c r="X172" s="1" t="n">
        <v>4</v>
      </c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6" t="n"/>
      <c r="AP172" s="16" t="n"/>
      <c r="AQ172" s="16" t="n"/>
      <c r="AR172" s="16" t="n"/>
      <c r="AS172" s="16" t="n"/>
    </row>
    <row r="173">
      <c r="A173" s="4" t="inlineStr">
        <is>
          <t>Thực tích số PCS HT CĐ Ca 1 (Ngày)</t>
        </is>
      </c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>
        <v>36</v>
      </c>
      <c r="O173" s="1" t="n">
        <v>7</v>
      </c>
      <c r="P173" s="1" t="n">
        <v>5</v>
      </c>
      <c r="Q173" s="1" t="n">
        <v>34</v>
      </c>
      <c r="R173" s="1" t="n">
        <v>78</v>
      </c>
      <c r="S173" s="1" t="n">
        <v>10</v>
      </c>
      <c r="T173" s="1" t="n">
        <v>0</v>
      </c>
      <c r="U173" s="1" t="n">
        <v>21</v>
      </c>
      <c r="V173" s="1" t="n">
        <v>10</v>
      </c>
      <c r="W173" s="1" t="n">
        <v>212</v>
      </c>
      <c r="X173" s="1" t="n">
        <v>400</v>
      </c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6" t="n"/>
      <c r="AP173" s="16" t="n"/>
      <c r="AQ173" s="16" t="n"/>
      <c r="AR173" s="16" t="n"/>
      <c r="AS173" s="16" t="n"/>
    </row>
    <row r="174">
      <c r="A174" s="4" t="inlineStr">
        <is>
          <t>Thực tích số PCS HT CĐ Ca 2 (Ngày)</t>
        </is>
      </c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>
        <v>59</v>
      </c>
      <c r="O174" s="1" t="n">
        <v>26</v>
      </c>
      <c r="P174" s="1" t="n">
        <v>209</v>
      </c>
      <c r="Q174" s="1" t="n">
        <v>353</v>
      </c>
      <c r="R174" s="1" t="n">
        <v>312</v>
      </c>
      <c r="S174" s="1" t="n">
        <v>40</v>
      </c>
      <c r="T174" s="1" t="n">
        <v>0</v>
      </c>
      <c r="U174" s="1" t="n">
        <v>48</v>
      </c>
      <c r="V174" s="1" t="n">
        <v>3</v>
      </c>
      <c r="W174" s="1" t="n">
        <v>26</v>
      </c>
      <c r="X174" s="1" t="n">
        <v>255</v>
      </c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6" t="n"/>
      <c r="AP174" s="16" t="n"/>
      <c r="AQ174" s="16" t="n"/>
      <c r="AR174" s="16" t="n"/>
      <c r="AS174" s="16" t="n"/>
    </row>
    <row r="175">
      <c r="A175" s="4" t="inlineStr">
        <is>
          <t>Thực tích Bản vẽ HT CĐ Ca 1  (Tháng)</t>
        </is>
      </c>
      <c r="B175" s="1" t="n"/>
      <c r="C175" s="1" t="n"/>
      <c r="D175" s="1" t="n"/>
      <c r="E175" s="1" t="n">
        <v>22</v>
      </c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6" t="n"/>
      <c r="AP175" s="16" t="n"/>
      <c r="AQ175" s="16" t="n"/>
      <c r="AR175" s="16" t="n"/>
      <c r="AS175" s="16" t="n"/>
    </row>
    <row r="176">
      <c r="A176" s="4" t="inlineStr">
        <is>
          <t>Thực tích Bản vẽ HT CĐ Ca 2  (Tháng)</t>
        </is>
      </c>
      <c r="B176" s="1" t="n"/>
      <c r="C176" s="1" t="n"/>
      <c r="D176" s="1" t="n"/>
      <c r="E176" s="1" t="n">
        <v>30</v>
      </c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6" t="n"/>
      <c r="AP176" s="16" t="n"/>
      <c r="AQ176" s="16" t="n"/>
      <c r="AR176" s="16" t="n"/>
      <c r="AS176" s="16" t="n"/>
    </row>
    <row r="177">
      <c r="A177" s="4" t="inlineStr">
        <is>
          <t>Thực tích số PCS HT CĐ Ca 1  (Tháng)</t>
        </is>
      </c>
      <c r="B177" s="1" t="n"/>
      <c r="C177" s="1" t="n"/>
      <c r="D177" s="1" t="n"/>
      <c r="E177" s="1" t="n">
        <v>813</v>
      </c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6" t="n"/>
      <c r="AP177" s="16" t="n"/>
      <c r="AQ177" s="16" t="n"/>
      <c r="AR177" s="16" t="n"/>
      <c r="AS177" s="16" t="n"/>
    </row>
    <row r="178">
      <c r="A178" s="4" t="inlineStr">
        <is>
          <t>Thực tích số PCS HT CĐ Ca 2  (Tháng)</t>
        </is>
      </c>
      <c r="B178" s="1" t="n"/>
      <c r="C178" s="1" t="n"/>
      <c r="D178" s="1" t="n"/>
      <c r="E178" s="1" t="n">
        <v>1331</v>
      </c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6" t="n"/>
      <c r="AP178" s="16" t="n"/>
      <c r="AQ178" s="16" t="n"/>
      <c r="AR178" s="16" t="n"/>
      <c r="AS178" s="16" t="n"/>
    </row>
    <row r="179">
      <c r="A179" s="9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  <c r="AD179" s="10" t="n"/>
      <c r="AE179" s="10" t="n"/>
      <c r="AF179" s="10" t="n"/>
      <c r="AG179" s="10" t="n"/>
      <c r="AH179" s="10" t="n"/>
      <c r="AI179" s="10" t="n"/>
      <c r="AJ179" s="10" t="n"/>
      <c r="AK179" s="10" t="n"/>
      <c r="AL179" s="10" t="n"/>
    </row>
    <row r="180">
      <c r="A180" s="4" t="inlineStr">
        <is>
          <t>Công đoạn:</t>
        </is>
      </c>
      <c r="B180" s="1" t="inlineStr">
        <is>
          <t>GJ</t>
        </is>
      </c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  <c r="AD180" s="10" t="n"/>
      <c r="AE180" s="10" t="n"/>
      <c r="AF180" s="10" t="n"/>
      <c r="AG180" s="10" t="n"/>
      <c r="AH180" s="10" t="n"/>
      <c r="AI180" s="10" t="n"/>
      <c r="AJ180" s="10" t="n"/>
      <c r="AK180" s="10" t="n"/>
      <c r="AL180" s="10" t="n"/>
    </row>
    <row r="181" ht="14.4" customHeight="1">
      <c r="A181" s="4" t="inlineStr">
        <is>
          <t>Ngày làm việc</t>
        </is>
      </c>
      <c r="B181" s="1" t="inlineStr">
        <is>
          <t>1月</t>
        </is>
      </c>
      <c r="C181" s="11" t="inlineStr">
        <is>
          <t>2月</t>
        </is>
      </c>
      <c r="D181" s="1" t="inlineStr">
        <is>
          <t>3月</t>
        </is>
      </c>
      <c r="E181" s="1" t="inlineStr">
        <is>
          <t>4月</t>
        </is>
      </c>
      <c r="F181" s="11" t="inlineStr">
        <is>
          <t>5月</t>
        </is>
      </c>
      <c r="G181" s="1" t="inlineStr">
        <is>
          <t>6月</t>
        </is>
      </c>
      <c r="H181" s="1" t="inlineStr">
        <is>
          <t>7月</t>
        </is>
      </c>
      <c r="I181" s="11" t="inlineStr">
        <is>
          <t>8月</t>
        </is>
      </c>
      <c r="J181" s="1" t="inlineStr">
        <is>
          <t>9月</t>
        </is>
      </c>
      <c r="K181" s="1" t="inlineStr">
        <is>
          <t>10月</t>
        </is>
      </c>
      <c r="L181" s="11" t="inlineStr">
        <is>
          <t>11月</t>
        </is>
      </c>
      <c r="M181" s="1" t="inlineStr">
        <is>
          <t>12月</t>
        </is>
      </c>
      <c r="N181" s="2" t="n">
        <v>46111</v>
      </c>
      <c r="O181" s="2" t="n">
        <v>46112</v>
      </c>
      <c r="P181" s="2" t="n">
        <v>46113</v>
      </c>
      <c r="Q181" s="2" t="n">
        <v>46114</v>
      </c>
      <c r="R181" s="2" t="n">
        <v>46115</v>
      </c>
      <c r="S181" s="2" t="n">
        <v>46116</v>
      </c>
      <c r="T181" s="2" t="n">
        <v>46117</v>
      </c>
      <c r="U181" s="2" t="n">
        <v>46118</v>
      </c>
      <c r="V181" s="2" t="n">
        <v>46119</v>
      </c>
      <c r="W181" s="2" t="n">
        <v>46120</v>
      </c>
      <c r="X181" s="2" t="n">
        <v>46121</v>
      </c>
      <c r="Y181" s="2" t="n">
        <v>46122</v>
      </c>
      <c r="Z181" s="2" t="n">
        <v>46123</v>
      </c>
      <c r="AA181" s="2" t="n">
        <v>46124</v>
      </c>
      <c r="AB181" s="2" t="n">
        <v>46125</v>
      </c>
      <c r="AC181" s="2" t="n">
        <v>46126</v>
      </c>
      <c r="AD181" s="2" t="n">
        <v>46127</v>
      </c>
      <c r="AE181" s="2" t="n">
        <v>46128</v>
      </c>
      <c r="AF181" s="2" t="n">
        <v>46129</v>
      </c>
      <c r="AG181" s="2" t="n">
        <v>46130</v>
      </c>
      <c r="AH181" s="2" t="n">
        <v>46131</v>
      </c>
      <c r="AI181" s="2" t="n">
        <v>46132</v>
      </c>
      <c r="AJ181" s="2" t="n">
        <v>46133</v>
      </c>
      <c r="AK181" s="2" t="n">
        <v>46134</v>
      </c>
      <c r="AL181" s="2" t="n">
        <v>46135</v>
      </c>
      <c r="AM181" s="2" t="n">
        <v>46136</v>
      </c>
      <c r="AN181" s="2" t="n">
        <v>46137</v>
      </c>
      <c r="AO181" s="2" t="n">
        <v>46138</v>
      </c>
      <c r="AP181" s="2" t="n">
        <v>46139</v>
      </c>
      <c r="AQ181" s="2" t="n"/>
      <c r="AR181" s="2" t="n"/>
      <c r="AS181" s="2" t="n"/>
      <c r="AT181" s="21" t="n"/>
    </row>
    <row r="182" ht="15" customHeight="1">
      <c r="A182" s="7" t="inlineStr">
        <is>
          <t>Làm việc? 1=Yes, 0=No</t>
        </is>
      </c>
      <c r="B182" s="3" t="n">
        <v>1</v>
      </c>
      <c r="C182" s="3" t="n">
        <v>1</v>
      </c>
      <c r="D182" s="3" t="n">
        <v>1</v>
      </c>
      <c r="E182" s="3" t="n">
        <v>1</v>
      </c>
      <c r="F182" s="3" t="n">
        <v>1</v>
      </c>
      <c r="G182" s="3" t="n">
        <v>1</v>
      </c>
      <c r="H182" s="3" t="n">
        <v>1</v>
      </c>
      <c r="I182" s="3" t="n">
        <v>1</v>
      </c>
      <c r="J182" s="3" t="n">
        <v>1</v>
      </c>
      <c r="K182" s="3" t="n">
        <v>1</v>
      </c>
      <c r="L182" s="3" t="n">
        <v>1</v>
      </c>
      <c r="M182" s="3" t="n">
        <v>1</v>
      </c>
      <c r="N182" s="1" t="n">
        <v>1</v>
      </c>
      <c r="O182" s="1" t="n">
        <v>1</v>
      </c>
      <c r="P182" s="1" t="n">
        <v>1</v>
      </c>
      <c r="Q182" s="1" t="n">
        <v>1</v>
      </c>
      <c r="R182" s="1" t="n">
        <v>1</v>
      </c>
      <c r="S182" s="1" t="n">
        <v>0</v>
      </c>
      <c r="T182" s="1" t="n">
        <v>0</v>
      </c>
      <c r="U182" s="1" t="n">
        <v>1</v>
      </c>
      <c r="V182" s="1" t="n">
        <v>1</v>
      </c>
      <c r="W182" s="1" t="n">
        <v>1</v>
      </c>
      <c r="X182" s="1" t="n">
        <v>1</v>
      </c>
      <c r="Y182" s="1" t="n">
        <v>1</v>
      </c>
      <c r="Z182" s="1" t="n">
        <v>0</v>
      </c>
      <c r="AA182" s="1" t="n">
        <v>0</v>
      </c>
      <c r="AB182" s="1" t="n">
        <v>1</v>
      </c>
      <c r="AC182" s="1" t="n">
        <v>1</v>
      </c>
      <c r="AD182" s="1" t="n">
        <v>1</v>
      </c>
      <c r="AE182" s="1" t="n">
        <v>1</v>
      </c>
      <c r="AF182" s="1" t="n">
        <v>1</v>
      </c>
      <c r="AG182" s="1" t="n">
        <v>0</v>
      </c>
      <c r="AH182" s="1" t="n">
        <v>0</v>
      </c>
      <c r="AI182" s="1" t="n">
        <v>1</v>
      </c>
      <c r="AJ182" s="1" t="n">
        <v>1</v>
      </c>
      <c r="AK182" s="1" t="n">
        <v>1</v>
      </c>
      <c r="AL182" s="1" t="n">
        <v>1</v>
      </c>
      <c r="AM182" s="1" t="n">
        <v>1</v>
      </c>
      <c r="AN182" s="1" t="n">
        <v>0</v>
      </c>
      <c r="AO182" s="1" t="n">
        <v>0</v>
      </c>
      <c r="AP182" s="16" t="n">
        <v>1</v>
      </c>
      <c r="AQ182" s="16" t="n"/>
      <c r="AR182" s="16" t="n"/>
      <c r="AS182" s="16" t="n"/>
    </row>
    <row r="183">
      <c r="A183" s="4" t="inlineStr">
        <is>
          <t>Mục tiêu Bản vẽ  HT CĐ (Ngày)</t>
        </is>
      </c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5" t="n">
        <v>4.06</v>
      </c>
      <c r="O183" s="5" t="n">
        <v>4.06</v>
      </c>
      <c r="P183" s="5" t="n">
        <v>4.06</v>
      </c>
      <c r="Q183" s="5" t="n">
        <v>4.06</v>
      </c>
      <c r="R183" s="5" t="n">
        <v>4.06</v>
      </c>
      <c r="S183" s="5" t="n"/>
      <c r="T183" s="5" t="n"/>
      <c r="U183" s="5" t="n">
        <v>4.06</v>
      </c>
      <c r="V183" s="5" t="n">
        <v>4.06</v>
      </c>
      <c r="W183" s="5" t="n">
        <v>4.06</v>
      </c>
      <c r="X183" s="5" t="n">
        <v>4.06</v>
      </c>
      <c r="Y183" s="5" t="n">
        <v>4.06</v>
      </c>
      <c r="Z183" s="5" t="n"/>
      <c r="AA183" s="5" t="n"/>
      <c r="AB183" s="5" t="n">
        <v>4.06</v>
      </c>
      <c r="AC183" s="5" t="n">
        <v>4.06</v>
      </c>
      <c r="AD183" s="5" t="n">
        <v>4.06</v>
      </c>
      <c r="AE183" s="5" t="n">
        <v>4.06</v>
      </c>
      <c r="AF183" s="5" t="n">
        <v>4.06</v>
      </c>
      <c r="AG183" s="5" t="n"/>
      <c r="AH183" s="5" t="n"/>
      <c r="AI183" s="5" t="n">
        <v>4.06</v>
      </c>
      <c r="AJ183" s="5" t="n">
        <v>4.06</v>
      </c>
      <c r="AK183" s="5" t="n">
        <v>4.06</v>
      </c>
      <c r="AL183" s="5" t="n">
        <v>4.06</v>
      </c>
      <c r="AM183" s="5" t="n">
        <v>4.06</v>
      </c>
      <c r="AN183" s="5" t="n"/>
      <c r="AO183" s="5" t="n"/>
      <c r="AP183" s="16" t="n">
        <v>4.06</v>
      </c>
      <c r="AQ183" s="16" t="n"/>
      <c r="AR183" s="16" t="n"/>
      <c r="AS183" s="16" t="n"/>
    </row>
    <row r="184">
      <c r="A184" s="4" t="inlineStr">
        <is>
          <t>Mục tiêu số PCS  HT CĐ (Ngày)</t>
        </is>
      </c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5" t="n">
        <v>10.46</v>
      </c>
      <c r="O184" s="5" t="n">
        <v>10.46</v>
      </c>
      <c r="P184" s="5" t="n">
        <v>10.46</v>
      </c>
      <c r="Q184" s="5" t="n">
        <v>10.46</v>
      </c>
      <c r="R184" s="5" t="n">
        <v>10.46</v>
      </c>
      <c r="S184" s="5" t="n"/>
      <c r="T184" s="5" t="n"/>
      <c r="U184" s="5" t="n">
        <v>10.46</v>
      </c>
      <c r="V184" s="5" t="n">
        <v>10.46</v>
      </c>
      <c r="W184" s="5" t="n">
        <v>10.46</v>
      </c>
      <c r="X184" s="5" t="n">
        <v>10.46</v>
      </c>
      <c r="Y184" s="5" t="n">
        <v>10.46</v>
      </c>
      <c r="Z184" s="5" t="n"/>
      <c r="AA184" s="5" t="n"/>
      <c r="AB184" s="5" t="n">
        <v>10.46</v>
      </c>
      <c r="AC184" s="5" t="n">
        <v>10.46</v>
      </c>
      <c r="AD184" s="5" t="n">
        <v>10.46</v>
      </c>
      <c r="AE184" s="5" t="n">
        <v>10.46</v>
      </c>
      <c r="AF184" s="5" t="n">
        <v>10.46</v>
      </c>
      <c r="AG184" s="5" t="n"/>
      <c r="AH184" s="5" t="n"/>
      <c r="AI184" s="5" t="n">
        <v>10.46</v>
      </c>
      <c r="AJ184" s="5" t="n">
        <v>10.46</v>
      </c>
      <c r="AK184" s="5" t="n">
        <v>10.46</v>
      </c>
      <c r="AL184" s="5" t="n">
        <v>10.46</v>
      </c>
      <c r="AM184" s="5" t="n">
        <v>10.46</v>
      </c>
      <c r="AN184" s="5" t="n"/>
      <c r="AO184" s="5" t="n"/>
      <c r="AP184" s="16" t="n">
        <v>10.46</v>
      </c>
      <c r="AQ184" s="16" t="n"/>
      <c r="AR184" s="16" t="n"/>
      <c r="AS184" s="16" t="n"/>
    </row>
    <row r="185">
      <c r="A185" s="4" t="inlineStr">
        <is>
          <t>Mục tiêu Bản vẽ HT CĐ Ca 1 (Còn lại/Ngày)</t>
        </is>
      </c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5" t="n">
        <v>4.06</v>
      </c>
      <c r="O185" s="5" t="n">
        <v>4.17</v>
      </c>
      <c r="P185" s="5" t="n">
        <v>4.39</v>
      </c>
      <c r="Q185" s="5" t="n">
        <v>4.46</v>
      </c>
      <c r="R185" s="5" t="n">
        <v>4.67</v>
      </c>
      <c r="S185" s="5" t="n"/>
      <c r="T185" s="5" t="n"/>
      <c r="U185" s="5" t="n">
        <v>4.83</v>
      </c>
      <c r="V185" s="5" t="n">
        <v>4.89</v>
      </c>
      <c r="W185" s="5" t="n">
        <v>5.1</v>
      </c>
      <c r="X185" s="5" t="n">
        <v>5.26</v>
      </c>
      <c r="Y185" s="5" t="n">
        <v>5.53</v>
      </c>
      <c r="Z185" s="5" t="n"/>
      <c r="AA185" s="5" t="n"/>
      <c r="AB185" s="5" t="n">
        <v>5.53</v>
      </c>
      <c r="AC185" s="5" t="n">
        <v>5.53</v>
      </c>
      <c r="AD185" s="5" t="n">
        <v>5.53</v>
      </c>
      <c r="AE185" s="5" t="n">
        <v>5.53</v>
      </c>
      <c r="AF185" s="5" t="n">
        <v>5.53</v>
      </c>
      <c r="AG185" s="5" t="n"/>
      <c r="AH185" s="5" t="n"/>
      <c r="AI185" s="5" t="n">
        <v>5.53</v>
      </c>
      <c r="AJ185" s="5" t="n">
        <v>5.53</v>
      </c>
      <c r="AK185" s="5" t="n">
        <v>5.53</v>
      </c>
      <c r="AL185" s="5" t="n">
        <v>5.53</v>
      </c>
      <c r="AM185" s="5" t="n">
        <v>5.53</v>
      </c>
      <c r="AN185" s="5" t="n"/>
      <c r="AO185" s="5" t="n"/>
      <c r="AP185" s="16" t="n">
        <v>5.53</v>
      </c>
      <c r="AQ185" s="16" t="n"/>
      <c r="AR185" s="16" t="n"/>
      <c r="AS185" s="16" t="n"/>
    </row>
    <row r="186">
      <c r="A186" s="4" t="inlineStr">
        <is>
          <t>Mục tiêu Bản vẽ HT CĐ Ca 2(Còn lại/Ngày)</t>
        </is>
      </c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5" t="n">
        <v>4.06</v>
      </c>
      <c r="O186" s="5" t="n">
        <v>4.17</v>
      </c>
      <c r="P186" s="5" t="n">
        <v>4.28</v>
      </c>
      <c r="Q186" s="5" t="n">
        <v>4.35</v>
      </c>
      <c r="R186" s="5" t="n">
        <v>4.37</v>
      </c>
      <c r="S186" s="5" t="n"/>
      <c r="T186" s="5" t="n"/>
      <c r="U186" s="5" t="n">
        <v>4.46</v>
      </c>
      <c r="V186" s="5" t="n">
        <v>4.56</v>
      </c>
      <c r="W186" s="5" t="n">
        <v>4.67</v>
      </c>
      <c r="X186" s="5" t="n">
        <v>4.72</v>
      </c>
      <c r="Y186" s="5" t="n">
        <v>4.86</v>
      </c>
      <c r="Z186" s="5" t="n"/>
      <c r="AA186" s="5" t="n"/>
      <c r="AB186" s="5" t="n">
        <v>4.86</v>
      </c>
      <c r="AC186" s="5" t="n">
        <v>4.86</v>
      </c>
      <c r="AD186" s="5" t="n">
        <v>4.86</v>
      </c>
      <c r="AE186" s="5" t="n">
        <v>4.86</v>
      </c>
      <c r="AF186" s="5" t="n">
        <v>4.86</v>
      </c>
      <c r="AG186" s="5" t="n"/>
      <c r="AH186" s="5" t="n"/>
      <c r="AI186" s="5" t="n">
        <v>4.86</v>
      </c>
      <c r="AJ186" s="5" t="n">
        <v>4.86</v>
      </c>
      <c r="AK186" s="5" t="n">
        <v>4.86</v>
      </c>
      <c r="AL186" s="5" t="n">
        <v>4.86</v>
      </c>
      <c r="AM186" s="5" t="n">
        <v>4.86</v>
      </c>
      <c r="AN186" s="5" t="n"/>
      <c r="AO186" s="5" t="n"/>
      <c r="AP186" s="16" t="n">
        <v>4.86</v>
      </c>
      <c r="AQ186" s="16" t="n"/>
      <c r="AR186" s="16" t="n"/>
      <c r="AS186" s="16" t="n"/>
    </row>
    <row r="187">
      <c r="A187" s="4" t="inlineStr">
        <is>
          <t>Mục tiêu số PCS HT CĐ Ca 1(Còn lại/Ngày)</t>
        </is>
      </c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5" t="n">
        <v>10.46</v>
      </c>
      <c r="O187" s="5" t="n">
        <v>10.83</v>
      </c>
      <c r="P187" s="5" t="n">
        <v>11.4</v>
      </c>
      <c r="Q187" s="5" t="n">
        <v>11.87</v>
      </c>
      <c r="R187" s="5" t="n">
        <v>11.86</v>
      </c>
      <c r="S187" s="5" t="n"/>
      <c r="T187" s="5" t="n"/>
      <c r="U187" s="5" t="n">
        <v>12.42</v>
      </c>
      <c r="V187" s="5" t="n">
        <v>12.78</v>
      </c>
      <c r="W187" s="5" t="n">
        <v>13.55</v>
      </c>
      <c r="X187" s="5" t="n">
        <v>13.74</v>
      </c>
      <c r="Y187" s="5" t="n">
        <v>13.55</v>
      </c>
      <c r="Z187" s="5" t="n"/>
      <c r="AA187" s="5" t="n"/>
      <c r="AB187" s="5" t="n">
        <v>13.55</v>
      </c>
      <c r="AC187" s="5" t="n">
        <v>13.55</v>
      </c>
      <c r="AD187" s="5" t="n">
        <v>13.55</v>
      </c>
      <c r="AE187" s="5" t="n">
        <v>13.55</v>
      </c>
      <c r="AF187" s="5" t="n">
        <v>13.55</v>
      </c>
      <c r="AG187" s="5" t="n"/>
      <c r="AH187" s="5" t="n"/>
      <c r="AI187" s="5" t="n">
        <v>13.55</v>
      </c>
      <c r="AJ187" s="5" t="n">
        <v>13.55</v>
      </c>
      <c r="AK187" s="5" t="n">
        <v>13.55</v>
      </c>
      <c r="AL187" s="5" t="n">
        <v>13.55</v>
      </c>
      <c r="AM187" s="5" t="n">
        <v>13.55</v>
      </c>
      <c r="AN187" s="5" t="n"/>
      <c r="AO187" s="5" t="n"/>
      <c r="AP187" s="16" t="n">
        <v>13.55</v>
      </c>
      <c r="AQ187" s="16" t="n"/>
      <c r="AR187" s="16" t="n"/>
      <c r="AS187" s="16" t="n"/>
    </row>
    <row r="188">
      <c r="A188" s="4" t="inlineStr">
        <is>
          <t>Mục tiêu số PCS HT CĐ Ca 2(Còn lại/Ngày)</t>
        </is>
      </c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5" t="n">
        <v>10.46</v>
      </c>
      <c r="O188" s="5" t="n">
        <v>10.88</v>
      </c>
      <c r="P188" s="5" t="n">
        <v>11.35</v>
      </c>
      <c r="Q188" s="5" t="n">
        <v>11.2</v>
      </c>
      <c r="R188" s="5" t="n">
        <v>10.51</v>
      </c>
      <c r="S188" s="5" t="n"/>
      <c r="T188" s="5" t="n"/>
      <c r="U188" s="5" t="n">
        <v>10.79</v>
      </c>
      <c r="V188" s="5" t="n">
        <v>10.91</v>
      </c>
      <c r="W188" s="5" t="n">
        <v>11.12</v>
      </c>
      <c r="X188" s="5" t="n">
        <v>10.97</v>
      </c>
      <c r="Y188" s="5" t="n">
        <v>10.05</v>
      </c>
      <c r="Z188" s="5" t="n"/>
      <c r="AA188" s="5" t="n"/>
      <c r="AB188" s="5" t="n">
        <v>10.05</v>
      </c>
      <c r="AC188" s="5" t="n">
        <v>10.05</v>
      </c>
      <c r="AD188" s="5" t="n">
        <v>10.05</v>
      </c>
      <c r="AE188" s="5" t="n">
        <v>10.05</v>
      </c>
      <c r="AF188" s="5" t="n">
        <v>10.05</v>
      </c>
      <c r="AG188" s="5" t="n"/>
      <c r="AH188" s="5" t="n"/>
      <c r="AI188" s="5" t="n">
        <v>10.05</v>
      </c>
      <c r="AJ188" s="5" t="n">
        <v>10.05</v>
      </c>
      <c r="AK188" s="5" t="n">
        <v>10.05</v>
      </c>
      <c r="AL188" s="5" t="n">
        <v>10.05</v>
      </c>
      <c r="AM188" s="5" t="n">
        <v>10.05</v>
      </c>
      <c r="AN188" s="5" t="n"/>
      <c r="AO188" s="5" t="n"/>
      <c r="AP188" s="16" t="n">
        <v>10.05</v>
      </c>
      <c r="AQ188" s="16" t="n"/>
      <c r="AR188" s="16" t="n"/>
      <c r="AS188" s="16" t="n"/>
    </row>
    <row r="189">
      <c r="A189" s="4" t="inlineStr">
        <is>
          <t>Mục tiêu Bản vẽ  HT CĐ  (Tháng)</t>
        </is>
      </c>
      <c r="B189" s="17" t="n">
        <v>89.40918757168298</v>
      </c>
      <c r="C189" s="17" t="n">
        <v>60.96080970796567</v>
      </c>
      <c r="D189" s="17" t="n">
        <v>89.40918757168298</v>
      </c>
      <c r="E189" s="17" t="n">
        <v>85.34513359115194</v>
      </c>
      <c r="F189" s="17" t="n">
        <v>81.28107961062088</v>
      </c>
      <c r="G189" s="17" t="n">
        <v>89.40918757168298</v>
      </c>
      <c r="H189" s="17" t="n">
        <v>93.47324155221402</v>
      </c>
      <c r="I189" s="17" t="n">
        <v>85.34513359115194</v>
      </c>
      <c r="J189" s="17" t="n">
        <v>85.34513359115194</v>
      </c>
      <c r="K189" s="17" t="n">
        <v>89.40918757168298</v>
      </c>
      <c r="L189" s="17" t="n">
        <v>85.34513359115194</v>
      </c>
      <c r="M189" s="17" t="n">
        <v>89.40918757168298</v>
      </c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N189" s="5" t="n"/>
      <c r="AO189" s="5" t="n"/>
      <c r="AP189" s="16" t="n"/>
      <c r="AQ189" s="16" t="n"/>
      <c r="AR189" s="16" t="n"/>
      <c r="AS189" s="16" t="n"/>
    </row>
    <row r="190">
      <c r="A190" s="4" t="inlineStr">
        <is>
          <t>Mục tiêu số PCS  HT CĐ  (Tháng)</t>
        </is>
      </c>
      <c r="B190" s="17" t="n">
        <v>230.1110884516998</v>
      </c>
      <c r="C190" s="17" t="n">
        <v>156.8939239443408</v>
      </c>
      <c r="D190" s="17" t="n">
        <v>230.1110884516998</v>
      </c>
      <c r="E190" s="17" t="n">
        <v>219.6514935220771</v>
      </c>
      <c r="F190" s="17" t="n">
        <v>209.1918985924544</v>
      </c>
      <c r="G190" s="17" t="n">
        <v>230.1110884516998</v>
      </c>
      <c r="H190" s="17" t="n">
        <v>240.5706833813225</v>
      </c>
      <c r="I190" s="17" t="n">
        <v>219.6514935220771</v>
      </c>
      <c r="J190" s="17" t="n">
        <v>219.6514935220771</v>
      </c>
      <c r="K190" s="17" t="n">
        <v>230.1110884516998</v>
      </c>
      <c r="L190" s="17" t="n">
        <v>219.6514935220771</v>
      </c>
      <c r="M190" s="17" t="n">
        <v>230.1110884516998</v>
      </c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  <c r="AN190" s="5" t="n"/>
      <c r="AO190" s="5" t="n"/>
      <c r="AP190" s="16" t="n"/>
      <c r="AQ190" s="16" t="n"/>
      <c r="AR190" s="16" t="n"/>
      <c r="AS190" s="16" t="n"/>
    </row>
    <row r="191">
      <c r="A191" s="4" t="inlineStr">
        <is>
          <t>Thực tích Bản vẽ HT CĐ Ca 1 (Ngày)</t>
        </is>
      </c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>
        <v>2</v>
      </c>
      <c r="O191" s="1" t="n">
        <v>0</v>
      </c>
      <c r="P191" s="1" t="n">
        <v>3</v>
      </c>
      <c r="Q191" s="1" t="n">
        <v>1</v>
      </c>
      <c r="R191" s="1" t="n">
        <v>2</v>
      </c>
      <c r="S191" s="1" t="n">
        <v>0</v>
      </c>
      <c r="T191" s="1" t="n">
        <v>0</v>
      </c>
      <c r="U191" s="1" t="n">
        <v>4</v>
      </c>
      <c r="V191" s="1" t="n">
        <v>2</v>
      </c>
      <c r="W191" s="1" t="n">
        <v>3</v>
      </c>
      <c r="X191" s="1" t="n">
        <v>2</v>
      </c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6" t="n"/>
      <c r="AP191" s="16" t="n"/>
      <c r="AQ191" s="16" t="n"/>
      <c r="AR191" s="16" t="n"/>
      <c r="AS191" s="16" t="n"/>
    </row>
    <row r="192">
      <c r="A192" s="4" t="inlineStr">
        <is>
          <t>Thực tích Bản vẽ HT CĐ Ca 2 (Ngày)</t>
        </is>
      </c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>
        <v>2</v>
      </c>
      <c r="O192" s="1" t="n">
        <v>2</v>
      </c>
      <c r="P192" s="1" t="n">
        <v>3</v>
      </c>
      <c r="Q192" s="1" t="n">
        <v>4</v>
      </c>
      <c r="R192" s="1" t="n">
        <v>3</v>
      </c>
      <c r="S192" s="1" t="n">
        <v>0</v>
      </c>
      <c r="T192" s="1" t="n">
        <v>0</v>
      </c>
      <c r="U192" s="1" t="n">
        <v>3</v>
      </c>
      <c r="V192" s="1" t="n">
        <v>3</v>
      </c>
      <c r="W192" s="1" t="n">
        <v>4</v>
      </c>
      <c r="X192" s="1" t="n">
        <v>3</v>
      </c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6" t="n"/>
      <c r="AP192" s="16" t="n"/>
      <c r="AQ192" s="16" t="n"/>
      <c r="AR192" s="16" t="n"/>
      <c r="AS192" s="16" t="n"/>
    </row>
    <row r="193">
      <c r="A193" s="4" t="inlineStr">
        <is>
          <t>Thực tích số PCS HT CĐ Ca 1 (Ngày)</t>
        </is>
      </c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>
        <v>3</v>
      </c>
      <c r="O193" s="1" t="n">
        <v>0</v>
      </c>
      <c r="P193" s="1" t="n">
        <v>3</v>
      </c>
      <c r="Q193" s="1" t="n">
        <v>12</v>
      </c>
      <c r="R193" s="1" t="n">
        <v>3</v>
      </c>
      <c r="S193" s="1" t="n">
        <v>0</v>
      </c>
      <c r="T193" s="1" t="n">
        <v>0</v>
      </c>
      <c r="U193" s="1" t="n">
        <v>7</v>
      </c>
      <c r="V193" s="1" t="n">
        <v>2</v>
      </c>
      <c r="W193" s="1" t="n">
        <v>11</v>
      </c>
      <c r="X193" s="1" t="n">
        <v>16</v>
      </c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6" t="n"/>
      <c r="AP193" s="16" t="n"/>
      <c r="AQ193" s="16" t="n"/>
      <c r="AR193" s="16" t="n"/>
      <c r="AS193" s="16" t="n"/>
    </row>
    <row r="194">
      <c r="A194" s="4" t="inlineStr">
        <is>
          <t>Thực tích số PCS HT CĐ Ca 2 (Ngày)</t>
        </is>
      </c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>
        <v>2</v>
      </c>
      <c r="O194" s="1" t="n">
        <v>2</v>
      </c>
      <c r="P194" s="1" t="n">
        <v>14</v>
      </c>
      <c r="Q194" s="1" t="n">
        <v>23</v>
      </c>
      <c r="R194" s="1" t="n">
        <v>6</v>
      </c>
      <c r="S194" s="1" t="n">
        <v>0</v>
      </c>
      <c r="T194" s="1" t="n">
        <v>0</v>
      </c>
      <c r="U194" s="1" t="n">
        <v>9</v>
      </c>
      <c r="V194" s="1" t="n">
        <v>8</v>
      </c>
      <c r="W194" s="1" t="n">
        <v>13</v>
      </c>
      <c r="X194" s="1" t="n">
        <v>22</v>
      </c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6" t="n"/>
      <c r="AP194" s="16" t="n"/>
      <c r="AQ194" s="16" t="n"/>
      <c r="AR194" s="16" t="n"/>
      <c r="AS194" s="16" t="n"/>
    </row>
    <row r="195">
      <c r="A195" s="4" t="inlineStr">
        <is>
          <t>Thực tích Bản vẽ HT CĐ Ca 1  (Tháng)</t>
        </is>
      </c>
      <c r="B195" s="1" t="n"/>
      <c r="C195" s="1" t="n"/>
      <c r="D195" s="1" t="n"/>
      <c r="E195" s="1" t="n">
        <v>19</v>
      </c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6" t="n"/>
      <c r="AP195" s="16" t="n"/>
      <c r="AQ195" s="16" t="n"/>
      <c r="AR195" s="16" t="n"/>
      <c r="AS195" s="16" t="n"/>
    </row>
    <row r="196">
      <c r="A196" s="4" t="inlineStr">
        <is>
          <t>Thực tích Bản vẽ HT CĐ Ca 2  (Tháng)</t>
        </is>
      </c>
      <c r="B196" s="1" t="n"/>
      <c r="C196" s="1" t="n"/>
      <c r="D196" s="1" t="n"/>
      <c r="E196" s="1" t="n">
        <v>27</v>
      </c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6" t="n"/>
      <c r="AP196" s="16" t="n"/>
      <c r="AQ196" s="16" t="n"/>
      <c r="AR196" s="16" t="n"/>
      <c r="AS196" s="16" t="n"/>
    </row>
    <row r="197">
      <c r="A197" s="4" t="inlineStr">
        <is>
          <t>Thực tích số PCS HT CĐ Ca 1  (Tháng)</t>
        </is>
      </c>
      <c r="B197" s="1" t="n"/>
      <c r="C197" s="1" t="n"/>
      <c r="D197" s="1" t="n"/>
      <c r="E197" s="1" t="n">
        <v>57</v>
      </c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6" t="n"/>
      <c r="AP197" s="16" t="n"/>
      <c r="AQ197" s="16" t="n"/>
      <c r="AR197" s="16" t="n"/>
      <c r="AS197" s="16" t="n"/>
    </row>
    <row r="198">
      <c r="A198" s="4" t="inlineStr">
        <is>
          <t>Thực tích số PCS HT CĐ Ca 2  (Tháng)</t>
        </is>
      </c>
      <c r="B198" s="1" t="n"/>
      <c r="C198" s="1" t="n"/>
      <c r="D198" s="1" t="n"/>
      <c r="E198" s="1" t="n">
        <v>99</v>
      </c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6" t="n"/>
      <c r="AP198" s="16" t="n"/>
      <c r="AQ198" s="16" t="n"/>
      <c r="AR198" s="16" t="n"/>
      <c r="AS198" s="16" t="n"/>
    </row>
    <row r="199">
      <c r="A199" s="9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  <c r="AD199" s="10" t="n"/>
      <c r="AE199" s="10" t="n"/>
      <c r="AF199" s="10" t="n"/>
      <c r="AG199" s="10" t="n"/>
      <c r="AH199" s="10" t="n"/>
      <c r="AI199" s="10" t="n"/>
      <c r="AJ199" s="10" t="n"/>
      <c r="AK199" s="10" t="n"/>
      <c r="AL199" s="10" t="n"/>
    </row>
    <row r="200">
      <c r="A200" s="4" t="inlineStr">
        <is>
          <t>Công đoạn:</t>
        </is>
      </c>
      <c r="B200" s="1" t="inlineStr">
        <is>
          <t>MC</t>
        </is>
      </c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  <c r="AD200" s="10" t="n"/>
      <c r="AE200" s="10" t="n"/>
      <c r="AF200" s="10" t="n"/>
      <c r="AG200" s="10" t="n"/>
      <c r="AH200" s="10" t="n"/>
      <c r="AI200" s="10" t="n"/>
      <c r="AJ200" s="10" t="n"/>
      <c r="AK200" s="10" t="n"/>
      <c r="AL200" s="10" t="n"/>
    </row>
    <row r="201" ht="14.4" customHeight="1">
      <c r="A201" s="4" t="inlineStr">
        <is>
          <t>Ngày làm việc</t>
        </is>
      </c>
      <c r="B201" s="1" t="inlineStr">
        <is>
          <t>1月</t>
        </is>
      </c>
      <c r="C201" s="11" t="inlineStr">
        <is>
          <t>2月</t>
        </is>
      </c>
      <c r="D201" s="1" t="inlineStr">
        <is>
          <t>3月</t>
        </is>
      </c>
      <c r="E201" s="1" t="inlineStr">
        <is>
          <t>4月</t>
        </is>
      </c>
      <c r="F201" s="11" t="inlineStr">
        <is>
          <t>5月</t>
        </is>
      </c>
      <c r="G201" s="1" t="inlineStr">
        <is>
          <t>6月</t>
        </is>
      </c>
      <c r="H201" s="1" t="inlineStr">
        <is>
          <t>7月</t>
        </is>
      </c>
      <c r="I201" s="11" t="inlineStr">
        <is>
          <t>8月</t>
        </is>
      </c>
      <c r="J201" s="1" t="inlineStr">
        <is>
          <t>9月</t>
        </is>
      </c>
      <c r="K201" s="1" t="inlineStr">
        <is>
          <t>10月</t>
        </is>
      </c>
      <c r="L201" s="11" t="inlineStr">
        <is>
          <t>11月</t>
        </is>
      </c>
      <c r="M201" s="1" t="inlineStr">
        <is>
          <t>12月</t>
        </is>
      </c>
      <c r="N201" s="2" t="n">
        <v>46111</v>
      </c>
      <c r="O201" s="2" t="n">
        <v>46112</v>
      </c>
      <c r="P201" s="2" t="n">
        <v>46113</v>
      </c>
      <c r="Q201" s="2" t="n">
        <v>46114</v>
      </c>
      <c r="R201" s="2" t="n">
        <v>46115</v>
      </c>
      <c r="S201" s="2" t="n">
        <v>46116</v>
      </c>
      <c r="T201" s="2" t="n">
        <v>46117</v>
      </c>
      <c r="U201" s="2" t="n">
        <v>46118</v>
      </c>
      <c r="V201" s="2" t="n">
        <v>46119</v>
      </c>
      <c r="W201" s="2" t="n">
        <v>46120</v>
      </c>
      <c r="X201" s="2" t="n">
        <v>46121</v>
      </c>
      <c r="Y201" s="2" t="n">
        <v>46122</v>
      </c>
      <c r="Z201" s="2" t="n">
        <v>46123</v>
      </c>
      <c r="AA201" s="2" t="n">
        <v>46124</v>
      </c>
      <c r="AB201" s="2" t="n">
        <v>46125</v>
      </c>
      <c r="AC201" s="2" t="n">
        <v>46126</v>
      </c>
      <c r="AD201" s="2" t="n">
        <v>46127</v>
      </c>
      <c r="AE201" s="2" t="n">
        <v>46128</v>
      </c>
      <c r="AF201" s="2" t="n">
        <v>46129</v>
      </c>
      <c r="AG201" s="2" t="n">
        <v>46130</v>
      </c>
      <c r="AH201" s="2" t="n">
        <v>46131</v>
      </c>
      <c r="AI201" s="2" t="n">
        <v>46132</v>
      </c>
      <c r="AJ201" s="2" t="n">
        <v>46133</v>
      </c>
      <c r="AK201" s="2" t="n">
        <v>46134</v>
      </c>
      <c r="AL201" s="2" t="n">
        <v>46135</v>
      </c>
      <c r="AM201" s="2" t="n">
        <v>46136</v>
      </c>
      <c r="AN201" s="2" t="n">
        <v>46137</v>
      </c>
      <c r="AO201" s="2" t="n">
        <v>46138</v>
      </c>
      <c r="AP201" s="2" t="n">
        <v>46139</v>
      </c>
      <c r="AQ201" s="2" t="n"/>
      <c r="AR201" s="2" t="n"/>
      <c r="AS201" s="2" t="n"/>
      <c r="AT201" s="21" t="n"/>
    </row>
    <row r="202" ht="15" customHeight="1">
      <c r="A202" s="7" t="inlineStr">
        <is>
          <t>Làm việc? 1=Yes, 0=No</t>
        </is>
      </c>
      <c r="B202" s="3" t="n">
        <v>1</v>
      </c>
      <c r="C202" s="3" t="n">
        <v>1</v>
      </c>
      <c r="D202" s="3" t="n">
        <v>1</v>
      </c>
      <c r="E202" s="3" t="n">
        <v>1</v>
      </c>
      <c r="F202" s="3" t="n">
        <v>1</v>
      </c>
      <c r="G202" s="3" t="n">
        <v>1</v>
      </c>
      <c r="H202" s="3" t="n">
        <v>1</v>
      </c>
      <c r="I202" s="3" t="n">
        <v>1</v>
      </c>
      <c r="J202" s="3" t="n">
        <v>1</v>
      </c>
      <c r="K202" s="3" t="n">
        <v>1</v>
      </c>
      <c r="L202" s="3" t="n">
        <v>1</v>
      </c>
      <c r="M202" s="3" t="n">
        <v>1</v>
      </c>
      <c r="N202" s="1" t="n">
        <v>1</v>
      </c>
      <c r="O202" s="1" t="n">
        <v>1</v>
      </c>
      <c r="P202" s="1" t="n">
        <v>1</v>
      </c>
      <c r="Q202" s="1" t="n">
        <v>1</v>
      </c>
      <c r="R202" s="1" t="n">
        <v>1</v>
      </c>
      <c r="S202" s="1" t="n">
        <v>0</v>
      </c>
      <c r="T202" s="1" t="n">
        <v>0</v>
      </c>
      <c r="U202" s="1" t="n">
        <v>1</v>
      </c>
      <c r="V202" s="1" t="n">
        <v>1</v>
      </c>
      <c r="W202" s="1" t="n">
        <v>1</v>
      </c>
      <c r="X202" s="1" t="n">
        <v>1</v>
      </c>
      <c r="Y202" s="1" t="n">
        <v>1</v>
      </c>
      <c r="Z202" s="1" t="n">
        <v>0</v>
      </c>
      <c r="AA202" s="1" t="n">
        <v>0</v>
      </c>
      <c r="AB202" s="1" t="n">
        <v>1</v>
      </c>
      <c r="AC202" s="1" t="n">
        <v>1</v>
      </c>
      <c r="AD202" s="1" t="n">
        <v>1</v>
      </c>
      <c r="AE202" s="1" t="n">
        <v>1</v>
      </c>
      <c r="AF202" s="1" t="n">
        <v>1</v>
      </c>
      <c r="AG202" s="1" t="n">
        <v>0</v>
      </c>
      <c r="AH202" s="1" t="n">
        <v>0</v>
      </c>
      <c r="AI202" s="1" t="n">
        <v>1</v>
      </c>
      <c r="AJ202" s="1" t="n">
        <v>1</v>
      </c>
      <c r="AK202" s="1" t="n">
        <v>1</v>
      </c>
      <c r="AL202" s="1" t="n">
        <v>1</v>
      </c>
      <c r="AM202" s="1" t="n">
        <v>1</v>
      </c>
      <c r="AN202" s="1" t="n">
        <v>0</v>
      </c>
      <c r="AO202" s="1" t="n">
        <v>0</v>
      </c>
      <c r="AP202" s="16" t="n">
        <v>1</v>
      </c>
      <c r="AQ202" s="16" t="n"/>
      <c r="AR202" s="16" t="n"/>
      <c r="AS202" s="16" t="n"/>
    </row>
    <row r="203">
      <c r="A203" s="4" t="inlineStr">
        <is>
          <t>Mục tiêu Bản vẽ  HT CĐ (Ngày)</t>
        </is>
      </c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5" t="n">
        <v>6.39</v>
      </c>
      <c r="O203" s="5" t="n">
        <v>6.39</v>
      </c>
      <c r="P203" s="5" t="n">
        <v>6.39</v>
      </c>
      <c r="Q203" s="5" t="n">
        <v>6.39</v>
      </c>
      <c r="R203" s="5" t="n">
        <v>6.39</v>
      </c>
      <c r="S203" s="5" t="n"/>
      <c r="T203" s="5" t="n"/>
      <c r="U203" s="5" t="n">
        <v>6.39</v>
      </c>
      <c r="V203" s="5" t="n">
        <v>6.39</v>
      </c>
      <c r="W203" s="5" t="n">
        <v>6.39</v>
      </c>
      <c r="X203" s="5" t="n">
        <v>6.39</v>
      </c>
      <c r="Y203" s="5" t="n">
        <v>6.39</v>
      </c>
      <c r="Z203" s="5" t="n"/>
      <c r="AA203" s="5" t="n"/>
      <c r="AB203" s="5" t="n">
        <v>6.39</v>
      </c>
      <c r="AC203" s="5" t="n">
        <v>6.39</v>
      </c>
      <c r="AD203" s="5" t="n">
        <v>6.39</v>
      </c>
      <c r="AE203" s="5" t="n">
        <v>6.39</v>
      </c>
      <c r="AF203" s="5" t="n">
        <v>6.39</v>
      </c>
      <c r="AG203" s="5" t="n"/>
      <c r="AH203" s="5" t="n"/>
      <c r="AI203" s="5" t="n">
        <v>6.39</v>
      </c>
      <c r="AJ203" s="5" t="n">
        <v>6.39</v>
      </c>
      <c r="AK203" s="5" t="n">
        <v>6.39</v>
      </c>
      <c r="AL203" s="5" t="n">
        <v>6.39</v>
      </c>
      <c r="AM203" s="5" t="n">
        <v>6.39</v>
      </c>
      <c r="AN203" s="5" t="n"/>
      <c r="AO203" s="5" t="n"/>
      <c r="AP203" s="16" t="n">
        <v>6.39</v>
      </c>
      <c r="AQ203" s="16" t="n"/>
      <c r="AR203" s="16" t="n"/>
      <c r="AS203" s="16" t="n"/>
    </row>
    <row r="204">
      <c r="A204" s="4" t="inlineStr">
        <is>
          <t>Mục tiêu số PCS  HT CĐ (Ngày)</t>
        </is>
      </c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5" t="n">
        <v>107.21</v>
      </c>
      <c r="O204" s="5" t="n">
        <v>107.21</v>
      </c>
      <c r="P204" s="5" t="n">
        <v>107.21</v>
      </c>
      <c r="Q204" s="5" t="n">
        <v>107.21</v>
      </c>
      <c r="R204" s="5" t="n">
        <v>107.21</v>
      </c>
      <c r="S204" s="5" t="n"/>
      <c r="T204" s="5" t="n"/>
      <c r="U204" s="5" t="n">
        <v>107.21</v>
      </c>
      <c r="V204" s="5" t="n">
        <v>107.21</v>
      </c>
      <c r="W204" s="5" t="n">
        <v>107.21</v>
      </c>
      <c r="X204" s="5" t="n">
        <v>107.21</v>
      </c>
      <c r="Y204" s="5" t="n">
        <v>107.21</v>
      </c>
      <c r="Z204" s="5" t="n"/>
      <c r="AA204" s="5" t="n"/>
      <c r="AB204" s="5" t="n">
        <v>107.21</v>
      </c>
      <c r="AC204" s="5" t="n">
        <v>107.21</v>
      </c>
      <c r="AD204" s="5" t="n">
        <v>107.21</v>
      </c>
      <c r="AE204" s="5" t="n">
        <v>107.21</v>
      </c>
      <c r="AF204" s="5" t="n">
        <v>107.21</v>
      </c>
      <c r="AG204" s="5" t="n"/>
      <c r="AH204" s="5" t="n"/>
      <c r="AI204" s="5" t="n">
        <v>107.21</v>
      </c>
      <c r="AJ204" s="5" t="n">
        <v>107.21</v>
      </c>
      <c r="AK204" s="5" t="n">
        <v>107.21</v>
      </c>
      <c r="AL204" s="5" t="n">
        <v>107.21</v>
      </c>
      <c r="AM204" s="5" t="n">
        <v>107.21</v>
      </c>
      <c r="AN204" s="5" t="n"/>
      <c r="AO204" s="5" t="n"/>
      <c r="AP204" s="16" t="n">
        <v>107.21</v>
      </c>
      <c r="AQ204" s="16" t="n"/>
      <c r="AR204" s="16" t="n"/>
      <c r="AS204" s="16" t="n"/>
    </row>
    <row r="205">
      <c r="A205" s="4" t="inlineStr">
        <is>
          <t>Mục tiêu Bản vẽ HT CĐ Ca 1 (Còn lại/Ngày)</t>
        </is>
      </c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5" t="n">
        <v>6.39</v>
      </c>
      <c r="O205" s="5" t="n">
        <v>6.51</v>
      </c>
      <c r="P205" s="5" t="n">
        <v>6.64</v>
      </c>
      <c r="Q205" s="5" t="n">
        <v>6.74</v>
      </c>
      <c r="R205" s="5" t="n">
        <v>6.96</v>
      </c>
      <c r="S205" s="5" t="n"/>
      <c r="T205" s="5" t="n"/>
      <c r="U205" s="5" t="n">
        <v>7.08</v>
      </c>
      <c r="V205" s="5" t="n">
        <v>7.35</v>
      </c>
      <c r="W205" s="5" t="n">
        <v>7.52</v>
      </c>
      <c r="X205" s="5" t="n">
        <v>7.48</v>
      </c>
      <c r="Y205" s="5" t="n">
        <v>7.69</v>
      </c>
      <c r="Z205" s="5" t="n"/>
      <c r="AA205" s="5" t="n"/>
      <c r="AB205" s="5" t="n">
        <v>7.69</v>
      </c>
      <c r="AC205" s="5" t="n">
        <v>7.69</v>
      </c>
      <c r="AD205" s="5" t="n">
        <v>7.69</v>
      </c>
      <c r="AE205" s="5" t="n">
        <v>7.69</v>
      </c>
      <c r="AF205" s="5" t="n">
        <v>7.69</v>
      </c>
      <c r="AG205" s="5" t="n"/>
      <c r="AH205" s="5" t="n"/>
      <c r="AI205" s="5" t="n">
        <v>7.69</v>
      </c>
      <c r="AJ205" s="5" t="n">
        <v>7.69</v>
      </c>
      <c r="AK205" s="5" t="n">
        <v>7.69</v>
      </c>
      <c r="AL205" s="5" t="n">
        <v>7.69</v>
      </c>
      <c r="AM205" s="5" t="n">
        <v>7.69</v>
      </c>
      <c r="AN205" s="5" t="n"/>
      <c r="AO205" s="5" t="n"/>
      <c r="AP205" s="16" t="n">
        <v>7.69</v>
      </c>
      <c r="AQ205" s="16" t="n"/>
      <c r="AR205" s="16" t="n"/>
      <c r="AS205" s="16" t="n"/>
    </row>
    <row r="206">
      <c r="A206" s="4" t="inlineStr">
        <is>
          <t>Mục tiêu Bản vẽ HT CĐ Ca 2(Còn lại/Ngày)</t>
        </is>
      </c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5" t="n">
        <v>6.39</v>
      </c>
      <c r="O206" s="5" t="n">
        <v>6.46</v>
      </c>
      <c r="P206" s="5" t="n">
        <v>6.59</v>
      </c>
      <c r="Q206" s="5" t="n">
        <v>6.68</v>
      </c>
      <c r="R206" s="5" t="n">
        <v>6.84</v>
      </c>
      <c r="S206" s="5" t="n"/>
      <c r="T206" s="5" t="n"/>
      <c r="U206" s="5" t="n">
        <v>6.83</v>
      </c>
      <c r="V206" s="5" t="n">
        <v>6.82</v>
      </c>
      <c r="W206" s="5" t="n">
        <v>6.73</v>
      </c>
      <c r="X206" s="5" t="n">
        <v>6.48</v>
      </c>
      <c r="Y206" s="5" t="n">
        <v>6.52</v>
      </c>
      <c r="Z206" s="5" t="n"/>
      <c r="AA206" s="5" t="n"/>
      <c r="AB206" s="5" t="n">
        <v>6.52</v>
      </c>
      <c r="AC206" s="5" t="n">
        <v>6.52</v>
      </c>
      <c r="AD206" s="5" t="n">
        <v>6.52</v>
      </c>
      <c r="AE206" s="5" t="n">
        <v>6.52</v>
      </c>
      <c r="AF206" s="5" t="n">
        <v>6.52</v>
      </c>
      <c r="AG206" s="5" t="n"/>
      <c r="AH206" s="5" t="n"/>
      <c r="AI206" s="5" t="n">
        <v>6.52</v>
      </c>
      <c r="AJ206" s="5" t="n">
        <v>6.52</v>
      </c>
      <c r="AK206" s="5" t="n">
        <v>6.52</v>
      </c>
      <c r="AL206" s="5" t="n">
        <v>6.52</v>
      </c>
      <c r="AM206" s="5" t="n">
        <v>6.52</v>
      </c>
      <c r="AN206" s="5" t="n"/>
      <c r="AO206" s="5" t="n"/>
      <c r="AP206" s="16" t="n">
        <v>6.52</v>
      </c>
      <c r="AQ206" s="16" t="n"/>
      <c r="AR206" s="16" t="n"/>
      <c r="AS206" s="16" t="n"/>
    </row>
    <row r="207">
      <c r="A207" s="4" t="inlineStr">
        <is>
          <t>Mục tiêu số PCS HT CĐ Ca 1(Còn lại/Ngày)</t>
        </is>
      </c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5" t="n">
        <v>107.21</v>
      </c>
      <c r="O207" s="5" t="n">
        <v>110.82</v>
      </c>
      <c r="P207" s="5" t="n">
        <v>115.71</v>
      </c>
      <c r="Q207" s="5" t="n">
        <v>119.86</v>
      </c>
      <c r="R207" s="5" t="n">
        <v>125.2</v>
      </c>
      <c r="S207" s="5" t="n"/>
      <c r="T207" s="5" t="n"/>
      <c r="U207" s="5" t="n">
        <v>129.22</v>
      </c>
      <c r="V207" s="5" t="n">
        <v>137.36</v>
      </c>
      <c r="W207" s="5" t="n">
        <v>142.89</v>
      </c>
      <c r="X207" s="5" t="n">
        <v>147.8</v>
      </c>
      <c r="Y207" s="5" t="n">
        <v>157.04</v>
      </c>
      <c r="Z207" s="5" t="n"/>
      <c r="AA207" s="5" t="n"/>
      <c r="AB207" s="5" t="n">
        <v>157.04</v>
      </c>
      <c r="AC207" s="5" t="n">
        <v>157.04</v>
      </c>
      <c r="AD207" s="5" t="n">
        <v>157.04</v>
      </c>
      <c r="AE207" s="5" t="n">
        <v>157.04</v>
      </c>
      <c r="AF207" s="5" t="n">
        <v>157.04</v>
      </c>
      <c r="AG207" s="5" t="n"/>
      <c r="AH207" s="5" t="n"/>
      <c r="AI207" s="5" t="n">
        <v>157.04</v>
      </c>
      <c r="AJ207" s="5" t="n">
        <v>157.04</v>
      </c>
      <c r="AK207" s="5" t="n">
        <v>157.04</v>
      </c>
      <c r="AL207" s="5" t="n">
        <v>157.04</v>
      </c>
      <c r="AM207" s="5" t="n">
        <v>157.04</v>
      </c>
      <c r="AN207" s="5" t="n"/>
      <c r="AO207" s="5" t="n"/>
      <c r="AP207" s="16" t="n">
        <v>157.04</v>
      </c>
      <c r="AQ207" s="16" t="n"/>
      <c r="AR207" s="16" t="n"/>
      <c r="AS207" s="16" t="n"/>
    </row>
    <row r="208">
      <c r="A208" s="4" t="inlineStr">
        <is>
          <t>Mục tiêu số PCS HT CĐ Ca 2(Còn lại/Ngày)</t>
        </is>
      </c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5" t="n">
        <v>107.21</v>
      </c>
      <c r="O208" s="5" t="n">
        <v>111.27</v>
      </c>
      <c r="P208" s="5" t="n">
        <v>112.92</v>
      </c>
      <c r="Q208" s="5" t="n">
        <v>116.41</v>
      </c>
      <c r="R208" s="5" t="n">
        <v>122.73</v>
      </c>
      <c r="S208" s="5" t="n"/>
      <c r="T208" s="5" t="n"/>
      <c r="U208" s="5" t="n">
        <v>121.22</v>
      </c>
      <c r="V208" s="5" t="n">
        <v>128.1</v>
      </c>
      <c r="W208" s="5" t="n">
        <v>134.18</v>
      </c>
      <c r="X208" s="5" t="n">
        <v>142.19</v>
      </c>
      <c r="Y208" s="5" t="n">
        <v>151.04</v>
      </c>
      <c r="Z208" s="5" t="n"/>
      <c r="AA208" s="5" t="n"/>
      <c r="AB208" s="5" t="n">
        <v>151.04</v>
      </c>
      <c r="AC208" s="5" t="n">
        <v>151.04</v>
      </c>
      <c r="AD208" s="5" t="n">
        <v>151.04</v>
      </c>
      <c r="AE208" s="5" t="n">
        <v>151.04</v>
      </c>
      <c r="AF208" s="5" t="n">
        <v>151.04</v>
      </c>
      <c r="AG208" s="5" t="n"/>
      <c r="AH208" s="5" t="n"/>
      <c r="AI208" s="5" t="n">
        <v>151.04</v>
      </c>
      <c r="AJ208" s="5" t="n">
        <v>151.04</v>
      </c>
      <c r="AK208" s="5" t="n">
        <v>151.04</v>
      </c>
      <c r="AL208" s="5" t="n">
        <v>151.04</v>
      </c>
      <c r="AM208" s="5" t="n">
        <v>151.04</v>
      </c>
      <c r="AN208" s="5" t="n"/>
      <c r="AO208" s="5" t="n"/>
      <c r="AP208" s="16" t="n">
        <v>151.04</v>
      </c>
      <c r="AQ208" s="16" t="n"/>
      <c r="AR208" s="16" t="n"/>
      <c r="AS208" s="16" t="n"/>
    </row>
    <row r="209">
      <c r="A209" s="4" t="inlineStr">
        <is>
          <t>Mục tiêu Bản vẽ  HT CĐ  (Tháng)</t>
        </is>
      </c>
      <c r="B209" s="17" t="n">
        <v>140.6470701049334</v>
      </c>
      <c r="C209" s="17" t="n">
        <v>95.89572961700003</v>
      </c>
      <c r="D209" s="17" t="n">
        <v>140.6470701049334</v>
      </c>
      <c r="E209" s="17" t="n">
        <v>134.2540214638</v>
      </c>
      <c r="F209" s="17" t="n">
        <v>127.8609728226667</v>
      </c>
      <c r="G209" s="17" t="n">
        <v>140.6470701049334</v>
      </c>
      <c r="H209" s="17" t="n">
        <v>147.0401187460667</v>
      </c>
      <c r="I209" s="17" t="n">
        <v>134.2540214638</v>
      </c>
      <c r="J209" s="17" t="n">
        <v>134.2540214638</v>
      </c>
      <c r="K209" s="17" t="n">
        <v>140.6470701049334</v>
      </c>
      <c r="L209" s="17" t="n">
        <v>134.2540214638</v>
      </c>
      <c r="M209" s="17" t="n">
        <v>140.6470701049334</v>
      </c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  <c r="AN209" s="5" t="n"/>
      <c r="AO209" s="5" t="n"/>
      <c r="AP209" s="16" t="n"/>
      <c r="AQ209" s="16" t="n"/>
      <c r="AR209" s="16" t="n"/>
      <c r="AS209" s="16" t="n"/>
    </row>
    <row r="210">
      <c r="A210" s="4" t="inlineStr">
        <is>
          <t>Mục tiêu số PCS  HT CĐ  (Tháng)</t>
        </is>
      </c>
      <c r="B210" s="17" t="n">
        <v>2358.667988845598</v>
      </c>
      <c r="C210" s="17" t="n">
        <v>1608.182719667453</v>
      </c>
      <c r="D210" s="17" t="n">
        <v>2358.667988845598</v>
      </c>
      <c r="E210" s="17" t="n">
        <v>2251.455807534434</v>
      </c>
      <c r="F210" s="17" t="n">
        <v>2144.24362622327</v>
      </c>
      <c r="G210" s="17" t="n">
        <v>2358.667988845598</v>
      </c>
      <c r="H210" s="17" t="n">
        <v>2465.880170156761</v>
      </c>
      <c r="I210" s="17" t="n">
        <v>2251.455807534434</v>
      </c>
      <c r="J210" s="17" t="n">
        <v>2251.455807534434</v>
      </c>
      <c r="K210" s="17" t="n">
        <v>2358.667988845598</v>
      </c>
      <c r="L210" s="17" t="n">
        <v>2251.455807534434</v>
      </c>
      <c r="M210" s="17" t="n">
        <v>2358.667988845598</v>
      </c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  <c r="AN210" s="5" t="n"/>
      <c r="AO210" s="5" t="n"/>
      <c r="AP210" s="16" t="n"/>
      <c r="AQ210" s="16" t="n"/>
      <c r="AR210" s="16" t="n"/>
      <c r="AS210" s="16" t="n"/>
    </row>
    <row r="211">
      <c r="A211" s="4" t="inlineStr">
        <is>
          <t>Thực tích Bản vẽ HT CĐ Ca 1 (Ngày)</t>
        </is>
      </c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>
        <v>4</v>
      </c>
      <c r="O211" s="1" t="n">
        <v>4</v>
      </c>
      <c r="P211" s="1" t="n">
        <v>5</v>
      </c>
      <c r="Q211" s="1" t="n">
        <v>3</v>
      </c>
      <c r="R211" s="1" t="n">
        <v>3</v>
      </c>
      <c r="S211" s="1" t="n">
        <v>1</v>
      </c>
      <c r="T211" s="1" t="n">
        <v>1</v>
      </c>
      <c r="U211" s="1" t="n">
        <v>3</v>
      </c>
      <c r="V211" s="1" t="n">
        <v>5</v>
      </c>
      <c r="W211" s="1" t="n">
        <v>8</v>
      </c>
      <c r="X211" s="1" t="n">
        <v>5</v>
      </c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6" t="n"/>
      <c r="AP211" s="16" t="n"/>
      <c r="AQ211" s="16" t="n"/>
      <c r="AR211" s="16" t="n"/>
      <c r="AS211" s="16" t="n"/>
    </row>
    <row r="212">
      <c r="A212" s="4" t="inlineStr">
        <is>
          <t>Thực tích Bản vẽ HT CĐ Ca 2 (Ngày)</t>
        </is>
      </c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>
        <v>5</v>
      </c>
      <c r="O212" s="1" t="n">
        <v>4</v>
      </c>
      <c r="P212" s="1" t="n">
        <v>5</v>
      </c>
      <c r="Q212" s="1" t="n">
        <v>4</v>
      </c>
      <c r="R212" s="1" t="n">
        <v>4</v>
      </c>
      <c r="S212" s="1" t="n">
        <v>3</v>
      </c>
      <c r="T212" s="1" t="n">
        <v>0</v>
      </c>
      <c r="U212" s="1" t="n">
        <v>7</v>
      </c>
      <c r="V212" s="1" t="n">
        <v>8</v>
      </c>
      <c r="W212" s="1" t="n">
        <v>10</v>
      </c>
      <c r="X212" s="1" t="n">
        <v>6</v>
      </c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6" t="n"/>
      <c r="AP212" s="16" t="n"/>
      <c r="AQ212" s="16" t="n"/>
      <c r="AR212" s="16" t="n"/>
      <c r="AS212" s="16" t="n"/>
    </row>
    <row r="213">
      <c r="A213" s="4" t="inlineStr">
        <is>
          <t>Thực tích số PCS HT CĐ Ca 1 (Ngày)</t>
        </is>
      </c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>
        <v>35</v>
      </c>
      <c r="O213" s="1" t="n">
        <v>18</v>
      </c>
      <c r="P213" s="1" t="n">
        <v>41</v>
      </c>
      <c r="Q213" s="1" t="n">
        <v>29</v>
      </c>
      <c r="R213" s="1" t="n">
        <v>32</v>
      </c>
      <c r="S213" s="1" t="n">
        <v>24</v>
      </c>
      <c r="T213" s="1" t="n">
        <v>5</v>
      </c>
      <c r="U213" s="1" t="n">
        <v>7</v>
      </c>
      <c r="V213" s="1" t="n">
        <v>60</v>
      </c>
      <c r="W213" s="1" t="n">
        <v>79</v>
      </c>
      <c r="X213" s="1" t="n">
        <v>37</v>
      </c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6" t="n"/>
      <c r="AP213" s="16" t="n"/>
      <c r="AQ213" s="16" t="n"/>
      <c r="AR213" s="16" t="n"/>
      <c r="AS213" s="16" t="n"/>
    </row>
    <row r="214">
      <c r="A214" s="4" t="inlineStr">
        <is>
          <t>Thực tích số PCS HT CĐ Ca 2 (Ngày)</t>
        </is>
      </c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>
        <v>26</v>
      </c>
      <c r="O214" s="1" t="n">
        <v>80</v>
      </c>
      <c r="P214" s="1" t="n">
        <v>50</v>
      </c>
      <c r="Q214" s="1" t="n">
        <v>9</v>
      </c>
      <c r="R214" s="1" t="n">
        <v>118</v>
      </c>
      <c r="S214" s="1" t="n">
        <v>29</v>
      </c>
      <c r="T214" s="1" t="n">
        <v>0</v>
      </c>
      <c r="U214" s="1" t="n">
        <v>18</v>
      </c>
      <c r="V214" s="1" t="n">
        <v>43</v>
      </c>
      <c r="W214" s="1" t="n">
        <v>30</v>
      </c>
      <c r="X214" s="1" t="n">
        <v>36</v>
      </c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6" t="n"/>
      <c r="AP214" s="16" t="n"/>
      <c r="AQ214" s="16" t="n"/>
      <c r="AR214" s="16" t="n"/>
      <c r="AS214" s="16" t="n"/>
    </row>
    <row r="215">
      <c r="A215" s="4" t="inlineStr">
        <is>
          <t>Thực tích Bản vẽ HT CĐ Ca 1  (Tháng)</t>
        </is>
      </c>
      <c r="B215" s="1" t="n"/>
      <c r="C215" s="1" t="n"/>
      <c r="D215" s="1" t="n"/>
      <c r="E215" s="1" t="n">
        <v>42</v>
      </c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6" t="n"/>
      <c r="AP215" s="16" t="n"/>
      <c r="AQ215" s="16" t="n"/>
      <c r="AR215" s="16" t="n"/>
      <c r="AS215" s="16" t="n"/>
    </row>
    <row r="216">
      <c r="A216" s="4" t="inlineStr">
        <is>
          <t>Thực tích Bản vẽ HT CĐ Ca 2  (Tháng)</t>
        </is>
      </c>
      <c r="B216" s="1" t="n"/>
      <c r="C216" s="1" t="n"/>
      <c r="D216" s="1" t="n"/>
      <c r="E216" s="1" t="n">
        <v>56</v>
      </c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6" t="n"/>
      <c r="AP216" s="16" t="n"/>
      <c r="AQ216" s="16" t="n"/>
      <c r="AR216" s="16" t="n"/>
      <c r="AS216" s="16" t="n"/>
    </row>
    <row r="217">
      <c r="A217" s="4" t="inlineStr">
        <is>
          <t>Thực tích số PCS HT CĐ Ca 1  (Tháng)</t>
        </is>
      </c>
      <c r="B217" s="1" t="n"/>
      <c r="C217" s="1" t="n"/>
      <c r="D217" s="1" t="n"/>
      <c r="E217" s="1" t="n">
        <v>367</v>
      </c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6" t="n"/>
      <c r="AP217" s="16" t="n"/>
      <c r="AQ217" s="16" t="n"/>
      <c r="AR217" s="16" t="n"/>
      <c r="AS217" s="16" t="n"/>
    </row>
    <row r="218">
      <c r="A218" s="4" t="inlineStr">
        <is>
          <t>Thực tích số PCS HT CĐ Ca 2  (Tháng)</t>
        </is>
      </c>
      <c r="B218" s="1" t="n"/>
      <c r="C218" s="1" t="n"/>
      <c r="D218" s="1" t="n"/>
      <c r="E218" s="1" t="n">
        <v>439</v>
      </c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6" t="n"/>
      <c r="AP218" s="16" t="n"/>
      <c r="AQ218" s="16" t="n"/>
      <c r="AR218" s="16" t="n"/>
      <c r="AS218" s="16" t="n"/>
    </row>
    <row r="219">
      <c r="A219" s="9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  <c r="AD219" s="10" t="n"/>
      <c r="AE219" s="10" t="n"/>
      <c r="AF219" s="10" t="n"/>
      <c r="AG219" s="10" t="n"/>
      <c r="AH219" s="10" t="n"/>
      <c r="AI219" s="10" t="n"/>
      <c r="AJ219" s="10" t="n"/>
      <c r="AK219" s="10" t="n"/>
      <c r="AL219" s="10" t="n"/>
    </row>
    <row r="220">
      <c r="A220" s="4" t="inlineStr">
        <is>
          <t>Công đoạn:</t>
        </is>
      </c>
      <c r="B220" s="1" t="inlineStr">
        <is>
          <t>LN</t>
        </is>
      </c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  <c r="AD220" s="10" t="n"/>
      <c r="AE220" s="10" t="n"/>
      <c r="AF220" s="10" t="n"/>
      <c r="AG220" s="10" t="n"/>
      <c r="AH220" s="10" t="n"/>
      <c r="AI220" s="10" t="n"/>
      <c r="AJ220" s="10" t="n"/>
      <c r="AK220" s="10" t="n"/>
      <c r="AL220" s="10" t="n"/>
    </row>
    <row r="221" ht="14.4" customHeight="1">
      <c r="A221" s="4" t="inlineStr">
        <is>
          <t>Ngày làm việc</t>
        </is>
      </c>
      <c r="B221" s="1" t="inlineStr">
        <is>
          <t>1月</t>
        </is>
      </c>
      <c r="C221" s="11" t="inlineStr">
        <is>
          <t>2月</t>
        </is>
      </c>
      <c r="D221" s="1" t="inlineStr">
        <is>
          <t>3月</t>
        </is>
      </c>
      <c r="E221" s="1" t="inlineStr">
        <is>
          <t>4月</t>
        </is>
      </c>
      <c r="F221" s="11" t="inlineStr">
        <is>
          <t>5月</t>
        </is>
      </c>
      <c r="G221" s="1" t="inlineStr">
        <is>
          <t>6月</t>
        </is>
      </c>
      <c r="H221" s="1" t="inlineStr">
        <is>
          <t>7月</t>
        </is>
      </c>
      <c r="I221" s="11" t="inlineStr">
        <is>
          <t>8月</t>
        </is>
      </c>
      <c r="J221" s="1" t="inlineStr">
        <is>
          <t>9月</t>
        </is>
      </c>
      <c r="K221" s="1" t="inlineStr">
        <is>
          <t>10月</t>
        </is>
      </c>
      <c r="L221" s="11" t="inlineStr">
        <is>
          <t>11月</t>
        </is>
      </c>
      <c r="M221" s="1" t="inlineStr">
        <is>
          <t>12月</t>
        </is>
      </c>
      <c r="N221" s="2" t="n">
        <v>46111</v>
      </c>
      <c r="O221" s="2" t="n">
        <v>46112</v>
      </c>
      <c r="P221" s="2" t="n">
        <v>46113</v>
      </c>
      <c r="Q221" s="2" t="n">
        <v>46114</v>
      </c>
      <c r="R221" s="2" t="n">
        <v>46115</v>
      </c>
      <c r="S221" s="2" t="n">
        <v>46116</v>
      </c>
      <c r="T221" s="2" t="n">
        <v>46117</v>
      </c>
      <c r="U221" s="2" t="n">
        <v>46118</v>
      </c>
      <c r="V221" s="2" t="n">
        <v>46119</v>
      </c>
      <c r="W221" s="2" t="n">
        <v>46120</v>
      </c>
      <c r="X221" s="2" t="n">
        <v>46121</v>
      </c>
      <c r="Y221" s="2" t="n">
        <v>46122</v>
      </c>
      <c r="Z221" s="2" t="n">
        <v>46123</v>
      </c>
      <c r="AA221" s="2" t="n">
        <v>46124</v>
      </c>
      <c r="AB221" s="2" t="n">
        <v>46125</v>
      </c>
      <c r="AC221" s="2" t="n">
        <v>46126</v>
      </c>
      <c r="AD221" s="2" t="n">
        <v>46127</v>
      </c>
      <c r="AE221" s="2" t="n">
        <v>46128</v>
      </c>
      <c r="AF221" s="2" t="n">
        <v>46129</v>
      </c>
      <c r="AG221" s="2" t="n">
        <v>46130</v>
      </c>
      <c r="AH221" s="2" t="n">
        <v>46131</v>
      </c>
      <c r="AI221" s="2" t="n">
        <v>46132</v>
      </c>
      <c r="AJ221" s="2" t="n">
        <v>46133</v>
      </c>
      <c r="AK221" s="2" t="n">
        <v>46134</v>
      </c>
      <c r="AL221" s="2" t="n">
        <v>46135</v>
      </c>
      <c r="AM221" s="2" t="n">
        <v>46136</v>
      </c>
      <c r="AN221" s="2" t="n">
        <v>46137</v>
      </c>
      <c r="AO221" s="2" t="n">
        <v>46138</v>
      </c>
      <c r="AP221" s="2" t="n">
        <v>46139</v>
      </c>
      <c r="AQ221" s="2" t="n"/>
      <c r="AR221" s="2" t="n"/>
      <c r="AS221" s="2" t="n"/>
      <c r="AT221" s="21" t="n"/>
    </row>
    <row r="222" ht="15" customHeight="1">
      <c r="A222" s="7" t="inlineStr">
        <is>
          <t>Làm việc? 1=Yes, 0=No</t>
        </is>
      </c>
      <c r="B222" s="3" t="n">
        <v>1</v>
      </c>
      <c r="C222" s="3" t="n">
        <v>1</v>
      </c>
      <c r="D222" s="3" t="n">
        <v>1</v>
      </c>
      <c r="E222" s="3" t="n">
        <v>1</v>
      </c>
      <c r="F222" s="3" t="n">
        <v>1</v>
      </c>
      <c r="G222" s="3" t="n">
        <v>1</v>
      </c>
      <c r="H222" s="3" t="n">
        <v>1</v>
      </c>
      <c r="I222" s="3" t="n">
        <v>1</v>
      </c>
      <c r="J222" s="3" t="n">
        <v>1</v>
      </c>
      <c r="K222" s="3" t="n">
        <v>1</v>
      </c>
      <c r="L222" s="3" t="n">
        <v>1</v>
      </c>
      <c r="M222" s="3" t="n">
        <v>1</v>
      </c>
      <c r="N222" s="1" t="n">
        <v>1</v>
      </c>
      <c r="O222" s="1" t="n">
        <v>1</v>
      </c>
      <c r="P222" s="1" t="n">
        <v>1</v>
      </c>
      <c r="Q222" s="1" t="n">
        <v>1</v>
      </c>
      <c r="R222" s="1" t="n">
        <v>1</v>
      </c>
      <c r="S222" s="1" t="n">
        <v>0</v>
      </c>
      <c r="T222" s="1" t="n">
        <v>0</v>
      </c>
      <c r="U222" s="1" t="n">
        <v>1</v>
      </c>
      <c r="V222" s="1" t="n">
        <v>1</v>
      </c>
      <c r="W222" s="1" t="n">
        <v>1</v>
      </c>
      <c r="X222" s="1" t="n">
        <v>1</v>
      </c>
      <c r="Y222" s="1" t="n">
        <v>1</v>
      </c>
      <c r="Z222" s="1" t="n">
        <v>0</v>
      </c>
      <c r="AA222" s="1" t="n">
        <v>0</v>
      </c>
      <c r="AB222" s="1" t="n">
        <v>1</v>
      </c>
      <c r="AC222" s="1" t="n">
        <v>1</v>
      </c>
      <c r="AD222" s="1" t="n">
        <v>1</v>
      </c>
      <c r="AE222" s="1" t="n">
        <v>1</v>
      </c>
      <c r="AF222" s="1" t="n">
        <v>1</v>
      </c>
      <c r="AG222" s="1" t="n">
        <v>0</v>
      </c>
      <c r="AH222" s="1" t="n">
        <v>0</v>
      </c>
      <c r="AI222" s="1" t="n">
        <v>1</v>
      </c>
      <c r="AJ222" s="1" t="n">
        <v>1</v>
      </c>
      <c r="AK222" s="1" t="n">
        <v>1</v>
      </c>
      <c r="AL222" s="1" t="n">
        <v>1</v>
      </c>
      <c r="AM222" s="1" t="n">
        <v>1</v>
      </c>
      <c r="AN222" s="1" t="n">
        <v>0</v>
      </c>
      <c r="AO222" s="1" t="n">
        <v>0</v>
      </c>
      <c r="AP222" s="16" t="n">
        <v>1</v>
      </c>
      <c r="AQ222" s="16" t="n"/>
      <c r="AR222" s="16" t="n"/>
      <c r="AS222" s="16" t="n"/>
    </row>
    <row r="223">
      <c r="A223" s="4" t="inlineStr">
        <is>
          <t>Mục tiêu Bản vẽ  HT CĐ (Ngày)</t>
        </is>
      </c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5" t="n">
        <v>2.03</v>
      </c>
      <c r="O223" s="5" t="n">
        <v>2.03</v>
      </c>
      <c r="P223" s="5" t="n">
        <v>2.03</v>
      </c>
      <c r="Q223" s="5" t="n">
        <v>2.03</v>
      </c>
      <c r="R223" s="5" t="n">
        <v>2.03</v>
      </c>
      <c r="S223" s="5" t="n"/>
      <c r="T223" s="5" t="n"/>
      <c r="U223" s="5" t="n">
        <v>2.03</v>
      </c>
      <c r="V223" s="5" t="n">
        <v>2.03</v>
      </c>
      <c r="W223" s="5" t="n">
        <v>2.03</v>
      </c>
      <c r="X223" s="5" t="n">
        <v>2.03</v>
      </c>
      <c r="Y223" s="5" t="n">
        <v>2.03</v>
      </c>
      <c r="Z223" s="5" t="n"/>
      <c r="AA223" s="5" t="n"/>
      <c r="AB223" s="5" t="n">
        <v>2.03</v>
      </c>
      <c r="AC223" s="5" t="n">
        <v>2.03</v>
      </c>
      <c r="AD223" s="5" t="n">
        <v>2.03</v>
      </c>
      <c r="AE223" s="5" t="n">
        <v>2.03</v>
      </c>
      <c r="AF223" s="5" t="n">
        <v>2.03</v>
      </c>
      <c r="AG223" s="5" t="n"/>
      <c r="AH223" s="5" t="n"/>
      <c r="AI223" s="5" t="n">
        <v>2.03</v>
      </c>
      <c r="AJ223" s="5" t="n">
        <v>2.03</v>
      </c>
      <c r="AK223" s="5" t="n">
        <v>2.03</v>
      </c>
      <c r="AL223" s="5" t="n">
        <v>2.03</v>
      </c>
      <c r="AM223" s="5" t="n">
        <v>2.03</v>
      </c>
      <c r="AN223" s="5" t="n"/>
      <c r="AO223" s="5" t="n"/>
      <c r="AP223" s="16" t="n">
        <v>2.03</v>
      </c>
      <c r="AQ223" s="16" t="n"/>
      <c r="AR223" s="16" t="n"/>
      <c r="AS223" s="16" t="n"/>
    </row>
    <row r="224">
      <c r="A224" s="4" t="inlineStr">
        <is>
          <t>Mục tiêu số PCS  HT CĐ (Ngày)</t>
        </is>
      </c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5" t="n">
        <v>130.04</v>
      </c>
      <c r="O224" s="5" t="n">
        <v>130.04</v>
      </c>
      <c r="P224" s="5" t="n">
        <v>130.04</v>
      </c>
      <c r="Q224" s="5" t="n">
        <v>130.04</v>
      </c>
      <c r="R224" s="5" t="n">
        <v>130.04</v>
      </c>
      <c r="S224" s="5" t="n"/>
      <c r="T224" s="5" t="n"/>
      <c r="U224" s="5" t="n">
        <v>130.04</v>
      </c>
      <c r="V224" s="5" t="n">
        <v>130.04</v>
      </c>
      <c r="W224" s="5" t="n">
        <v>130.04</v>
      </c>
      <c r="X224" s="5" t="n">
        <v>130.04</v>
      </c>
      <c r="Y224" s="5" t="n">
        <v>130.04</v>
      </c>
      <c r="Z224" s="5" t="n"/>
      <c r="AA224" s="5" t="n"/>
      <c r="AB224" s="5" t="n">
        <v>130.04</v>
      </c>
      <c r="AC224" s="5" t="n">
        <v>130.04</v>
      </c>
      <c r="AD224" s="5" t="n">
        <v>130.04</v>
      </c>
      <c r="AE224" s="5" t="n">
        <v>130.04</v>
      </c>
      <c r="AF224" s="5" t="n">
        <v>130.04</v>
      </c>
      <c r="AG224" s="5" t="n"/>
      <c r="AH224" s="5" t="n"/>
      <c r="AI224" s="5" t="n">
        <v>130.04</v>
      </c>
      <c r="AJ224" s="5" t="n">
        <v>130.04</v>
      </c>
      <c r="AK224" s="5" t="n">
        <v>130.04</v>
      </c>
      <c r="AL224" s="5" t="n">
        <v>130.04</v>
      </c>
      <c r="AM224" s="5" t="n">
        <v>130.04</v>
      </c>
      <c r="AN224" s="5" t="n"/>
      <c r="AO224" s="5" t="n"/>
      <c r="AP224" s="16" t="n">
        <v>130.04</v>
      </c>
      <c r="AQ224" s="16" t="n"/>
      <c r="AR224" s="16" t="n"/>
      <c r="AS224" s="16" t="n"/>
    </row>
    <row r="225">
      <c r="A225" s="4" t="inlineStr">
        <is>
          <t>Mục tiêu Bản vẽ HT CĐ Ca 1 (Còn lại/Ngày)</t>
        </is>
      </c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5" t="n">
        <v>2.03</v>
      </c>
      <c r="O225" s="5" t="n">
        <v>1.98</v>
      </c>
      <c r="P225" s="5" t="n">
        <v>1.93</v>
      </c>
      <c r="Q225" s="5" t="n">
        <v>1.87</v>
      </c>
      <c r="R225" s="5" t="n">
        <v>1.98</v>
      </c>
      <c r="S225" s="5" t="n"/>
      <c r="T225" s="5" t="n"/>
      <c r="U225" s="5" t="n">
        <v>1.85</v>
      </c>
      <c r="V225" s="5" t="n">
        <v>1.78</v>
      </c>
      <c r="W225" s="5" t="n">
        <v>1.9</v>
      </c>
      <c r="X225" s="5" t="n">
        <v>1.82</v>
      </c>
      <c r="Y225" s="5" t="n">
        <v>1.72</v>
      </c>
      <c r="Z225" s="5" t="n"/>
      <c r="AA225" s="5" t="n"/>
      <c r="AB225" s="5" t="n">
        <v>1.72</v>
      </c>
      <c r="AC225" s="5" t="n">
        <v>1.72</v>
      </c>
      <c r="AD225" s="5" t="n">
        <v>1.72</v>
      </c>
      <c r="AE225" s="5" t="n">
        <v>1.72</v>
      </c>
      <c r="AF225" s="5" t="n">
        <v>1.72</v>
      </c>
      <c r="AG225" s="5" t="n"/>
      <c r="AH225" s="5" t="n"/>
      <c r="AI225" s="5" t="n">
        <v>1.72</v>
      </c>
      <c r="AJ225" s="5" t="n">
        <v>1.72</v>
      </c>
      <c r="AK225" s="5" t="n">
        <v>1.72</v>
      </c>
      <c r="AL225" s="5" t="n">
        <v>1.72</v>
      </c>
      <c r="AM225" s="5" t="n">
        <v>1.72</v>
      </c>
      <c r="AN225" s="5" t="n"/>
      <c r="AO225" s="5" t="n"/>
      <c r="AP225" s="16" t="n">
        <v>1.72</v>
      </c>
      <c r="AQ225" s="16" t="n"/>
      <c r="AR225" s="16" t="n"/>
      <c r="AS225" s="16" t="n"/>
    </row>
    <row r="226">
      <c r="A226" s="4" t="inlineStr">
        <is>
          <t>Mục tiêu Bản vẽ HT CĐ Ca 2(Còn lại/Ngày)</t>
        </is>
      </c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5" t="n">
        <v>2.03</v>
      </c>
      <c r="O226" s="5" t="n">
        <v>1.98</v>
      </c>
      <c r="P226" s="5" t="n">
        <v>1.88</v>
      </c>
      <c r="Q226" s="5" t="n">
        <v>1.76</v>
      </c>
      <c r="R226" s="5" t="n">
        <v>1.69</v>
      </c>
      <c r="S226" s="5" t="n"/>
      <c r="T226" s="5" t="n"/>
      <c r="U226" s="5" t="n">
        <v>1.6</v>
      </c>
      <c r="V226" s="5" t="n">
        <v>1.64</v>
      </c>
      <c r="W226" s="5" t="n">
        <v>1.55</v>
      </c>
      <c r="X226" s="5" t="n">
        <v>1.67</v>
      </c>
      <c r="Y226" s="5" t="n">
        <v>1.64</v>
      </c>
      <c r="Z226" s="5" t="n"/>
      <c r="AA226" s="5" t="n"/>
      <c r="AB226" s="5" t="n">
        <v>1.64</v>
      </c>
      <c r="AC226" s="5" t="n">
        <v>1.64</v>
      </c>
      <c r="AD226" s="5" t="n">
        <v>1.64</v>
      </c>
      <c r="AE226" s="5" t="n">
        <v>1.64</v>
      </c>
      <c r="AF226" s="5" t="n">
        <v>1.64</v>
      </c>
      <c r="AG226" s="5" t="n"/>
      <c r="AH226" s="5" t="n"/>
      <c r="AI226" s="5" t="n">
        <v>1.64</v>
      </c>
      <c r="AJ226" s="5" t="n">
        <v>1.64</v>
      </c>
      <c r="AK226" s="5" t="n">
        <v>1.64</v>
      </c>
      <c r="AL226" s="5" t="n">
        <v>1.64</v>
      </c>
      <c r="AM226" s="5" t="n">
        <v>1.64</v>
      </c>
      <c r="AN226" s="5" t="n"/>
      <c r="AO226" s="5" t="n"/>
      <c r="AP226" s="16" t="n">
        <v>1.64</v>
      </c>
      <c r="AQ226" s="16" t="n"/>
      <c r="AR226" s="16" t="n"/>
      <c r="AS226" s="16" t="n"/>
    </row>
    <row r="227">
      <c r="A227" s="4" t="inlineStr">
        <is>
          <t>Mục tiêu số PCS HT CĐ Ca 1(Còn lại/Ngày)</t>
        </is>
      </c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5" t="n">
        <v>130.04</v>
      </c>
      <c r="O227" s="5" t="n">
        <v>132.54</v>
      </c>
      <c r="P227" s="5" t="n">
        <v>136.89</v>
      </c>
      <c r="Q227" s="5" t="n">
        <v>141.43</v>
      </c>
      <c r="R227" s="5" t="n">
        <v>149.75</v>
      </c>
      <c r="S227" s="5" t="n"/>
      <c r="T227" s="5" t="n"/>
      <c r="U227" s="5" t="n">
        <v>156.74</v>
      </c>
      <c r="V227" s="5" t="n">
        <v>164.99</v>
      </c>
      <c r="W227" s="5" t="n">
        <v>176.77</v>
      </c>
      <c r="X227" s="5" t="n">
        <v>189.99</v>
      </c>
      <c r="Y227" s="5" t="n">
        <v>195.65</v>
      </c>
      <c r="Z227" s="5" t="n"/>
      <c r="AA227" s="5" t="n"/>
      <c r="AB227" s="5" t="n">
        <v>195.65</v>
      </c>
      <c r="AC227" s="5" t="n">
        <v>195.65</v>
      </c>
      <c r="AD227" s="5" t="n">
        <v>195.65</v>
      </c>
      <c r="AE227" s="5" t="n">
        <v>195.65</v>
      </c>
      <c r="AF227" s="5" t="n">
        <v>195.65</v>
      </c>
      <c r="AG227" s="5" t="n"/>
      <c r="AH227" s="5" t="n"/>
      <c r="AI227" s="5" t="n">
        <v>195.65</v>
      </c>
      <c r="AJ227" s="5" t="n">
        <v>195.65</v>
      </c>
      <c r="AK227" s="5" t="n">
        <v>195.65</v>
      </c>
      <c r="AL227" s="5" t="n">
        <v>195.65</v>
      </c>
      <c r="AM227" s="5" t="n">
        <v>195.65</v>
      </c>
      <c r="AN227" s="5" t="n"/>
      <c r="AO227" s="5" t="n"/>
      <c r="AP227" s="16" t="n">
        <v>195.65</v>
      </c>
      <c r="AQ227" s="16" t="n"/>
      <c r="AR227" s="16" t="n"/>
      <c r="AS227" s="16" t="n"/>
    </row>
    <row r="228">
      <c r="A228" s="4" t="inlineStr">
        <is>
          <t>Mục tiêu số PCS HT CĐ Ca 2(Còn lại/Ngày)</t>
        </is>
      </c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5" t="n">
        <v>130.04</v>
      </c>
      <c r="O228" s="5" t="n">
        <v>135.44</v>
      </c>
      <c r="P228" s="5" t="n">
        <v>141.31</v>
      </c>
      <c r="Q228" s="5" t="n">
        <v>136.71</v>
      </c>
      <c r="R228" s="5" t="n">
        <v>144.11</v>
      </c>
      <c r="S228" s="5" t="n"/>
      <c r="T228" s="5" t="n"/>
      <c r="U228" s="5" t="n">
        <v>150.43</v>
      </c>
      <c r="V228" s="5" t="n">
        <v>154.06</v>
      </c>
      <c r="W228" s="5" t="n">
        <v>121.49</v>
      </c>
      <c r="X228" s="5" t="n">
        <v>130.83</v>
      </c>
      <c r="Y228" s="5" t="n">
        <v>140.65</v>
      </c>
      <c r="Z228" s="5" t="n"/>
      <c r="AA228" s="5" t="n"/>
      <c r="AB228" s="5" t="n">
        <v>140.65</v>
      </c>
      <c r="AC228" s="5" t="n">
        <v>140.65</v>
      </c>
      <c r="AD228" s="5" t="n">
        <v>140.65</v>
      </c>
      <c r="AE228" s="5" t="n">
        <v>140.65</v>
      </c>
      <c r="AF228" s="5" t="n">
        <v>140.65</v>
      </c>
      <c r="AG228" s="5" t="n"/>
      <c r="AH228" s="5" t="n"/>
      <c r="AI228" s="5" t="n">
        <v>140.65</v>
      </c>
      <c r="AJ228" s="5" t="n">
        <v>140.65</v>
      </c>
      <c r="AK228" s="5" t="n">
        <v>140.65</v>
      </c>
      <c r="AL228" s="5" t="n">
        <v>140.65</v>
      </c>
      <c r="AM228" s="5" t="n">
        <v>140.65</v>
      </c>
      <c r="AN228" s="5" t="n"/>
      <c r="AO228" s="5" t="n"/>
      <c r="AP228" s="16" t="n">
        <v>140.65</v>
      </c>
      <c r="AQ228" s="16" t="n"/>
      <c r="AR228" s="16" t="n"/>
      <c r="AS228" s="16" t="n"/>
    </row>
    <row r="229">
      <c r="A229" s="4" t="inlineStr">
        <is>
          <t>Mục tiêu Bản vẽ  HT CĐ  (Tháng)</t>
        </is>
      </c>
      <c r="B229" s="17" t="n">
        <v>44.69756197687011</v>
      </c>
      <c r="C229" s="17" t="n">
        <v>30.47561043877507</v>
      </c>
      <c r="D229" s="17" t="n">
        <v>44.69756197687011</v>
      </c>
      <c r="E229" s="17" t="n">
        <v>42.6658546142851</v>
      </c>
      <c r="F229" s="17" t="n">
        <v>40.63414725170009</v>
      </c>
      <c r="G229" s="17" t="n">
        <v>44.69756197687011</v>
      </c>
      <c r="H229" s="17" t="n">
        <v>46.72926933945511</v>
      </c>
      <c r="I229" s="17" t="n">
        <v>42.6658546142851</v>
      </c>
      <c r="J229" s="17" t="n">
        <v>42.6658546142851</v>
      </c>
      <c r="K229" s="17" t="n">
        <v>44.69756197687011</v>
      </c>
      <c r="L229" s="17" t="n">
        <v>42.6658546142851</v>
      </c>
      <c r="M229" s="17" t="n">
        <v>44.69756197687011</v>
      </c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  <c r="AN229" s="5" t="n"/>
      <c r="AO229" s="5" t="n"/>
      <c r="AP229" s="16" t="n"/>
      <c r="AQ229" s="16" t="n"/>
      <c r="AR229" s="16" t="n"/>
      <c r="AS229" s="16" t="n"/>
    </row>
    <row r="230">
      <c r="A230" s="4" t="inlineStr">
        <is>
          <t>Mục tiêu số PCS  HT CĐ  (Tháng)</t>
        </is>
      </c>
      <c r="B230" s="17" t="n">
        <v>2860.86697935153</v>
      </c>
      <c r="C230" s="17" t="n">
        <v>1950.591122285134</v>
      </c>
      <c r="D230" s="17" t="n">
        <v>2860.86697935153</v>
      </c>
      <c r="E230" s="17" t="n">
        <v>2730.827571199187</v>
      </c>
      <c r="F230" s="17" t="n">
        <v>2600.788163046845</v>
      </c>
      <c r="G230" s="17" t="n">
        <v>2860.86697935153</v>
      </c>
      <c r="H230" s="17" t="n">
        <v>2990.906387503872</v>
      </c>
      <c r="I230" s="17" t="n">
        <v>2730.827571199187</v>
      </c>
      <c r="J230" s="17" t="n">
        <v>2730.827571199187</v>
      </c>
      <c r="K230" s="17" t="n">
        <v>2860.86697935153</v>
      </c>
      <c r="L230" s="17" t="n">
        <v>2730.827571199187</v>
      </c>
      <c r="M230" s="17" t="n">
        <v>2860.86697935153</v>
      </c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  <c r="AN230" s="5" t="n"/>
      <c r="AO230" s="5" t="n"/>
      <c r="AP230" s="16" t="n"/>
      <c r="AQ230" s="16" t="n"/>
      <c r="AR230" s="16" t="n"/>
      <c r="AS230" s="16" t="n"/>
    </row>
    <row r="231">
      <c r="A231" s="4" t="inlineStr">
        <is>
          <t>Thực tích Bản vẽ HT CĐ Ca 1 (Ngày)</t>
        </is>
      </c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>
        <v>3</v>
      </c>
      <c r="O231" s="1" t="n">
        <v>3</v>
      </c>
      <c r="P231" s="1" t="n">
        <v>3</v>
      </c>
      <c r="Q231" s="1" t="n">
        <v>0</v>
      </c>
      <c r="R231" s="1" t="n">
        <v>1</v>
      </c>
      <c r="S231" s="1" t="n">
        <v>2</v>
      </c>
      <c r="T231" s="1" t="n">
        <v>1</v>
      </c>
      <c r="U231" s="1" t="n">
        <v>3</v>
      </c>
      <c r="V231" s="1" t="n">
        <v>0</v>
      </c>
      <c r="W231" s="1" t="n">
        <v>3</v>
      </c>
      <c r="X231" s="1" t="n">
        <v>3</v>
      </c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6" t="n"/>
      <c r="AP231" s="16" t="n"/>
      <c r="AQ231" s="16" t="n"/>
      <c r="AR231" s="16" t="n"/>
      <c r="AS231" s="16" t="n"/>
    </row>
    <row r="232">
      <c r="A232" s="4" t="inlineStr">
        <is>
          <t>Thực tích Bản vẽ HT CĐ Ca 2 (Ngày)</t>
        </is>
      </c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>
        <v>3</v>
      </c>
      <c r="O232" s="1" t="n">
        <v>4</v>
      </c>
      <c r="P232" s="1" t="n">
        <v>4</v>
      </c>
      <c r="Q232" s="1" t="n">
        <v>3</v>
      </c>
      <c r="R232" s="1" t="n">
        <v>2</v>
      </c>
      <c r="S232" s="1" t="n">
        <v>1</v>
      </c>
      <c r="T232" s="1" t="n">
        <v>0</v>
      </c>
      <c r="U232" s="1" t="n">
        <v>1</v>
      </c>
      <c r="V232" s="1" t="n">
        <v>3</v>
      </c>
      <c r="W232" s="1" t="n">
        <v>0</v>
      </c>
      <c r="X232" s="1" t="n">
        <v>2</v>
      </c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6" t="n"/>
      <c r="AP232" s="16" t="n"/>
      <c r="AQ232" s="16" t="n"/>
      <c r="AR232" s="16" t="n"/>
      <c r="AS232" s="16" t="n"/>
    </row>
    <row r="233">
      <c r="A233" s="4" t="inlineStr">
        <is>
          <t>Thực tích số PCS HT CĐ Ca 1 (Ngày)</t>
        </is>
      </c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>
        <v>80</v>
      </c>
      <c r="O233" s="1" t="n">
        <v>50</v>
      </c>
      <c r="P233" s="1" t="n">
        <v>55</v>
      </c>
      <c r="Q233" s="1" t="n">
        <v>0</v>
      </c>
      <c r="R233" s="1" t="n">
        <v>5</v>
      </c>
      <c r="S233" s="1" t="n">
        <v>13</v>
      </c>
      <c r="T233" s="1" t="n">
        <v>20</v>
      </c>
      <c r="U233" s="1" t="n">
        <v>33</v>
      </c>
      <c r="V233" s="1" t="n">
        <v>0</v>
      </c>
      <c r="W233" s="1" t="n">
        <v>5</v>
      </c>
      <c r="X233" s="1" t="n">
        <v>122</v>
      </c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6" t="n"/>
      <c r="AP233" s="16" t="n"/>
      <c r="AQ233" s="16" t="n"/>
      <c r="AR233" s="16" t="n"/>
      <c r="AS233" s="16" t="n"/>
    </row>
    <row r="234">
      <c r="A234" s="4" t="inlineStr">
        <is>
          <t>Thực tích số PCS HT CĐ Ca 2 (Ngày)</t>
        </is>
      </c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>
        <v>22</v>
      </c>
      <c r="O234" s="1" t="n">
        <v>24</v>
      </c>
      <c r="P234" s="1" t="n">
        <v>224</v>
      </c>
      <c r="Q234" s="1" t="n">
        <v>11</v>
      </c>
      <c r="R234" s="1" t="n">
        <v>31</v>
      </c>
      <c r="S234" s="1" t="n">
        <v>12</v>
      </c>
      <c r="T234" s="1" t="n">
        <v>0</v>
      </c>
      <c r="U234" s="1" t="n">
        <v>96</v>
      </c>
      <c r="V234" s="1" t="n">
        <v>610</v>
      </c>
      <c r="W234" s="1" t="n">
        <v>0</v>
      </c>
      <c r="X234" s="1" t="n">
        <v>13</v>
      </c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6" t="n"/>
      <c r="AP234" s="16" t="n"/>
      <c r="AQ234" s="16" t="n"/>
      <c r="AR234" s="16" t="n"/>
      <c r="AS234" s="16" t="n"/>
    </row>
    <row r="235">
      <c r="A235" s="4" t="inlineStr">
        <is>
          <t>Thực tích Bản vẽ HT CĐ Ca 1  (Tháng)</t>
        </is>
      </c>
      <c r="B235" s="1" t="n"/>
      <c r="C235" s="1" t="n"/>
      <c r="D235" s="1" t="n"/>
      <c r="E235" s="1" t="n">
        <v>22</v>
      </c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6" t="n"/>
      <c r="AP235" s="16" t="n"/>
      <c r="AQ235" s="16" t="n"/>
      <c r="AR235" s="16" t="n"/>
      <c r="AS235" s="16" t="n"/>
    </row>
    <row r="236">
      <c r="A236" s="4" t="inlineStr">
        <is>
          <t>Thực tích Bản vẽ HT CĐ Ca 2  (Tháng)</t>
        </is>
      </c>
      <c r="B236" s="1" t="n"/>
      <c r="C236" s="1" t="n"/>
      <c r="D236" s="1" t="n"/>
      <c r="E236" s="1" t="n">
        <v>23</v>
      </c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6" t="n"/>
      <c r="AP236" s="16" t="n"/>
      <c r="AQ236" s="16" t="n"/>
      <c r="AR236" s="16" t="n"/>
      <c r="AS236" s="16" t="n"/>
    </row>
    <row r="237">
      <c r="A237" s="4" t="inlineStr">
        <is>
          <t>Thực tích số PCS HT CĐ Ca 1  (Tháng)</t>
        </is>
      </c>
      <c r="B237" s="1" t="n"/>
      <c r="C237" s="1" t="n"/>
      <c r="D237" s="1" t="n"/>
      <c r="E237" s="1" t="n">
        <v>383</v>
      </c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6" t="n"/>
      <c r="AP237" s="16" t="n"/>
      <c r="AQ237" s="16" t="n"/>
      <c r="AR237" s="16" t="n"/>
      <c r="AS237" s="16" t="n"/>
    </row>
    <row r="238">
      <c r="A238" s="4" t="inlineStr">
        <is>
          <t>Thực tích số PCS HT CĐ Ca 2  (Tháng)</t>
        </is>
      </c>
      <c r="B238" s="1" t="n"/>
      <c r="C238" s="1" t="n"/>
      <c r="D238" s="1" t="n"/>
      <c r="E238" s="1" t="n">
        <v>1043</v>
      </c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6" t="n"/>
      <c r="AP238" s="16" t="n"/>
      <c r="AQ238" s="16" t="n"/>
      <c r="AR238" s="16" t="n"/>
      <c r="AS238" s="16" t="n"/>
    </row>
    <row r="239">
      <c r="A239" s="9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  <c r="AD239" s="10" t="n"/>
      <c r="AE239" s="10" t="n"/>
      <c r="AF239" s="10" t="n"/>
      <c r="AG239" s="10" t="n"/>
      <c r="AH239" s="10" t="n"/>
      <c r="AI239" s="10" t="n"/>
      <c r="AJ239" s="10" t="n"/>
      <c r="AK239" s="10" t="n"/>
      <c r="AL239" s="10" t="n"/>
    </row>
    <row r="240">
      <c r="A240" s="4" t="inlineStr">
        <is>
          <t>Công đoạn:</t>
        </is>
      </c>
      <c r="B240" s="1" t="inlineStr">
        <is>
          <t>EN</t>
        </is>
      </c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  <c r="AD240" s="10" t="n"/>
      <c r="AE240" s="10" t="n"/>
      <c r="AF240" s="10" t="n"/>
      <c r="AG240" s="10" t="n"/>
      <c r="AH240" s="10" t="n"/>
      <c r="AI240" s="10" t="n"/>
      <c r="AJ240" s="10" t="n"/>
      <c r="AK240" s="10" t="n"/>
      <c r="AL240" s="10" t="n"/>
    </row>
    <row r="241" ht="14.4" customHeight="1">
      <c r="A241" s="4" t="inlineStr">
        <is>
          <t>Ngày làm việc</t>
        </is>
      </c>
      <c r="B241" s="1" t="inlineStr">
        <is>
          <t>1月</t>
        </is>
      </c>
      <c r="C241" s="11" t="inlineStr">
        <is>
          <t>2月</t>
        </is>
      </c>
      <c r="D241" s="1" t="inlineStr">
        <is>
          <t>3月</t>
        </is>
      </c>
      <c r="E241" s="1" t="inlineStr">
        <is>
          <t>4月</t>
        </is>
      </c>
      <c r="F241" s="11" t="inlineStr">
        <is>
          <t>5月</t>
        </is>
      </c>
      <c r="G241" s="1" t="inlineStr">
        <is>
          <t>6月</t>
        </is>
      </c>
      <c r="H241" s="1" t="inlineStr">
        <is>
          <t>7月</t>
        </is>
      </c>
      <c r="I241" s="11" t="inlineStr">
        <is>
          <t>8月</t>
        </is>
      </c>
      <c r="J241" s="1" t="inlineStr">
        <is>
          <t>9月</t>
        </is>
      </c>
      <c r="K241" s="1" t="inlineStr">
        <is>
          <t>10月</t>
        </is>
      </c>
      <c r="L241" s="11" t="inlineStr">
        <is>
          <t>11月</t>
        </is>
      </c>
      <c r="M241" s="1" t="inlineStr">
        <is>
          <t>12月</t>
        </is>
      </c>
      <c r="N241" s="2" t="n">
        <v>46111</v>
      </c>
      <c r="O241" s="2" t="n">
        <v>46112</v>
      </c>
      <c r="P241" s="2" t="n">
        <v>46113</v>
      </c>
      <c r="Q241" s="2" t="n">
        <v>46114</v>
      </c>
      <c r="R241" s="2" t="n">
        <v>46115</v>
      </c>
      <c r="S241" s="2" t="n">
        <v>46116</v>
      </c>
      <c r="T241" s="2" t="n">
        <v>46117</v>
      </c>
      <c r="U241" s="2" t="n">
        <v>46118</v>
      </c>
      <c r="V241" s="2" t="n">
        <v>46119</v>
      </c>
      <c r="W241" s="2" t="n">
        <v>46120</v>
      </c>
      <c r="X241" s="2" t="n">
        <v>46121</v>
      </c>
      <c r="Y241" s="2" t="n">
        <v>46122</v>
      </c>
      <c r="Z241" s="2" t="n">
        <v>46123</v>
      </c>
      <c r="AA241" s="2" t="n">
        <v>46124</v>
      </c>
      <c r="AB241" s="2" t="n">
        <v>46125</v>
      </c>
      <c r="AC241" s="2" t="n">
        <v>46126</v>
      </c>
      <c r="AD241" s="2" t="n">
        <v>46127</v>
      </c>
      <c r="AE241" s="2" t="n">
        <v>46128</v>
      </c>
      <c r="AF241" s="2" t="n">
        <v>46129</v>
      </c>
      <c r="AG241" s="2" t="n">
        <v>46130</v>
      </c>
      <c r="AH241" s="2" t="n">
        <v>46131</v>
      </c>
      <c r="AI241" s="2" t="n">
        <v>46132</v>
      </c>
      <c r="AJ241" s="2" t="n">
        <v>46133</v>
      </c>
      <c r="AK241" s="2" t="n">
        <v>46134</v>
      </c>
      <c r="AL241" s="2" t="n">
        <v>46135</v>
      </c>
      <c r="AM241" s="2" t="n">
        <v>46136</v>
      </c>
      <c r="AN241" s="2" t="n">
        <v>46137</v>
      </c>
      <c r="AO241" s="2" t="n">
        <v>46138</v>
      </c>
      <c r="AP241" s="2" t="n">
        <v>46139</v>
      </c>
      <c r="AQ241" s="2" t="n"/>
      <c r="AR241" s="2" t="n"/>
      <c r="AS241" s="2" t="n"/>
      <c r="AT241" s="21" t="n"/>
    </row>
    <row r="242" ht="15" customHeight="1">
      <c r="A242" s="7" t="inlineStr">
        <is>
          <t>Làm việc? 1=Yes, 0=No</t>
        </is>
      </c>
      <c r="B242" s="3" t="n">
        <v>1</v>
      </c>
      <c r="C242" s="3" t="n">
        <v>1</v>
      </c>
      <c r="D242" s="3" t="n">
        <v>1</v>
      </c>
      <c r="E242" s="3" t="n">
        <v>1</v>
      </c>
      <c r="F242" s="3" t="n">
        <v>1</v>
      </c>
      <c r="G242" s="3" t="n">
        <v>1</v>
      </c>
      <c r="H242" s="3" t="n">
        <v>1</v>
      </c>
      <c r="I242" s="3" t="n">
        <v>1</v>
      </c>
      <c r="J242" s="3" t="n">
        <v>1</v>
      </c>
      <c r="K242" s="3" t="n">
        <v>1</v>
      </c>
      <c r="L242" s="3" t="n">
        <v>1</v>
      </c>
      <c r="M242" s="3" t="n">
        <v>1</v>
      </c>
      <c r="N242" s="1" t="n">
        <v>1</v>
      </c>
      <c r="O242" s="1" t="n">
        <v>1</v>
      </c>
      <c r="P242" s="1" t="n">
        <v>1</v>
      </c>
      <c r="Q242" s="1" t="n">
        <v>1</v>
      </c>
      <c r="R242" s="1" t="n">
        <v>1</v>
      </c>
      <c r="S242" s="1" t="n">
        <v>0</v>
      </c>
      <c r="T242" s="1" t="n">
        <v>0</v>
      </c>
      <c r="U242" s="1" t="n">
        <v>1</v>
      </c>
      <c r="V242" s="1" t="n">
        <v>1</v>
      </c>
      <c r="W242" s="1" t="n">
        <v>1</v>
      </c>
      <c r="X242" s="1" t="n">
        <v>1</v>
      </c>
      <c r="Y242" s="1" t="n">
        <v>1</v>
      </c>
      <c r="Z242" s="1" t="n">
        <v>0</v>
      </c>
      <c r="AA242" s="1" t="n">
        <v>0</v>
      </c>
      <c r="AB242" s="1" t="n">
        <v>1</v>
      </c>
      <c r="AC242" s="1" t="n">
        <v>1</v>
      </c>
      <c r="AD242" s="1" t="n">
        <v>1</v>
      </c>
      <c r="AE242" s="1" t="n">
        <v>1</v>
      </c>
      <c r="AF242" s="1" t="n">
        <v>1</v>
      </c>
      <c r="AG242" s="1" t="n">
        <v>0</v>
      </c>
      <c r="AH242" s="1" t="n">
        <v>0</v>
      </c>
      <c r="AI242" s="1" t="n">
        <v>1</v>
      </c>
      <c r="AJ242" s="1" t="n">
        <v>1</v>
      </c>
      <c r="AK242" s="1" t="n">
        <v>1</v>
      </c>
      <c r="AL242" s="1" t="n">
        <v>1</v>
      </c>
      <c r="AM242" s="1" t="n">
        <v>1</v>
      </c>
      <c r="AN242" s="1" t="n">
        <v>0</v>
      </c>
      <c r="AO242" s="1" t="n">
        <v>0</v>
      </c>
      <c r="AP242" s="16" t="n">
        <v>1</v>
      </c>
      <c r="AQ242" s="16" t="n"/>
      <c r="AR242" s="16" t="n"/>
      <c r="AS242" s="16" t="n"/>
    </row>
    <row r="243">
      <c r="A243" s="4" t="inlineStr">
        <is>
          <t>Mục tiêu Bản vẽ  HT CĐ (Ngày)</t>
        </is>
      </c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5" t="n">
        <v>5.96</v>
      </c>
      <c r="O243" s="5" t="n">
        <v>5.96</v>
      </c>
      <c r="P243" s="5" t="n">
        <v>5.96</v>
      </c>
      <c r="Q243" s="5" t="n">
        <v>5.96</v>
      </c>
      <c r="R243" s="5" t="n">
        <v>5.96</v>
      </c>
      <c r="S243" s="5" t="n"/>
      <c r="T243" s="5" t="n"/>
      <c r="U243" s="5" t="n">
        <v>5.96</v>
      </c>
      <c r="V243" s="5" t="n">
        <v>5.96</v>
      </c>
      <c r="W243" s="5" t="n">
        <v>5.96</v>
      </c>
      <c r="X243" s="5" t="n">
        <v>5.96</v>
      </c>
      <c r="Y243" s="5" t="n">
        <v>5.96</v>
      </c>
      <c r="Z243" s="5" t="n"/>
      <c r="AA243" s="5" t="n"/>
      <c r="AB243" s="5" t="n">
        <v>5.96</v>
      </c>
      <c r="AC243" s="5" t="n">
        <v>5.96</v>
      </c>
      <c r="AD243" s="5" t="n">
        <v>5.96</v>
      </c>
      <c r="AE243" s="5" t="n">
        <v>5.96</v>
      </c>
      <c r="AF243" s="5" t="n">
        <v>5.96</v>
      </c>
      <c r="AG243" s="5" t="n"/>
      <c r="AH243" s="5" t="n"/>
      <c r="AI243" s="5" t="n">
        <v>5.96</v>
      </c>
      <c r="AJ243" s="5" t="n">
        <v>5.96</v>
      </c>
      <c r="AK243" s="5" t="n">
        <v>5.96</v>
      </c>
      <c r="AL243" s="5" t="n">
        <v>5.96</v>
      </c>
      <c r="AM243" s="5" t="n">
        <v>5.96</v>
      </c>
      <c r="AN243" s="5" t="n"/>
      <c r="AO243" s="5" t="n"/>
      <c r="AP243" s="16" t="n">
        <v>5.96</v>
      </c>
      <c r="AQ243" s="16" t="n"/>
      <c r="AR243" s="16" t="n"/>
      <c r="AS243" s="16" t="n"/>
    </row>
    <row r="244">
      <c r="A244" s="4" t="inlineStr">
        <is>
          <t>Mục tiêu số PCS  HT CĐ (Ngày)</t>
        </is>
      </c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5" t="n">
        <v>20.92</v>
      </c>
      <c r="O244" s="5" t="n">
        <v>20.92</v>
      </c>
      <c r="P244" s="5" t="n">
        <v>20.92</v>
      </c>
      <c r="Q244" s="5" t="n">
        <v>20.92</v>
      </c>
      <c r="R244" s="5" t="n">
        <v>20.92</v>
      </c>
      <c r="S244" s="5" t="n"/>
      <c r="T244" s="5" t="n"/>
      <c r="U244" s="5" t="n">
        <v>20.92</v>
      </c>
      <c r="V244" s="5" t="n">
        <v>20.92</v>
      </c>
      <c r="W244" s="5" t="n">
        <v>20.92</v>
      </c>
      <c r="X244" s="5" t="n">
        <v>20.92</v>
      </c>
      <c r="Y244" s="5" t="n">
        <v>20.92</v>
      </c>
      <c r="Z244" s="5" t="n"/>
      <c r="AA244" s="5" t="n"/>
      <c r="AB244" s="5" t="n">
        <v>20.92</v>
      </c>
      <c r="AC244" s="5" t="n">
        <v>20.92</v>
      </c>
      <c r="AD244" s="5" t="n">
        <v>20.92</v>
      </c>
      <c r="AE244" s="5" t="n">
        <v>20.92</v>
      </c>
      <c r="AF244" s="5" t="n">
        <v>20.92</v>
      </c>
      <c r="AG244" s="5" t="n"/>
      <c r="AH244" s="5" t="n"/>
      <c r="AI244" s="5" t="n">
        <v>20.92</v>
      </c>
      <c r="AJ244" s="5" t="n">
        <v>20.92</v>
      </c>
      <c r="AK244" s="5" t="n">
        <v>20.92</v>
      </c>
      <c r="AL244" s="5" t="n">
        <v>20.92</v>
      </c>
      <c r="AM244" s="5" t="n">
        <v>20.92</v>
      </c>
      <c r="AN244" s="5" t="n"/>
      <c r="AO244" s="5" t="n"/>
      <c r="AP244" s="16" t="n">
        <v>20.92</v>
      </c>
      <c r="AQ244" s="16" t="n"/>
      <c r="AR244" s="16" t="n"/>
      <c r="AS244" s="16" t="n"/>
    </row>
    <row r="245">
      <c r="A245" s="4" t="inlineStr">
        <is>
          <t>Mục tiêu Bản vẽ HT CĐ Ca 1 (Còn lại/Ngày)</t>
        </is>
      </c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5" t="n">
        <v>5.96</v>
      </c>
      <c r="O245" s="5" t="n">
        <v>6</v>
      </c>
      <c r="P245" s="5" t="n">
        <v>5.9</v>
      </c>
      <c r="Q245" s="5" t="n">
        <v>5.78</v>
      </c>
      <c r="R245" s="5" t="n">
        <v>5.77</v>
      </c>
      <c r="S245" s="5" t="n"/>
      <c r="T245" s="5" t="n"/>
      <c r="U245" s="5" t="n">
        <v>5.5</v>
      </c>
      <c r="V245" s="5" t="n">
        <v>5.54</v>
      </c>
      <c r="W245" s="5" t="n">
        <v>5.58</v>
      </c>
      <c r="X245" s="5" t="n">
        <v>5.54</v>
      </c>
      <c r="Y245" s="5" t="n">
        <v>5.84</v>
      </c>
      <c r="Z245" s="5" t="n"/>
      <c r="AA245" s="5" t="n"/>
      <c r="AB245" s="5" t="n">
        <v>5.84</v>
      </c>
      <c r="AC245" s="5" t="n">
        <v>5.84</v>
      </c>
      <c r="AD245" s="5" t="n">
        <v>5.84</v>
      </c>
      <c r="AE245" s="5" t="n">
        <v>5.84</v>
      </c>
      <c r="AF245" s="5" t="n">
        <v>5.84</v>
      </c>
      <c r="AG245" s="5" t="n"/>
      <c r="AH245" s="5" t="n"/>
      <c r="AI245" s="5" t="n">
        <v>5.84</v>
      </c>
      <c r="AJ245" s="5" t="n">
        <v>5.84</v>
      </c>
      <c r="AK245" s="5" t="n">
        <v>5.84</v>
      </c>
      <c r="AL245" s="5" t="n">
        <v>5.84</v>
      </c>
      <c r="AM245" s="5" t="n">
        <v>5.84</v>
      </c>
      <c r="AN245" s="5" t="n"/>
      <c r="AO245" s="5" t="n"/>
      <c r="AP245" s="16" t="n">
        <v>5.84</v>
      </c>
      <c r="AQ245" s="16" t="n"/>
      <c r="AR245" s="16" t="n"/>
      <c r="AS245" s="16" t="n"/>
    </row>
    <row r="246">
      <c r="A246" s="4" t="inlineStr">
        <is>
          <t>Mục tiêu Bản vẽ HT CĐ Ca 2(Còn lại/Ngày)</t>
        </is>
      </c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5" t="n">
        <v>5.96</v>
      </c>
      <c r="O246" s="5" t="n">
        <v>6.1</v>
      </c>
      <c r="P246" s="5" t="n">
        <v>6.06</v>
      </c>
      <c r="Q246" s="5" t="n">
        <v>6.11</v>
      </c>
      <c r="R246" s="5" t="n">
        <v>6.06</v>
      </c>
      <c r="S246" s="5" t="n"/>
      <c r="T246" s="5" t="n"/>
      <c r="U246" s="5" t="n">
        <v>5.94</v>
      </c>
      <c r="V246" s="5" t="n">
        <v>5.94</v>
      </c>
      <c r="W246" s="5" t="n">
        <v>5.93</v>
      </c>
      <c r="X246" s="5" t="n">
        <v>6.01</v>
      </c>
      <c r="Y246" s="5" t="n">
        <v>6.01</v>
      </c>
      <c r="Z246" s="5" t="n"/>
      <c r="AA246" s="5" t="n"/>
      <c r="AB246" s="5" t="n">
        <v>6.01</v>
      </c>
      <c r="AC246" s="5" t="n">
        <v>6.01</v>
      </c>
      <c r="AD246" s="5" t="n">
        <v>6.01</v>
      </c>
      <c r="AE246" s="5" t="n">
        <v>6.01</v>
      </c>
      <c r="AF246" s="5" t="n">
        <v>6.01</v>
      </c>
      <c r="AG246" s="5" t="n"/>
      <c r="AH246" s="5" t="n"/>
      <c r="AI246" s="5" t="n">
        <v>6.01</v>
      </c>
      <c r="AJ246" s="5" t="n">
        <v>6.01</v>
      </c>
      <c r="AK246" s="5" t="n">
        <v>6.01</v>
      </c>
      <c r="AL246" s="5" t="n">
        <v>6.01</v>
      </c>
      <c r="AM246" s="5" t="n">
        <v>6.01</v>
      </c>
      <c r="AN246" s="5" t="n"/>
      <c r="AO246" s="5" t="n"/>
      <c r="AP246" s="16" t="n">
        <v>6.01</v>
      </c>
      <c r="AQ246" s="16" t="n"/>
      <c r="AR246" s="16" t="n"/>
      <c r="AS246" s="16" t="n"/>
    </row>
    <row r="247">
      <c r="A247" s="4" t="inlineStr">
        <is>
          <t>Mục tiêu số PCS HT CĐ Ca 1(Còn lại/Ngày)</t>
        </is>
      </c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5" t="n">
        <v>20.92</v>
      </c>
      <c r="O247" s="5" t="n">
        <v>21.02</v>
      </c>
      <c r="P247" s="5" t="n">
        <v>21.12</v>
      </c>
      <c r="Q247" s="5" t="n">
        <v>21.68</v>
      </c>
      <c r="R247" s="5" t="n">
        <v>22.14</v>
      </c>
      <c r="S247" s="5" t="n"/>
      <c r="T247" s="5" t="n"/>
      <c r="U247" s="5" t="n">
        <v>21.64</v>
      </c>
      <c r="V247" s="5" t="n">
        <v>22.15</v>
      </c>
      <c r="W247" s="5" t="n">
        <v>23.02</v>
      </c>
      <c r="X247" s="5" t="n">
        <v>23.72</v>
      </c>
      <c r="Y247" s="5" t="n">
        <v>6.03</v>
      </c>
      <c r="Z247" s="5" t="n"/>
      <c r="AA247" s="5" t="n"/>
      <c r="AB247" s="5" t="n">
        <v>6.03</v>
      </c>
      <c r="AC247" s="5" t="n">
        <v>6.03</v>
      </c>
      <c r="AD247" s="5" t="n">
        <v>6.03</v>
      </c>
      <c r="AE247" s="5" t="n">
        <v>6.03</v>
      </c>
      <c r="AF247" s="5" t="n">
        <v>6.03</v>
      </c>
      <c r="AG247" s="5" t="n"/>
      <c r="AH247" s="5" t="n"/>
      <c r="AI247" s="5" t="n">
        <v>6.03</v>
      </c>
      <c r="AJ247" s="5" t="n">
        <v>6.03</v>
      </c>
      <c r="AK247" s="5" t="n">
        <v>6.03</v>
      </c>
      <c r="AL247" s="5" t="n">
        <v>6.03</v>
      </c>
      <c r="AM247" s="5" t="n">
        <v>6.03</v>
      </c>
      <c r="AN247" s="5" t="n"/>
      <c r="AO247" s="5" t="n"/>
      <c r="AP247" s="16" t="n">
        <v>6.03</v>
      </c>
      <c r="AQ247" s="16" t="n"/>
      <c r="AR247" s="16" t="n"/>
      <c r="AS247" s="16" t="n"/>
    </row>
    <row r="248">
      <c r="A248" s="4" t="inlineStr">
        <is>
          <t>Mục tiêu số PCS HT CĐ Ca 2(Còn lại/Ngày)</t>
        </is>
      </c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5" t="n">
        <v>20.92</v>
      </c>
      <c r="O248" s="5" t="n">
        <v>21.47</v>
      </c>
      <c r="P248" s="5" t="n">
        <v>21.96</v>
      </c>
      <c r="Q248" s="5" t="n">
        <v>22.46</v>
      </c>
      <c r="R248" s="5" t="n">
        <v>22.37</v>
      </c>
      <c r="S248" s="5" t="n"/>
      <c r="T248" s="5" t="n"/>
      <c r="U248" s="5" t="n">
        <v>21.02</v>
      </c>
      <c r="V248" s="5" t="n">
        <v>21.89</v>
      </c>
      <c r="W248" s="5" t="n">
        <v>21.59</v>
      </c>
      <c r="X248" s="5" t="n">
        <v>22.79</v>
      </c>
      <c r="Y248" s="5" t="n">
        <v>23.19</v>
      </c>
      <c r="Z248" s="5" t="n"/>
      <c r="AA248" s="5" t="n"/>
      <c r="AB248" s="5" t="n">
        <v>23.19</v>
      </c>
      <c r="AC248" s="5" t="n">
        <v>23.19</v>
      </c>
      <c r="AD248" s="5" t="n">
        <v>23.19</v>
      </c>
      <c r="AE248" s="5" t="n">
        <v>23.19</v>
      </c>
      <c r="AF248" s="5" t="n">
        <v>23.19</v>
      </c>
      <c r="AG248" s="5" t="n"/>
      <c r="AH248" s="5" t="n"/>
      <c r="AI248" s="5" t="n">
        <v>23.19</v>
      </c>
      <c r="AJ248" s="5" t="n">
        <v>23.19</v>
      </c>
      <c r="AK248" s="5" t="n">
        <v>23.19</v>
      </c>
      <c r="AL248" s="5" t="n">
        <v>23.19</v>
      </c>
      <c r="AM248" s="5" t="n">
        <v>23.19</v>
      </c>
      <c r="AN248" s="5" t="n"/>
      <c r="AO248" s="5" t="n"/>
      <c r="AP248" s="16" t="n">
        <v>23.19</v>
      </c>
      <c r="AQ248" s="16" t="n"/>
      <c r="AR248" s="16" t="n"/>
      <c r="AS248" s="16" t="n"/>
    </row>
    <row r="249">
      <c r="A249" s="4" t="inlineStr">
        <is>
          <t>Mục tiêu Bản vẽ  HT CĐ  (Tháng)</t>
        </is>
      </c>
      <c r="B249" s="17" t="n">
        <v>131.0229539611942</v>
      </c>
      <c r="C249" s="17" t="n">
        <v>89.33383224626878</v>
      </c>
      <c r="D249" s="17" t="n">
        <v>131.0229539611942</v>
      </c>
      <c r="E249" s="17" t="n">
        <v>125.0673651447763</v>
      </c>
      <c r="F249" s="17" t="n">
        <v>119.1117763283584</v>
      </c>
      <c r="G249" s="17" t="n">
        <v>131.0229539611942</v>
      </c>
      <c r="H249" s="17" t="n">
        <v>136.9785427776121</v>
      </c>
      <c r="I249" s="17" t="n">
        <v>125.0673651447763</v>
      </c>
      <c r="J249" s="17" t="n">
        <v>125.0673651447763</v>
      </c>
      <c r="K249" s="17" t="n">
        <v>131.0229539611942</v>
      </c>
      <c r="L249" s="17" t="n">
        <v>125.0673651447763</v>
      </c>
      <c r="M249" s="17" t="n">
        <v>131.0229539611942</v>
      </c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  <c r="AN249" s="5" t="n"/>
      <c r="AO249" s="5" t="n"/>
      <c r="AP249" s="16" t="n"/>
      <c r="AQ249" s="16" t="n"/>
      <c r="AR249" s="16" t="n"/>
      <c r="AS249" s="16" t="n"/>
    </row>
    <row r="250">
      <c r="A250" s="4" t="inlineStr">
        <is>
          <t>Mục tiêu số PCS  HT CĐ  (Tháng)</t>
        </is>
      </c>
      <c r="B250" s="17" t="n">
        <v>460.224628624618</v>
      </c>
      <c r="C250" s="17" t="n">
        <v>313.789519516785</v>
      </c>
      <c r="D250" s="17" t="n">
        <v>460.224628624618</v>
      </c>
      <c r="E250" s="17" t="n">
        <v>439.305327323499</v>
      </c>
      <c r="F250" s="17" t="n">
        <v>418.38602602238</v>
      </c>
      <c r="G250" s="17" t="n">
        <v>460.224628624618</v>
      </c>
      <c r="H250" s="17" t="n">
        <v>481.143929925737</v>
      </c>
      <c r="I250" s="17" t="n">
        <v>439.305327323499</v>
      </c>
      <c r="J250" s="17" t="n">
        <v>439.305327323499</v>
      </c>
      <c r="K250" s="17" t="n">
        <v>460.224628624618</v>
      </c>
      <c r="L250" s="17" t="n">
        <v>439.305327323499</v>
      </c>
      <c r="M250" s="17" t="n">
        <v>460.224628624618</v>
      </c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  <c r="AN250" s="5" t="n"/>
      <c r="AO250" s="5" t="n"/>
      <c r="AP250" s="16" t="n"/>
      <c r="AQ250" s="16" t="n"/>
      <c r="AR250" s="16" t="n"/>
      <c r="AS250" s="16" t="n"/>
    </row>
    <row r="251">
      <c r="A251" s="4" t="inlineStr">
        <is>
          <t>Thực tích Bản vẽ HT CĐ Ca 1 (Ngày)</t>
        </is>
      </c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>
        <v>5</v>
      </c>
      <c r="O251" s="1" t="n">
        <v>8</v>
      </c>
      <c r="P251" s="1" t="n">
        <v>8</v>
      </c>
      <c r="Q251" s="1" t="n">
        <v>6</v>
      </c>
      <c r="R251" s="1" t="n">
        <v>5</v>
      </c>
      <c r="S251" s="1" t="n">
        <v>2</v>
      </c>
      <c r="T251" s="1" t="n">
        <v>3</v>
      </c>
      <c r="U251" s="1" t="n">
        <v>5</v>
      </c>
      <c r="V251" s="1" t="n">
        <v>5</v>
      </c>
      <c r="W251" s="1" t="n">
        <v>6</v>
      </c>
      <c r="X251" s="1" t="n">
        <v>2</v>
      </c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6" t="n"/>
      <c r="AP251" s="16" t="n"/>
      <c r="AQ251" s="16" t="n"/>
      <c r="AR251" s="16" t="n"/>
      <c r="AS251" s="16" t="n"/>
    </row>
    <row r="252">
      <c r="A252" s="4" t="inlineStr">
        <is>
          <t>Thực tích Bản vẽ HT CĐ Ca 2 (Ngày)</t>
        </is>
      </c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>
        <v>3</v>
      </c>
      <c r="O252" s="1" t="n">
        <v>7</v>
      </c>
      <c r="P252" s="1" t="n">
        <v>5</v>
      </c>
      <c r="Q252" s="1" t="n">
        <v>7</v>
      </c>
      <c r="R252" s="1" t="n">
        <v>5</v>
      </c>
      <c r="S252" s="1" t="n">
        <v>3</v>
      </c>
      <c r="T252" s="1" t="n">
        <v>0</v>
      </c>
      <c r="U252" s="1" t="n">
        <v>6</v>
      </c>
      <c r="V252" s="1" t="n">
        <v>6</v>
      </c>
      <c r="W252" s="1" t="n">
        <v>5</v>
      </c>
      <c r="X252" s="1" t="n">
        <v>6</v>
      </c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6" t="n"/>
      <c r="AP252" s="16" t="n"/>
      <c r="AQ252" s="16" t="n"/>
      <c r="AR252" s="16" t="n"/>
      <c r="AS252" s="16" t="n"/>
    </row>
    <row r="253">
      <c r="A253" s="4" t="inlineStr">
        <is>
          <t>Thực tích số PCS HT CĐ Ca 1 (Ngày)</t>
        </is>
      </c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>
        <v>19</v>
      </c>
      <c r="O253" s="1" t="n">
        <v>19</v>
      </c>
      <c r="P253" s="1" t="n">
        <v>11</v>
      </c>
      <c r="Q253" s="1" t="n">
        <v>14</v>
      </c>
      <c r="R253" s="1" t="n">
        <v>18</v>
      </c>
      <c r="S253" s="1" t="n">
        <v>8</v>
      </c>
      <c r="T253" s="1" t="n">
        <v>4</v>
      </c>
      <c r="U253" s="1" t="n">
        <v>14</v>
      </c>
      <c r="V253" s="1" t="n">
        <v>10</v>
      </c>
      <c r="W253" s="1" t="n">
        <v>14</v>
      </c>
      <c r="X253" s="1" t="n">
        <v>236</v>
      </c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6" t="n"/>
      <c r="AP253" s="16" t="n"/>
      <c r="AQ253" s="16" t="n"/>
      <c r="AR253" s="16" t="n"/>
      <c r="AS253" s="16" t="n"/>
    </row>
    <row r="254">
      <c r="A254" s="4" t="inlineStr">
        <is>
          <t>Thực tích số PCS HT CĐ Ca 2 (Ngày)</t>
        </is>
      </c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>
        <v>10</v>
      </c>
      <c r="O254" s="1" t="n">
        <v>12</v>
      </c>
      <c r="P254" s="1" t="n">
        <v>13</v>
      </c>
      <c r="Q254" s="1" t="n">
        <v>24</v>
      </c>
      <c r="R254" s="1" t="n">
        <v>33</v>
      </c>
      <c r="S254" s="1" t="n">
        <v>11</v>
      </c>
      <c r="T254" s="1" t="n">
        <v>0</v>
      </c>
      <c r="U254" s="1" t="n">
        <v>8</v>
      </c>
      <c r="V254" s="1" t="n">
        <v>26</v>
      </c>
      <c r="W254" s="1" t="n">
        <v>6</v>
      </c>
      <c r="X254" s="1" t="n">
        <v>18</v>
      </c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6" t="n"/>
      <c r="AP254" s="16" t="n"/>
      <c r="AQ254" s="16" t="n"/>
      <c r="AR254" s="16" t="n"/>
      <c r="AS254" s="16" t="n"/>
    </row>
    <row r="255">
      <c r="A255" s="4" t="inlineStr">
        <is>
          <t>Thực tích Bản vẽ HT CĐ Ca 1  (Tháng)</t>
        </is>
      </c>
      <c r="B255" s="1" t="n"/>
      <c r="C255" s="1" t="n"/>
      <c r="D255" s="1" t="n"/>
      <c r="E255" s="1" t="n">
        <v>55</v>
      </c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6" t="n"/>
      <c r="AP255" s="16" t="n"/>
      <c r="AQ255" s="16" t="n"/>
      <c r="AR255" s="16" t="n"/>
      <c r="AS255" s="16" t="n"/>
    </row>
    <row r="256">
      <c r="A256" s="4" t="inlineStr">
        <is>
          <t>Thực tích Bản vẽ HT CĐ Ca 2  (Tháng)</t>
        </is>
      </c>
      <c r="B256" s="1" t="n"/>
      <c r="C256" s="1" t="n"/>
      <c r="D256" s="1" t="n"/>
      <c r="E256" s="1" t="n">
        <v>53</v>
      </c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6" t="n"/>
      <c r="AP256" s="16" t="n"/>
      <c r="AQ256" s="16" t="n"/>
      <c r="AR256" s="16" t="n"/>
      <c r="AS256" s="16" t="n"/>
    </row>
    <row r="257">
      <c r="A257" s="4" t="inlineStr">
        <is>
          <t>Thực tích số PCS HT CĐ Ca 1  (Tháng)</t>
        </is>
      </c>
      <c r="B257" s="1" t="n"/>
      <c r="C257" s="1" t="n"/>
      <c r="D257" s="1" t="n"/>
      <c r="E257" s="1" t="n">
        <v>367</v>
      </c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6" t="n"/>
      <c r="AP257" s="16" t="n"/>
      <c r="AQ257" s="16" t="n"/>
      <c r="AR257" s="16" t="n"/>
      <c r="AS257" s="16" t="n"/>
    </row>
    <row r="258">
      <c r="A258" s="4" t="inlineStr">
        <is>
          <t>Thực tích số PCS HT CĐ Ca 2  (Tháng)</t>
        </is>
      </c>
      <c r="B258" s="1" t="n"/>
      <c r="C258" s="1" t="n"/>
      <c r="D258" s="1" t="n"/>
      <c r="E258" s="1" t="n">
        <v>161</v>
      </c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6" t="n"/>
      <c r="AP258" s="16" t="n"/>
      <c r="AQ258" s="16" t="n"/>
      <c r="AR258" s="16" t="n"/>
      <c r="AS258" s="16" t="n"/>
    </row>
    <row r="259">
      <c r="A259" s="9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  <c r="AD259" s="10" t="n"/>
      <c r="AE259" s="10" t="n"/>
      <c r="AF259" s="10" t="n"/>
      <c r="AG259" s="10" t="n"/>
      <c r="AH259" s="10" t="n"/>
      <c r="AI259" s="10" t="n"/>
      <c r="AJ259" s="10" t="n"/>
      <c r="AK259" s="10" t="n"/>
      <c r="AL259" s="10" t="n"/>
    </row>
    <row r="260">
      <c r="A260" s="4" t="inlineStr">
        <is>
          <t>Công đoạn:</t>
        </is>
      </c>
      <c r="B260" s="1" t="inlineStr">
        <is>
          <t>EW</t>
        </is>
      </c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</row>
    <row r="261" ht="14.4" customHeight="1">
      <c r="A261" s="4" t="inlineStr">
        <is>
          <t>Ngày làm việc</t>
        </is>
      </c>
      <c r="B261" s="1" t="inlineStr">
        <is>
          <t>1月</t>
        </is>
      </c>
      <c r="C261" s="11" t="inlineStr">
        <is>
          <t>2月</t>
        </is>
      </c>
      <c r="D261" s="1" t="inlineStr">
        <is>
          <t>3月</t>
        </is>
      </c>
      <c r="E261" s="1" t="inlineStr">
        <is>
          <t>4月</t>
        </is>
      </c>
      <c r="F261" s="11" t="inlineStr">
        <is>
          <t>5月</t>
        </is>
      </c>
      <c r="G261" s="1" t="inlineStr">
        <is>
          <t>6月</t>
        </is>
      </c>
      <c r="H261" s="1" t="inlineStr">
        <is>
          <t>7月</t>
        </is>
      </c>
      <c r="I261" s="11" t="inlineStr">
        <is>
          <t>8月</t>
        </is>
      </c>
      <c r="J261" s="1" t="inlineStr">
        <is>
          <t>9月</t>
        </is>
      </c>
      <c r="K261" s="1" t="inlineStr">
        <is>
          <t>10月</t>
        </is>
      </c>
      <c r="L261" s="11" t="inlineStr">
        <is>
          <t>11月</t>
        </is>
      </c>
      <c r="M261" s="1" t="inlineStr">
        <is>
          <t>12月</t>
        </is>
      </c>
      <c r="N261" s="2" t="n">
        <v>46111</v>
      </c>
      <c r="O261" s="2" t="n">
        <v>46112</v>
      </c>
      <c r="P261" s="2" t="n">
        <v>46113</v>
      </c>
      <c r="Q261" s="2" t="n">
        <v>46114</v>
      </c>
      <c r="R261" s="2" t="n">
        <v>46115</v>
      </c>
      <c r="S261" s="2" t="n">
        <v>46116</v>
      </c>
      <c r="T261" s="2" t="n">
        <v>46117</v>
      </c>
      <c r="U261" s="2" t="n">
        <v>46118</v>
      </c>
      <c r="V261" s="2" t="n">
        <v>46119</v>
      </c>
      <c r="W261" s="2" t="n">
        <v>46120</v>
      </c>
      <c r="X261" s="2" t="n">
        <v>46121</v>
      </c>
      <c r="Y261" s="2" t="n">
        <v>46122</v>
      </c>
      <c r="Z261" s="2" t="n">
        <v>46123</v>
      </c>
      <c r="AA261" s="2" t="n">
        <v>46124</v>
      </c>
      <c r="AB261" s="2" t="n">
        <v>46125</v>
      </c>
      <c r="AC261" s="2" t="n">
        <v>46126</v>
      </c>
      <c r="AD261" s="2" t="n">
        <v>46127</v>
      </c>
      <c r="AE261" s="2" t="n">
        <v>46128</v>
      </c>
      <c r="AF261" s="2" t="n">
        <v>46129</v>
      </c>
      <c r="AG261" s="2" t="n">
        <v>46130</v>
      </c>
      <c r="AH261" s="2" t="n">
        <v>46131</v>
      </c>
      <c r="AI261" s="2" t="n">
        <v>46132</v>
      </c>
      <c r="AJ261" s="2" t="n">
        <v>46133</v>
      </c>
      <c r="AK261" s="2" t="n">
        <v>46134</v>
      </c>
      <c r="AL261" s="2" t="n">
        <v>46135</v>
      </c>
      <c r="AM261" s="2" t="n">
        <v>46136</v>
      </c>
      <c r="AN261" s="2" t="n">
        <v>46137</v>
      </c>
      <c r="AO261" s="2" t="n">
        <v>46138</v>
      </c>
      <c r="AP261" s="2" t="n">
        <v>46139</v>
      </c>
      <c r="AQ261" s="2" t="n"/>
      <c r="AR261" s="2" t="n"/>
      <c r="AS261" s="2" t="n"/>
      <c r="AT261" s="21" t="n"/>
    </row>
    <row r="262" ht="15" customHeight="1">
      <c r="A262" s="7" t="inlineStr">
        <is>
          <t>Làm việc? 1=Yes, 0=No</t>
        </is>
      </c>
      <c r="B262" s="3" t="n">
        <v>1</v>
      </c>
      <c r="C262" s="3" t="n">
        <v>1</v>
      </c>
      <c r="D262" s="3" t="n">
        <v>1</v>
      </c>
      <c r="E262" s="3" t="n">
        <v>1</v>
      </c>
      <c r="F262" s="3" t="n">
        <v>1</v>
      </c>
      <c r="G262" s="3" t="n">
        <v>1</v>
      </c>
      <c r="H262" s="3" t="n">
        <v>1</v>
      </c>
      <c r="I262" s="3" t="n">
        <v>1</v>
      </c>
      <c r="J262" s="3" t="n">
        <v>1</v>
      </c>
      <c r="K262" s="3" t="n">
        <v>1</v>
      </c>
      <c r="L262" s="3" t="n">
        <v>1</v>
      </c>
      <c r="M262" s="3" t="n">
        <v>1</v>
      </c>
      <c r="N262" s="1" t="n">
        <v>1</v>
      </c>
      <c r="O262" s="1" t="n">
        <v>1</v>
      </c>
      <c r="P262" s="1" t="n">
        <v>1</v>
      </c>
      <c r="Q262" s="1" t="n">
        <v>1</v>
      </c>
      <c r="R262" s="1" t="n">
        <v>1</v>
      </c>
      <c r="S262" s="1" t="n">
        <v>0</v>
      </c>
      <c r="T262" s="1" t="n">
        <v>0</v>
      </c>
      <c r="U262" s="1" t="n">
        <v>1</v>
      </c>
      <c r="V262" s="1" t="n">
        <v>1</v>
      </c>
      <c r="W262" s="1" t="n">
        <v>1</v>
      </c>
      <c r="X262" s="1" t="n">
        <v>1</v>
      </c>
      <c r="Y262" s="1" t="n">
        <v>1</v>
      </c>
      <c r="Z262" s="1" t="n">
        <v>0</v>
      </c>
      <c r="AA262" s="1" t="n">
        <v>0</v>
      </c>
      <c r="AB262" s="1" t="n">
        <v>1</v>
      </c>
      <c r="AC262" s="1" t="n">
        <v>1</v>
      </c>
      <c r="AD262" s="1" t="n">
        <v>1</v>
      </c>
      <c r="AE262" s="1" t="n">
        <v>1</v>
      </c>
      <c r="AF262" s="1" t="n">
        <v>1</v>
      </c>
      <c r="AG262" s="1" t="n">
        <v>0</v>
      </c>
      <c r="AH262" s="1" t="n">
        <v>0</v>
      </c>
      <c r="AI262" s="1" t="n">
        <v>1</v>
      </c>
      <c r="AJ262" s="1" t="n">
        <v>1</v>
      </c>
      <c r="AK262" s="1" t="n">
        <v>1</v>
      </c>
      <c r="AL262" s="1" t="n">
        <v>1</v>
      </c>
      <c r="AM262" s="1" t="n">
        <v>1</v>
      </c>
      <c r="AN262" s="1" t="n">
        <v>0</v>
      </c>
      <c r="AO262" s="1" t="n">
        <v>0</v>
      </c>
      <c r="AP262" s="16" t="n">
        <v>1</v>
      </c>
      <c r="AQ262" s="16" t="n"/>
      <c r="AR262" s="16" t="n"/>
      <c r="AS262" s="16" t="n"/>
    </row>
    <row r="263">
      <c r="A263" s="4" t="inlineStr">
        <is>
          <t>Mục tiêu Bản vẽ  HT CĐ (Ngày)</t>
        </is>
      </c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5" t="n">
        <v>10.1</v>
      </c>
      <c r="O263" s="5" t="n">
        <v>10.1</v>
      </c>
      <c r="P263" s="5" t="n">
        <v>10.1</v>
      </c>
      <c r="Q263" s="5" t="n">
        <v>10.1</v>
      </c>
      <c r="R263" s="5" t="n">
        <v>10.1</v>
      </c>
      <c r="S263" s="5" t="n"/>
      <c r="T263" s="5" t="n"/>
      <c r="U263" s="5" t="n">
        <v>10.1</v>
      </c>
      <c r="V263" s="5" t="n">
        <v>10.1</v>
      </c>
      <c r="W263" s="5" t="n">
        <v>10.1</v>
      </c>
      <c r="X263" s="5" t="n">
        <v>10.1</v>
      </c>
      <c r="Y263" s="5" t="n">
        <v>10.1</v>
      </c>
      <c r="Z263" s="5" t="n"/>
      <c r="AA263" s="5" t="n"/>
      <c r="AB263" s="5" t="n">
        <v>10.1</v>
      </c>
      <c r="AC263" s="5" t="n">
        <v>10.1</v>
      </c>
      <c r="AD263" s="5" t="n">
        <v>10.1</v>
      </c>
      <c r="AE263" s="5" t="n">
        <v>10.1</v>
      </c>
      <c r="AF263" s="5" t="n">
        <v>10.1</v>
      </c>
      <c r="AG263" s="5" t="n"/>
      <c r="AH263" s="5" t="n"/>
      <c r="AI263" s="5" t="n">
        <v>10.1</v>
      </c>
      <c r="AJ263" s="5" t="n">
        <v>10.1</v>
      </c>
      <c r="AK263" s="5" t="n">
        <v>10.1</v>
      </c>
      <c r="AL263" s="5" t="n">
        <v>10.1</v>
      </c>
      <c r="AM263" s="5" t="n">
        <v>10.1</v>
      </c>
      <c r="AN263" s="5" t="n"/>
      <c r="AO263" s="5" t="n"/>
      <c r="AP263" s="16" t="n">
        <v>10.1</v>
      </c>
      <c r="AQ263" s="16" t="n"/>
      <c r="AR263" s="16" t="n"/>
      <c r="AS263" s="16" t="n"/>
    </row>
    <row r="264">
      <c r="A264" s="4" t="inlineStr">
        <is>
          <t>Mục tiêu số PCS  HT CĐ (Ngày)</t>
        </is>
      </c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5" t="n">
        <v>54.78</v>
      </c>
      <c r="O264" s="5" t="n">
        <v>54.78</v>
      </c>
      <c r="P264" s="5" t="n">
        <v>54.78</v>
      </c>
      <c r="Q264" s="5" t="n">
        <v>54.78</v>
      </c>
      <c r="R264" s="5" t="n">
        <v>54.78</v>
      </c>
      <c r="S264" s="5" t="n"/>
      <c r="T264" s="5" t="n"/>
      <c r="U264" s="5" t="n">
        <v>54.78</v>
      </c>
      <c r="V264" s="5" t="n">
        <v>54.78</v>
      </c>
      <c r="W264" s="5" t="n">
        <v>54.78</v>
      </c>
      <c r="X264" s="5" t="n">
        <v>54.78</v>
      </c>
      <c r="Y264" s="5" t="n">
        <v>54.78</v>
      </c>
      <c r="Z264" s="5" t="n"/>
      <c r="AA264" s="5" t="n"/>
      <c r="AB264" s="5" t="n">
        <v>54.78</v>
      </c>
      <c r="AC264" s="5" t="n">
        <v>54.78</v>
      </c>
      <c r="AD264" s="5" t="n">
        <v>54.78</v>
      </c>
      <c r="AE264" s="5" t="n">
        <v>54.78</v>
      </c>
      <c r="AF264" s="5" t="n">
        <v>54.78</v>
      </c>
      <c r="AG264" s="5" t="n"/>
      <c r="AH264" s="5" t="n"/>
      <c r="AI264" s="5" t="n">
        <v>54.78</v>
      </c>
      <c r="AJ264" s="5" t="n">
        <v>54.78</v>
      </c>
      <c r="AK264" s="5" t="n">
        <v>54.78</v>
      </c>
      <c r="AL264" s="5" t="n">
        <v>54.78</v>
      </c>
      <c r="AM264" s="5" t="n">
        <v>54.78</v>
      </c>
      <c r="AN264" s="5" t="n"/>
      <c r="AO264" s="5" t="n"/>
      <c r="AP264" s="16" t="n">
        <v>54.78</v>
      </c>
      <c r="AQ264" s="16" t="n"/>
      <c r="AR264" s="16" t="n"/>
      <c r="AS264" s="16" t="n"/>
    </row>
    <row r="265">
      <c r="A265" s="4" t="inlineStr">
        <is>
          <t>Mục tiêu Bản vẽ HT CĐ Ca 1 (Còn lại/Ngày)</t>
        </is>
      </c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5" t="n">
        <v>10.1</v>
      </c>
      <c r="O265" s="5" t="n">
        <v>10.21</v>
      </c>
      <c r="P265" s="5" t="n">
        <v>10.32</v>
      </c>
      <c r="Q265" s="5" t="n">
        <v>10.56</v>
      </c>
      <c r="R265" s="5" t="n">
        <v>10.54</v>
      </c>
      <c r="S265" s="5" t="n"/>
      <c r="T265" s="5" t="n"/>
      <c r="U265" s="5" t="n">
        <v>10.57</v>
      </c>
      <c r="V265" s="5" t="n">
        <v>10.48</v>
      </c>
      <c r="W265" s="5" t="n">
        <v>10.44</v>
      </c>
      <c r="X265" s="5" t="n">
        <v>10.78</v>
      </c>
      <c r="Y265" s="5" t="n">
        <v>10.85</v>
      </c>
      <c r="Z265" s="5" t="n"/>
      <c r="AA265" s="5" t="n"/>
      <c r="AB265" s="5" t="n">
        <v>10.85</v>
      </c>
      <c r="AC265" s="5" t="n">
        <v>10.85</v>
      </c>
      <c r="AD265" s="5" t="n">
        <v>10.85</v>
      </c>
      <c r="AE265" s="5" t="n">
        <v>10.85</v>
      </c>
      <c r="AF265" s="5" t="n">
        <v>10.85</v>
      </c>
      <c r="AG265" s="5" t="n"/>
      <c r="AH265" s="5" t="n"/>
      <c r="AI265" s="5" t="n">
        <v>10.85</v>
      </c>
      <c r="AJ265" s="5" t="n">
        <v>10.85</v>
      </c>
      <c r="AK265" s="5" t="n">
        <v>10.85</v>
      </c>
      <c r="AL265" s="5" t="n">
        <v>10.85</v>
      </c>
      <c r="AM265" s="5" t="n">
        <v>10.85</v>
      </c>
      <c r="AN265" s="5" t="n"/>
      <c r="AO265" s="5" t="n"/>
      <c r="AP265" s="16" t="n">
        <v>10.85</v>
      </c>
      <c r="AQ265" s="16" t="n"/>
      <c r="AR265" s="16" t="n"/>
      <c r="AS265" s="16" t="n"/>
    </row>
    <row r="266">
      <c r="A266" s="4" t="inlineStr">
        <is>
          <t>Mục tiêu Bản vẽ HT CĐ Ca 2(Còn lại/Ngày)</t>
        </is>
      </c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5" t="n">
        <v>10.1</v>
      </c>
      <c r="O266" s="5" t="n">
        <v>10.01</v>
      </c>
      <c r="P266" s="5" t="n">
        <v>9.75</v>
      </c>
      <c r="Q266" s="5" t="n">
        <v>9.68</v>
      </c>
      <c r="R266" s="5" t="n">
        <v>9.720000000000001</v>
      </c>
      <c r="S266" s="5" t="n"/>
      <c r="T266" s="5" t="n"/>
      <c r="U266" s="5" t="n">
        <v>9.199999999999999</v>
      </c>
      <c r="V266" s="5" t="n">
        <v>9.41</v>
      </c>
      <c r="W266" s="5" t="n">
        <v>9.369999999999999</v>
      </c>
      <c r="X266" s="5" t="n">
        <v>9.09</v>
      </c>
      <c r="Y266" s="5" t="n">
        <v>9.18</v>
      </c>
      <c r="Z266" s="5" t="n"/>
      <c r="AA266" s="5" t="n"/>
      <c r="AB266" s="5" t="n">
        <v>9.18</v>
      </c>
      <c r="AC266" s="5" t="n">
        <v>9.18</v>
      </c>
      <c r="AD266" s="5" t="n">
        <v>9.18</v>
      </c>
      <c r="AE266" s="5" t="n">
        <v>9.18</v>
      </c>
      <c r="AF266" s="5" t="n">
        <v>9.18</v>
      </c>
      <c r="AG266" s="5" t="n"/>
      <c r="AH266" s="5" t="n"/>
      <c r="AI266" s="5" t="n">
        <v>9.18</v>
      </c>
      <c r="AJ266" s="5" t="n">
        <v>9.18</v>
      </c>
      <c r="AK266" s="5" t="n">
        <v>9.18</v>
      </c>
      <c r="AL266" s="5" t="n">
        <v>9.18</v>
      </c>
      <c r="AM266" s="5" t="n">
        <v>9.18</v>
      </c>
      <c r="AN266" s="5" t="n"/>
      <c r="AO266" s="5" t="n"/>
      <c r="AP266" s="16" t="n">
        <v>9.18</v>
      </c>
      <c r="AQ266" s="16" t="n"/>
      <c r="AR266" s="16" t="n"/>
      <c r="AS266" s="16" t="n"/>
    </row>
    <row r="267">
      <c r="A267" s="4" t="inlineStr">
        <is>
          <t>Mục tiêu số PCS HT CĐ Ca 1(Còn lại/Ngày)</t>
        </is>
      </c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5" t="n">
        <v>54.78</v>
      </c>
      <c r="O267" s="5" t="n">
        <v>56.67</v>
      </c>
      <c r="P267" s="5" t="n">
        <v>58.54</v>
      </c>
      <c r="Q267" s="5" t="n">
        <v>58.91</v>
      </c>
      <c r="R267" s="5" t="n">
        <v>61.19</v>
      </c>
      <c r="S267" s="5" t="n"/>
      <c r="T267" s="5" t="n"/>
      <c r="U267" s="5" t="n">
        <v>63.33</v>
      </c>
      <c r="V267" s="5" t="n">
        <v>66.55</v>
      </c>
      <c r="W267" s="5" t="n">
        <v>66.09</v>
      </c>
      <c r="X267" s="5" t="n">
        <v>67.02</v>
      </c>
      <c r="Y267" s="5" t="n">
        <v>68.44</v>
      </c>
      <c r="Z267" s="5" t="n"/>
      <c r="AA267" s="5" t="n"/>
      <c r="AB267" s="5" t="n">
        <v>68.44</v>
      </c>
      <c r="AC267" s="5" t="n">
        <v>68.44</v>
      </c>
      <c r="AD267" s="5" t="n">
        <v>68.44</v>
      </c>
      <c r="AE267" s="5" t="n">
        <v>68.44</v>
      </c>
      <c r="AF267" s="5" t="n">
        <v>68.44</v>
      </c>
      <c r="AG267" s="5" t="n"/>
      <c r="AH267" s="5" t="n"/>
      <c r="AI267" s="5" t="n">
        <v>68.44</v>
      </c>
      <c r="AJ267" s="5" t="n">
        <v>68.44</v>
      </c>
      <c r="AK267" s="5" t="n">
        <v>68.44</v>
      </c>
      <c r="AL267" s="5" t="n">
        <v>68.44</v>
      </c>
      <c r="AM267" s="5" t="n">
        <v>68.44</v>
      </c>
      <c r="AN267" s="5" t="n"/>
      <c r="AO267" s="5" t="n"/>
      <c r="AP267" s="16" t="n">
        <v>68.44</v>
      </c>
      <c r="AQ267" s="16" t="n"/>
      <c r="AR267" s="16" t="n"/>
      <c r="AS267" s="16" t="n"/>
    </row>
    <row r="268">
      <c r="A268" s="4" t="inlineStr">
        <is>
          <t>Mục tiêu số PCS HT CĐ Ca 2(Còn lại/Ngày)</t>
        </is>
      </c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5" t="n">
        <v>54.78</v>
      </c>
      <c r="O268" s="5" t="n">
        <v>50.72</v>
      </c>
      <c r="P268" s="5" t="n">
        <v>50.7</v>
      </c>
      <c r="Q268" s="5" t="n">
        <v>52.13</v>
      </c>
      <c r="R268" s="5" t="n">
        <v>52.08</v>
      </c>
      <c r="S268" s="5" t="n"/>
      <c r="T268" s="5" t="n"/>
      <c r="U268" s="5" t="n">
        <v>50.02</v>
      </c>
      <c r="V268" s="5" t="n">
        <v>50.55</v>
      </c>
      <c r="W268" s="5" t="n">
        <v>47.16</v>
      </c>
      <c r="X268" s="5" t="n">
        <v>47.64</v>
      </c>
      <c r="Y268" s="5" t="n">
        <v>44.94</v>
      </c>
      <c r="Z268" s="5" t="n"/>
      <c r="AA268" s="5" t="n"/>
      <c r="AB268" s="5" t="n">
        <v>44.94</v>
      </c>
      <c r="AC268" s="5" t="n">
        <v>44.94</v>
      </c>
      <c r="AD268" s="5" t="n">
        <v>44.94</v>
      </c>
      <c r="AE268" s="5" t="n">
        <v>44.94</v>
      </c>
      <c r="AF268" s="5" t="n">
        <v>44.94</v>
      </c>
      <c r="AG268" s="5" t="n"/>
      <c r="AH268" s="5" t="n"/>
      <c r="AI268" s="5" t="n">
        <v>44.94</v>
      </c>
      <c r="AJ268" s="5" t="n">
        <v>44.94</v>
      </c>
      <c r="AK268" s="5" t="n">
        <v>44.94</v>
      </c>
      <c r="AL268" s="5" t="n">
        <v>44.94</v>
      </c>
      <c r="AM268" s="5" t="n">
        <v>44.94</v>
      </c>
      <c r="AN268" s="5" t="n"/>
      <c r="AO268" s="5" t="n"/>
      <c r="AP268" s="16" t="n">
        <v>44.94</v>
      </c>
      <c r="AQ268" s="16" t="n"/>
      <c r="AR268" s="16" t="n"/>
      <c r="AS268" s="16" t="n"/>
    </row>
    <row r="269">
      <c r="A269" s="4" t="inlineStr">
        <is>
          <t>Mục tiêu Bản vẽ  HT CĐ  (Tháng)</t>
        </is>
      </c>
      <c r="B269" s="17" t="n">
        <v>222.2703903465441</v>
      </c>
      <c r="C269" s="17" t="n">
        <v>151.5479934180983</v>
      </c>
      <c r="D269" s="17" t="n">
        <v>222.2703903465441</v>
      </c>
      <c r="E269" s="17" t="n">
        <v>212.1671907853376</v>
      </c>
      <c r="F269" s="17" t="n">
        <v>202.063991224131</v>
      </c>
      <c r="G269" s="17" t="n">
        <v>222.2703903465441</v>
      </c>
      <c r="H269" s="17" t="n">
        <v>232.3735899077507</v>
      </c>
      <c r="I269" s="17" t="n">
        <v>212.1671907853376</v>
      </c>
      <c r="J269" s="17" t="n">
        <v>212.1671907853376</v>
      </c>
      <c r="K269" s="17" t="n">
        <v>222.2703903465441</v>
      </c>
      <c r="L269" s="17" t="n">
        <v>212.1671907853376</v>
      </c>
      <c r="M269" s="17" t="n">
        <v>222.2703903465441</v>
      </c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/>
      <c r="AL269" s="5" t="n"/>
      <c r="AM269" s="5" t="n"/>
      <c r="AN269" s="5" t="n"/>
      <c r="AO269" s="5" t="n"/>
      <c r="AP269" s="16" t="n"/>
      <c r="AQ269" s="16" t="n"/>
      <c r="AR269" s="16" t="n"/>
      <c r="AS269" s="16" t="n"/>
    </row>
    <row r="270">
      <c r="A270" s="4" t="inlineStr">
        <is>
          <t>Mục tiêu số PCS  HT CĐ  (Tháng)</t>
        </is>
      </c>
      <c r="B270" s="17" t="n">
        <v>1205.085568876691</v>
      </c>
      <c r="C270" s="17" t="n">
        <v>821.6492515068348</v>
      </c>
      <c r="D270" s="17" t="n">
        <v>1205.085568876691</v>
      </c>
      <c r="E270" s="17" t="n">
        <v>1150.308952109569</v>
      </c>
      <c r="F270" s="17" t="n">
        <v>1095.532335342446</v>
      </c>
      <c r="G270" s="17" t="n">
        <v>1205.085568876691</v>
      </c>
      <c r="H270" s="17" t="n">
        <v>1259.862185643813</v>
      </c>
      <c r="I270" s="17" t="n">
        <v>1150.308952109569</v>
      </c>
      <c r="J270" s="17" t="n">
        <v>1150.308952109569</v>
      </c>
      <c r="K270" s="17" t="n">
        <v>1205.085568876691</v>
      </c>
      <c r="L270" s="17" t="n">
        <v>1150.308952109569</v>
      </c>
      <c r="M270" s="17" t="n">
        <v>1205.085568876691</v>
      </c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n"/>
      <c r="AJ270" s="5" t="n"/>
      <c r="AK270" s="5" t="n"/>
      <c r="AL270" s="5" t="n"/>
      <c r="AM270" s="5" t="n"/>
      <c r="AN270" s="5" t="n"/>
      <c r="AO270" s="5" t="n"/>
      <c r="AP270" s="16" t="n"/>
      <c r="AQ270" s="16" t="n"/>
      <c r="AR270" s="16" t="n"/>
      <c r="AS270" s="16" t="n"/>
    </row>
    <row r="271">
      <c r="A271" s="4" t="inlineStr">
        <is>
          <t>Thực tích Bản vẽ HT CĐ Ca 1 (Ngày)</t>
        </is>
      </c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>
        <v>8</v>
      </c>
      <c r="O271" s="1" t="n">
        <v>8</v>
      </c>
      <c r="P271" s="1" t="n">
        <v>6</v>
      </c>
      <c r="Q271" s="1" t="n">
        <v>11</v>
      </c>
      <c r="R271" s="1" t="n">
        <v>5</v>
      </c>
      <c r="S271" s="1" t="n">
        <v>3</v>
      </c>
      <c r="T271" s="1" t="n">
        <v>2</v>
      </c>
      <c r="U271" s="1" t="n">
        <v>12</v>
      </c>
      <c r="V271" s="1" t="n">
        <v>11</v>
      </c>
      <c r="W271" s="1" t="n">
        <v>6</v>
      </c>
      <c r="X271" s="1" t="n">
        <v>10</v>
      </c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6" t="n"/>
      <c r="AP271" s="16" t="n"/>
      <c r="AQ271" s="16" t="n"/>
      <c r="AR271" s="16" t="n"/>
      <c r="AS271" s="16" t="n"/>
    </row>
    <row r="272">
      <c r="A272" s="4" t="inlineStr">
        <is>
          <t>Thực tích Bản vẽ HT CĐ Ca 2 (Ngày)</t>
        </is>
      </c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>
        <v>12</v>
      </c>
      <c r="O272" s="1" t="n">
        <v>15</v>
      </c>
      <c r="P272" s="1" t="n">
        <v>11</v>
      </c>
      <c r="Q272" s="1" t="n">
        <v>9</v>
      </c>
      <c r="R272" s="1" t="n">
        <v>12</v>
      </c>
      <c r="S272" s="1" t="n">
        <v>6</v>
      </c>
      <c r="T272" s="1" t="n">
        <v>0</v>
      </c>
      <c r="U272" s="1" t="n">
        <v>6</v>
      </c>
      <c r="V272" s="1" t="n">
        <v>10</v>
      </c>
      <c r="W272" s="1" t="n">
        <v>13</v>
      </c>
      <c r="X272" s="1" t="n">
        <v>8</v>
      </c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6" t="n"/>
      <c r="AP272" s="16" t="n"/>
      <c r="AQ272" s="16" t="n"/>
      <c r="AR272" s="16" t="n"/>
      <c r="AS272" s="16" t="n"/>
    </row>
    <row r="273">
      <c r="A273" s="4" t="inlineStr">
        <is>
          <t>Thực tích số PCS HT CĐ Ca 1 (Ngày)</t>
        </is>
      </c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>
        <v>17</v>
      </c>
      <c r="O273" s="1" t="n">
        <v>21</v>
      </c>
      <c r="P273" s="1" t="n">
        <v>52</v>
      </c>
      <c r="Q273" s="1" t="n">
        <v>20</v>
      </c>
      <c r="R273" s="1" t="n">
        <v>19</v>
      </c>
      <c r="S273" s="1" t="n">
        <v>3</v>
      </c>
      <c r="T273" s="1" t="n">
        <v>5</v>
      </c>
      <c r="U273" s="1" t="n">
        <v>15</v>
      </c>
      <c r="V273" s="1" t="n">
        <v>73</v>
      </c>
      <c r="W273" s="1" t="n">
        <v>54</v>
      </c>
      <c r="X273" s="1" t="n">
        <v>50</v>
      </c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6" t="n"/>
      <c r="AP273" s="16" t="n"/>
      <c r="AQ273" s="16" t="n"/>
      <c r="AR273" s="16" t="n"/>
      <c r="AS273" s="16" t="n"/>
    </row>
    <row r="274">
      <c r="A274" s="4" t="inlineStr">
        <is>
          <t>Thực tích số PCS HT CĐ Ca 2 (Ngày)</t>
        </is>
      </c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>
        <v>136</v>
      </c>
      <c r="O274" s="1" t="n">
        <v>51</v>
      </c>
      <c r="P274" s="1" t="n">
        <v>25</v>
      </c>
      <c r="Q274" s="1" t="n">
        <v>53</v>
      </c>
      <c r="R274" s="1" t="n">
        <v>47</v>
      </c>
      <c r="S274" s="1" t="n">
        <v>38</v>
      </c>
      <c r="T274" s="1" t="n">
        <v>0</v>
      </c>
      <c r="U274" s="1" t="n">
        <v>42</v>
      </c>
      <c r="V274" s="1" t="n">
        <v>98</v>
      </c>
      <c r="W274" s="1" t="n">
        <v>41</v>
      </c>
      <c r="X274" s="1" t="n">
        <v>80</v>
      </c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6" t="n"/>
      <c r="AP274" s="16" t="n"/>
      <c r="AQ274" s="16" t="n"/>
      <c r="AR274" s="16" t="n"/>
      <c r="AS274" s="16" t="n"/>
    </row>
    <row r="275">
      <c r="A275" s="4" t="inlineStr">
        <is>
          <t>Thực tích Bản vẽ HT CĐ Ca 1  (Tháng)</t>
        </is>
      </c>
      <c r="B275" s="1" t="n"/>
      <c r="C275" s="1" t="n"/>
      <c r="D275" s="1" t="n"/>
      <c r="E275" s="1" t="n">
        <v>82</v>
      </c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6" t="n"/>
      <c r="AP275" s="16" t="n"/>
      <c r="AQ275" s="16" t="n"/>
      <c r="AR275" s="16" t="n"/>
      <c r="AS275" s="16" t="n"/>
    </row>
    <row r="276">
      <c r="A276" s="4" t="inlineStr">
        <is>
          <t>Thực tích Bản vẽ HT CĐ Ca 2  (Tháng)</t>
        </is>
      </c>
      <c r="B276" s="1" t="n"/>
      <c r="C276" s="1" t="n"/>
      <c r="D276" s="1" t="n"/>
      <c r="E276" s="1" t="n">
        <v>102</v>
      </c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6" t="n"/>
      <c r="AP276" s="16" t="n"/>
      <c r="AQ276" s="16" t="n"/>
      <c r="AR276" s="16" t="n"/>
      <c r="AS276" s="16" t="n"/>
    </row>
    <row r="277">
      <c r="A277" s="4" t="inlineStr">
        <is>
          <t>Thực tích số PCS HT CĐ Ca 1  (Tháng)</t>
        </is>
      </c>
      <c r="B277" s="1" t="n"/>
      <c r="C277" s="1" t="n"/>
      <c r="D277" s="1" t="n"/>
      <c r="E277" s="1" t="n">
        <v>329</v>
      </c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6" t="n"/>
      <c r="AP277" s="16" t="n"/>
      <c r="AQ277" s="16" t="n"/>
      <c r="AR277" s="16" t="n"/>
      <c r="AS277" s="16" t="n"/>
    </row>
    <row r="278">
      <c r="A278" s="4" t="inlineStr">
        <is>
          <t>Thực tích số PCS HT CĐ Ca 2  (Tháng)</t>
        </is>
      </c>
      <c r="B278" s="1" t="n"/>
      <c r="C278" s="1" t="n"/>
      <c r="D278" s="1" t="n"/>
      <c r="E278" s="1" t="n">
        <v>611</v>
      </c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6" t="n"/>
      <c r="AP278" s="16" t="n"/>
      <c r="AQ278" s="16" t="n"/>
      <c r="AR278" s="16" t="n"/>
      <c r="AS278" s="16" t="n"/>
    </row>
    <row r="279">
      <c r="A279" s="9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  <c r="AD279" s="10" t="n"/>
      <c r="AE279" s="10" t="n"/>
      <c r="AF279" s="10" t="n"/>
      <c r="AG279" s="10" t="n"/>
      <c r="AH279" s="10" t="n"/>
      <c r="AI279" s="10" t="n"/>
      <c r="AJ279" s="10" t="n"/>
      <c r="AK279" s="10" t="n"/>
      <c r="AL279" s="10" t="n"/>
    </row>
    <row r="280">
      <c r="A280" s="4" t="inlineStr">
        <is>
          <t>Công đoạn:</t>
        </is>
      </c>
      <c r="B280" s="12" t="inlineStr">
        <is>
          <t>GP</t>
        </is>
      </c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  <c r="AD280" s="10" t="n"/>
      <c r="AE280" s="10" t="n"/>
      <c r="AF280" s="10" t="n"/>
      <c r="AG280" s="10" t="n"/>
      <c r="AH280" s="10" t="n"/>
      <c r="AI280" s="10" t="n"/>
      <c r="AJ280" s="10" t="n"/>
      <c r="AK280" s="10" t="n"/>
      <c r="AL280" s="10" t="n"/>
    </row>
    <row r="281" ht="14.4" customHeight="1">
      <c r="A281" s="4" t="inlineStr">
        <is>
          <t>Ngày làm việc</t>
        </is>
      </c>
      <c r="B281" s="1" t="inlineStr">
        <is>
          <t>1月</t>
        </is>
      </c>
      <c r="C281" s="1" t="inlineStr">
        <is>
          <t>2月</t>
        </is>
      </c>
      <c r="D281" s="1" t="inlineStr">
        <is>
          <t>3月</t>
        </is>
      </c>
      <c r="E281" s="1" t="inlineStr">
        <is>
          <t>4月</t>
        </is>
      </c>
      <c r="F281" s="1" t="inlineStr">
        <is>
          <t>5月</t>
        </is>
      </c>
      <c r="G281" s="1" t="inlineStr">
        <is>
          <t>6月</t>
        </is>
      </c>
      <c r="H281" s="1" t="inlineStr">
        <is>
          <t>7月</t>
        </is>
      </c>
      <c r="I281" s="1" t="inlineStr">
        <is>
          <t>8月</t>
        </is>
      </c>
      <c r="J281" s="1" t="inlineStr">
        <is>
          <t>9月</t>
        </is>
      </c>
      <c r="K281" s="1" t="inlineStr">
        <is>
          <t>10月</t>
        </is>
      </c>
      <c r="L281" s="1" t="inlineStr">
        <is>
          <t>11月</t>
        </is>
      </c>
      <c r="M281" s="1" t="inlineStr">
        <is>
          <t>12月</t>
        </is>
      </c>
      <c r="N281" s="2" t="n">
        <v>46111</v>
      </c>
      <c r="O281" s="2" t="n">
        <v>46112</v>
      </c>
      <c r="P281" s="2" t="n">
        <v>46113</v>
      </c>
      <c r="Q281" s="2" t="n">
        <v>46114</v>
      </c>
      <c r="R281" s="2" t="n">
        <v>46115</v>
      </c>
      <c r="S281" s="2" t="n">
        <v>46116</v>
      </c>
      <c r="T281" s="2" t="n">
        <v>46117</v>
      </c>
      <c r="U281" s="2" t="n">
        <v>46118</v>
      </c>
      <c r="V281" s="2" t="n">
        <v>46119</v>
      </c>
      <c r="W281" s="2" t="n">
        <v>46120</v>
      </c>
      <c r="X281" s="2" t="n">
        <v>46121</v>
      </c>
      <c r="Y281" s="2" t="n">
        <v>46122</v>
      </c>
      <c r="Z281" s="2" t="n">
        <v>46123</v>
      </c>
      <c r="AA281" s="2" t="n">
        <v>46124</v>
      </c>
      <c r="AB281" s="2" t="n">
        <v>46125</v>
      </c>
      <c r="AC281" s="2" t="n">
        <v>46126</v>
      </c>
      <c r="AD281" s="2" t="n">
        <v>46127</v>
      </c>
      <c r="AE281" s="2" t="n">
        <v>46128</v>
      </c>
      <c r="AF281" s="2" t="n">
        <v>46129</v>
      </c>
      <c r="AG281" s="2" t="n">
        <v>46130</v>
      </c>
      <c r="AH281" s="2" t="n">
        <v>46131</v>
      </c>
      <c r="AI281" s="2" t="n">
        <v>46132</v>
      </c>
      <c r="AJ281" s="2" t="n">
        <v>46133</v>
      </c>
      <c r="AK281" s="2" t="n">
        <v>46134</v>
      </c>
      <c r="AL281" s="2" t="n">
        <v>46135</v>
      </c>
      <c r="AM281" s="2" t="n">
        <v>46136</v>
      </c>
      <c r="AN281" s="2" t="n">
        <v>46137</v>
      </c>
      <c r="AO281" s="2" t="n">
        <v>46138</v>
      </c>
      <c r="AP281" s="2" t="n">
        <v>46139</v>
      </c>
      <c r="AQ281" s="2" t="n"/>
      <c r="AR281" s="2" t="n"/>
      <c r="AS281" s="2" t="n"/>
      <c r="AT281" s="21" t="n"/>
    </row>
    <row r="282" ht="15" customHeight="1">
      <c r="A282" s="7" t="inlineStr">
        <is>
          <t>Làm việc? 1=Yes, 0=No</t>
        </is>
      </c>
      <c r="B282" s="3" t="n">
        <v>1</v>
      </c>
      <c r="C282" s="3" t="n">
        <v>1</v>
      </c>
      <c r="D282" s="3" t="n">
        <v>1</v>
      </c>
      <c r="E282" s="3" t="n">
        <v>1</v>
      </c>
      <c r="F282" s="3" t="n">
        <v>1</v>
      </c>
      <c r="G282" s="3" t="n">
        <v>1</v>
      </c>
      <c r="H282" s="3" t="n">
        <v>1</v>
      </c>
      <c r="I282" s="3" t="n">
        <v>1</v>
      </c>
      <c r="J282" s="3" t="n">
        <v>1</v>
      </c>
      <c r="K282" s="3" t="n">
        <v>1</v>
      </c>
      <c r="L282" s="3" t="n">
        <v>1</v>
      </c>
      <c r="M282" s="3" t="n">
        <v>1</v>
      </c>
      <c r="N282" s="1" t="n">
        <v>1</v>
      </c>
      <c r="O282" s="1" t="n">
        <v>1</v>
      </c>
      <c r="P282" s="1" t="n">
        <v>1</v>
      </c>
      <c r="Q282" s="1" t="n">
        <v>1</v>
      </c>
      <c r="R282" s="1" t="n">
        <v>1</v>
      </c>
      <c r="S282" s="1" t="n">
        <v>0</v>
      </c>
      <c r="T282" s="1" t="n">
        <v>0</v>
      </c>
      <c r="U282" s="1" t="n">
        <v>1</v>
      </c>
      <c r="V282" s="1" t="n">
        <v>1</v>
      </c>
      <c r="W282" s="1" t="n">
        <v>1</v>
      </c>
      <c r="X282" s="1" t="n">
        <v>1</v>
      </c>
      <c r="Y282" s="1" t="n">
        <v>1</v>
      </c>
      <c r="Z282" s="1" t="n">
        <v>0</v>
      </c>
      <c r="AA282" s="1" t="n">
        <v>0</v>
      </c>
      <c r="AB282" s="1" t="n">
        <v>1</v>
      </c>
      <c r="AC282" s="1" t="n">
        <v>1</v>
      </c>
      <c r="AD282" s="1" t="n">
        <v>1</v>
      </c>
      <c r="AE282" s="1" t="n">
        <v>1</v>
      </c>
      <c r="AF282" s="1" t="n">
        <v>1</v>
      </c>
      <c r="AG282" s="1" t="n">
        <v>0</v>
      </c>
      <c r="AH282" s="1" t="n">
        <v>0</v>
      </c>
      <c r="AI282" s="1" t="n">
        <v>1</v>
      </c>
      <c r="AJ282" s="1" t="n">
        <v>1</v>
      </c>
      <c r="AK282" s="1" t="n">
        <v>1</v>
      </c>
      <c r="AL282" s="1" t="n">
        <v>1</v>
      </c>
      <c r="AM282" s="1" t="n">
        <v>1</v>
      </c>
      <c r="AN282" s="1" t="n">
        <v>0</v>
      </c>
      <c r="AO282" s="1" t="n">
        <v>0</v>
      </c>
      <c r="AP282" s="16" t="n">
        <v>1</v>
      </c>
      <c r="AQ282" s="16" t="n"/>
      <c r="AR282" s="16" t="n"/>
      <c r="AS282" s="16" t="n"/>
    </row>
    <row r="283">
      <c r="A283" s="4" t="inlineStr">
        <is>
          <t>Mục tiêu Bản vẽ  HT CĐ (Ngày)</t>
        </is>
      </c>
      <c r="B283" s="1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>
        <v>7.13</v>
      </c>
      <c r="O283" s="5" t="n">
        <v>7.13</v>
      </c>
      <c r="P283" s="5" t="n">
        <v>7.13</v>
      </c>
      <c r="Q283" s="5" t="n">
        <v>7.13</v>
      </c>
      <c r="R283" s="5" t="n">
        <v>7.13</v>
      </c>
      <c r="S283" s="5" t="n"/>
      <c r="T283" s="5" t="n"/>
      <c r="U283" s="5" t="n">
        <v>7.13</v>
      </c>
      <c r="V283" s="5" t="n">
        <v>7.13</v>
      </c>
      <c r="W283" s="5" t="n">
        <v>7.13</v>
      </c>
      <c r="X283" s="5" t="n">
        <v>7.13</v>
      </c>
      <c r="Y283" s="5" t="n">
        <v>7.13</v>
      </c>
      <c r="Z283" s="5" t="n"/>
      <c r="AA283" s="5" t="n"/>
      <c r="AB283" s="5" t="n">
        <v>7.13</v>
      </c>
      <c r="AC283" s="5" t="n">
        <v>7.13</v>
      </c>
      <c r="AD283" s="5" t="n">
        <v>7.13</v>
      </c>
      <c r="AE283" s="5" t="n">
        <v>7.13</v>
      </c>
      <c r="AF283" s="5" t="n">
        <v>7.13</v>
      </c>
      <c r="AG283" s="5" t="n"/>
      <c r="AH283" s="5" t="n"/>
      <c r="AI283" s="5" t="n">
        <v>7.13</v>
      </c>
      <c r="AJ283" s="5" t="n">
        <v>7.13</v>
      </c>
      <c r="AK283" s="5" t="n">
        <v>7.13</v>
      </c>
      <c r="AL283" s="5" t="n">
        <v>7.13</v>
      </c>
      <c r="AM283" s="5" t="n">
        <v>7.13</v>
      </c>
      <c r="AN283" s="5" t="n"/>
      <c r="AO283" s="5" t="n"/>
      <c r="AP283" s="16" t="n">
        <v>7.13</v>
      </c>
      <c r="AQ283" s="16" t="n"/>
      <c r="AR283" s="16" t="n"/>
      <c r="AS283" s="16" t="n"/>
    </row>
    <row r="284">
      <c r="A284" s="4" t="inlineStr">
        <is>
          <t>Mục tiêu số PCS  HT CĐ (Ngày)</t>
        </is>
      </c>
      <c r="B284" s="1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>
        <v>111.62</v>
      </c>
      <c r="O284" s="5" t="n">
        <v>111.62</v>
      </c>
      <c r="P284" s="5" t="n">
        <v>111.62</v>
      </c>
      <c r="Q284" s="5" t="n">
        <v>111.62</v>
      </c>
      <c r="R284" s="5" t="n">
        <v>111.62</v>
      </c>
      <c r="S284" s="5" t="n"/>
      <c r="T284" s="5" t="n"/>
      <c r="U284" s="5" t="n">
        <v>111.62</v>
      </c>
      <c r="V284" s="5" t="n">
        <v>111.62</v>
      </c>
      <c r="W284" s="5" t="n">
        <v>111.62</v>
      </c>
      <c r="X284" s="5" t="n">
        <v>111.62</v>
      </c>
      <c r="Y284" s="5" t="n">
        <v>111.62</v>
      </c>
      <c r="Z284" s="5" t="n"/>
      <c r="AA284" s="5" t="n"/>
      <c r="AB284" s="5" t="n">
        <v>111.62</v>
      </c>
      <c r="AC284" s="5" t="n">
        <v>111.62</v>
      </c>
      <c r="AD284" s="5" t="n">
        <v>111.62</v>
      </c>
      <c r="AE284" s="5" t="n">
        <v>111.62</v>
      </c>
      <c r="AF284" s="5" t="n">
        <v>111.62</v>
      </c>
      <c r="AG284" s="5" t="n"/>
      <c r="AH284" s="5" t="n"/>
      <c r="AI284" s="5" t="n">
        <v>111.62</v>
      </c>
      <c r="AJ284" s="5" t="n">
        <v>111.62</v>
      </c>
      <c r="AK284" s="5" t="n">
        <v>111.62</v>
      </c>
      <c r="AL284" s="5" t="n">
        <v>111.62</v>
      </c>
      <c r="AM284" s="5" t="n">
        <v>111.62</v>
      </c>
      <c r="AN284" s="5" t="n"/>
      <c r="AO284" s="5" t="n"/>
      <c r="AP284" s="16" t="n">
        <v>111.62</v>
      </c>
      <c r="AQ284" s="16" t="n"/>
      <c r="AR284" s="16" t="n"/>
      <c r="AS284" s="16" t="n"/>
    </row>
    <row r="285">
      <c r="A285" s="4" t="inlineStr">
        <is>
          <t>Mục tiêu Bản vẽ HT CĐ Ca 1 (Còn lại/Ngày)</t>
        </is>
      </c>
      <c r="B285" s="1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>
        <v>7.13</v>
      </c>
      <c r="O285" s="5" t="n">
        <v>7.29</v>
      </c>
      <c r="P285" s="5" t="n">
        <v>7.35</v>
      </c>
      <c r="Q285" s="5" t="n">
        <v>7.54</v>
      </c>
      <c r="R285" s="5" t="n">
        <v>7.69</v>
      </c>
      <c r="S285" s="5" t="n"/>
      <c r="T285" s="5" t="n"/>
      <c r="U285" s="5" t="n">
        <v>7.86</v>
      </c>
      <c r="V285" s="5" t="n">
        <v>8.32</v>
      </c>
      <c r="W285" s="5" t="n">
        <v>8.699999999999999</v>
      </c>
      <c r="X285" s="5" t="n">
        <v>8.98</v>
      </c>
      <c r="Y285" s="5" t="n">
        <v>9.23</v>
      </c>
      <c r="Z285" s="5" t="n"/>
      <c r="AA285" s="5" t="n"/>
      <c r="AB285" s="5" t="n">
        <v>9.23</v>
      </c>
      <c r="AC285" s="5" t="n">
        <v>9.23</v>
      </c>
      <c r="AD285" s="5" t="n">
        <v>9.23</v>
      </c>
      <c r="AE285" s="5" t="n">
        <v>9.23</v>
      </c>
      <c r="AF285" s="5" t="n">
        <v>9.23</v>
      </c>
      <c r="AG285" s="5" t="n"/>
      <c r="AH285" s="5" t="n"/>
      <c r="AI285" s="5" t="n">
        <v>9.23</v>
      </c>
      <c r="AJ285" s="5" t="n">
        <v>9.23</v>
      </c>
      <c r="AK285" s="5" t="n">
        <v>9.23</v>
      </c>
      <c r="AL285" s="5" t="n">
        <v>9.23</v>
      </c>
      <c r="AM285" s="5" t="n">
        <v>9.23</v>
      </c>
      <c r="AN285" s="5" t="n"/>
      <c r="AO285" s="5" t="n"/>
      <c r="AP285" s="16" t="n">
        <v>9.23</v>
      </c>
      <c r="AQ285" s="16" t="n"/>
      <c r="AR285" s="16" t="n"/>
      <c r="AS285" s="16" t="n"/>
    </row>
    <row r="286">
      <c r="A286" s="4" t="inlineStr">
        <is>
          <t>Mục tiêu Bản vẽ HT CĐ Ca 2(Còn lại/Ngày)</t>
        </is>
      </c>
      <c r="B286" s="1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>
        <v>7.13</v>
      </c>
      <c r="O286" s="5" t="n">
        <v>7.29</v>
      </c>
      <c r="P286" s="5" t="n">
        <v>7.46</v>
      </c>
      <c r="Q286" s="5" t="n">
        <v>7.65</v>
      </c>
      <c r="R286" s="5" t="n">
        <v>7.75</v>
      </c>
      <c r="S286" s="5" t="n"/>
      <c r="T286" s="5" t="n"/>
      <c r="U286" s="5" t="n">
        <v>7.86</v>
      </c>
      <c r="V286" s="5" t="n">
        <v>8.18</v>
      </c>
      <c r="W286" s="5" t="n">
        <v>8.41</v>
      </c>
      <c r="X286" s="5" t="n">
        <v>8.130000000000001</v>
      </c>
      <c r="Y286" s="5" t="n">
        <v>8.48</v>
      </c>
      <c r="Z286" s="5" t="n"/>
      <c r="AA286" s="5" t="n"/>
      <c r="AB286" s="5" t="n">
        <v>8.48</v>
      </c>
      <c r="AC286" s="5" t="n">
        <v>8.48</v>
      </c>
      <c r="AD286" s="5" t="n">
        <v>8.48</v>
      </c>
      <c r="AE286" s="5" t="n">
        <v>8.48</v>
      </c>
      <c r="AF286" s="5" t="n">
        <v>8.48</v>
      </c>
      <c r="AG286" s="5" t="n"/>
      <c r="AH286" s="5" t="n"/>
      <c r="AI286" s="5" t="n">
        <v>8.48</v>
      </c>
      <c r="AJ286" s="5" t="n">
        <v>8.48</v>
      </c>
      <c r="AK286" s="5" t="n">
        <v>8.48</v>
      </c>
      <c r="AL286" s="5" t="n">
        <v>8.48</v>
      </c>
      <c r="AM286" s="5" t="n">
        <v>8.48</v>
      </c>
      <c r="AN286" s="5" t="n"/>
      <c r="AO286" s="5" t="n"/>
      <c r="AP286" s="16" t="n">
        <v>8.48</v>
      </c>
      <c r="AQ286" s="16" t="n"/>
      <c r="AR286" s="16" t="n"/>
      <c r="AS286" s="16" t="n"/>
    </row>
    <row r="287">
      <c r="A287" s="4" t="inlineStr">
        <is>
          <t>Mục tiêu số PCS HT CĐ Ca 1(Còn lại/Ngày)</t>
        </is>
      </c>
      <c r="B287" s="1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>
        <v>111.62</v>
      </c>
      <c r="O287" s="5" t="n">
        <v>106.8</v>
      </c>
      <c r="P287" s="5" t="n">
        <v>105.58</v>
      </c>
      <c r="Q287" s="5" t="n">
        <v>110.73</v>
      </c>
      <c r="R287" s="5" t="n">
        <v>116.18</v>
      </c>
      <c r="S287" s="5" t="n"/>
      <c r="T287" s="5" t="n"/>
      <c r="U287" s="5" t="n">
        <v>119.94</v>
      </c>
      <c r="V287" s="5" t="n">
        <v>127.87</v>
      </c>
      <c r="W287" s="5" t="n">
        <v>135.86</v>
      </c>
      <c r="X287" s="5" t="n">
        <v>145.85</v>
      </c>
      <c r="Y287" s="5" t="n">
        <v>157.01</v>
      </c>
      <c r="Z287" s="5" t="n"/>
      <c r="AA287" s="5" t="n"/>
      <c r="AB287" s="5" t="n">
        <v>157.01</v>
      </c>
      <c r="AC287" s="5" t="n">
        <v>157.01</v>
      </c>
      <c r="AD287" s="5" t="n">
        <v>157.01</v>
      </c>
      <c r="AE287" s="5" t="n">
        <v>157.01</v>
      </c>
      <c r="AF287" s="5" t="n">
        <v>157.01</v>
      </c>
      <c r="AG287" s="5" t="n"/>
      <c r="AH287" s="5" t="n"/>
      <c r="AI287" s="5" t="n">
        <v>157.01</v>
      </c>
      <c r="AJ287" s="5" t="n">
        <v>157.01</v>
      </c>
      <c r="AK287" s="5" t="n">
        <v>157.01</v>
      </c>
      <c r="AL287" s="5" t="n">
        <v>157.01</v>
      </c>
      <c r="AM287" s="5" t="n">
        <v>157.01</v>
      </c>
      <c r="AN287" s="5" t="n"/>
      <c r="AO287" s="5" t="n"/>
      <c r="AP287" s="16" t="n">
        <v>157.01</v>
      </c>
      <c r="AQ287" s="16" t="n"/>
      <c r="AR287" s="16" t="n"/>
      <c r="AS287" s="16" t="n"/>
    </row>
    <row r="288">
      <c r="A288" s="4" t="inlineStr">
        <is>
          <t>Mục tiêu số PCS HT CĐ Ca 2(Còn lại/Ngày)</t>
        </is>
      </c>
      <c r="B288" s="1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>
        <v>111.62</v>
      </c>
      <c r="O288" s="5" t="n">
        <v>116.8</v>
      </c>
      <c r="P288" s="5" t="n">
        <v>122.58</v>
      </c>
      <c r="Q288" s="5" t="n">
        <v>118.34</v>
      </c>
      <c r="R288" s="5" t="n">
        <v>119.77</v>
      </c>
      <c r="S288" s="5" t="n"/>
      <c r="T288" s="5" t="n"/>
      <c r="U288" s="5" t="n">
        <v>124.19</v>
      </c>
      <c r="V288" s="5" t="n">
        <v>131.27</v>
      </c>
      <c r="W288" s="5" t="n">
        <v>139.58</v>
      </c>
      <c r="X288" s="5" t="n">
        <v>127.7</v>
      </c>
      <c r="Y288" s="5" t="n">
        <v>137.42</v>
      </c>
      <c r="Z288" s="5" t="n"/>
      <c r="AA288" s="5" t="n"/>
      <c r="AB288" s="5" t="n">
        <v>137.42</v>
      </c>
      <c r="AC288" s="5" t="n">
        <v>137.42</v>
      </c>
      <c r="AD288" s="5" t="n">
        <v>137.42</v>
      </c>
      <c r="AE288" s="5" t="n">
        <v>137.42</v>
      </c>
      <c r="AF288" s="5" t="n">
        <v>137.42</v>
      </c>
      <c r="AG288" s="5" t="n"/>
      <c r="AH288" s="5" t="n"/>
      <c r="AI288" s="5" t="n">
        <v>137.42</v>
      </c>
      <c r="AJ288" s="5" t="n">
        <v>137.42</v>
      </c>
      <c r="AK288" s="5" t="n">
        <v>137.42</v>
      </c>
      <c r="AL288" s="5" t="n">
        <v>137.42</v>
      </c>
      <c r="AM288" s="5" t="n">
        <v>137.42</v>
      </c>
      <c r="AN288" s="5" t="n"/>
      <c r="AO288" s="5" t="n"/>
      <c r="AP288" s="16" t="n">
        <v>137.42</v>
      </c>
      <c r="AQ288" s="16" t="n"/>
      <c r="AR288" s="16" t="n"/>
      <c r="AS288" s="16" t="n"/>
    </row>
    <row r="289">
      <c r="A289" s="4" t="inlineStr">
        <is>
          <t>Mục tiêu Bản vẽ  HT CĐ  (Tháng)</t>
        </is>
      </c>
      <c r="B289" s="17" t="n">
        <v>156.8727983764669</v>
      </c>
      <c r="C289" s="17" t="n">
        <v>106.9587261657729</v>
      </c>
      <c r="D289" s="17" t="n">
        <v>156.8727983764669</v>
      </c>
      <c r="E289" s="17" t="n">
        <v>149.7422166320821</v>
      </c>
      <c r="F289" s="17" t="n">
        <v>142.6116348876972</v>
      </c>
      <c r="G289" s="17" t="n">
        <v>156.8727983764669</v>
      </c>
      <c r="H289" s="17" t="n">
        <v>164.0033801208518</v>
      </c>
      <c r="I289" s="17" t="n">
        <v>149.7422166320821</v>
      </c>
      <c r="J289" s="17" t="n">
        <v>149.7422166320821</v>
      </c>
      <c r="K289" s="17" t="n">
        <v>156.8727983764669</v>
      </c>
      <c r="L289" s="17" t="n">
        <v>149.7422166320821</v>
      </c>
      <c r="M289" s="17" t="n">
        <v>156.8727983764669</v>
      </c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  <c r="AN289" s="5" t="n"/>
      <c r="AO289" s="5" t="n"/>
      <c r="AP289" s="16" t="n"/>
      <c r="AQ289" s="16" t="n"/>
      <c r="AR289" s="16" t="n"/>
      <c r="AS289" s="16" t="n"/>
    </row>
    <row r="290">
      <c r="A290" s="4" t="inlineStr">
        <is>
          <t>Mục tiêu số PCS  HT CĐ  (Tháng)</t>
        </is>
      </c>
      <c r="B290" s="17" t="n">
        <v>2455.714506934283</v>
      </c>
      <c r="C290" s="17" t="n">
        <v>1674.350800182465</v>
      </c>
      <c r="D290" s="17" t="n">
        <v>2455.714506934283</v>
      </c>
      <c r="E290" s="17" t="n">
        <v>2344.091120255452</v>
      </c>
      <c r="F290" s="17" t="n">
        <v>2232.467733576621</v>
      </c>
      <c r="G290" s="17" t="n">
        <v>2455.714506934283</v>
      </c>
      <c r="H290" s="17" t="n">
        <v>2567.337893613114</v>
      </c>
      <c r="I290" s="17" t="n">
        <v>2344.091120255452</v>
      </c>
      <c r="J290" s="17" t="n">
        <v>2344.091120255452</v>
      </c>
      <c r="K290" s="17" t="n">
        <v>2455.714506934283</v>
      </c>
      <c r="L290" s="17" t="n">
        <v>2344.091120255452</v>
      </c>
      <c r="M290" s="17" t="n">
        <v>2455.714506934283</v>
      </c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/>
      <c r="AL290" s="5" t="n"/>
      <c r="AM290" s="5" t="n"/>
      <c r="AN290" s="5" t="n"/>
      <c r="AO290" s="5" t="n"/>
      <c r="AP290" s="16" t="n"/>
      <c r="AQ290" s="16" t="n"/>
      <c r="AR290" s="16" t="n"/>
      <c r="AS290" s="16" t="n"/>
    </row>
    <row r="291">
      <c r="A291" s="4" t="inlineStr">
        <is>
          <t>Thực tích Bản vẽ HT CĐ Ca 1 (Ngày)</t>
        </is>
      </c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>
        <v>4</v>
      </c>
      <c r="O291" s="1" t="n">
        <v>6</v>
      </c>
      <c r="P291" s="1" t="n">
        <v>4</v>
      </c>
      <c r="Q291" s="1" t="n">
        <v>5</v>
      </c>
      <c r="R291" s="1" t="n">
        <v>2</v>
      </c>
      <c r="S291" s="1" t="n">
        <v>3</v>
      </c>
      <c r="T291" s="1" t="n">
        <v>0</v>
      </c>
      <c r="U291" s="1" t="n">
        <v>1</v>
      </c>
      <c r="V291" s="1" t="n">
        <v>3</v>
      </c>
      <c r="W291" s="1" t="n">
        <v>5</v>
      </c>
      <c r="X291" s="1" t="n">
        <v>6</v>
      </c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6" t="n"/>
      <c r="AP291" s="16" t="n"/>
      <c r="AQ291" s="16" t="n"/>
      <c r="AR291" s="16" t="n"/>
      <c r="AS291" s="16" t="n"/>
    </row>
    <row r="292">
      <c r="A292" s="4" t="inlineStr">
        <is>
          <t>Thực tích Bản vẽ HT CĐ Ca 2 (Ngày)</t>
        </is>
      </c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>
        <v>4</v>
      </c>
      <c r="O292" s="1" t="n">
        <v>4</v>
      </c>
      <c r="P292" s="1" t="n">
        <v>4</v>
      </c>
      <c r="Q292" s="1" t="n">
        <v>6</v>
      </c>
      <c r="R292" s="1" t="n">
        <v>4</v>
      </c>
      <c r="S292" s="1" t="n">
        <v>2</v>
      </c>
      <c r="T292" s="1" t="n">
        <v>0</v>
      </c>
      <c r="U292" s="1" t="n">
        <v>3</v>
      </c>
      <c r="V292" s="1" t="n">
        <v>5</v>
      </c>
      <c r="W292" s="1" t="n">
        <v>12</v>
      </c>
      <c r="X292" s="1" t="n">
        <v>4</v>
      </c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6" t="n"/>
      <c r="AP292" s="16" t="n"/>
      <c r="AQ292" s="16" t="n"/>
      <c r="AR292" s="16" t="n"/>
      <c r="AS292" s="16" t="n"/>
    </row>
    <row r="293">
      <c r="A293" s="4" t="inlineStr">
        <is>
          <t>Thực tích số PCS HT CĐ Ca 1 (Ngày)</t>
        </is>
      </c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>
        <v>208</v>
      </c>
      <c r="O293" s="1" t="n">
        <v>130</v>
      </c>
      <c r="P293" s="1" t="n">
        <v>13</v>
      </c>
      <c r="Q293" s="1" t="n">
        <v>18</v>
      </c>
      <c r="R293" s="1" t="n">
        <v>49</v>
      </c>
      <c r="S293" s="1" t="n">
        <v>7</v>
      </c>
      <c r="T293" s="1" t="n">
        <v>0</v>
      </c>
      <c r="U293" s="1" t="n">
        <v>1</v>
      </c>
      <c r="V293" s="1" t="n">
        <v>16</v>
      </c>
      <c r="W293" s="1" t="n">
        <v>6</v>
      </c>
      <c r="X293" s="1" t="n">
        <v>12</v>
      </c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6" t="n"/>
      <c r="AP293" s="16" t="n"/>
      <c r="AQ293" s="16" t="n"/>
      <c r="AR293" s="16" t="n"/>
      <c r="AS293" s="16" t="n"/>
    </row>
    <row r="294">
      <c r="A294" s="4" t="inlineStr">
        <is>
          <t>Thực tích số PCS HT CĐ Ca 2 (Ngày)</t>
        </is>
      </c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>
        <v>8</v>
      </c>
      <c r="O294" s="1" t="n">
        <v>7</v>
      </c>
      <c r="P294" s="1" t="n">
        <v>199</v>
      </c>
      <c r="Q294" s="1" t="n">
        <v>94</v>
      </c>
      <c r="R294" s="1" t="n">
        <v>13</v>
      </c>
      <c r="S294" s="1" t="n">
        <v>36</v>
      </c>
      <c r="T294" s="1" t="n">
        <v>0</v>
      </c>
      <c r="U294" s="1" t="n">
        <v>18</v>
      </c>
      <c r="V294" s="1" t="n">
        <v>15</v>
      </c>
      <c r="W294" s="1" t="n">
        <v>294</v>
      </c>
      <c r="X294" s="1" t="n">
        <v>11</v>
      </c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6" t="n"/>
      <c r="AP294" s="16" t="n"/>
      <c r="AQ294" s="16" t="n"/>
      <c r="AR294" s="16" t="n"/>
      <c r="AS294" s="16" t="n"/>
    </row>
    <row r="295">
      <c r="A295" s="4" t="inlineStr">
        <is>
          <t>Thực tích Bản vẽ HT CĐ Ca 1  (Tháng)</t>
        </is>
      </c>
      <c r="B295" s="1" t="n"/>
      <c r="C295" s="1" t="n"/>
      <c r="D295" s="1" t="n"/>
      <c r="E295" s="1" t="n">
        <v>39</v>
      </c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6" t="n"/>
      <c r="AP295" s="16" t="n"/>
      <c r="AQ295" s="16" t="n"/>
      <c r="AR295" s="16" t="n"/>
      <c r="AS295" s="16" t="n"/>
    </row>
    <row r="296">
      <c r="A296" s="4" t="inlineStr">
        <is>
          <t>Thực tích Bản vẽ HT CĐ Ca 2  (Tháng)</t>
        </is>
      </c>
      <c r="B296" s="1" t="n"/>
      <c r="C296" s="1" t="n"/>
      <c r="D296" s="1" t="n"/>
      <c r="E296" s="1" t="n">
        <v>48</v>
      </c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6" t="n"/>
      <c r="AP296" s="16" t="n"/>
      <c r="AQ296" s="16" t="n"/>
      <c r="AR296" s="16" t="n"/>
      <c r="AS296" s="16" t="n"/>
    </row>
    <row r="297">
      <c r="A297" s="4" t="inlineStr">
        <is>
          <t>Thực tích số PCS HT CĐ Ca 1  (Tháng)</t>
        </is>
      </c>
      <c r="B297" s="1" t="n"/>
      <c r="C297" s="1" t="n"/>
      <c r="D297" s="1" t="n"/>
      <c r="E297" s="1" t="n">
        <v>460</v>
      </c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6" t="n"/>
      <c r="AP297" s="16" t="n"/>
      <c r="AQ297" s="16" t="n"/>
      <c r="AR297" s="16" t="n"/>
      <c r="AS297" s="16" t="n"/>
    </row>
    <row r="298">
      <c r="A298" s="4" t="inlineStr">
        <is>
          <t>Thực tích số PCS HT CĐ Ca 2  (Tháng)</t>
        </is>
      </c>
      <c r="B298" s="1" t="n"/>
      <c r="C298" s="1" t="n"/>
      <c r="D298" s="1" t="n"/>
      <c r="E298" s="1" t="n">
        <v>695</v>
      </c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6" t="n"/>
      <c r="AP298" s="16" t="n"/>
      <c r="AQ298" s="16" t="n"/>
      <c r="AR298" s="16" t="n"/>
      <c r="AS298" s="16" t="n"/>
    </row>
    <row r="301">
      <c r="B301" s="10" t="n"/>
    </row>
    <row r="302">
      <c r="B302" s="10" t="n"/>
    </row>
    <row r="303">
      <c r="B303" s="10" t="n"/>
    </row>
    <row r="304">
      <c r="B304" s="10" t="n"/>
    </row>
    <row r="305">
      <c r="B305" s="10" t="n"/>
    </row>
    <row r="306">
      <c r="B306" s="10" t="n"/>
    </row>
  </sheetData>
  <conditionalFormatting sqref="N42:AO42">
    <cfRule type="expression" priority="13" dxfId="0">
      <formula>$B$11=0</formula>
    </cfRule>
  </conditionalFormatting>
  <conditionalFormatting sqref="N62:AO62">
    <cfRule type="expression" priority="12" dxfId="0">
      <formula>$B$11=0</formula>
    </cfRule>
  </conditionalFormatting>
  <conditionalFormatting sqref="N82:AO82">
    <cfRule type="expression" priority="11" dxfId="0">
      <formula>$B$11=0</formula>
    </cfRule>
  </conditionalFormatting>
  <conditionalFormatting sqref="N102:AO102">
    <cfRule type="expression" priority="10" dxfId="0">
      <formula>$B$11=0</formula>
    </cfRule>
  </conditionalFormatting>
  <conditionalFormatting sqref="N122:AO122">
    <cfRule type="expression" priority="9" dxfId="0">
      <formula>$B$11=0</formula>
    </cfRule>
  </conditionalFormatting>
  <conditionalFormatting sqref="N142:AO142">
    <cfRule type="expression" priority="8" dxfId="0">
      <formula>$B$11=0</formula>
    </cfRule>
  </conditionalFormatting>
  <conditionalFormatting sqref="N162:AO162">
    <cfRule type="expression" priority="7" dxfId="0">
      <formula>$B$11=0</formula>
    </cfRule>
  </conditionalFormatting>
  <conditionalFormatting sqref="N182:AO182">
    <cfRule type="expression" priority="6" dxfId="0">
      <formula>$B$11=0</formula>
    </cfRule>
  </conditionalFormatting>
  <conditionalFormatting sqref="N202:AO202">
    <cfRule type="expression" priority="5" dxfId="0">
      <formula>$B$11=0</formula>
    </cfRule>
  </conditionalFormatting>
  <conditionalFormatting sqref="N222:AO222">
    <cfRule type="expression" priority="4" dxfId="0">
      <formula>$B$11=0</formula>
    </cfRule>
  </conditionalFormatting>
  <conditionalFormatting sqref="N242:AO242">
    <cfRule type="expression" priority="3" dxfId="0">
      <formula>$B$11=0</formula>
    </cfRule>
  </conditionalFormatting>
  <conditionalFormatting sqref="N262:AO262">
    <cfRule type="expression" priority="2" dxfId="0">
      <formula>$B$11=0</formula>
    </cfRule>
  </conditionalFormatting>
  <conditionalFormatting sqref="N282:AO282">
    <cfRule type="expression" priority="1" dxfId="0">
      <formula>$B$11=0</formula>
    </cfRule>
  </conditionalFormatting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Vu.</dc:creator>
  <dcterms:created xmlns:dcterms="http://purl.org/dc/terms/" xmlns:xsi="http://www.w3.org/2001/XMLSchema-instance" xsi:type="dcterms:W3CDTF">2026-01-27T03:11:16Z</dcterms:created>
  <dcterms:modified xmlns:dcterms="http://purl.org/dc/terms/" xmlns:xsi="http://www.w3.org/2001/XMLSchema-instance" xsi:type="dcterms:W3CDTF">2026-04-09T20:17:38Z</dcterms:modified>
  <cp:lastModifiedBy>12329 Hoang</cp:lastModifiedBy>
</cp:coreProperties>
</file>