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Code_cokhi\Bao_Cao_PP_Tu_Dong\"/>
    </mc:Choice>
  </mc:AlternateContent>
  <xr:revisionPtr revIDLastSave="0" documentId="13_ncr:1_{8A90C7A4-DAC4-4C27-9F95-6EB9F04444E7}" xr6:coauthVersionLast="47" xr6:coauthVersionMax="47" xr10:uidLastSave="{00000000-0000-0000-0000-000000000000}"/>
  <bookViews>
    <workbookView xWindow="-28920" yWindow="-120" windowWidth="29040" windowHeight="15720" activeTab="12" xr2:uid="{00000000-000D-0000-FFFF-FFFF00000000}"/>
  </bookViews>
  <sheets>
    <sheet name="Tong_Hop" sheetId="1" r:id="rId1"/>
    <sheet name="EN" sheetId="2" r:id="rId2"/>
    <sheet name="EW" sheetId="3" r:id="rId3"/>
    <sheet name="GJ" sheetId="4" r:id="rId4"/>
    <sheet name="GS" sheetId="5" r:id="rId5"/>
    <sheet name="GP" sheetId="6" r:id="rId6"/>
    <sheet name="GR" sheetId="7" r:id="rId7"/>
    <sheet name="GC" sheetId="8" r:id="rId8"/>
    <sheet name="LN" sheetId="9" r:id="rId9"/>
    <sheet name="MC" sheetId="10" r:id="rId10"/>
    <sheet name="MA" sheetId="11" r:id="rId11"/>
    <sheet name="BJ" sheetId="12" r:id="rId12"/>
    <sheet name="LA" sheetId="13" r:id="rId13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5" i="13" l="1"/>
  <c r="L75" i="13"/>
  <c r="K75" i="13"/>
  <c r="H75" i="13"/>
  <c r="M74" i="13"/>
  <c r="L74" i="13"/>
  <c r="K74" i="13"/>
  <c r="H74" i="13"/>
  <c r="M73" i="13"/>
  <c r="L73" i="13"/>
  <c r="K73" i="13"/>
  <c r="H73" i="13"/>
  <c r="M72" i="13"/>
  <c r="L72" i="13"/>
  <c r="K72" i="13"/>
  <c r="H72" i="13"/>
  <c r="M71" i="13"/>
  <c r="L71" i="13"/>
  <c r="K71" i="13"/>
  <c r="H71" i="13"/>
  <c r="M70" i="13"/>
  <c r="L70" i="13"/>
  <c r="K70" i="13"/>
  <c r="H70" i="13"/>
  <c r="M69" i="13"/>
  <c r="L69" i="13"/>
  <c r="K69" i="13"/>
  <c r="H69" i="13"/>
  <c r="M68" i="13"/>
  <c r="L68" i="13"/>
  <c r="K68" i="13"/>
  <c r="H68" i="13"/>
  <c r="M67" i="13"/>
  <c r="L67" i="13"/>
  <c r="K67" i="13"/>
  <c r="H67" i="13"/>
  <c r="M66" i="13"/>
  <c r="L66" i="13"/>
  <c r="K66" i="13"/>
  <c r="H66" i="13"/>
  <c r="M65" i="13"/>
  <c r="L65" i="13"/>
  <c r="K65" i="13"/>
  <c r="H65" i="13"/>
  <c r="M64" i="13"/>
  <c r="L64" i="13"/>
  <c r="K64" i="13"/>
  <c r="H64" i="13"/>
  <c r="M63" i="13"/>
  <c r="L63" i="13"/>
  <c r="K63" i="13"/>
  <c r="H63" i="13"/>
  <c r="M62" i="13"/>
  <c r="L62" i="13"/>
  <c r="K62" i="13"/>
  <c r="H62" i="13"/>
  <c r="M61" i="13"/>
  <c r="L61" i="13"/>
  <c r="K61" i="13"/>
  <c r="H61" i="13"/>
  <c r="M60" i="13"/>
  <c r="L60" i="13"/>
  <c r="K60" i="13"/>
  <c r="H60" i="13"/>
  <c r="M59" i="13"/>
  <c r="L59" i="13"/>
  <c r="K59" i="13"/>
  <c r="H59" i="13"/>
  <c r="M58" i="13"/>
  <c r="L58" i="13"/>
  <c r="K58" i="13"/>
  <c r="H58" i="13"/>
  <c r="M57" i="13"/>
  <c r="L57" i="13"/>
  <c r="K57" i="13"/>
  <c r="H57" i="13"/>
  <c r="M56" i="13"/>
  <c r="L56" i="13"/>
  <c r="K56" i="13"/>
  <c r="H56" i="13"/>
  <c r="M55" i="13"/>
  <c r="L55" i="13"/>
  <c r="K55" i="13"/>
  <c r="H55" i="13"/>
  <c r="M54" i="13"/>
  <c r="L54" i="13"/>
  <c r="K54" i="13"/>
  <c r="H54" i="13"/>
  <c r="M53" i="13"/>
  <c r="L53" i="13"/>
  <c r="K53" i="13"/>
  <c r="H53" i="13"/>
  <c r="M52" i="13"/>
  <c r="L52" i="13"/>
  <c r="K52" i="13"/>
  <c r="H52" i="13"/>
  <c r="M51" i="13"/>
  <c r="L51" i="13"/>
  <c r="K51" i="13"/>
  <c r="H51" i="13"/>
  <c r="M50" i="13"/>
  <c r="L50" i="13"/>
  <c r="K50" i="13"/>
  <c r="H50" i="13"/>
  <c r="M49" i="13"/>
  <c r="L49" i="13"/>
  <c r="K49" i="13"/>
  <c r="H49" i="13"/>
  <c r="M48" i="13"/>
  <c r="L48" i="13"/>
  <c r="K48" i="13"/>
  <c r="H48" i="13"/>
  <c r="M47" i="13"/>
  <c r="L47" i="13"/>
  <c r="K47" i="13"/>
  <c r="H47" i="13"/>
  <c r="M46" i="13"/>
  <c r="L46" i="13"/>
  <c r="K46" i="13"/>
  <c r="H46" i="13"/>
  <c r="M45" i="13"/>
  <c r="L45" i="13"/>
  <c r="K45" i="13"/>
  <c r="H45" i="13"/>
  <c r="M44" i="13"/>
  <c r="L44" i="13"/>
  <c r="K44" i="13"/>
  <c r="H44" i="13"/>
  <c r="M43" i="13"/>
  <c r="L43" i="13"/>
  <c r="K43" i="13"/>
  <c r="H43" i="13"/>
  <c r="M42" i="13"/>
  <c r="L42" i="13"/>
  <c r="K42" i="13"/>
  <c r="H42" i="13"/>
  <c r="M41" i="13"/>
  <c r="L41" i="13"/>
  <c r="K41" i="13"/>
  <c r="H41" i="13"/>
  <c r="M40" i="13"/>
  <c r="L40" i="13"/>
  <c r="K40" i="13"/>
  <c r="H40" i="13"/>
  <c r="M39" i="13"/>
  <c r="L39" i="13"/>
  <c r="K39" i="13"/>
  <c r="H39" i="13"/>
  <c r="M38" i="13"/>
  <c r="L38" i="13"/>
  <c r="K38" i="13"/>
  <c r="H38" i="13"/>
  <c r="M37" i="13"/>
  <c r="L37" i="13"/>
  <c r="K37" i="13"/>
  <c r="H37" i="13"/>
  <c r="M36" i="13"/>
  <c r="L36" i="13"/>
  <c r="K36" i="13"/>
  <c r="H36" i="13"/>
  <c r="M35" i="13"/>
  <c r="L35" i="13"/>
  <c r="K35" i="13"/>
  <c r="H35" i="13"/>
  <c r="M34" i="13"/>
  <c r="L34" i="13"/>
  <c r="K34" i="13"/>
  <c r="H34" i="13"/>
  <c r="M33" i="13"/>
  <c r="L33" i="13"/>
  <c r="K33" i="13"/>
  <c r="H33" i="13"/>
  <c r="M32" i="13"/>
  <c r="L32" i="13"/>
  <c r="K32" i="13"/>
  <c r="H32" i="13"/>
  <c r="M31" i="13"/>
  <c r="L31" i="13"/>
  <c r="K31" i="13"/>
  <c r="H31" i="13"/>
  <c r="M30" i="13"/>
  <c r="L30" i="13"/>
  <c r="K30" i="13"/>
  <c r="H30" i="13"/>
  <c r="M29" i="13"/>
  <c r="L29" i="13"/>
  <c r="K29" i="13"/>
  <c r="H29" i="13"/>
  <c r="M28" i="13"/>
  <c r="L28" i="13"/>
  <c r="K28" i="13"/>
  <c r="H28" i="13"/>
  <c r="M27" i="13"/>
  <c r="L27" i="13"/>
  <c r="K27" i="13"/>
  <c r="H27" i="13"/>
  <c r="M26" i="13"/>
  <c r="L26" i="13"/>
  <c r="K26" i="13"/>
  <c r="H26" i="13"/>
  <c r="M25" i="13"/>
  <c r="L25" i="13"/>
  <c r="K25" i="13"/>
  <c r="H25" i="13"/>
  <c r="M24" i="13"/>
  <c r="L24" i="13"/>
  <c r="K24" i="13"/>
  <c r="H24" i="13"/>
  <c r="M23" i="13"/>
  <c r="L23" i="13"/>
  <c r="K23" i="13"/>
  <c r="H23" i="13"/>
  <c r="M22" i="13"/>
  <c r="L22" i="13"/>
  <c r="K22" i="13"/>
  <c r="H22" i="13"/>
  <c r="M21" i="13"/>
  <c r="L21" i="13"/>
  <c r="K21" i="13"/>
  <c r="H21" i="13"/>
  <c r="M20" i="13"/>
  <c r="L20" i="13"/>
  <c r="K20" i="13"/>
  <c r="H20" i="13"/>
  <c r="M19" i="13"/>
  <c r="L19" i="13"/>
  <c r="K19" i="13"/>
  <c r="H19" i="13"/>
  <c r="M18" i="13"/>
  <c r="L18" i="13"/>
  <c r="K18" i="13"/>
  <c r="H18" i="13"/>
  <c r="M17" i="13"/>
  <c r="L17" i="13"/>
  <c r="K17" i="13"/>
  <c r="H17" i="13"/>
  <c r="M16" i="13"/>
  <c r="L16" i="13"/>
  <c r="K16" i="13"/>
  <c r="H16" i="13"/>
  <c r="M15" i="13"/>
  <c r="L15" i="13"/>
  <c r="K15" i="13"/>
  <c r="H15" i="13"/>
  <c r="M14" i="13"/>
  <c r="L14" i="13"/>
  <c r="K14" i="13"/>
  <c r="H14" i="13"/>
  <c r="M13" i="13"/>
  <c r="L13" i="13"/>
  <c r="K13" i="13"/>
  <c r="M12" i="13"/>
  <c r="L12" i="13"/>
  <c r="K12" i="13"/>
  <c r="M11" i="13"/>
  <c r="L11" i="13"/>
  <c r="K11" i="13"/>
  <c r="M10" i="13"/>
  <c r="L10" i="13"/>
  <c r="K10" i="13"/>
  <c r="M9" i="13"/>
  <c r="L9" i="13"/>
  <c r="K9" i="13"/>
  <c r="M8" i="13"/>
  <c r="L8" i="13"/>
  <c r="K8" i="13"/>
  <c r="M7" i="13"/>
  <c r="L7" i="13"/>
  <c r="K7" i="13"/>
  <c r="M6" i="13"/>
  <c r="L6" i="13"/>
  <c r="K6" i="13"/>
  <c r="M5" i="13"/>
  <c r="L5" i="13"/>
  <c r="K5" i="13"/>
  <c r="M4" i="13"/>
  <c r="L4" i="13"/>
  <c r="K4" i="13"/>
  <c r="M3" i="13"/>
  <c r="L3" i="13"/>
  <c r="K3" i="13"/>
  <c r="M2" i="13"/>
  <c r="L2" i="13"/>
  <c r="K2" i="13"/>
  <c r="M75" i="12"/>
  <c r="L75" i="12"/>
  <c r="K75" i="12"/>
  <c r="H75" i="12"/>
  <c r="M74" i="12"/>
  <c r="L74" i="12"/>
  <c r="K74" i="12"/>
  <c r="H74" i="12"/>
  <c r="M73" i="12"/>
  <c r="L73" i="12"/>
  <c r="K73" i="12"/>
  <c r="H73" i="12"/>
  <c r="M72" i="12"/>
  <c r="L72" i="12"/>
  <c r="K72" i="12"/>
  <c r="H72" i="12"/>
  <c r="M71" i="12"/>
  <c r="L71" i="12"/>
  <c r="K71" i="12"/>
  <c r="H71" i="12"/>
  <c r="M70" i="12"/>
  <c r="L70" i="12"/>
  <c r="K70" i="12"/>
  <c r="H70" i="12"/>
  <c r="M69" i="12"/>
  <c r="L69" i="12"/>
  <c r="K69" i="12"/>
  <c r="H69" i="12"/>
  <c r="M68" i="12"/>
  <c r="L68" i="12"/>
  <c r="K68" i="12"/>
  <c r="H68" i="12"/>
  <c r="M67" i="12"/>
  <c r="L67" i="12"/>
  <c r="K67" i="12"/>
  <c r="H67" i="12"/>
  <c r="M66" i="12"/>
  <c r="L66" i="12"/>
  <c r="K66" i="12"/>
  <c r="H66" i="12"/>
  <c r="M65" i="12"/>
  <c r="L65" i="12"/>
  <c r="K65" i="12"/>
  <c r="H65" i="12"/>
  <c r="M64" i="12"/>
  <c r="L64" i="12"/>
  <c r="K64" i="12"/>
  <c r="H64" i="12"/>
  <c r="M63" i="12"/>
  <c r="L63" i="12"/>
  <c r="K63" i="12"/>
  <c r="H63" i="12"/>
  <c r="M62" i="12"/>
  <c r="L62" i="12"/>
  <c r="K62" i="12"/>
  <c r="H62" i="12"/>
  <c r="M61" i="12"/>
  <c r="L61" i="12"/>
  <c r="K61" i="12"/>
  <c r="H61" i="12"/>
  <c r="M60" i="12"/>
  <c r="L60" i="12"/>
  <c r="K60" i="12"/>
  <c r="H60" i="12"/>
  <c r="M59" i="12"/>
  <c r="L59" i="12"/>
  <c r="K59" i="12"/>
  <c r="H59" i="12"/>
  <c r="M58" i="12"/>
  <c r="L58" i="12"/>
  <c r="K58" i="12"/>
  <c r="H58" i="12"/>
  <c r="M57" i="12"/>
  <c r="L57" i="12"/>
  <c r="K57" i="12"/>
  <c r="H57" i="12"/>
  <c r="M56" i="12"/>
  <c r="L56" i="12"/>
  <c r="K56" i="12"/>
  <c r="H56" i="12"/>
  <c r="M55" i="12"/>
  <c r="L55" i="12"/>
  <c r="K55" i="12"/>
  <c r="H55" i="12"/>
  <c r="M54" i="12"/>
  <c r="L54" i="12"/>
  <c r="K54" i="12"/>
  <c r="H54" i="12"/>
  <c r="M53" i="12"/>
  <c r="L53" i="12"/>
  <c r="K53" i="12"/>
  <c r="H53" i="12"/>
  <c r="M52" i="12"/>
  <c r="L52" i="12"/>
  <c r="K52" i="12"/>
  <c r="H52" i="12"/>
  <c r="M51" i="12"/>
  <c r="L51" i="12"/>
  <c r="K51" i="12"/>
  <c r="H51" i="12"/>
  <c r="M50" i="12"/>
  <c r="L50" i="12"/>
  <c r="K50" i="12"/>
  <c r="H50" i="12"/>
  <c r="M49" i="12"/>
  <c r="L49" i="12"/>
  <c r="K49" i="12"/>
  <c r="H49" i="12"/>
  <c r="M48" i="12"/>
  <c r="L48" i="12"/>
  <c r="K48" i="12"/>
  <c r="H48" i="12"/>
  <c r="M47" i="12"/>
  <c r="L47" i="12"/>
  <c r="K47" i="12"/>
  <c r="H47" i="12"/>
  <c r="M46" i="12"/>
  <c r="L46" i="12"/>
  <c r="K46" i="12"/>
  <c r="H46" i="12"/>
  <c r="M45" i="12"/>
  <c r="L45" i="12"/>
  <c r="K45" i="12"/>
  <c r="H45" i="12"/>
  <c r="M44" i="12"/>
  <c r="L44" i="12"/>
  <c r="K44" i="12"/>
  <c r="H44" i="12"/>
  <c r="M43" i="12"/>
  <c r="L43" i="12"/>
  <c r="K43" i="12"/>
  <c r="H43" i="12"/>
  <c r="M42" i="12"/>
  <c r="L42" i="12"/>
  <c r="K42" i="12"/>
  <c r="H42" i="12"/>
  <c r="M41" i="12"/>
  <c r="L41" i="12"/>
  <c r="K41" i="12"/>
  <c r="H41" i="12"/>
  <c r="M40" i="12"/>
  <c r="L40" i="12"/>
  <c r="K40" i="12"/>
  <c r="H40" i="12"/>
  <c r="M39" i="12"/>
  <c r="L39" i="12"/>
  <c r="K39" i="12"/>
  <c r="H39" i="12"/>
  <c r="M38" i="12"/>
  <c r="L38" i="12"/>
  <c r="K38" i="12"/>
  <c r="H38" i="12"/>
  <c r="M37" i="12"/>
  <c r="L37" i="12"/>
  <c r="K37" i="12"/>
  <c r="H37" i="12"/>
  <c r="M36" i="12"/>
  <c r="L36" i="12"/>
  <c r="K36" i="12"/>
  <c r="H36" i="12"/>
  <c r="M35" i="12"/>
  <c r="L35" i="12"/>
  <c r="K35" i="12"/>
  <c r="H35" i="12"/>
  <c r="M34" i="12"/>
  <c r="L34" i="12"/>
  <c r="K34" i="12"/>
  <c r="H34" i="12"/>
  <c r="M33" i="12"/>
  <c r="L33" i="12"/>
  <c r="K33" i="12"/>
  <c r="H33" i="12"/>
  <c r="M32" i="12"/>
  <c r="L32" i="12"/>
  <c r="K32" i="12"/>
  <c r="H32" i="12"/>
  <c r="M31" i="12"/>
  <c r="L31" i="12"/>
  <c r="K31" i="12"/>
  <c r="H31" i="12"/>
  <c r="M30" i="12"/>
  <c r="L30" i="12"/>
  <c r="K30" i="12"/>
  <c r="H30" i="12"/>
  <c r="M29" i="12"/>
  <c r="L29" i="12"/>
  <c r="K29" i="12"/>
  <c r="H29" i="12"/>
  <c r="M28" i="12"/>
  <c r="L28" i="12"/>
  <c r="K28" i="12"/>
  <c r="H28" i="12"/>
  <c r="M27" i="12"/>
  <c r="L27" i="12"/>
  <c r="K27" i="12"/>
  <c r="H27" i="12"/>
  <c r="M26" i="12"/>
  <c r="L26" i="12"/>
  <c r="K26" i="12"/>
  <c r="H26" i="12"/>
  <c r="M25" i="12"/>
  <c r="L25" i="12"/>
  <c r="K25" i="12"/>
  <c r="H25" i="12"/>
  <c r="M24" i="12"/>
  <c r="L24" i="12"/>
  <c r="K24" i="12"/>
  <c r="H24" i="12"/>
  <c r="M23" i="12"/>
  <c r="L23" i="12"/>
  <c r="K23" i="12"/>
  <c r="H23" i="12"/>
  <c r="M22" i="12"/>
  <c r="L22" i="12"/>
  <c r="K22" i="12"/>
  <c r="H22" i="12"/>
  <c r="M21" i="12"/>
  <c r="L21" i="12"/>
  <c r="K21" i="12"/>
  <c r="H21" i="12"/>
  <c r="M20" i="12"/>
  <c r="L20" i="12"/>
  <c r="K20" i="12"/>
  <c r="H20" i="12"/>
  <c r="M19" i="12"/>
  <c r="L19" i="12"/>
  <c r="K19" i="12"/>
  <c r="H19" i="12"/>
  <c r="M18" i="12"/>
  <c r="L18" i="12"/>
  <c r="K18" i="12"/>
  <c r="H18" i="12"/>
  <c r="M17" i="12"/>
  <c r="L17" i="12"/>
  <c r="K17" i="12"/>
  <c r="H17" i="12"/>
  <c r="M16" i="12"/>
  <c r="L16" i="12"/>
  <c r="K16" i="12"/>
  <c r="H16" i="12"/>
  <c r="M15" i="12"/>
  <c r="L15" i="12"/>
  <c r="K15" i="12"/>
  <c r="H15" i="12"/>
  <c r="M14" i="12"/>
  <c r="L14" i="12"/>
  <c r="K14" i="12"/>
  <c r="H14" i="12"/>
  <c r="M13" i="12"/>
  <c r="L13" i="12"/>
  <c r="K13" i="12"/>
  <c r="M12" i="12"/>
  <c r="L12" i="12"/>
  <c r="K12" i="12"/>
  <c r="M11" i="12"/>
  <c r="L11" i="12"/>
  <c r="K11" i="12"/>
  <c r="M10" i="12"/>
  <c r="L10" i="12"/>
  <c r="K10" i="12"/>
  <c r="M9" i="12"/>
  <c r="L9" i="12"/>
  <c r="K9" i="12"/>
  <c r="M8" i="12"/>
  <c r="L8" i="12"/>
  <c r="K8" i="12"/>
  <c r="M7" i="12"/>
  <c r="L7" i="12"/>
  <c r="K7" i="12"/>
  <c r="M6" i="12"/>
  <c r="L6" i="12"/>
  <c r="K6" i="12"/>
  <c r="M5" i="12"/>
  <c r="L5" i="12"/>
  <c r="K5" i="12"/>
  <c r="M4" i="12"/>
  <c r="L4" i="12"/>
  <c r="K4" i="12"/>
  <c r="M3" i="12"/>
  <c r="L3" i="12"/>
  <c r="K3" i="12"/>
  <c r="M2" i="12"/>
  <c r="L2" i="12"/>
  <c r="K2" i="12"/>
  <c r="M75" i="11"/>
  <c r="L75" i="11"/>
  <c r="K75" i="11"/>
  <c r="H75" i="11"/>
  <c r="M74" i="11"/>
  <c r="L74" i="11"/>
  <c r="K74" i="11"/>
  <c r="H74" i="11"/>
  <c r="M73" i="11"/>
  <c r="L73" i="11"/>
  <c r="K73" i="11"/>
  <c r="H73" i="11"/>
  <c r="M72" i="11"/>
  <c r="L72" i="11"/>
  <c r="K72" i="11"/>
  <c r="H72" i="11"/>
  <c r="M71" i="11"/>
  <c r="L71" i="11"/>
  <c r="K71" i="11"/>
  <c r="H71" i="11"/>
  <c r="M70" i="11"/>
  <c r="L70" i="11"/>
  <c r="K70" i="11"/>
  <c r="H70" i="11"/>
  <c r="M69" i="11"/>
  <c r="L69" i="11"/>
  <c r="K69" i="11"/>
  <c r="H69" i="11"/>
  <c r="M68" i="11"/>
  <c r="L68" i="11"/>
  <c r="K68" i="11"/>
  <c r="H68" i="11"/>
  <c r="M67" i="11"/>
  <c r="L67" i="11"/>
  <c r="K67" i="11"/>
  <c r="H67" i="11"/>
  <c r="M66" i="11"/>
  <c r="L66" i="11"/>
  <c r="K66" i="11"/>
  <c r="H66" i="11"/>
  <c r="M65" i="11"/>
  <c r="L65" i="11"/>
  <c r="K65" i="11"/>
  <c r="H65" i="11"/>
  <c r="M64" i="11"/>
  <c r="L64" i="11"/>
  <c r="K64" i="11"/>
  <c r="H64" i="11"/>
  <c r="M63" i="11"/>
  <c r="L63" i="11"/>
  <c r="K63" i="11"/>
  <c r="H63" i="11"/>
  <c r="M62" i="11"/>
  <c r="L62" i="11"/>
  <c r="K62" i="11"/>
  <c r="H62" i="11"/>
  <c r="M61" i="11"/>
  <c r="L61" i="11"/>
  <c r="K61" i="11"/>
  <c r="H61" i="11"/>
  <c r="M60" i="11"/>
  <c r="L60" i="11"/>
  <c r="K60" i="11"/>
  <c r="H60" i="11"/>
  <c r="M59" i="11"/>
  <c r="L59" i="11"/>
  <c r="K59" i="11"/>
  <c r="H59" i="11"/>
  <c r="M58" i="11"/>
  <c r="L58" i="11"/>
  <c r="K58" i="11"/>
  <c r="H58" i="11"/>
  <c r="M57" i="11"/>
  <c r="L57" i="11"/>
  <c r="K57" i="11"/>
  <c r="H57" i="11"/>
  <c r="M56" i="11"/>
  <c r="L56" i="11"/>
  <c r="K56" i="11"/>
  <c r="H56" i="11"/>
  <c r="M55" i="11"/>
  <c r="L55" i="11"/>
  <c r="K55" i="11"/>
  <c r="H55" i="11"/>
  <c r="M54" i="11"/>
  <c r="L54" i="11"/>
  <c r="K54" i="11"/>
  <c r="H54" i="11"/>
  <c r="M53" i="11"/>
  <c r="L53" i="11"/>
  <c r="K53" i="11"/>
  <c r="H53" i="11"/>
  <c r="M52" i="11"/>
  <c r="L52" i="11"/>
  <c r="K52" i="11"/>
  <c r="H52" i="11"/>
  <c r="M51" i="11"/>
  <c r="L51" i="11"/>
  <c r="K51" i="11"/>
  <c r="H51" i="11"/>
  <c r="M50" i="11"/>
  <c r="L50" i="11"/>
  <c r="K50" i="11"/>
  <c r="H50" i="11"/>
  <c r="M49" i="11"/>
  <c r="L49" i="11"/>
  <c r="K49" i="11"/>
  <c r="H49" i="11"/>
  <c r="M48" i="11"/>
  <c r="L48" i="11"/>
  <c r="K48" i="11"/>
  <c r="H48" i="11"/>
  <c r="M47" i="11"/>
  <c r="L47" i="11"/>
  <c r="K47" i="11"/>
  <c r="H47" i="11"/>
  <c r="M46" i="11"/>
  <c r="L46" i="11"/>
  <c r="K46" i="11"/>
  <c r="H46" i="11"/>
  <c r="M45" i="11"/>
  <c r="L45" i="11"/>
  <c r="K45" i="11"/>
  <c r="H45" i="11"/>
  <c r="M44" i="11"/>
  <c r="L44" i="11"/>
  <c r="K44" i="11"/>
  <c r="H44" i="11"/>
  <c r="M43" i="11"/>
  <c r="L43" i="11"/>
  <c r="K43" i="11"/>
  <c r="H43" i="11"/>
  <c r="M42" i="11"/>
  <c r="L42" i="11"/>
  <c r="K42" i="11"/>
  <c r="H42" i="11"/>
  <c r="M41" i="11"/>
  <c r="L41" i="11"/>
  <c r="K41" i="11"/>
  <c r="H41" i="11"/>
  <c r="M40" i="11"/>
  <c r="L40" i="11"/>
  <c r="K40" i="11"/>
  <c r="H40" i="11"/>
  <c r="M39" i="11"/>
  <c r="L39" i="11"/>
  <c r="K39" i="11"/>
  <c r="H39" i="11"/>
  <c r="M38" i="11"/>
  <c r="L38" i="11"/>
  <c r="K38" i="11"/>
  <c r="H38" i="11"/>
  <c r="M37" i="11"/>
  <c r="L37" i="11"/>
  <c r="K37" i="11"/>
  <c r="H37" i="11"/>
  <c r="M36" i="11"/>
  <c r="L36" i="11"/>
  <c r="K36" i="11"/>
  <c r="H36" i="11"/>
  <c r="M35" i="11"/>
  <c r="L35" i="11"/>
  <c r="K35" i="11"/>
  <c r="H35" i="11"/>
  <c r="M34" i="11"/>
  <c r="L34" i="11"/>
  <c r="K34" i="11"/>
  <c r="H34" i="11"/>
  <c r="M33" i="11"/>
  <c r="L33" i="11"/>
  <c r="K33" i="11"/>
  <c r="H33" i="11"/>
  <c r="M32" i="11"/>
  <c r="L32" i="11"/>
  <c r="K32" i="11"/>
  <c r="H32" i="11"/>
  <c r="M31" i="11"/>
  <c r="L31" i="11"/>
  <c r="K31" i="11"/>
  <c r="H31" i="11"/>
  <c r="M30" i="11"/>
  <c r="L30" i="11"/>
  <c r="K30" i="11"/>
  <c r="H30" i="11"/>
  <c r="M29" i="11"/>
  <c r="L29" i="11"/>
  <c r="K29" i="11"/>
  <c r="H29" i="11"/>
  <c r="M28" i="11"/>
  <c r="L28" i="11"/>
  <c r="K28" i="11"/>
  <c r="H28" i="11"/>
  <c r="M27" i="11"/>
  <c r="L27" i="11"/>
  <c r="K27" i="11"/>
  <c r="H27" i="11"/>
  <c r="M26" i="11"/>
  <c r="L26" i="11"/>
  <c r="K26" i="11"/>
  <c r="H26" i="11"/>
  <c r="M25" i="11"/>
  <c r="L25" i="11"/>
  <c r="K25" i="11"/>
  <c r="H25" i="11"/>
  <c r="M24" i="11"/>
  <c r="L24" i="11"/>
  <c r="K24" i="11"/>
  <c r="H24" i="11"/>
  <c r="M23" i="11"/>
  <c r="L23" i="11"/>
  <c r="K23" i="11"/>
  <c r="H23" i="11"/>
  <c r="M22" i="11"/>
  <c r="L22" i="11"/>
  <c r="K22" i="11"/>
  <c r="H22" i="11"/>
  <c r="M21" i="11"/>
  <c r="L21" i="11"/>
  <c r="K21" i="11"/>
  <c r="H21" i="11"/>
  <c r="M20" i="11"/>
  <c r="L20" i="11"/>
  <c r="K20" i="11"/>
  <c r="H20" i="11"/>
  <c r="M19" i="11"/>
  <c r="L19" i="11"/>
  <c r="K19" i="11"/>
  <c r="H19" i="11"/>
  <c r="M18" i="11"/>
  <c r="L18" i="11"/>
  <c r="K18" i="11"/>
  <c r="H18" i="11"/>
  <c r="M17" i="11"/>
  <c r="L17" i="11"/>
  <c r="K17" i="11"/>
  <c r="H17" i="11"/>
  <c r="M16" i="11"/>
  <c r="L16" i="11"/>
  <c r="K16" i="11"/>
  <c r="H16" i="11"/>
  <c r="M15" i="11"/>
  <c r="L15" i="11"/>
  <c r="K15" i="11"/>
  <c r="H15" i="11"/>
  <c r="M14" i="11"/>
  <c r="L14" i="11"/>
  <c r="K14" i="11"/>
  <c r="H14" i="11"/>
  <c r="M13" i="11"/>
  <c r="L13" i="11"/>
  <c r="K13" i="11"/>
  <c r="M12" i="11"/>
  <c r="L12" i="11"/>
  <c r="K12" i="11"/>
  <c r="M11" i="11"/>
  <c r="L11" i="11"/>
  <c r="K11" i="11"/>
  <c r="M10" i="11"/>
  <c r="L10" i="11"/>
  <c r="K10" i="11"/>
  <c r="M9" i="11"/>
  <c r="L9" i="11"/>
  <c r="K9" i="11"/>
  <c r="M8" i="11"/>
  <c r="L8" i="11"/>
  <c r="K8" i="11"/>
  <c r="M7" i="11"/>
  <c r="L7" i="11"/>
  <c r="K7" i="11"/>
  <c r="M6" i="11"/>
  <c r="L6" i="11"/>
  <c r="K6" i="11"/>
  <c r="M5" i="11"/>
  <c r="L5" i="11"/>
  <c r="K5" i="11"/>
  <c r="M4" i="11"/>
  <c r="L4" i="11"/>
  <c r="K4" i="11"/>
  <c r="M3" i="11"/>
  <c r="L3" i="11"/>
  <c r="K3" i="11"/>
  <c r="M2" i="11"/>
  <c r="L2" i="11"/>
  <c r="K2" i="11"/>
  <c r="M75" i="10"/>
  <c r="L75" i="10"/>
  <c r="K75" i="10"/>
  <c r="H75" i="10"/>
  <c r="M74" i="10"/>
  <c r="L74" i="10"/>
  <c r="K74" i="10"/>
  <c r="H74" i="10"/>
  <c r="M73" i="10"/>
  <c r="L73" i="10"/>
  <c r="K73" i="10"/>
  <c r="H73" i="10"/>
  <c r="M72" i="10"/>
  <c r="L72" i="10"/>
  <c r="K72" i="10"/>
  <c r="H72" i="10"/>
  <c r="M71" i="10"/>
  <c r="L71" i="10"/>
  <c r="K71" i="10"/>
  <c r="H71" i="10"/>
  <c r="M70" i="10"/>
  <c r="L70" i="10"/>
  <c r="K70" i="10"/>
  <c r="H70" i="10"/>
  <c r="M69" i="10"/>
  <c r="L69" i="10"/>
  <c r="K69" i="10"/>
  <c r="H69" i="10"/>
  <c r="M68" i="10"/>
  <c r="L68" i="10"/>
  <c r="K68" i="10"/>
  <c r="H68" i="10"/>
  <c r="M67" i="10"/>
  <c r="L67" i="10"/>
  <c r="K67" i="10"/>
  <c r="H67" i="10"/>
  <c r="M66" i="10"/>
  <c r="L66" i="10"/>
  <c r="K66" i="10"/>
  <c r="H66" i="10"/>
  <c r="M65" i="10"/>
  <c r="L65" i="10"/>
  <c r="K65" i="10"/>
  <c r="H65" i="10"/>
  <c r="M64" i="10"/>
  <c r="L64" i="10"/>
  <c r="K64" i="10"/>
  <c r="H64" i="10"/>
  <c r="M63" i="10"/>
  <c r="L63" i="10"/>
  <c r="K63" i="10"/>
  <c r="H63" i="10"/>
  <c r="M62" i="10"/>
  <c r="L62" i="10"/>
  <c r="K62" i="10"/>
  <c r="H62" i="10"/>
  <c r="M61" i="10"/>
  <c r="L61" i="10"/>
  <c r="K61" i="10"/>
  <c r="H61" i="10"/>
  <c r="M60" i="10"/>
  <c r="L60" i="10"/>
  <c r="K60" i="10"/>
  <c r="H60" i="10"/>
  <c r="M59" i="10"/>
  <c r="L59" i="10"/>
  <c r="K59" i="10"/>
  <c r="H59" i="10"/>
  <c r="M58" i="10"/>
  <c r="L58" i="10"/>
  <c r="K58" i="10"/>
  <c r="H58" i="10"/>
  <c r="M57" i="10"/>
  <c r="L57" i="10"/>
  <c r="K57" i="10"/>
  <c r="H57" i="10"/>
  <c r="M56" i="10"/>
  <c r="L56" i="10"/>
  <c r="K56" i="10"/>
  <c r="H56" i="10"/>
  <c r="M55" i="10"/>
  <c r="L55" i="10"/>
  <c r="K55" i="10"/>
  <c r="H55" i="10"/>
  <c r="M54" i="10"/>
  <c r="L54" i="10"/>
  <c r="K54" i="10"/>
  <c r="H54" i="10"/>
  <c r="M53" i="10"/>
  <c r="L53" i="10"/>
  <c r="K53" i="10"/>
  <c r="H53" i="10"/>
  <c r="M52" i="10"/>
  <c r="L52" i="10"/>
  <c r="K52" i="10"/>
  <c r="H52" i="10"/>
  <c r="M51" i="10"/>
  <c r="L51" i="10"/>
  <c r="K51" i="10"/>
  <c r="H51" i="10"/>
  <c r="M50" i="10"/>
  <c r="L50" i="10"/>
  <c r="K50" i="10"/>
  <c r="H50" i="10"/>
  <c r="M49" i="10"/>
  <c r="L49" i="10"/>
  <c r="K49" i="10"/>
  <c r="H49" i="10"/>
  <c r="M48" i="10"/>
  <c r="L48" i="10"/>
  <c r="K48" i="10"/>
  <c r="H48" i="10"/>
  <c r="M47" i="10"/>
  <c r="L47" i="10"/>
  <c r="K47" i="10"/>
  <c r="H47" i="10"/>
  <c r="M46" i="10"/>
  <c r="L46" i="10"/>
  <c r="K46" i="10"/>
  <c r="H46" i="10"/>
  <c r="M45" i="10"/>
  <c r="L45" i="10"/>
  <c r="K45" i="10"/>
  <c r="H45" i="10"/>
  <c r="M44" i="10"/>
  <c r="L44" i="10"/>
  <c r="K44" i="10"/>
  <c r="H44" i="10"/>
  <c r="M43" i="10"/>
  <c r="L43" i="10"/>
  <c r="K43" i="10"/>
  <c r="H43" i="10"/>
  <c r="M42" i="10"/>
  <c r="L42" i="10"/>
  <c r="K42" i="10"/>
  <c r="H42" i="10"/>
  <c r="M41" i="10"/>
  <c r="L41" i="10"/>
  <c r="K41" i="10"/>
  <c r="H41" i="10"/>
  <c r="M40" i="10"/>
  <c r="L40" i="10"/>
  <c r="K40" i="10"/>
  <c r="H40" i="10"/>
  <c r="M39" i="10"/>
  <c r="L39" i="10"/>
  <c r="K39" i="10"/>
  <c r="H39" i="10"/>
  <c r="M38" i="10"/>
  <c r="L38" i="10"/>
  <c r="K38" i="10"/>
  <c r="H38" i="10"/>
  <c r="M37" i="10"/>
  <c r="L37" i="10"/>
  <c r="K37" i="10"/>
  <c r="H37" i="10"/>
  <c r="M36" i="10"/>
  <c r="L36" i="10"/>
  <c r="K36" i="10"/>
  <c r="H36" i="10"/>
  <c r="M35" i="10"/>
  <c r="L35" i="10"/>
  <c r="K35" i="10"/>
  <c r="H35" i="10"/>
  <c r="M34" i="10"/>
  <c r="L34" i="10"/>
  <c r="K34" i="10"/>
  <c r="H34" i="10"/>
  <c r="M33" i="10"/>
  <c r="L33" i="10"/>
  <c r="K33" i="10"/>
  <c r="H33" i="10"/>
  <c r="M32" i="10"/>
  <c r="L32" i="10"/>
  <c r="K32" i="10"/>
  <c r="H32" i="10"/>
  <c r="M31" i="10"/>
  <c r="L31" i="10"/>
  <c r="K31" i="10"/>
  <c r="H31" i="10"/>
  <c r="M30" i="10"/>
  <c r="L30" i="10"/>
  <c r="K30" i="10"/>
  <c r="H30" i="10"/>
  <c r="M29" i="10"/>
  <c r="L29" i="10"/>
  <c r="K29" i="10"/>
  <c r="H29" i="10"/>
  <c r="M28" i="10"/>
  <c r="L28" i="10"/>
  <c r="K28" i="10"/>
  <c r="H28" i="10"/>
  <c r="M27" i="10"/>
  <c r="L27" i="10"/>
  <c r="K27" i="10"/>
  <c r="H27" i="10"/>
  <c r="M26" i="10"/>
  <c r="L26" i="10"/>
  <c r="K26" i="10"/>
  <c r="H26" i="10"/>
  <c r="M25" i="10"/>
  <c r="L25" i="10"/>
  <c r="K25" i="10"/>
  <c r="H25" i="10"/>
  <c r="M24" i="10"/>
  <c r="L24" i="10"/>
  <c r="K24" i="10"/>
  <c r="H24" i="10"/>
  <c r="M23" i="10"/>
  <c r="L23" i="10"/>
  <c r="K23" i="10"/>
  <c r="H23" i="10"/>
  <c r="M22" i="10"/>
  <c r="L22" i="10"/>
  <c r="K22" i="10"/>
  <c r="H22" i="10"/>
  <c r="M21" i="10"/>
  <c r="L21" i="10"/>
  <c r="K21" i="10"/>
  <c r="H21" i="10"/>
  <c r="M20" i="10"/>
  <c r="L20" i="10"/>
  <c r="K20" i="10"/>
  <c r="H20" i="10"/>
  <c r="M19" i="10"/>
  <c r="L19" i="10"/>
  <c r="K19" i="10"/>
  <c r="H19" i="10"/>
  <c r="M18" i="10"/>
  <c r="L18" i="10"/>
  <c r="K18" i="10"/>
  <c r="H18" i="10"/>
  <c r="M17" i="10"/>
  <c r="L17" i="10"/>
  <c r="K17" i="10"/>
  <c r="H17" i="10"/>
  <c r="M16" i="10"/>
  <c r="L16" i="10"/>
  <c r="K16" i="10"/>
  <c r="H16" i="10"/>
  <c r="M15" i="10"/>
  <c r="L15" i="10"/>
  <c r="K15" i="10"/>
  <c r="H15" i="10"/>
  <c r="M14" i="10"/>
  <c r="L14" i="10"/>
  <c r="K14" i="10"/>
  <c r="H14" i="10"/>
  <c r="M13" i="10"/>
  <c r="L13" i="10"/>
  <c r="K13" i="10"/>
  <c r="M12" i="10"/>
  <c r="L12" i="10"/>
  <c r="K12" i="10"/>
  <c r="M11" i="10"/>
  <c r="L11" i="10"/>
  <c r="K11" i="10"/>
  <c r="M10" i="10"/>
  <c r="L10" i="10"/>
  <c r="K10" i="10"/>
  <c r="M9" i="10"/>
  <c r="L9" i="10"/>
  <c r="K9" i="10"/>
  <c r="M8" i="10"/>
  <c r="L8" i="10"/>
  <c r="K8" i="10"/>
  <c r="M7" i="10"/>
  <c r="L7" i="10"/>
  <c r="K7" i="10"/>
  <c r="M6" i="10"/>
  <c r="L6" i="10"/>
  <c r="K6" i="10"/>
  <c r="M5" i="10"/>
  <c r="L5" i="10"/>
  <c r="K5" i="10"/>
  <c r="M4" i="10"/>
  <c r="L4" i="10"/>
  <c r="K4" i="10"/>
  <c r="M3" i="10"/>
  <c r="L3" i="10"/>
  <c r="K3" i="10"/>
  <c r="M2" i="10"/>
  <c r="L2" i="10"/>
  <c r="K2" i="10"/>
  <c r="M75" i="9"/>
  <c r="L75" i="9"/>
  <c r="K75" i="9"/>
  <c r="H75" i="9"/>
  <c r="M74" i="9"/>
  <c r="L74" i="9"/>
  <c r="K74" i="9"/>
  <c r="H74" i="9"/>
  <c r="M73" i="9"/>
  <c r="L73" i="9"/>
  <c r="K73" i="9"/>
  <c r="H73" i="9"/>
  <c r="M72" i="9"/>
  <c r="L72" i="9"/>
  <c r="K72" i="9"/>
  <c r="H72" i="9"/>
  <c r="M71" i="9"/>
  <c r="L71" i="9"/>
  <c r="K71" i="9"/>
  <c r="H71" i="9"/>
  <c r="M70" i="9"/>
  <c r="L70" i="9"/>
  <c r="K70" i="9"/>
  <c r="H70" i="9"/>
  <c r="M69" i="9"/>
  <c r="L69" i="9"/>
  <c r="K69" i="9"/>
  <c r="H69" i="9"/>
  <c r="M68" i="9"/>
  <c r="L68" i="9"/>
  <c r="K68" i="9"/>
  <c r="H68" i="9"/>
  <c r="M67" i="9"/>
  <c r="L67" i="9"/>
  <c r="K67" i="9"/>
  <c r="H67" i="9"/>
  <c r="M66" i="9"/>
  <c r="L66" i="9"/>
  <c r="K66" i="9"/>
  <c r="H66" i="9"/>
  <c r="M65" i="9"/>
  <c r="L65" i="9"/>
  <c r="K65" i="9"/>
  <c r="H65" i="9"/>
  <c r="M64" i="9"/>
  <c r="L64" i="9"/>
  <c r="K64" i="9"/>
  <c r="H64" i="9"/>
  <c r="M63" i="9"/>
  <c r="L63" i="9"/>
  <c r="K63" i="9"/>
  <c r="H63" i="9"/>
  <c r="M62" i="9"/>
  <c r="L62" i="9"/>
  <c r="K62" i="9"/>
  <c r="H62" i="9"/>
  <c r="M61" i="9"/>
  <c r="L61" i="9"/>
  <c r="K61" i="9"/>
  <c r="H61" i="9"/>
  <c r="M60" i="9"/>
  <c r="L60" i="9"/>
  <c r="K60" i="9"/>
  <c r="H60" i="9"/>
  <c r="M59" i="9"/>
  <c r="L59" i="9"/>
  <c r="K59" i="9"/>
  <c r="H59" i="9"/>
  <c r="M58" i="9"/>
  <c r="L58" i="9"/>
  <c r="K58" i="9"/>
  <c r="H58" i="9"/>
  <c r="M57" i="9"/>
  <c r="L57" i="9"/>
  <c r="K57" i="9"/>
  <c r="H57" i="9"/>
  <c r="M56" i="9"/>
  <c r="L56" i="9"/>
  <c r="K56" i="9"/>
  <c r="H56" i="9"/>
  <c r="M55" i="9"/>
  <c r="L55" i="9"/>
  <c r="K55" i="9"/>
  <c r="H55" i="9"/>
  <c r="M54" i="9"/>
  <c r="L54" i="9"/>
  <c r="K54" i="9"/>
  <c r="H54" i="9"/>
  <c r="M53" i="9"/>
  <c r="L53" i="9"/>
  <c r="K53" i="9"/>
  <c r="H53" i="9"/>
  <c r="M52" i="9"/>
  <c r="L52" i="9"/>
  <c r="K52" i="9"/>
  <c r="H52" i="9"/>
  <c r="M51" i="9"/>
  <c r="L51" i="9"/>
  <c r="K51" i="9"/>
  <c r="H51" i="9"/>
  <c r="M50" i="9"/>
  <c r="L50" i="9"/>
  <c r="K50" i="9"/>
  <c r="H50" i="9"/>
  <c r="M49" i="9"/>
  <c r="L49" i="9"/>
  <c r="K49" i="9"/>
  <c r="H49" i="9"/>
  <c r="M48" i="9"/>
  <c r="L48" i="9"/>
  <c r="K48" i="9"/>
  <c r="H48" i="9"/>
  <c r="M47" i="9"/>
  <c r="L47" i="9"/>
  <c r="K47" i="9"/>
  <c r="H47" i="9"/>
  <c r="M46" i="9"/>
  <c r="L46" i="9"/>
  <c r="K46" i="9"/>
  <c r="H46" i="9"/>
  <c r="M45" i="9"/>
  <c r="L45" i="9"/>
  <c r="K45" i="9"/>
  <c r="H45" i="9"/>
  <c r="M44" i="9"/>
  <c r="L44" i="9"/>
  <c r="K44" i="9"/>
  <c r="H44" i="9"/>
  <c r="M43" i="9"/>
  <c r="L43" i="9"/>
  <c r="K43" i="9"/>
  <c r="H43" i="9"/>
  <c r="M42" i="9"/>
  <c r="L42" i="9"/>
  <c r="K42" i="9"/>
  <c r="H42" i="9"/>
  <c r="M41" i="9"/>
  <c r="L41" i="9"/>
  <c r="K41" i="9"/>
  <c r="H41" i="9"/>
  <c r="M40" i="9"/>
  <c r="L40" i="9"/>
  <c r="K40" i="9"/>
  <c r="H40" i="9"/>
  <c r="M39" i="9"/>
  <c r="L39" i="9"/>
  <c r="K39" i="9"/>
  <c r="H39" i="9"/>
  <c r="M38" i="9"/>
  <c r="L38" i="9"/>
  <c r="K38" i="9"/>
  <c r="H38" i="9"/>
  <c r="M37" i="9"/>
  <c r="L37" i="9"/>
  <c r="K37" i="9"/>
  <c r="H37" i="9"/>
  <c r="M36" i="9"/>
  <c r="L36" i="9"/>
  <c r="K36" i="9"/>
  <c r="H36" i="9"/>
  <c r="M35" i="9"/>
  <c r="L35" i="9"/>
  <c r="K35" i="9"/>
  <c r="H35" i="9"/>
  <c r="M34" i="9"/>
  <c r="L34" i="9"/>
  <c r="K34" i="9"/>
  <c r="H34" i="9"/>
  <c r="M33" i="9"/>
  <c r="L33" i="9"/>
  <c r="K33" i="9"/>
  <c r="H33" i="9"/>
  <c r="M32" i="9"/>
  <c r="L32" i="9"/>
  <c r="K32" i="9"/>
  <c r="H32" i="9"/>
  <c r="M31" i="9"/>
  <c r="L31" i="9"/>
  <c r="K31" i="9"/>
  <c r="H31" i="9"/>
  <c r="M30" i="9"/>
  <c r="L30" i="9"/>
  <c r="K30" i="9"/>
  <c r="H30" i="9"/>
  <c r="M29" i="9"/>
  <c r="L29" i="9"/>
  <c r="K29" i="9"/>
  <c r="H29" i="9"/>
  <c r="M28" i="9"/>
  <c r="L28" i="9"/>
  <c r="K28" i="9"/>
  <c r="H28" i="9"/>
  <c r="M27" i="9"/>
  <c r="L27" i="9"/>
  <c r="K27" i="9"/>
  <c r="H27" i="9"/>
  <c r="M26" i="9"/>
  <c r="L26" i="9"/>
  <c r="K26" i="9"/>
  <c r="H26" i="9"/>
  <c r="M25" i="9"/>
  <c r="L25" i="9"/>
  <c r="K25" i="9"/>
  <c r="H25" i="9"/>
  <c r="M24" i="9"/>
  <c r="L24" i="9"/>
  <c r="K24" i="9"/>
  <c r="H24" i="9"/>
  <c r="M23" i="9"/>
  <c r="L23" i="9"/>
  <c r="K23" i="9"/>
  <c r="H23" i="9"/>
  <c r="M22" i="9"/>
  <c r="L22" i="9"/>
  <c r="K22" i="9"/>
  <c r="H22" i="9"/>
  <c r="M21" i="9"/>
  <c r="L21" i="9"/>
  <c r="K21" i="9"/>
  <c r="H21" i="9"/>
  <c r="M20" i="9"/>
  <c r="L20" i="9"/>
  <c r="K20" i="9"/>
  <c r="H20" i="9"/>
  <c r="M19" i="9"/>
  <c r="L19" i="9"/>
  <c r="K19" i="9"/>
  <c r="H19" i="9"/>
  <c r="M18" i="9"/>
  <c r="L18" i="9"/>
  <c r="K18" i="9"/>
  <c r="H18" i="9"/>
  <c r="M17" i="9"/>
  <c r="L17" i="9"/>
  <c r="K17" i="9"/>
  <c r="H17" i="9"/>
  <c r="M16" i="9"/>
  <c r="L16" i="9"/>
  <c r="K16" i="9"/>
  <c r="H16" i="9"/>
  <c r="M15" i="9"/>
  <c r="L15" i="9"/>
  <c r="K15" i="9"/>
  <c r="H15" i="9"/>
  <c r="M14" i="9"/>
  <c r="L14" i="9"/>
  <c r="K14" i="9"/>
  <c r="H14" i="9"/>
  <c r="M13" i="9"/>
  <c r="L13" i="9"/>
  <c r="K13" i="9"/>
  <c r="M12" i="9"/>
  <c r="L12" i="9"/>
  <c r="K12" i="9"/>
  <c r="M11" i="9"/>
  <c r="L11" i="9"/>
  <c r="K11" i="9"/>
  <c r="M10" i="9"/>
  <c r="L10" i="9"/>
  <c r="K10" i="9"/>
  <c r="M9" i="9"/>
  <c r="L9" i="9"/>
  <c r="K9" i="9"/>
  <c r="M8" i="9"/>
  <c r="L8" i="9"/>
  <c r="K8" i="9"/>
  <c r="M7" i="9"/>
  <c r="L7" i="9"/>
  <c r="K7" i="9"/>
  <c r="M6" i="9"/>
  <c r="L6" i="9"/>
  <c r="K6" i="9"/>
  <c r="M5" i="9"/>
  <c r="L5" i="9"/>
  <c r="K5" i="9"/>
  <c r="M4" i="9"/>
  <c r="L4" i="9"/>
  <c r="K4" i="9"/>
  <c r="M3" i="9"/>
  <c r="L3" i="9"/>
  <c r="K3" i="9"/>
  <c r="M2" i="9"/>
  <c r="L2" i="9"/>
  <c r="K2" i="9"/>
  <c r="M75" i="8"/>
  <c r="L75" i="8"/>
  <c r="K75" i="8"/>
  <c r="H75" i="8"/>
  <c r="M74" i="8"/>
  <c r="L74" i="8"/>
  <c r="K74" i="8"/>
  <c r="H74" i="8"/>
  <c r="M73" i="8"/>
  <c r="L73" i="8"/>
  <c r="K73" i="8"/>
  <c r="H73" i="8"/>
  <c r="M72" i="8"/>
  <c r="L72" i="8"/>
  <c r="K72" i="8"/>
  <c r="H72" i="8"/>
  <c r="M71" i="8"/>
  <c r="L71" i="8"/>
  <c r="K71" i="8"/>
  <c r="H71" i="8"/>
  <c r="M70" i="8"/>
  <c r="L70" i="8"/>
  <c r="K70" i="8"/>
  <c r="H70" i="8"/>
  <c r="M69" i="8"/>
  <c r="L69" i="8"/>
  <c r="K69" i="8"/>
  <c r="H69" i="8"/>
  <c r="M68" i="8"/>
  <c r="L68" i="8"/>
  <c r="K68" i="8"/>
  <c r="H68" i="8"/>
  <c r="M67" i="8"/>
  <c r="L67" i="8"/>
  <c r="K67" i="8"/>
  <c r="H67" i="8"/>
  <c r="M66" i="8"/>
  <c r="L66" i="8"/>
  <c r="K66" i="8"/>
  <c r="H66" i="8"/>
  <c r="M65" i="8"/>
  <c r="L65" i="8"/>
  <c r="K65" i="8"/>
  <c r="H65" i="8"/>
  <c r="M64" i="8"/>
  <c r="L64" i="8"/>
  <c r="K64" i="8"/>
  <c r="H64" i="8"/>
  <c r="M63" i="8"/>
  <c r="L63" i="8"/>
  <c r="K63" i="8"/>
  <c r="H63" i="8"/>
  <c r="M62" i="8"/>
  <c r="L62" i="8"/>
  <c r="K62" i="8"/>
  <c r="H62" i="8"/>
  <c r="M61" i="8"/>
  <c r="L61" i="8"/>
  <c r="K61" i="8"/>
  <c r="H61" i="8"/>
  <c r="M60" i="8"/>
  <c r="L60" i="8"/>
  <c r="K60" i="8"/>
  <c r="H60" i="8"/>
  <c r="M59" i="8"/>
  <c r="L59" i="8"/>
  <c r="K59" i="8"/>
  <c r="H59" i="8"/>
  <c r="M58" i="8"/>
  <c r="L58" i="8"/>
  <c r="K58" i="8"/>
  <c r="H58" i="8"/>
  <c r="M57" i="8"/>
  <c r="L57" i="8"/>
  <c r="K57" i="8"/>
  <c r="H57" i="8"/>
  <c r="M56" i="8"/>
  <c r="L56" i="8"/>
  <c r="K56" i="8"/>
  <c r="H56" i="8"/>
  <c r="M55" i="8"/>
  <c r="L55" i="8"/>
  <c r="K55" i="8"/>
  <c r="H55" i="8"/>
  <c r="M54" i="8"/>
  <c r="L54" i="8"/>
  <c r="K54" i="8"/>
  <c r="H54" i="8"/>
  <c r="M53" i="8"/>
  <c r="L53" i="8"/>
  <c r="K53" i="8"/>
  <c r="H53" i="8"/>
  <c r="M52" i="8"/>
  <c r="L52" i="8"/>
  <c r="K52" i="8"/>
  <c r="H52" i="8"/>
  <c r="M51" i="8"/>
  <c r="L51" i="8"/>
  <c r="K51" i="8"/>
  <c r="H51" i="8"/>
  <c r="M50" i="8"/>
  <c r="L50" i="8"/>
  <c r="K50" i="8"/>
  <c r="H50" i="8"/>
  <c r="M49" i="8"/>
  <c r="L49" i="8"/>
  <c r="K49" i="8"/>
  <c r="H49" i="8"/>
  <c r="M48" i="8"/>
  <c r="L48" i="8"/>
  <c r="K48" i="8"/>
  <c r="H48" i="8"/>
  <c r="M47" i="8"/>
  <c r="L47" i="8"/>
  <c r="K47" i="8"/>
  <c r="H47" i="8"/>
  <c r="M46" i="8"/>
  <c r="L46" i="8"/>
  <c r="K46" i="8"/>
  <c r="H46" i="8"/>
  <c r="M45" i="8"/>
  <c r="L45" i="8"/>
  <c r="K45" i="8"/>
  <c r="H45" i="8"/>
  <c r="M44" i="8"/>
  <c r="L44" i="8"/>
  <c r="K44" i="8"/>
  <c r="H44" i="8"/>
  <c r="M43" i="8"/>
  <c r="L43" i="8"/>
  <c r="K43" i="8"/>
  <c r="H43" i="8"/>
  <c r="M42" i="8"/>
  <c r="L42" i="8"/>
  <c r="K42" i="8"/>
  <c r="H42" i="8"/>
  <c r="M41" i="8"/>
  <c r="L41" i="8"/>
  <c r="K41" i="8"/>
  <c r="H41" i="8"/>
  <c r="M40" i="8"/>
  <c r="L40" i="8"/>
  <c r="K40" i="8"/>
  <c r="H40" i="8"/>
  <c r="M39" i="8"/>
  <c r="L39" i="8"/>
  <c r="K39" i="8"/>
  <c r="H39" i="8"/>
  <c r="M38" i="8"/>
  <c r="L38" i="8"/>
  <c r="K38" i="8"/>
  <c r="H38" i="8"/>
  <c r="M37" i="8"/>
  <c r="L37" i="8"/>
  <c r="K37" i="8"/>
  <c r="H37" i="8"/>
  <c r="M36" i="8"/>
  <c r="L36" i="8"/>
  <c r="K36" i="8"/>
  <c r="H36" i="8"/>
  <c r="M35" i="8"/>
  <c r="L35" i="8"/>
  <c r="K35" i="8"/>
  <c r="H35" i="8"/>
  <c r="M34" i="8"/>
  <c r="L34" i="8"/>
  <c r="K34" i="8"/>
  <c r="H34" i="8"/>
  <c r="M33" i="8"/>
  <c r="L33" i="8"/>
  <c r="K33" i="8"/>
  <c r="H33" i="8"/>
  <c r="M32" i="8"/>
  <c r="L32" i="8"/>
  <c r="K32" i="8"/>
  <c r="H32" i="8"/>
  <c r="M31" i="8"/>
  <c r="L31" i="8"/>
  <c r="K31" i="8"/>
  <c r="H31" i="8"/>
  <c r="M30" i="8"/>
  <c r="L30" i="8"/>
  <c r="K30" i="8"/>
  <c r="H30" i="8"/>
  <c r="M29" i="8"/>
  <c r="L29" i="8"/>
  <c r="K29" i="8"/>
  <c r="H29" i="8"/>
  <c r="M28" i="8"/>
  <c r="L28" i="8"/>
  <c r="K28" i="8"/>
  <c r="H28" i="8"/>
  <c r="M27" i="8"/>
  <c r="L27" i="8"/>
  <c r="K27" i="8"/>
  <c r="H27" i="8"/>
  <c r="M26" i="8"/>
  <c r="L26" i="8"/>
  <c r="K26" i="8"/>
  <c r="H26" i="8"/>
  <c r="M25" i="8"/>
  <c r="L25" i="8"/>
  <c r="K25" i="8"/>
  <c r="H25" i="8"/>
  <c r="M24" i="8"/>
  <c r="L24" i="8"/>
  <c r="K24" i="8"/>
  <c r="H24" i="8"/>
  <c r="M23" i="8"/>
  <c r="L23" i="8"/>
  <c r="K23" i="8"/>
  <c r="H23" i="8"/>
  <c r="M22" i="8"/>
  <c r="L22" i="8"/>
  <c r="K22" i="8"/>
  <c r="H22" i="8"/>
  <c r="M21" i="8"/>
  <c r="L21" i="8"/>
  <c r="K21" i="8"/>
  <c r="H21" i="8"/>
  <c r="M20" i="8"/>
  <c r="L20" i="8"/>
  <c r="K20" i="8"/>
  <c r="H20" i="8"/>
  <c r="M19" i="8"/>
  <c r="L19" i="8"/>
  <c r="K19" i="8"/>
  <c r="H19" i="8"/>
  <c r="M18" i="8"/>
  <c r="L18" i="8"/>
  <c r="K18" i="8"/>
  <c r="H18" i="8"/>
  <c r="M17" i="8"/>
  <c r="L17" i="8"/>
  <c r="K17" i="8"/>
  <c r="H17" i="8"/>
  <c r="M16" i="8"/>
  <c r="L16" i="8"/>
  <c r="K16" i="8"/>
  <c r="H16" i="8"/>
  <c r="M15" i="8"/>
  <c r="L15" i="8"/>
  <c r="K15" i="8"/>
  <c r="H15" i="8"/>
  <c r="M14" i="8"/>
  <c r="L14" i="8"/>
  <c r="K14" i="8"/>
  <c r="H14" i="8"/>
  <c r="M13" i="8"/>
  <c r="L13" i="8"/>
  <c r="K13" i="8"/>
  <c r="M12" i="8"/>
  <c r="L12" i="8"/>
  <c r="K12" i="8"/>
  <c r="M11" i="8"/>
  <c r="L11" i="8"/>
  <c r="K11" i="8"/>
  <c r="M10" i="8"/>
  <c r="L10" i="8"/>
  <c r="K10" i="8"/>
  <c r="M9" i="8"/>
  <c r="L9" i="8"/>
  <c r="K9" i="8"/>
  <c r="M8" i="8"/>
  <c r="L8" i="8"/>
  <c r="K8" i="8"/>
  <c r="M7" i="8"/>
  <c r="L7" i="8"/>
  <c r="K7" i="8"/>
  <c r="M6" i="8"/>
  <c r="L6" i="8"/>
  <c r="K6" i="8"/>
  <c r="M5" i="8"/>
  <c r="L5" i="8"/>
  <c r="K5" i="8"/>
  <c r="M4" i="8"/>
  <c r="L4" i="8"/>
  <c r="K4" i="8"/>
  <c r="M3" i="8"/>
  <c r="L3" i="8"/>
  <c r="K3" i="8"/>
  <c r="M2" i="8"/>
  <c r="L2" i="8"/>
  <c r="K2" i="8"/>
  <c r="M75" i="7"/>
  <c r="L75" i="7"/>
  <c r="K75" i="7"/>
  <c r="H75" i="7"/>
  <c r="M74" i="7"/>
  <c r="L74" i="7"/>
  <c r="K74" i="7"/>
  <c r="H74" i="7"/>
  <c r="M73" i="7"/>
  <c r="L73" i="7"/>
  <c r="K73" i="7"/>
  <c r="H73" i="7"/>
  <c r="M72" i="7"/>
  <c r="L72" i="7"/>
  <c r="K72" i="7"/>
  <c r="H72" i="7"/>
  <c r="M71" i="7"/>
  <c r="L71" i="7"/>
  <c r="K71" i="7"/>
  <c r="H71" i="7"/>
  <c r="M70" i="7"/>
  <c r="L70" i="7"/>
  <c r="K70" i="7"/>
  <c r="H70" i="7"/>
  <c r="M69" i="7"/>
  <c r="L69" i="7"/>
  <c r="K69" i="7"/>
  <c r="H69" i="7"/>
  <c r="M68" i="7"/>
  <c r="L68" i="7"/>
  <c r="K68" i="7"/>
  <c r="H68" i="7"/>
  <c r="M67" i="7"/>
  <c r="L67" i="7"/>
  <c r="K67" i="7"/>
  <c r="H67" i="7"/>
  <c r="M66" i="7"/>
  <c r="L66" i="7"/>
  <c r="K66" i="7"/>
  <c r="H66" i="7"/>
  <c r="M65" i="7"/>
  <c r="L65" i="7"/>
  <c r="K65" i="7"/>
  <c r="H65" i="7"/>
  <c r="M64" i="7"/>
  <c r="L64" i="7"/>
  <c r="K64" i="7"/>
  <c r="H64" i="7"/>
  <c r="M63" i="7"/>
  <c r="L63" i="7"/>
  <c r="K63" i="7"/>
  <c r="H63" i="7"/>
  <c r="M62" i="7"/>
  <c r="L62" i="7"/>
  <c r="K62" i="7"/>
  <c r="H62" i="7"/>
  <c r="M61" i="7"/>
  <c r="L61" i="7"/>
  <c r="K61" i="7"/>
  <c r="H61" i="7"/>
  <c r="M60" i="7"/>
  <c r="L60" i="7"/>
  <c r="K60" i="7"/>
  <c r="H60" i="7"/>
  <c r="M59" i="7"/>
  <c r="L59" i="7"/>
  <c r="K59" i="7"/>
  <c r="H59" i="7"/>
  <c r="M58" i="7"/>
  <c r="L58" i="7"/>
  <c r="K58" i="7"/>
  <c r="H58" i="7"/>
  <c r="M57" i="7"/>
  <c r="L57" i="7"/>
  <c r="K57" i="7"/>
  <c r="H57" i="7"/>
  <c r="M56" i="7"/>
  <c r="L56" i="7"/>
  <c r="K56" i="7"/>
  <c r="H56" i="7"/>
  <c r="M55" i="7"/>
  <c r="L55" i="7"/>
  <c r="K55" i="7"/>
  <c r="H55" i="7"/>
  <c r="M54" i="7"/>
  <c r="L54" i="7"/>
  <c r="K54" i="7"/>
  <c r="H54" i="7"/>
  <c r="M53" i="7"/>
  <c r="L53" i="7"/>
  <c r="K53" i="7"/>
  <c r="H53" i="7"/>
  <c r="M52" i="7"/>
  <c r="L52" i="7"/>
  <c r="K52" i="7"/>
  <c r="H52" i="7"/>
  <c r="M51" i="7"/>
  <c r="L51" i="7"/>
  <c r="K51" i="7"/>
  <c r="H51" i="7"/>
  <c r="M50" i="7"/>
  <c r="L50" i="7"/>
  <c r="K50" i="7"/>
  <c r="H50" i="7"/>
  <c r="M49" i="7"/>
  <c r="L49" i="7"/>
  <c r="K49" i="7"/>
  <c r="H49" i="7"/>
  <c r="M48" i="7"/>
  <c r="L48" i="7"/>
  <c r="K48" i="7"/>
  <c r="H48" i="7"/>
  <c r="M47" i="7"/>
  <c r="L47" i="7"/>
  <c r="K47" i="7"/>
  <c r="H47" i="7"/>
  <c r="M46" i="7"/>
  <c r="L46" i="7"/>
  <c r="K46" i="7"/>
  <c r="H46" i="7"/>
  <c r="M45" i="7"/>
  <c r="L45" i="7"/>
  <c r="K45" i="7"/>
  <c r="H45" i="7"/>
  <c r="M44" i="7"/>
  <c r="L44" i="7"/>
  <c r="K44" i="7"/>
  <c r="H44" i="7"/>
  <c r="M43" i="7"/>
  <c r="L43" i="7"/>
  <c r="K43" i="7"/>
  <c r="H43" i="7"/>
  <c r="M42" i="7"/>
  <c r="L42" i="7"/>
  <c r="K42" i="7"/>
  <c r="H42" i="7"/>
  <c r="M41" i="7"/>
  <c r="L41" i="7"/>
  <c r="K41" i="7"/>
  <c r="H41" i="7"/>
  <c r="M40" i="7"/>
  <c r="L40" i="7"/>
  <c r="K40" i="7"/>
  <c r="H40" i="7"/>
  <c r="M39" i="7"/>
  <c r="L39" i="7"/>
  <c r="K39" i="7"/>
  <c r="H39" i="7"/>
  <c r="M38" i="7"/>
  <c r="L38" i="7"/>
  <c r="K38" i="7"/>
  <c r="H38" i="7"/>
  <c r="M37" i="7"/>
  <c r="L37" i="7"/>
  <c r="K37" i="7"/>
  <c r="H37" i="7"/>
  <c r="M36" i="7"/>
  <c r="L36" i="7"/>
  <c r="K36" i="7"/>
  <c r="H36" i="7"/>
  <c r="M35" i="7"/>
  <c r="L35" i="7"/>
  <c r="K35" i="7"/>
  <c r="H35" i="7"/>
  <c r="M34" i="7"/>
  <c r="L34" i="7"/>
  <c r="K34" i="7"/>
  <c r="H34" i="7"/>
  <c r="M33" i="7"/>
  <c r="L33" i="7"/>
  <c r="K33" i="7"/>
  <c r="H33" i="7"/>
  <c r="M32" i="7"/>
  <c r="L32" i="7"/>
  <c r="K32" i="7"/>
  <c r="H32" i="7"/>
  <c r="M31" i="7"/>
  <c r="L31" i="7"/>
  <c r="K31" i="7"/>
  <c r="H31" i="7"/>
  <c r="M30" i="7"/>
  <c r="L30" i="7"/>
  <c r="K30" i="7"/>
  <c r="H30" i="7"/>
  <c r="M29" i="7"/>
  <c r="L29" i="7"/>
  <c r="K29" i="7"/>
  <c r="H29" i="7"/>
  <c r="M28" i="7"/>
  <c r="L28" i="7"/>
  <c r="K28" i="7"/>
  <c r="H28" i="7"/>
  <c r="M27" i="7"/>
  <c r="L27" i="7"/>
  <c r="K27" i="7"/>
  <c r="H27" i="7"/>
  <c r="M26" i="7"/>
  <c r="L26" i="7"/>
  <c r="K26" i="7"/>
  <c r="H26" i="7"/>
  <c r="M25" i="7"/>
  <c r="L25" i="7"/>
  <c r="K25" i="7"/>
  <c r="H25" i="7"/>
  <c r="M24" i="7"/>
  <c r="L24" i="7"/>
  <c r="K24" i="7"/>
  <c r="H24" i="7"/>
  <c r="M23" i="7"/>
  <c r="L23" i="7"/>
  <c r="K23" i="7"/>
  <c r="H23" i="7"/>
  <c r="M22" i="7"/>
  <c r="L22" i="7"/>
  <c r="K22" i="7"/>
  <c r="H22" i="7"/>
  <c r="M21" i="7"/>
  <c r="L21" i="7"/>
  <c r="K21" i="7"/>
  <c r="H21" i="7"/>
  <c r="M20" i="7"/>
  <c r="L20" i="7"/>
  <c r="K20" i="7"/>
  <c r="H20" i="7"/>
  <c r="M19" i="7"/>
  <c r="L19" i="7"/>
  <c r="K19" i="7"/>
  <c r="H19" i="7"/>
  <c r="M18" i="7"/>
  <c r="L18" i="7"/>
  <c r="K18" i="7"/>
  <c r="H18" i="7"/>
  <c r="M17" i="7"/>
  <c r="L17" i="7"/>
  <c r="K17" i="7"/>
  <c r="H17" i="7"/>
  <c r="M16" i="7"/>
  <c r="L16" i="7"/>
  <c r="K16" i="7"/>
  <c r="H16" i="7"/>
  <c r="M15" i="7"/>
  <c r="L15" i="7"/>
  <c r="K15" i="7"/>
  <c r="H15" i="7"/>
  <c r="M14" i="7"/>
  <c r="L14" i="7"/>
  <c r="K14" i="7"/>
  <c r="H14" i="7"/>
  <c r="M13" i="7"/>
  <c r="L13" i="7"/>
  <c r="K13" i="7"/>
  <c r="M12" i="7"/>
  <c r="L12" i="7"/>
  <c r="K12" i="7"/>
  <c r="M11" i="7"/>
  <c r="L11" i="7"/>
  <c r="K11" i="7"/>
  <c r="M10" i="7"/>
  <c r="L10" i="7"/>
  <c r="K10" i="7"/>
  <c r="M9" i="7"/>
  <c r="L9" i="7"/>
  <c r="K9" i="7"/>
  <c r="M8" i="7"/>
  <c r="L8" i="7"/>
  <c r="K8" i="7"/>
  <c r="M7" i="7"/>
  <c r="L7" i="7"/>
  <c r="K7" i="7"/>
  <c r="M6" i="7"/>
  <c r="L6" i="7"/>
  <c r="K6" i="7"/>
  <c r="M5" i="7"/>
  <c r="L5" i="7"/>
  <c r="K5" i="7"/>
  <c r="M4" i="7"/>
  <c r="L4" i="7"/>
  <c r="K4" i="7"/>
  <c r="M3" i="7"/>
  <c r="L3" i="7"/>
  <c r="K3" i="7"/>
  <c r="M2" i="7"/>
  <c r="L2" i="7"/>
  <c r="K2" i="7"/>
  <c r="M75" i="6"/>
  <c r="L75" i="6"/>
  <c r="K75" i="6"/>
  <c r="H75" i="6"/>
  <c r="M74" i="6"/>
  <c r="L74" i="6"/>
  <c r="K74" i="6"/>
  <c r="H74" i="6"/>
  <c r="M73" i="6"/>
  <c r="L73" i="6"/>
  <c r="K73" i="6"/>
  <c r="H73" i="6"/>
  <c r="M72" i="6"/>
  <c r="L72" i="6"/>
  <c r="K72" i="6"/>
  <c r="H72" i="6"/>
  <c r="M71" i="6"/>
  <c r="L71" i="6"/>
  <c r="K71" i="6"/>
  <c r="H71" i="6"/>
  <c r="M70" i="6"/>
  <c r="L70" i="6"/>
  <c r="K70" i="6"/>
  <c r="H70" i="6"/>
  <c r="M69" i="6"/>
  <c r="L69" i="6"/>
  <c r="K69" i="6"/>
  <c r="H69" i="6"/>
  <c r="M68" i="6"/>
  <c r="L68" i="6"/>
  <c r="K68" i="6"/>
  <c r="H68" i="6"/>
  <c r="M67" i="6"/>
  <c r="L67" i="6"/>
  <c r="K67" i="6"/>
  <c r="H67" i="6"/>
  <c r="M66" i="6"/>
  <c r="L66" i="6"/>
  <c r="K66" i="6"/>
  <c r="H66" i="6"/>
  <c r="M65" i="6"/>
  <c r="L65" i="6"/>
  <c r="K65" i="6"/>
  <c r="H65" i="6"/>
  <c r="M64" i="6"/>
  <c r="L64" i="6"/>
  <c r="K64" i="6"/>
  <c r="H64" i="6"/>
  <c r="M63" i="6"/>
  <c r="L63" i="6"/>
  <c r="K63" i="6"/>
  <c r="H63" i="6"/>
  <c r="M62" i="6"/>
  <c r="L62" i="6"/>
  <c r="K62" i="6"/>
  <c r="H62" i="6"/>
  <c r="M61" i="6"/>
  <c r="L61" i="6"/>
  <c r="K61" i="6"/>
  <c r="H61" i="6"/>
  <c r="M60" i="6"/>
  <c r="L60" i="6"/>
  <c r="K60" i="6"/>
  <c r="H60" i="6"/>
  <c r="M59" i="6"/>
  <c r="L59" i="6"/>
  <c r="K59" i="6"/>
  <c r="H59" i="6"/>
  <c r="M58" i="6"/>
  <c r="L58" i="6"/>
  <c r="K58" i="6"/>
  <c r="H58" i="6"/>
  <c r="M57" i="6"/>
  <c r="L57" i="6"/>
  <c r="K57" i="6"/>
  <c r="H57" i="6"/>
  <c r="M56" i="6"/>
  <c r="L56" i="6"/>
  <c r="K56" i="6"/>
  <c r="H56" i="6"/>
  <c r="M55" i="6"/>
  <c r="L55" i="6"/>
  <c r="K55" i="6"/>
  <c r="H55" i="6"/>
  <c r="M54" i="6"/>
  <c r="L54" i="6"/>
  <c r="K54" i="6"/>
  <c r="H54" i="6"/>
  <c r="M53" i="6"/>
  <c r="L53" i="6"/>
  <c r="K53" i="6"/>
  <c r="H53" i="6"/>
  <c r="M52" i="6"/>
  <c r="L52" i="6"/>
  <c r="K52" i="6"/>
  <c r="H52" i="6"/>
  <c r="M51" i="6"/>
  <c r="L51" i="6"/>
  <c r="K51" i="6"/>
  <c r="H51" i="6"/>
  <c r="M50" i="6"/>
  <c r="L50" i="6"/>
  <c r="K50" i="6"/>
  <c r="H50" i="6"/>
  <c r="M49" i="6"/>
  <c r="L49" i="6"/>
  <c r="K49" i="6"/>
  <c r="H49" i="6"/>
  <c r="M48" i="6"/>
  <c r="L48" i="6"/>
  <c r="K48" i="6"/>
  <c r="H48" i="6"/>
  <c r="M47" i="6"/>
  <c r="L47" i="6"/>
  <c r="K47" i="6"/>
  <c r="H47" i="6"/>
  <c r="M46" i="6"/>
  <c r="L46" i="6"/>
  <c r="K46" i="6"/>
  <c r="H46" i="6"/>
  <c r="M45" i="6"/>
  <c r="L45" i="6"/>
  <c r="K45" i="6"/>
  <c r="H45" i="6"/>
  <c r="M44" i="6"/>
  <c r="L44" i="6"/>
  <c r="K44" i="6"/>
  <c r="H44" i="6"/>
  <c r="M43" i="6"/>
  <c r="L43" i="6"/>
  <c r="K43" i="6"/>
  <c r="H43" i="6"/>
  <c r="M42" i="6"/>
  <c r="L42" i="6"/>
  <c r="K42" i="6"/>
  <c r="H42" i="6"/>
  <c r="M41" i="6"/>
  <c r="L41" i="6"/>
  <c r="K41" i="6"/>
  <c r="H41" i="6"/>
  <c r="M40" i="6"/>
  <c r="L40" i="6"/>
  <c r="K40" i="6"/>
  <c r="H40" i="6"/>
  <c r="M39" i="6"/>
  <c r="L39" i="6"/>
  <c r="K39" i="6"/>
  <c r="H39" i="6"/>
  <c r="M38" i="6"/>
  <c r="L38" i="6"/>
  <c r="K38" i="6"/>
  <c r="H38" i="6"/>
  <c r="M37" i="6"/>
  <c r="L37" i="6"/>
  <c r="K37" i="6"/>
  <c r="H37" i="6"/>
  <c r="M36" i="6"/>
  <c r="L36" i="6"/>
  <c r="K36" i="6"/>
  <c r="H36" i="6"/>
  <c r="M35" i="6"/>
  <c r="L35" i="6"/>
  <c r="K35" i="6"/>
  <c r="H35" i="6"/>
  <c r="M34" i="6"/>
  <c r="L34" i="6"/>
  <c r="K34" i="6"/>
  <c r="H34" i="6"/>
  <c r="M33" i="6"/>
  <c r="L33" i="6"/>
  <c r="K33" i="6"/>
  <c r="H33" i="6"/>
  <c r="M32" i="6"/>
  <c r="L32" i="6"/>
  <c r="K32" i="6"/>
  <c r="H32" i="6"/>
  <c r="M31" i="6"/>
  <c r="L31" i="6"/>
  <c r="K31" i="6"/>
  <c r="H31" i="6"/>
  <c r="M30" i="6"/>
  <c r="L30" i="6"/>
  <c r="K30" i="6"/>
  <c r="H30" i="6"/>
  <c r="M29" i="6"/>
  <c r="L29" i="6"/>
  <c r="K29" i="6"/>
  <c r="H29" i="6"/>
  <c r="M28" i="6"/>
  <c r="L28" i="6"/>
  <c r="K28" i="6"/>
  <c r="H28" i="6"/>
  <c r="M27" i="6"/>
  <c r="L27" i="6"/>
  <c r="K27" i="6"/>
  <c r="H27" i="6"/>
  <c r="M26" i="6"/>
  <c r="L26" i="6"/>
  <c r="K26" i="6"/>
  <c r="H26" i="6"/>
  <c r="M25" i="6"/>
  <c r="L25" i="6"/>
  <c r="K25" i="6"/>
  <c r="H25" i="6"/>
  <c r="M24" i="6"/>
  <c r="L24" i="6"/>
  <c r="K24" i="6"/>
  <c r="H24" i="6"/>
  <c r="M23" i="6"/>
  <c r="L23" i="6"/>
  <c r="K23" i="6"/>
  <c r="H23" i="6"/>
  <c r="M22" i="6"/>
  <c r="L22" i="6"/>
  <c r="K22" i="6"/>
  <c r="H22" i="6"/>
  <c r="M21" i="6"/>
  <c r="L21" i="6"/>
  <c r="K21" i="6"/>
  <c r="H21" i="6"/>
  <c r="M20" i="6"/>
  <c r="L20" i="6"/>
  <c r="K20" i="6"/>
  <c r="H20" i="6"/>
  <c r="M19" i="6"/>
  <c r="L19" i="6"/>
  <c r="K19" i="6"/>
  <c r="H19" i="6"/>
  <c r="M18" i="6"/>
  <c r="L18" i="6"/>
  <c r="K18" i="6"/>
  <c r="H18" i="6"/>
  <c r="M17" i="6"/>
  <c r="L17" i="6"/>
  <c r="K17" i="6"/>
  <c r="H17" i="6"/>
  <c r="M16" i="6"/>
  <c r="L16" i="6"/>
  <c r="K16" i="6"/>
  <c r="H16" i="6"/>
  <c r="M15" i="6"/>
  <c r="L15" i="6"/>
  <c r="K15" i="6"/>
  <c r="H15" i="6"/>
  <c r="M14" i="6"/>
  <c r="L14" i="6"/>
  <c r="K14" i="6"/>
  <c r="H14" i="6"/>
  <c r="M13" i="6"/>
  <c r="L13" i="6"/>
  <c r="K13" i="6"/>
  <c r="M12" i="6"/>
  <c r="L12" i="6"/>
  <c r="K12" i="6"/>
  <c r="M11" i="6"/>
  <c r="L11" i="6"/>
  <c r="K11" i="6"/>
  <c r="M10" i="6"/>
  <c r="L10" i="6"/>
  <c r="K10" i="6"/>
  <c r="M9" i="6"/>
  <c r="L9" i="6"/>
  <c r="K9" i="6"/>
  <c r="M8" i="6"/>
  <c r="L8" i="6"/>
  <c r="K8" i="6"/>
  <c r="M7" i="6"/>
  <c r="L7" i="6"/>
  <c r="K7" i="6"/>
  <c r="M6" i="6"/>
  <c r="L6" i="6"/>
  <c r="K6" i="6"/>
  <c r="M5" i="6"/>
  <c r="L5" i="6"/>
  <c r="K5" i="6"/>
  <c r="M4" i="6"/>
  <c r="L4" i="6"/>
  <c r="K4" i="6"/>
  <c r="M3" i="6"/>
  <c r="L3" i="6"/>
  <c r="K3" i="6"/>
  <c r="M2" i="6"/>
  <c r="L2" i="6"/>
  <c r="K2" i="6"/>
  <c r="M75" i="5"/>
  <c r="L75" i="5"/>
  <c r="K75" i="5"/>
  <c r="H75" i="5"/>
  <c r="M74" i="5"/>
  <c r="L74" i="5"/>
  <c r="K74" i="5"/>
  <c r="H74" i="5"/>
  <c r="M73" i="5"/>
  <c r="L73" i="5"/>
  <c r="K73" i="5"/>
  <c r="H73" i="5"/>
  <c r="M72" i="5"/>
  <c r="L72" i="5"/>
  <c r="K72" i="5"/>
  <c r="H72" i="5"/>
  <c r="M71" i="5"/>
  <c r="L71" i="5"/>
  <c r="K71" i="5"/>
  <c r="H71" i="5"/>
  <c r="M70" i="5"/>
  <c r="L70" i="5"/>
  <c r="K70" i="5"/>
  <c r="H70" i="5"/>
  <c r="M69" i="5"/>
  <c r="L69" i="5"/>
  <c r="K69" i="5"/>
  <c r="H69" i="5"/>
  <c r="M68" i="5"/>
  <c r="L68" i="5"/>
  <c r="K68" i="5"/>
  <c r="H68" i="5"/>
  <c r="M67" i="5"/>
  <c r="L67" i="5"/>
  <c r="K67" i="5"/>
  <c r="H67" i="5"/>
  <c r="M66" i="5"/>
  <c r="L66" i="5"/>
  <c r="K66" i="5"/>
  <c r="H66" i="5"/>
  <c r="M65" i="5"/>
  <c r="L65" i="5"/>
  <c r="K65" i="5"/>
  <c r="H65" i="5"/>
  <c r="M64" i="5"/>
  <c r="L64" i="5"/>
  <c r="K64" i="5"/>
  <c r="H64" i="5"/>
  <c r="M63" i="5"/>
  <c r="L63" i="5"/>
  <c r="K63" i="5"/>
  <c r="H63" i="5"/>
  <c r="M62" i="5"/>
  <c r="L62" i="5"/>
  <c r="K62" i="5"/>
  <c r="H62" i="5"/>
  <c r="M61" i="5"/>
  <c r="L61" i="5"/>
  <c r="K61" i="5"/>
  <c r="H61" i="5"/>
  <c r="M60" i="5"/>
  <c r="L60" i="5"/>
  <c r="K60" i="5"/>
  <c r="H60" i="5"/>
  <c r="M59" i="5"/>
  <c r="L59" i="5"/>
  <c r="K59" i="5"/>
  <c r="H59" i="5"/>
  <c r="M58" i="5"/>
  <c r="L58" i="5"/>
  <c r="K58" i="5"/>
  <c r="H58" i="5"/>
  <c r="M57" i="5"/>
  <c r="L57" i="5"/>
  <c r="K57" i="5"/>
  <c r="H57" i="5"/>
  <c r="M56" i="5"/>
  <c r="L56" i="5"/>
  <c r="K56" i="5"/>
  <c r="H56" i="5"/>
  <c r="M55" i="5"/>
  <c r="L55" i="5"/>
  <c r="K55" i="5"/>
  <c r="H55" i="5"/>
  <c r="M54" i="5"/>
  <c r="L54" i="5"/>
  <c r="K54" i="5"/>
  <c r="H54" i="5"/>
  <c r="M53" i="5"/>
  <c r="L53" i="5"/>
  <c r="K53" i="5"/>
  <c r="H53" i="5"/>
  <c r="M52" i="5"/>
  <c r="L52" i="5"/>
  <c r="K52" i="5"/>
  <c r="H52" i="5"/>
  <c r="M51" i="5"/>
  <c r="L51" i="5"/>
  <c r="K51" i="5"/>
  <c r="H51" i="5"/>
  <c r="M50" i="5"/>
  <c r="L50" i="5"/>
  <c r="K50" i="5"/>
  <c r="H50" i="5"/>
  <c r="M49" i="5"/>
  <c r="L49" i="5"/>
  <c r="K49" i="5"/>
  <c r="H49" i="5"/>
  <c r="M48" i="5"/>
  <c r="L48" i="5"/>
  <c r="K48" i="5"/>
  <c r="H48" i="5"/>
  <c r="M47" i="5"/>
  <c r="L47" i="5"/>
  <c r="K47" i="5"/>
  <c r="H47" i="5"/>
  <c r="M46" i="5"/>
  <c r="L46" i="5"/>
  <c r="K46" i="5"/>
  <c r="H46" i="5"/>
  <c r="M45" i="5"/>
  <c r="L45" i="5"/>
  <c r="K45" i="5"/>
  <c r="H45" i="5"/>
  <c r="M44" i="5"/>
  <c r="L44" i="5"/>
  <c r="K44" i="5"/>
  <c r="H44" i="5"/>
  <c r="M43" i="5"/>
  <c r="L43" i="5"/>
  <c r="K43" i="5"/>
  <c r="H43" i="5"/>
  <c r="M42" i="5"/>
  <c r="L42" i="5"/>
  <c r="K42" i="5"/>
  <c r="H42" i="5"/>
  <c r="M41" i="5"/>
  <c r="L41" i="5"/>
  <c r="K41" i="5"/>
  <c r="H41" i="5"/>
  <c r="M40" i="5"/>
  <c r="L40" i="5"/>
  <c r="K40" i="5"/>
  <c r="H40" i="5"/>
  <c r="M39" i="5"/>
  <c r="L39" i="5"/>
  <c r="K39" i="5"/>
  <c r="H39" i="5"/>
  <c r="M38" i="5"/>
  <c r="L38" i="5"/>
  <c r="K38" i="5"/>
  <c r="H38" i="5"/>
  <c r="M37" i="5"/>
  <c r="L37" i="5"/>
  <c r="K37" i="5"/>
  <c r="H37" i="5"/>
  <c r="M36" i="5"/>
  <c r="L36" i="5"/>
  <c r="K36" i="5"/>
  <c r="H36" i="5"/>
  <c r="M35" i="5"/>
  <c r="L35" i="5"/>
  <c r="K35" i="5"/>
  <c r="H35" i="5"/>
  <c r="M34" i="5"/>
  <c r="L34" i="5"/>
  <c r="K34" i="5"/>
  <c r="H34" i="5"/>
  <c r="M33" i="5"/>
  <c r="L33" i="5"/>
  <c r="K33" i="5"/>
  <c r="H33" i="5"/>
  <c r="M32" i="5"/>
  <c r="L32" i="5"/>
  <c r="K32" i="5"/>
  <c r="H32" i="5"/>
  <c r="M31" i="5"/>
  <c r="L31" i="5"/>
  <c r="K31" i="5"/>
  <c r="H31" i="5"/>
  <c r="M30" i="5"/>
  <c r="L30" i="5"/>
  <c r="K30" i="5"/>
  <c r="H30" i="5"/>
  <c r="M29" i="5"/>
  <c r="L29" i="5"/>
  <c r="K29" i="5"/>
  <c r="H29" i="5"/>
  <c r="M28" i="5"/>
  <c r="L28" i="5"/>
  <c r="K28" i="5"/>
  <c r="H28" i="5"/>
  <c r="M27" i="5"/>
  <c r="L27" i="5"/>
  <c r="K27" i="5"/>
  <c r="H27" i="5"/>
  <c r="M26" i="5"/>
  <c r="L26" i="5"/>
  <c r="K26" i="5"/>
  <c r="H26" i="5"/>
  <c r="M25" i="5"/>
  <c r="L25" i="5"/>
  <c r="K25" i="5"/>
  <c r="H25" i="5"/>
  <c r="M24" i="5"/>
  <c r="L24" i="5"/>
  <c r="K24" i="5"/>
  <c r="H24" i="5"/>
  <c r="M23" i="5"/>
  <c r="L23" i="5"/>
  <c r="K23" i="5"/>
  <c r="H23" i="5"/>
  <c r="M22" i="5"/>
  <c r="L22" i="5"/>
  <c r="K22" i="5"/>
  <c r="H22" i="5"/>
  <c r="M21" i="5"/>
  <c r="L21" i="5"/>
  <c r="K21" i="5"/>
  <c r="H21" i="5"/>
  <c r="M20" i="5"/>
  <c r="L20" i="5"/>
  <c r="K20" i="5"/>
  <c r="H20" i="5"/>
  <c r="M19" i="5"/>
  <c r="L19" i="5"/>
  <c r="K19" i="5"/>
  <c r="H19" i="5"/>
  <c r="M18" i="5"/>
  <c r="L18" i="5"/>
  <c r="K18" i="5"/>
  <c r="H18" i="5"/>
  <c r="M17" i="5"/>
  <c r="L17" i="5"/>
  <c r="K17" i="5"/>
  <c r="H17" i="5"/>
  <c r="M16" i="5"/>
  <c r="L16" i="5"/>
  <c r="K16" i="5"/>
  <c r="H16" i="5"/>
  <c r="M15" i="5"/>
  <c r="L15" i="5"/>
  <c r="K15" i="5"/>
  <c r="H15" i="5"/>
  <c r="M14" i="5"/>
  <c r="L14" i="5"/>
  <c r="K14" i="5"/>
  <c r="H14" i="5"/>
  <c r="M13" i="5"/>
  <c r="L13" i="5"/>
  <c r="K13" i="5"/>
  <c r="M12" i="5"/>
  <c r="L12" i="5"/>
  <c r="K12" i="5"/>
  <c r="M11" i="5"/>
  <c r="L11" i="5"/>
  <c r="K11" i="5"/>
  <c r="M10" i="5"/>
  <c r="L10" i="5"/>
  <c r="K10" i="5"/>
  <c r="M9" i="5"/>
  <c r="L9" i="5"/>
  <c r="K9" i="5"/>
  <c r="M8" i="5"/>
  <c r="L8" i="5"/>
  <c r="K8" i="5"/>
  <c r="M7" i="5"/>
  <c r="L7" i="5"/>
  <c r="K7" i="5"/>
  <c r="M6" i="5"/>
  <c r="L6" i="5"/>
  <c r="K6" i="5"/>
  <c r="M5" i="5"/>
  <c r="L5" i="5"/>
  <c r="K5" i="5"/>
  <c r="M4" i="5"/>
  <c r="L4" i="5"/>
  <c r="K4" i="5"/>
  <c r="M3" i="5"/>
  <c r="L3" i="5"/>
  <c r="K3" i="5"/>
  <c r="M2" i="5"/>
  <c r="L2" i="5"/>
  <c r="K2" i="5"/>
  <c r="M75" i="4"/>
  <c r="L75" i="4"/>
  <c r="K75" i="4"/>
  <c r="H75" i="4"/>
  <c r="M74" i="4"/>
  <c r="L74" i="4"/>
  <c r="K74" i="4"/>
  <c r="H74" i="4"/>
  <c r="M73" i="4"/>
  <c r="L73" i="4"/>
  <c r="K73" i="4"/>
  <c r="H73" i="4"/>
  <c r="M72" i="4"/>
  <c r="L72" i="4"/>
  <c r="K72" i="4"/>
  <c r="H72" i="4"/>
  <c r="M71" i="4"/>
  <c r="L71" i="4"/>
  <c r="K71" i="4"/>
  <c r="H71" i="4"/>
  <c r="M70" i="4"/>
  <c r="L70" i="4"/>
  <c r="K70" i="4"/>
  <c r="H70" i="4"/>
  <c r="M69" i="4"/>
  <c r="L69" i="4"/>
  <c r="K69" i="4"/>
  <c r="H69" i="4"/>
  <c r="M68" i="4"/>
  <c r="L68" i="4"/>
  <c r="K68" i="4"/>
  <c r="H68" i="4"/>
  <c r="M67" i="4"/>
  <c r="L67" i="4"/>
  <c r="K67" i="4"/>
  <c r="H67" i="4"/>
  <c r="M66" i="4"/>
  <c r="L66" i="4"/>
  <c r="K66" i="4"/>
  <c r="H66" i="4"/>
  <c r="M65" i="4"/>
  <c r="L65" i="4"/>
  <c r="K65" i="4"/>
  <c r="H65" i="4"/>
  <c r="M64" i="4"/>
  <c r="L64" i="4"/>
  <c r="K64" i="4"/>
  <c r="H64" i="4"/>
  <c r="M63" i="4"/>
  <c r="L63" i="4"/>
  <c r="K63" i="4"/>
  <c r="H63" i="4"/>
  <c r="M62" i="4"/>
  <c r="L62" i="4"/>
  <c r="K62" i="4"/>
  <c r="H62" i="4"/>
  <c r="M61" i="4"/>
  <c r="L61" i="4"/>
  <c r="K61" i="4"/>
  <c r="H61" i="4"/>
  <c r="M60" i="4"/>
  <c r="L60" i="4"/>
  <c r="K60" i="4"/>
  <c r="H60" i="4"/>
  <c r="M59" i="4"/>
  <c r="L59" i="4"/>
  <c r="K59" i="4"/>
  <c r="H59" i="4"/>
  <c r="M58" i="4"/>
  <c r="L58" i="4"/>
  <c r="K58" i="4"/>
  <c r="H58" i="4"/>
  <c r="M57" i="4"/>
  <c r="L57" i="4"/>
  <c r="K57" i="4"/>
  <c r="H57" i="4"/>
  <c r="M56" i="4"/>
  <c r="L56" i="4"/>
  <c r="K56" i="4"/>
  <c r="H56" i="4"/>
  <c r="M55" i="4"/>
  <c r="L55" i="4"/>
  <c r="K55" i="4"/>
  <c r="H55" i="4"/>
  <c r="M54" i="4"/>
  <c r="L54" i="4"/>
  <c r="K54" i="4"/>
  <c r="H54" i="4"/>
  <c r="M53" i="4"/>
  <c r="L53" i="4"/>
  <c r="K53" i="4"/>
  <c r="H53" i="4"/>
  <c r="M52" i="4"/>
  <c r="L52" i="4"/>
  <c r="K52" i="4"/>
  <c r="H52" i="4"/>
  <c r="M51" i="4"/>
  <c r="L51" i="4"/>
  <c r="K51" i="4"/>
  <c r="H51" i="4"/>
  <c r="M50" i="4"/>
  <c r="L50" i="4"/>
  <c r="K50" i="4"/>
  <c r="H50" i="4"/>
  <c r="M49" i="4"/>
  <c r="L49" i="4"/>
  <c r="K49" i="4"/>
  <c r="H49" i="4"/>
  <c r="M48" i="4"/>
  <c r="L48" i="4"/>
  <c r="K48" i="4"/>
  <c r="H48" i="4"/>
  <c r="M47" i="4"/>
  <c r="L47" i="4"/>
  <c r="K47" i="4"/>
  <c r="H47" i="4"/>
  <c r="M46" i="4"/>
  <c r="L46" i="4"/>
  <c r="K46" i="4"/>
  <c r="H46" i="4"/>
  <c r="M45" i="4"/>
  <c r="L45" i="4"/>
  <c r="K45" i="4"/>
  <c r="H45" i="4"/>
  <c r="M44" i="4"/>
  <c r="L44" i="4"/>
  <c r="K44" i="4"/>
  <c r="H44" i="4"/>
  <c r="M43" i="4"/>
  <c r="L43" i="4"/>
  <c r="K43" i="4"/>
  <c r="H43" i="4"/>
  <c r="M42" i="4"/>
  <c r="L42" i="4"/>
  <c r="K42" i="4"/>
  <c r="H42" i="4"/>
  <c r="M41" i="4"/>
  <c r="L41" i="4"/>
  <c r="K41" i="4"/>
  <c r="H41" i="4"/>
  <c r="M40" i="4"/>
  <c r="L40" i="4"/>
  <c r="K40" i="4"/>
  <c r="H40" i="4"/>
  <c r="M39" i="4"/>
  <c r="L39" i="4"/>
  <c r="K39" i="4"/>
  <c r="H39" i="4"/>
  <c r="M38" i="4"/>
  <c r="L38" i="4"/>
  <c r="K38" i="4"/>
  <c r="H38" i="4"/>
  <c r="M37" i="4"/>
  <c r="L37" i="4"/>
  <c r="K37" i="4"/>
  <c r="H37" i="4"/>
  <c r="M36" i="4"/>
  <c r="L36" i="4"/>
  <c r="K36" i="4"/>
  <c r="H36" i="4"/>
  <c r="M35" i="4"/>
  <c r="L35" i="4"/>
  <c r="K35" i="4"/>
  <c r="H35" i="4"/>
  <c r="M34" i="4"/>
  <c r="L34" i="4"/>
  <c r="K34" i="4"/>
  <c r="H34" i="4"/>
  <c r="M33" i="4"/>
  <c r="L33" i="4"/>
  <c r="K33" i="4"/>
  <c r="H33" i="4"/>
  <c r="M32" i="4"/>
  <c r="L32" i="4"/>
  <c r="K32" i="4"/>
  <c r="H32" i="4"/>
  <c r="M31" i="4"/>
  <c r="L31" i="4"/>
  <c r="K31" i="4"/>
  <c r="H31" i="4"/>
  <c r="M30" i="4"/>
  <c r="L30" i="4"/>
  <c r="K30" i="4"/>
  <c r="H30" i="4"/>
  <c r="M29" i="4"/>
  <c r="L29" i="4"/>
  <c r="K29" i="4"/>
  <c r="H29" i="4"/>
  <c r="M28" i="4"/>
  <c r="L28" i="4"/>
  <c r="K28" i="4"/>
  <c r="H28" i="4"/>
  <c r="M27" i="4"/>
  <c r="L27" i="4"/>
  <c r="K27" i="4"/>
  <c r="H27" i="4"/>
  <c r="M26" i="4"/>
  <c r="L26" i="4"/>
  <c r="K26" i="4"/>
  <c r="H26" i="4"/>
  <c r="M25" i="4"/>
  <c r="L25" i="4"/>
  <c r="K25" i="4"/>
  <c r="H25" i="4"/>
  <c r="M24" i="4"/>
  <c r="L24" i="4"/>
  <c r="K24" i="4"/>
  <c r="H24" i="4"/>
  <c r="M23" i="4"/>
  <c r="L23" i="4"/>
  <c r="K23" i="4"/>
  <c r="H23" i="4"/>
  <c r="M22" i="4"/>
  <c r="L22" i="4"/>
  <c r="K22" i="4"/>
  <c r="H22" i="4"/>
  <c r="M21" i="4"/>
  <c r="L21" i="4"/>
  <c r="K21" i="4"/>
  <c r="H21" i="4"/>
  <c r="M20" i="4"/>
  <c r="L20" i="4"/>
  <c r="K20" i="4"/>
  <c r="H20" i="4"/>
  <c r="M19" i="4"/>
  <c r="L19" i="4"/>
  <c r="K19" i="4"/>
  <c r="H19" i="4"/>
  <c r="M18" i="4"/>
  <c r="L18" i="4"/>
  <c r="K18" i="4"/>
  <c r="H18" i="4"/>
  <c r="M17" i="4"/>
  <c r="L17" i="4"/>
  <c r="K17" i="4"/>
  <c r="H17" i="4"/>
  <c r="M16" i="4"/>
  <c r="L16" i="4"/>
  <c r="K16" i="4"/>
  <c r="H16" i="4"/>
  <c r="M15" i="4"/>
  <c r="L15" i="4"/>
  <c r="K15" i="4"/>
  <c r="H15" i="4"/>
  <c r="M14" i="4"/>
  <c r="L14" i="4"/>
  <c r="K14" i="4"/>
  <c r="H14" i="4"/>
  <c r="M13" i="4"/>
  <c r="L13" i="4"/>
  <c r="K13" i="4"/>
  <c r="M12" i="4"/>
  <c r="L12" i="4"/>
  <c r="K12" i="4"/>
  <c r="M11" i="4"/>
  <c r="L11" i="4"/>
  <c r="K11" i="4"/>
  <c r="M10" i="4"/>
  <c r="L10" i="4"/>
  <c r="K10" i="4"/>
  <c r="M9" i="4"/>
  <c r="L9" i="4"/>
  <c r="K9" i="4"/>
  <c r="M8" i="4"/>
  <c r="L8" i="4"/>
  <c r="K8" i="4"/>
  <c r="M7" i="4"/>
  <c r="L7" i="4"/>
  <c r="K7" i="4"/>
  <c r="M6" i="4"/>
  <c r="L6" i="4"/>
  <c r="K6" i="4"/>
  <c r="M5" i="4"/>
  <c r="L5" i="4"/>
  <c r="K5" i="4"/>
  <c r="M4" i="4"/>
  <c r="L4" i="4"/>
  <c r="K4" i="4"/>
  <c r="M3" i="4"/>
  <c r="L3" i="4"/>
  <c r="K3" i="4"/>
  <c r="M2" i="4"/>
  <c r="L2" i="4"/>
  <c r="K2" i="4"/>
  <c r="M75" i="3"/>
  <c r="L75" i="3"/>
  <c r="K75" i="3"/>
  <c r="H75" i="3"/>
  <c r="M74" i="3"/>
  <c r="L74" i="3"/>
  <c r="K74" i="3"/>
  <c r="H74" i="3"/>
  <c r="M73" i="3"/>
  <c r="L73" i="3"/>
  <c r="K73" i="3"/>
  <c r="H73" i="3"/>
  <c r="M72" i="3"/>
  <c r="L72" i="3"/>
  <c r="K72" i="3"/>
  <c r="H72" i="3"/>
  <c r="M71" i="3"/>
  <c r="L71" i="3"/>
  <c r="K71" i="3"/>
  <c r="H71" i="3"/>
  <c r="M70" i="3"/>
  <c r="L70" i="3"/>
  <c r="K70" i="3"/>
  <c r="H70" i="3"/>
  <c r="M69" i="3"/>
  <c r="L69" i="3"/>
  <c r="K69" i="3"/>
  <c r="H69" i="3"/>
  <c r="M68" i="3"/>
  <c r="L68" i="3"/>
  <c r="K68" i="3"/>
  <c r="H68" i="3"/>
  <c r="M67" i="3"/>
  <c r="L67" i="3"/>
  <c r="K67" i="3"/>
  <c r="H67" i="3"/>
  <c r="M66" i="3"/>
  <c r="L66" i="3"/>
  <c r="K66" i="3"/>
  <c r="H66" i="3"/>
  <c r="M65" i="3"/>
  <c r="L65" i="3"/>
  <c r="K65" i="3"/>
  <c r="H65" i="3"/>
  <c r="M64" i="3"/>
  <c r="L64" i="3"/>
  <c r="K64" i="3"/>
  <c r="H64" i="3"/>
  <c r="M63" i="3"/>
  <c r="L63" i="3"/>
  <c r="K63" i="3"/>
  <c r="H63" i="3"/>
  <c r="M62" i="3"/>
  <c r="L62" i="3"/>
  <c r="K62" i="3"/>
  <c r="H62" i="3"/>
  <c r="M61" i="3"/>
  <c r="L61" i="3"/>
  <c r="K61" i="3"/>
  <c r="H61" i="3"/>
  <c r="M60" i="3"/>
  <c r="L60" i="3"/>
  <c r="K60" i="3"/>
  <c r="H60" i="3"/>
  <c r="M59" i="3"/>
  <c r="L59" i="3"/>
  <c r="K59" i="3"/>
  <c r="H59" i="3"/>
  <c r="M58" i="3"/>
  <c r="L58" i="3"/>
  <c r="K58" i="3"/>
  <c r="H58" i="3"/>
  <c r="M57" i="3"/>
  <c r="L57" i="3"/>
  <c r="K57" i="3"/>
  <c r="H57" i="3"/>
  <c r="M56" i="3"/>
  <c r="L56" i="3"/>
  <c r="K56" i="3"/>
  <c r="H56" i="3"/>
  <c r="M55" i="3"/>
  <c r="L55" i="3"/>
  <c r="K55" i="3"/>
  <c r="H55" i="3"/>
  <c r="M54" i="3"/>
  <c r="L54" i="3"/>
  <c r="K54" i="3"/>
  <c r="H54" i="3"/>
  <c r="M53" i="3"/>
  <c r="L53" i="3"/>
  <c r="K53" i="3"/>
  <c r="H53" i="3"/>
  <c r="M52" i="3"/>
  <c r="L52" i="3"/>
  <c r="K52" i="3"/>
  <c r="H52" i="3"/>
  <c r="M51" i="3"/>
  <c r="L51" i="3"/>
  <c r="K51" i="3"/>
  <c r="H51" i="3"/>
  <c r="M50" i="3"/>
  <c r="L50" i="3"/>
  <c r="K50" i="3"/>
  <c r="H50" i="3"/>
  <c r="M49" i="3"/>
  <c r="L49" i="3"/>
  <c r="K49" i="3"/>
  <c r="H49" i="3"/>
  <c r="M48" i="3"/>
  <c r="L48" i="3"/>
  <c r="K48" i="3"/>
  <c r="H48" i="3"/>
  <c r="M47" i="3"/>
  <c r="L47" i="3"/>
  <c r="K47" i="3"/>
  <c r="H47" i="3"/>
  <c r="M46" i="3"/>
  <c r="L46" i="3"/>
  <c r="K46" i="3"/>
  <c r="H46" i="3"/>
  <c r="M45" i="3"/>
  <c r="L45" i="3"/>
  <c r="K45" i="3"/>
  <c r="H45" i="3"/>
  <c r="M44" i="3"/>
  <c r="L44" i="3"/>
  <c r="K44" i="3"/>
  <c r="H44" i="3"/>
  <c r="M43" i="3"/>
  <c r="L43" i="3"/>
  <c r="K43" i="3"/>
  <c r="H43" i="3"/>
  <c r="M42" i="3"/>
  <c r="L42" i="3"/>
  <c r="K42" i="3"/>
  <c r="H42" i="3"/>
  <c r="M41" i="3"/>
  <c r="L41" i="3"/>
  <c r="K41" i="3"/>
  <c r="H41" i="3"/>
  <c r="M40" i="3"/>
  <c r="L40" i="3"/>
  <c r="K40" i="3"/>
  <c r="H40" i="3"/>
  <c r="M39" i="3"/>
  <c r="L39" i="3"/>
  <c r="K39" i="3"/>
  <c r="H39" i="3"/>
  <c r="M38" i="3"/>
  <c r="L38" i="3"/>
  <c r="K38" i="3"/>
  <c r="H38" i="3"/>
  <c r="M37" i="3"/>
  <c r="L37" i="3"/>
  <c r="K37" i="3"/>
  <c r="H37" i="3"/>
  <c r="M36" i="3"/>
  <c r="L36" i="3"/>
  <c r="K36" i="3"/>
  <c r="H36" i="3"/>
  <c r="M35" i="3"/>
  <c r="L35" i="3"/>
  <c r="K35" i="3"/>
  <c r="H35" i="3"/>
  <c r="M34" i="3"/>
  <c r="L34" i="3"/>
  <c r="K34" i="3"/>
  <c r="H34" i="3"/>
  <c r="M33" i="3"/>
  <c r="L33" i="3"/>
  <c r="K33" i="3"/>
  <c r="H33" i="3"/>
  <c r="M32" i="3"/>
  <c r="L32" i="3"/>
  <c r="K32" i="3"/>
  <c r="H32" i="3"/>
  <c r="M31" i="3"/>
  <c r="L31" i="3"/>
  <c r="K31" i="3"/>
  <c r="H31" i="3"/>
  <c r="M30" i="3"/>
  <c r="L30" i="3"/>
  <c r="K30" i="3"/>
  <c r="H30" i="3"/>
  <c r="M29" i="3"/>
  <c r="L29" i="3"/>
  <c r="K29" i="3"/>
  <c r="H29" i="3"/>
  <c r="M28" i="3"/>
  <c r="L28" i="3"/>
  <c r="K28" i="3"/>
  <c r="H28" i="3"/>
  <c r="M27" i="3"/>
  <c r="L27" i="3"/>
  <c r="K27" i="3"/>
  <c r="H27" i="3"/>
  <c r="M26" i="3"/>
  <c r="L26" i="3"/>
  <c r="K26" i="3"/>
  <c r="H26" i="3"/>
  <c r="M25" i="3"/>
  <c r="L25" i="3"/>
  <c r="K25" i="3"/>
  <c r="H25" i="3"/>
  <c r="M24" i="3"/>
  <c r="L24" i="3"/>
  <c r="K24" i="3"/>
  <c r="H24" i="3"/>
  <c r="M23" i="3"/>
  <c r="L23" i="3"/>
  <c r="K23" i="3"/>
  <c r="H23" i="3"/>
  <c r="M22" i="3"/>
  <c r="L22" i="3"/>
  <c r="K22" i="3"/>
  <c r="H22" i="3"/>
  <c r="M21" i="3"/>
  <c r="L21" i="3"/>
  <c r="K21" i="3"/>
  <c r="H21" i="3"/>
  <c r="M20" i="3"/>
  <c r="L20" i="3"/>
  <c r="K20" i="3"/>
  <c r="H20" i="3"/>
  <c r="M19" i="3"/>
  <c r="L19" i="3"/>
  <c r="K19" i="3"/>
  <c r="H19" i="3"/>
  <c r="M18" i="3"/>
  <c r="L18" i="3"/>
  <c r="K18" i="3"/>
  <c r="H18" i="3"/>
  <c r="M17" i="3"/>
  <c r="L17" i="3"/>
  <c r="K17" i="3"/>
  <c r="H17" i="3"/>
  <c r="M16" i="3"/>
  <c r="L16" i="3"/>
  <c r="K16" i="3"/>
  <c r="H16" i="3"/>
  <c r="M15" i="3"/>
  <c r="L15" i="3"/>
  <c r="K15" i="3"/>
  <c r="H15" i="3"/>
  <c r="M14" i="3"/>
  <c r="L14" i="3"/>
  <c r="K14" i="3"/>
  <c r="H14" i="3"/>
  <c r="M13" i="3"/>
  <c r="L13" i="3"/>
  <c r="K13" i="3"/>
  <c r="M12" i="3"/>
  <c r="L12" i="3"/>
  <c r="K12" i="3"/>
  <c r="M11" i="3"/>
  <c r="L11" i="3"/>
  <c r="K11" i="3"/>
  <c r="M10" i="3"/>
  <c r="L10" i="3"/>
  <c r="K10" i="3"/>
  <c r="M9" i="3"/>
  <c r="L9" i="3"/>
  <c r="K9" i="3"/>
  <c r="M8" i="3"/>
  <c r="L8" i="3"/>
  <c r="K8" i="3"/>
  <c r="M7" i="3"/>
  <c r="L7" i="3"/>
  <c r="K7" i="3"/>
  <c r="M6" i="3"/>
  <c r="L6" i="3"/>
  <c r="K6" i="3"/>
  <c r="M5" i="3"/>
  <c r="L5" i="3"/>
  <c r="K5" i="3"/>
  <c r="M4" i="3"/>
  <c r="L4" i="3"/>
  <c r="K4" i="3"/>
  <c r="M3" i="3"/>
  <c r="L3" i="3"/>
  <c r="K3" i="3"/>
  <c r="M2" i="3"/>
  <c r="L2" i="3"/>
  <c r="K2" i="3"/>
  <c r="M75" i="2"/>
  <c r="L75" i="2"/>
  <c r="K75" i="2"/>
  <c r="H75" i="2"/>
  <c r="M74" i="2"/>
  <c r="L74" i="2"/>
  <c r="K74" i="2"/>
  <c r="H74" i="2"/>
  <c r="M73" i="2"/>
  <c r="L73" i="2"/>
  <c r="K73" i="2"/>
  <c r="H73" i="2"/>
  <c r="M72" i="2"/>
  <c r="L72" i="2"/>
  <c r="K72" i="2"/>
  <c r="H72" i="2"/>
  <c r="M71" i="2"/>
  <c r="L71" i="2"/>
  <c r="K71" i="2"/>
  <c r="H71" i="2"/>
  <c r="M70" i="2"/>
  <c r="L70" i="2"/>
  <c r="K70" i="2"/>
  <c r="H70" i="2"/>
  <c r="M69" i="2"/>
  <c r="L69" i="2"/>
  <c r="K69" i="2"/>
  <c r="H69" i="2"/>
  <c r="M68" i="2"/>
  <c r="L68" i="2"/>
  <c r="K68" i="2"/>
  <c r="H68" i="2"/>
  <c r="M67" i="2"/>
  <c r="L67" i="2"/>
  <c r="K67" i="2"/>
  <c r="H67" i="2"/>
  <c r="M66" i="2"/>
  <c r="L66" i="2"/>
  <c r="K66" i="2"/>
  <c r="H66" i="2"/>
  <c r="M65" i="2"/>
  <c r="L65" i="2"/>
  <c r="K65" i="2"/>
  <c r="H65" i="2"/>
  <c r="M64" i="2"/>
  <c r="L64" i="2"/>
  <c r="K64" i="2"/>
  <c r="H64" i="2"/>
  <c r="M63" i="2"/>
  <c r="L63" i="2"/>
  <c r="K63" i="2"/>
  <c r="H63" i="2"/>
  <c r="M62" i="2"/>
  <c r="L62" i="2"/>
  <c r="K62" i="2"/>
  <c r="H62" i="2"/>
  <c r="M61" i="2"/>
  <c r="L61" i="2"/>
  <c r="K61" i="2"/>
  <c r="H61" i="2"/>
  <c r="M60" i="2"/>
  <c r="L60" i="2"/>
  <c r="K60" i="2"/>
  <c r="H60" i="2"/>
  <c r="M59" i="2"/>
  <c r="L59" i="2"/>
  <c r="K59" i="2"/>
  <c r="H59" i="2"/>
  <c r="M58" i="2"/>
  <c r="L58" i="2"/>
  <c r="K58" i="2"/>
  <c r="H58" i="2"/>
  <c r="M57" i="2"/>
  <c r="L57" i="2"/>
  <c r="K57" i="2"/>
  <c r="H57" i="2"/>
  <c r="M56" i="2"/>
  <c r="L56" i="2"/>
  <c r="K56" i="2"/>
  <c r="H56" i="2"/>
  <c r="M55" i="2"/>
  <c r="L55" i="2"/>
  <c r="K55" i="2"/>
  <c r="H55" i="2"/>
  <c r="M54" i="2"/>
  <c r="L54" i="2"/>
  <c r="K54" i="2"/>
  <c r="H54" i="2"/>
  <c r="M53" i="2"/>
  <c r="L53" i="2"/>
  <c r="K53" i="2"/>
  <c r="H53" i="2"/>
  <c r="M52" i="2"/>
  <c r="L52" i="2"/>
  <c r="K52" i="2"/>
  <c r="H52" i="2"/>
  <c r="M51" i="2"/>
  <c r="L51" i="2"/>
  <c r="K51" i="2"/>
  <c r="H51" i="2"/>
  <c r="M50" i="2"/>
  <c r="L50" i="2"/>
  <c r="K50" i="2"/>
  <c r="H50" i="2"/>
  <c r="M49" i="2"/>
  <c r="L49" i="2"/>
  <c r="K49" i="2"/>
  <c r="H49" i="2"/>
  <c r="M48" i="2"/>
  <c r="L48" i="2"/>
  <c r="K48" i="2"/>
  <c r="H48" i="2"/>
  <c r="M47" i="2"/>
  <c r="L47" i="2"/>
  <c r="K47" i="2"/>
  <c r="H47" i="2"/>
  <c r="M46" i="2"/>
  <c r="L46" i="2"/>
  <c r="K46" i="2"/>
  <c r="H46" i="2"/>
  <c r="M45" i="2"/>
  <c r="L45" i="2"/>
  <c r="K45" i="2"/>
  <c r="H45" i="2"/>
  <c r="M44" i="2"/>
  <c r="L44" i="2"/>
  <c r="K44" i="2"/>
  <c r="H44" i="2"/>
  <c r="M43" i="2"/>
  <c r="L43" i="2"/>
  <c r="K43" i="2"/>
  <c r="H43" i="2"/>
  <c r="M42" i="2"/>
  <c r="L42" i="2"/>
  <c r="K42" i="2"/>
  <c r="H42" i="2"/>
  <c r="M41" i="2"/>
  <c r="L41" i="2"/>
  <c r="K41" i="2"/>
  <c r="H41" i="2"/>
  <c r="M40" i="2"/>
  <c r="L40" i="2"/>
  <c r="K40" i="2"/>
  <c r="H40" i="2"/>
  <c r="M39" i="2"/>
  <c r="L39" i="2"/>
  <c r="K39" i="2"/>
  <c r="H39" i="2"/>
  <c r="M38" i="2"/>
  <c r="L38" i="2"/>
  <c r="K38" i="2"/>
  <c r="H38" i="2"/>
  <c r="M37" i="2"/>
  <c r="L37" i="2"/>
  <c r="K37" i="2"/>
  <c r="H37" i="2"/>
  <c r="M36" i="2"/>
  <c r="L36" i="2"/>
  <c r="K36" i="2"/>
  <c r="H36" i="2"/>
  <c r="M35" i="2"/>
  <c r="L35" i="2"/>
  <c r="K35" i="2"/>
  <c r="H35" i="2"/>
  <c r="M34" i="2"/>
  <c r="L34" i="2"/>
  <c r="K34" i="2"/>
  <c r="H34" i="2"/>
  <c r="M33" i="2"/>
  <c r="L33" i="2"/>
  <c r="K33" i="2"/>
  <c r="H33" i="2"/>
  <c r="M32" i="2"/>
  <c r="L32" i="2"/>
  <c r="K32" i="2"/>
  <c r="H32" i="2"/>
  <c r="M31" i="2"/>
  <c r="L31" i="2"/>
  <c r="K31" i="2"/>
  <c r="H31" i="2"/>
  <c r="M30" i="2"/>
  <c r="L30" i="2"/>
  <c r="K30" i="2"/>
  <c r="H30" i="2"/>
  <c r="M29" i="2"/>
  <c r="L29" i="2"/>
  <c r="K29" i="2"/>
  <c r="H29" i="2"/>
  <c r="M28" i="2"/>
  <c r="L28" i="2"/>
  <c r="K28" i="2"/>
  <c r="H28" i="2"/>
  <c r="M27" i="2"/>
  <c r="L27" i="2"/>
  <c r="K27" i="2"/>
  <c r="H27" i="2"/>
  <c r="M26" i="2"/>
  <c r="L26" i="2"/>
  <c r="K26" i="2"/>
  <c r="H26" i="2"/>
  <c r="M25" i="2"/>
  <c r="L25" i="2"/>
  <c r="K25" i="2"/>
  <c r="H25" i="2"/>
  <c r="M24" i="2"/>
  <c r="L24" i="2"/>
  <c r="K24" i="2"/>
  <c r="H24" i="2"/>
  <c r="M23" i="2"/>
  <c r="L23" i="2"/>
  <c r="K23" i="2"/>
  <c r="H23" i="2"/>
  <c r="M22" i="2"/>
  <c r="L22" i="2"/>
  <c r="K22" i="2"/>
  <c r="H22" i="2"/>
  <c r="M21" i="2"/>
  <c r="L21" i="2"/>
  <c r="K21" i="2"/>
  <c r="H21" i="2"/>
  <c r="M20" i="2"/>
  <c r="L20" i="2"/>
  <c r="K20" i="2"/>
  <c r="H20" i="2"/>
  <c r="M19" i="2"/>
  <c r="L19" i="2"/>
  <c r="K19" i="2"/>
  <c r="H19" i="2"/>
  <c r="M18" i="2"/>
  <c r="L18" i="2"/>
  <c r="K18" i="2"/>
  <c r="H18" i="2"/>
  <c r="M17" i="2"/>
  <c r="L17" i="2"/>
  <c r="K17" i="2"/>
  <c r="H17" i="2"/>
  <c r="M16" i="2"/>
  <c r="L16" i="2"/>
  <c r="K16" i="2"/>
  <c r="H16" i="2"/>
  <c r="M15" i="2"/>
  <c r="L15" i="2"/>
  <c r="K15" i="2"/>
  <c r="H15" i="2"/>
  <c r="M14" i="2"/>
  <c r="L14" i="2"/>
  <c r="K14" i="2"/>
  <c r="H14" i="2"/>
  <c r="M13" i="2"/>
  <c r="L13" i="2"/>
  <c r="K13" i="2"/>
  <c r="M12" i="2"/>
  <c r="L12" i="2"/>
  <c r="K12" i="2"/>
  <c r="M11" i="2"/>
  <c r="L11" i="2"/>
  <c r="K11" i="2"/>
  <c r="M10" i="2"/>
  <c r="L10" i="2"/>
  <c r="K10" i="2"/>
  <c r="M9" i="2"/>
  <c r="L9" i="2"/>
  <c r="K9" i="2"/>
  <c r="M8" i="2"/>
  <c r="L8" i="2"/>
  <c r="K8" i="2"/>
  <c r="M7" i="2"/>
  <c r="L7" i="2"/>
  <c r="K7" i="2"/>
  <c r="M6" i="2"/>
  <c r="L6" i="2"/>
  <c r="K6" i="2"/>
  <c r="M5" i="2"/>
  <c r="L5" i="2"/>
  <c r="K5" i="2"/>
  <c r="M4" i="2"/>
  <c r="L4" i="2"/>
  <c r="K4" i="2"/>
  <c r="M3" i="2"/>
  <c r="L3" i="2"/>
  <c r="K3" i="2"/>
  <c r="M2" i="2"/>
  <c r="L2" i="2"/>
  <c r="K2" i="2"/>
  <c r="M9" i="1"/>
  <c r="M6" i="1" s="1"/>
  <c r="L9" i="1"/>
  <c r="L6" i="1" s="1"/>
  <c r="K9" i="1"/>
  <c r="J9" i="1"/>
  <c r="I9" i="1"/>
  <c r="H9" i="1"/>
  <c r="G9" i="1"/>
  <c r="G6" i="1" s="1"/>
  <c r="F9" i="1"/>
  <c r="F6" i="1" s="1"/>
  <c r="E9" i="1"/>
  <c r="D9" i="1"/>
  <c r="C9" i="1"/>
  <c r="B9" i="1"/>
  <c r="M8" i="1"/>
  <c r="L8" i="1"/>
  <c r="K8" i="1"/>
  <c r="K5" i="1" s="1"/>
  <c r="J8" i="1"/>
  <c r="J5" i="1" s="1"/>
  <c r="I8" i="1"/>
  <c r="H8" i="1"/>
  <c r="G8" i="1"/>
  <c r="G5" i="1" s="1"/>
  <c r="F8" i="1"/>
  <c r="F5" i="1" s="1"/>
  <c r="E8" i="1"/>
  <c r="D8" i="1"/>
  <c r="D5" i="1" s="1"/>
  <c r="C8" i="1"/>
  <c r="B8" i="1"/>
  <c r="M7" i="1"/>
  <c r="L7" i="1"/>
  <c r="K7" i="1"/>
  <c r="J7" i="1"/>
  <c r="I7" i="1"/>
  <c r="I6" i="1" s="1"/>
  <c r="H7" i="1"/>
  <c r="H4" i="1" s="1"/>
  <c r="G7" i="1"/>
  <c r="F7" i="1"/>
  <c r="E7" i="1"/>
  <c r="D7" i="1"/>
  <c r="C7" i="1"/>
  <c r="C4" i="1" s="1"/>
  <c r="B7" i="1"/>
  <c r="B6" i="1" s="1"/>
  <c r="E5" i="1"/>
  <c r="E4" i="1"/>
  <c r="D4" i="1"/>
  <c r="B4" i="1" l="1"/>
  <c r="F4" i="1"/>
  <c r="H5" i="1"/>
  <c r="J6" i="1"/>
  <c r="G4" i="1"/>
  <c r="I5" i="1"/>
  <c r="K6" i="1"/>
  <c r="J4" i="1"/>
  <c r="L5" i="1"/>
  <c r="B5" i="1"/>
  <c r="D6" i="1"/>
  <c r="K4" i="1"/>
  <c r="M4" i="1"/>
  <c r="C5" i="1"/>
  <c r="E6" i="1"/>
  <c r="M5" i="1"/>
  <c r="H6" i="1"/>
  <c r="I4" i="1"/>
  <c r="L4" i="1"/>
  <c r="C6" i="1"/>
</calcChain>
</file>

<file path=xl/sharedStrings.xml><?xml version="1.0" encoding="utf-8"?>
<sst xmlns="http://schemas.openxmlformats.org/spreadsheetml/2006/main" count="5363" uniqueCount="145">
  <si>
    <t>Tỉ lệ % hoạt động có tải</t>
  </si>
  <si>
    <t>Hạng mục</t>
  </si>
  <si>
    <t>LA</t>
  </si>
  <si>
    <t>MA</t>
  </si>
  <si>
    <t>BJ</t>
  </si>
  <si>
    <t>GC</t>
  </si>
  <si>
    <t>GS</t>
  </si>
  <si>
    <t>GR</t>
  </si>
  <si>
    <t>EN</t>
  </si>
  <si>
    <t>GJ</t>
  </si>
  <si>
    <t>EW</t>
  </si>
  <si>
    <t>GP</t>
  </si>
  <si>
    <t>MC</t>
  </si>
  <si>
    <t>LN</t>
  </si>
  <si>
    <t>% Mục tiêu</t>
  </si>
  <si>
    <t>% Có tải</t>
  </si>
  <si>
    <t>% Không tải</t>
  </si>
  <si>
    <t>% Tắt máy</t>
  </si>
  <si>
    <t>Tổng thời gian h/đ có tải</t>
  </si>
  <si>
    <t>Tổng thời gian h/đ không tải</t>
  </si>
  <si>
    <t>Tổng thời gian tắt máy</t>
  </si>
  <si>
    <t>ID</t>
  </si>
  <si>
    <t>Ngày tháng</t>
  </si>
  <si>
    <t>Ca làm việc</t>
  </si>
  <si>
    <t>Thời gian hoạt động không tải (phút)</t>
  </si>
  <si>
    <t>Thời gian hoạt động có tải (phút)</t>
  </si>
  <si>
    <t>Thời gian tắt máy (phút)</t>
  </si>
  <si>
    <t>Ngày - Ca</t>
  </si>
  <si>
    <t>Mục Tiêu C1</t>
  </si>
  <si>
    <t>Mục Tiêu C2</t>
  </si>
  <si>
    <t>% Có Tải</t>
  </si>
  <si>
    <t>% Không Tải</t>
  </si>
  <si>
    <t>% Tắt Máy</t>
  </si>
  <si>
    <t>01/04/2026</t>
  </si>
  <si>
    <t>CN</t>
  </si>
  <si>
    <t>T1</t>
  </si>
  <si>
    <t>01/01/2026</t>
  </si>
  <si>
    <t>CD</t>
  </si>
  <si>
    <t>T2</t>
  </si>
  <si>
    <t>02/04/2026</t>
  </si>
  <si>
    <t>T3</t>
  </si>
  <si>
    <t>02/01/2026</t>
  </si>
  <si>
    <t>T4</t>
  </si>
  <si>
    <t>03/04/2026</t>
  </si>
  <si>
    <t>T5</t>
  </si>
  <si>
    <t>03/01/2026</t>
  </si>
  <si>
    <t>T6</t>
  </si>
  <si>
    <t>04/01/2026</t>
  </si>
  <si>
    <t>04/04/2026</t>
  </si>
  <si>
    <t>T7</t>
  </si>
  <si>
    <t>T8</t>
  </si>
  <si>
    <t>05/01/2026</t>
  </si>
  <si>
    <t>05/04/2026</t>
  </si>
  <si>
    <t>T9</t>
  </si>
  <si>
    <t>T10</t>
  </si>
  <si>
    <t>06/01/2026</t>
  </si>
  <si>
    <t>06/04/2026</t>
  </si>
  <si>
    <t>T11</t>
  </si>
  <si>
    <t>T12</t>
  </si>
  <si>
    <t>07/01/2026</t>
  </si>
  <si>
    <t>07/04/2026</t>
  </si>
  <si>
    <t>08/01/2026</t>
  </si>
  <si>
    <t>08/04/2026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</si>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</sst>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/>
  </cellStyleXfs>
  <cellXfs count="13">
    <xf numFmtId="0" fontId="0" fillId="0" borderId="0" xfId="0"/>
    <xf numFmtId="9" fontId="0" fillId="0" borderId="0" xfId="0" applyNumberFormat="1"/>
    <xf numFmtId="0" fontId="1" fillId="0" borderId="0" xfId="0" applyFont="1"/>
    <xf numFmtId="0" fontId="1" fillId="3" borderId="0" xfId="0" applyFont="1" applyFill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9" fontId="4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BIỂU ĐỒ TỈ LỆ HOẠT ĐỘNG MÁY TẠI CÁC CÔNG ĐOẠN TRONG THÁNG  NĂM 2026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percentStacked"/>
        <c:varyColors val="0"/>
        <c:ser>
          <c:idx val="1"/>
          <c:order val="0"/>
          <c:tx>
            <c:strRef>
              <c:f>Tong_Hop!$A$4</c:f>
              <c:strCache>
                <c:ptCount val="1"/>
                <c:pt idx="0">
                  <c:v>% Có tải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overflow" horzOverflow="overflow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Tong_Hop!$B$1:$N$2</c:f>
              <c:strCache>
                <c:ptCount val="12"/>
                <c:pt idx="0">
                  <c:v>LA</c:v>
                </c:pt>
                <c:pt idx="1">
                  <c:v>MA</c:v>
                </c:pt>
                <c:pt idx="2">
                  <c:v>BJ</c:v>
                </c:pt>
                <c:pt idx="3">
                  <c:v>GC</c:v>
                </c:pt>
                <c:pt idx="4">
                  <c:v>GS</c:v>
                </c:pt>
                <c:pt idx="5">
                  <c:v>GR</c:v>
                </c:pt>
                <c:pt idx="6">
                  <c:v>EN</c:v>
                </c:pt>
                <c:pt idx="7">
                  <c:v>GJ</c:v>
                </c:pt>
                <c:pt idx="8">
                  <c:v>EW</c:v>
                </c:pt>
                <c:pt idx="9">
                  <c:v>GP</c:v>
                </c:pt>
                <c:pt idx="10">
                  <c:v>MC</c:v>
                </c:pt>
                <c:pt idx="11">
                  <c:v>LN</c:v>
                </c:pt>
              </c:strCache>
            </c:strRef>
          </c:cat>
          <c:val>
            <c:numRef>
              <c:f>Tong_Hop!$B$4:$M$4</c:f>
              <c:numCache>
                <c:formatCode>0.00%</c:formatCode>
                <c:ptCount val="12"/>
                <c:pt idx="0">
                  <c:v>0.16231031100340432</c:v>
                </c:pt>
                <c:pt idx="1">
                  <c:v>0.29953329275009422</c:v>
                </c:pt>
                <c:pt idx="2">
                  <c:v>0.23656081901787263</c:v>
                </c:pt>
                <c:pt idx="3">
                  <c:v>0.21775420597313394</c:v>
                </c:pt>
                <c:pt idx="4">
                  <c:v>0.28375169395646066</c:v>
                </c:pt>
                <c:pt idx="5">
                  <c:v>0.44613578045492108</c:v>
                </c:pt>
                <c:pt idx="6">
                  <c:v>0.49948362666207669</c:v>
                </c:pt>
                <c:pt idx="7">
                  <c:v>0.438409458367017</c:v>
                </c:pt>
                <c:pt idx="8">
                  <c:v>0.59929731722657187</c:v>
                </c:pt>
                <c:pt idx="9">
                  <c:v>0.60891110628124323</c:v>
                </c:pt>
                <c:pt idx="10">
                  <c:v>0.52614293603045892</c:v>
                </c:pt>
                <c:pt idx="11">
                  <c:v>0.53033600278551529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43-4566-A8E5-7F303BA7E847}"/>
            </c:ext>
          </c:extLst>
        </c:ser>
        <c:ser>
          <c:idx val="2"/>
          <c:order val="1"/>
          <c:tx>
            <c:strRef>
              <c:f>Tong_Hop!$A$5</c:f>
              <c:strCache>
                <c:ptCount val="1"/>
                <c:pt idx="0">
                  <c:v>% Không tải</c:v>
                </c:pt>
              </c:strCache>
            </c:strRef>
          </c:tx>
          <c:spPr>
            <a:solidFill>
              <a:srgbClr val="FFC000"/>
            </a:solidFill>
            <a:ln>
              <a:noFill/>
              <a:prstDash val="solid"/>
            </a:ln>
          </c:spPr>
          <c:invertIfNegative val="0"/>
          <c:cat>
            <c:strRef>
              <c:f>Tong_Hop!$B$1:$N$2</c:f>
              <c:strCache>
                <c:ptCount val="12"/>
                <c:pt idx="0">
                  <c:v>LA</c:v>
                </c:pt>
                <c:pt idx="1">
                  <c:v>MA</c:v>
                </c:pt>
                <c:pt idx="2">
                  <c:v>BJ</c:v>
                </c:pt>
                <c:pt idx="3">
                  <c:v>GC</c:v>
                </c:pt>
                <c:pt idx="4">
                  <c:v>GS</c:v>
                </c:pt>
                <c:pt idx="5">
                  <c:v>GR</c:v>
                </c:pt>
                <c:pt idx="6">
                  <c:v>EN</c:v>
                </c:pt>
                <c:pt idx="7">
                  <c:v>GJ</c:v>
                </c:pt>
                <c:pt idx="8">
                  <c:v>EW</c:v>
                </c:pt>
                <c:pt idx="9">
                  <c:v>GP</c:v>
                </c:pt>
                <c:pt idx="10">
                  <c:v>MC</c:v>
                </c:pt>
                <c:pt idx="11">
                  <c:v>LN</c:v>
                </c:pt>
              </c:strCache>
            </c:strRef>
          </c:cat>
          <c:val>
            <c:numRef>
              <c:f>Tong_Hop!$B$5:$M$5</c:f>
              <c:numCache>
                <c:formatCode>0.00%</c:formatCode>
                <c:ptCount val="12"/>
                <c:pt idx="0">
                  <c:v>0.19730540649702843</c:v>
                </c:pt>
                <c:pt idx="1">
                  <c:v>0.24616633330434531</c:v>
                </c:pt>
                <c:pt idx="2">
                  <c:v>0.27688703800104114</c:v>
                </c:pt>
                <c:pt idx="3">
                  <c:v>0.18232404468982308</c:v>
                </c:pt>
                <c:pt idx="4">
                  <c:v>0.31656161028433605</c:v>
                </c:pt>
                <c:pt idx="5">
                  <c:v>0.19101465663462794</c:v>
                </c:pt>
                <c:pt idx="6">
                  <c:v>0.4402513016911227</c:v>
                </c:pt>
                <c:pt idx="7">
                  <c:v>0.38778294260307195</c:v>
                </c:pt>
                <c:pt idx="8">
                  <c:v>0.32186774816196406</c:v>
                </c:pt>
                <c:pt idx="9">
                  <c:v>6.7420126059552277E-2</c:v>
                </c:pt>
                <c:pt idx="10">
                  <c:v>0.31862702357078504</c:v>
                </c:pt>
                <c:pt idx="11">
                  <c:v>0.234375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43-4566-A8E5-7F303BA7E847}"/>
            </c:ext>
          </c:extLst>
        </c:ser>
        <c:ser>
          <c:idx val="3"/>
          <c:order val="2"/>
          <c:tx>
            <c:strRef>
              <c:f>Tong_Hop!$A$6</c:f>
              <c:strCache>
                <c:ptCount val="1"/>
                <c:pt idx="0">
                  <c:v>% Tắt máy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strRef>
              <c:f>Tong_Hop!$B$1:$N$2</c:f>
              <c:strCache>
                <c:ptCount val="12"/>
                <c:pt idx="0">
                  <c:v>LA</c:v>
                </c:pt>
                <c:pt idx="1">
                  <c:v>MA</c:v>
                </c:pt>
                <c:pt idx="2">
                  <c:v>BJ</c:v>
                </c:pt>
                <c:pt idx="3">
                  <c:v>GC</c:v>
                </c:pt>
                <c:pt idx="4">
                  <c:v>GS</c:v>
                </c:pt>
                <c:pt idx="5">
                  <c:v>GR</c:v>
                </c:pt>
                <c:pt idx="6">
                  <c:v>EN</c:v>
                </c:pt>
                <c:pt idx="7">
                  <c:v>GJ</c:v>
                </c:pt>
                <c:pt idx="8">
                  <c:v>EW</c:v>
                </c:pt>
                <c:pt idx="9">
                  <c:v>GP</c:v>
                </c:pt>
                <c:pt idx="10">
                  <c:v>MC</c:v>
                </c:pt>
                <c:pt idx="11">
                  <c:v>LN</c:v>
                </c:pt>
              </c:strCache>
            </c:strRef>
          </c:cat>
          <c:val>
            <c:numRef>
              <c:f>Tong_Hop!$B$6:$M$6</c:f>
              <c:numCache>
                <c:formatCode>0.00%</c:formatCode>
                <c:ptCount val="12"/>
                <c:pt idx="0">
                  <c:v>0.64038428249956725</c:v>
                </c:pt>
                <c:pt idx="1">
                  <c:v>0.4543003739455605</c:v>
                </c:pt>
                <c:pt idx="2">
                  <c:v>0.48655214298108623</c:v>
                </c:pt>
                <c:pt idx="3">
                  <c:v>0.59992174933704301</c:v>
                </c:pt>
                <c:pt idx="4">
                  <c:v>0.39968669575920329</c:v>
                </c:pt>
                <c:pt idx="5">
                  <c:v>0.36284956291045101</c:v>
                </c:pt>
                <c:pt idx="6">
                  <c:v>6.0265071646800637E-2</c:v>
                </c:pt>
                <c:pt idx="7">
                  <c:v>0.17380759902991108</c:v>
                </c:pt>
                <c:pt idx="8">
                  <c:v>7.8834934611464139E-2</c:v>
                </c:pt>
                <c:pt idx="9">
                  <c:v>0.32366876765920455</c:v>
                </c:pt>
                <c:pt idx="10">
                  <c:v>0.15523004039875607</c:v>
                </c:pt>
                <c:pt idx="11">
                  <c:v>0.23528899721448468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543-4566-A8E5-7F303BA7E8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005858304"/>
        <c:axId val="1005847864"/>
      </c:barChart>
      <c:lineChart>
        <c:grouping val="stacked"/>
        <c:varyColors val="0"/>
        <c:ser>
          <c:idx val="4"/>
          <c:order val="3"/>
          <c:tx>
            <c:strRef>
              <c:f>Tong_Hop!$A$3</c:f>
              <c:strCache>
                <c:ptCount val="1"/>
                <c:pt idx="0">
                  <c:v>% Mục tiêu</c:v>
                </c:pt>
              </c:strCache>
            </c:strRef>
          </c:tx>
          <c:spPr>
            <a:ln w="28575" cap="flat">
              <a:solidFill>
                <a:srgbClr val="FF0000"/>
              </a:solidFill>
              <a:prstDash val="solid"/>
              <a:bevel/>
              <a:headEnd w="med" len="med"/>
              <a:tailEnd/>
            </a:ln>
          </c:spPr>
          <c:marker>
            <c:symbol val="triangle"/>
            <c:size val="8"/>
            <c:spPr>
              <a:solidFill>
                <a:srgbClr val="FF0000"/>
              </a:solidFill>
              <a:ln w="9525">
                <a:noFill/>
                <a:prstDash val="solid"/>
              </a:ln>
            </c:spPr>
          </c:marker>
          <c:dLbls>
            <c:dLbl>
              <c:idx val="0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543-4566-A8E5-7F303BA7E847}"/>
                </c:ext>
              </c:extLst>
            </c:dLbl>
            <c:dLbl>
              <c:idx val="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543-4566-A8E5-7F303BA7E847}"/>
                </c:ext>
              </c:extLst>
            </c:dLbl>
            <c:dLbl>
              <c:idx val="2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543-4566-A8E5-7F303BA7E847}"/>
                </c:ext>
              </c:extLst>
            </c:dLbl>
            <c:dLbl>
              <c:idx val="3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543-4566-A8E5-7F303BA7E847}"/>
                </c:ext>
              </c:extLst>
            </c:dLbl>
            <c:dLbl>
              <c:idx val="4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543-4566-A8E5-7F303BA7E847}"/>
                </c:ext>
              </c:extLst>
            </c:dLbl>
            <c:dLbl>
              <c:idx val="5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543-4566-A8E5-7F303BA7E847}"/>
                </c:ext>
              </c:extLst>
            </c:dLbl>
            <c:dLbl>
              <c:idx val="6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543-4566-A8E5-7F303BA7E847}"/>
                </c:ext>
              </c:extLst>
            </c:dLbl>
            <c:dLbl>
              <c:idx val="7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543-4566-A8E5-7F303BA7E847}"/>
                </c:ext>
              </c:extLst>
            </c:dLbl>
            <c:dLbl>
              <c:idx val="8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543-4566-A8E5-7F303BA7E847}"/>
                </c:ext>
              </c:extLst>
            </c:dLbl>
            <c:dLbl>
              <c:idx val="9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F543-4566-A8E5-7F303BA7E847}"/>
                </c:ext>
              </c:extLst>
            </c:dLbl>
            <c:dLbl>
              <c:idx val="10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F543-4566-A8E5-7F303BA7E847}"/>
                </c:ext>
              </c:extLst>
            </c:dLbl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F543-4566-A8E5-7F303BA7E847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Off val="75000"/>
                    <a:lumMod val="25000"/>
                  </a:sysClr>
                </a:solidFill>
                <a:prstDash val="solid"/>
              </a:ln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Tong_Hop!$B$1:$N$2</c:f>
              <c:strCache>
                <c:ptCount val="12"/>
                <c:pt idx="0">
                  <c:v>LA</c:v>
                </c:pt>
                <c:pt idx="1">
                  <c:v>MA</c:v>
                </c:pt>
                <c:pt idx="2">
                  <c:v>BJ</c:v>
                </c:pt>
                <c:pt idx="3">
                  <c:v>GC</c:v>
                </c:pt>
                <c:pt idx="4">
                  <c:v>GS</c:v>
                </c:pt>
                <c:pt idx="5">
                  <c:v>GR</c:v>
                </c:pt>
                <c:pt idx="6">
                  <c:v>EN</c:v>
                </c:pt>
                <c:pt idx="7">
                  <c:v>GJ</c:v>
                </c:pt>
                <c:pt idx="8">
                  <c:v>EW</c:v>
                </c:pt>
                <c:pt idx="9">
                  <c:v>GP</c:v>
                </c:pt>
                <c:pt idx="10">
                  <c:v>MC</c:v>
                </c:pt>
                <c:pt idx="11">
                  <c:v>LN</c:v>
                </c:pt>
              </c:strCache>
            </c:strRef>
          </c:cat>
          <c:val>
            <c:numRef>
              <c:f>Tong_Hop!$B$3:$M$3</c:f>
              <c:numCache>
                <c:formatCode>0%</c:formatCode>
                <c:ptCount val="12"/>
                <c:pt idx="0">
                  <c:v>0.21</c:v>
                </c:pt>
                <c:pt idx="1">
                  <c:v>0.3</c:v>
                </c:pt>
                <c:pt idx="2">
                  <c:v>0.3</c:v>
                </c:pt>
                <c:pt idx="3">
                  <c:v>0.38</c:v>
                </c:pt>
                <c:pt idx="4">
                  <c:v>0.35</c:v>
                </c:pt>
                <c:pt idx="5">
                  <c:v>0.48</c:v>
                </c:pt>
                <c:pt idx="6">
                  <c:v>0.6</c:v>
                </c:pt>
                <c:pt idx="7">
                  <c:v>0.5</c:v>
                </c:pt>
                <c:pt idx="8">
                  <c:v>0.68</c:v>
                </c:pt>
                <c:pt idx="9">
                  <c:v>0.7</c:v>
                </c:pt>
                <c:pt idx="10">
                  <c:v>0.65</c:v>
                </c:pt>
                <c:pt idx="11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F543-4566-A8E5-7F303BA7E8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5858304"/>
        <c:axId val="1005847864"/>
      </c:lineChart>
      <c:catAx>
        <c:axId val="100585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847864"/>
        <c:crosses val="autoZero"/>
        <c:auto val="1"/>
        <c:lblAlgn val="ctr"/>
        <c:lblOffset val="100"/>
        <c:noMultiLvlLbl val="0"/>
      </c:catAx>
      <c:valAx>
        <c:axId val="1005847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85830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Biểu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Đồ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Tỉ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Lệ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Hoạt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Động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CĐ Phóng điện tạo hình (EN)-9h/ca [</a:t>
            </a:r>
            <a:r>
              <a:rPr lang="en-US" sz="1400" b="0" i="0" strike="noStrike" kern="1200" spc="0" baseline="0" dirty="0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MT </a:t>
            </a:r>
            <a:r>
              <a:rPr lang="en-US" sz="1400" b="0" i="0" strike="noStrike" kern="1200" spc="0" baseline="0" dirty="0" err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có</a:t>
            </a:r>
            <a:r>
              <a:rPr lang="en-US" sz="1400" b="0" i="0" strike="noStrike" kern="1200" spc="0" baseline="0" dirty="0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tải: Ca 1=60%, Ca 2=73%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]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percentStacked"/>
        <c:varyColors val="0"/>
        <c:ser>
          <c:idx val="2"/>
          <c:order val="0"/>
          <c:tx>
            <c:strRef>
              <c:f>EN!$K$1</c:f>
              <c:strCache>
                <c:ptCount val="1"/>
                <c:pt idx="0">
                  <c:v>% Có Tải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numFmt formatCode="0%;\-0%;;@" sourceLinked="0"/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EN!$H$2:$H$75</c:f>
              <c:strCache>
                <c:ptCount val="2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01/04-1</c:v>
                </c:pt>
                <c:pt idx="13">
                  <c:v>01/04-2</c:v>
                </c:pt>
                <c:pt idx="14">
                  <c:v>02/04-1</c:v>
                </c:pt>
                <c:pt idx="15">
                  <c:v>02/04-2</c:v>
                </c:pt>
                <c:pt idx="16">
                  <c:v>03/04-1</c:v>
                </c:pt>
                <c:pt idx="17">
                  <c:v>03/04-2</c:v>
                </c:pt>
                <c:pt idx="18">
                  <c:v>04/04-1</c:v>
                </c:pt>
                <c:pt idx="19">
                  <c:v>04/04-2</c:v>
                </c:pt>
                <c:pt idx="20">
                  <c:v>05/04-1</c:v>
                </c:pt>
                <c:pt idx="21">
                  <c:v>05/04-2</c:v>
                </c:pt>
                <c:pt idx="22">
                  <c:v>06/04-1</c:v>
                </c:pt>
                <c:pt idx="23">
                  <c:v>06/04-2</c:v>
                </c:pt>
                <c:pt idx="24">
                  <c:v>07/04-1</c:v>
                </c:pt>
                <c:pt idx="25">
                  <c:v>07/04-2</c:v>
                </c:pt>
                <c:pt idx="26">
                  <c:v>08/04-1</c:v>
                </c:pt>
                <c:pt idx="27">
                  <c:v>08/04-2</c:v>
                </c:pt>
              </c:strCache>
            </c:strRef>
          </c:cat>
          <c:val>
            <c:numRef>
              <c:f>EN!$K$2:$K$75</c:f>
              <c:numCache>
                <c:formatCode>0%</c:formatCode>
                <c:ptCount val="74"/>
                <c:pt idx="0">
                  <c:v>0.45989745776022617</c:v>
                </c:pt>
                <c:pt idx="1">
                  <c:v>0.34446556640456233</c:v>
                </c:pt>
                <c:pt idx="2">
                  <c:v>0.5085760806530758</c:v>
                </c:pt>
                <c:pt idx="3">
                  <c:v>0.49948362666207669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0.44005496392992099</c:v>
                </c:pt>
                <c:pt idx="13">
                  <c:v>0.5636237897648686</c:v>
                </c:pt>
                <c:pt idx="14">
                  <c:v>0.49844774060020697</c:v>
                </c:pt>
                <c:pt idx="15">
                  <c:v>0.65494657014822477</c:v>
                </c:pt>
                <c:pt idx="16">
                  <c:v>0.43784530386740333</c:v>
                </c:pt>
                <c:pt idx="17">
                  <c:v>0.56607019958706128</c:v>
                </c:pt>
                <c:pt idx="18">
                  <c:v>0.49295774647887325</c:v>
                </c:pt>
                <c:pt idx="19">
                  <c:v>0.59649725274725274</c:v>
                </c:pt>
                <c:pt idx="20">
                  <c:v>0.45297967619703755</c:v>
                </c:pt>
                <c:pt idx="21">
                  <c:v>1.8049288441513364E-2</c:v>
                </c:pt>
                <c:pt idx="22">
                  <c:v>0.50429110882251971</c:v>
                </c:pt>
                <c:pt idx="23">
                  <c:v>0.61868773617313633</c:v>
                </c:pt>
                <c:pt idx="24">
                  <c:v>0.47517241379310343</c:v>
                </c:pt>
                <c:pt idx="25">
                  <c:v>0.54308273257809814</c:v>
                </c:pt>
                <c:pt idx="26">
                  <c:v>0.5005145797598628</c:v>
                </c:pt>
                <c:pt idx="27">
                  <c:v>0.62388469457789975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1B-49E2-A1D3-1FC3789E3F8E}"/>
            </c:ext>
          </c:extLst>
        </c:ser>
        <c:ser>
          <c:idx val="3"/>
          <c:order val="1"/>
          <c:tx>
            <c:strRef>
              <c:f>EN!$L$1</c:f>
              <c:strCache>
                <c:ptCount val="1"/>
                <c:pt idx="0">
                  <c:v>% Không Tải</c:v>
                </c:pt>
              </c:strCache>
            </c:strRef>
          </c:tx>
          <c:spPr>
            <a:solidFill>
              <a:srgbClr val="FFC000"/>
            </a:solidFill>
            <a:ln>
              <a:noFill/>
              <a:prstDash val="solid"/>
            </a:ln>
          </c:spPr>
          <c:invertIfNegative val="0"/>
          <c:cat>
            <c:strRef>
              <c:f>EN!$H$2:$H$75</c:f>
              <c:strCache>
                <c:ptCount val="2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01/04-1</c:v>
                </c:pt>
                <c:pt idx="13">
                  <c:v>01/04-2</c:v>
                </c:pt>
                <c:pt idx="14">
                  <c:v>02/04-1</c:v>
                </c:pt>
                <c:pt idx="15">
                  <c:v>02/04-2</c:v>
                </c:pt>
                <c:pt idx="16">
                  <c:v>03/04-1</c:v>
                </c:pt>
                <c:pt idx="17">
                  <c:v>03/04-2</c:v>
                </c:pt>
                <c:pt idx="18">
                  <c:v>04/04-1</c:v>
                </c:pt>
                <c:pt idx="19">
                  <c:v>04/04-2</c:v>
                </c:pt>
                <c:pt idx="20">
                  <c:v>05/04-1</c:v>
                </c:pt>
                <c:pt idx="21">
                  <c:v>05/04-2</c:v>
                </c:pt>
                <c:pt idx="22">
                  <c:v>06/04-1</c:v>
                </c:pt>
                <c:pt idx="23">
                  <c:v>06/04-2</c:v>
                </c:pt>
                <c:pt idx="24">
                  <c:v>07/04-1</c:v>
                </c:pt>
                <c:pt idx="25">
                  <c:v>07/04-2</c:v>
                </c:pt>
                <c:pt idx="26">
                  <c:v>08/04-1</c:v>
                </c:pt>
                <c:pt idx="27">
                  <c:v>08/04-2</c:v>
                </c:pt>
              </c:strCache>
            </c:strRef>
          </c:cat>
          <c:val>
            <c:numRef>
              <c:f>EN!$L$2:$L$75</c:f>
              <c:numCache>
                <c:formatCode>0%</c:formatCode>
                <c:ptCount val="74"/>
                <c:pt idx="0">
                  <c:v>0.38261493930486684</c:v>
                </c:pt>
                <c:pt idx="1">
                  <c:v>0.26050166026835864</c:v>
                </c:pt>
                <c:pt idx="2">
                  <c:v>0.3962004282464201</c:v>
                </c:pt>
                <c:pt idx="3">
                  <c:v>0.4402513016911227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0.55994503607007906</c:v>
                </c:pt>
                <c:pt idx="13">
                  <c:v>0.4363762102351314</c:v>
                </c:pt>
                <c:pt idx="14">
                  <c:v>0.50155225939979298</c:v>
                </c:pt>
                <c:pt idx="15">
                  <c:v>0.34505342985177523</c:v>
                </c:pt>
                <c:pt idx="16">
                  <c:v>0.56215469613259672</c:v>
                </c:pt>
                <c:pt idx="17">
                  <c:v>0.43392980041293877</c:v>
                </c:pt>
                <c:pt idx="18">
                  <c:v>0.50704225352112675</c:v>
                </c:pt>
                <c:pt idx="19">
                  <c:v>0.40350274725274726</c:v>
                </c:pt>
                <c:pt idx="20">
                  <c:v>0.53599724423010675</c:v>
                </c:pt>
                <c:pt idx="21">
                  <c:v>0.23221103783408539</c:v>
                </c:pt>
                <c:pt idx="22">
                  <c:v>0.28664606934431858</c:v>
                </c:pt>
                <c:pt idx="23">
                  <c:v>0.38131226382686362</c:v>
                </c:pt>
                <c:pt idx="24">
                  <c:v>0.52482758620689651</c:v>
                </c:pt>
                <c:pt idx="25">
                  <c:v>0.45691726742190181</c:v>
                </c:pt>
                <c:pt idx="26">
                  <c:v>0.4994854202401372</c:v>
                </c:pt>
                <c:pt idx="27">
                  <c:v>0.3761153054221002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1B-49E2-A1D3-1FC3789E3F8E}"/>
            </c:ext>
          </c:extLst>
        </c:ser>
        <c:ser>
          <c:idx val="4"/>
          <c:order val="2"/>
          <c:tx>
            <c:strRef>
              <c:f>EN!$M$1</c:f>
              <c:strCache>
                <c:ptCount val="1"/>
                <c:pt idx="0">
                  <c:v>% Tắt Máy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strRef>
              <c:f>EN!$H$2:$H$75</c:f>
              <c:strCache>
                <c:ptCount val="2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01/04-1</c:v>
                </c:pt>
                <c:pt idx="13">
                  <c:v>01/04-2</c:v>
                </c:pt>
                <c:pt idx="14">
                  <c:v>02/04-1</c:v>
                </c:pt>
                <c:pt idx="15">
                  <c:v>02/04-2</c:v>
                </c:pt>
                <c:pt idx="16">
                  <c:v>03/04-1</c:v>
                </c:pt>
                <c:pt idx="17">
                  <c:v>03/04-2</c:v>
                </c:pt>
                <c:pt idx="18">
                  <c:v>04/04-1</c:v>
                </c:pt>
                <c:pt idx="19">
                  <c:v>04/04-2</c:v>
                </c:pt>
                <c:pt idx="20">
                  <c:v>05/04-1</c:v>
                </c:pt>
                <c:pt idx="21">
                  <c:v>05/04-2</c:v>
                </c:pt>
                <c:pt idx="22">
                  <c:v>06/04-1</c:v>
                </c:pt>
                <c:pt idx="23">
                  <c:v>06/04-2</c:v>
                </c:pt>
                <c:pt idx="24">
                  <c:v>07/04-1</c:v>
                </c:pt>
                <c:pt idx="25">
                  <c:v>07/04-2</c:v>
                </c:pt>
                <c:pt idx="26">
                  <c:v>08/04-1</c:v>
                </c:pt>
                <c:pt idx="27">
                  <c:v>08/04-2</c:v>
                </c:pt>
              </c:strCache>
            </c:strRef>
          </c:cat>
          <c:val>
            <c:numRef>
              <c:f>EN!$M$2:$M$75</c:f>
              <c:numCache>
                <c:formatCode>0%</c:formatCode>
                <c:ptCount val="74"/>
                <c:pt idx="0">
                  <c:v>0.15748760293490699</c:v>
                </c:pt>
                <c:pt idx="1">
                  <c:v>0.39503277332707903</c:v>
                </c:pt>
                <c:pt idx="2">
                  <c:v>9.5223491100504085E-2</c:v>
                </c:pt>
                <c:pt idx="3">
                  <c:v>6.0265071646800637E-2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1.1023079572855667E-2</c:v>
                </c:pt>
                <c:pt idx="21">
                  <c:v>0.7497396737244012</c:v>
                </c:pt>
                <c:pt idx="22">
                  <c:v>0.20906282183316169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F1B-49E2-A1D3-1FC3789E3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005856504"/>
        <c:axId val="1005854704"/>
      </c:barChart>
      <c:lineChart>
        <c:grouping val="standard"/>
        <c:varyColors val="0"/>
        <c:ser>
          <c:idx val="5"/>
          <c:order val="3"/>
          <c:tx>
            <c:strRef>
              <c:f>EN!$I$1</c:f>
              <c:strCache>
                <c:ptCount val="1"/>
                <c:pt idx="0">
                  <c:v>Mục Tiêu C1</c:v>
                </c:pt>
              </c:strCache>
            </c:strRef>
          </c:tx>
          <c:spPr>
            <a:ln w="28575" cap="rnd">
              <a:solidFill>
                <a:srgbClr val="FF00FF"/>
              </a:solidFill>
              <a:prstDash val="solid"/>
              <a:round/>
            </a:ln>
          </c:spPr>
          <c:marker>
            <c:symbol val="none"/>
          </c:marker>
          <c:cat>
            <c:strRef>
              <c:f>EN!$H$2:$H$75</c:f>
              <c:strCache>
                <c:ptCount val="2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01/04-1</c:v>
                </c:pt>
                <c:pt idx="13">
                  <c:v>01/04-2</c:v>
                </c:pt>
                <c:pt idx="14">
                  <c:v>02/04-1</c:v>
                </c:pt>
                <c:pt idx="15">
                  <c:v>02/04-2</c:v>
                </c:pt>
                <c:pt idx="16">
                  <c:v>03/04-1</c:v>
                </c:pt>
                <c:pt idx="17">
                  <c:v>03/04-2</c:v>
                </c:pt>
                <c:pt idx="18">
                  <c:v>04/04-1</c:v>
                </c:pt>
                <c:pt idx="19">
                  <c:v>04/04-2</c:v>
                </c:pt>
                <c:pt idx="20">
                  <c:v>05/04-1</c:v>
                </c:pt>
                <c:pt idx="21">
                  <c:v>05/04-2</c:v>
                </c:pt>
                <c:pt idx="22">
                  <c:v>06/04-1</c:v>
                </c:pt>
                <c:pt idx="23">
                  <c:v>06/04-2</c:v>
                </c:pt>
                <c:pt idx="24">
                  <c:v>07/04-1</c:v>
                </c:pt>
                <c:pt idx="25">
                  <c:v>07/04-2</c:v>
                </c:pt>
                <c:pt idx="26">
                  <c:v>08/04-1</c:v>
                </c:pt>
                <c:pt idx="27">
                  <c:v>08/04-2</c:v>
                </c:pt>
              </c:strCache>
            </c:strRef>
          </c:cat>
          <c:val>
            <c:numRef>
              <c:f>EN!$I$2:$I$75</c:f>
              <c:numCache>
                <c:formatCode>0%</c:formatCode>
                <c:ptCount val="74"/>
                <c:pt idx="0">
                  <c:v>0.6</c:v>
                </c:pt>
                <c:pt idx="1">
                  <c:v>0.6</c:v>
                </c:pt>
                <c:pt idx="2">
                  <c:v>0.6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0.6</c:v>
                </c:pt>
                <c:pt idx="8">
                  <c:v>0.6</c:v>
                </c:pt>
                <c:pt idx="9">
                  <c:v>0.6</c:v>
                </c:pt>
                <c:pt idx="10">
                  <c:v>0.6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F1B-49E2-A1D3-1FC3789E3F8E}"/>
            </c:ext>
          </c:extLst>
        </c:ser>
        <c:ser>
          <c:idx val="6"/>
          <c:order val="4"/>
          <c:tx>
            <c:strRef>
              <c:f>EN!$J$1</c:f>
              <c:strCache>
                <c:ptCount val="1"/>
                <c:pt idx="0">
                  <c:v>Mục Tiêu C2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cat>
            <c:strRef>
              <c:f>EN!$H$2:$H$75</c:f>
              <c:strCache>
                <c:ptCount val="2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01/04-1</c:v>
                </c:pt>
                <c:pt idx="13">
                  <c:v>01/04-2</c:v>
                </c:pt>
                <c:pt idx="14">
                  <c:v>02/04-1</c:v>
                </c:pt>
                <c:pt idx="15">
                  <c:v>02/04-2</c:v>
                </c:pt>
                <c:pt idx="16">
                  <c:v>03/04-1</c:v>
                </c:pt>
                <c:pt idx="17">
                  <c:v>03/04-2</c:v>
                </c:pt>
                <c:pt idx="18">
                  <c:v>04/04-1</c:v>
                </c:pt>
                <c:pt idx="19">
                  <c:v>04/04-2</c:v>
                </c:pt>
                <c:pt idx="20">
                  <c:v>05/04-1</c:v>
                </c:pt>
                <c:pt idx="21">
                  <c:v>05/04-2</c:v>
                </c:pt>
                <c:pt idx="22">
                  <c:v>06/04-1</c:v>
                </c:pt>
                <c:pt idx="23">
                  <c:v>06/04-2</c:v>
                </c:pt>
                <c:pt idx="24">
                  <c:v>07/04-1</c:v>
                </c:pt>
                <c:pt idx="25">
                  <c:v>07/04-2</c:v>
                </c:pt>
                <c:pt idx="26">
                  <c:v>08/04-1</c:v>
                </c:pt>
                <c:pt idx="27">
                  <c:v>08/04-2</c:v>
                </c:pt>
              </c:strCache>
            </c:strRef>
          </c:cat>
          <c:val>
            <c:numRef>
              <c:f>EN!$J$2:$J$75</c:f>
              <c:numCache>
                <c:formatCode>0%</c:formatCode>
                <c:ptCount val="74"/>
                <c:pt idx="0">
                  <c:v>0.72941176470588232</c:v>
                </c:pt>
                <c:pt idx="1">
                  <c:v>0.72941176470588232</c:v>
                </c:pt>
                <c:pt idx="2">
                  <c:v>0.72941176470588232</c:v>
                </c:pt>
                <c:pt idx="3">
                  <c:v>0.72941176470588232</c:v>
                </c:pt>
                <c:pt idx="4">
                  <c:v>0.72941176470588232</c:v>
                </c:pt>
                <c:pt idx="5">
                  <c:v>0.72941176470588232</c:v>
                </c:pt>
                <c:pt idx="6">
                  <c:v>0.72941176470588232</c:v>
                </c:pt>
                <c:pt idx="7">
                  <c:v>0.72941176470588232</c:v>
                </c:pt>
                <c:pt idx="8">
                  <c:v>0.72941176470588232</c:v>
                </c:pt>
                <c:pt idx="9">
                  <c:v>0.72941176470588232</c:v>
                </c:pt>
                <c:pt idx="10">
                  <c:v>0.72941176470588232</c:v>
                </c:pt>
                <c:pt idx="11">
                  <c:v>0.72941176470588232</c:v>
                </c:pt>
                <c:pt idx="12">
                  <c:v>0.72941176470588232</c:v>
                </c:pt>
                <c:pt idx="13">
                  <c:v>0.72941176470588232</c:v>
                </c:pt>
                <c:pt idx="14">
                  <c:v>0.72941176470588232</c:v>
                </c:pt>
                <c:pt idx="15">
                  <c:v>0.72941176470588232</c:v>
                </c:pt>
                <c:pt idx="16">
                  <c:v>0.72941176470588232</c:v>
                </c:pt>
                <c:pt idx="17">
                  <c:v>0.72941176470588232</c:v>
                </c:pt>
                <c:pt idx="18">
                  <c:v>0.72941176470588232</c:v>
                </c:pt>
                <c:pt idx="19">
                  <c:v>0.72941176470588232</c:v>
                </c:pt>
                <c:pt idx="20">
                  <c:v>0.72941176470588232</c:v>
                </c:pt>
                <c:pt idx="21">
                  <c:v>0.72941176470588232</c:v>
                </c:pt>
                <c:pt idx="22">
                  <c:v>0.72941176470588232</c:v>
                </c:pt>
                <c:pt idx="23">
                  <c:v>0.72941176470588232</c:v>
                </c:pt>
                <c:pt idx="24">
                  <c:v>0.72941176470588232</c:v>
                </c:pt>
                <c:pt idx="25">
                  <c:v>0.72941176470588232</c:v>
                </c:pt>
                <c:pt idx="26">
                  <c:v>0.72941176470588232</c:v>
                </c:pt>
                <c:pt idx="27">
                  <c:v>0.72941176470588232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F1B-49E2-A1D3-1FC3789E3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5856504"/>
        <c:axId val="1005854704"/>
      </c:lineChart>
      <c:catAx>
        <c:axId val="1005856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854704"/>
        <c:crosses val="autoZero"/>
        <c:auto val="1"/>
        <c:lblAlgn val="ctr"/>
        <c:lblOffset val="100"/>
        <c:noMultiLvlLbl val="0"/>
      </c:catAx>
      <c:valAx>
        <c:axId val="1005854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85650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Biểu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Đồ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Tỉ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Lệ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Hoạt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Động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CĐ Cắt dây (EW)-9h/ca [</a:t>
            </a:r>
            <a:r>
              <a:rPr lang="en-US" sz="1400" b="0" i="0" strike="noStrike" kern="1200" spc="0" baseline="0" dirty="0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MT có tải: Ca 1=68%, Ca 2=84%</a:t>
            </a:r>
            <a:r>
              <a:rPr lang="en-US" sz="1400" b="0" i="0" strike="noStrike" kern="1200" spc="0" baseline="0" dirty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]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3.8071780840568878E-2"/>
          <c:y val="0.1342631137668085"/>
          <c:w val="0.94995054170911086"/>
          <c:h val="0.65702124893073"/>
        </c:manualLayout>
      </c:layout>
      <c:barChart>
        <c:barDir val="col"/>
        <c:grouping val="percentStacked"/>
        <c:varyColors val="0"/>
        <c:ser>
          <c:idx val="2"/>
          <c:order val="0"/>
          <c:tx>
            <c:strRef>
              <c:f>EW!$K$1</c:f>
              <c:strCache>
                <c:ptCount val="1"/>
                <c:pt idx="0">
                  <c:v>% Có Tải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numFmt formatCode="0%;\-0%;;@" sourceLinked="0"/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EW!$H$2:$H$75</c:f>
              <c:strCache>
                <c:ptCount val="2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01/04-1</c:v>
                </c:pt>
                <c:pt idx="13">
                  <c:v>01/04-2</c:v>
                </c:pt>
                <c:pt idx="14">
                  <c:v>02/04-1</c:v>
                </c:pt>
                <c:pt idx="15">
                  <c:v>02/04-2</c:v>
                </c:pt>
                <c:pt idx="16">
                  <c:v>03/04-1</c:v>
                </c:pt>
                <c:pt idx="17">
                  <c:v>03/04-2</c:v>
                </c:pt>
                <c:pt idx="18">
                  <c:v>04/04-1</c:v>
                </c:pt>
                <c:pt idx="19">
                  <c:v>04/04-2</c:v>
                </c:pt>
                <c:pt idx="20">
                  <c:v>05/04-1</c:v>
                </c:pt>
                <c:pt idx="21">
                  <c:v>05/04-2</c:v>
                </c:pt>
                <c:pt idx="22">
                  <c:v>06/04-1</c:v>
                </c:pt>
                <c:pt idx="23">
                  <c:v>06/04-2</c:v>
                </c:pt>
                <c:pt idx="24">
                  <c:v>07/04-1</c:v>
                </c:pt>
                <c:pt idx="25">
                  <c:v>07/04-2</c:v>
                </c:pt>
                <c:pt idx="26">
                  <c:v>08/04-1</c:v>
                </c:pt>
                <c:pt idx="27">
                  <c:v>08/04-2</c:v>
                </c:pt>
              </c:strCache>
            </c:strRef>
          </c:cat>
          <c:val>
            <c:numRef>
              <c:f>EW!$K$2:$K$75</c:f>
              <c:numCache>
                <c:formatCode>0%</c:formatCode>
                <c:ptCount val="74"/>
                <c:pt idx="0">
                  <c:v>0.53119716881184775</c:v>
                </c:pt>
                <c:pt idx="1">
                  <c:v>0.39814005393843577</c:v>
                </c:pt>
                <c:pt idx="2">
                  <c:v>0.59869893166587218</c:v>
                </c:pt>
                <c:pt idx="3">
                  <c:v>0.59929731722657187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0.56260839403399232</c:v>
                </c:pt>
                <c:pt idx="13">
                  <c:v>0.79895833333333333</c:v>
                </c:pt>
                <c:pt idx="14">
                  <c:v>0.57905686546463242</c:v>
                </c:pt>
                <c:pt idx="15">
                  <c:v>0.75260235947258847</c:v>
                </c:pt>
                <c:pt idx="16">
                  <c:v>0.55119750086775421</c:v>
                </c:pt>
                <c:pt idx="17">
                  <c:v>0.66031195840554591</c:v>
                </c:pt>
                <c:pt idx="18">
                  <c:v>0.5913194444444444</c:v>
                </c:pt>
                <c:pt idx="19">
                  <c:v>0.74305555555555558</c:v>
                </c:pt>
                <c:pt idx="20">
                  <c:v>0.49062499999999998</c:v>
                </c:pt>
                <c:pt idx="21">
                  <c:v>2.9534398888116747E-2</c:v>
                </c:pt>
                <c:pt idx="22">
                  <c:v>0.50416666666666665</c:v>
                </c:pt>
                <c:pt idx="23">
                  <c:v>0.78051317614424409</c:v>
                </c:pt>
                <c:pt idx="24">
                  <c:v>0.52235701906412479</c:v>
                </c:pt>
                <c:pt idx="25">
                  <c:v>0.69961845300034686</c:v>
                </c:pt>
                <c:pt idx="26">
                  <c:v>0.59305555555555556</c:v>
                </c:pt>
                <c:pt idx="27">
                  <c:v>0.7288488210818308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2A-4C3C-90CC-5B7BC604FD64}"/>
            </c:ext>
          </c:extLst>
        </c:ser>
        <c:ser>
          <c:idx val="3"/>
          <c:order val="1"/>
          <c:tx>
            <c:strRef>
              <c:f>EW!$L$1</c:f>
              <c:strCache>
                <c:ptCount val="1"/>
                <c:pt idx="0">
                  <c:v>% Không Tải</c:v>
                </c:pt>
              </c:strCache>
            </c:strRef>
          </c:tx>
          <c:spPr>
            <a:solidFill>
              <a:srgbClr val="FFC000"/>
            </a:solidFill>
            <a:ln>
              <a:noFill/>
              <a:prstDash val="solid"/>
            </a:ln>
          </c:spPr>
          <c:invertIfNegative val="0"/>
          <c:cat>
            <c:strRef>
              <c:f>EW!$H$2:$H$75</c:f>
              <c:strCache>
                <c:ptCount val="2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01/04-1</c:v>
                </c:pt>
                <c:pt idx="13">
                  <c:v>01/04-2</c:v>
                </c:pt>
                <c:pt idx="14">
                  <c:v>02/04-1</c:v>
                </c:pt>
                <c:pt idx="15">
                  <c:v>02/04-2</c:v>
                </c:pt>
                <c:pt idx="16">
                  <c:v>03/04-1</c:v>
                </c:pt>
                <c:pt idx="17">
                  <c:v>03/04-2</c:v>
                </c:pt>
                <c:pt idx="18">
                  <c:v>04/04-1</c:v>
                </c:pt>
                <c:pt idx="19">
                  <c:v>04/04-2</c:v>
                </c:pt>
                <c:pt idx="20">
                  <c:v>05/04-1</c:v>
                </c:pt>
                <c:pt idx="21">
                  <c:v>05/04-2</c:v>
                </c:pt>
                <c:pt idx="22">
                  <c:v>06/04-1</c:v>
                </c:pt>
                <c:pt idx="23">
                  <c:v>06/04-2</c:v>
                </c:pt>
                <c:pt idx="24">
                  <c:v>07/04-1</c:v>
                </c:pt>
                <c:pt idx="25">
                  <c:v>07/04-2</c:v>
                </c:pt>
                <c:pt idx="26">
                  <c:v>08/04-1</c:v>
                </c:pt>
                <c:pt idx="27">
                  <c:v>08/04-2</c:v>
                </c:pt>
              </c:strCache>
            </c:strRef>
          </c:cat>
          <c:val>
            <c:numRef>
              <c:f>EW!$L$2:$L$75</c:f>
              <c:numCache>
                <c:formatCode>0%</c:formatCode>
                <c:ptCount val="74"/>
                <c:pt idx="0">
                  <c:v>0.28754254671685864</c:v>
                </c:pt>
                <c:pt idx="1">
                  <c:v>0.22337952199386218</c:v>
                </c:pt>
                <c:pt idx="2">
                  <c:v>0.30992345007430672</c:v>
                </c:pt>
                <c:pt idx="3">
                  <c:v>0.32186774816196406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0.43739160596600762</c:v>
                </c:pt>
                <c:pt idx="13">
                  <c:v>0.20104166666666667</c:v>
                </c:pt>
                <c:pt idx="14">
                  <c:v>0.42094313453536752</c:v>
                </c:pt>
                <c:pt idx="15">
                  <c:v>0.24739764052741153</c:v>
                </c:pt>
                <c:pt idx="16">
                  <c:v>0.44880249913224574</c:v>
                </c:pt>
                <c:pt idx="17">
                  <c:v>0.33968804159445409</c:v>
                </c:pt>
                <c:pt idx="18">
                  <c:v>0.40833333333333333</c:v>
                </c:pt>
                <c:pt idx="19">
                  <c:v>0.25694444444444442</c:v>
                </c:pt>
                <c:pt idx="20">
                  <c:v>0.49513888888888891</c:v>
                </c:pt>
                <c:pt idx="21">
                  <c:v>0</c:v>
                </c:pt>
                <c:pt idx="22">
                  <c:v>0.21805555555555556</c:v>
                </c:pt>
                <c:pt idx="23">
                  <c:v>0.21948682385575591</c:v>
                </c:pt>
                <c:pt idx="24">
                  <c:v>0.47764298093587521</c:v>
                </c:pt>
                <c:pt idx="25">
                  <c:v>0.30038154699965314</c:v>
                </c:pt>
                <c:pt idx="26">
                  <c:v>0.40694444444444444</c:v>
                </c:pt>
                <c:pt idx="27">
                  <c:v>0.2711511789181692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2A-4C3C-90CC-5B7BC604FD64}"/>
            </c:ext>
          </c:extLst>
        </c:ser>
        <c:ser>
          <c:idx val="4"/>
          <c:order val="2"/>
          <c:tx>
            <c:strRef>
              <c:f>EW!$M$1</c:f>
              <c:strCache>
                <c:ptCount val="1"/>
                <c:pt idx="0">
                  <c:v>% Tắt Máy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strRef>
              <c:f>EW!$H$2:$H$75</c:f>
              <c:strCache>
                <c:ptCount val="2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01/04-1</c:v>
                </c:pt>
                <c:pt idx="13">
                  <c:v>01/04-2</c:v>
                </c:pt>
                <c:pt idx="14">
                  <c:v>02/04-1</c:v>
                </c:pt>
                <c:pt idx="15">
                  <c:v>02/04-2</c:v>
                </c:pt>
                <c:pt idx="16">
                  <c:v>03/04-1</c:v>
                </c:pt>
                <c:pt idx="17">
                  <c:v>03/04-2</c:v>
                </c:pt>
                <c:pt idx="18">
                  <c:v>04/04-1</c:v>
                </c:pt>
                <c:pt idx="19">
                  <c:v>04/04-2</c:v>
                </c:pt>
                <c:pt idx="20">
                  <c:v>05/04-1</c:v>
                </c:pt>
                <c:pt idx="21">
                  <c:v>05/04-2</c:v>
                </c:pt>
                <c:pt idx="22">
                  <c:v>06/04-1</c:v>
                </c:pt>
                <c:pt idx="23">
                  <c:v>06/04-2</c:v>
                </c:pt>
                <c:pt idx="24">
                  <c:v>07/04-1</c:v>
                </c:pt>
                <c:pt idx="25">
                  <c:v>07/04-2</c:v>
                </c:pt>
                <c:pt idx="26">
                  <c:v>08/04-1</c:v>
                </c:pt>
                <c:pt idx="27">
                  <c:v>08/04-2</c:v>
                </c:pt>
              </c:strCache>
            </c:strRef>
          </c:cat>
          <c:val>
            <c:numRef>
              <c:f>EW!$M$2:$M$75</c:f>
              <c:numCache>
                <c:formatCode>0%</c:formatCode>
                <c:ptCount val="74"/>
                <c:pt idx="0">
                  <c:v>0.18126028447129364</c:v>
                </c:pt>
                <c:pt idx="1">
                  <c:v>0.37848042406770205</c:v>
                </c:pt>
                <c:pt idx="2">
                  <c:v>9.1377618259821103E-2</c:v>
                </c:pt>
                <c:pt idx="3">
                  <c:v>7.8834934611464139E-2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3.4722222222222224E-4</c:v>
                </c:pt>
                <c:pt idx="19">
                  <c:v>0</c:v>
                </c:pt>
                <c:pt idx="20">
                  <c:v>1.4236111111111111E-2</c:v>
                </c:pt>
                <c:pt idx="21">
                  <c:v>0.97046560111188329</c:v>
                </c:pt>
                <c:pt idx="22">
                  <c:v>0.27777777777777779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C2A-4C3C-90CC-5B7BC604FD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005830944"/>
        <c:axId val="1005833464"/>
      </c:barChart>
      <c:lineChart>
        <c:grouping val="standard"/>
        <c:varyColors val="0"/>
        <c:ser>
          <c:idx val="5"/>
          <c:order val="3"/>
          <c:tx>
            <c:strRef>
              <c:f>EW!$I$1</c:f>
              <c:strCache>
                <c:ptCount val="1"/>
                <c:pt idx="0">
                  <c:v>Mục Tiêu C1</c:v>
                </c:pt>
              </c:strCache>
            </c:strRef>
          </c:tx>
          <c:spPr>
            <a:ln w="28575" cap="rnd">
              <a:solidFill>
                <a:srgbClr val="FF00FF"/>
              </a:solidFill>
              <a:prstDash val="solid"/>
              <a:round/>
            </a:ln>
          </c:spPr>
          <c:marker>
            <c:symbol val="none"/>
          </c:marker>
          <c:cat>
            <c:strRef>
              <c:f>EW!$H$2:$H$75</c:f>
              <c:strCache>
                <c:ptCount val="2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01/04-1</c:v>
                </c:pt>
                <c:pt idx="13">
                  <c:v>01/04-2</c:v>
                </c:pt>
                <c:pt idx="14">
                  <c:v>02/04-1</c:v>
                </c:pt>
                <c:pt idx="15">
                  <c:v>02/04-2</c:v>
                </c:pt>
                <c:pt idx="16">
                  <c:v>03/04-1</c:v>
                </c:pt>
                <c:pt idx="17">
                  <c:v>03/04-2</c:v>
                </c:pt>
                <c:pt idx="18">
                  <c:v>04/04-1</c:v>
                </c:pt>
                <c:pt idx="19">
                  <c:v>04/04-2</c:v>
                </c:pt>
                <c:pt idx="20">
                  <c:v>05/04-1</c:v>
                </c:pt>
                <c:pt idx="21">
                  <c:v>05/04-2</c:v>
                </c:pt>
                <c:pt idx="22">
                  <c:v>06/04-1</c:v>
                </c:pt>
                <c:pt idx="23">
                  <c:v>06/04-2</c:v>
                </c:pt>
                <c:pt idx="24">
                  <c:v>07/04-1</c:v>
                </c:pt>
                <c:pt idx="25">
                  <c:v>07/04-2</c:v>
                </c:pt>
                <c:pt idx="26">
                  <c:v>08/04-1</c:v>
                </c:pt>
                <c:pt idx="27">
                  <c:v>08/04-2</c:v>
                </c:pt>
              </c:strCache>
            </c:strRef>
          </c:cat>
          <c:val>
            <c:numRef>
              <c:f>EW!$I$2:$I$75</c:f>
              <c:numCache>
                <c:formatCode>0%</c:formatCode>
                <c:ptCount val="74"/>
                <c:pt idx="0">
                  <c:v>0.68</c:v>
                </c:pt>
                <c:pt idx="1">
                  <c:v>0.68</c:v>
                </c:pt>
                <c:pt idx="2">
                  <c:v>0.68</c:v>
                </c:pt>
                <c:pt idx="3">
                  <c:v>0.68</c:v>
                </c:pt>
                <c:pt idx="4">
                  <c:v>0.68</c:v>
                </c:pt>
                <c:pt idx="5">
                  <c:v>0.68</c:v>
                </c:pt>
                <c:pt idx="6">
                  <c:v>0.68</c:v>
                </c:pt>
                <c:pt idx="7">
                  <c:v>0.68</c:v>
                </c:pt>
                <c:pt idx="8">
                  <c:v>0.68</c:v>
                </c:pt>
                <c:pt idx="9">
                  <c:v>0.68</c:v>
                </c:pt>
                <c:pt idx="10">
                  <c:v>0.68</c:v>
                </c:pt>
                <c:pt idx="11">
                  <c:v>0.68</c:v>
                </c:pt>
                <c:pt idx="12">
                  <c:v>0.68</c:v>
                </c:pt>
                <c:pt idx="13">
                  <c:v>0.68</c:v>
                </c:pt>
                <c:pt idx="14">
                  <c:v>0.68</c:v>
                </c:pt>
                <c:pt idx="15">
                  <c:v>0.68</c:v>
                </c:pt>
                <c:pt idx="16">
                  <c:v>0.68</c:v>
                </c:pt>
                <c:pt idx="17">
                  <c:v>0.68</c:v>
                </c:pt>
                <c:pt idx="18">
                  <c:v>0.68</c:v>
                </c:pt>
                <c:pt idx="19">
                  <c:v>0.68</c:v>
                </c:pt>
                <c:pt idx="20">
                  <c:v>0.68</c:v>
                </c:pt>
                <c:pt idx="21">
                  <c:v>0.68</c:v>
                </c:pt>
                <c:pt idx="22">
                  <c:v>0.68</c:v>
                </c:pt>
                <c:pt idx="23">
                  <c:v>0.68</c:v>
                </c:pt>
                <c:pt idx="24">
                  <c:v>0.68</c:v>
                </c:pt>
                <c:pt idx="25">
                  <c:v>0.68</c:v>
                </c:pt>
                <c:pt idx="26">
                  <c:v>0.68</c:v>
                </c:pt>
                <c:pt idx="27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C2A-4C3C-90CC-5B7BC604FD64}"/>
            </c:ext>
          </c:extLst>
        </c:ser>
        <c:ser>
          <c:idx val="6"/>
          <c:order val="4"/>
          <c:tx>
            <c:strRef>
              <c:f>EW!$J$1</c:f>
              <c:strCache>
                <c:ptCount val="1"/>
                <c:pt idx="0">
                  <c:v>Mục Tiêu C2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cat>
            <c:strRef>
              <c:f>EW!$H$2:$H$75</c:f>
              <c:strCache>
                <c:ptCount val="2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01/04-1</c:v>
                </c:pt>
                <c:pt idx="13">
                  <c:v>01/04-2</c:v>
                </c:pt>
                <c:pt idx="14">
                  <c:v>02/04-1</c:v>
                </c:pt>
                <c:pt idx="15">
                  <c:v>02/04-2</c:v>
                </c:pt>
                <c:pt idx="16">
                  <c:v>03/04-1</c:v>
                </c:pt>
                <c:pt idx="17">
                  <c:v>03/04-2</c:v>
                </c:pt>
                <c:pt idx="18">
                  <c:v>04/04-1</c:v>
                </c:pt>
                <c:pt idx="19">
                  <c:v>04/04-2</c:v>
                </c:pt>
                <c:pt idx="20">
                  <c:v>05/04-1</c:v>
                </c:pt>
                <c:pt idx="21">
                  <c:v>05/04-2</c:v>
                </c:pt>
                <c:pt idx="22">
                  <c:v>06/04-1</c:v>
                </c:pt>
                <c:pt idx="23">
                  <c:v>06/04-2</c:v>
                </c:pt>
                <c:pt idx="24">
                  <c:v>07/04-1</c:v>
                </c:pt>
                <c:pt idx="25">
                  <c:v>07/04-2</c:v>
                </c:pt>
                <c:pt idx="26">
                  <c:v>08/04-1</c:v>
                </c:pt>
                <c:pt idx="27">
                  <c:v>08/04-2</c:v>
                </c:pt>
              </c:strCache>
            </c:strRef>
          </c:cat>
          <c:val>
            <c:numRef>
              <c:f>EW!$J$2:$J$75</c:f>
              <c:numCache>
                <c:formatCode>0%</c:formatCode>
                <c:ptCount val="74"/>
                <c:pt idx="0">
                  <c:v>0.84235294117647064</c:v>
                </c:pt>
                <c:pt idx="1">
                  <c:v>0.84235294117647064</c:v>
                </c:pt>
                <c:pt idx="2">
                  <c:v>0.84235294117647064</c:v>
                </c:pt>
                <c:pt idx="3">
                  <c:v>0.84235294117647064</c:v>
                </c:pt>
                <c:pt idx="4">
                  <c:v>0.84235294117647064</c:v>
                </c:pt>
                <c:pt idx="5">
                  <c:v>0.84235294117647064</c:v>
                </c:pt>
                <c:pt idx="6">
                  <c:v>0.84235294117647064</c:v>
                </c:pt>
                <c:pt idx="7">
                  <c:v>0.84235294117647064</c:v>
                </c:pt>
                <c:pt idx="8">
                  <c:v>0.84235294117647064</c:v>
                </c:pt>
                <c:pt idx="9">
                  <c:v>0.84235294117647064</c:v>
                </c:pt>
                <c:pt idx="10">
                  <c:v>0.84235294117647064</c:v>
                </c:pt>
                <c:pt idx="11">
                  <c:v>0.84235294117647064</c:v>
                </c:pt>
                <c:pt idx="12">
                  <c:v>0.84235294117647064</c:v>
                </c:pt>
                <c:pt idx="13">
                  <c:v>0.84235294117647064</c:v>
                </c:pt>
                <c:pt idx="14">
                  <c:v>0.84235294117647064</c:v>
                </c:pt>
                <c:pt idx="15">
                  <c:v>0.84235294117647064</c:v>
                </c:pt>
                <c:pt idx="16">
                  <c:v>0.84235294117647064</c:v>
                </c:pt>
                <c:pt idx="17">
                  <c:v>0.84235294117647064</c:v>
                </c:pt>
                <c:pt idx="18">
                  <c:v>0.84235294117647064</c:v>
                </c:pt>
                <c:pt idx="19">
                  <c:v>0.84235294117647064</c:v>
                </c:pt>
                <c:pt idx="20">
                  <c:v>0.84235294117647064</c:v>
                </c:pt>
                <c:pt idx="21">
                  <c:v>0.84235294117647064</c:v>
                </c:pt>
                <c:pt idx="22">
                  <c:v>0.84235294117647064</c:v>
                </c:pt>
                <c:pt idx="23">
                  <c:v>0.84235294117647064</c:v>
                </c:pt>
                <c:pt idx="24">
                  <c:v>0.84235294117647064</c:v>
                </c:pt>
                <c:pt idx="25">
                  <c:v>0.84235294117647064</c:v>
                </c:pt>
                <c:pt idx="26">
                  <c:v>0.84235294117647064</c:v>
                </c:pt>
                <c:pt idx="27">
                  <c:v>0.84235294117647064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C2A-4C3C-90CC-5B7BC604FD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5830944"/>
        <c:axId val="1005833464"/>
      </c:lineChart>
      <c:catAx>
        <c:axId val="1005830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833464"/>
        <c:crosses val="autoZero"/>
        <c:auto val="1"/>
        <c:lblAlgn val="ctr"/>
        <c:lblOffset val="100"/>
        <c:noMultiLvlLbl val="0"/>
      </c:catAx>
      <c:valAx>
        <c:axId val="1005833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830944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8824010707717829"/>
          <c:y val="0.93723806363814466"/>
          <c:w val="0.42351978584564332"/>
          <c:h val="6.27619363618553E-2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Biểu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Đồ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Tỉ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Lệ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Hoạt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Động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CĐ Mài dụng cụ (GJ)-9h/ca [</a:t>
            </a:r>
            <a:r>
              <a:rPr lang="en-US" sz="1400" b="0" i="0" strike="noStrike" kern="1200" spc="0" baseline="0" dirty="0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MT có tải: Ca 1=50%, Ca 2=59%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]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4.0158595908362307E-2"/>
          <c:y val="0.13622924856556221"/>
          <c:w val="0.94720719844041268"/>
          <c:h val="0.67086702145045363"/>
        </c:manualLayout>
      </c:layout>
      <c:barChart>
        <c:barDir val="col"/>
        <c:grouping val="percentStacked"/>
        <c:varyColors val="0"/>
        <c:ser>
          <c:idx val="2"/>
          <c:order val="0"/>
          <c:tx>
            <c:strRef>
              <c:f>GJ!$K$1</c:f>
              <c:strCache>
                <c:ptCount val="1"/>
                <c:pt idx="0">
                  <c:v>% Có Tải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numFmt formatCode="0%;\-0%;;@" sourceLinked="0"/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GJ!$H$2:$H$75</c:f>
              <c:strCache>
                <c:ptCount val="2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01/04-1</c:v>
                </c:pt>
                <c:pt idx="13">
                  <c:v>01/04-2</c:v>
                </c:pt>
                <c:pt idx="14">
                  <c:v>02/04-1</c:v>
                </c:pt>
                <c:pt idx="15">
                  <c:v>02/04-2</c:v>
                </c:pt>
                <c:pt idx="16">
                  <c:v>03/04-1</c:v>
                </c:pt>
                <c:pt idx="17">
                  <c:v>03/04-2</c:v>
                </c:pt>
                <c:pt idx="18">
                  <c:v>04/04-1</c:v>
                </c:pt>
                <c:pt idx="19">
                  <c:v>04/04-2</c:v>
                </c:pt>
                <c:pt idx="20">
                  <c:v>05/04-1</c:v>
                </c:pt>
                <c:pt idx="21">
                  <c:v>05/04-2</c:v>
                </c:pt>
                <c:pt idx="22">
                  <c:v>06/04-1</c:v>
                </c:pt>
                <c:pt idx="23">
                  <c:v>06/04-2</c:v>
                </c:pt>
                <c:pt idx="24">
                  <c:v>07/04-1</c:v>
                </c:pt>
                <c:pt idx="25">
                  <c:v>07/04-2</c:v>
                </c:pt>
                <c:pt idx="26">
                  <c:v>08/04-1</c:v>
                </c:pt>
                <c:pt idx="27">
                  <c:v>08/04-2</c:v>
                </c:pt>
              </c:strCache>
            </c:strRef>
          </c:cat>
          <c:val>
            <c:numRef>
              <c:f>GJ!$K$2:$K$75</c:f>
              <c:numCache>
                <c:formatCode>0%</c:formatCode>
                <c:ptCount val="74"/>
                <c:pt idx="0">
                  <c:v>0.4827036751477769</c:v>
                </c:pt>
                <c:pt idx="1">
                  <c:v>0.41719428436093786</c:v>
                </c:pt>
                <c:pt idx="2">
                  <c:v>0.36643714564452046</c:v>
                </c:pt>
                <c:pt idx="3">
                  <c:v>0.438409458367017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0.37473976405274118</c:v>
                </c:pt>
                <c:pt idx="13">
                  <c:v>0.63705759888965996</c:v>
                </c:pt>
                <c:pt idx="14">
                  <c:v>0.53402777777777777</c:v>
                </c:pt>
                <c:pt idx="15">
                  <c:v>0.61736111111111114</c:v>
                </c:pt>
                <c:pt idx="16">
                  <c:v>0.52083333333333337</c:v>
                </c:pt>
                <c:pt idx="17">
                  <c:v>0.66823529411764704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0.5429497568881686</c:v>
                </c:pt>
                <c:pt idx="23">
                  <c:v>0.45107564191533656</c:v>
                </c:pt>
                <c:pt idx="24">
                  <c:v>0.34375</c:v>
                </c:pt>
                <c:pt idx="25">
                  <c:v>0.46842470506592643</c:v>
                </c:pt>
                <c:pt idx="26">
                  <c:v>0.48783877692842254</c:v>
                </c:pt>
                <c:pt idx="27">
                  <c:v>0.53263888888888888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1C-4925-BF05-30F00C8E3A6F}"/>
            </c:ext>
          </c:extLst>
        </c:ser>
        <c:ser>
          <c:idx val="3"/>
          <c:order val="1"/>
          <c:tx>
            <c:strRef>
              <c:f>GJ!$L$1</c:f>
              <c:strCache>
                <c:ptCount val="1"/>
                <c:pt idx="0">
                  <c:v>% Không Tải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strRef>
              <c:f>GJ!$H$2:$H$75</c:f>
              <c:strCache>
                <c:ptCount val="2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01/04-1</c:v>
                </c:pt>
                <c:pt idx="13">
                  <c:v>01/04-2</c:v>
                </c:pt>
                <c:pt idx="14">
                  <c:v>02/04-1</c:v>
                </c:pt>
                <c:pt idx="15">
                  <c:v>02/04-2</c:v>
                </c:pt>
                <c:pt idx="16">
                  <c:v>03/04-1</c:v>
                </c:pt>
                <c:pt idx="17">
                  <c:v>03/04-2</c:v>
                </c:pt>
                <c:pt idx="18">
                  <c:v>04/04-1</c:v>
                </c:pt>
                <c:pt idx="19">
                  <c:v>04/04-2</c:v>
                </c:pt>
                <c:pt idx="20">
                  <c:v>05/04-1</c:v>
                </c:pt>
                <c:pt idx="21">
                  <c:v>05/04-2</c:v>
                </c:pt>
                <c:pt idx="22">
                  <c:v>06/04-1</c:v>
                </c:pt>
                <c:pt idx="23">
                  <c:v>06/04-2</c:v>
                </c:pt>
                <c:pt idx="24">
                  <c:v>07/04-1</c:v>
                </c:pt>
                <c:pt idx="25">
                  <c:v>07/04-2</c:v>
                </c:pt>
                <c:pt idx="26">
                  <c:v>08/04-1</c:v>
                </c:pt>
                <c:pt idx="27">
                  <c:v>08/04-2</c:v>
                </c:pt>
              </c:strCache>
            </c:strRef>
          </c:cat>
          <c:val>
            <c:numRef>
              <c:f>GJ!$L$2:$L$75</c:f>
              <c:numCache>
                <c:formatCode>0%</c:formatCode>
                <c:ptCount val="74"/>
                <c:pt idx="0">
                  <c:v>0.37684399897198662</c:v>
                </c:pt>
                <c:pt idx="1">
                  <c:v>0.30938659508960292</c:v>
                </c:pt>
                <c:pt idx="2">
                  <c:v>0.37231891639684989</c:v>
                </c:pt>
                <c:pt idx="3">
                  <c:v>0.38778294260307195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0.62456627342123527</c:v>
                </c:pt>
                <c:pt idx="13">
                  <c:v>0.36224843858431643</c:v>
                </c:pt>
                <c:pt idx="14">
                  <c:v>0.46527777777777779</c:v>
                </c:pt>
                <c:pt idx="15">
                  <c:v>0.38194444444444442</c:v>
                </c:pt>
                <c:pt idx="16">
                  <c:v>0.47847222222222224</c:v>
                </c:pt>
                <c:pt idx="17">
                  <c:v>0.20862745098039215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0.27471636952998379</c:v>
                </c:pt>
                <c:pt idx="23">
                  <c:v>0.54823039555863984</c:v>
                </c:pt>
                <c:pt idx="24">
                  <c:v>0.53888888888888886</c:v>
                </c:pt>
                <c:pt idx="25">
                  <c:v>0.53088133240804991</c:v>
                </c:pt>
                <c:pt idx="26">
                  <c:v>0.51146629603891591</c:v>
                </c:pt>
                <c:pt idx="27">
                  <c:v>0.46666666666666667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1C-4925-BF05-30F00C8E3A6F}"/>
            </c:ext>
          </c:extLst>
        </c:ser>
        <c:ser>
          <c:idx val="4"/>
          <c:order val="2"/>
          <c:tx>
            <c:strRef>
              <c:f>GJ!$M$1</c:f>
              <c:strCache>
                <c:ptCount val="1"/>
                <c:pt idx="0">
                  <c:v>% Tắt Máy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strRef>
              <c:f>GJ!$H$2:$H$75</c:f>
              <c:strCache>
                <c:ptCount val="2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01/04-1</c:v>
                </c:pt>
                <c:pt idx="13">
                  <c:v>01/04-2</c:v>
                </c:pt>
                <c:pt idx="14">
                  <c:v>02/04-1</c:v>
                </c:pt>
                <c:pt idx="15">
                  <c:v>02/04-2</c:v>
                </c:pt>
                <c:pt idx="16">
                  <c:v>03/04-1</c:v>
                </c:pt>
                <c:pt idx="17">
                  <c:v>03/04-2</c:v>
                </c:pt>
                <c:pt idx="18">
                  <c:v>04/04-1</c:v>
                </c:pt>
                <c:pt idx="19">
                  <c:v>04/04-2</c:v>
                </c:pt>
                <c:pt idx="20">
                  <c:v>05/04-1</c:v>
                </c:pt>
                <c:pt idx="21">
                  <c:v>05/04-2</c:v>
                </c:pt>
                <c:pt idx="22">
                  <c:v>06/04-1</c:v>
                </c:pt>
                <c:pt idx="23">
                  <c:v>06/04-2</c:v>
                </c:pt>
                <c:pt idx="24">
                  <c:v>07/04-1</c:v>
                </c:pt>
                <c:pt idx="25">
                  <c:v>07/04-2</c:v>
                </c:pt>
                <c:pt idx="26">
                  <c:v>08/04-1</c:v>
                </c:pt>
                <c:pt idx="27">
                  <c:v>08/04-2</c:v>
                </c:pt>
              </c:strCache>
            </c:strRef>
          </c:cat>
          <c:val>
            <c:numRef>
              <c:f>GJ!$M$2:$M$75</c:f>
              <c:numCache>
                <c:formatCode>0%</c:formatCode>
                <c:ptCount val="74"/>
                <c:pt idx="0">
                  <c:v>0.14045232588023646</c:v>
                </c:pt>
                <c:pt idx="1">
                  <c:v>0.27341912054945922</c:v>
                </c:pt>
                <c:pt idx="2">
                  <c:v>0.26124393795862966</c:v>
                </c:pt>
                <c:pt idx="3">
                  <c:v>0.17380759902991108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6.939625260235947E-4</c:v>
                </c:pt>
                <c:pt idx="13">
                  <c:v>6.939625260235947E-4</c:v>
                </c:pt>
                <c:pt idx="14">
                  <c:v>6.9444444444444447E-4</c:v>
                </c:pt>
                <c:pt idx="15">
                  <c:v>6.9444444444444447E-4</c:v>
                </c:pt>
                <c:pt idx="16">
                  <c:v>6.9444444444444447E-4</c:v>
                </c:pt>
                <c:pt idx="17">
                  <c:v>0.12313725490196079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0.18233387358184766</c:v>
                </c:pt>
                <c:pt idx="23">
                  <c:v>6.939625260235947E-4</c:v>
                </c:pt>
                <c:pt idx="24">
                  <c:v>0.11736111111111111</c:v>
                </c:pt>
                <c:pt idx="25">
                  <c:v>6.939625260235947E-4</c:v>
                </c:pt>
                <c:pt idx="26">
                  <c:v>6.9492703266157052E-4</c:v>
                </c:pt>
                <c:pt idx="27">
                  <c:v>6.9444444444444447E-4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1C-4925-BF05-30F00C8E3A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935924272"/>
        <c:axId val="935924632"/>
      </c:barChart>
      <c:lineChart>
        <c:grouping val="standard"/>
        <c:varyColors val="0"/>
        <c:ser>
          <c:idx val="5"/>
          <c:order val="3"/>
          <c:tx>
            <c:strRef>
              <c:f>GJ!$I$1</c:f>
              <c:strCache>
                <c:ptCount val="1"/>
                <c:pt idx="0">
                  <c:v>Mục Tiêu C1</c:v>
                </c:pt>
              </c:strCache>
            </c:strRef>
          </c:tx>
          <c:spPr>
            <a:ln w="28575" cap="rnd">
              <a:solidFill>
                <a:srgbClr val="FF00FF"/>
              </a:solidFill>
              <a:prstDash val="solid"/>
              <a:round/>
            </a:ln>
          </c:spPr>
          <c:marker>
            <c:symbol val="none"/>
          </c:marker>
          <c:cat>
            <c:strRef>
              <c:f>GJ!$H$2:$H$75</c:f>
              <c:strCache>
                <c:ptCount val="2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01/04-1</c:v>
                </c:pt>
                <c:pt idx="13">
                  <c:v>01/04-2</c:v>
                </c:pt>
                <c:pt idx="14">
                  <c:v>02/04-1</c:v>
                </c:pt>
                <c:pt idx="15">
                  <c:v>02/04-2</c:v>
                </c:pt>
                <c:pt idx="16">
                  <c:v>03/04-1</c:v>
                </c:pt>
                <c:pt idx="17">
                  <c:v>03/04-2</c:v>
                </c:pt>
                <c:pt idx="18">
                  <c:v>04/04-1</c:v>
                </c:pt>
                <c:pt idx="19">
                  <c:v>04/04-2</c:v>
                </c:pt>
                <c:pt idx="20">
                  <c:v>05/04-1</c:v>
                </c:pt>
                <c:pt idx="21">
                  <c:v>05/04-2</c:v>
                </c:pt>
                <c:pt idx="22">
                  <c:v>06/04-1</c:v>
                </c:pt>
                <c:pt idx="23">
                  <c:v>06/04-2</c:v>
                </c:pt>
                <c:pt idx="24">
                  <c:v>07/04-1</c:v>
                </c:pt>
                <c:pt idx="25">
                  <c:v>07/04-2</c:v>
                </c:pt>
                <c:pt idx="26">
                  <c:v>08/04-1</c:v>
                </c:pt>
                <c:pt idx="27">
                  <c:v>08/04-2</c:v>
                </c:pt>
              </c:strCache>
            </c:strRef>
          </c:cat>
          <c:val>
            <c:numRef>
              <c:f>GJ!$I$2:$I$75</c:f>
              <c:numCache>
                <c:formatCode>0%</c:formatCode>
                <c:ptCount val="74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51C-4925-BF05-30F00C8E3A6F}"/>
            </c:ext>
          </c:extLst>
        </c:ser>
        <c:ser>
          <c:idx val="6"/>
          <c:order val="4"/>
          <c:tx>
            <c:strRef>
              <c:f>GJ!$J$1</c:f>
              <c:strCache>
                <c:ptCount val="1"/>
                <c:pt idx="0">
                  <c:v>Mục Tiêu C2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cat>
            <c:strRef>
              <c:f>GJ!$H$2:$H$75</c:f>
              <c:strCache>
                <c:ptCount val="2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01/04-1</c:v>
                </c:pt>
                <c:pt idx="13">
                  <c:v>01/04-2</c:v>
                </c:pt>
                <c:pt idx="14">
                  <c:v>02/04-1</c:v>
                </c:pt>
                <c:pt idx="15">
                  <c:v>02/04-2</c:v>
                </c:pt>
                <c:pt idx="16">
                  <c:v>03/04-1</c:v>
                </c:pt>
                <c:pt idx="17">
                  <c:v>03/04-2</c:v>
                </c:pt>
                <c:pt idx="18">
                  <c:v>04/04-1</c:v>
                </c:pt>
                <c:pt idx="19">
                  <c:v>04/04-2</c:v>
                </c:pt>
                <c:pt idx="20">
                  <c:v>05/04-1</c:v>
                </c:pt>
                <c:pt idx="21">
                  <c:v>05/04-2</c:v>
                </c:pt>
                <c:pt idx="22">
                  <c:v>06/04-1</c:v>
                </c:pt>
                <c:pt idx="23">
                  <c:v>06/04-2</c:v>
                </c:pt>
                <c:pt idx="24">
                  <c:v>07/04-1</c:v>
                </c:pt>
                <c:pt idx="25">
                  <c:v>07/04-2</c:v>
                </c:pt>
                <c:pt idx="26">
                  <c:v>08/04-1</c:v>
                </c:pt>
                <c:pt idx="27">
                  <c:v>08/04-2</c:v>
                </c:pt>
              </c:strCache>
            </c:strRef>
          </c:cat>
          <c:val>
            <c:numRef>
              <c:f>GJ!$J$2:$J$75</c:f>
              <c:numCache>
                <c:formatCode>0%</c:formatCode>
                <c:ptCount val="74"/>
                <c:pt idx="0">
                  <c:v>0.58823529411764708</c:v>
                </c:pt>
                <c:pt idx="1">
                  <c:v>0.58823529411764708</c:v>
                </c:pt>
                <c:pt idx="2">
                  <c:v>0.58823529411764708</c:v>
                </c:pt>
                <c:pt idx="3">
                  <c:v>0.58823529411764708</c:v>
                </c:pt>
                <c:pt idx="4">
                  <c:v>0.58823529411764708</c:v>
                </c:pt>
                <c:pt idx="5">
                  <c:v>0.58823529411764708</c:v>
                </c:pt>
                <c:pt idx="6">
                  <c:v>0.58823529411764708</c:v>
                </c:pt>
                <c:pt idx="7">
                  <c:v>0.58823529411764708</c:v>
                </c:pt>
                <c:pt idx="8">
                  <c:v>0.58823529411764708</c:v>
                </c:pt>
                <c:pt idx="9">
                  <c:v>0.58823529411764708</c:v>
                </c:pt>
                <c:pt idx="10">
                  <c:v>0.58823529411764708</c:v>
                </c:pt>
                <c:pt idx="11">
                  <c:v>0.58823529411764708</c:v>
                </c:pt>
                <c:pt idx="12">
                  <c:v>0.58823529411764708</c:v>
                </c:pt>
                <c:pt idx="13">
                  <c:v>0.58823529411764708</c:v>
                </c:pt>
                <c:pt idx="14">
                  <c:v>0.58823529411764708</c:v>
                </c:pt>
                <c:pt idx="15">
                  <c:v>0.58823529411764708</c:v>
                </c:pt>
                <c:pt idx="16">
                  <c:v>0.58823529411764708</c:v>
                </c:pt>
                <c:pt idx="17">
                  <c:v>0.58823529411764708</c:v>
                </c:pt>
                <c:pt idx="18">
                  <c:v>0.58823529411764708</c:v>
                </c:pt>
                <c:pt idx="19">
                  <c:v>0.58823529411764708</c:v>
                </c:pt>
                <c:pt idx="20">
                  <c:v>0.58823529411764708</c:v>
                </c:pt>
                <c:pt idx="21">
                  <c:v>0.58823529411764708</c:v>
                </c:pt>
                <c:pt idx="22">
                  <c:v>0.58823529411764708</c:v>
                </c:pt>
                <c:pt idx="23">
                  <c:v>0.58823529411764708</c:v>
                </c:pt>
                <c:pt idx="24">
                  <c:v>0.58823529411764708</c:v>
                </c:pt>
                <c:pt idx="25">
                  <c:v>0.58823529411764708</c:v>
                </c:pt>
                <c:pt idx="26">
                  <c:v>0.58823529411764708</c:v>
                </c:pt>
                <c:pt idx="27">
                  <c:v>0.58823529411764708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51C-4925-BF05-30F00C8E3A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5924272"/>
        <c:axId val="935924632"/>
      </c:lineChart>
      <c:catAx>
        <c:axId val="935924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5924632"/>
        <c:crosses val="autoZero"/>
        <c:auto val="1"/>
        <c:lblAlgn val="ctr"/>
        <c:lblOffset val="100"/>
        <c:noMultiLvlLbl val="0"/>
      </c:catAx>
      <c:valAx>
        <c:axId val="935924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592427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7548437753791982"/>
          <c:y val="0.93631898449826623"/>
          <c:w val="0.44673402618581559"/>
          <c:h val="6.3681015501733801E-2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Biểu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Đồ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Tỉ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Lệ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Hoạt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Động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CĐ Mài phẳng(GS)-9h/ca [</a:t>
            </a:r>
            <a:r>
              <a:rPr lang="en-US" sz="1400" b="0" i="0" strike="noStrike" kern="1200" spc="0" baseline="0" dirty="0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MT có tải: Ca 1=35%, Ca 2=49%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]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percentStacked"/>
        <c:varyColors val="0"/>
        <c:ser>
          <c:idx val="2"/>
          <c:order val="0"/>
          <c:tx>
            <c:strRef>
              <c:f>GS!$K$1</c:f>
              <c:strCache>
                <c:ptCount val="1"/>
                <c:pt idx="0">
                  <c:v>% Có Tải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numFmt formatCode="0%;\-0%;;@" sourceLinked="0"/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GS!$H$2:$H$75</c:f>
              <c:strCache>
                <c:ptCount val="2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01/04-1</c:v>
                </c:pt>
                <c:pt idx="13">
                  <c:v>01/04-2</c:v>
                </c:pt>
                <c:pt idx="14">
                  <c:v>02/04-1</c:v>
                </c:pt>
                <c:pt idx="15">
                  <c:v>02/04-2</c:v>
                </c:pt>
                <c:pt idx="16">
                  <c:v>03/04-1</c:v>
                </c:pt>
                <c:pt idx="17">
                  <c:v>03/04-2</c:v>
                </c:pt>
                <c:pt idx="18">
                  <c:v>04/04-1</c:v>
                </c:pt>
                <c:pt idx="19">
                  <c:v>04/04-2</c:v>
                </c:pt>
                <c:pt idx="20">
                  <c:v>05/04-1</c:v>
                </c:pt>
                <c:pt idx="21">
                  <c:v>05/04-2</c:v>
                </c:pt>
                <c:pt idx="22">
                  <c:v>06/04-1</c:v>
                </c:pt>
                <c:pt idx="23">
                  <c:v>06/04-2</c:v>
                </c:pt>
                <c:pt idx="24">
                  <c:v>07/04-1</c:v>
                </c:pt>
                <c:pt idx="25">
                  <c:v>07/04-2</c:v>
                </c:pt>
                <c:pt idx="26">
                  <c:v>08/04-1</c:v>
                </c:pt>
                <c:pt idx="27">
                  <c:v>08/04-2</c:v>
                </c:pt>
              </c:strCache>
            </c:strRef>
          </c:cat>
          <c:val>
            <c:numRef>
              <c:f>GS!$K$2:$K$75</c:f>
              <c:numCache>
                <c:formatCode>0%</c:formatCode>
                <c:ptCount val="74"/>
                <c:pt idx="0">
                  <c:v>0.27141934859098099</c:v>
                </c:pt>
                <c:pt idx="1">
                  <c:v>0.21431030627420219</c:v>
                </c:pt>
                <c:pt idx="2">
                  <c:v>0.28633025580903065</c:v>
                </c:pt>
                <c:pt idx="3">
                  <c:v>0.28375169395646066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0.33817386114979114</c:v>
                </c:pt>
                <c:pt idx="13">
                  <c:v>0.37803422204536413</c:v>
                </c:pt>
                <c:pt idx="14">
                  <c:v>0.35462686567164181</c:v>
                </c:pt>
                <c:pt idx="15">
                  <c:v>0.38619180262634301</c:v>
                </c:pt>
                <c:pt idx="16">
                  <c:v>0.29904496617588538</c:v>
                </c:pt>
                <c:pt idx="17">
                  <c:v>0.3591479195699781</c:v>
                </c:pt>
                <c:pt idx="18">
                  <c:v>0.26721050537206525</c:v>
                </c:pt>
                <c:pt idx="19">
                  <c:v>0.27560151123483795</c:v>
                </c:pt>
                <c:pt idx="20">
                  <c:v>5.3592695514092896E-3</c:v>
                </c:pt>
                <c:pt idx="21">
                  <c:v>0</c:v>
                </c:pt>
                <c:pt idx="22">
                  <c:v>0.31754874651810583</c:v>
                </c:pt>
                <c:pt idx="23">
                  <c:v>0.28696517412935324</c:v>
                </c:pt>
                <c:pt idx="24">
                  <c:v>0.32862261146496813</c:v>
                </c:pt>
                <c:pt idx="25">
                  <c:v>0.27826433121019106</c:v>
                </c:pt>
                <c:pt idx="26">
                  <c:v>0.35025886101154918</c:v>
                </c:pt>
                <c:pt idx="27">
                  <c:v>0.31655391961798646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30-4AD8-9726-2D1C3EB30EE8}"/>
            </c:ext>
          </c:extLst>
        </c:ser>
        <c:ser>
          <c:idx val="3"/>
          <c:order val="1"/>
          <c:tx>
            <c:strRef>
              <c:f>GS!$L$1</c:f>
              <c:strCache>
                <c:ptCount val="1"/>
                <c:pt idx="0">
                  <c:v>% Không Tải</c:v>
                </c:pt>
              </c:strCache>
            </c:strRef>
          </c:tx>
          <c:spPr>
            <a:solidFill>
              <a:srgbClr val="FFC000"/>
            </a:solidFill>
            <a:ln>
              <a:noFill/>
              <a:prstDash val="solid"/>
            </a:ln>
          </c:spPr>
          <c:invertIfNegative val="0"/>
          <c:cat>
            <c:strRef>
              <c:f>GS!$H$2:$H$75</c:f>
              <c:strCache>
                <c:ptCount val="2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01/04-1</c:v>
                </c:pt>
                <c:pt idx="13">
                  <c:v>01/04-2</c:v>
                </c:pt>
                <c:pt idx="14">
                  <c:v>02/04-1</c:v>
                </c:pt>
                <c:pt idx="15">
                  <c:v>02/04-2</c:v>
                </c:pt>
                <c:pt idx="16">
                  <c:v>03/04-1</c:v>
                </c:pt>
                <c:pt idx="17">
                  <c:v>03/04-2</c:v>
                </c:pt>
                <c:pt idx="18">
                  <c:v>04/04-1</c:v>
                </c:pt>
                <c:pt idx="19">
                  <c:v>04/04-2</c:v>
                </c:pt>
                <c:pt idx="20">
                  <c:v>05/04-1</c:v>
                </c:pt>
                <c:pt idx="21">
                  <c:v>05/04-2</c:v>
                </c:pt>
                <c:pt idx="22">
                  <c:v>06/04-1</c:v>
                </c:pt>
                <c:pt idx="23">
                  <c:v>06/04-2</c:v>
                </c:pt>
                <c:pt idx="24">
                  <c:v>07/04-1</c:v>
                </c:pt>
                <c:pt idx="25">
                  <c:v>07/04-2</c:v>
                </c:pt>
                <c:pt idx="26">
                  <c:v>08/04-1</c:v>
                </c:pt>
                <c:pt idx="27">
                  <c:v>08/04-2</c:v>
                </c:pt>
              </c:strCache>
            </c:strRef>
          </c:cat>
          <c:val>
            <c:numRef>
              <c:f>GS!$L$2:$L$75</c:f>
              <c:numCache>
                <c:formatCode>0%</c:formatCode>
                <c:ptCount val="74"/>
                <c:pt idx="0">
                  <c:v>0.30444171858355662</c:v>
                </c:pt>
                <c:pt idx="1">
                  <c:v>0.21273084144657681</c:v>
                </c:pt>
                <c:pt idx="2">
                  <c:v>0.30099815999869733</c:v>
                </c:pt>
                <c:pt idx="3">
                  <c:v>0.31656161028433605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0.37338372786950469</c:v>
                </c:pt>
                <c:pt idx="13">
                  <c:v>0.40031834460803822</c:v>
                </c:pt>
                <c:pt idx="14">
                  <c:v>0.34905472636815921</c:v>
                </c:pt>
                <c:pt idx="15">
                  <c:v>0.39116593712693992</c:v>
                </c:pt>
                <c:pt idx="16">
                  <c:v>0.31575805809789098</c:v>
                </c:pt>
                <c:pt idx="17">
                  <c:v>0.33844316145729642</c:v>
                </c:pt>
                <c:pt idx="18">
                  <c:v>0.28710704337445286</c:v>
                </c:pt>
                <c:pt idx="19">
                  <c:v>0.36090674090276398</c:v>
                </c:pt>
                <c:pt idx="20">
                  <c:v>3.9698292973402143E-3</c:v>
                </c:pt>
                <c:pt idx="21">
                  <c:v>0</c:v>
                </c:pt>
                <c:pt idx="22">
                  <c:v>0.39733386390768005</c:v>
                </c:pt>
                <c:pt idx="23">
                  <c:v>0.37870646766169153</c:v>
                </c:pt>
                <c:pt idx="24">
                  <c:v>0.3867436305732484</c:v>
                </c:pt>
                <c:pt idx="25">
                  <c:v>0.39908439490445857</c:v>
                </c:pt>
                <c:pt idx="26">
                  <c:v>0.36658701712465153</c:v>
                </c:pt>
                <c:pt idx="27">
                  <c:v>0.31814564265817746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30-4AD8-9726-2D1C3EB30EE8}"/>
            </c:ext>
          </c:extLst>
        </c:ser>
        <c:ser>
          <c:idx val="4"/>
          <c:order val="2"/>
          <c:tx>
            <c:strRef>
              <c:f>GS!$M$1</c:f>
              <c:strCache>
                <c:ptCount val="1"/>
                <c:pt idx="0">
                  <c:v>% Tắt Máy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strRef>
              <c:f>GS!$H$2:$H$75</c:f>
              <c:strCache>
                <c:ptCount val="2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01/04-1</c:v>
                </c:pt>
                <c:pt idx="13">
                  <c:v>01/04-2</c:v>
                </c:pt>
                <c:pt idx="14">
                  <c:v>02/04-1</c:v>
                </c:pt>
                <c:pt idx="15">
                  <c:v>02/04-2</c:v>
                </c:pt>
                <c:pt idx="16">
                  <c:v>03/04-1</c:v>
                </c:pt>
                <c:pt idx="17">
                  <c:v>03/04-2</c:v>
                </c:pt>
                <c:pt idx="18">
                  <c:v>04/04-1</c:v>
                </c:pt>
                <c:pt idx="19">
                  <c:v>04/04-2</c:v>
                </c:pt>
                <c:pt idx="20">
                  <c:v>05/04-1</c:v>
                </c:pt>
                <c:pt idx="21">
                  <c:v>05/04-2</c:v>
                </c:pt>
                <c:pt idx="22">
                  <c:v>06/04-1</c:v>
                </c:pt>
                <c:pt idx="23">
                  <c:v>06/04-2</c:v>
                </c:pt>
                <c:pt idx="24">
                  <c:v>07/04-1</c:v>
                </c:pt>
                <c:pt idx="25">
                  <c:v>07/04-2</c:v>
                </c:pt>
                <c:pt idx="26">
                  <c:v>08/04-1</c:v>
                </c:pt>
                <c:pt idx="27">
                  <c:v>08/04-2</c:v>
                </c:pt>
              </c:strCache>
            </c:strRef>
          </c:cat>
          <c:val>
            <c:numRef>
              <c:f>GS!$M$2:$M$75</c:f>
              <c:numCache>
                <c:formatCode>0%</c:formatCode>
                <c:ptCount val="74"/>
                <c:pt idx="0">
                  <c:v>0.42413893282546239</c:v>
                </c:pt>
                <c:pt idx="1">
                  <c:v>0.57295885227922094</c:v>
                </c:pt>
                <c:pt idx="2">
                  <c:v>0.41267158419227201</c:v>
                </c:pt>
                <c:pt idx="3">
                  <c:v>0.39968669575920329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0.28844241098070422</c:v>
                </c:pt>
                <c:pt idx="13">
                  <c:v>0.2216474333465977</c:v>
                </c:pt>
                <c:pt idx="14">
                  <c:v>0.29631840796019898</c:v>
                </c:pt>
                <c:pt idx="15">
                  <c:v>0.22264226024671707</c:v>
                </c:pt>
                <c:pt idx="16">
                  <c:v>0.38519697572622363</c:v>
                </c:pt>
                <c:pt idx="17">
                  <c:v>0.30240891897272548</c:v>
                </c:pt>
                <c:pt idx="18">
                  <c:v>0.44568245125348188</c:v>
                </c:pt>
                <c:pt idx="19">
                  <c:v>0.36349174786239807</c:v>
                </c:pt>
                <c:pt idx="20">
                  <c:v>0.99067090115125045</c:v>
                </c:pt>
                <c:pt idx="21">
                  <c:v>1</c:v>
                </c:pt>
                <c:pt idx="22">
                  <c:v>0.28511738957421406</c:v>
                </c:pt>
                <c:pt idx="23">
                  <c:v>0.33432835820895523</c:v>
                </c:pt>
                <c:pt idx="24">
                  <c:v>0.28463375796178342</c:v>
                </c:pt>
                <c:pt idx="25">
                  <c:v>0.32265127388535031</c:v>
                </c:pt>
                <c:pt idx="26">
                  <c:v>0.28315412186379929</c:v>
                </c:pt>
                <c:pt idx="27">
                  <c:v>0.36530043772383608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30-4AD8-9726-2D1C3EB30E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05852904"/>
        <c:axId val="1005853984"/>
      </c:barChart>
      <c:lineChart>
        <c:grouping val="standard"/>
        <c:varyColors val="0"/>
        <c:ser>
          <c:idx val="5"/>
          <c:order val="3"/>
          <c:tx>
            <c:strRef>
              <c:f>GS!$I$1</c:f>
              <c:strCache>
                <c:ptCount val="1"/>
                <c:pt idx="0">
                  <c:v>Mục Tiêu C1</c:v>
                </c:pt>
              </c:strCache>
            </c:strRef>
          </c:tx>
          <c:spPr>
            <a:ln w="28575" cap="rnd">
              <a:solidFill>
                <a:srgbClr val="FF00FF"/>
              </a:solidFill>
              <a:prstDash val="solid"/>
              <a:round/>
            </a:ln>
          </c:spPr>
          <c:marker>
            <c:symbol val="none"/>
          </c:marker>
          <c:cat>
            <c:strRef>
              <c:f>GS!$H$2:$H$75</c:f>
              <c:strCache>
                <c:ptCount val="2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01/04-1</c:v>
                </c:pt>
                <c:pt idx="13">
                  <c:v>01/04-2</c:v>
                </c:pt>
                <c:pt idx="14">
                  <c:v>02/04-1</c:v>
                </c:pt>
                <c:pt idx="15">
                  <c:v>02/04-2</c:v>
                </c:pt>
                <c:pt idx="16">
                  <c:v>03/04-1</c:v>
                </c:pt>
                <c:pt idx="17">
                  <c:v>03/04-2</c:v>
                </c:pt>
                <c:pt idx="18">
                  <c:v>04/04-1</c:v>
                </c:pt>
                <c:pt idx="19">
                  <c:v>04/04-2</c:v>
                </c:pt>
                <c:pt idx="20">
                  <c:v>05/04-1</c:v>
                </c:pt>
                <c:pt idx="21">
                  <c:v>05/04-2</c:v>
                </c:pt>
                <c:pt idx="22">
                  <c:v>06/04-1</c:v>
                </c:pt>
                <c:pt idx="23">
                  <c:v>06/04-2</c:v>
                </c:pt>
                <c:pt idx="24">
                  <c:v>07/04-1</c:v>
                </c:pt>
                <c:pt idx="25">
                  <c:v>07/04-2</c:v>
                </c:pt>
                <c:pt idx="26">
                  <c:v>08/04-1</c:v>
                </c:pt>
                <c:pt idx="27">
                  <c:v>08/04-2</c:v>
                </c:pt>
              </c:strCache>
            </c:strRef>
          </c:cat>
          <c:val>
            <c:numRef>
              <c:f>GS!$I$2:$I$75</c:f>
              <c:numCache>
                <c:formatCode>0%</c:formatCode>
                <c:ptCount val="74"/>
                <c:pt idx="0">
                  <c:v>0.35</c:v>
                </c:pt>
                <c:pt idx="1">
                  <c:v>0.35</c:v>
                </c:pt>
                <c:pt idx="2">
                  <c:v>0.35</c:v>
                </c:pt>
                <c:pt idx="3">
                  <c:v>0.35</c:v>
                </c:pt>
                <c:pt idx="4">
                  <c:v>0.35</c:v>
                </c:pt>
                <c:pt idx="5">
                  <c:v>0.35</c:v>
                </c:pt>
                <c:pt idx="6">
                  <c:v>0.35</c:v>
                </c:pt>
                <c:pt idx="7">
                  <c:v>0.35</c:v>
                </c:pt>
                <c:pt idx="8">
                  <c:v>0.35</c:v>
                </c:pt>
                <c:pt idx="9">
                  <c:v>0.35</c:v>
                </c:pt>
                <c:pt idx="10">
                  <c:v>0.35</c:v>
                </c:pt>
                <c:pt idx="11">
                  <c:v>0.35</c:v>
                </c:pt>
                <c:pt idx="12">
                  <c:v>0.35</c:v>
                </c:pt>
                <c:pt idx="13">
                  <c:v>0.35</c:v>
                </c:pt>
                <c:pt idx="14">
                  <c:v>0.35</c:v>
                </c:pt>
                <c:pt idx="15">
                  <c:v>0.35</c:v>
                </c:pt>
                <c:pt idx="16">
                  <c:v>0.35</c:v>
                </c:pt>
                <c:pt idx="17">
                  <c:v>0.35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0.35</c:v>
                </c:pt>
                <c:pt idx="22">
                  <c:v>0.35</c:v>
                </c:pt>
                <c:pt idx="23">
                  <c:v>0.35</c:v>
                </c:pt>
                <c:pt idx="24">
                  <c:v>0.35</c:v>
                </c:pt>
                <c:pt idx="25">
                  <c:v>0.35</c:v>
                </c:pt>
                <c:pt idx="26">
                  <c:v>0.35</c:v>
                </c:pt>
                <c:pt idx="27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F30-4AD8-9726-2D1C3EB30EE8}"/>
            </c:ext>
          </c:extLst>
        </c:ser>
        <c:ser>
          <c:idx val="6"/>
          <c:order val="4"/>
          <c:tx>
            <c:strRef>
              <c:f>GS!$J$1</c:f>
              <c:strCache>
                <c:ptCount val="1"/>
                <c:pt idx="0">
                  <c:v>Mục Tiêu C2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cat>
            <c:strRef>
              <c:f>GS!$H$2:$H$75</c:f>
              <c:strCache>
                <c:ptCount val="2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01/04-1</c:v>
                </c:pt>
                <c:pt idx="13">
                  <c:v>01/04-2</c:v>
                </c:pt>
                <c:pt idx="14">
                  <c:v>02/04-1</c:v>
                </c:pt>
                <c:pt idx="15">
                  <c:v>02/04-2</c:v>
                </c:pt>
                <c:pt idx="16">
                  <c:v>03/04-1</c:v>
                </c:pt>
                <c:pt idx="17">
                  <c:v>03/04-2</c:v>
                </c:pt>
                <c:pt idx="18">
                  <c:v>04/04-1</c:v>
                </c:pt>
                <c:pt idx="19">
                  <c:v>04/04-2</c:v>
                </c:pt>
                <c:pt idx="20">
                  <c:v>05/04-1</c:v>
                </c:pt>
                <c:pt idx="21">
                  <c:v>05/04-2</c:v>
                </c:pt>
                <c:pt idx="22">
                  <c:v>06/04-1</c:v>
                </c:pt>
                <c:pt idx="23">
                  <c:v>06/04-2</c:v>
                </c:pt>
                <c:pt idx="24">
                  <c:v>07/04-1</c:v>
                </c:pt>
                <c:pt idx="25">
                  <c:v>07/04-2</c:v>
                </c:pt>
                <c:pt idx="26">
                  <c:v>08/04-1</c:v>
                </c:pt>
                <c:pt idx="27">
                  <c:v>08/04-2</c:v>
                </c:pt>
              </c:strCache>
            </c:strRef>
          </c:cat>
          <c:val>
            <c:numRef>
              <c:f>GS!$J$2:$J$75</c:f>
              <c:numCache>
                <c:formatCode>0%</c:formatCode>
                <c:ptCount val="74"/>
                <c:pt idx="0">
                  <c:v>0.49411764705882361</c:v>
                </c:pt>
                <c:pt idx="1">
                  <c:v>0.49411764705882361</c:v>
                </c:pt>
                <c:pt idx="2">
                  <c:v>0.49411764705882361</c:v>
                </c:pt>
                <c:pt idx="3">
                  <c:v>0.49411764705882361</c:v>
                </c:pt>
                <c:pt idx="4">
                  <c:v>0.49411764705882361</c:v>
                </c:pt>
                <c:pt idx="5">
                  <c:v>0.49411764705882361</c:v>
                </c:pt>
                <c:pt idx="6">
                  <c:v>0.49411764705882361</c:v>
                </c:pt>
                <c:pt idx="7">
                  <c:v>0.49411764705882361</c:v>
                </c:pt>
                <c:pt idx="8">
                  <c:v>0.49411764705882361</c:v>
                </c:pt>
                <c:pt idx="9">
                  <c:v>0.49411764705882361</c:v>
                </c:pt>
                <c:pt idx="10">
                  <c:v>0.49411764705882361</c:v>
                </c:pt>
                <c:pt idx="11">
                  <c:v>0.49411764705882361</c:v>
                </c:pt>
                <c:pt idx="12">
                  <c:v>0.49411764705882361</c:v>
                </c:pt>
                <c:pt idx="13">
                  <c:v>0.49411764705882361</c:v>
                </c:pt>
                <c:pt idx="14">
                  <c:v>0.49411764705882361</c:v>
                </c:pt>
                <c:pt idx="15">
                  <c:v>0.49411764705882361</c:v>
                </c:pt>
                <c:pt idx="16">
                  <c:v>0.49411764705882361</c:v>
                </c:pt>
                <c:pt idx="17">
                  <c:v>0.49411764705882361</c:v>
                </c:pt>
                <c:pt idx="18">
                  <c:v>0.49411764705882361</c:v>
                </c:pt>
                <c:pt idx="19">
                  <c:v>0.49411764705882361</c:v>
                </c:pt>
                <c:pt idx="20">
                  <c:v>0.49411764705882361</c:v>
                </c:pt>
                <c:pt idx="21">
                  <c:v>0.49411764705882361</c:v>
                </c:pt>
                <c:pt idx="22">
                  <c:v>0.49411764705882361</c:v>
                </c:pt>
                <c:pt idx="23">
                  <c:v>0.49411764705882361</c:v>
                </c:pt>
                <c:pt idx="24">
                  <c:v>0.49411764705882361</c:v>
                </c:pt>
                <c:pt idx="25">
                  <c:v>0.49411764705882361</c:v>
                </c:pt>
                <c:pt idx="26">
                  <c:v>0.49411764705882361</c:v>
                </c:pt>
                <c:pt idx="27">
                  <c:v>0.49411764705882361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F30-4AD8-9726-2D1C3EB30E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5852904"/>
        <c:axId val="1005853984"/>
      </c:lineChart>
      <c:catAx>
        <c:axId val="1005852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853984"/>
        <c:crosses val="autoZero"/>
        <c:auto val="1"/>
        <c:lblAlgn val="ctr"/>
        <c:lblOffset val="100"/>
        <c:noMultiLvlLbl val="0"/>
      </c:catAx>
      <c:valAx>
        <c:axId val="1005853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85290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Biểu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Đồ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Tỉ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Lệ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Hoạt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Động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CĐ Mài mô phỏng (GP)-9h/ca [</a:t>
            </a:r>
            <a:r>
              <a:rPr lang="en-US" sz="1400" b="0" i="0" strike="noStrike" kern="1200" spc="0" baseline="0" dirty="0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MT có tải: Ca 1=70%, Ca 2=87%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]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percentStacked"/>
        <c:varyColors val="0"/>
        <c:ser>
          <c:idx val="2"/>
          <c:order val="0"/>
          <c:tx>
            <c:strRef>
              <c:f>GP!$K$1</c:f>
              <c:strCache>
                <c:ptCount val="1"/>
                <c:pt idx="0">
                  <c:v>% Có Tải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numFmt formatCode="0%;\-0%;;@" sourceLinked="0"/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GP!$H$2:$H$75</c:f>
              <c:strCache>
                <c:ptCount val="2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01/04-1</c:v>
                </c:pt>
                <c:pt idx="13">
                  <c:v>01/04-2</c:v>
                </c:pt>
                <c:pt idx="14">
                  <c:v>02/04-1</c:v>
                </c:pt>
                <c:pt idx="15">
                  <c:v>02/04-2</c:v>
                </c:pt>
                <c:pt idx="16">
                  <c:v>03/04-1</c:v>
                </c:pt>
                <c:pt idx="17">
                  <c:v>03/04-2</c:v>
                </c:pt>
                <c:pt idx="18">
                  <c:v>04/04-1</c:v>
                </c:pt>
                <c:pt idx="19">
                  <c:v>04/04-2</c:v>
                </c:pt>
                <c:pt idx="20">
                  <c:v>05/04-1</c:v>
                </c:pt>
                <c:pt idx="21">
                  <c:v>05/04-2</c:v>
                </c:pt>
                <c:pt idx="22">
                  <c:v>06/04-1</c:v>
                </c:pt>
                <c:pt idx="23">
                  <c:v>06/04-2</c:v>
                </c:pt>
                <c:pt idx="24">
                  <c:v>07/04-1</c:v>
                </c:pt>
                <c:pt idx="25">
                  <c:v>07/04-2</c:v>
                </c:pt>
                <c:pt idx="26">
                  <c:v>08/04-1</c:v>
                </c:pt>
                <c:pt idx="27">
                  <c:v>08/04-2</c:v>
                </c:pt>
              </c:strCache>
            </c:strRef>
          </c:cat>
          <c:val>
            <c:numRef>
              <c:f>GP!$K$2:$K$75</c:f>
              <c:numCache>
                <c:formatCode>0%</c:formatCode>
                <c:ptCount val="74"/>
                <c:pt idx="0">
                  <c:v>0.53139633286318755</c:v>
                </c:pt>
                <c:pt idx="1">
                  <c:v>0.43318395670146603</c:v>
                </c:pt>
                <c:pt idx="2">
                  <c:v>0.60950188128264171</c:v>
                </c:pt>
                <c:pt idx="3">
                  <c:v>0.60891110628124323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0.66968011126564675</c:v>
                </c:pt>
                <c:pt idx="13">
                  <c:v>0.75991649269311068</c:v>
                </c:pt>
                <c:pt idx="14">
                  <c:v>0.60570236439499303</c:v>
                </c:pt>
                <c:pt idx="15">
                  <c:v>0.66620305980528516</c:v>
                </c:pt>
                <c:pt idx="16">
                  <c:v>0.6863699582753825</c:v>
                </c:pt>
                <c:pt idx="17">
                  <c:v>0.67872044506258689</c:v>
                </c:pt>
                <c:pt idx="18">
                  <c:v>0.59429366736256084</c:v>
                </c:pt>
                <c:pt idx="19">
                  <c:v>0.67919276270006956</c:v>
                </c:pt>
                <c:pt idx="20">
                  <c:v>0</c:v>
                </c:pt>
                <c:pt idx="21">
                  <c:v>0</c:v>
                </c:pt>
                <c:pt idx="22">
                  <c:v>0.67223382045929014</c:v>
                </c:pt>
                <c:pt idx="23">
                  <c:v>0.82696316886726895</c:v>
                </c:pt>
                <c:pt idx="24">
                  <c:v>0.62839248434237993</c:v>
                </c:pt>
                <c:pt idx="25">
                  <c:v>0.78760445682451252</c:v>
                </c:pt>
                <c:pt idx="26">
                  <c:v>0.63535142658315935</c:v>
                </c:pt>
                <c:pt idx="27">
                  <c:v>0.85396383866481229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B6-4E25-9CA2-CA15B3594121}"/>
            </c:ext>
          </c:extLst>
        </c:ser>
        <c:ser>
          <c:idx val="3"/>
          <c:order val="1"/>
          <c:tx>
            <c:strRef>
              <c:f>GP!$L$1</c:f>
              <c:strCache>
                <c:ptCount val="1"/>
                <c:pt idx="0">
                  <c:v>% Không Tải</c:v>
                </c:pt>
              </c:strCache>
            </c:strRef>
          </c:tx>
          <c:spPr>
            <a:solidFill>
              <a:srgbClr val="FFC000"/>
            </a:solidFill>
            <a:ln>
              <a:noFill/>
              <a:prstDash val="solid"/>
            </a:ln>
          </c:spPr>
          <c:invertIfNegative val="0"/>
          <c:cat>
            <c:strRef>
              <c:f>GP!$H$2:$H$75</c:f>
              <c:strCache>
                <c:ptCount val="2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01/04-1</c:v>
                </c:pt>
                <c:pt idx="13">
                  <c:v>01/04-2</c:v>
                </c:pt>
                <c:pt idx="14">
                  <c:v>02/04-1</c:v>
                </c:pt>
                <c:pt idx="15">
                  <c:v>02/04-2</c:v>
                </c:pt>
                <c:pt idx="16">
                  <c:v>03/04-1</c:v>
                </c:pt>
                <c:pt idx="17">
                  <c:v>03/04-2</c:v>
                </c:pt>
                <c:pt idx="18">
                  <c:v>04/04-1</c:v>
                </c:pt>
                <c:pt idx="19">
                  <c:v>04/04-2</c:v>
                </c:pt>
                <c:pt idx="20">
                  <c:v>05/04-1</c:v>
                </c:pt>
                <c:pt idx="21">
                  <c:v>05/04-2</c:v>
                </c:pt>
                <c:pt idx="22">
                  <c:v>06/04-1</c:v>
                </c:pt>
                <c:pt idx="23">
                  <c:v>06/04-2</c:v>
                </c:pt>
                <c:pt idx="24">
                  <c:v>07/04-1</c:v>
                </c:pt>
                <c:pt idx="25">
                  <c:v>07/04-2</c:v>
                </c:pt>
                <c:pt idx="26">
                  <c:v>08/04-1</c:v>
                </c:pt>
                <c:pt idx="27">
                  <c:v>08/04-2</c:v>
                </c:pt>
              </c:strCache>
            </c:strRef>
          </c:cat>
          <c:val>
            <c:numRef>
              <c:f>GP!$L$2:$L$75</c:f>
              <c:numCache>
                <c:formatCode>0%</c:formatCode>
                <c:ptCount val="74"/>
                <c:pt idx="0">
                  <c:v>0.15110860366713683</c:v>
                </c:pt>
                <c:pt idx="1">
                  <c:v>7.8217907816825347E-2</c:v>
                </c:pt>
                <c:pt idx="2">
                  <c:v>7.4453866457011283E-2</c:v>
                </c:pt>
                <c:pt idx="3">
                  <c:v>6.7420126059552277E-2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4.9374130737134911E-2</c:v>
                </c:pt>
                <c:pt idx="13">
                  <c:v>4.036186499652053E-2</c:v>
                </c:pt>
                <c:pt idx="14">
                  <c:v>0.11891515994436717</c:v>
                </c:pt>
                <c:pt idx="15">
                  <c:v>0.12030598052851182</c:v>
                </c:pt>
                <c:pt idx="16">
                  <c:v>3.3379694019471488E-2</c:v>
                </c:pt>
                <c:pt idx="17">
                  <c:v>0.1070931849791377</c:v>
                </c:pt>
                <c:pt idx="18">
                  <c:v>8.1419624217118999E-2</c:v>
                </c:pt>
                <c:pt idx="19">
                  <c:v>3.3402922755741124E-2</c:v>
                </c:pt>
                <c:pt idx="20">
                  <c:v>0</c:v>
                </c:pt>
                <c:pt idx="21">
                  <c:v>0</c:v>
                </c:pt>
                <c:pt idx="22">
                  <c:v>4.5233124565066112E-2</c:v>
                </c:pt>
                <c:pt idx="23">
                  <c:v>7.8526754690757469E-2</c:v>
                </c:pt>
                <c:pt idx="24">
                  <c:v>8.8378566457898405E-2</c:v>
                </c:pt>
                <c:pt idx="25">
                  <c:v>8.844011142061281E-2</c:v>
                </c:pt>
                <c:pt idx="26">
                  <c:v>8.072372999304106E-2</c:v>
                </c:pt>
                <c:pt idx="27">
                  <c:v>0.1133518776077886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B6-4E25-9CA2-CA15B3594121}"/>
            </c:ext>
          </c:extLst>
        </c:ser>
        <c:ser>
          <c:idx val="4"/>
          <c:order val="2"/>
          <c:tx>
            <c:strRef>
              <c:f>GP!$M$1</c:f>
              <c:strCache>
                <c:ptCount val="1"/>
                <c:pt idx="0">
                  <c:v>% Tắt Máy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strRef>
              <c:f>GP!$H$2:$H$75</c:f>
              <c:strCache>
                <c:ptCount val="2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01/04-1</c:v>
                </c:pt>
                <c:pt idx="13">
                  <c:v>01/04-2</c:v>
                </c:pt>
                <c:pt idx="14">
                  <c:v>02/04-1</c:v>
                </c:pt>
                <c:pt idx="15">
                  <c:v>02/04-2</c:v>
                </c:pt>
                <c:pt idx="16">
                  <c:v>03/04-1</c:v>
                </c:pt>
                <c:pt idx="17">
                  <c:v>03/04-2</c:v>
                </c:pt>
                <c:pt idx="18">
                  <c:v>04/04-1</c:v>
                </c:pt>
                <c:pt idx="19">
                  <c:v>04/04-2</c:v>
                </c:pt>
                <c:pt idx="20">
                  <c:v>05/04-1</c:v>
                </c:pt>
                <c:pt idx="21">
                  <c:v>05/04-2</c:v>
                </c:pt>
                <c:pt idx="22">
                  <c:v>06/04-1</c:v>
                </c:pt>
                <c:pt idx="23">
                  <c:v>06/04-2</c:v>
                </c:pt>
                <c:pt idx="24">
                  <c:v>07/04-1</c:v>
                </c:pt>
                <c:pt idx="25">
                  <c:v>07/04-2</c:v>
                </c:pt>
                <c:pt idx="26">
                  <c:v>08/04-1</c:v>
                </c:pt>
                <c:pt idx="27">
                  <c:v>08/04-2</c:v>
                </c:pt>
              </c:strCache>
            </c:strRef>
          </c:cat>
          <c:val>
            <c:numRef>
              <c:f>GP!$M$2:$M$75</c:f>
              <c:numCache>
                <c:formatCode>0%</c:formatCode>
                <c:ptCount val="74"/>
                <c:pt idx="0">
                  <c:v>0.3174950634696756</c:v>
                </c:pt>
                <c:pt idx="1">
                  <c:v>0.48859813548170861</c:v>
                </c:pt>
                <c:pt idx="2">
                  <c:v>0.31604425226034705</c:v>
                </c:pt>
                <c:pt idx="3">
                  <c:v>0.32366876765920455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0.28094575799721838</c:v>
                </c:pt>
                <c:pt idx="13">
                  <c:v>0.19972164231036882</c:v>
                </c:pt>
                <c:pt idx="14">
                  <c:v>0.27538247566063978</c:v>
                </c:pt>
                <c:pt idx="15">
                  <c:v>0.21349095966620307</c:v>
                </c:pt>
                <c:pt idx="16">
                  <c:v>0.28025034770514606</c:v>
                </c:pt>
                <c:pt idx="17">
                  <c:v>0.21418636995827539</c:v>
                </c:pt>
                <c:pt idx="18">
                  <c:v>0.32428670842032009</c:v>
                </c:pt>
                <c:pt idx="19">
                  <c:v>0.2874043145441893</c:v>
                </c:pt>
                <c:pt idx="20">
                  <c:v>1</c:v>
                </c:pt>
                <c:pt idx="21">
                  <c:v>1</c:v>
                </c:pt>
                <c:pt idx="22">
                  <c:v>0.28253305497564368</c:v>
                </c:pt>
                <c:pt idx="23">
                  <c:v>9.4510076441973595E-2</c:v>
                </c:pt>
                <c:pt idx="24">
                  <c:v>0.28322894919972164</c:v>
                </c:pt>
                <c:pt idx="25">
                  <c:v>0.12395543175487465</c:v>
                </c:pt>
                <c:pt idx="26">
                  <c:v>0.28392484342379959</c:v>
                </c:pt>
                <c:pt idx="27">
                  <c:v>3.2684283727399163E-2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B6-4E25-9CA2-CA15B35941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005732304"/>
        <c:axId val="1005733384"/>
      </c:barChart>
      <c:lineChart>
        <c:grouping val="standard"/>
        <c:varyColors val="0"/>
        <c:ser>
          <c:idx val="5"/>
          <c:order val="3"/>
          <c:tx>
            <c:strRef>
              <c:f>GP!$I$1</c:f>
              <c:strCache>
                <c:ptCount val="1"/>
                <c:pt idx="0">
                  <c:v>Mục Tiêu C1</c:v>
                </c:pt>
              </c:strCache>
            </c:strRef>
          </c:tx>
          <c:spPr>
            <a:ln w="28575" cap="rnd">
              <a:solidFill>
                <a:srgbClr val="FF00FF"/>
              </a:solidFill>
              <a:prstDash val="solid"/>
              <a:round/>
            </a:ln>
          </c:spPr>
          <c:marker>
            <c:symbol val="none"/>
          </c:marker>
          <c:cat>
            <c:strRef>
              <c:f>GP!$H$2:$H$75</c:f>
              <c:strCache>
                <c:ptCount val="2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01/04-1</c:v>
                </c:pt>
                <c:pt idx="13">
                  <c:v>01/04-2</c:v>
                </c:pt>
                <c:pt idx="14">
                  <c:v>02/04-1</c:v>
                </c:pt>
                <c:pt idx="15">
                  <c:v>02/04-2</c:v>
                </c:pt>
                <c:pt idx="16">
                  <c:v>03/04-1</c:v>
                </c:pt>
                <c:pt idx="17">
                  <c:v>03/04-2</c:v>
                </c:pt>
                <c:pt idx="18">
                  <c:v>04/04-1</c:v>
                </c:pt>
                <c:pt idx="19">
                  <c:v>04/04-2</c:v>
                </c:pt>
                <c:pt idx="20">
                  <c:v>05/04-1</c:v>
                </c:pt>
                <c:pt idx="21">
                  <c:v>05/04-2</c:v>
                </c:pt>
                <c:pt idx="22">
                  <c:v>06/04-1</c:v>
                </c:pt>
                <c:pt idx="23">
                  <c:v>06/04-2</c:v>
                </c:pt>
                <c:pt idx="24">
                  <c:v>07/04-1</c:v>
                </c:pt>
                <c:pt idx="25">
                  <c:v>07/04-2</c:v>
                </c:pt>
                <c:pt idx="26">
                  <c:v>08/04-1</c:v>
                </c:pt>
                <c:pt idx="27">
                  <c:v>08/04-2</c:v>
                </c:pt>
              </c:strCache>
            </c:strRef>
          </c:cat>
          <c:val>
            <c:numRef>
              <c:f>GP!$I$2:$I$75</c:f>
              <c:numCache>
                <c:formatCode>0%</c:formatCode>
                <c:ptCount val="74"/>
                <c:pt idx="0">
                  <c:v>0.7</c:v>
                </c:pt>
                <c:pt idx="1">
                  <c:v>0.7</c:v>
                </c:pt>
                <c:pt idx="2">
                  <c:v>0.7</c:v>
                </c:pt>
                <c:pt idx="3">
                  <c:v>0.7</c:v>
                </c:pt>
                <c:pt idx="4">
                  <c:v>0.7</c:v>
                </c:pt>
                <c:pt idx="5">
                  <c:v>0.7</c:v>
                </c:pt>
                <c:pt idx="6">
                  <c:v>0.7</c:v>
                </c:pt>
                <c:pt idx="7">
                  <c:v>0.7</c:v>
                </c:pt>
                <c:pt idx="8">
                  <c:v>0.7</c:v>
                </c:pt>
                <c:pt idx="9">
                  <c:v>0.7</c:v>
                </c:pt>
                <c:pt idx="10">
                  <c:v>0.7</c:v>
                </c:pt>
                <c:pt idx="11">
                  <c:v>0.7</c:v>
                </c:pt>
                <c:pt idx="12">
                  <c:v>0.7</c:v>
                </c:pt>
                <c:pt idx="13">
                  <c:v>0.7</c:v>
                </c:pt>
                <c:pt idx="14">
                  <c:v>0.7</c:v>
                </c:pt>
                <c:pt idx="15">
                  <c:v>0.7</c:v>
                </c:pt>
                <c:pt idx="16">
                  <c:v>0.7</c:v>
                </c:pt>
                <c:pt idx="17">
                  <c:v>0.7</c:v>
                </c:pt>
                <c:pt idx="18">
                  <c:v>0.7</c:v>
                </c:pt>
                <c:pt idx="19">
                  <c:v>0.7</c:v>
                </c:pt>
                <c:pt idx="20">
                  <c:v>0.7</c:v>
                </c:pt>
                <c:pt idx="21">
                  <c:v>0.7</c:v>
                </c:pt>
                <c:pt idx="22">
                  <c:v>0.7</c:v>
                </c:pt>
                <c:pt idx="23">
                  <c:v>0.7</c:v>
                </c:pt>
                <c:pt idx="24">
                  <c:v>0.7</c:v>
                </c:pt>
                <c:pt idx="25">
                  <c:v>0.7</c:v>
                </c:pt>
                <c:pt idx="26">
                  <c:v>0.7</c:v>
                </c:pt>
                <c:pt idx="27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6B6-4E25-9CA2-CA15B3594121}"/>
            </c:ext>
          </c:extLst>
        </c:ser>
        <c:ser>
          <c:idx val="6"/>
          <c:order val="4"/>
          <c:tx>
            <c:strRef>
              <c:f>GP!$J$1</c:f>
              <c:strCache>
                <c:ptCount val="1"/>
                <c:pt idx="0">
                  <c:v>Mục Tiêu C2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cat>
            <c:strRef>
              <c:f>GP!$H$2:$H$75</c:f>
              <c:strCache>
                <c:ptCount val="2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01/04-1</c:v>
                </c:pt>
                <c:pt idx="13">
                  <c:v>01/04-2</c:v>
                </c:pt>
                <c:pt idx="14">
                  <c:v>02/04-1</c:v>
                </c:pt>
                <c:pt idx="15">
                  <c:v>02/04-2</c:v>
                </c:pt>
                <c:pt idx="16">
                  <c:v>03/04-1</c:v>
                </c:pt>
                <c:pt idx="17">
                  <c:v>03/04-2</c:v>
                </c:pt>
                <c:pt idx="18">
                  <c:v>04/04-1</c:v>
                </c:pt>
                <c:pt idx="19">
                  <c:v>04/04-2</c:v>
                </c:pt>
                <c:pt idx="20">
                  <c:v>05/04-1</c:v>
                </c:pt>
                <c:pt idx="21">
                  <c:v>05/04-2</c:v>
                </c:pt>
                <c:pt idx="22">
                  <c:v>06/04-1</c:v>
                </c:pt>
                <c:pt idx="23">
                  <c:v>06/04-2</c:v>
                </c:pt>
                <c:pt idx="24">
                  <c:v>07/04-1</c:v>
                </c:pt>
                <c:pt idx="25">
                  <c:v>07/04-2</c:v>
                </c:pt>
                <c:pt idx="26">
                  <c:v>08/04-1</c:v>
                </c:pt>
                <c:pt idx="27">
                  <c:v>08/04-2</c:v>
                </c:pt>
              </c:strCache>
            </c:strRef>
          </c:cat>
          <c:val>
            <c:numRef>
              <c:f>GP!$J$2:$J$75</c:f>
              <c:numCache>
                <c:formatCode>0%</c:formatCode>
                <c:ptCount val="74"/>
                <c:pt idx="0">
                  <c:v>0.87058823529411766</c:v>
                </c:pt>
                <c:pt idx="1">
                  <c:v>0.87058823529411766</c:v>
                </c:pt>
                <c:pt idx="2">
                  <c:v>0.87058823529411766</c:v>
                </c:pt>
                <c:pt idx="3">
                  <c:v>0.87058823529411766</c:v>
                </c:pt>
                <c:pt idx="4">
                  <c:v>0.87058823529411766</c:v>
                </c:pt>
                <c:pt idx="5">
                  <c:v>0.87058823529411766</c:v>
                </c:pt>
                <c:pt idx="6">
                  <c:v>0.87058823529411766</c:v>
                </c:pt>
                <c:pt idx="7">
                  <c:v>0.87058823529411766</c:v>
                </c:pt>
                <c:pt idx="8">
                  <c:v>0.87058823529411766</c:v>
                </c:pt>
                <c:pt idx="9">
                  <c:v>0.87058823529411766</c:v>
                </c:pt>
                <c:pt idx="10">
                  <c:v>0.87058823529411766</c:v>
                </c:pt>
                <c:pt idx="11">
                  <c:v>0.87058823529411766</c:v>
                </c:pt>
                <c:pt idx="12">
                  <c:v>0.87058823529411766</c:v>
                </c:pt>
                <c:pt idx="13">
                  <c:v>0.87058823529411766</c:v>
                </c:pt>
                <c:pt idx="14">
                  <c:v>0.87058823529411766</c:v>
                </c:pt>
                <c:pt idx="15">
                  <c:v>0.87058823529411766</c:v>
                </c:pt>
                <c:pt idx="16">
                  <c:v>0.87058823529411766</c:v>
                </c:pt>
                <c:pt idx="17">
                  <c:v>0.87058823529411766</c:v>
                </c:pt>
                <c:pt idx="18">
                  <c:v>0.87058823529411766</c:v>
                </c:pt>
                <c:pt idx="19">
                  <c:v>0.87058823529411766</c:v>
                </c:pt>
                <c:pt idx="20">
                  <c:v>0.87058823529411766</c:v>
                </c:pt>
                <c:pt idx="21">
                  <c:v>0.87058823529411766</c:v>
                </c:pt>
                <c:pt idx="22">
                  <c:v>0.87058823529411766</c:v>
                </c:pt>
                <c:pt idx="23">
                  <c:v>0.87058823529411766</c:v>
                </c:pt>
                <c:pt idx="24">
                  <c:v>0.87058823529411766</c:v>
                </c:pt>
                <c:pt idx="25">
                  <c:v>0.87058823529411766</c:v>
                </c:pt>
                <c:pt idx="26">
                  <c:v>0.87058823529411766</c:v>
                </c:pt>
                <c:pt idx="27">
                  <c:v>0.87058823529411766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6B6-4E25-9CA2-CA15B35941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5732304"/>
        <c:axId val="1005733384"/>
      </c:lineChart>
      <c:catAx>
        <c:axId val="1005732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733384"/>
        <c:crosses val="autoZero"/>
        <c:auto val="1"/>
        <c:lblAlgn val="ctr"/>
        <c:lblOffset val="100"/>
        <c:noMultiLvlLbl val="0"/>
      </c:catAx>
      <c:valAx>
        <c:axId val="1005733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73230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Biểu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Đồ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Tỉ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Lệ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Hoạt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Động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CĐ Mài tròn có tâm-9h/ca [</a:t>
            </a:r>
            <a:r>
              <a:rPr lang="en-US" sz="1400" b="0" i="0" strike="noStrike" kern="1200" spc="0" baseline="0" dirty="0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MT có tải: Ca 1=48%, Ca 2=68%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]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percentStacked"/>
        <c:varyColors val="0"/>
        <c:ser>
          <c:idx val="2"/>
          <c:order val="0"/>
          <c:tx>
            <c:strRef>
              <c:f>GR!$K$1</c:f>
              <c:strCache>
                <c:ptCount val="1"/>
                <c:pt idx="0">
                  <c:v>% Có Tải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numFmt formatCode="0%;\-0%;;@" sourceLinked="0"/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GR!$H$2:$H$75</c:f>
              <c:strCache>
                <c:ptCount val="2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01/04-1</c:v>
                </c:pt>
                <c:pt idx="13">
                  <c:v>01/04-2</c:v>
                </c:pt>
                <c:pt idx="14">
                  <c:v>02/04-1</c:v>
                </c:pt>
                <c:pt idx="15">
                  <c:v>02/04-2</c:v>
                </c:pt>
                <c:pt idx="16">
                  <c:v>03/04-1</c:v>
                </c:pt>
                <c:pt idx="17">
                  <c:v>03/04-2</c:v>
                </c:pt>
                <c:pt idx="18">
                  <c:v>04/04-1</c:v>
                </c:pt>
                <c:pt idx="19">
                  <c:v>04/04-2</c:v>
                </c:pt>
                <c:pt idx="20">
                  <c:v>05/04-1</c:v>
                </c:pt>
                <c:pt idx="21">
                  <c:v>05/04-2</c:v>
                </c:pt>
                <c:pt idx="22">
                  <c:v>06/04-1</c:v>
                </c:pt>
                <c:pt idx="23">
                  <c:v>06/04-2</c:v>
                </c:pt>
                <c:pt idx="24">
                  <c:v>07/04-1</c:v>
                </c:pt>
                <c:pt idx="25">
                  <c:v>07/04-2</c:v>
                </c:pt>
                <c:pt idx="26">
                  <c:v>08/04-1</c:v>
                </c:pt>
                <c:pt idx="27">
                  <c:v>08/04-2</c:v>
                </c:pt>
              </c:strCache>
            </c:strRef>
          </c:cat>
          <c:val>
            <c:numRef>
              <c:f>GR!$K$2:$K$75</c:f>
              <c:numCache>
                <c:formatCode>0%</c:formatCode>
                <c:ptCount val="74"/>
                <c:pt idx="0">
                  <c:v>0.40024170139712445</c:v>
                </c:pt>
                <c:pt idx="1">
                  <c:v>0.30793879477370956</c:v>
                </c:pt>
                <c:pt idx="2">
                  <c:v>0.41276459999544285</c:v>
                </c:pt>
                <c:pt idx="3">
                  <c:v>0.44613578045492108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0.46796657381615597</c:v>
                </c:pt>
                <c:pt idx="13">
                  <c:v>0.5254355400696864</c:v>
                </c:pt>
                <c:pt idx="14">
                  <c:v>0.50869867780097422</c:v>
                </c:pt>
                <c:pt idx="15">
                  <c:v>0.60236768802228413</c:v>
                </c:pt>
                <c:pt idx="16">
                  <c:v>0.49652294853963841</c:v>
                </c:pt>
                <c:pt idx="17">
                  <c:v>0.51462395543175488</c:v>
                </c:pt>
                <c:pt idx="18">
                  <c:v>0.44498607242339833</c:v>
                </c:pt>
                <c:pt idx="19">
                  <c:v>0.38873435326842837</c:v>
                </c:pt>
                <c:pt idx="20">
                  <c:v>0</c:v>
                </c:pt>
                <c:pt idx="21">
                  <c:v>0</c:v>
                </c:pt>
                <c:pt idx="22">
                  <c:v>0.4815588030619346</c:v>
                </c:pt>
                <c:pt idx="23">
                  <c:v>0.62395543175487467</c:v>
                </c:pt>
                <c:pt idx="24">
                  <c:v>0.4439805149617258</c:v>
                </c:pt>
                <c:pt idx="25">
                  <c:v>0.55601948503827414</c:v>
                </c:pt>
                <c:pt idx="26">
                  <c:v>0.45403899721448465</c:v>
                </c:pt>
                <c:pt idx="27">
                  <c:v>0.63143254520166903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B1-4E54-901F-789E7A7B3758}"/>
            </c:ext>
          </c:extLst>
        </c:ser>
        <c:ser>
          <c:idx val="3"/>
          <c:order val="1"/>
          <c:tx>
            <c:strRef>
              <c:f>GR!$L$1</c:f>
              <c:strCache>
                <c:ptCount val="1"/>
                <c:pt idx="0">
                  <c:v>% Không Tải</c:v>
                </c:pt>
              </c:strCache>
            </c:strRef>
          </c:tx>
          <c:spPr>
            <a:solidFill>
              <a:srgbClr val="FFC000"/>
            </a:solidFill>
            <a:ln>
              <a:noFill/>
              <a:prstDash val="solid"/>
            </a:ln>
          </c:spPr>
          <c:invertIfNegative val="0"/>
          <c:cat>
            <c:strRef>
              <c:f>GR!$H$2:$H$75</c:f>
              <c:strCache>
                <c:ptCount val="2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01/04-1</c:v>
                </c:pt>
                <c:pt idx="13">
                  <c:v>01/04-2</c:v>
                </c:pt>
                <c:pt idx="14">
                  <c:v>02/04-1</c:v>
                </c:pt>
                <c:pt idx="15">
                  <c:v>02/04-2</c:v>
                </c:pt>
                <c:pt idx="16">
                  <c:v>03/04-1</c:v>
                </c:pt>
                <c:pt idx="17">
                  <c:v>03/04-2</c:v>
                </c:pt>
                <c:pt idx="18">
                  <c:v>04/04-1</c:v>
                </c:pt>
                <c:pt idx="19">
                  <c:v>04/04-2</c:v>
                </c:pt>
                <c:pt idx="20">
                  <c:v>05/04-1</c:v>
                </c:pt>
                <c:pt idx="21">
                  <c:v>05/04-2</c:v>
                </c:pt>
                <c:pt idx="22">
                  <c:v>06/04-1</c:v>
                </c:pt>
                <c:pt idx="23">
                  <c:v>06/04-2</c:v>
                </c:pt>
                <c:pt idx="24">
                  <c:v>07/04-1</c:v>
                </c:pt>
                <c:pt idx="25">
                  <c:v>07/04-2</c:v>
                </c:pt>
                <c:pt idx="26">
                  <c:v>08/04-1</c:v>
                </c:pt>
                <c:pt idx="27">
                  <c:v>08/04-2</c:v>
                </c:pt>
              </c:strCache>
            </c:strRef>
          </c:cat>
          <c:val>
            <c:numRef>
              <c:f>GR!$L$2:$L$75</c:f>
              <c:numCache>
                <c:formatCode>0%</c:formatCode>
                <c:ptCount val="74"/>
                <c:pt idx="0">
                  <c:v>0.19633156010345723</c:v>
                </c:pt>
                <c:pt idx="1">
                  <c:v>0.1315887525460778</c:v>
                </c:pt>
                <c:pt idx="2">
                  <c:v>0.18602319593501493</c:v>
                </c:pt>
                <c:pt idx="3">
                  <c:v>0.19101465663462794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0.24930362116991645</c:v>
                </c:pt>
                <c:pt idx="13">
                  <c:v>0.25365853658536586</c:v>
                </c:pt>
                <c:pt idx="14">
                  <c:v>0.20668058455114824</c:v>
                </c:pt>
                <c:pt idx="15">
                  <c:v>0.17409470752089137</c:v>
                </c:pt>
                <c:pt idx="16">
                  <c:v>0.21070931849791377</c:v>
                </c:pt>
                <c:pt idx="17">
                  <c:v>0.18802228412256267</c:v>
                </c:pt>
                <c:pt idx="18">
                  <c:v>0.22701949860724233</c:v>
                </c:pt>
                <c:pt idx="19">
                  <c:v>0.2517385257301808</c:v>
                </c:pt>
                <c:pt idx="20">
                  <c:v>0</c:v>
                </c:pt>
                <c:pt idx="21">
                  <c:v>0</c:v>
                </c:pt>
                <c:pt idx="22">
                  <c:v>0.23590814196242171</c:v>
                </c:pt>
                <c:pt idx="23">
                  <c:v>0.15389972144846797</c:v>
                </c:pt>
                <c:pt idx="24">
                  <c:v>0.27279053583855256</c:v>
                </c:pt>
                <c:pt idx="25">
                  <c:v>0.22059846903270702</c:v>
                </c:pt>
                <c:pt idx="26">
                  <c:v>0.26462395543175488</c:v>
                </c:pt>
                <c:pt idx="27">
                  <c:v>0.14812239221140472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B1-4E54-901F-789E7A7B3758}"/>
            </c:ext>
          </c:extLst>
        </c:ser>
        <c:ser>
          <c:idx val="4"/>
          <c:order val="2"/>
          <c:tx>
            <c:strRef>
              <c:f>GR!$M$1</c:f>
              <c:strCache>
                <c:ptCount val="1"/>
                <c:pt idx="0">
                  <c:v>% Tắt Máy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strRef>
              <c:f>GR!$H$2:$H$75</c:f>
              <c:strCache>
                <c:ptCount val="2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01/04-1</c:v>
                </c:pt>
                <c:pt idx="13">
                  <c:v>01/04-2</c:v>
                </c:pt>
                <c:pt idx="14">
                  <c:v>02/04-1</c:v>
                </c:pt>
                <c:pt idx="15">
                  <c:v>02/04-2</c:v>
                </c:pt>
                <c:pt idx="16">
                  <c:v>03/04-1</c:v>
                </c:pt>
                <c:pt idx="17">
                  <c:v>03/04-2</c:v>
                </c:pt>
                <c:pt idx="18">
                  <c:v>04/04-1</c:v>
                </c:pt>
                <c:pt idx="19">
                  <c:v>04/04-2</c:v>
                </c:pt>
                <c:pt idx="20">
                  <c:v>05/04-1</c:v>
                </c:pt>
                <c:pt idx="21">
                  <c:v>05/04-2</c:v>
                </c:pt>
                <c:pt idx="22">
                  <c:v>06/04-1</c:v>
                </c:pt>
                <c:pt idx="23">
                  <c:v>06/04-2</c:v>
                </c:pt>
                <c:pt idx="24">
                  <c:v>07/04-1</c:v>
                </c:pt>
                <c:pt idx="25">
                  <c:v>07/04-2</c:v>
                </c:pt>
                <c:pt idx="26">
                  <c:v>08/04-1</c:v>
                </c:pt>
                <c:pt idx="27">
                  <c:v>08/04-2</c:v>
                </c:pt>
              </c:strCache>
            </c:strRef>
          </c:cat>
          <c:val>
            <c:numRef>
              <c:f>GR!$M$2:$M$75</c:f>
              <c:numCache>
                <c:formatCode>0%</c:formatCode>
                <c:ptCount val="74"/>
                <c:pt idx="0">
                  <c:v>0.40342673849941835</c:v>
                </c:pt>
                <c:pt idx="1">
                  <c:v>0.56047245268021262</c:v>
                </c:pt>
                <c:pt idx="2">
                  <c:v>0.40121220406954222</c:v>
                </c:pt>
                <c:pt idx="3">
                  <c:v>0.36284956291045101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0.28272980501392758</c:v>
                </c:pt>
                <c:pt idx="13">
                  <c:v>0.22090592334494774</c:v>
                </c:pt>
                <c:pt idx="14">
                  <c:v>0.28462073764787754</c:v>
                </c:pt>
                <c:pt idx="15">
                  <c:v>0.22353760445682452</c:v>
                </c:pt>
                <c:pt idx="16">
                  <c:v>0.29276773296244785</c:v>
                </c:pt>
                <c:pt idx="17">
                  <c:v>0.29735376044568246</c:v>
                </c:pt>
                <c:pt idx="18">
                  <c:v>0.32799442896935932</c:v>
                </c:pt>
                <c:pt idx="19">
                  <c:v>0.35952712100139084</c:v>
                </c:pt>
                <c:pt idx="20">
                  <c:v>1</c:v>
                </c:pt>
                <c:pt idx="21">
                  <c:v>1</c:v>
                </c:pt>
                <c:pt idx="22">
                  <c:v>0.28253305497564368</c:v>
                </c:pt>
                <c:pt idx="23">
                  <c:v>0.22214484679665739</c:v>
                </c:pt>
                <c:pt idx="24">
                  <c:v>0.28322894919972164</c:v>
                </c:pt>
                <c:pt idx="25">
                  <c:v>0.22338204592901878</c:v>
                </c:pt>
                <c:pt idx="26">
                  <c:v>0.28133704735376047</c:v>
                </c:pt>
                <c:pt idx="27">
                  <c:v>0.22044506258692628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B1-4E54-901F-789E7A7B37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05851464"/>
        <c:axId val="1005855064"/>
      </c:barChart>
      <c:lineChart>
        <c:grouping val="standard"/>
        <c:varyColors val="0"/>
        <c:ser>
          <c:idx val="5"/>
          <c:order val="3"/>
          <c:tx>
            <c:strRef>
              <c:f>GR!$I$1</c:f>
              <c:strCache>
                <c:ptCount val="1"/>
                <c:pt idx="0">
                  <c:v>Mục Tiêu C1</c:v>
                </c:pt>
              </c:strCache>
            </c:strRef>
          </c:tx>
          <c:spPr>
            <a:ln w="28575" cap="rnd">
              <a:solidFill>
                <a:srgbClr val="FF00FF"/>
              </a:solidFill>
              <a:prstDash val="solid"/>
              <a:round/>
            </a:ln>
          </c:spPr>
          <c:marker>
            <c:symbol val="none"/>
          </c:marker>
          <c:cat>
            <c:strRef>
              <c:f>GR!$H$2:$H$75</c:f>
              <c:strCache>
                <c:ptCount val="2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01/04-1</c:v>
                </c:pt>
                <c:pt idx="13">
                  <c:v>01/04-2</c:v>
                </c:pt>
                <c:pt idx="14">
                  <c:v>02/04-1</c:v>
                </c:pt>
                <c:pt idx="15">
                  <c:v>02/04-2</c:v>
                </c:pt>
                <c:pt idx="16">
                  <c:v>03/04-1</c:v>
                </c:pt>
                <c:pt idx="17">
                  <c:v>03/04-2</c:v>
                </c:pt>
                <c:pt idx="18">
                  <c:v>04/04-1</c:v>
                </c:pt>
                <c:pt idx="19">
                  <c:v>04/04-2</c:v>
                </c:pt>
                <c:pt idx="20">
                  <c:v>05/04-1</c:v>
                </c:pt>
                <c:pt idx="21">
                  <c:v>05/04-2</c:v>
                </c:pt>
                <c:pt idx="22">
                  <c:v>06/04-1</c:v>
                </c:pt>
                <c:pt idx="23">
                  <c:v>06/04-2</c:v>
                </c:pt>
                <c:pt idx="24">
                  <c:v>07/04-1</c:v>
                </c:pt>
                <c:pt idx="25">
                  <c:v>07/04-2</c:v>
                </c:pt>
                <c:pt idx="26">
                  <c:v>08/04-1</c:v>
                </c:pt>
                <c:pt idx="27">
                  <c:v>08/04-2</c:v>
                </c:pt>
              </c:strCache>
            </c:strRef>
          </c:cat>
          <c:val>
            <c:numRef>
              <c:f>GR!$I$2:$I$75</c:f>
              <c:numCache>
                <c:formatCode>0%</c:formatCode>
                <c:ptCount val="74"/>
                <c:pt idx="0">
                  <c:v>0.48</c:v>
                </c:pt>
                <c:pt idx="1">
                  <c:v>0.48</c:v>
                </c:pt>
                <c:pt idx="2">
                  <c:v>0.48</c:v>
                </c:pt>
                <c:pt idx="3">
                  <c:v>0.48</c:v>
                </c:pt>
                <c:pt idx="4">
                  <c:v>0.48</c:v>
                </c:pt>
                <c:pt idx="5">
                  <c:v>0.48</c:v>
                </c:pt>
                <c:pt idx="6">
                  <c:v>0.48</c:v>
                </c:pt>
                <c:pt idx="7">
                  <c:v>0.48</c:v>
                </c:pt>
                <c:pt idx="8">
                  <c:v>0.48</c:v>
                </c:pt>
                <c:pt idx="9">
                  <c:v>0.48</c:v>
                </c:pt>
                <c:pt idx="10">
                  <c:v>0.48</c:v>
                </c:pt>
                <c:pt idx="11">
                  <c:v>0.48</c:v>
                </c:pt>
                <c:pt idx="12">
                  <c:v>0.48</c:v>
                </c:pt>
                <c:pt idx="13">
                  <c:v>0.48</c:v>
                </c:pt>
                <c:pt idx="14">
                  <c:v>0.48</c:v>
                </c:pt>
                <c:pt idx="15">
                  <c:v>0.48</c:v>
                </c:pt>
                <c:pt idx="16">
                  <c:v>0.48</c:v>
                </c:pt>
                <c:pt idx="17">
                  <c:v>0.48</c:v>
                </c:pt>
                <c:pt idx="18">
                  <c:v>0.48</c:v>
                </c:pt>
                <c:pt idx="19">
                  <c:v>0.48</c:v>
                </c:pt>
                <c:pt idx="20">
                  <c:v>0.48</c:v>
                </c:pt>
                <c:pt idx="21">
                  <c:v>0.48</c:v>
                </c:pt>
                <c:pt idx="22">
                  <c:v>0.48</c:v>
                </c:pt>
                <c:pt idx="23">
                  <c:v>0.48</c:v>
                </c:pt>
                <c:pt idx="24">
                  <c:v>0.48</c:v>
                </c:pt>
                <c:pt idx="25">
                  <c:v>0.48</c:v>
                </c:pt>
                <c:pt idx="26">
                  <c:v>0.48</c:v>
                </c:pt>
                <c:pt idx="27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9B1-4E54-901F-789E7A7B3758}"/>
            </c:ext>
          </c:extLst>
        </c:ser>
        <c:ser>
          <c:idx val="6"/>
          <c:order val="4"/>
          <c:tx>
            <c:strRef>
              <c:f>GR!$J$1</c:f>
              <c:strCache>
                <c:ptCount val="1"/>
                <c:pt idx="0">
                  <c:v>Mục Tiêu C2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cat>
            <c:strRef>
              <c:f>GR!$H$2:$H$75</c:f>
              <c:strCache>
                <c:ptCount val="2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01/04-1</c:v>
                </c:pt>
                <c:pt idx="13">
                  <c:v>01/04-2</c:v>
                </c:pt>
                <c:pt idx="14">
                  <c:v>02/04-1</c:v>
                </c:pt>
                <c:pt idx="15">
                  <c:v>02/04-2</c:v>
                </c:pt>
                <c:pt idx="16">
                  <c:v>03/04-1</c:v>
                </c:pt>
                <c:pt idx="17">
                  <c:v>03/04-2</c:v>
                </c:pt>
                <c:pt idx="18">
                  <c:v>04/04-1</c:v>
                </c:pt>
                <c:pt idx="19">
                  <c:v>04/04-2</c:v>
                </c:pt>
                <c:pt idx="20">
                  <c:v>05/04-1</c:v>
                </c:pt>
                <c:pt idx="21">
                  <c:v>05/04-2</c:v>
                </c:pt>
                <c:pt idx="22">
                  <c:v>06/04-1</c:v>
                </c:pt>
                <c:pt idx="23">
                  <c:v>06/04-2</c:v>
                </c:pt>
                <c:pt idx="24">
                  <c:v>07/04-1</c:v>
                </c:pt>
                <c:pt idx="25">
                  <c:v>07/04-2</c:v>
                </c:pt>
                <c:pt idx="26">
                  <c:v>08/04-1</c:v>
                </c:pt>
                <c:pt idx="27">
                  <c:v>08/04-2</c:v>
                </c:pt>
              </c:strCache>
            </c:strRef>
          </c:cat>
          <c:val>
            <c:numRef>
              <c:f>GR!$J$2:$J$75</c:f>
              <c:numCache>
                <c:formatCode>0%</c:formatCode>
                <c:ptCount val="74"/>
                <c:pt idx="0">
                  <c:v>0.67764705882352927</c:v>
                </c:pt>
                <c:pt idx="1">
                  <c:v>0.67764705882352927</c:v>
                </c:pt>
                <c:pt idx="2">
                  <c:v>0.67764705882352927</c:v>
                </c:pt>
                <c:pt idx="3">
                  <c:v>0.67764705882352927</c:v>
                </c:pt>
                <c:pt idx="4">
                  <c:v>0.67764705882352927</c:v>
                </c:pt>
                <c:pt idx="5">
                  <c:v>0.67764705882352927</c:v>
                </c:pt>
                <c:pt idx="6">
                  <c:v>0.67764705882352927</c:v>
                </c:pt>
                <c:pt idx="7">
                  <c:v>0.67764705882352927</c:v>
                </c:pt>
                <c:pt idx="8">
                  <c:v>0.67764705882352927</c:v>
                </c:pt>
                <c:pt idx="9">
                  <c:v>0.67764705882352927</c:v>
                </c:pt>
                <c:pt idx="10">
                  <c:v>0.67764705882352927</c:v>
                </c:pt>
                <c:pt idx="11">
                  <c:v>0.67764705882352927</c:v>
                </c:pt>
                <c:pt idx="12">
                  <c:v>0.67764705882352927</c:v>
                </c:pt>
                <c:pt idx="13">
                  <c:v>0.67764705882352927</c:v>
                </c:pt>
                <c:pt idx="14">
                  <c:v>0.67764705882352927</c:v>
                </c:pt>
                <c:pt idx="15">
                  <c:v>0.67764705882352927</c:v>
                </c:pt>
                <c:pt idx="16">
                  <c:v>0.67764705882352927</c:v>
                </c:pt>
                <c:pt idx="17">
                  <c:v>0.67764705882352927</c:v>
                </c:pt>
                <c:pt idx="18">
                  <c:v>0.67764705882352927</c:v>
                </c:pt>
                <c:pt idx="19">
                  <c:v>0.67764705882352927</c:v>
                </c:pt>
                <c:pt idx="20">
                  <c:v>0.67764705882352927</c:v>
                </c:pt>
                <c:pt idx="21">
                  <c:v>0.67764705882352927</c:v>
                </c:pt>
                <c:pt idx="22">
                  <c:v>0.67764705882352927</c:v>
                </c:pt>
                <c:pt idx="23">
                  <c:v>0.67764705882352927</c:v>
                </c:pt>
                <c:pt idx="24">
                  <c:v>0.67764705882352927</c:v>
                </c:pt>
                <c:pt idx="25">
                  <c:v>0.67764705882352927</c:v>
                </c:pt>
                <c:pt idx="26">
                  <c:v>0.67764705882352927</c:v>
                </c:pt>
                <c:pt idx="27">
                  <c:v>0.67764705882352927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9B1-4E54-901F-789E7A7B37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5851464"/>
        <c:axId val="1005855064"/>
      </c:lineChart>
      <c:catAx>
        <c:axId val="1005851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855064"/>
        <c:crosses val="autoZero"/>
        <c:auto val="1"/>
        <c:lblAlgn val="ctr"/>
        <c:lblOffset val="100"/>
        <c:noMultiLvlLbl val="0"/>
      </c:catAx>
      <c:valAx>
        <c:axId val="1005855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85146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Biểu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Đồ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Tỉ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Lệ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Hoạt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Động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CĐ Mài tròn vô tâm (GC)-9h/ca [</a:t>
            </a:r>
            <a:r>
              <a:rPr lang="en-US" sz="1400" b="0" i="0" strike="noStrike" kern="1200" spc="0" baseline="0" dirty="0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MT có tải: Ca 1=38%, Ca 2= 54%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]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percentStacked"/>
        <c:varyColors val="0"/>
        <c:ser>
          <c:idx val="2"/>
          <c:order val="0"/>
          <c:tx>
            <c:strRef>
              <c:f>GC!$K$1</c:f>
              <c:strCache>
                <c:ptCount val="1"/>
                <c:pt idx="0">
                  <c:v>% Có Tải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numFmt formatCode="0%;\-0%;;@" sourceLinked="0"/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GC!$H$2:$H$75</c:f>
              <c:strCache>
                <c:ptCount val="2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01/04-1</c:v>
                </c:pt>
                <c:pt idx="13">
                  <c:v>01/04-2</c:v>
                </c:pt>
                <c:pt idx="14">
                  <c:v>02/04-1</c:v>
                </c:pt>
                <c:pt idx="15">
                  <c:v>02/04-2</c:v>
                </c:pt>
                <c:pt idx="16">
                  <c:v>03/04-1</c:v>
                </c:pt>
                <c:pt idx="17">
                  <c:v>03/04-2</c:v>
                </c:pt>
                <c:pt idx="18">
                  <c:v>04/04-1</c:v>
                </c:pt>
                <c:pt idx="19">
                  <c:v>04/04-2</c:v>
                </c:pt>
                <c:pt idx="20">
                  <c:v>05/04-1</c:v>
                </c:pt>
                <c:pt idx="21">
                  <c:v>05/04-2</c:v>
                </c:pt>
                <c:pt idx="22">
                  <c:v>06/04-1</c:v>
                </c:pt>
                <c:pt idx="23">
                  <c:v>06/04-2</c:v>
                </c:pt>
                <c:pt idx="24">
                  <c:v>07/04-1</c:v>
                </c:pt>
                <c:pt idx="25">
                  <c:v>07/04-2</c:v>
                </c:pt>
                <c:pt idx="26">
                  <c:v>08/04-1</c:v>
                </c:pt>
                <c:pt idx="27">
                  <c:v>08/04-2</c:v>
                </c:pt>
              </c:strCache>
            </c:strRef>
          </c:cat>
          <c:val>
            <c:numRef>
              <c:f>GC!$K$2:$K$75</c:f>
              <c:numCache>
                <c:formatCode>0%</c:formatCode>
                <c:ptCount val="74"/>
                <c:pt idx="0">
                  <c:v>0.16167556523800386</c:v>
                </c:pt>
                <c:pt idx="1">
                  <c:v>0.12839104577679003</c:v>
                </c:pt>
                <c:pt idx="2">
                  <c:v>0.2481571361839332</c:v>
                </c:pt>
                <c:pt idx="3">
                  <c:v>0.21775420597313394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0.33891213389121339</c:v>
                </c:pt>
                <c:pt idx="13">
                  <c:v>0.21736111111111112</c:v>
                </c:pt>
                <c:pt idx="14">
                  <c:v>0.14384989576094509</c:v>
                </c:pt>
                <c:pt idx="15">
                  <c:v>0.28789986091794156</c:v>
                </c:pt>
                <c:pt idx="16">
                  <c:v>0.16968011126564672</c:v>
                </c:pt>
                <c:pt idx="17">
                  <c:v>0.20598469032707029</c:v>
                </c:pt>
                <c:pt idx="18">
                  <c:v>0.16817234190410008</c:v>
                </c:pt>
                <c:pt idx="19">
                  <c:v>0.23590814196242171</c:v>
                </c:pt>
                <c:pt idx="20">
                  <c:v>0</c:v>
                </c:pt>
                <c:pt idx="21">
                  <c:v>0</c:v>
                </c:pt>
                <c:pt idx="22">
                  <c:v>0.37787056367432148</c:v>
                </c:pt>
                <c:pt idx="23">
                  <c:v>0.2116991643454039</c:v>
                </c:pt>
                <c:pt idx="24">
                  <c:v>0.33936022253129344</c:v>
                </c:pt>
                <c:pt idx="25">
                  <c:v>0.2118466898954704</c:v>
                </c:pt>
                <c:pt idx="26">
                  <c:v>0.37317581653926335</c:v>
                </c:pt>
                <c:pt idx="27">
                  <c:v>0.20334261838440112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FD-48C0-91A4-6984508BFAA9}"/>
            </c:ext>
          </c:extLst>
        </c:ser>
        <c:ser>
          <c:idx val="3"/>
          <c:order val="1"/>
          <c:tx>
            <c:strRef>
              <c:f>GC!$L$1</c:f>
              <c:strCache>
                <c:ptCount val="1"/>
                <c:pt idx="0">
                  <c:v>% Không Tải</c:v>
                </c:pt>
              </c:strCache>
            </c:strRef>
          </c:tx>
          <c:spPr>
            <a:solidFill>
              <a:srgbClr val="FFC000"/>
            </a:solidFill>
            <a:ln>
              <a:noFill/>
              <a:prstDash val="solid"/>
            </a:ln>
          </c:spPr>
          <c:invertIfNegative val="0"/>
          <c:cat>
            <c:strRef>
              <c:f>GC!$H$2:$H$75</c:f>
              <c:strCache>
                <c:ptCount val="2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01/04-1</c:v>
                </c:pt>
                <c:pt idx="13">
                  <c:v>01/04-2</c:v>
                </c:pt>
                <c:pt idx="14">
                  <c:v>02/04-1</c:v>
                </c:pt>
                <c:pt idx="15">
                  <c:v>02/04-2</c:v>
                </c:pt>
                <c:pt idx="16">
                  <c:v>03/04-1</c:v>
                </c:pt>
                <c:pt idx="17">
                  <c:v>03/04-2</c:v>
                </c:pt>
                <c:pt idx="18">
                  <c:v>04/04-1</c:v>
                </c:pt>
                <c:pt idx="19">
                  <c:v>04/04-2</c:v>
                </c:pt>
                <c:pt idx="20">
                  <c:v>05/04-1</c:v>
                </c:pt>
                <c:pt idx="21">
                  <c:v>05/04-2</c:v>
                </c:pt>
                <c:pt idx="22">
                  <c:v>06/04-1</c:v>
                </c:pt>
                <c:pt idx="23">
                  <c:v>06/04-2</c:v>
                </c:pt>
                <c:pt idx="24">
                  <c:v>07/04-1</c:v>
                </c:pt>
                <c:pt idx="25">
                  <c:v>07/04-2</c:v>
                </c:pt>
                <c:pt idx="26">
                  <c:v>08/04-1</c:v>
                </c:pt>
                <c:pt idx="27">
                  <c:v>08/04-2</c:v>
                </c:pt>
              </c:strCache>
            </c:strRef>
          </c:cat>
          <c:val>
            <c:numRef>
              <c:f>GC!$L$2:$L$75</c:f>
              <c:numCache>
                <c:formatCode>0%</c:formatCode>
                <c:ptCount val="74"/>
                <c:pt idx="0">
                  <c:v>0.1654795633868</c:v>
                </c:pt>
                <c:pt idx="1">
                  <c:v>0.12169896825298288</c:v>
                </c:pt>
                <c:pt idx="2">
                  <c:v>0.20964783356689567</c:v>
                </c:pt>
                <c:pt idx="3">
                  <c:v>0.18232404468982308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0.29218967921896793</c:v>
                </c:pt>
                <c:pt idx="13">
                  <c:v>0.2298611111111111</c:v>
                </c:pt>
                <c:pt idx="14">
                  <c:v>0.13342599027102153</c:v>
                </c:pt>
                <c:pt idx="15">
                  <c:v>0.15646731571627259</c:v>
                </c:pt>
                <c:pt idx="16">
                  <c:v>0.1105702364394993</c:v>
                </c:pt>
                <c:pt idx="17">
                  <c:v>0.19415448851774531</c:v>
                </c:pt>
                <c:pt idx="18">
                  <c:v>0.10979847116052814</c:v>
                </c:pt>
                <c:pt idx="19">
                  <c:v>0.17258176757132915</c:v>
                </c:pt>
                <c:pt idx="20">
                  <c:v>0</c:v>
                </c:pt>
                <c:pt idx="21">
                  <c:v>0</c:v>
                </c:pt>
                <c:pt idx="22">
                  <c:v>0.25400139178844816</c:v>
                </c:pt>
                <c:pt idx="23">
                  <c:v>0.23259052924791088</c:v>
                </c:pt>
                <c:pt idx="24">
                  <c:v>0.29276773296244785</c:v>
                </c:pt>
                <c:pt idx="25">
                  <c:v>0.23554006968641114</c:v>
                </c:pt>
                <c:pt idx="26">
                  <c:v>0.25990271021542738</c:v>
                </c:pt>
                <c:pt idx="27">
                  <c:v>0.24442896935933148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FD-48C0-91A4-6984508BFAA9}"/>
            </c:ext>
          </c:extLst>
        </c:ser>
        <c:ser>
          <c:idx val="4"/>
          <c:order val="2"/>
          <c:tx>
            <c:strRef>
              <c:f>GC!$M$1</c:f>
              <c:strCache>
                <c:ptCount val="1"/>
                <c:pt idx="0">
                  <c:v>% Tắt Máy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strRef>
              <c:f>GC!$H$2:$H$75</c:f>
              <c:strCache>
                <c:ptCount val="2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01/04-1</c:v>
                </c:pt>
                <c:pt idx="13">
                  <c:v>01/04-2</c:v>
                </c:pt>
                <c:pt idx="14">
                  <c:v>02/04-1</c:v>
                </c:pt>
                <c:pt idx="15">
                  <c:v>02/04-2</c:v>
                </c:pt>
                <c:pt idx="16">
                  <c:v>03/04-1</c:v>
                </c:pt>
                <c:pt idx="17">
                  <c:v>03/04-2</c:v>
                </c:pt>
                <c:pt idx="18">
                  <c:v>04/04-1</c:v>
                </c:pt>
                <c:pt idx="19">
                  <c:v>04/04-2</c:v>
                </c:pt>
                <c:pt idx="20">
                  <c:v>05/04-1</c:v>
                </c:pt>
                <c:pt idx="21">
                  <c:v>05/04-2</c:v>
                </c:pt>
                <c:pt idx="22">
                  <c:v>06/04-1</c:v>
                </c:pt>
                <c:pt idx="23">
                  <c:v>06/04-2</c:v>
                </c:pt>
                <c:pt idx="24">
                  <c:v>07/04-1</c:v>
                </c:pt>
                <c:pt idx="25">
                  <c:v>07/04-2</c:v>
                </c:pt>
                <c:pt idx="26">
                  <c:v>08/04-1</c:v>
                </c:pt>
                <c:pt idx="27">
                  <c:v>08/04-2</c:v>
                </c:pt>
              </c:strCache>
            </c:strRef>
          </c:cat>
          <c:val>
            <c:numRef>
              <c:f>GC!$M$2:$M$75</c:f>
              <c:numCache>
                <c:formatCode>0%</c:formatCode>
                <c:ptCount val="74"/>
                <c:pt idx="0">
                  <c:v>0.67284487137519611</c:v>
                </c:pt>
                <c:pt idx="1">
                  <c:v>0.74990998597022707</c:v>
                </c:pt>
                <c:pt idx="2">
                  <c:v>0.54219503024917115</c:v>
                </c:pt>
                <c:pt idx="3">
                  <c:v>0.59992174933704301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0.36889818688981868</c:v>
                </c:pt>
                <c:pt idx="13">
                  <c:v>0.55277777777777781</c:v>
                </c:pt>
                <c:pt idx="14">
                  <c:v>0.72272411396803338</c:v>
                </c:pt>
                <c:pt idx="15">
                  <c:v>0.55563282336578579</c:v>
                </c:pt>
                <c:pt idx="16">
                  <c:v>0.71974965229485399</c:v>
                </c:pt>
                <c:pt idx="17">
                  <c:v>0.59986082115518446</c:v>
                </c:pt>
                <c:pt idx="18">
                  <c:v>0.72202918693537177</c:v>
                </c:pt>
                <c:pt idx="19">
                  <c:v>0.59151009046624914</c:v>
                </c:pt>
                <c:pt idx="20">
                  <c:v>1</c:v>
                </c:pt>
                <c:pt idx="21">
                  <c:v>1</c:v>
                </c:pt>
                <c:pt idx="22">
                  <c:v>0.36812804453723036</c:v>
                </c:pt>
                <c:pt idx="23">
                  <c:v>0.55571030640668528</c:v>
                </c:pt>
                <c:pt idx="24">
                  <c:v>0.36787204450625871</c:v>
                </c:pt>
                <c:pt idx="25">
                  <c:v>0.55261324041811843</c:v>
                </c:pt>
                <c:pt idx="26">
                  <c:v>0.36692147324530922</c:v>
                </c:pt>
                <c:pt idx="27">
                  <c:v>0.5522284122562674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FD-48C0-91A4-6984508BFA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005736984"/>
        <c:axId val="1005739864"/>
      </c:barChart>
      <c:lineChart>
        <c:grouping val="standard"/>
        <c:varyColors val="0"/>
        <c:ser>
          <c:idx val="5"/>
          <c:order val="3"/>
          <c:tx>
            <c:strRef>
              <c:f>GC!$I$1</c:f>
              <c:strCache>
                <c:ptCount val="1"/>
                <c:pt idx="0">
                  <c:v>Mục Tiêu C1</c:v>
                </c:pt>
              </c:strCache>
            </c:strRef>
          </c:tx>
          <c:spPr>
            <a:ln w="28575" cap="rnd">
              <a:solidFill>
                <a:srgbClr val="FF00FF"/>
              </a:solidFill>
              <a:prstDash val="solid"/>
              <a:round/>
            </a:ln>
          </c:spPr>
          <c:marker>
            <c:symbol val="none"/>
          </c:marker>
          <c:cat>
            <c:strRef>
              <c:f>GC!$H$2:$H$75</c:f>
              <c:strCache>
                <c:ptCount val="2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01/04-1</c:v>
                </c:pt>
                <c:pt idx="13">
                  <c:v>01/04-2</c:v>
                </c:pt>
                <c:pt idx="14">
                  <c:v>02/04-1</c:v>
                </c:pt>
                <c:pt idx="15">
                  <c:v>02/04-2</c:v>
                </c:pt>
                <c:pt idx="16">
                  <c:v>03/04-1</c:v>
                </c:pt>
                <c:pt idx="17">
                  <c:v>03/04-2</c:v>
                </c:pt>
                <c:pt idx="18">
                  <c:v>04/04-1</c:v>
                </c:pt>
                <c:pt idx="19">
                  <c:v>04/04-2</c:v>
                </c:pt>
                <c:pt idx="20">
                  <c:v>05/04-1</c:v>
                </c:pt>
                <c:pt idx="21">
                  <c:v>05/04-2</c:v>
                </c:pt>
                <c:pt idx="22">
                  <c:v>06/04-1</c:v>
                </c:pt>
                <c:pt idx="23">
                  <c:v>06/04-2</c:v>
                </c:pt>
                <c:pt idx="24">
                  <c:v>07/04-1</c:v>
                </c:pt>
                <c:pt idx="25">
                  <c:v>07/04-2</c:v>
                </c:pt>
                <c:pt idx="26">
                  <c:v>08/04-1</c:v>
                </c:pt>
                <c:pt idx="27">
                  <c:v>08/04-2</c:v>
                </c:pt>
              </c:strCache>
            </c:strRef>
          </c:cat>
          <c:val>
            <c:numRef>
              <c:f>GC!$I$2:$I$75</c:f>
              <c:numCache>
                <c:formatCode>0%</c:formatCode>
                <c:ptCount val="74"/>
                <c:pt idx="0">
                  <c:v>0.38</c:v>
                </c:pt>
                <c:pt idx="1">
                  <c:v>0.38</c:v>
                </c:pt>
                <c:pt idx="2">
                  <c:v>0.38</c:v>
                </c:pt>
                <c:pt idx="3">
                  <c:v>0.38</c:v>
                </c:pt>
                <c:pt idx="4">
                  <c:v>0.38</c:v>
                </c:pt>
                <c:pt idx="5">
                  <c:v>0.38</c:v>
                </c:pt>
                <c:pt idx="6">
                  <c:v>0.38</c:v>
                </c:pt>
                <c:pt idx="7">
                  <c:v>0.38</c:v>
                </c:pt>
                <c:pt idx="8">
                  <c:v>0.38</c:v>
                </c:pt>
                <c:pt idx="9">
                  <c:v>0.38</c:v>
                </c:pt>
                <c:pt idx="10">
                  <c:v>0.38</c:v>
                </c:pt>
                <c:pt idx="11">
                  <c:v>0.38</c:v>
                </c:pt>
                <c:pt idx="12">
                  <c:v>0.38</c:v>
                </c:pt>
                <c:pt idx="13">
                  <c:v>0.38</c:v>
                </c:pt>
                <c:pt idx="14">
                  <c:v>0.38</c:v>
                </c:pt>
                <c:pt idx="15">
                  <c:v>0.38</c:v>
                </c:pt>
                <c:pt idx="16">
                  <c:v>0.38</c:v>
                </c:pt>
                <c:pt idx="17">
                  <c:v>0.38</c:v>
                </c:pt>
                <c:pt idx="18">
                  <c:v>0.38</c:v>
                </c:pt>
                <c:pt idx="19">
                  <c:v>0.38</c:v>
                </c:pt>
                <c:pt idx="20">
                  <c:v>0.38</c:v>
                </c:pt>
                <c:pt idx="21">
                  <c:v>0.38</c:v>
                </c:pt>
                <c:pt idx="22">
                  <c:v>0.38</c:v>
                </c:pt>
                <c:pt idx="23">
                  <c:v>0.38</c:v>
                </c:pt>
                <c:pt idx="24">
                  <c:v>0.38</c:v>
                </c:pt>
                <c:pt idx="25">
                  <c:v>0.38</c:v>
                </c:pt>
                <c:pt idx="26">
                  <c:v>0.38</c:v>
                </c:pt>
                <c:pt idx="27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AFD-48C0-91A4-6984508BFAA9}"/>
            </c:ext>
          </c:extLst>
        </c:ser>
        <c:ser>
          <c:idx val="6"/>
          <c:order val="4"/>
          <c:tx>
            <c:strRef>
              <c:f>GC!$J$1</c:f>
              <c:strCache>
                <c:ptCount val="1"/>
                <c:pt idx="0">
                  <c:v>Mục Tiêu C2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cat>
            <c:strRef>
              <c:f>GC!$H$2:$H$75</c:f>
              <c:strCache>
                <c:ptCount val="2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01/04-1</c:v>
                </c:pt>
                <c:pt idx="13">
                  <c:v>01/04-2</c:v>
                </c:pt>
                <c:pt idx="14">
                  <c:v>02/04-1</c:v>
                </c:pt>
                <c:pt idx="15">
                  <c:v>02/04-2</c:v>
                </c:pt>
                <c:pt idx="16">
                  <c:v>03/04-1</c:v>
                </c:pt>
                <c:pt idx="17">
                  <c:v>03/04-2</c:v>
                </c:pt>
                <c:pt idx="18">
                  <c:v>04/04-1</c:v>
                </c:pt>
                <c:pt idx="19">
                  <c:v>04/04-2</c:v>
                </c:pt>
                <c:pt idx="20">
                  <c:v>05/04-1</c:v>
                </c:pt>
                <c:pt idx="21">
                  <c:v>05/04-2</c:v>
                </c:pt>
                <c:pt idx="22">
                  <c:v>06/04-1</c:v>
                </c:pt>
                <c:pt idx="23">
                  <c:v>06/04-2</c:v>
                </c:pt>
                <c:pt idx="24">
                  <c:v>07/04-1</c:v>
                </c:pt>
                <c:pt idx="25">
                  <c:v>07/04-2</c:v>
                </c:pt>
                <c:pt idx="26">
                  <c:v>08/04-1</c:v>
                </c:pt>
                <c:pt idx="27">
                  <c:v>08/04-2</c:v>
                </c:pt>
              </c:strCache>
            </c:strRef>
          </c:cat>
          <c:val>
            <c:numRef>
              <c:f>GC!$J$2:$J$75</c:f>
              <c:numCache>
                <c:formatCode>0%</c:formatCode>
                <c:ptCount val="74"/>
                <c:pt idx="0">
                  <c:v>0.53647058823529414</c:v>
                </c:pt>
                <c:pt idx="1">
                  <c:v>0.53647058823529414</c:v>
                </c:pt>
                <c:pt idx="2">
                  <c:v>0.53647058823529414</c:v>
                </c:pt>
                <c:pt idx="3">
                  <c:v>0.53647058823529414</c:v>
                </c:pt>
                <c:pt idx="4">
                  <c:v>0.53647058823529414</c:v>
                </c:pt>
                <c:pt idx="5">
                  <c:v>0.53647058823529414</c:v>
                </c:pt>
                <c:pt idx="6">
                  <c:v>0.53647058823529414</c:v>
                </c:pt>
                <c:pt idx="7">
                  <c:v>0.53647058823529414</c:v>
                </c:pt>
                <c:pt idx="8">
                  <c:v>0.53647058823529414</c:v>
                </c:pt>
                <c:pt idx="9">
                  <c:v>0.53647058823529414</c:v>
                </c:pt>
                <c:pt idx="10">
                  <c:v>0.53647058823529414</c:v>
                </c:pt>
                <c:pt idx="11">
                  <c:v>0.53647058823529414</c:v>
                </c:pt>
                <c:pt idx="12">
                  <c:v>0.53647058823529414</c:v>
                </c:pt>
                <c:pt idx="13">
                  <c:v>0.53647058823529414</c:v>
                </c:pt>
                <c:pt idx="14">
                  <c:v>0.53647058823529414</c:v>
                </c:pt>
                <c:pt idx="15">
                  <c:v>0.53647058823529414</c:v>
                </c:pt>
                <c:pt idx="16">
                  <c:v>0.53647058823529414</c:v>
                </c:pt>
                <c:pt idx="17">
                  <c:v>0.53647058823529414</c:v>
                </c:pt>
                <c:pt idx="18">
                  <c:v>0.53647058823529414</c:v>
                </c:pt>
                <c:pt idx="19">
                  <c:v>0.53647058823529414</c:v>
                </c:pt>
                <c:pt idx="20">
                  <c:v>0.53647058823529414</c:v>
                </c:pt>
                <c:pt idx="21">
                  <c:v>0.53647058823529414</c:v>
                </c:pt>
                <c:pt idx="22">
                  <c:v>0.53647058823529414</c:v>
                </c:pt>
                <c:pt idx="23">
                  <c:v>0.53647058823529414</c:v>
                </c:pt>
                <c:pt idx="24">
                  <c:v>0.53647058823529414</c:v>
                </c:pt>
                <c:pt idx="25">
                  <c:v>0.53647058823529414</c:v>
                </c:pt>
                <c:pt idx="26">
                  <c:v>0.53647058823529414</c:v>
                </c:pt>
                <c:pt idx="27">
                  <c:v>0.53647058823529414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AFD-48C0-91A4-6984508BFA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5736984"/>
        <c:axId val="1005739864"/>
      </c:lineChart>
      <c:catAx>
        <c:axId val="1005736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739864"/>
        <c:crosses val="autoZero"/>
        <c:auto val="1"/>
        <c:lblAlgn val="ctr"/>
        <c:lblOffset val="100"/>
        <c:noMultiLvlLbl val="0"/>
      </c:catAx>
      <c:valAx>
        <c:axId val="1005739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73698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Biểu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Đồ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Tỉ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Lệ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Hoạt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Động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CĐ Tiện CNC-9h/ca [</a:t>
            </a:r>
            <a:r>
              <a:rPr lang="en-US" sz="1400" b="0" i="0" strike="noStrike" kern="1200" spc="0" baseline="0" dirty="0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MT có tải: Ca 1=65%, Ca 2= 80%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]</a:t>
            </a:r>
          </a:p>
        </c:rich>
      </c:tx>
      <c:layout>
        <c:manualLayout>
          <c:xMode val="edge"/>
          <c:yMode val="edge"/>
          <c:x val="0.2410342893368991"/>
          <c:y val="1.5252616964753239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4.1942326078361097E-2"/>
          <c:y val="0.13674242424242419"/>
          <c:w val="0.94486229292839041"/>
          <c:h val="0.65068778334526367"/>
        </c:manualLayout>
      </c:layout>
      <c:barChart>
        <c:barDir val="col"/>
        <c:grouping val="percentStacked"/>
        <c:varyColors val="0"/>
        <c:ser>
          <c:idx val="2"/>
          <c:order val="0"/>
          <c:tx>
            <c:strRef>
              <c:f>LN!$K$1</c:f>
              <c:strCache>
                <c:ptCount val="1"/>
                <c:pt idx="0">
                  <c:v>% Có Tải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numFmt formatCode="0%;\-0%;;@" sourceLinked="0"/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LN!$H$2:$H$75</c:f>
              <c:strCache>
                <c:ptCount val="2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01/04-1</c:v>
                </c:pt>
                <c:pt idx="13">
                  <c:v>01/04-2</c:v>
                </c:pt>
                <c:pt idx="14">
                  <c:v>02/04-1</c:v>
                </c:pt>
                <c:pt idx="15">
                  <c:v>02/04-2</c:v>
                </c:pt>
                <c:pt idx="16">
                  <c:v>03/04-1</c:v>
                </c:pt>
                <c:pt idx="17">
                  <c:v>03/04-2</c:v>
                </c:pt>
                <c:pt idx="18">
                  <c:v>04/04-1</c:v>
                </c:pt>
                <c:pt idx="19">
                  <c:v>04/04-2</c:v>
                </c:pt>
                <c:pt idx="20">
                  <c:v>05/04-1</c:v>
                </c:pt>
                <c:pt idx="21">
                  <c:v>05/04-2</c:v>
                </c:pt>
                <c:pt idx="22">
                  <c:v>06/04-1</c:v>
                </c:pt>
                <c:pt idx="23">
                  <c:v>06/04-2</c:v>
                </c:pt>
                <c:pt idx="24">
                  <c:v>07/04-1</c:v>
                </c:pt>
                <c:pt idx="25">
                  <c:v>07/04-2</c:v>
                </c:pt>
                <c:pt idx="26">
                  <c:v>08/04-1</c:v>
                </c:pt>
                <c:pt idx="27">
                  <c:v>08/04-2</c:v>
                </c:pt>
              </c:strCache>
            </c:strRef>
          </c:cat>
          <c:val>
            <c:numRef>
              <c:f>LN!$K$2:$K$75</c:f>
              <c:numCache>
                <c:formatCode>0%</c:formatCode>
                <c:ptCount val="74"/>
                <c:pt idx="0">
                  <c:v>0.50528801609003182</c:v>
                </c:pt>
                <c:pt idx="1">
                  <c:v>0.38390504598558289</c:v>
                </c:pt>
                <c:pt idx="2">
                  <c:v>0.54705922598006795</c:v>
                </c:pt>
                <c:pt idx="3">
                  <c:v>0.53033600278551529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0.56158663883089766</c:v>
                </c:pt>
                <c:pt idx="13">
                  <c:v>0.68641114982578399</c:v>
                </c:pt>
                <c:pt idx="14">
                  <c:v>0.57341684064022269</c:v>
                </c:pt>
                <c:pt idx="15">
                  <c:v>0.58118466898954702</c:v>
                </c:pt>
                <c:pt idx="16">
                  <c:v>0.54108635097493041</c:v>
                </c:pt>
                <c:pt idx="17">
                  <c:v>0.57560975609756093</c:v>
                </c:pt>
                <c:pt idx="18">
                  <c:v>0.49582172701949861</c:v>
                </c:pt>
                <c:pt idx="19">
                  <c:v>0.5365344467640919</c:v>
                </c:pt>
                <c:pt idx="20">
                  <c:v>0.57927677329624483</c:v>
                </c:pt>
                <c:pt idx="21">
                  <c:v>0</c:v>
                </c:pt>
                <c:pt idx="22">
                  <c:v>0.4832869080779944</c:v>
                </c:pt>
                <c:pt idx="23">
                  <c:v>0.54184100418410042</c:v>
                </c:pt>
                <c:pt idx="24">
                  <c:v>0.55013927576601673</c:v>
                </c:pt>
                <c:pt idx="25">
                  <c:v>0.56533892382948991</c:v>
                </c:pt>
                <c:pt idx="26">
                  <c:v>0.51253481894150421</c:v>
                </c:pt>
                <c:pt idx="27">
                  <c:v>0.70285316631871952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59-4D77-BDF6-0F4F2583C994}"/>
            </c:ext>
          </c:extLst>
        </c:ser>
        <c:ser>
          <c:idx val="3"/>
          <c:order val="1"/>
          <c:tx>
            <c:strRef>
              <c:f>LN!$L$1</c:f>
              <c:strCache>
                <c:ptCount val="1"/>
                <c:pt idx="0">
                  <c:v>% Không Tải</c:v>
                </c:pt>
              </c:strCache>
            </c:strRef>
          </c:tx>
          <c:spPr>
            <a:solidFill>
              <a:srgbClr val="FFC000"/>
            </a:solidFill>
            <a:ln>
              <a:noFill/>
              <a:prstDash val="solid"/>
            </a:ln>
          </c:spPr>
          <c:invertIfNegative val="0"/>
          <c:cat>
            <c:strRef>
              <c:f>LN!$H$2:$H$75</c:f>
              <c:strCache>
                <c:ptCount val="2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01/04-1</c:v>
                </c:pt>
                <c:pt idx="13">
                  <c:v>01/04-2</c:v>
                </c:pt>
                <c:pt idx="14">
                  <c:v>02/04-1</c:v>
                </c:pt>
                <c:pt idx="15">
                  <c:v>02/04-2</c:v>
                </c:pt>
                <c:pt idx="16">
                  <c:v>03/04-1</c:v>
                </c:pt>
                <c:pt idx="17">
                  <c:v>03/04-2</c:v>
                </c:pt>
                <c:pt idx="18">
                  <c:v>04/04-1</c:v>
                </c:pt>
                <c:pt idx="19">
                  <c:v>04/04-2</c:v>
                </c:pt>
                <c:pt idx="20">
                  <c:v>05/04-1</c:v>
                </c:pt>
                <c:pt idx="21">
                  <c:v>05/04-2</c:v>
                </c:pt>
                <c:pt idx="22">
                  <c:v>06/04-1</c:v>
                </c:pt>
                <c:pt idx="23">
                  <c:v>06/04-2</c:v>
                </c:pt>
                <c:pt idx="24">
                  <c:v>07/04-1</c:v>
                </c:pt>
                <c:pt idx="25">
                  <c:v>07/04-2</c:v>
                </c:pt>
                <c:pt idx="26">
                  <c:v>08/04-1</c:v>
                </c:pt>
                <c:pt idx="27">
                  <c:v>08/04-2</c:v>
                </c:pt>
              </c:strCache>
            </c:strRef>
          </c:cat>
          <c:val>
            <c:numRef>
              <c:f>LN!$L$2:$L$75</c:f>
              <c:numCache>
                <c:formatCode>0%</c:formatCode>
                <c:ptCount val="74"/>
                <c:pt idx="0">
                  <c:v>0.16860635917832364</c:v>
                </c:pt>
                <c:pt idx="1">
                  <c:v>0.15042257022122793</c:v>
                </c:pt>
                <c:pt idx="2">
                  <c:v>0.194793495860795</c:v>
                </c:pt>
                <c:pt idx="3">
                  <c:v>0.234375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0.29505915100904662</c:v>
                </c:pt>
                <c:pt idx="13">
                  <c:v>0.20487804878048779</c:v>
                </c:pt>
                <c:pt idx="14">
                  <c:v>0.28392484342379959</c:v>
                </c:pt>
                <c:pt idx="15">
                  <c:v>0.30940766550522647</c:v>
                </c:pt>
                <c:pt idx="16">
                  <c:v>0.31476323119777161</c:v>
                </c:pt>
                <c:pt idx="17">
                  <c:v>0.31428571428571428</c:v>
                </c:pt>
                <c:pt idx="18">
                  <c:v>0.33983286908077992</c:v>
                </c:pt>
                <c:pt idx="19">
                  <c:v>0.29088378566457901</c:v>
                </c:pt>
                <c:pt idx="20">
                  <c:v>0.25243393602225311</c:v>
                </c:pt>
                <c:pt idx="21">
                  <c:v>0</c:v>
                </c:pt>
                <c:pt idx="22">
                  <c:v>0.2298050139275766</c:v>
                </c:pt>
                <c:pt idx="23">
                  <c:v>0.24267782426778242</c:v>
                </c:pt>
                <c:pt idx="24">
                  <c:v>0.16643454038997216</c:v>
                </c:pt>
                <c:pt idx="25">
                  <c:v>0.21942697414395529</c:v>
                </c:pt>
                <c:pt idx="26">
                  <c:v>0.20473537604456823</c:v>
                </c:pt>
                <c:pt idx="27">
                  <c:v>8.2115518441196939E-2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59-4D77-BDF6-0F4F2583C994}"/>
            </c:ext>
          </c:extLst>
        </c:ser>
        <c:ser>
          <c:idx val="4"/>
          <c:order val="2"/>
          <c:tx>
            <c:strRef>
              <c:f>LN!$M$1</c:f>
              <c:strCache>
                <c:ptCount val="1"/>
                <c:pt idx="0">
                  <c:v>% Tắt Máy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strRef>
              <c:f>LN!$H$2:$H$75</c:f>
              <c:strCache>
                <c:ptCount val="2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01/04-1</c:v>
                </c:pt>
                <c:pt idx="13">
                  <c:v>01/04-2</c:v>
                </c:pt>
                <c:pt idx="14">
                  <c:v>02/04-1</c:v>
                </c:pt>
                <c:pt idx="15">
                  <c:v>02/04-2</c:v>
                </c:pt>
                <c:pt idx="16">
                  <c:v>03/04-1</c:v>
                </c:pt>
                <c:pt idx="17">
                  <c:v>03/04-2</c:v>
                </c:pt>
                <c:pt idx="18">
                  <c:v>04/04-1</c:v>
                </c:pt>
                <c:pt idx="19">
                  <c:v>04/04-2</c:v>
                </c:pt>
                <c:pt idx="20">
                  <c:v>05/04-1</c:v>
                </c:pt>
                <c:pt idx="21">
                  <c:v>05/04-2</c:v>
                </c:pt>
                <c:pt idx="22">
                  <c:v>06/04-1</c:v>
                </c:pt>
                <c:pt idx="23">
                  <c:v>06/04-2</c:v>
                </c:pt>
                <c:pt idx="24">
                  <c:v>07/04-1</c:v>
                </c:pt>
                <c:pt idx="25">
                  <c:v>07/04-2</c:v>
                </c:pt>
                <c:pt idx="26">
                  <c:v>08/04-1</c:v>
                </c:pt>
                <c:pt idx="27">
                  <c:v>08/04-2</c:v>
                </c:pt>
              </c:strCache>
            </c:strRef>
          </c:cat>
          <c:val>
            <c:numRef>
              <c:f>LN!$M$2:$M$75</c:f>
              <c:numCache>
                <c:formatCode>0%</c:formatCode>
                <c:ptCount val="74"/>
                <c:pt idx="0">
                  <c:v>0.32610562473164451</c:v>
                </c:pt>
                <c:pt idx="1">
                  <c:v>0.46567238379318915</c:v>
                </c:pt>
                <c:pt idx="2">
                  <c:v>0.25814727815913702</c:v>
                </c:pt>
                <c:pt idx="3">
                  <c:v>0.23528899721448468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0.14335421016005567</c:v>
                </c:pt>
                <c:pt idx="13">
                  <c:v>0.10871080139372823</c:v>
                </c:pt>
                <c:pt idx="14">
                  <c:v>0.14265831593597772</c:v>
                </c:pt>
                <c:pt idx="15">
                  <c:v>0.10940766550522649</c:v>
                </c:pt>
                <c:pt idx="16">
                  <c:v>0.14415041782729804</c:v>
                </c:pt>
                <c:pt idx="17">
                  <c:v>0.11010452961672473</c:v>
                </c:pt>
                <c:pt idx="18">
                  <c:v>0.16434540389972144</c:v>
                </c:pt>
                <c:pt idx="19">
                  <c:v>0.17258176757132915</c:v>
                </c:pt>
                <c:pt idx="20">
                  <c:v>0.16828929068150209</c:v>
                </c:pt>
                <c:pt idx="21">
                  <c:v>1</c:v>
                </c:pt>
                <c:pt idx="22">
                  <c:v>0.28690807799442897</c:v>
                </c:pt>
                <c:pt idx="23">
                  <c:v>0.21548117154811716</c:v>
                </c:pt>
                <c:pt idx="24">
                  <c:v>0.28342618384401114</c:v>
                </c:pt>
                <c:pt idx="25">
                  <c:v>0.21523410202655485</c:v>
                </c:pt>
                <c:pt idx="26">
                  <c:v>0.28272980501392758</c:v>
                </c:pt>
                <c:pt idx="27">
                  <c:v>0.21503131524008351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659-4D77-BDF6-0F4F2583C9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005858664"/>
        <c:axId val="1005862264"/>
      </c:barChart>
      <c:lineChart>
        <c:grouping val="standard"/>
        <c:varyColors val="0"/>
        <c:ser>
          <c:idx val="5"/>
          <c:order val="3"/>
          <c:tx>
            <c:strRef>
              <c:f>LN!$I$1</c:f>
              <c:strCache>
                <c:ptCount val="1"/>
                <c:pt idx="0">
                  <c:v>Mục Tiêu C1</c:v>
                </c:pt>
              </c:strCache>
            </c:strRef>
          </c:tx>
          <c:spPr>
            <a:ln w="28575" cap="rnd">
              <a:solidFill>
                <a:srgbClr val="FF00FF"/>
              </a:solidFill>
              <a:prstDash val="solid"/>
              <a:round/>
            </a:ln>
          </c:spPr>
          <c:marker>
            <c:symbol val="none"/>
          </c:marker>
          <c:cat>
            <c:strRef>
              <c:f>LN!$H$2:$H$75</c:f>
              <c:strCache>
                <c:ptCount val="2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01/04-1</c:v>
                </c:pt>
                <c:pt idx="13">
                  <c:v>01/04-2</c:v>
                </c:pt>
                <c:pt idx="14">
                  <c:v>02/04-1</c:v>
                </c:pt>
                <c:pt idx="15">
                  <c:v>02/04-2</c:v>
                </c:pt>
                <c:pt idx="16">
                  <c:v>03/04-1</c:v>
                </c:pt>
                <c:pt idx="17">
                  <c:v>03/04-2</c:v>
                </c:pt>
                <c:pt idx="18">
                  <c:v>04/04-1</c:v>
                </c:pt>
                <c:pt idx="19">
                  <c:v>04/04-2</c:v>
                </c:pt>
                <c:pt idx="20">
                  <c:v>05/04-1</c:v>
                </c:pt>
                <c:pt idx="21">
                  <c:v>05/04-2</c:v>
                </c:pt>
                <c:pt idx="22">
                  <c:v>06/04-1</c:v>
                </c:pt>
                <c:pt idx="23">
                  <c:v>06/04-2</c:v>
                </c:pt>
                <c:pt idx="24">
                  <c:v>07/04-1</c:v>
                </c:pt>
                <c:pt idx="25">
                  <c:v>07/04-2</c:v>
                </c:pt>
                <c:pt idx="26">
                  <c:v>08/04-1</c:v>
                </c:pt>
                <c:pt idx="27">
                  <c:v>08/04-2</c:v>
                </c:pt>
              </c:strCache>
            </c:strRef>
          </c:cat>
          <c:val>
            <c:numRef>
              <c:f>LN!$I$2:$I$75</c:f>
              <c:numCache>
                <c:formatCode>0%</c:formatCode>
                <c:ptCount val="74"/>
                <c:pt idx="0">
                  <c:v>0.65</c:v>
                </c:pt>
                <c:pt idx="1">
                  <c:v>0.65</c:v>
                </c:pt>
                <c:pt idx="2">
                  <c:v>0.65</c:v>
                </c:pt>
                <c:pt idx="3">
                  <c:v>0.65</c:v>
                </c:pt>
                <c:pt idx="4">
                  <c:v>0.65</c:v>
                </c:pt>
                <c:pt idx="5">
                  <c:v>0.65</c:v>
                </c:pt>
                <c:pt idx="6">
                  <c:v>0.65</c:v>
                </c:pt>
                <c:pt idx="7">
                  <c:v>0.65</c:v>
                </c:pt>
                <c:pt idx="8">
                  <c:v>0.65</c:v>
                </c:pt>
                <c:pt idx="9">
                  <c:v>0.65</c:v>
                </c:pt>
                <c:pt idx="10">
                  <c:v>0.65</c:v>
                </c:pt>
                <c:pt idx="11">
                  <c:v>0.65</c:v>
                </c:pt>
                <c:pt idx="12">
                  <c:v>0.65</c:v>
                </c:pt>
                <c:pt idx="13">
                  <c:v>0.65</c:v>
                </c:pt>
                <c:pt idx="14">
                  <c:v>0.65</c:v>
                </c:pt>
                <c:pt idx="15">
                  <c:v>0.65</c:v>
                </c:pt>
                <c:pt idx="16">
                  <c:v>0.65</c:v>
                </c:pt>
                <c:pt idx="17">
                  <c:v>0.65</c:v>
                </c:pt>
                <c:pt idx="18">
                  <c:v>0.65</c:v>
                </c:pt>
                <c:pt idx="19">
                  <c:v>0.65</c:v>
                </c:pt>
                <c:pt idx="20">
                  <c:v>0.65</c:v>
                </c:pt>
                <c:pt idx="21">
                  <c:v>0.65</c:v>
                </c:pt>
                <c:pt idx="22">
                  <c:v>0.65</c:v>
                </c:pt>
                <c:pt idx="23">
                  <c:v>0.65</c:v>
                </c:pt>
                <c:pt idx="24">
                  <c:v>0.65</c:v>
                </c:pt>
                <c:pt idx="25">
                  <c:v>0.65</c:v>
                </c:pt>
                <c:pt idx="26">
                  <c:v>0.65</c:v>
                </c:pt>
                <c:pt idx="27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59-4D77-BDF6-0F4F2583C994}"/>
            </c:ext>
          </c:extLst>
        </c:ser>
        <c:ser>
          <c:idx val="6"/>
          <c:order val="4"/>
          <c:tx>
            <c:strRef>
              <c:f>LN!$J$1</c:f>
              <c:strCache>
                <c:ptCount val="1"/>
                <c:pt idx="0">
                  <c:v>Mục Tiêu C2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cat>
            <c:strRef>
              <c:f>LN!$H$2:$H$75</c:f>
              <c:strCache>
                <c:ptCount val="2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01/04-1</c:v>
                </c:pt>
                <c:pt idx="13">
                  <c:v>01/04-2</c:v>
                </c:pt>
                <c:pt idx="14">
                  <c:v>02/04-1</c:v>
                </c:pt>
                <c:pt idx="15">
                  <c:v>02/04-2</c:v>
                </c:pt>
                <c:pt idx="16">
                  <c:v>03/04-1</c:v>
                </c:pt>
                <c:pt idx="17">
                  <c:v>03/04-2</c:v>
                </c:pt>
                <c:pt idx="18">
                  <c:v>04/04-1</c:v>
                </c:pt>
                <c:pt idx="19">
                  <c:v>04/04-2</c:v>
                </c:pt>
                <c:pt idx="20">
                  <c:v>05/04-1</c:v>
                </c:pt>
                <c:pt idx="21">
                  <c:v>05/04-2</c:v>
                </c:pt>
                <c:pt idx="22">
                  <c:v>06/04-1</c:v>
                </c:pt>
                <c:pt idx="23">
                  <c:v>06/04-2</c:v>
                </c:pt>
                <c:pt idx="24">
                  <c:v>07/04-1</c:v>
                </c:pt>
                <c:pt idx="25">
                  <c:v>07/04-2</c:v>
                </c:pt>
                <c:pt idx="26">
                  <c:v>08/04-1</c:v>
                </c:pt>
                <c:pt idx="27">
                  <c:v>08/04-2</c:v>
                </c:pt>
              </c:strCache>
            </c:strRef>
          </c:cat>
          <c:val>
            <c:numRef>
              <c:f>LN!$J$2:$J$75</c:f>
              <c:numCache>
                <c:formatCode>0%</c:formatCode>
                <c:ptCount val="74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0.8</c:v>
                </c:pt>
                <c:pt idx="16">
                  <c:v>0.8</c:v>
                </c:pt>
                <c:pt idx="17">
                  <c:v>0.8</c:v>
                </c:pt>
                <c:pt idx="18">
                  <c:v>0.8</c:v>
                </c:pt>
                <c:pt idx="19">
                  <c:v>0.8</c:v>
                </c:pt>
                <c:pt idx="20">
                  <c:v>0.8</c:v>
                </c:pt>
                <c:pt idx="21">
                  <c:v>0.8</c:v>
                </c:pt>
                <c:pt idx="22">
                  <c:v>0.8</c:v>
                </c:pt>
                <c:pt idx="23">
                  <c:v>0.8</c:v>
                </c:pt>
                <c:pt idx="24">
                  <c:v>0.8</c:v>
                </c:pt>
                <c:pt idx="25">
                  <c:v>0.8</c:v>
                </c:pt>
                <c:pt idx="26">
                  <c:v>0.8</c:v>
                </c:pt>
                <c:pt idx="27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659-4D77-BDF6-0F4F2583C9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5858664"/>
        <c:axId val="1005862264"/>
      </c:lineChart>
      <c:catAx>
        <c:axId val="1005858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862264"/>
        <c:crosses val="autoZero"/>
        <c:auto val="1"/>
        <c:lblAlgn val="ctr"/>
        <c:lblOffset val="100"/>
        <c:noMultiLvlLbl val="0"/>
      </c:catAx>
      <c:valAx>
        <c:axId val="1005862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858664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6551203462195938"/>
          <c:y val="0.92850334049152949"/>
          <c:w val="0.4665766761203653"/>
          <c:h val="6.3920901932712951E-2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Biểu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Đồ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Tỉ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Lệ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Hoạt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Động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CĐ Phay CNC(MC)-9h/ca [</a:t>
            </a:r>
            <a:r>
              <a:rPr lang="en-US" sz="1400" b="0" i="0" strike="noStrike" kern="1200" spc="0" baseline="0" dirty="0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MT có tải: Ca 1=65%, Ca 2=80%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]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percentStacked"/>
        <c:varyColors val="0"/>
        <c:ser>
          <c:idx val="2"/>
          <c:order val="0"/>
          <c:tx>
            <c:strRef>
              <c:f>MC!$K$1</c:f>
              <c:strCache>
                <c:ptCount val="1"/>
                <c:pt idx="0">
                  <c:v>% Có Tải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numFmt formatCode="0%;\-0%;;@" sourceLinked="0"/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MC!$H$2:$H$75</c:f>
              <c:strCache>
                <c:ptCount val="2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01/04-1</c:v>
                </c:pt>
                <c:pt idx="13">
                  <c:v>01/04-2</c:v>
                </c:pt>
                <c:pt idx="14">
                  <c:v>02/04-1</c:v>
                </c:pt>
                <c:pt idx="15">
                  <c:v>02/04-2</c:v>
                </c:pt>
                <c:pt idx="16">
                  <c:v>03/04-1</c:v>
                </c:pt>
                <c:pt idx="17">
                  <c:v>03/04-2</c:v>
                </c:pt>
                <c:pt idx="18">
                  <c:v>04/04-1</c:v>
                </c:pt>
                <c:pt idx="19">
                  <c:v>04/04-2</c:v>
                </c:pt>
                <c:pt idx="20">
                  <c:v>05/04-1</c:v>
                </c:pt>
                <c:pt idx="21">
                  <c:v>05/04-2</c:v>
                </c:pt>
                <c:pt idx="22">
                  <c:v>06/04-1</c:v>
                </c:pt>
                <c:pt idx="23">
                  <c:v>06/04-2</c:v>
                </c:pt>
                <c:pt idx="24">
                  <c:v>07/04-1</c:v>
                </c:pt>
                <c:pt idx="25">
                  <c:v>07/04-2</c:v>
                </c:pt>
                <c:pt idx="26">
                  <c:v>08/04-1</c:v>
                </c:pt>
                <c:pt idx="27">
                  <c:v>08/04-2</c:v>
                </c:pt>
              </c:strCache>
            </c:strRef>
          </c:cat>
          <c:val>
            <c:numRef>
              <c:f>MC!$K$2:$K$75</c:f>
              <c:numCache>
                <c:formatCode>0%</c:formatCode>
                <c:ptCount val="74"/>
                <c:pt idx="0">
                  <c:v>0.42920864938299558</c:v>
                </c:pt>
                <c:pt idx="1">
                  <c:v>0.35062080634325571</c:v>
                </c:pt>
                <c:pt idx="2">
                  <c:v>0.47774013020139339</c:v>
                </c:pt>
                <c:pt idx="3">
                  <c:v>0.52614293603045892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0.53373662168450442</c:v>
                </c:pt>
                <c:pt idx="13">
                  <c:v>0.68755803156917361</c:v>
                </c:pt>
                <c:pt idx="14">
                  <c:v>0.4550953932061424</c:v>
                </c:pt>
                <c:pt idx="15">
                  <c:v>0.59507205950720599</c:v>
                </c:pt>
                <c:pt idx="16">
                  <c:v>0.55959031657355685</c:v>
                </c:pt>
                <c:pt idx="17">
                  <c:v>0.62343096234309625</c:v>
                </c:pt>
                <c:pt idx="18">
                  <c:v>0.35081206496519723</c:v>
                </c:pt>
                <c:pt idx="19">
                  <c:v>0.47585886722376974</c:v>
                </c:pt>
                <c:pt idx="20">
                  <c:v>0.49441340782122906</c:v>
                </c:pt>
                <c:pt idx="21">
                  <c:v>0</c:v>
                </c:pt>
                <c:pt idx="22">
                  <c:v>0.48535564853556484</c:v>
                </c:pt>
                <c:pt idx="23">
                  <c:v>0.7095571095571096</c:v>
                </c:pt>
                <c:pt idx="24">
                  <c:v>0.46143122676579923</c:v>
                </c:pt>
                <c:pt idx="25">
                  <c:v>0.74487895716945995</c:v>
                </c:pt>
                <c:pt idx="26">
                  <c:v>0.52208275220827527</c:v>
                </c:pt>
                <c:pt idx="27">
                  <c:v>0.72349369453526391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54-468B-B2FB-BAB457A0F794}"/>
            </c:ext>
          </c:extLst>
        </c:ser>
        <c:ser>
          <c:idx val="3"/>
          <c:order val="1"/>
          <c:tx>
            <c:strRef>
              <c:f>MC!$L$1</c:f>
              <c:strCache>
                <c:ptCount val="1"/>
                <c:pt idx="0">
                  <c:v>% Không Tải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strRef>
              <c:f>MC!$H$2:$H$75</c:f>
              <c:strCache>
                <c:ptCount val="2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01/04-1</c:v>
                </c:pt>
                <c:pt idx="13">
                  <c:v>01/04-2</c:v>
                </c:pt>
                <c:pt idx="14">
                  <c:v>02/04-1</c:v>
                </c:pt>
                <c:pt idx="15">
                  <c:v>02/04-2</c:v>
                </c:pt>
                <c:pt idx="16">
                  <c:v>03/04-1</c:v>
                </c:pt>
                <c:pt idx="17">
                  <c:v>03/04-2</c:v>
                </c:pt>
                <c:pt idx="18">
                  <c:v>04/04-1</c:v>
                </c:pt>
                <c:pt idx="19">
                  <c:v>04/04-2</c:v>
                </c:pt>
                <c:pt idx="20">
                  <c:v>05/04-1</c:v>
                </c:pt>
                <c:pt idx="21">
                  <c:v>05/04-2</c:v>
                </c:pt>
                <c:pt idx="22">
                  <c:v>06/04-1</c:v>
                </c:pt>
                <c:pt idx="23">
                  <c:v>06/04-2</c:v>
                </c:pt>
                <c:pt idx="24">
                  <c:v>07/04-1</c:v>
                </c:pt>
                <c:pt idx="25">
                  <c:v>07/04-2</c:v>
                </c:pt>
                <c:pt idx="26">
                  <c:v>08/04-1</c:v>
                </c:pt>
                <c:pt idx="27">
                  <c:v>08/04-2</c:v>
                </c:pt>
              </c:strCache>
            </c:strRef>
          </c:cat>
          <c:val>
            <c:numRef>
              <c:f>MC!$L$2:$L$75</c:f>
              <c:numCache>
                <c:formatCode>0%</c:formatCode>
                <c:ptCount val="74"/>
                <c:pt idx="0">
                  <c:v>0.2728706743650704</c:v>
                </c:pt>
                <c:pt idx="1">
                  <c:v>0.18498950808250877</c:v>
                </c:pt>
                <c:pt idx="2">
                  <c:v>0.31260516998515248</c:v>
                </c:pt>
                <c:pt idx="3">
                  <c:v>0.31862702357078504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0.37040483946021407</c:v>
                </c:pt>
                <c:pt idx="13">
                  <c:v>0.24001857010213556</c:v>
                </c:pt>
                <c:pt idx="14">
                  <c:v>0.44858073522568637</c:v>
                </c:pt>
                <c:pt idx="15">
                  <c:v>0.33286843328684335</c:v>
                </c:pt>
                <c:pt idx="16">
                  <c:v>0.3440409683426443</c:v>
                </c:pt>
                <c:pt idx="17">
                  <c:v>0.30218503021850301</c:v>
                </c:pt>
                <c:pt idx="18">
                  <c:v>0.41438515081206495</c:v>
                </c:pt>
                <c:pt idx="19">
                  <c:v>0.29294336118848652</c:v>
                </c:pt>
                <c:pt idx="20">
                  <c:v>0.28119180633147112</c:v>
                </c:pt>
                <c:pt idx="21">
                  <c:v>0</c:v>
                </c:pt>
                <c:pt idx="22">
                  <c:v>0.23384472338447235</c:v>
                </c:pt>
                <c:pt idx="23">
                  <c:v>0.29044289044289046</c:v>
                </c:pt>
                <c:pt idx="24">
                  <c:v>0.53856877323420072</c:v>
                </c:pt>
                <c:pt idx="25">
                  <c:v>0.25512104283054005</c:v>
                </c:pt>
                <c:pt idx="26">
                  <c:v>0.47791724779172479</c:v>
                </c:pt>
                <c:pt idx="27">
                  <c:v>0.27650630546473609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54-468B-B2FB-BAB457A0F794}"/>
            </c:ext>
          </c:extLst>
        </c:ser>
        <c:ser>
          <c:idx val="4"/>
          <c:order val="2"/>
          <c:tx>
            <c:strRef>
              <c:f>MC!$M$1</c:f>
              <c:strCache>
                <c:ptCount val="1"/>
                <c:pt idx="0">
                  <c:v>% Tắt Máy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strRef>
              <c:f>MC!$H$2:$H$75</c:f>
              <c:strCache>
                <c:ptCount val="2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01/04-1</c:v>
                </c:pt>
                <c:pt idx="13">
                  <c:v>01/04-2</c:v>
                </c:pt>
                <c:pt idx="14">
                  <c:v>02/04-1</c:v>
                </c:pt>
                <c:pt idx="15">
                  <c:v>02/04-2</c:v>
                </c:pt>
                <c:pt idx="16">
                  <c:v>03/04-1</c:v>
                </c:pt>
                <c:pt idx="17">
                  <c:v>03/04-2</c:v>
                </c:pt>
                <c:pt idx="18">
                  <c:v>04/04-1</c:v>
                </c:pt>
                <c:pt idx="19">
                  <c:v>04/04-2</c:v>
                </c:pt>
                <c:pt idx="20">
                  <c:v>05/04-1</c:v>
                </c:pt>
                <c:pt idx="21">
                  <c:v>05/04-2</c:v>
                </c:pt>
                <c:pt idx="22">
                  <c:v>06/04-1</c:v>
                </c:pt>
                <c:pt idx="23">
                  <c:v>06/04-2</c:v>
                </c:pt>
                <c:pt idx="24">
                  <c:v>07/04-1</c:v>
                </c:pt>
                <c:pt idx="25">
                  <c:v>07/04-2</c:v>
                </c:pt>
                <c:pt idx="26">
                  <c:v>08/04-1</c:v>
                </c:pt>
                <c:pt idx="27">
                  <c:v>08/04-2</c:v>
                </c:pt>
              </c:strCache>
            </c:strRef>
          </c:cat>
          <c:val>
            <c:numRef>
              <c:f>MC!$M$2:$M$75</c:f>
              <c:numCache>
                <c:formatCode>0%</c:formatCode>
                <c:ptCount val="74"/>
                <c:pt idx="0">
                  <c:v>0.29792067625193402</c:v>
                </c:pt>
                <c:pt idx="1">
                  <c:v>0.46438968557423549</c:v>
                </c:pt>
                <c:pt idx="2">
                  <c:v>0.20965469981345414</c:v>
                </c:pt>
                <c:pt idx="3">
                  <c:v>0.15523004039875607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9.5858538855281533E-2</c:v>
                </c:pt>
                <c:pt idx="13">
                  <c:v>7.2423398328690811E-2</c:v>
                </c:pt>
                <c:pt idx="14">
                  <c:v>9.6323871568171238E-2</c:v>
                </c:pt>
                <c:pt idx="15">
                  <c:v>7.2059507205950724E-2</c:v>
                </c:pt>
                <c:pt idx="16">
                  <c:v>9.6368715083798878E-2</c:v>
                </c:pt>
                <c:pt idx="17">
                  <c:v>7.4384007438400748E-2</c:v>
                </c:pt>
                <c:pt idx="18">
                  <c:v>0.23480278422273781</c:v>
                </c:pt>
                <c:pt idx="19">
                  <c:v>0.23119777158774374</c:v>
                </c:pt>
                <c:pt idx="20">
                  <c:v>0.22439478584729983</c:v>
                </c:pt>
                <c:pt idx="21">
                  <c:v>1</c:v>
                </c:pt>
                <c:pt idx="22">
                  <c:v>0.28079962807996278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054-468B-B2FB-BAB457A0F7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695551600"/>
        <c:axId val="695548000"/>
      </c:barChart>
      <c:lineChart>
        <c:grouping val="standard"/>
        <c:varyColors val="0"/>
        <c:ser>
          <c:idx val="5"/>
          <c:order val="3"/>
          <c:tx>
            <c:strRef>
              <c:f>MC!$I$1</c:f>
              <c:strCache>
                <c:ptCount val="1"/>
                <c:pt idx="0">
                  <c:v>Mục Tiêu C1</c:v>
                </c:pt>
              </c:strCache>
            </c:strRef>
          </c:tx>
          <c:spPr>
            <a:ln w="28575" cap="rnd">
              <a:solidFill>
                <a:srgbClr val="FF00FF"/>
              </a:solidFill>
              <a:prstDash val="solid"/>
              <a:round/>
            </a:ln>
          </c:spPr>
          <c:marker>
            <c:symbol val="none"/>
          </c:marker>
          <c:cat>
            <c:strRef>
              <c:f>MC!$H$2:$H$75</c:f>
              <c:strCache>
                <c:ptCount val="2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01/04-1</c:v>
                </c:pt>
                <c:pt idx="13">
                  <c:v>01/04-2</c:v>
                </c:pt>
                <c:pt idx="14">
                  <c:v>02/04-1</c:v>
                </c:pt>
                <c:pt idx="15">
                  <c:v>02/04-2</c:v>
                </c:pt>
                <c:pt idx="16">
                  <c:v>03/04-1</c:v>
                </c:pt>
                <c:pt idx="17">
                  <c:v>03/04-2</c:v>
                </c:pt>
                <c:pt idx="18">
                  <c:v>04/04-1</c:v>
                </c:pt>
                <c:pt idx="19">
                  <c:v>04/04-2</c:v>
                </c:pt>
                <c:pt idx="20">
                  <c:v>05/04-1</c:v>
                </c:pt>
                <c:pt idx="21">
                  <c:v>05/04-2</c:v>
                </c:pt>
                <c:pt idx="22">
                  <c:v>06/04-1</c:v>
                </c:pt>
                <c:pt idx="23">
                  <c:v>06/04-2</c:v>
                </c:pt>
                <c:pt idx="24">
                  <c:v>07/04-1</c:v>
                </c:pt>
                <c:pt idx="25">
                  <c:v>07/04-2</c:v>
                </c:pt>
                <c:pt idx="26">
                  <c:v>08/04-1</c:v>
                </c:pt>
                <c:pt idx="27">
                  <c:v>08/04-2</c:v>
                </c:pt>
              </c:strCache>
            </c:strRef>
          </c:cat>
          <c:val>
            <c:numRef>
              <c:f>MC!$I$2:$I$75</c:f>
              <c:numCache>
                <c:formatCode>0%</c:formatCode>
                <c:ptCount val="74"/>
                <c:pt idx="0">
                  <c:v>0.65</c:v>
                </c:pt>
                <c:pt idx="1">
                  <c:v>0.65</c:v>
                </c:pt>
                <c:pt idx="2">
                  <c:v>0.65</c:v>
                </c:pt>
                <c:pt idx="3">
                  <c:v>0.65</c:v>
                </c:pt>
                <c:pt idx="4">
                  <c:v>0.65</c:v>
                </c:pt>
                <c:pt idx="5">
                  <c:v>0.65</c:v>
                </c:pt>
                <c:pt idx="6">
                  <c:v>0.65</c:v>
                </c:pt>
                <c:pt idx="7">
                  <c:v>0.65</c:v>
                </c:pt>
                <c:pt idx="8">
                  <c:v>0.65</c:v>
                </c:pt>
                <c:pt idx="9">
                  <c:v>0.65</c:v>
                </c:pt>
                <c:pt idx="10">
                  <c:v>0.65</c:v>
                </c:pt>
                <c:pt idx="11">
                  <c:v>0.65</c:v>
                </c:pt>
                <c:pt idx="12">
                  <c:v>0.65</c:v>
                </c:pt>
                <c:pt idx="13">
                  <c:v>0.65</c:v>
                </c:pt>
                <c:pt idx="14">
                  <c:v>0.65</c:v>
                </c:pt>
                <c:pt idx="15">
                  <c:v>0.65</c:v>
                </c:pt>
                <c:pt idx="16">
                  <c:v>0.65</c:v>
                </c:pt>
                <c:pt idx="17">
                  <c:v>0.65</c:v>
                </c:pt>
                <c:pt idx="18">
                  <c:v>0.65</c:v>
                </c:pt>
                <c:pt idx="19">
                  <c:v>0.65</c:v>
                </c:pt>
                <c:pt idx="20">
                  <c:v>0.65</c:v>
                </c:pt>
                <c:pt idx="21">
                  <c:v>0.65</c:v>
                </c:pt>
                <c:pt idx="22">
                  <c:v>0.65</c:v>
                </c:pt>
                <c:pt idx="23">
                  <c:v>0.65</c:v>
                </c:pt>
                <c:pt idx="24">
                  <c:v>0.65</c:v>
                </c:pt>
                <c:pt idx="25">
                  <c:v>0.65</c:v>
                </c:pt>
                <c:pt idx="26">
                  <c:v>0.65</c:v>
                </c:pt>
                <c:pt idx="27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054-468B-B2FB-BAB457A0F794}"/>
            </c:ext>
          </c:extLst>
        </c:ser>
        <c:ser>
          <c:idx val="6"/>
          <c:order val="4"/>
          <c:tx>
            <c:strRef>
              <c:f>MC!$J$1</c:f>
              <c:strCache>
                <c:ptCount val="1"/>
                <c:pt idx="0">
                  <c:v>Mục Tiêu C2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cat>
            <c:strRef>
              <c:f>MC!$H$2:$H$75</c:f>
              <c:strCache>
                <c:ptCount val="2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01/04-1</c:v>
                </c:pt>
                <c:pt idx="13">
                  <c:v>01/04-2</c:v>
                </c:pt>
                <c:pt idx="14">
                  <c:v>02/04-1</c:v>
                </c:pt>
                <c:pt idx="15">
                  <c:v>02/04-2</c:v>
                </c:pt>
                <c:pt idx="16">
                  <c:v>03/04-1</c:v>
                </c:pt>
                <c:pt idx="17">
                  <c:v>03/04-2</c:v>
                </c:pt>
                <c:pt idx="18">
                  <c:v>04/04-1</c:v>
                </c:pt>
                <c:pt idx="19">
                  <c:v>04/04-2</c:v>
                </c:pt>
                <c:pt idx="20">
                  <c:v>05/04-1</c:v>
                </c:pt>
                <c:pt idx="21">
                  <c:v>05/04-2</c:v>
                </c:pt>
                <c:pt idx="22">
                  <c:v>06/04-1</c:v>
                </c:pt>
                <c:pt idx="23">
                  <c:v>06/04-2</c:v>
                </c:pt>
                <c:pt idx="24">
                  <c:v>07/04-1</c:v>
                </c:pt>
                <c:pt idx="25">
                  <c:v>07/04-2</c:v>
                </c:pt>
                <c:pt idx="26">
                  <c:v>08/04-1</c:v>
                </c:pt>
                <c:pt idx="27">
                  <c:v>08/04-2</c:v>
                </c:pt>
              </c:strCache>
            </c:strRef>
          </c:cat>
          <c:val>
            <c:numRef>
              <c:f>MC!$J$2:$J$75</c:f>
              <c:numCache>
                <c:formatCode>0%</c:formatCode>
                <c:ptCount val="74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0.8</c:v>
                </c:pt>
                <c:pt idx="16">
                  <c:v>0.8</c:v>
                </c:pt>
                <c:pt idx="17">
                  <c:v>0.8</c:v>
                </c:pt>
                <c:pt idx="18">
                  <c:v>0.8</c:v>
                </c:pt>
                <c:pt idx="19">
                  <c:v>0.8</c:v>
                </c:pt>
                <c:pt idx="20">
                  <c:v>0.8</c:v>
                </c:pt>
                <c:pt idx="21">
                  <c:v>0.8</c:v>
                </c:pt>
                <c:pt idx="22">
                  <c:v>0.8</c:v>
                </c:pt>
                <c:pt idx="23">
                  <c:v>0.8</c:v>
                </c:pt>
                <c:pt idx="24">
                  <c:v>0.8</c:v>
                </c:pt>
                <c:pt idx="25">
                  <c:v>0.8</c:v>
                </c:pt>
                <c:pt idx="26">
                  <c:v>0.8</c:v>
                </c:pt>
                <c:pt idx="27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054-468B-B2FB-BAB457A0F7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5551600"/>
        <c:axId val="695548000"/>
      </c:lineChart>
      <c:catAx>
        <c:axId val="69555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548000"/>
        <c:crosses val="autoZero"/>
        <c:auto val="1"/>
        <c:lblAlgn val="ctr"/>
        <c:lblOffset val="100"/>
        <c:noMultiLvlLbl val="0"/>
      </c:catAx>
      <c:valAx>
        <c:axId val="695548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55160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Biểu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Đồ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Tỉ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Lệ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Hoạt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Động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CĐ Phay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vạn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năng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(MA)-9h/ca [</a:t>
            </a:r>
            <a:r>
              <a:rPr lang="en-US" sz="1400" b="0" i="0" strike="noStrike" kern="1200" spc="0" baseline="0" dirty="0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MT có tải: Ca 1=30%, Ca 2= 42%</a:t>
            </a:r>
            <a:r>
              <a:rPr lang="en-US" sz="1400" b="0" i="0" strike="noStrike" kern="1200" spc="0" baseline="0" dirty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]</a:t>
            </a:r>
          </a:p>
        </c:rich>
      </c:tx>
      <c:layout>
        <c:manualLayout>
          <c:xMode val="edge"/>
          <c:yMode val="edge"/>
          <c:x val="0.2308193143998728"/>
          <c:y val="4.9962881906237371E-3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5.4820370370370367E-2"/>
          <c:y val="0.12968255555026861"/>
          <c:w val="0.92240469135802472"/>
          <c:h val="0.59390130245758366"/>
        </c:manualLayout>
      </c:layout>
      <c:barChart>
        <c:barDir val="col"/>
        <c:grouping val="percentStacked"/>
        <c:varyColors val="0"/>
        <c:ser>
          <c:idx val="2"/>
          <c:order val="0"/>
          <c:tx>
            <c:strRef>
              <c:f>MA!$K$1</c:f>
              <c:strCache>
                <c:ptCount val="1"/>
                <c:pt idx="0">
                  <c:v>% Có Tải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numFmt formatCode="0%;\-0%;;@" sourceLinked="0"/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MA!$H$2:$H$75</c:f>
              <c:strCache>
                <c:ptCount val="2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01/04-1</c:v>
                </c:pt>
                <c:pt idx="13">
                  <c:v>01/04-2</c:v>
                </c:pt>
                <c:pt idx="14">
                  <c:v>02/04-1</c:v>
                </c:pt>
                <c:pt idx="15">
                  <c:v>02/04-2</c:v>
                </c:pt>
                <c:pt idx="16">
                  <c:v>03/04-1</c:v>
                </c:pt>
                <c:pt idx="17">
                  <c:v>03/04-2</c:v>
                </c:pt>
                <c:pt idx="18">
                  <c:v>04/04-1</c:v>
                </c:pt>
                <c:pt idx="19">
                  <c:v>04/04-2</c:v>
                </c:pt>
                <c:pt idx="20">
                  <c:v>05/04-1</c:v>
                </c:pt>
                <c:pt idx="21">
                  <c:v>05/04-2</c:v>
                </c:pt>
                <c:pt idx="22">
                  <c:v>06/04-1</c:v>
                </c:pt>
                <c:pt idx="23">
                  <c:v>06/04-2</c:v>
                </c:pt>
                <c:pt idx="24">
                  <c:v>07/04-1</c:v>
                </c:pt>
                <c:pt idx="25">
                  <c:v>07/04-2</c:v>
                </c:pt>
                <c:pt idx="26">
                  <c:v>08/04-1</c:v>
                </c:pt>
                <c:pt idx="27">
                  <c:v>08/04-2</c:v>
                </c:pt>
              </c:strCache>
            </c:strRef>
          </c:cat>
          <c:val>
            <c:numRef>
              <c:f>MA!$K$2:$K$75</c:f>
              <c:numCache>
                <c:formatCode>0%</c:formatCode>
                <c:ptCount val="74"/>
                <c:pt idx="0">
                  <c:v>0.28675966844589662</c:v>
                </c:pt>
                <c:pt idx="1">
                  <c:v>0.20448487657897788</c:v>
                </c:pt>
                <c:pt idx="2">
                  <c:v>0.3069794997607419</c:v>
                </c:pt>
                <c:pt idx="3">
                  <c:v>0.29953329275009422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0.32189239332096475</c:v>
                </c:pt>
                <c:pt idx="13">
                  <c:v>0.4338132837900604</c:v>
                </c:pt>
                <c:pt idx="14">
                  <c:v>0.29717199814557255</c:v>
                </c:pt>
                <c:pt idx="15">
                  <c:v>0.42777519739897818</c:v>
                </c:pt>
                <c:pt idx="16">
                  <c:v>0.27525486561631141</c:v>
                </c:pt>
                <c:pt idx="17">
                  <c:v>0.46011131725417442</c:v>
                </c:pt>
                <c:pt idx="18">
                  <c:v>0.27909133055169216</c:v>
                </c:pt>
                <c:pt idx="19">
                  <c:v>0.28710575139146566</c:v>
                </c:pt>
                <c:pt idx="20">
                  <c:v>0</c:v>
                </c:pt>
                <c:pt idx="21">
                  <c:v>0</c:v>
                </c:pt>
                <c:pt idx="22">
                  <c:v>0.36722376973073351</c:v>
                </c:pt>
                <c:pt idx="23">
                  <c:v>0.3144712430426716</c:v>
                </c:pt>
                <c:pt idx="24">
                  <c:v>0.33658310120705665</c:v>
                </c:pt>
                <c:pt idx="25">
                  <c:v>0.30815569972196477</c:v>
                </c:pt>
                <c:pt idx="26">
                  <c:v>0.33116581514166282</c:v>
                </c:pt>
                <c:pt idx="27">
                  <c:v>0.35435992578849723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7E-4A28-BA50-5C6C95A35369}"/>
            </c:ext>
          </c:extLst>
        </c:ser>
        <c:ser>
          <c:idx val="3"/>
          <c:order val="1"/>
          <c:tx>
            <c:strRef>
              <c:f>MA!$L$1</c:f>
              <c:strCache>
                <c:ptCount val="1"/>
                <c:pt idx="0">
                  <c:v>% Không Tải</c:v>
                </c:pt>
              </c:strCache>
            </c:strRef>
          </c:tx>
          <c:spPr>
            <a:solidFill>
              <a:srgbClr val="FFC000"/>
            </a:solidFill>
            <a:ln>
              <a:noFill/>
              <a:prstDash val="solid"/>
            </a:ln>
          </c:spPr>
          <c:invertIfNegative val="0"/>
          <c:cat>
            <c:strRef>
              <c:f>MA!$H$2:$H$75</c:f>
              <c:strCache>
                <c:ptCount val="2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01/04-1</c:v>
                </c:pt>
                <c:pt idx="13">
                  <c:v>01/04-2</c:v>
                </c:pt>
                <c:pt idx="14">
                  <c:v>02/04-1</c:v>
                </c:pt>
                <c:pt idx="15">
                  <c:v>02/04-2</c:v>
                </c:pt>
                <c:pt idx="16">
                  <c:v>03/04-1</c:v>
                </c:pt>
                <c:pt idx="17">
                  <c:v>03/04-2</c:v>
                </c:pt>
                <c:pt idx="18">
                  <c:v>04/04-1</c:v>
                </c:pt>
                <c:pt idx="19">
                  <c:v>04/04-2</c:v>
                </c:pt>
                <c:pt idx="20">
                  <c:v>05/04-1</c:v>
                </c:pt>
                <c:pt idx="21">
                  <c:v>05/04-2</c:v>
                </c:pt>
                <c:pt idx="22">
                  <c:v>06/04-1</c:v>
                </c:pt>
                <c:pt idx="23">
                  <c:v>06/04-2</c:v>
                </c:pt>
                <c:pt idx="24">
                  <c:v>07/04-1</c:v>
                </c:pt>
                <c:pt idx="25">
                  <c:v>07/04-2</c:v>
                </c:pt>
                <c:pt idx="26">
                  <c:v>08/04-1</c:v>
                </c:pt>
                <c:pt idx="27">
                  <c:v>08/04-2</c:v>
                </c:pt>
              </c:strCache>
            </c:strRef>
          </c:cat>
          <c:val>
            <c:numRef>
              <c:f>MA!$L$2:$L$75</c:f>
              <c:numCache>
                <c:formatCode>0%</c:formatCode>
                <c:ptCount val="74"/>
                <c:pt idx="0">
                  <c:v>0.26251044576109134</c:v>
                </c:pt>
                <c:pt idx="1">
                  <c:v>0.19157161068158865</c:v>
                </c:pt>
                <c:pt idx="2">
                  <c:v>0.26010010861556926</c:v>
                </c:pt>
                <c:pt idx="3">
                  <c:v>0.24616633330434531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0.21567717996289426</c:v>
                </c:pt>
                <c:pt idx="13">
                  <c:v>0.33581049698095683</c:v>
                </c:pt>
                <c:pt idx="14">
                  <c:v>0.1780250347705146</c:v>
                </c:pt>
                <c:pt idx="15">
                  <c:v>0.30933581049698095</c:v>
                </c:pt>
                <c:pt idx="16">
                  <c:v>0.19786839666357739</c:v>
                </c:pt>
                <c:pt idx="17">
                  <c:v>0.27643784786641928</c:v>
                </c:pt>
                <c:pt idx="18">
                  <c:v>0.3625405656003709</c:v>
                </c:pt>
                <c:pt idx="19">
                  <c:v>0.35946196660482377</c:v>
                </c:pt>
                <c:pt idx="20">
                  <c:v>0</c:v>
                </c:pt>
                <c:pt idx="21">
                  <c:v>0</c:v>
                </c:pt>
                <c:pt idx="22">
                  <c:v>0.34029712163416898</c:v>
                </c:pt>
                <c:pt idx="23">
                  <c:v>0.17671614100185529</c:v>
                </c:pt>
                <c:pt idx="24">
                  <c:v>0.37093779015784589</c:v>
                </c:pt>
                <c:pt idx="25">
                  <c:v>0.27571825764596847</c:v>
                </c:pt>
                <c:pt idx="26">
                  <c:v>0.37482582443102647</c:v>
                </c:pt>
                <c:pt idx="27">
                  <c:v>0.16651205936920221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7E-4A28-BA50-5C6C95A35369}"/>
            </c:ext>
          </c:extLst>
        </c:ser>
        <c:ser>
          <c:idx val="4"/>
          <c:order val="2"/>
          <c:tx>
            <c:strRef>
              <c:f>MA!$M$1</c:f>
              <c:strCache>
                <c:ptCount val="1"/>
                <c:pt idx="0">
                  <c:v>% Tắt Máy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strRef>
              <c:f>MA!$H$2:$H$75</c:f>
              <c:strCache>
                <c:ptCount val="2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01/04-1</c:v>
                </c:pt>
                <c:pt idx="13">
                  <c:v>01/04-2</c:v>
                </c:pt>
                <c:pt idx="14">
                  <c:v>02/04-1</c:v>
                </c:pt>
                <c:pt idx="15">
                  <c:v>02/04-2</c:v>
                </c:pt>
                <c:pt idx="16">
                  <c:v>03/04-1</c:v>
                </c:pt>
                <c:pt idx="17">
                  <c:v>03/04-2</c:v>
                </c:pt>
                <c:pt idx="18">
                  <c:v>04/04-1</c:v>
                </c:pt>
                <c:pt idx="19">
                  <c:v>04/04-2</c:v>
                </c:pt>
                <c:pt idx="20">
                  <c:v>05/04-1</c:v>
                </c:pt>
                <c:pt idx="21">
                  <c:v>05/04-2</c:v>
                </c:pt>
                <c:pt idx="22">
                  <c:v>06/04-1</c:v>
                </c:pt>
                <c:pt idx="23">
                  <c:v>06/04-2</c:v>
                </c:pt>
                <c:pt idx="24">
                  <c:v>07/04-1</c:v>
                </c:pt>
                <c:pt idx="25">
                  <c:v>07/04-2</c:v>
                </c:pt>
                <c:pt idx="26">
                  <c:v>08/04-1</c:v>
                </c:pt>
                <c:pt idx="27">
                  <c:v>08/04-2</c:v>
                </c:pt>
              </c:strCache>
            </c:strRef>
          </c:cat>
          <c:val>
            <c:numRef>
              <c:f>MA!$M$2:$M$75</c:f>
              <c:numCache>
                <c:formatCode>0%</c:formatCode>
                <c:ptCount val="74"/>
                <c:pt idx="0">
                  <c:v>0.45072988579301204</c:v>
                </c:pt>
                <c:pt idx="1">
                  <c:v>0.60394351273943347</c:v>
                </c:pt>
                <c:pt idx="2">
                  <c:v>0.43292039162368884</c:v>
                </c:pt>
                <c:pt idx="3">
                  <c:v>0.4543003739455605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0.46243042671614099</c:v>
                </c:pt>
                <c:pt idx="13">
                  <c:v>0.23037621922898283</c:v>
                </c:pt>
                <c:pt idx="14">
                  <c:v>0.52480296708391283</c:v>
                </c:pt>
                <c:pt idx="15">
                  <c:v>0.26288899210404088</c:v>
                </c:pt>
                <c:pt idx="16">
                  <c:v>0.52687673772011123</c:v>
                </c:pt>
                <c:pt idx="17">
                  <c:v>0.26345083487940629</c:v>
                </c:pt>
                <c:pt idx="18">
                  <c:v>0.35836810384793694</c:v>
                </c:pt>
                <c:pt idx="19">
                  <c:v>0.35343228200371057</c:v>
                </c:pt>
                <c:pt idx="20">
                  <c:v>1</c:v>
                </c:pt>
                <c:pt idx="21">
                  <c:v>1</c:v>
                </c:pt>
                <c:pt idx="22">
                  <c:v>0.29247910863509752</c:v>
                </c:pt>
                <c:pt idx="23">
                  <c:v>0.50881261595547311</c:v>
                </c:pt>
                <c:pt idx="24">
                  <c:v>0.29247910863509752</c:v>
                </c:pt>
                <c:pt idx="25">
                  <c:v>0.41612604263206671</c:v>
                </c:pt>
                <c:pt idx="26">
                  <c:v>0.29400836042731071</c:v>
                </c:pt>
                <c:pt idx="27">
                  <c:v>0.47912801484230055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7E-4A28-BA50-5C6C95A353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005826624"/>
        <c:axId val="1005832744"/>
      </c:barChart>
      <c:lineChart>
        <c:grouping val="standard"/>
        <c:varyColors val="0"/>
        <c:ser>
          <c:idx val="5"/>
          <c:order val="3"/>
          <c:tx>
            <c:strRef>
              <c:f>MA!$I$1</c:f>
              <c:strCache>
                <c:ptCount val="1"/>
                <c:pt idx="0">
                  <c:v>Mục Tiêu C1</c:v>
                </c:pt>
              </c:strCache>
            </c:strRef>
          </c:tx>
          <c:spPr>
            <a:ln w="28575" cap="rnd">
              <a:solidFill>
                <a:srgbClr val="FF00FF"/>
              </a:solidFill>
              <a:prstDash val="solid"/>
              <a:round/>
            </a:ln>
          </c:spPr>
          <c:marker>
            <c:symbol val="none"/>
          </c:marker>
          <c:cat>
            <c:strRef>
              <c:f>MA!$H$2:$H$75</c:f>
              <c:strCache>
                <c:ptCount val="2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01/04-1</c:v>
                </c:pt>
                <c:pt idx="13">
                  <c:v>01/04-2</c:v>
                </c:pt>
                <c:pt idx="14">
                  <c:v>02/04-1</c:v>
                </c:pt>
                <c:pt idx="15">
                  <c:v>02/04-2</c:v>
                </c:pt>
                <c:pt idx="16">
                  <c:v>03/04-1</c:v>
                </c:pt>
                <c:pt idx="17">
                  <c:v>03/04-2</c:v>
                </c:pt>
                <c:pt idx="18">
                  <c:v>04/04-1</c:v>
                </c:pt>
                <c:pt idx="19">
                  <c:v>04/04-2</c:v>
                </c:pt>
                <c:pt idx="20">
                  <c:v>05/04-1</c:v>
                </c:pt>
                <c:pt idx="21">
                  <c:v>05/04-2</c:v>
                </c:pt>
                <c:pt idx="22">
                  <c:v>06/04-1</c:v>
                </c:pt>
                <c:pt idx="23">
                  <c:v>06/04-2</c:v>
                </c:pt>
                <c:pt idx="24">
                  <c:v>07/04-1</c:v>
                </c:pt>
                <c:pt idx="25">
                  <c:v>07/04-2</c:v>
                </c:pt>
                <c:pt idx="26">
                  <c:v>08/04-1</c:v>
                </c:pt>
                <c:pt idx="27">
                  <c:v>08/04-2</c:v>
                </c:pt>
              </c:strCache>
            </c:strRef>
          </c:cat>
          <c:val>
            <c:numRef>
              <c:f>MA!$I$2:$I$75</c:f>
              <c:numCache>
                <c:formatCode>0%</c:formatCode>
                <c:ptCount val="74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0.3</c:v>
                </c:pt>
                <c:pt idx="21">
                  <c:v>0.3</c:v>
                </c:pt>
                <c:pt idx="22">
                  <c:v>0.3</c:v>
                </c:pt>
                <c:pt idx="23">
                  <c:v>0.3</c:v>
                </c:pt>
                <c:pt idx="24">
                  <c:v>0.3</c:v>
                </c:pt>
                <c:pt idx="25">
                  <c:v>0.3</c:v>
                </c:pt>
                <c:pt idx="26">
                  <c:v>0.3</c:v>
                </c:pt>
                <c:pt idx="27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47E-4A28-BA50-5C6C95A35369}"/>
            </c:ext>
          </c:extLst>
        </c:ser>
        <c:ser>
          <c:idx val="6"/>
          <c:order val="4"/>
          <c:tx>
            <c:strRef>
              <c:f>MA!$J$1</c:f>
              <c:strCache>
                <c:ptCount val="1"/>
                <c:pt idx="0">
                  <c:v>Mục Tiêu C2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cat>
            <c:strRef>
              <c:f>MA!$H$2:$H$75</c:f>
              <c:strCache>
                <c:ptCount val="2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01/04-1</c:v>
                </c:pt>
                <c:pt idx="13">
                  <c:v>01/04-2</c:v>
                </c:pt>
                <c:pt idx="14">
                  <c:v>02/04-1</c:v>
                </c:pt>
                <c:pt idx="15">
                  <c:v>02/04-2</c:v>
                </c:pt>
                <c:pt idx="16">
                  <c:v>03/04-1</c:v>
                </c:pt>
                <c:pt idx="17">
                  <c:v>03/04-2</c:v>
                </c:pt>
                <c:pt idx="18">
                  <c:v>04/04-1</c:v>
                </c:pt>
                <c:pt idx="19">
                  <c:v>04/04-2</c:v>
                </c:pt>
                <c:pt idx="20">
                  <c:v>05/04-1</c:v>
                </c:pt>
                <c:pt idx="21">
                  <c:v>05/04-2</c:v>
                </c:pt>
                <c:pt idx="22">
                  <c:v>06/04-1</c:v>
                </c:pt>
                <c:pt idx="23">
                  <c:v>06/04-2</c:v>
                </c:pt>
                <c:pt idx="24">
                  <c:v>07/04-1</c:v>
                </c:pt>
                <c:pt idx="25">
                  <c:v>07/04-2</c:v>
                </c:pt>
                <c:pt idx="26">
                  <c:v>08/04-1</c:v>
                </c:pt>
                <c:pt idx="27">
                  <c:v>08/04-2</c:v>
                </c:pt>
              </c:strCache>
            </c:strRef>
          </c:cat>
          <c:val>
            <c:numRef>
              <c:f>MA!$J$2:$J$75</c:f>
              <c:numCache>
                <c:formatCode>0%</c:formatCode>
                <c:ptCount val="74"/>
                <c:pt idx="0">
                  <c:v>0.42352941176470588</c:v>
                </c:pt>
                <c:pt idx="1">
                  <c:v>0.42352941176470588</c:v>
                </c:pt>
                <c:pt idx="2">
                  <c:v>0.42352941176470588</c:v>
                </c:pt>
                <c:pt idx="3">
                  <c:v>0.42352941176470588</c:v>
                </c:pt>
                <c:pt idx="4">
                  <c:v>0.42352941176470588</c:v>
                </c:pt>
                <c:pt idx="5">
                  <c:v>0.42352941176470588</c:v>
                </c:pt>
                <c:pt idx="6">
                  <c:v>0.42352941176470588</c:v>
                </c:pt>
                <c:pt idx="7">
                  <c:v>0.42352941176470588</c:v>
                </c:pt>
                <c:pt idx="8">
                  <c:v>0.42352941176470588</c:v>
                </c:pt>
                <c:pt idx="9">
                  <c:v>0.42352941176470588</c:v>
                </c:pt>
                <c:pt idx="10">
                  <c:v>0.42352941176470588</c:v>
                </c:pt>
                <c:pt idx="11">
                  <c:v>0.42352941176470588</c:v>
                </c:pt>
                <c:pt idx="12">
                  <c:v>0.42352941176470588</c:v>
                </c:pt>
                <c:pt idx="13">
                  <c:v>0.42352941176470588</c:v>
                </c:pt>
                <c:pt idx="14">
                  <c:v>0.42352941176470588</c:v>
                </c:pt>
                <c:pt idx="15">
                  <c:v>0.42352941176470588</c:v>
                </c:pt>
                <c:pt idx="16">
                  <c:v>0.42352941176470588</c:v>
                </c:pt>
                <c:pt idx="17">
                  <c:v>0.42352941176470588</c:v>
                </c:pt>
                <c:pt idx="18">
                  <c:v>0.42352941176470588</c:v>
                </c:pt>
                <c:pt idx="19">
                  <c:v>0.42352941176470588</c:v>
                </c:pt>
                <c:pt idx="20">
                  <c:v>0.42352941176470588</c:v>
                </c:pt>
                <c:pt idx="21">
                  <c:v>0.42352941176470588</c:v>
                </c:pt>
                <c:pt idx="22">
                  <c:v>0.42352941176470588</c:v>
                </c:pt>
                <c:pt idx="23">
                  <c:v>0.42352941176470588</c:v>
                </c:pt>
                <c:pt idx="24">
                  <c:v>0.42352941176470588</c:v>
                </c:pt>
                <c:pt idx="25">
                  <c:v>0.42352941176470588</c:v>
                </c:pt>
                <c:pt idx="26">
                  <c:v>0.42352941176470588</c:v>
                </c:pt>
                <c:pt idx="27">
                  <c:v>0.42352941176470588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47E-4A28-BA50-5C6C95A353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5826624"/>
        <c:axId val="1005832744"/>
      </c:lineChart>
      <c:catAx>
        <c:axId val="1005826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832744"/>
        <c:crosses val="autoZero"/>
        <c:auto val="1"/>
        <c:lblAlgn val="ctr"/>
        <c:lblOffset val="100"/>
        <c:noMultiLvlLbl val="0"/>
      </c:catAx>
      <c:valAx>
        <c:axId val="1005832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826624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9508234567901231"/>
          <c:y val="0.90078055555555547"/>
          <c:w val="0.6098351851851852"/>
          <c:h val="9.9219444444444443E-2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Biểu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Đồ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Tỉ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Lệ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Hoạt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Động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CĐ Phay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chính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xác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(BJ)- 9h/ca [</a:t>
            </a:r>
            <a:r>
              <a:rPr lang="en-US" sz="1400" b="0" i="0" strike="noStrike" kern="1200" spc="0" baseline="0" dirty="0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MT có tải: Ca 1=30%</a:t>
            </a:r>
            <a:r>
              <a:rPr lang="en-US" sz="1400" b="0" i="0" strike="noStrike" kern="1200" spc="0" baseline="0" dirty="0" err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, Ca 2=42%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]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percentStacked"/>
        <c:varyColors val="0"/>
        <c:ser>
          <c:idx val="2"/>
          <c:order val="0"/>
          <c:tx>
            <c:strRef>
              <c:f>BJ!$K$1</c:f>
              <c:strCache>
                <c:ptCount val="1"/>
                <c:pt idx="0">
                  <c:v>% Có Tải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numFmt formatCode="0%;\-0%;;@" sourceLinked="0"/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BJ!$H$2:$H$75</c:f>
              <c:strCache>
                <c:ptCount val="2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01/04-1</c:v>
                </c:pt>
                <c:pt idx="13">
                  <c:v>01/04-2</c:v>
                </c:pt>
                <c:pt idx="14">
                  <c:v>02/04-1</c:v>
                </c:pt>
                <c:pt idx="15">
                  <c:v>02/04-2</c:v>
                </c:pt>
                <c:pt idx="16">
                  <c:v>03/04-1</c:v>
                </c:pt>
                <c:pt idx="17">
                  <c:v>03/04-2</c:v>
                </c:pt>
                <c:pt idx="18">
                  <c:v>04/04-1</c:v>
                </c:pt>
                <c:pt idx="19">
                  <c:v>04/04-2</c:v>
                </c:pt>
                <c:pt idx="20">
                  <c:v>05/04-1</c:v>
                </c:pt>
                <c:pt idx="21">
                  <c:v>05/04-2</c:v>
                </c:pt>
                <c:pt idx="22">
                  <c:v>06/04-1</c:v>
                </c:pt>
                <c:pt idx="23">
                  <c:v>06/04-2</c:v>
                </c:pt>
                <c:pt idx="24">
                  <c:v>07/04-1</c:v>
                </c:pt>
                <c:pt idx="25">
                  <c:v>07/04-2</c:v>
                </c:pt>
                <c:pt idx="26">
                  <c:v>08/04-1</c:v>
                </c:pt>
                <c:pt idx="27">
                  <c:v>08/04-2</c:v>
                </c:pt>
              </c:strCache>
            </c:strRef>
          </c:cat>
          <c:val>
            <c:numRef>
              <c:f>BJ!$K$2:$K$75</c:f>
              <c:numCache>
                <c:formatCode>0%</c:formatCode>
                <c:ptCount val="74"/>
                <c:pt idx="0">
                  <c:v>0.19962145963362701</c:v>
                </c:pt>
                <c:pt idx="1">
                  <c:v>0.17090660239816716</c:v>
                </c:pt>
                <c:pt idx="2">
                  <c:v>0.22044461981329197</c:v>
                </c:pt>
                <c:pt idx="3">
                  <c:v>0.23656081901787263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0.24764019988895059</c:v>
                </c:pt>
                <c:pt idx="13">
                  <c:v>0.32556203164029973</c:v>
                </c:pt>
                <c:pt idx="14">
                  <c:v>0.23938973647711512</c:v>
                </c:pt>
                <c:pt idx="15">
                  <c:v>0.29955580233203777</c:v>
                </c:pt>
                <c:pt idx="16">
                  <c:v>0.27810158201498753</c:v>
                </c:pt>
                <c:pt idx="17">
                  <c:v>0.29011660188784011</c:v>
                </c:pt>
                <c:pt idx="18">
                  <c:v>0.17485428809325562</c:v>
                </c:pt>
                <c:pt idx="19">
                  <c:v>0.23021382949180783</c:v>
                </c:pt>
                <c:pt idx="20">
                  <c:v>0</c:v>
                </c:pt>
                <c:pt idx="21">
                  <c:v>0</c:v>
                </c:pt>
                <c:pt idx="22">
                  <c:v>0.28730202834120588</c:v>
                </c:pt>
                <c:pt idx="23">
                  <c:v>0.32259855635757911</c:v>
                </c:pt>
                <c:pt idx="24">
                  <c:v>0.26777777777777778</c:v>
                </c:pt>
                <c:pt idx="25">
                  <c:v>0.26733222407099277</c:v>
                </c:pt>
                <c:pt idx="26">
                  <c:v>0.25354068314357125</c:v>
                </c:pt>
                <c:pt idx="27">
                  <c:v>0.30074979172452099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35-48C5-9CDA-ABBD2D016593}"/>
            </c:ext>
          </c:extLst>
        </c:ser>
        <c:ser>
          <c:idx val="3"/>
          <c:order val="1"/>
          <c:tx>
            <c:strRef>
              <c:f>BJ!$L$1</c:f>
              <c:strCache>
                <c:ptCount val="1"/>
                <c:pt idx="0">
                  <c:v>% Không Tải</c:v>
                </c:pt>
              </c:strCache>
            </c:strRef>
          </c:tx>
          <c:spPr>
            <a:solidFill>
              <a:srgbClr val="FFC000"/>
            </a:solidFill>
            <a:ln>
              <a:noFill/>
              <a:prstDash val="solid"/>
            </a:ln>
          </c:spPr>
          <c:invertIfNegative val="0"/>
          <c:cat>
            <c:strRef>
              <c:f>BJ!$H$2:$H$75</c:f>
              <c:strCache>
                <c:ptCount val="2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01/04-1</c:v>
                </c:pt>
                <c:pt idx="13">
                  <c:v>01/04-2</c:v>
                </c:pt>
                <c:pt idx="14">
                  <c:v>02/04-1</c:v>
                </c:pt>
                <c:pt idx="15">
                  <c:v>02/04-2</c:v>
                </c:pt>
                <c:pt idx="16">
                  <c:v>03/04-1</c:v>
                </c:pt>
                <c:pt idx="17">
                  <c:v>03/04-2</c:v>
                </c:pt>
                <c:pt idx="18">
                  <c:v>04/04-1</c:v>
                </c:pt>
                <c:pt idx="19">
                  <c:v>04/04-2</c:v>
                </c:pt>
                <c:pt idx="20">
                  <c:v>05/04-1</c:v>
                </c:pt>
                <c:pt idx="21">
                  <c:v>05/04-2</c:v>
                </c:pt>
                <c:pt idx="22">
                  <c:v>06/04-1</c:v>
                </c:pt>
                <c:pt idx="23">
                  <c:v>06/04-2</c:v>
                </c:pt>
                <c:pt idx="24">
                  <c:v>07/04-1</c:v>
                </c:pt>
                <c:pt idx="25">
                  <c:v>07/04-2</c:v>
                </c:pt>
                <c:pt idx="26">
                  <c:v>08/04-1</c:v>
                </c:pt>
                <c:pt idx="27">
                  <c:v>08/04-2</c:v>
                </c:pt>
              </c:strCache>
            </c:strRef>
          </c:cat>
          <c:val>
            <c:numRef>
              <c:f>BJ!$L$2:$L$75</c:f>
              <c:numCache>
                <c:formatCode>0%</c:formatCode>
                <c:ptCount val="74"/>
                <c:pt idx="0">
                  <c:v>0.31799643991798293</c:v>
                </c:pt>
                <c:pt idx="1">
                  <c:v>0.22880280083707738</c:v>
                </c:pt>
                <c:pt idx="2">
                  <c:v>0.30642268475755757</c:v>
                </c:pt>
                <c:pt idx="3">
                  <c:v>0.27688703800104114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0.33009439200444196</c:v>
                </c:pt>
                <c:pt idx="13">
                  <c:v>0.33777407715792396</c:v>
                </c:pt>
                <c:pt idx="14">
                  <c:v>0.39528432732316227</c:v>
                </c:pt>
                <c:pt idx="15">
                  <c:v>0.31760133259300388</c:v>
                </c:pt>
                <c:pt idx="16">
                  <c:v>0.30141548709408827</c:v>
                </c:pt>
                <c:pt idx="17">
                  <c:v>0.33231538034425318</c:v>
                </c:pt>
                <c:pt idx="18">
                  <c:v>0.23286150430197058</c:v>
                </c:pt>
                <c:pt idx="19">
                  <c:v>0.26881421827270202</c:v>
                </c:pt>
                <c:pt idx="20">
                  <c:v>0</c:v>
                </c:pt>
                <c:pt idx="21">
                  <c:v>0</c:v>
                </c:pt>
                <c:pt idx="22">
                  <c:v>0.31758821894970823</c:v>
                </c:pt>
                <c:pt idx="23">
                  <c:v>0.29400333148250973</c:v>
                </c:pt>
                <c:pt idx="24">
                  <c:v>0.30444444444444446</c:v>
                </c:pt>
                <c:pt idx="25">
                  <c:v>0.35440931780366058</c:v>
                </c:pt>
                <c:pt idx="26">
                  <c:v>0.31963343515690085</c:v>
                </c:pt>
                <c:pt idx="27">
                  <c:v>0.3235212440988614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35-48C5-9CDA-ABBD2D016593}"/>
            </c:ext>
          </c:extLst>
        </c:ser>
        <c:ser>
          <c:idx val="4"/>
          <c:order val="2"/>
          <c:tx>
            <c:strRef>
              <c:f>BJ!$M$1</c:f>
              <c:strCache>
                <c:ptCount val="1"/>
                <c:pt idx="0">
                  <c:v>% Tắt Máy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strRef>
              <c:f>BJ!$H$2:$H$75</c:f>
              <c:strCache>
                <c:ptCount val="2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01/04-1</c:v>
                </c:pt>
                <c:pt idx="13">
                  <c:v>01/04-2</c:v>
                </c:pt>
                <c:pt idx="14">
                  <c:v>02/04-1</c:v>
                </c:pt>
                <c:pt idx="15">
                  <c:v>02/04-2</c:v>
                </c:pt>
                <c:pt idx="16">
                  <c:v>03/04-1</c:v>
                </c:pt>
                <c:pt idx="17">
                  <c:v>03/04-2</c:v>
                </c:pt>
                <c:pt idx="18">
                  <c:v>04/04-1</c:v>
                </c:pt>
                <c:pt idx="19">
                  <c:v>04/04-2</c:v>
                </c:pt>
                <c:pt idx="20">
                  <c:v>05/04-1</c:v>
                </c:pt>
                <c:pt idx="21">
                  <c:v>05/04-2</c:v>
                </c:pt>
                <c:pt idx="22">
                  <c:v>06/04-1</c:v>
                </c:pt>
                <c:pt idx="23">
                  <c:v>06/04-2</c:v>
                </c:pt>
                <c:pt idx="24">
                  <c:v>07/04-1</c:v>
                </c:pt>
                <c:pt idx="25">
                  <c:v>07/04-2</c:v>
                </c:pt>
                <c:pt idx="26">
                  <c:v>08/04-1</c:v>
                </c:pt>
                <c:pt idx="27">
                  <c:v>08/04-2</c:v>
                </c:pt>
              </c:strCache>
            </c:strRef>
          </c:cat>
          <c:val>
            <c:numRef>
              <c:f>BJ!$M$2:$M$75</c:f>
              <c:numCache>
                <c:formatCode>0%</c:formatCode>
                <c:ptCount val="74"/>
                <c:pt idx="0">
                  <c:v>0.48238210044839008</c:v>
                </c:pt>
                <c:pt idx="1">
                  <c:v>0.60029059676475549</c:v>
                </c:pt>
                <c:pt idx="2">
                  <c:v>0.47313269542915048</c:v>
                </c:pt>
                <c:pt idx="3">
                  <c:v>0.48655214298108623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0.42226540810660745</c:v>
                </c:pt>
                <c:pt idx="13">
                  <c:v>0.33666389120177631</c:v>
                </c:pt>
                <c:pt idx="14">
                  <c:v>0.36532593619972259</c:v>
                </c:pt>
                <c:pt idx="15">
                  <c:v>0.38284286507495835</c:v>
                </c:pt>
                <c:pt idx="16">
                  <c:v>0.42048293089092426</c:v>
                </c:pt>
                <c:pt idx="17">
                  <c:v>0.37756801776790672</c:v>
                </c:pt>
                <c:pt idx="18">
                  <c:v>0.59228420760477385</c:v>
                </c:pt>
                <c:pt idx="19">
                  <c:v>0.50097195223549018</c:v>
                </c:pt>
                <c:pt idx="20">
                  <c:v>1</c:v>
                </c:pt>
                <c:pt idx="21">
                  <c:v>1</c:v>
                </c:pt>
                <c:pt idx="22">
                  <c:v>0.39510975270908588</c:v>
                </c:pt>
                <c:pt idx="23">
                  <c:v>0.38339811215991115</c:v>
                </c:pt>
                <c:pt idx="24">
                  <c:v>0.42777777777777776</c:v>
                </c:pt>
                <c:pt idx="25">
                  <c:v>0.37825845812534664</c:v>
                </c:pt>
                <c:pt idx="26">
                  <c:v>0.4268258816995279</c:v>
                </c:pt>
                <c:pt idx="27">
                  <c:v>0.37572896417661761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535-48C5-9CDA-ABBD2D0165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005783784"/>
        <c:axId val="1005783424"/>
      </c:barChart>
      <c:lineChart>
        <c:grouping val="standard"/>
        <c:varyColors val="0"/>
        <c:ser>
          <c:idx val="5"/>
          <c:order val="3"/>
          <c:tx>
            <c:strRef>
              <c:f>BJ!$I$1</c:f>
              <c:strCache>
                <c:ptCount val="1"/>
                <c:pt idx="0">
                  <c:v>Mục Tiêu C1</c:v>
                </c:pt>
              </c:strCache>
            </c:strRef>
          </c:tx>
          <c:spPr>
            <a:ln w="28575" cap="rnd">
              <a:solidFill>
                <a:srgbClr val="FF00FF"/>
              </a:solidFill>
              <a:prstDash val="solid"/>
              <a:round/>
            </a:ln>
          </c:spPr>
          <c:marker>
            <c:symbol val="none"/>
          </c:marker>
          <c:cat>
            <c:strRef>
              <c:f>BJ!$H$2:$H$75</c:f>
              <c:strCache>
                <c:ptCount val="2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01/04-1</c:v>
                </c:pt>
                <c:pt idx="13">
                  <c:v>01/04-2</c:v>
                </c:pt>
                <c:pt idx="14">
                  <c:v>02/04-1</c:v>
                </c:pt>
                <c:pt idx="15">
                  <c:v>02/04-2</c:v>
                </c:pt>
                <c:pt idx="16">
                  <c:v>03/04-1</c:v>
                </c:pt>
                <c:pt idx="17">
                  <c:v>03/04-2</c:v>
                </c:pt>
                <c:pt idx="18">
                  <c:v>04/04-1</c:v>
                </c:pt>
                <c:pt idx="19">
                  <c:v>04/04-2</c:v>
                </c:pt>
                <c:pt idx="20">
                  <c:v>05/04-1</c:v>
                </c:pt>
                <c:pt idx="21">
                  <c:v>05/04-2</c:v>
                </c:pt>
                <c:pt idx="22">
                  <c:v>06/04-1</c:v>
                </c:pt>
                <c:pt idx="23">
                  <c:v>06/04-2</c:v>
                </c:pt>
                <c:pt idx="24">
                  <c:v>07/04-1</c:v>
                </c:pt>
                <c:pt idx="25">
                  <c:v>07/04-2</c:v>
                </c:pt>
                <c:pt idx="26">
                  <c:v>08/04-1</c:v>
                </c:pt>
                <c:pt idx="27">
                  <c:v>08/04-2</c:v>
                </c:pt>
              </c:strCache>
            </c:strRef>
          </c:cat>
          <c:val>
            <c:numRef>
              <c:f>BJ!$I$2:$I$75</c:f>
              <c:numCache>
                <c:formatCode>0%</c:formatCode>
                <c:ptCount val="74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0.3</c:v>
                </c:pt>
                <c:pt idx="21">
                  <c:v>0.3</c:v>
                </c:pt>
                <c:pt idx="22">
                  <c:v>0.3</c:v>
                </c:pt>
                <c:pt idx="23">
                  <c:v>0.3</c:v>
                </c:pt>
                <c:pt idx="24">
                  <c:v>0.3</c:v>
                </c:pt>
                <c:pt idx="25">
                  <c:v>0.3</c:v>
                </c:pt>
                <c:pt idx="26">
                  <c:v>0.3</c:v>
                </c:pt>
                <c:pt idx="27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535-48C5-9CDA-ABBD2D016593}"/>
            </c:ext>
          </c:extLst>
        </c:ser>
        <c:ser>
          <c:idx val="6"/>
          <c:order val="4"/>
          <c:tx>
            <c:strRef>
              <c:f>BJ!$J$1</c:f>
              <c:strCache>
                <c:ptCount val="1"/>
                <c:pt idx="0">
                  <c:v>Mục Tiêu C2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cat>
            <c:strRef>
              <c:f>BJ!$H$2:$H$75</c:f>
              <c:strCache>
                <c:ptCount val="2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01/04-1</c:v>
                </c:pt>
                <c:pt idx="13">
                  <c:v>01/04-2</c:v>
                </c:pt>
                <c:pt idx="14">
                  <c:v>02/04-1</c:v>
                </c:pt>
                <c:pt idx="15">
                  <c:v>02/04-2</c:v>
                </c:pt>
                <c:pt idx="16">
                  <c:v>03/04-1</c:v>
                </c:pt>
                <c:pt idx="17">
                  <c:v>03/04-2</c:v>
                </c:pt>
                <c:pt idx="18">
                  <c:v>04/04-1</c:v>
                </c:pt>
                <c:pt idx="19">
                  <c:v>04/04-2</c:v>
                </c:pt>
                <c:pt idx="20">
                  <c:v>05/04-1</c:v>
                </c:pt>
                <c:pt idx="21">
                  <c:v>05/04-2</c:v>
                </c:pt>
                <c:pt idx="22">
                  <c:v>06/04-1</c:v>
                </c:pt>
                <c:pt idx="23">
                  <c:v>06/04-2</c:v>
                </c:pt>
                <c:pt idx="24">
                  <c:v>07/04-1</c:v>
                </c:pt>
                <c:pt idx="25">
                  <c:v>07/04-2</c:v>
                </c:pt>
                <c:pt idx="26">
                  <c:v>08/04-1</c:v>
                </c:pt>
                <c:pt idx="27">
                  <c:v>08/04-2</c:v>
                </c:pt>
              </c:strCache>
            </c:strRef>
          </c:cat>
          <c:val>
            <c:numRef>
              <c:f>BJ!$J$2:$J$75</c:f>
              <c:numCache>
                <c:formatCode>0%</c:formatCode>
                <c:ptCount val="74"/>
                <c:pt idx="0">
                  <c:v>0.42352941176470588</c:v>
                </c:pt>
                <c:pt idx="1">
                  <c:v>0.42352941176470588</c:v>
                </c:pt>
                <c:pt idx="2">
                  <c:v>0.42352941176470588</c:v>
                </c:pt>
                <c:pt idx="3">
                  <c:v>0.42352941176470588</c:v>
                </c:pt>
                <c:pt idx="4">
                  <c:v>0.42352941176470588</c:v>
                </c:pt>
                <c:pt idx="5">
                  <c:v>0.42352941176470588</c:v>
                </c:pt>
                <c:pt idx="6">
                  <c:v>0.42352941176470588</c:v>
                </c:pt>
                <c:pt idx="7">
                  <c:v>0.42352941176470588</c:v>
                </c:pt>
                <c:pt idx="8">
                  <c:v>0.42352941176470588</c:v>
                </c:pt>
                <c:pt idx="9">
                  <c:v>0.42352941176470588</c:v>
                </c:pt>
                <c:pt idx="10">
                  <c:v>0.42352941176470588</c:v>
                </c:pt>
                <c:pt idx="11">
                  <c:v>0.42352941176470588</c:v>
                </c:pt>
                <c:pt idx="12">
                  <c:v>0.42352941176470588</c:v>
                </c:pt>
                <c:pt idx="13">
                  <c:v>0.42352941176470588</c:v>
                </c:pt>
                <c:pt idx="14">
                  <c:v>0.42352941176470588</c:v>
                </c:pt>
                <c:pt idx="15">
                  <c:v>0.42352941176470588</c:v>
                </c:pt>
                <c:pt idx="16">
                  <c:v>0.42352941176470588</c:v>
                </c:pt>
                <c:pt idx="17">
                  <c:v>0.42352941176470588</c:v>
                </c:pt>
                <c:pt idx="18">
                  <c:v>0.42352941176470588</c:v>
                </c:pt>
                <c:pt idx="19">
                  <c:v>0.42352941176470588</c:v>
                </c:pt>
                <c:pt idx="20">
                  <c:v>0.42352941176470588</c:v>
                </c:pt>
                <c:pt idx="21">
                  <c:v>0.42352941176470588</c:v>
                </c:pt>
                <c:pt idx="22">
                  <c:v>0.42352941176470588</c:v>
                </c:pt>
                <c:pt idx="23">
                  <c:v>0.42352941176470588</c:v>
                </c:pt>
                <c:pt idx="24">
                  <c:v>0.42352941176470588</c:v>
                </c:pt>
                <c:pt idx="25">
                  <c:v>0.42352941176470588</c:v>
                </c:pt>
                <c:pt idx="26">
                  <c:v>0.42352941176470588</c:v>
                </c:pt>
                <c:pt idx="27">
                  <c:v>0.42352941176470588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535-48C5-9CDA-ABBD2D0165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5783784"/>
        <c:axId val="1005783424"/>
      </c:lineChart>
      <c:catAx>
        <c:axId val="1005783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783424"/>
        <c:crosses val="autoZero"/>
        <c:auto val="1"/>
        <c:lblAlgn val="ctr"/>
        <c:lblOffset val="100"/>
        <c:noMultiLvlLbl val="0"/>
      </c:catAx>
      <c:valAx>
        <c:axId val="100578342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78378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t" anchorCtr="0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Biểu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Đồ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Tỉ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Lệ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Hoạt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Động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CĐ Tiện Cơ(LA)-9h/ca [</a:t>
            </a:r>
            <a:r>
              <a:rPr lang="en-US" sz="1400" b="0" i="0" strike="noStrike" kern="1200" spc="0" baseline="0" dirty="0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MT có tải: Ca 1=21%</a:t>
            </a:r>
            <a:r>
              <a:rPr lang="en-US" sz="1400" b="0" i="0" strike="noStrike" kern="1200" spc="0" baseline="0" dirty="0" err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,</a:t>
            </a:r>
            <a:r>
              <a:rPr lang="en-US" sz="1400" b="0" i="0" strike="noStrike" kern="1200" spc="0" baseline="0" dirty="0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MT Ca 2=30%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]</a:t>
            </a:r>
          </a:p>
        </c:rich>
      </c:tx>
      <c:layout>
        <c:manualLayout>
          <c:xMode val="edge"/>
          <c:yMode val="edge"/>
          <c:x val="0.25303548872089782"/>
          <c:y val="2.4777381567286441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percentStacked"/>
        <c:varyColors val="0"/>
        <c:ser>
          <c:idx val="2"/>
          <c:order val="0"/>
          <c:tx>
            <c:strRef>
              <c:f>LA!$K$1</c:f>
              <c:strCache>
                <c:ptCount val="1"/>
                <c:pt idx="0">
                  <c:v>% Có Tải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numFmt formatCode="0%;\-0%;;@" sourceLinked="0"/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LA!$H$2:$H$75</c:f>
              <c:strCache>
                <c:ptCount val="2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01/04-1</c:v>
                </c:pt>
                <c:pt idx="13">
                  <c:v>01/04-2</c:v>
                </c:pt>
                <c:pt idx="14">
                  <c:v>02/04-1</c:v>
                </c:pt>
                <c:pt idx="15">
                  <c:v>02/04-2</c:v>
                </c:pt>
                <c:pt idx="16">
                  <c:v>03/04-1</c:v>
                </c:pt>
                <c:pt idx="17">
                  <c:v>03/04-2</c:v>
                </c:pt>
                <c:pt idx="18">
                  <c:v>04/04-1</c:v>
                </c:pt>
                <c:pt idx="19">
                  <c:v>04/04-2</c:v>
                </c:pt>
                <c:pt idx="20">
                  <c:v>05/04-1</c:v>
                </c:pt>
                <c:pt idx="21">
                  <c:v>05/04-2</c:v>
                </c:pt>
                <c:pt idx="22">
                  <c:v>06/04-1</c:v>
                </c:pt>
                <c:pt idx="23">
                  <c:v>06/04-2</c:v>
                </c:pt>
                <c:pt idx="24">
                  <c:v>07/04-1</c:v>
                </c:pt>
                <c:pt idx="25">
                  <c:v>07/04-2</c:v>
                </c:pt>
                <c:pt idx="26">
                  <c:v>08/04-1</c:v>
                </c:pt>
                <c:pt idx="27">
                  <c:v>08/04-2</c:v>
                </c:pt>
              </c:strCache>
            </c:strRef>
          </c:cat>
          <c:val>
            <c:numRef>
              <c:f>LA!$K$2:$K$75</c:f>
              <c:numCache>
                <c:formatCode>0%</c:formatCode>
                <c:ptCount val="74"/>
                <c:pt idx="0">
                  <c:v>0.15115834887535673</c:v>
                </c:pt>
                <c:pt idx="1">
                  <c:v>0.12992551410117875</c:v>
                </c:pt>
                <c:pt idx="2">
                  <c:v>0.16912482579241164</c:v>
                </c:pt>
                <c:pt idx="3">
                  <c:v>0.16231031100340432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0.21227503461006</c:v>
                </c:pt>
                <c:pt idx="13">
                  <c:v>0.2011070110701107</c:v>
                </c:pt>
                <c:pt idx="14">
                  <c:v>0.18957564575645758</c:v>
                </c:pt>
                <c:pt idx="15">
                  <c:v>0.20867959372114497</c:v>
                </c:pt>
                <c:pt idx="16">
                  <c:v>0.19935543278084714</c:v>
                </c:pt>
                <c:pt idx="17">
                  <c:v>0.23328722913785155</c:v>
                </c:pt>
                <c:pt idx="18">
                  <c:v>0.12955278930382666</c:v>
                </c:pt>
                <c:pt idx="19">
                  <c:v>0.17837338262476896</c:v>
                </c:pt>
                <c:pt idx="20">
                  <c:v>4.6317739694302917E-4</c:v>
                </c:pt>
                <c:pt idx="21">
                  <c:v>0</c:v>
                </c:pt>
                <c:pt idx="22">
                  <c:v>0.21200923787528869</c:v>
                </c:pt>
                <c:pt idx="23">
                  <c:v>0.10332103321033211</c:v>
                </c:pt>
                <c:pt idx="24">
                  <c:v>0.1907621247113164</c:v>
                </c:pt>
                <c:pt idx="25">
                  <c:v>0.10295475530932595</c:v>
                </c:pt>
                <c:pt idx="26">
                  <c:v>0.171824480369515</c:v>
                </c:pt>
                <c:pt idx="27">
                  <c:v>0.26209120221096271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F4-4400-965D-8CF03EA23B49}"/>
            </c:ext>
          </c:extLst>
        </c:ser>
        <c:ser>
          <c:idx val="3"/>
          <c:order val="1"/>
          <c:tx>
            <c:strRef>
              <c:f>LA!$L$1</c:f>
              <c:strCache>
                <c:ptCount val="1"/>
                <c:pt idx="0">
                  <c:v>% Không Tải</c:v>
                </c:pt>
              </c:strCache>
            </c:strRef>
          </c:tx>
          <c:spPr>
            <a:solidFill>
              <a:srgbClr val="FFC000"/>
            </a:solidFill>
            <a:ln>
              <a:noFill/>
              <a:prstDash val="solid"/>
            </a:ln>
          </c:spPr>
          <c:invertIfNegative val="0"/>
          <c:cat>
            <c:strRef>
              <c:f>LA!$H$2:$H$75</c:f>
              <c:strCache>
                <c:ptCount val="2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01/04-1</c:v>
                </c:pt>
                <c:pt idx="13">
                  <c:v>01/04-2</c:v>
                </c:pt>
                <c:pt idx="14">
                  <c:v>02/04-1</c:v>
                </c:pt>
                <c:pt idx="15">
                  <c:v>02/04-2</c:v>
                </c:pt>
                <c:pt idx="16">
                  <c:v>03/04-1</c:v>
                </c:pt>
                <c:pt idx="17">
                  <c:v>03/04-2</c:v>
                </c:pt>
                <c:pt idx="18">
                  <c:v>04/04-1</c:v>
                </c:pt>
                <c:pt idx="19">
                  <c:v>04/04-2</c:v>
                </c:pt>
                <c:pt idx="20">
                  <c:v>05/04-1</c:v>
                </c:pt>
                <c:pt idx="21">
                  <c:v>05/04-2</c:v>
                </c:pt>
                <c:pt idx="22">
                  <c:v>06/04-1</c:v>
                </c:pt>
                <c:pt idx="23">
                  <c:v>06/04-2</c:v>
                </c:pt>
                <c:pt idx="24">
                  <c:v>07/04-1</c:v>
                </c:pt>
                <c:pt idx="25">
                  <c:v>07/04-2</c:v>
                </c:pt>
                <c:pt idx="26">
                  <c:v>08/04-1</c:v>
                </c:pt>
                <c:pt idx="27">
                  <c:v>08/04-2</c:v>
                </c:pt>
              </c:strCache>
            </c:strRef>
          </c:cat>
          <c:val>
            <c:numRef>
              <c:f>LA!$L$2:$L$75</c:f>
              <c:numCache>
                <c:formatCode>0%</c:formatCode>
                <c:ptCount val="74"/>
                <c:pt idx="0">
                  <c:v>0.20187403096420467</c:v>
                </c:pt>
                <c:pt idx="1">
                  <c:v>0.14813867740099479</c:v>
                </c:pt>
                <c:pt idx="2">
                  <c:v>0.18562517234440562</c:v>
                </c:pt>
                <c:pt idx="3">
                  <c:v>0.19730540649702843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0.24180895246885095</c:v>
                </c:pt>
                <c:pt idx="13">
                  <c:v>0.15267527675276754</c:v>
                </c:pt>
                <c:pt idx="14">
                  <c:v>0.2301660516605166</c:v>
                </c:pt>
                <c:pt idx="15">
                  <c:v>0.14265927977839335</c:v>
                </c:pt>
                <c:pt idx="16">
                  <c:v>0.24861878453038674</c:v>
                </c:pt>
                <c:pt idx="17">
                  <c:v>0.1715076071922545</c:v>
                </c:pt>
                <c:pt idx="18">
                  <c:v>0.33425541724296909</c:v>
                </c:pt>
                <c:pt idx="19">
                  <c:v>0.1122920517560074</c:v>
                </c:pt>
                <c:pt idx="20">
                  <c:v>3.3348772579898101E-2</c:v>
                </c:pt>
                <c:pt idx="21">
                  <c:v>0.33333333333333331</c:v>
                </c:pt>
                <c:pt idx="22">
                  <c:v>0.19584295612009237</c:v>
                </c:pt>
                <c:pt idx="23">
                  <c:v>0.15129151291512916</c:v>
                </c:pt>
                <c:pt idx="24">
                  <c:v>0.26836027713625865</c:v>
                </c:pt>
                <c:pt idx="25">
                  <c:v>0.17959372114496769</c:v>
                </c:pt>
                <c:pt idx="26">
                  <c:v>0.13995381062355658</c:v>
                </c:pt>
                <c:pt idx="27">
                  <c:v>0.22063565177337632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F4-4400-965D-8CF03EA23B49}"/>
            </c:ext>
          </c:extLst>
        </c:ser>
        <c:ser>
          <c:idx val="4"/>
          <c:order val="2"/>
          <c:tx>
            <c:strRef>
              <c:f>LA!$M$1</c:f>
              <c:strCache>
                <c:ptCount val="1"/>
                <c:pt idx="0">
                  <c:v>% Tắt Máy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strRef>
              <c:f>LA!$H$2:$H$75</c:f>
              <c:strCache>
                <c:ptCount val="2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01/04-1</c:v>
                </c:pt>
                <c:pt idx="13">
                  <c:v>01/04-2</c:v>
                </c:pt>
                <c:pt idx="14">
                  <c:v>02/04-1</c:v>
                </c:pt>
                <c:pt idx="15">
                  <c:v>02/04-2</c:v>
                </c:pt>
                <c:pt idx="16">
                  <c:v>03/04-1</c:v>
                </c:pt>
                <c:pt idx="17">
                  <c:v>03/04-2</c:v>
                </c:pt>
                <c:pt idx="18">
                  <c:v>04/04-1</c:v>
                </c:pt>
                <c:pt idx="19">
                  <c:v>04/04-2</c:v>
                </c:pt>
                <c:pt idx="20">
                  <c:v>05/04-1</c:v>
                </c:pt>
                <c:pt idx="21">
                  <c:v>05/04-2</c:v>
                </c:pt>
                <c:pt idx="22">
                  <c:v>06/04-1</c:v>
                </c:pt>
                <c:pt idx="23">
                  <c:v>06/04-2</c:v>
                </c:pt>
                <c:pt idx="24">
                  <c:v>07/04-1</c:v>
                </c:pt>
                <c:pt idx="25">
                  <c:v>07/04-2</c:v>
                </c:pt>
                <c:pt idx="26">
                  <c:v>08/04-1</c:v>
                </c:pt>
                <c:pt idx="27">
                  <c:v>08/04-2</c:v>
                </c:pt>
              </c:strCache>
            </c:strRef>
          </c:cat>
          <c:val>
            <c:numRef>
              <c:f>LA!$M$2:$M$75</c:f>
              <c:numCache>
                <c:formatCode>0%</c:formatCode>
                <c:ptCount val="74"/>
                <c:pt idx="0">
                  <c:v>0.64696762016043863</c:v>
                </c:pt>
                <c:pt idx="1">
                  <c:v>0.72193580849782646</c:v>
                </c:pt>
                <c:pt idx="2">
                  <c:v>0.64525000186318271</c:v>
                </c:pt>
                <c:pt idx="3">
                  <c:v>0.64038428249956725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0.54591601292108904</c:v>
                </c:pt>
                <c:pt idx="13">
                  <c:v>0.64621771217712176</c:v>
                </c:pt>
                <c:pt idx="14">
                  <c:v>0.5802583025830258</c:v>
                </c:pt>
                <c:pt idx="15">
                  <c:v>0.6486611265004617</c:v>
                </c:pt>
                <c:pt idx="16">
                  <c:v>0.55202578268876612</c:v>
                </c:pt>
                <c:pt idx="17">
                  <c:v>0.59520516366989396</c:v>
                </c:pt>
                <c:pt idx="18">
                  <c:v>0.53619179345320422</c:v>
                </c:pt>
                <c:pt idx="19">
                  <c:v>0.7093345656192237</c:v>
                </c:pt>
                <c:pt idx="20">
                  <c:v>0.96618805002315888</c:v>
                </c:pt>
                <c:pt idx="21">
                  <c:v>0.66666666666666663</c:v>
                </c:pt>
                <c:pt idx="22">
                  <c:v>0.59214780600461892</c:v>
                </c:pt>
                <c:pt idx="23">
                  <c:v>0.74538745387453875</c:v>
                </c:pt>
                <c:pt idx="24">
                  <c:v>0.54087759815242498</c:v>
                </c:pt>
                <c:pt idx="25">
                  <c:v>0.7174515235457064</c:v>
                </c:pt>
                <c:pt idx="26">
                  <c:v>0.68822170900692836</c:v>
                </c:pt>
                <c:pt idx="27">
                  <c:v>0.51727314601566099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F4-4400-965D-8CF03EA23B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05792424"/>
        <c:axId val="1005799264"/>
      </c:barChart>
      <c:lineChart>
        <c:grouping val="standard"/>
        <c:varyColors val="0"/>
        <c:ser>
          <c:idx val="5"/>
          <c:order val="3"/>
          <c:tx>
            <c:strRef>
              <c:f>LA!$I$1</c:f>
              <c:strCache>
                <c:ptCount val="1"/>
                <c:pt idx="0">
                  <c:v>Mục Tiêu C1</c:v>
                </c:pt>
              </c:strCache>
            </c:strRef>
          </c:tx>
          <c:spPr>
            <a:ln w="28575" cap="rnd">
              <a:solidFill>
                <a:srgbClr val="FF00FF"/>
              </a:solidFill>
              <a:prstDash val="solid"/>
              <a:round/>
            </a:ln>
          </c:spPr>
          <c:marker>
            <c:symbol val="triangle"/>
            <c:size val="5"/>
            <c:spPr>
              <a:noFill/>
              <a:ln w="9525">
                <a:noFill/>
                <a:prstDash val="solid"/>
              </a:ln>
            </c:spPr>
          </c:marker>
          <c:cat>
            <c:strRef>
              <c:f>LA!$H$2:$H$75</c:f>
              <c:strCache>
                <c:ptCount val="2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01/04-1</c:v>
                </c:pt>
                <c:pt idx="13">
                  <c:v>01/04-2</c:v>
                </c:pt>
                <c:pt idx="14">
                  <c:v>02/04-1</c:v>
                </c:pt>
                <c:pt idx="15">
                  <c:v>02/04-2</c:v>
                </c:pt>
                <c:pt idx="16">
                  <c:v>03/04-1</c:v>
                </c:pt>
                <c:pt idx="17">
                  <c:v>03/04-2</c:v>
                </c:pt>
                <c:pt idx="18">
                  <c:v>04/04-1</c:v>
                </c:pt>
                <c:pt idx="19">
                  <c:v>04/04-2</c:v>
                </c:pt>
                <c:pt idx="20">
                  <c:v>05/04-1</c:v>
                </c:pt>
                <c:pt idx="21">
                  <c:v>05/04-2</c:v>
                </c:pt>
                <c:pt idx="22">
                  <c:v>06/04-1</c:v>
                </c:pt>
                <c:pt idx="23">
                  <c:v>06/04-2</c:v>
                </c:pt>
                <c:pt idx="24">
                  <c:v>07/04-1</c:v>
                </c:pt>
                <c:pt idx="25">
                  <c:v>07/04-2</c:v>
                </c:pt>
                <c:pt idx="26">
                  <c:v>08/04-1</c:v>
                </c:pt>
                <c:pt idx="27">
                  <c:v>08/04-2</c:v>
                </c:pt>
              </c:strCache>
            </c:strRef>
          </c:cat>
          <c:val>
            <c:numRef>
              <c:f>LA!$I$2:$I$75</c:f>
              <c:numCache>
                <c:formatCode>0%</c:formatCode>
                <c:ptCount val="74"/>
                <c:pt idx="0">
                  <c:v>0.21</c:v>
                </c:pt>
                <c:pt idx="1">
                  <c:v>0.21</c:v>
                </c:pt>
                <c:pt idx="2">
                  <c:v>0.21</c:v>
                </c:pt>
                <c:pt idx="3">
                  <c:v>0.21</c:v>
                </c:pt>
                <c:pt idx="4">
                  <c:v>0.21</c:v>
                </c:pt>
                <c:pt idx="5">
                  <c:v>0.21</c:v>
                </c:pt>
                <c:pt idx="6">
                  <c:v>0.21</c:v>
                </c:pt>
                <c:pt idx="7">
                  <c:v>0.21</c:v>
                </c:pt>
                <c:pt idx="8">
                  <c:v>0.21</c:v>
                </c:pt>
                <c:pt idx="9">
                  <c:v>0.21</c:v>
                </c:pt>
                <c:pt idx="10">
                  <c:v>0.21</c:v>
                </c:pt>
                <c:pt idx="11">
                  <c:v>0.21</c:v>
                </c:pt>
                <c:pt idx="12">
                  <c:v>0.21</c:v>
                </c:pt>
                <c:pt idx="13">
                  <c:v>0.21</c:v>
                </c:pt>
                <c:pt idx="14">
                  <c:v>0.21</c:v>
                </c:pt>
                <c:pt idx="15">
                  <c:v>0.21</c:v>
                </c:pt>
                <c:pt idx="16">
                  <c:v>0.21</c:v>
                </c:pt>
                <c:pt idx="17">
                  <c:v>0.21</c:v>
                </c:pt>
                <c:pt idx="18">
                  <c:v>0.21</c:v>
                </c:pt>
                <c:pt idx="19">
                  <c:v>0.21</c:v>
                </c:pt>
                <c:pt idx="20">
                  <c:v>0.21</c:v>
                </c:pt>
                <c:pt idx="21">
                  <c:v>0.21</c:v>
                </c:pt>
                <c:pt idx="22">
                  <c:v>0.21</c:v>
                </c:pt>
                <c:pt idx="23">
                  <c:v>0.21</c:v>
                </c:pt>
                <c:pt idx="24">
                  <c:v>0.21</c:v>
                </c:pt>
                <c:pt idx="25">
                  <c:v>0.21</c:v>
                </c:pt>
                <c:pt idx="26">
                  <c:v>0.21</c:v>
                </c:pt>
                <c:pt idx="27">
                  <c:v>0.21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EF4-4400-965D-8CF03EA23B49}"/>
            </c:ext>
          </c:extLst>
        </c:ser>
        <c:ser>
          <c:idx val="6"/>
          <c:order val="4"/>
          <c:tx>
            <c:strRef>
              <c:f>LA!$J$1</c:f>
              <c:strCache>
                <c:ptCount val="1"/>
                <c:pt idx="0">
                  <c:v>Mục Tiêu C2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diamond"/>
            <c:size val="5"/>
            <c:spPr>
              <a:noFill/>
              <a:ln w="9525">
                <a:noFill/>
                <a:prstDash val="solid"/>
              </a:ln>
            </c:spPr>
          </c:marker>
          <c:cat>
            <c:strRef>
              <c:f>LA!$H$2:$H$75</c:f>
              <c:strCache>
                <c:ptCount val="2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01/04-1</c:v>
                </c:pt>
                <c:pt idx="13">
                  <c:v>01/04-2</c:v>
                </c:pt>
                <c:pt idx="14">
                  <c:v>02/04-1</c:v>
                </c:pt>
                <c:pt idx="15">
                  <c:v>02/04-2</c:v>
                </c:pt>
                <c:pt idx="16">
                  <c:v>03/04-1</c:v>
                </c:pt>
                <c:pt idx="17">
                  <c:v>03/04-2</c:v>
                </c:pt>
                <c:pt idx="18">
                  <c:v>04/04-1</c:v>
                </c:pt>
                <c:pt idx="19">
                  <c:v>04/04-2</c:v>
                </c:pt>
                <c:pt idx="20">
                  <c:v>05/04-1</c:v>
                </c:pt>
                <c:pt idx="21">
                  <c:v>05/04-2</c:v>
                </c:pt>
                <c:pt idx="22">
                  <c:v>06/04-1</c:v>
                </c:pt>
                <c:pt idx="23">
                  <c:v>06/04-2</c:v>
                </c:pt>
                <c:pt idx="24">
                  <c:v>07/04-1</c:v>
                </c:pt>
                <c:pt idx="25">
                  <c:v>07/04-2</c:v>
                </c:pt>
                <c:pt idx="26">
                  <c:v>08/04-1</c:v>
                </c:pt>
                <c:pt idx="27">
                  <c:v>08/04-2</c:v>
                </c:pt>
              </c:strCache>
            </c:strRef>
          </c:cat>
          <c:val>
            <c:numRef>
              <c:f>LA!$J$2:$J$75</c:f>
              <c:numCache>
                <c:formatCode>0%</c:formatCode>
                <c:ptCount val="74"/>
                <c:pt idx="0">
                  <c:v>0.29647058823529399</c:v>
                </c:pt>
                <c:pt idx="1">
                  <c:v>0.29647058823529399</c:v>
                </c:pt>
                <c:pt idx="2">
                  <c:v>0.29647058823529399</c:v>
                </c:pt>
                <c:pt idx="3">
                  <c:v>0.29647058823529399</c:v>
                </c:pt>
                <c:pt idx="4">
                  <c:v>0.29647058823529399</c:v>
                </c:pt>
                <c:pt idx="5">
                  <c:v>0.29647058823529399</c:v>
                </c:pt>
                <c:pt idx="6">
                  <c:v>0.29647058823529399</c:v>
                </c:pt>
                <c:pt idx="7">
                  <c:v>0.29647058823529399</c:v>
                </c:pt>
                <c:pt idx="8">
                  <c:v>0.29647058823529399</c:v>
                </c:pt>
                <c:pt idx="9">
                  <c:v>0.29647058823529399</c:v>
                </c:pt>
                <c:pt idx="10">
                  <c:v>0.29647058823529399</c:v>
                </c:pt>
                <c:pt idx="11">
                  <c:v>0.29647058823529399</c:v>
                </c:pt>
                <c:pt idx="12">
                  <c:v>0.29647058823529399</c:v>
                </c:pt>
                <c:pt idx="13">
                  <c:v>0.29647058823529399</c:v>
                </c:pt>
                <c:pt idx="14">
                  <c:v>0.29647058823529399</c:v>
                </c:pt>
                <c:pt idx="15">
                  <c:v>0.29647058823529399</c:v>
                </c:pt>
                <c:pt idx="16">
                  <c:v>0.29647058823529399</c:v>
                </c:pt>
                <c:pt idx="17">
                  <c:v>0.29647058823529399</c:v>
                </c:pt>
                <c:pt idx="18">
                  <c:v>0.29647058823529399</c:v>
                </c:pt>
                <c:pt idx="19">
                  <c:v>0.29647058823529399</c:v>
                </c:pt>
                <c:pt idx="20">
                  <c:v>0.29647058823529399</c:v>
                </c:pt>
                <c:pt idx="21">
                  <c:v>0.29647058823529399</c:v>
                </c:pt>
                <c:pt idx="22">
                  <c:v>0.29647058823529399</c:v>
                </c:pt>
                <c:pt idx="23">
                  <c:v>0.29647058823529399</c:v>
                </c:pt>
                <c:pt idx="24">
                  <c:v>0.29647058823529399</c:v>
                </c:pt>
                <c:pt idx="25">
                  <c:v>0.29647058823529399</c:v>
                </c:pt>
                <c:pt idx="26">
                  <c:v>0.29647058823529399</c:v>
                </c:pt>
                <c:pt idx="27">
                  <c:v>0.29647058823529399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EF4-4400-965D-8CF03EA23B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5792424"/>
        <c:axId val="1005799264"/>
      </c:lineChart>
      <c:catAx>
        <c:axId val="1005792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799264"/>
        <c:crosses val="autoZero"/>
        <c:auto val="1"/>
        <c:lblAlgn val="ctr"/>
        <c:lblOffset val="100"/>
        <c:noMultiLvlLbl val="0"/>
      </c:catAx>
      <c:valAx>
        <c:axId val="1005799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79242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815340</xdr:colOff>
      <xdr:row>12</xdr:row>
      <xdr:rowOff>54122</xdr:rowOff>
    </xdr:from>
    <xdr:to>
      <xdr:col>11</xdr:col>
      <xdr:colOff>822959</xdr:colOff>
      <xdr:row>34</xdr:row>
      <xdr:rowOff>171692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947737</xdr:colOff>
      <xdr:row>41</xdr:row>
      <xdr:rowOff>76200</xdr:rowOff>
    </xdr:from>
    <xdr:to>
      <xdr:col>19</xdr:col>
      <xdr:colOff>28575</xdr:colOff>
      <xdr:row>61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1147761</xdr:colOff>
      <xdr:row>16</xdr:row>
      <xdr:rowOff>80962</xdr:rowOff>
    </xdr:from>
    <xdr:to>
      <xdr:col>17</xdr:col>
      <xdr:colOff>114299</xdr:colOff>
      <xdr:row>34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173934</xdr:colOff>
      <xdr:row>11</xdr:row>
      <xdr:rowOff>16566</xdr:rowOff>
    </xdr:from>
    <xdr:to>
      <xdr:col>26</xdr:col>
      <xdr:colOff>463827</xdr:colOff>
      <xdr:row>28</xdr:row>
      <xdr:rowOff>143496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1366835</xdr:colOff>
      <xdr:row>15</xdr:row>
      <xdr:rowOff>138111</xdr:rowOff>
    </xdr:from>
    <xdr:to>
      <xdr:col>16</xdr:col>
      <xdr:colOff>114299</xdr:colOff>
      <xdr:row>35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447676</xdr:colOff>
      <xdr:row>10</xdr:row>
      <xdr:rowOff>52387</xdr:rowOff>
    </xdr:from>
    <xdr:to>
      <xdr:col>24</xdr:col>
      <xdr:colOff>504826</xdr:colOff>
      <xdr:row>26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1095375</xdr:colOff>
      <xdr:row>20</xdr:row>
      <xdr:rowOff>166686</xdr:rowOff>
    </xdr:from>
    <xdr:to>
      <xdr:col>17</xdr:col>
      <xdr:colOff>323850</xdr:colOff>
      <xdr:row>38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1176336</xdr:colOff>
      <xdr:row>22</xdr:row>
      <xdr:rowOff>71436</xdr:rowOff>
    </xdr:from>
    <xdr:to>
      <xdr:col>16</xdr:col>
      <xdr:colOff>600075</xdr:colOff>
      <xdr:row>42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395287</xdr:colOff>
      <xdr:row>30</xdr:row>
      <xdr:rowOff>85725</xdr:rowOff>
    </xdr:from>
    <xdr:to>
      <xdr:col>12</xdr:col>
      <xdr:colOff>323850</xdr:colOff>
      <xdr:row>48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381001</xdr:colOff>
      <xdr:row>6</xdr:row>
      <xdr:rowOff>9525</xdr:rowOff>
    </xdr:from>
    <xdr:to>
      <xdr:col>28</xdr:col>
      <xdr:colOff>400052</xdr:colOff>
      <xdr:row>20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1826935</xdr:colOff>
      <xdr:row>5</xdr:row>
      <xdr:rowOff>173936</xdr:rowOff>
    </xdr:from>
    <xdr:to>
      <xdr:col>21</xdr:col>
      <xdr:colOff>604630</xdr:colOff>
      <xdr:row>19</xdr:row>
      <xdr:rowOff>48823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995361</xdr:colOff>
      <xdr:row>5</xdr:row>
      <xdr:rowOff>95249</xdr:rowOff>
    </xdr:from>
    <xdr:to>
      <xdr:col>17</xdr:col>
      <xdr:colOff>266700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1051033</xdr:colOff>
      <xdr:row>28</xdr:row>
      <xdr:rowOff>5094</xdr:rowOff>
    </xdr:from>
    <xdr:to>
      <xdr:col>20</xdr:col>
      <xdr:colOff>141657</xdr:colOff>
      <xdr:row>49</xdr:row>
      <xdr:rowOff>105108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6"/>
  <dimension ref="A1:M9"/>
  <sheetViews>
    <sheetView zoomScaleNormal="100" workbookViewId="0">
      <selection activeCell="O7" sqref="O7"/>
    </sheetView>
  </sheetViews>
  <sheetFormatPr defaultColWidth="12.44140625" defaultRowHeight="14.4" x14ac:dyDescent="0.3"/>
  <cols>
    <col min="1" max="1" width="30.6640625" style="5" customWidth="1"/>
    <col min="2" max="5" width="12.44140625" style="5" customWidth="1"/>
    <col min="6" max="16384" width="12.44140625" style="5"/>
  </cols>
  <sheetData>
    <row r="1" spans="1:13" ht="18.75" customHeight="1" x14ac:dyDescent="0.3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/>
    </row>
    <row r="2" spans="1:13" x14ac:dyDescent="0.3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</row>
    <row r="3" spans="1:13" x14ac:dyDescent="0.3">
      <c r="A3" s="4" t="s">
        <v>14</v>
      </c>
      <c r="B3" s="9">
        <v>0.21</v>
      </c>
      <c r="C3" s="9">
        <v>0.3</v>
      </c>
      <c r="D3" s="9">
        <v>0.3</v>
      </c>
      <c r="E3" s="9">
        <v>0.38</v>
      </c>
      <c r="F3" s="9">
        <v>0.35</v>
      </c>
      <c r="G3" s="9">
        <v>0.48</v>
      </c>
      <c r="H3" s="9">
        <v>0.6</v>
      </c>
      <c r="I3" s="9">
        <v>0.5</v>
      </c>
      <c r="J3" s="9">
        <v>0.68</v>
      </c>
      <c r="K3" s="9">
        <v>0.7</v>
      </c>
      <c r="L3" s="9">
        <v>0.65</v>
      </c>
      <c r="M3" s="9">
        <v>0.65</v>
      </c>
    </row>
    <row r="4" spans="1:13" x14ac:dyDescent="0.3">
      <c r="A4" s="4" t="s">
        <v>15</v>
      </c>
      <c r="B4" s="8">
        <f>$B7/SUM(B$7:B$9)</f>
        <v>0.16231031100340432</v>
      </c>
      <c r="C4" s="8">
        <f>$C7/SUM(C$7:C$9)</f>
        <v>0.29953329275009422</v>
      </c>
      <c r="D4" s="8">
        <f>$D7/SUM(D$7:D$9)</f>
        <v>0.23656081901787263</v>
      </c>
      <c r="E4" s="8">
        <f>$E7/SUM(E$7:E$9)</f>
        <v>0.21775420597313394</v>
      </c>
      <c r="F4" s="8">
        <f>$F7/SUM(F$7:F$9)</f>
        <v>0.28375169395646066</v>
      </c>
      <c r="G4" s="8">
        <f t="shared" ref="G4:M6" si="0">G7/SUM(G$7:G$9)</f>
        <v>0.44613578045492108</v>
      </c>
      <c r="H4" s="8">
        <f t="shared" si="0"/>
        <v>0.49948362666207669</v>
      </c>
      <c r="I4" s="8">
        <f t="shared" si="0"/>
        <v>0.438409458367017</v>
      </c>
      <c r="J4" s="8">
        <f t="shared" si="0"/>
        <v>0.59929731722657187</v>
      </c>
      <c r="K4" s="8">
        <f t="shared" si="0"/>
        <v>0.60891110628124323</v>
      </c>
      <c r="L4" s="8">
        <f t="shared" si="0"/>
        <v>0.52614293603045892</v>
      </c>
      <c r="M4" s="8">
        <f t="shared" si="0"/>
        <v>0.53033600278551529</v>
      </c>
    </row>
    <row r="5" spans="1:13" x14ac:dyDescent="0.3">
      <c r="A5" s="4" t="s">
        <v>16</v>
      </c>
      <c r="B5" s="8">
        <f>$B8/SUM(B$7:B$9)</f>
        <v>0.19730540649702843</v>
      </c>
      <c r="C5" s="8">
        <f>$C8/SUM(C$7:C$9)</f>
        <v>0.24616633330434531</v>
      </c>
      <c r="D5" s="8">
        <f>$D8/SUM(D$7:D$9)</f>
        <v>0.27688703800104114</v>
      </c>
      <c r="E5" s="8">
        <f>$E8/SUM(E$7:E$9)</f>
        <v>0.18232404468982308</v>
      </c>
      <c r="F5" s="8">
        <f>$F8/SUM(F$7:F$9)</f>
        <v>0.31656161028433605</v>
      </c>
      <c r="G5" s="8">
        <f t="shared" si="0"/>
        <v>0.19101465663462794</v>
      </c>
      <c r="H5" s="8">
        <f t="shared" si="0"/>
        <v>0.4402513016911227</v>
      </c>
      <c r="I5" s="8">
        <f t="shared" si="0"/>
        <v>0.38778294260307195</v>
      </c>
      <c r="J5" s="8">
        <f t="shared" si="0"/>
        <v>0.32186774816196406</v>
      </c>
      <c r="K5" s="8">
        <f t="shared" si="0"/>
        <v>6.7420126059552277E-2</v>
      </c>
      <c r="L5" s="8">
        <f t="shared" si="0"/>
        <v>0.31862702357078504</v>
      </c>
      <c r="M5" s="8">
        <f t="shared" si="0"/>
        <v>0.234375</v>
      </c>
    </row>
    <row r="6" spans="1:13" x14ac:dyDescent="0.3">
      <c r="A6" s="4" t="s">
        <v>17</v>
      </c>
      <c r="B6" s="8">
        <f>$B9/SUM(B$7:B$9)</f>
        <v>0.64038428249956725</v>
      </c>
      <c r="C6" s="8">
        <f>$C9/SUM(C$7:C$9)</f>
        <v>0.4543003739455605</v>
      </c>
      <c r="D6" s="8">
        <f>$D9/SUM(D$7:D$9)</f>
        <v>0.48655214298108623</v>
      </c>
      <c r="E6" s="8">
        <f>$E9/SUM(E$7:E$9)</f>
        <v>0.59992174933704301</v>
      </c>
      <c r="F6" s="8">
        <f>$F9/SUM(F$7:F$9)</f>
        <v>0.39968669575920329</v>
      </c>
      <c r="G6" s="8">
        <f t="shared" si="0"/>
        <v>0.36284956291045101</v>
      </c>
      <c r="H6" s="8">
        <f t="shared" si="0"/>
        <v>6.0265071646800637E-2</v>
      </c>
      <c r="I6" s="8">
        <f t="shared" si="0"/>
        <v>0.17380759902991108</v>
      </c>
      <c r="J6" s="8">
        <f t="shared" si="0"/>
        <v>7.8834934611464139E-2</v>
      </c>
      <c r="K6" s="8">
        <f t="shared" si="0"/>
        <v>0.32366876765920455</v>
      </c>
      <c r="L6" s="8">
        <f t="shared" si="0"/>
        <v>0.15523004039875607</v>
      </c>
      <c r="M6" s="8">
        <f t="shared" si="0"/>
        <v>0.23528899721448468</v>
      </c>
    </row>
    <row r="7" spans="1:13" x14ac:dyDescent="0.3">
      <c r="A7" s="4" t="s">
        <v>18</v>
      </c>
      <c r="B7" s="7">
        <f>SUM(LA!$E$2:$E$53)</f>
        <v>5626</v>
      </c>
      <c r="C7" s="7">
        <f>SUM(MA!$E$2:$E$53)</f>
        <v>10333</v>
      </c>
      <c r="D7" s="7">
        <f>SUM(BJ!$E$2:$E$53)</f>
        <v>13633</v>
      </c>
      <c r="E7" s="7">
        <f>SUM(GC!$E$2:$E$53)</f>
        <v>5009</v>
      </c>
      <c r="F7" s="7">
        <f>SUM(GS!$E$2:$E$53)</f>
        <v>22823</v>
      </c>
      <c r="G7" s="7">
        <f>SUM(GR!$E$2:$E$53)</f>
        <v>10258</v>
      </c>
      <c r="H7" s="7">
        <f>SUM(EN!$E$2:$E$53)</f>
        <v>23215</v>
      </c>
      <c r="I7" s="7">
        <f>SUM(GJ!$E$2:$E$53)</f>
        <v>8677</v>
      </c>
      <c r="J7" s="7">
        <f>SUM(EW!$E$2:$E$53)</f>
        <v>27633</v>
      </c>
      <c r="K7" s="7">
        <f>SUM(GP!$E$2:$E$53)</f>
        <v>14008</v>
      </c>
      <c r="L7" s="7">
        <f>SUM(MC!$E$2:$E$53)</f>
        <v>18103</v>
      </c>
      <c r="M7" s="7">
        <f>SUM(LN!$E$2:$E$53)</f>
        <v>12185</v>
      </c>
    </row>
    <row r="8" spans="1:13" x14ac:dyDescent="0.3">
      <c r="A8" s="4" t="s">
        <v>19</v>
      </c>
      <c r="B8" s="7">
        <f>SUM(LA!$D$2:$D$53)</f>
        <v>6839</v>
      </c>
      <c r="C8" s="7">
        <f>SUM(MA!$D$2:$D$53)</f>
        <v>8492</v>
      </c>
      <c r="D8" s="7">
        <f>SUM(BJ!$D$2:$D$53)</f>
        <v>15957</v>
      </c>
      <c r="E8" s="7">
        <f>SUM(GC!$D$2:$D$53)</f>
        <v>4194</v>
      </c>
      <c r="F8" s="7">
        <f>SUM(GS!$D$2:$D$53)</f>
        <v>25462</v>
      </c>
      <c r="G8" s="7">
        <f>SUM(GR!$D$2:$D$53)</f>
        <v>4392</v>
      </c>
      <c r="H8" s="7">
        <f>SUM(EN!$D$2:$D$53)</f>
        <v>20462</v>
      </c>
      <c r="I8" s="7">
        <f>SUM(GJ!$D$2:$D$53)</f>
        <v>7675</v>
      </c>
      <c r="J8" s="7">
        <f>SUM(EW!$D$2:$D$53)</f>
        <v>14841</v>
      </c>
      <c r="K8" s="7">
        <f>SUM(GP!$D$2:$D$53)</f>
        <v>1551</v>
      </c>
      <c r="L8" s="7">
        <f>SUM(MC!$D$2:$D$53)</f>
        <v>10963</v>
      </c>
      <c r="M8" s="7">
        <f>SUM(LN!$D$2:$D$53)</f>
        <v>5385</v>
      </c>
    </row>
    <row r="9" spans="1:13" x14ac:dyDescent="0.3">
      <c r="A9" s="4" t="s">
        <v>20</v>
      </c>
      <c r="B9" s="7">
        <f>SUM(LA!$F$2:$F$53)</f>
        <v>22197</v>
      </c>
      <c r="C9" s="7">
        <f>SUM(MA!$F$2:$F$53)</f>
        <v>15672</v>
      </c>
      <c r="D9" s="7">
        <f>SUM(BJ!$F$2:$F$53)</f>
        <v>28040</v>
      </c>
      <c r="E9" s="7">
        <f>SUM(GC!$F$2:$F$53)</f>
        <v>13800</v>
      </c>
      <c r="F9" s="7">
        <f>SUM(GS!$F$2:$F$53)</f>
        <v>32148</v>
      </c>
      <c r="G9" s="7">
        <f>SUM(GR!$F$2:$F$53)</f>
        <v>8343</v>
      </c>
      <c r="H9" s="7">
        <f>SUM(EN!$F$2:$F$53)</f>
        <v>2801</v>
      </c>
      <c r="I9" s="7">
        <f>SUM(GJ!$F$2:$F$53)</f>
        <v>3440</v>
      </c>
      <c r="J9" s="7">
        <f>SUM(EW!$F$2:$F$53)</f>
        <v>3635</v>
      </c>
      <c r="K9" s="7">
        <f>SUM(GP!$F$2:$F$53)</f>
        <v>7446</v>
      </c>
      <c r="L9" s="7">
        <f>SUM(MC!$F$2:$F$53)</f>
        <v>5341</v>
      </c>
      <c r="M9" s="7">
        <f>SUM(LN!$F$2:$F$53)</f>
        <v>5406</v>
      </c>
    </row>
  </sheetData>
  <mergeCells count="1">
    <mergeCell ref="A1:M1"/>
  </mergeCells>
  <pageMargins left="0.7" right="0.7" top="0.75" bottom="0.75" header="0.3" footer="0.3"/>
  <pageSetup paperSize="9" orientation="portrait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T196"/>
  <sheetViews>
    <sheetView topLeftCell="E43" workbookViewId="0">
      <selection activeCell="G81" sqref="G81"/>
    </sheetView>
  </sheetViews>
  <sheetFormatPr defaultRowHeight="14.4" x14ac:dyDescent="0.3"/>
  <cols>
    <col min="1" max="1" width="3" bestFit="1" customWidth="1"/>
    <col min="2" max="3" width="10.88671875" bestFit="1" customWidth="1"/>
    <col min="4" max="4" width="34.109375" bestFit="1" customWidth="1"/>
    <col min="5" max="5" width="30.5546875" bestFit="1" customWidth="1"/>
    <col min="6" max="6" width="22.6640625" bestFit="1" customWidth="1"/>
    <col min="9" max="9" width="11.5546875" customWidth="1"/>
    <col min="10" max="10" width="14.33203125" customWidth="1"/>
    <col min="11" max="11" width="8.33203125" bestFit="1" customWidth="1"/>
    <col min="12" max="12" width="11.5546875" bestFit="1" customWidth="1"/>
    <col min="13" max="13" width="10" bestFit="1" customWidth="1"/>
    <col min="15" max="15" width="3" bestFit="1" customWidth="1"/>
    <col min="16" max="17" width="10.88671875" bestFit="1" customWidth="1"/>
    <col min="18" max="18" width="34.109375" bestFit="1" customWidth="1"/>
    <col min="19" max="19" width="30.5546875" bestFit="1" customWidth="1"/>
    <col min="20" max="20" width="22.6640625" bestFit="1" customWidth="1"/>
  </cols>
  <sheetData>
    <row r="1" spans="1:20" s="2" customFormat="1" x14ac:dyDescent="0.3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  <c r="L1" s="3" t="s">
        <v>31</v>
      </c>
      <c r="M1" s="3" t="s">
        <v>32</v>
      </c>
      <c r="O1" s="3" t="s">
        <v>21</v>
      </c>
      <c r="P1" s="3" t="s">
        <v>22</v>
      </c>
      <c r="Q1" s="3" t="s">
        <v>23</v>
      </c>
      <c r="R1" s="3" t="s">
        <v>24</v>
      </c>
      <c r="S1" s="3" t="s">
        <v>25</v>
      </c>
      <c r="T1" s="3" t="s">
        <v>26</v>
      </c>
    </row>
    <row r="2" spans="1:20" x14ac:dyDescent="0.3">
      <c r="A2">
        <v>1</v>
      </c>
      <c r="B2" t="s">
        <v>33</v>
      </c>
      <c r="C2" t="s">
        <v>34</v>
      </c>
      <c r="D2">
        <v>1630</v>
      </c>
      <c r="E2">
        <v>1281</v>
      </c>
      <c r="F2">
        <v>0</v>
      </c>
      <c r="H2" t="s">
        <v>35</v>
      </c>
      <c r="I2" s="1">
        <v>0.6</v>
      </c>
      <c r="J2" s="1">
        <v>0.72941176470588232</v>
      </c>
      <c r="K2" s="1">
        <f>IFERROR(SUMIFS(S:S,P:P,"*/01/2026")/(SUMIFS(R:R,P:P,"*/01/2026")+SUMIFS(S:S,P:P,"*/01/2026")+SUMIFS(T:T,P:P,"*/01/2026")),"")</f>
        <v>0.45989745776022617</v>
      </c>
      <c r="L2" s="1">
        <f>IFERROR(SUMIFS(R:R,P:P,"*/01/2026")/(SUMIFS(R:R,P:P,"*/01/2026")+SUMIFS(S:S,P:P,"*/01/2026")+SUMIFS(T:T,P:P,"*/01/2026")),"")</f>
        <v>0.38261493930486684</v>
      </c>
      <c r="M2" s="1">
        <f>IFERROR(SUMIFS(T:T,P:P,"*/01/2026")/(SUMIFS(R:R,P:P,"*/01/2026")+SUMIFS(S:S,P:P,"*/01/2026")+SUMIFS(T:T,P:P,"*/01/2026")),"")</f>
        <v>0.15748760293490699</v>
      </c>
      <c r="O2">
        <v>1</v>
      </c>
      <c r="P2" t="s">
        <v>36</v>
      </c>
      <c r="Q2" t="s">
        <v>34</v>
      </c>
      <c r="R2">
        <v>0</v>
      </c>
      <c r="S2">
        <v>0</v>
      </c>
      <c r="T2">
        <v>2880</v>
      </c>
    </row>
    <row r="3" spans="1:20" x14ac:dyDescent="0.3">
      <c r="A3">
        <v>2</v>
      </c>
      <c r="B3" t="s">
        <v>33</v>
      </c>
      <c r="C3" t="s">
        <v>37</v>
      </c>
      <c r="D3">
        <v>1262</v>
      </c>
      <c r="E3">
        <v>1630</v>
      </c>
      <c r="F3">
        <v>0</v>
      </c>
      <c r="H3" t="s">
        <v>38</v>
      </c>
      <c r="I3" s="1">
        <v>0.6</v>
      </c>
      <c r="J3" s="1">
        <v>0.72941176470588232</v>
      </c>
      <c r="K3" s="1">
        <f>IFERROR(SUMIFS(S:S,P:P,"*/02/2026")/(SUMIFS(R:R,P:P,"*/02/2026")+SUMIFS(S:S,P:P,"*/02/2026")+SUMIFS(T:T,P:P,"*/02/2026")),"")</f>
        <v>0.34446556640456233</v>
      </c>
      <c r="L3" s="1">
        <f>IFERROR(SUMIFS(R:R,P:P,"*/02/2026")/(SUMIFS(R:R,P:P,"*/02/2026")+SUMIFS(S:S,P:P,"*/02/2026")+SUMIFS(T:T,P:P,"*/02/2026")),"")</f>
        <v>0.26050166026835864</v>
      </c>
      <c r="M3" s="1">
        <f>IFERROR(SUMIFS(T:T,P:P,"*/02/2026")/(SUMIFS(R:R,P:P,"*/02/2026")+SUMIFS(S:S,P:P,"*/02/2026")+SUMIFS(T:T,P:P,"*/02/2026")),"")</f>
        <v>0.39503277332707903</v>
      </c>
      <c r="O3">
        <v>2</v>
      </c>
      <c r="P3" t="s">
        <v>36</v>
      </c>
      <c r="Q3" t="s">
        <v>37</v>
      </c>
      <c r="R3">
        <v>257</v>
      </c>
      <c r="S3">
        <v>5</v>
      </c>
      <c r="T3">
        <v>2614</v>
      </c>
    </row>
    <row r="4" spans="1:20" x14ac:dyDescent="0.3">
      <c r="A4">
        <v>3</v>
      </c>
      <c r="B4" t="s">
        <v>39</v>
      </c>
      <c r="C4" t="s">
        <v>34</v>
      </c>
      <c r="D4">
        <v>1454</v>
      </c>
      <c r="E4">
        <v>1445</v>
      </c>
      <c r="F4">
        <v>0</v>
      </c>
      <c r="H4" t="s">
        <v>40</v>
      </c>
      <c r="I4" s="1">
        <v>0.6</v>
      </c>
      <c r="J4" s="1">
        <v>0.72941176470588232</v>
      </c>
      <c r="K4" s="1">
        <f>IFERROR(SUMIFS(S:S,P:P,"*/03/2026")/(SUMIFS(R:R,P:P,"*/03/2026")+SUMIFS(S:S,P:P,"*/03/2026")+SUMIFS(T:T,P:P,"*/03/2026")),"")</f>
        <v>0.5085760806530758</v>
      </c>
      <c r="L4" s="1">
        <f>IFERROR(SUMIFS(R:R,P:P,"*/03/2026")/(SUMIFS(R:R,P:P,"*/03/2026")+SUMIFS(S:S,P:P,"*/03/2026")+SUMIFS(T:T,P:P,"*/03/2026")),"")</f>
        <v>0.3962004282464201</v>
      </c>
      <c r="M4" s="1">
        <f>IFERROR(SUMIFS(T:T,P:P,"*/03/2026")/(SUMIFS(R:R,P:P,"*/03/2026")+SUMIFS(S:S,P:P,"*/03/2026")+SUMIFS(T:T,P:P,"*/03/2026")),"")</f>
        <v>9.5223491100504085E-2</v>
      </c>
      <c r="O4">
        <v>3</v>
      </c>
      <c r="P4" t="s">
        <v>41</v>
      </c>
      <c r="Q4" t="s">
        <v>34</v>
      </c>
      <c r="R4">
        <v>1188</v>
      </c>
      <c r="S4">
        <v>1721</v>
      </c>
      <c r="T4">
        <v>0</v>
      </c>
    </row>
    <row r="5" spans="1:20" x14ac:dyDescent="0.3">
      <c r="A5">
        <v>4</v>
      </c>
      <c r="B5" t="s">
        <v>39</v>
      </c>
      <c r="C5" t="s">
        <v>37</v>
      </c>
      <c r="D5">
        <v>1001</v>
      </c>
      <c r="E5">
        <v>1900</v>
      </c>
      <c r="F5">
        <v>0</v>
      </c>
      <c r="H5" t="s">
        <v>42</v>
      </c>
      <c r="I5" s="1">
        <v>0.6</v>
      </c>
      <c r="J5" s="1">
        <v>0.72941176470588232</v>
      </c>
      <c r="K5" s="1">
        <f>IFERROR(SUMIFS(S:S,P:P,"*/04/2026")/(SUMIFS(R:R,P:P,"*/04/2026")+SUMIFS(S:S,P:P,"*/04/2026")+SUMIFS(T:T,P:P,"*/04/2026")),"")</f>
        <v>0.49948362666207669</v>
      </c>
      <c r="L5" s="1">
        <f>IFERROR(SUMIFS(R:R,P:P,"*/04/2026")/(SUMIFS(R:R,P:P,"*/04/2026")+SUMIFS(S:S,P:P,"*/04/2026")+SUMIFS(T:T,P:P,"*/04/2026")),"")</f>
        <v>0.4402513016911227</v>
      </c>
      <c r="M5" s="1">
        <f>IFERROR(SUMIFS(T:T,P:P,"*/04/2026")/(SUMIFS(R:R,P:P,"*/04/2026")+SUMIFS(S:S,P:P,"*/04/2026")+SUMIFS(T:T,P:P,"*/04/2026")),"")</f>
        <v>6.0265071646800637E-2</v>
      </c>
      <c r="O5">
        <v>4</v>
      </c>
      <c r="P5" t="s">
        <v>41</v>
      </c>
      <c r="Q5" t="s">
        <v>37</v>
      </c>
      <c r="R5">
        <v>1075</v>
      </c>
      <c r="S5">
        <v>1397</v>
      </c>
      <c r="T5">
        <v>435</v>
      </c>
    </row>
    <row r="6" spans="1:20" x14ac:dyDescent="0.3">
      <c r="A6">
        <v>5</v>
      </c>
      <c r="B6" t="s">
        <v>43</v>
      </c>
      <c r="C6" t="s">
        <v>34</v>
      </c>
      <c r="D6">
        <v>1628</v>
      </c>
      <c r="E6">
        <v>1268</v>
      </c>
      <c r="F6">
        <v>0</v>
      </c>
      <c r="H6" t="s">
        <v>44</v>
      </c>
      <c r="I6" s="1">
        <v>0.6</v>
      </c>
      <c r="J6" s="1">
        <v>0.72941176470588232</v>
      </c>
      <c r="K6" s="1" t="str">
        <f>IFERROR(SUMIFS(S:S,P:P,"*/05/2026")/(SUMIFS(R:R,P:P,"*/05/2026")+SUMIFS(S:S,P:P,"*/05/2026")+SUMIFS(T:T,P:P,"*/05/2026")),"")</f>
        <v/>
      </c>
      <c r="L6" s="1" t="str">
        <f>IFERROR(SUMIFS(R:R,P:P,"*/05/2026")/(SUMIFS(R:R,P:P,"*/05/2026")+SUMIFS(S:S,P:P,"*/05/2026")+SUMIFS(T:T,P:P,"*/05/2026")),"")</f>
        <v/>
      </c>
      <c r="M6" s="1" t="str">
        <f>IFERROR(SUMIFS(T:T,P:P,"*/05/2026")/(SUMIFS(R:R,P:P,"*/05/2026")+SUMIFS(S:S,P:P,"*/05/2026")+SUMIFS(T:T,P:P,"*/05/2026")),"")</f>
        <v/>
      </c>
      <c r="O6">
        <v>5</v>
      </c>
      <c r="P6" t="s">
        <v>45</v>
      </c>
      <c r="Q6" t="s">
        <v>37</v>
      </c>
      <c r="R6">
        <v>1228</v>
      </c>
      <c r="S6">
        <v>3109</v>
      </c>
      <c r="T6">
        <v>374</v>
      </c>
    </row>
    <row r="7" spans="1:20" x14ac:dyDescent="0.3">
      <c r="A7">
        <v>6</v>
      </c>
      <c r="B7" t="s">
        <v>43</v>
      </c>
      <c r="C7" t="s">
        <v>37</v>
      </c>
      <c r="D7">
        <v>1261</v>
      </c>
      <c r="E7">
        <v>1645</v>
      </c>
      <c r="F7">
        <v>0</v>
      </c>
      <c r="H7" t="s">
        <v>46</v>
      </c>
      <c r="I7" s="1">
        <v>0.6</v>
      </c>
      <c r="J7" s="1">
        <v>0.72941176470588232</v>
      </c>
      <c r="K7" s="1" t="str">
        <f>IFERROR(SUMIFS(S:S,P:P,"*/06/2026")/(SUMIFS(R:R,P:P,"*/06/2026")+SUMIFS(S:S,P:P,"*/06/2026")+SUMIFS(T:T,P:P,"*/06/2026")),"")</f>
        <v/>
      </c>
      <c r="L7" s="1" t="str">
        <f>IFERROR(SUMIFS(R:R,P:P,"*/06/2026")/(SUMIFS(R:R,P:P,"*/06/2026")+SUMIFS(S:S,P:P,"*/06/2026")+SUMIFS(T:T,P:P,"*/06/2026")),"")</f>
        <v/>
      </c>
      <c r="M7" s="1" t="str">
        <f>IFERROR(SUMIFS(T:T,P:P,"*/06/2026")/(SUMIFS(R:R,P:P,"*/06/2026")+SUMIFS(S:S,P:P,"*/06/2026")+SUMIFS(T:T,P:P,"*/06/2026")),"")</f>
        <v/>
      </c>
      <c r="O7">
        <v>6</v>
      </c>
      <c r="P7" t="s">
        <v>47</v>
      </c>
      <c r="Q7" t="s">
        <v>34</v>
      </c>
      <c r="R7">
        <v>33</v>
      </c>
      <c r="S7">
        <v>696</v>
      </c>
      <c r="T7">
        <v>2160</v>
      </c>
    </row>
    <row r="8" spans="1:20" x14ac:dyDescent="0.3">
      <c r="A8">
        <v>7</v>
      </c>
      <c r="B8" t="s">
        <v>48</v>
      </c>
      <c r="C8" t="s">
        <v>34</v>
      </c>
      <c r="D8">
        <v>1476</v>
      </c>
      <c r="E8">
        <v>1435</v>
      </c>
      <c r="F8">
        <v>0</v>
      </c>
      <c r="H8" t="s">
        <v>49</v>
      </c>
      <c r="I8" s="1">
        <v>0.6</v>
      </c>
      <c r="J8" s="1">
        <v>0.72941176470588232</v>
      </c>
      <c r="K8" s="1" t="str">
        <f>IFERROR(SUMIFS(S:S,P:P,"*/07/2026")/(SUMIFS(R:R,P:P,"*/07/2026")+SUMIFS(S:S,P:P,"*/07/2026")+SUMIFS(T:T,P:P,"*/07/2026")),"")</f>
        <v/>
      </c>
      <c r="L8" s="1" t="str">
        <f>IFERROR(SUMIFS(R:R,P:P,"*/07/2026")/(SUMIFS(R:R,P:P,"*/07/2026")+SUMIFS(S:S,P:P,"*/07/2026")+SUMIFS(T:T,P:P,"*/07/2026")),"")</f>
        <v/>
      </c>
      <c r="M8" s="1" t="str">
        <f>IFERROR(SUMIFS(T:T,P:P,"*/07/2026")/(SUMIFS(R:R,P:P,"*/07/2026")+SUMIFS(S:S,P:P,"*/07/2026")+SUMIFS(T:T,P:P,"*/07/2026")),"")</f>
        <v/>
      </c>
      <c r="O8">
        <v>7</v>
      </c>
      <c r="P8" t="s">
        <v>47</v>
      </c>
      <c r="Q8" t="s">
        <v>37</v>
      </c>
      <c r="R8">
        <v>455</v>
      </c>
      <c r="S8">
        <v>268</v>
      </c>
      <c r="T8">
        <v>2160</v>
      </c>
    </row>
    <row r="9" spans="1:20" x14ac:dyDescent="0.3">
      <c r="A9">
        <v>8</v>
      </c>
      <c r="B9" t="s">
        <v>48</v>
      </c>
      <c r="C9" t="s">
        <v>37</v>
      </c>
      <c r="D9">
        <v>1175</v>
      </c>
      <c r="E9">
        <v>1737</v>
      </c>
      <c r="F9">
        <v>0</v>
      </c>
      <c r="H9" t="s">
        <v>50</v>
      </c>
      <c r="I9" s="1">
        <v>0.6</v>
      </c>
      <c r="J9" s="1">
        <v>0.72941176470588232</v>
      </c>
      <c r="K9" s="1" t="str">
        <f>IFERROR(SUMIFS(S:S,P:P,"*/08/2026")/(SUMIFS(R:R,P:P,"*/08/2026")+SUMIFS(S:S,P:P,"*/08/2026")+SUMIFS(T:T,P:P,"*/08/2026")),"")</f>
        <v/>
      </c>
      <c r="L9" s="1" t="str">
        <f>IFERROR(SUMIFS(R:R,P:P,"*/08/2026")/(SUMIFS(R:R,P:P,"*/08/2026")+SUMIFS(S:S,P:P,"*/08/2026")+SUMIFS(T:T,P:P,"*/08/2026")),"")</f>
        <v/>
      </c>
      <c r="M9" s="1" t="str">
        <f>IFERROR(SUMIFS(T:T,P:P,"*/08/2026")/(SUMIFS(R:R,P:P,"*/08/2026")+SUMIFS(S:S,P:P,"*/08/2026")+SUMIFS(T:T,P:P,"*/08/2026")),"")</f>
        <v/>
      </c>
      <c r="O9">
        <v>8</v>
      </c>
      <c r="P9" t="s">
        <v>51</v>
      </c>
      <c r="Q9" t="s">
        <v>34</v>
      </c>
      <c r="R9">
        <v>987</v>
      </c>
      <c r="S9">
        <v>1330</v>
      </c>
      <c r="T9">
        <v>574</v>
      </c>
    </row>
    <row r="10" spans="1:20" x14ac:dyDescent="0.3">
      <c r="A10">
        <v>9</v>
      </c>
      <c r="B10" t="s">
        <v>52</v>
      </c>
      <c r="C10" t="s">
        <v>34</v>
      </c>
      <c r="D10">
        <v>1556</v>
      </c>
      <c r="E10">
        <v>1315</v>
      </c>
      <c r="F10">
        <v>32</v>
      </c>
      <c r="H10" t="s">
        <v>53</v>
      </c>
      <c r="I10" s="1">
        <v>0.6</v>
      </c>
      <c r="J10" s="1">
        <v>0.72941176470588232</v>
      </c>
      <c r="K10" s="1" t="str">
        <f>IFERROR(SUMIFS(S:S,P:P,"*/09/2026")/(SUMIFS(R:R,P:P,"*/09/2026")+SUMIFS(S:S,P:P,"*/09/2026")+SUMIFS(T:T,P:P,"*/09/2026")),"")</f>
        <v/>
      </c>
      <c r="L10" s="1" t="str">
        <f>IFERROR(SUMIFS(R:R,P:P,"*/09/2026")/(SUMIFS(R:R,P:P,"*/09/2026")+SUMIFS(S:S,P:P,"*/09/2026")+SUMIFS(T:T,P:P,"*/09/2026")),"")</f>
        <v/>
      </c>
      <c r="M10" s="1" t="str">
        <f>IFERROR(SUMIFS(T:T,P:P,"*/09/2026")/(SUMIFS(R:R,P:P,"*/09/2026")+SUMIFS(S:S,P:P,"*/09/2026")+SUMIFS(T:T,P:P,"*/09/2026")),"")</f>
        <v/>
      </c>
      <c r="O10">
        <v>9</v>
      </c>
      <c r="P10" t="s">
        <v>51</v>
      </c>
      <c r="Q10" t="s">
        <v>37</v>
      </c>
      <c r="R10">
        <v>1385</v>
      </c>
      <c r="S10">
        <v>1481</v>
      </c>
      <c r="T10">
        <v>0</v>
      </c>
    </row>
    <row r="11" spans="1:20" x14ac:dyDescent="0.3">
      <c r="A11">
        <v>10</v>
      </c>
      <c r="B11" t="s">
        <v>52</v>
      </c>
      <c r="C11" t="s">
        <v>37</v>
      </c>
      <c r="D11">
        <v>669</v>
      </c>
      <c r="E11">
        <v>52</v>
      </c>
      <c r="F11">
        <v>2160</v>
      </c>
      <c r="H11" t="s">
        <v>54</v>
      </c>
      <c r="I11" s="1">
        <v>0.6</v>
      </c>
      <c r="J11" s="1">
        <v>0.72941176470588232</v>
      </c>
      <c r="K11" s="1" t="str">
        <f>IFERROR(SUMIFS(S:S,P:P,"*/10/2026")/(SUMIFS(R:R,P:P,"*/10/2026")+SUMIFS(S:S,P:P,"*/10/2026")+SUMIFS(T:T,P:P,"*/10/2026")),"")</f>
        <v/>
      </c>
      <c r="L11" s="1" t="str">
        <f>IFERROR(SUMIFS(R:R,P:P,"*/10/2026")/(SUMIFS(R:R,P:P,"*/10/2026")+SUMIFS(S:S,P:P,"*/10/2026")+SUMIFS(T:T,P:P,"*/10/2026")),"")</f>
        <v/>
      </c>
      <c r="M11" s="1" t="str">
        <f>IFERROR(SUMIFS(T:T,P:P,"*/10/2026")/(SUMIFS(R:R,P:P,"*/10/2026")+SUMIFS(S:S,P:P,"*/10/2026")+SUMIFS(T:T,P:P,"*/10/2026")),"")</f>
        <v/>
      </c>
      <c r="O11">
        <v>10</v>
      </c>
      <c r="P11" t="s">
        <v>55</v>
      </c>
      <c r="Q11" t="s">
        <v>34</v>
      </c>
      <c r="R11">
        <v>1460</v>
      </c>
      <c r="S11">
        <v>1428</v>
      </c>
      <c r="T11">
        <v>0</v>
      </c>
    </row>
    <row r="12" spans="1:20" x14ac:dyDescent="0.3">
      <c r="A12">
        <v>11</v>
      </c>
      <c r="B12" t="s">
        <v>56</v>
      </c>
      <c r="C12" t="s">
        <v>34</v>
      </c>
      <c r="D12">
        <v>835</v>
      </c>
      <c r="E12">
        <v>1469</v>
      </c>
      <c r="F12">
        <v>609</v>
      </c>
      <c r="H12" t="s">
        <v>57</v>
      </c>
      <c r="I12" s="1">
        <v>0.6</v>
      </c>
      <c r="J12" s="1">
        <v>0.72941176470588232</v>
      </c>
      <c r="K12" s="1" t="str">
        <f>IFERROR(SUMIFS(S:S,P:P,"*/11/2026")/(SUMIFS(R:R,P:P,"*/11/2026")+SUMIFS(S:S,P:P,"*/11/2026")+SUMIFS(T:T,P:P,"*/11/2026")),"")</f>
        <v/>
      </c>
      <c r="L12" s="1" t="str">
        <f>IFERROR(SUMIFS(R:R,P:P,"*/11/2026")/(SUMIFS(R:R,P:P,"*/11/2026")+SUMIFS(S:S,P:P,"*/11/2026")+SUMIFS(T:T,P:P,"*/11/2026")),"")</f>
        <v/>
      </c>
      <c r="M12" s="1" t="str">
        <f>IFERROR(SUMIFS(T:T,P:P,"*/11/2026")/(SUMIFS(R:R,P:P,"*/11/2026")+SUMIFS(S:S,P:P,"*/11/2026")+SUMIFS(T:T,P:P,"*/11/2026")),"")</f>
        <v/>
      </c>
      <c r="O12">
        <v>11</v>
      </c>
      <c r="P12" t="s">
        <v>55</v>
      </c>
      <c r="Q12" t="s">
        <v>37</v>
      </c>
      <c r="R12">
        <v>1269</v>
      </c>
      <c r="S12">
        <v>1625</v>
      </c>
      <c r="T12">
        <v>0</v>
      </c>
    </row>
    <row r="13" spans="1:20" x14ac:dyDescent="0.3">
      <c r="A13">
        <v>12</v>
      </c>
      <c r="B13" t="s">
        <v>56</v>
      </c>
      <c r="C13" t="s">
        <v>37</v>
      </c>
      <c r="D13">
        <v>1110</v>
      </c>
      <c r="E13">
        <v>1801</v>
      </c>
      <c r="F13">
        <v>0</v>
      </c>
      <c r="H13" t="s">
        <v>58</v>
      </c>
      <c r="I13" s="1">
        <v>0.6</v>
      </c>
      <c r="J13" s="1">
        <v>0.72941176470588232</v>
      </c>
      <c r="K13" s="1" t="str">
        <f>IFERROR(SUMIFS(S:S,P:P,"*/12/2026")/(SUMIFS(R:R,P:P,"*/12/2026")+SUMIFS(S:S,P:P,"*/12/2026")+SUMIFS(T:T,P:P,"*/12/2026")),"")</f>
        <v/>
      </c>
      <c r="L13" s="1" t="str">
        <f>IFERROR(SUMIFS(R:R,P:P,"*/12/2026")/(SUMIFS(R:R,P:P,"*/12/2026")+SUMIFS(S:S,P:P,"*/12/2026")+SUMIFS(T:T,P:P,"*/12/2026")),"")</f>
        <v/>
      </c>
      <c r="M13" s="1" t="str">
        <f>IFERROR(SUMIFS(T:T,P:P,"*/12/2026")/(SUMIFS(R:R,P:P,"*/12/2026")+SUMIFS(S:S,P:P,"*/12/2026")+SUMIFS(T:T,P:P,"*/12/2026")),"")</f>
        <v/>
      </c>
      <c r="O13">
        <v>12</v>
      </c>
      <c r="P13" t="s">
        <v>59</v>
      </c>
      <c r="Q13" t="s">
        <v>34</v>
      </c>
      <c r="R13">
        <v>1074</v>
      </c>
      <c r="S13">
        <v>311</v>
      </c>
      <c r="T13">
        <v>1495</v>
      </c>
    </row>
    <row r="14" spans="1:20" x14ac:dyDescent="0.3">
      <c r="A14">
        <v>13</v>
      </c>
      <c r="B14" t="s">
        <v>60</v>
      </c>
      <c r="C14" t="s">
        <v>34</v>
      </c>
      <c r="D14">
        <v>1522</v>
      </c>
      <c r="E14">
        <v>1378</v>
      </c>
      <c r="F14">
        <v>0</v>
      </c>
      <c r="H14" t="str">
        <f>IF(B2="","",TEXT(B2,"dd/mm")&amp; "-" &amp;IF(UPPER(TRIM(C2))="CN",1,IF(UPPER(TRIM(C2))="CD",2,"")))</f>
        <v>01/04-1</v>
      </c>
      <c r="I14" s="1">
        <v>0.6</v>
      </c>
      <c r="J14" s="1">
        <v>0.72941176470588232</v>
      </c>
      <c r="K14" s="1">
        <f t="shared" ref="K14:K45" si="0">IFERROR($E2/SUM($D2:$F2),"")</f>
        <v>0.44005496392992099</v>
      </c>
      <c r="L14" s="1">
        <f t="shared" ref="L14:L45" si="1">IFERROR($D2/SUM($D2:$F2),"")</f>
        <v>0.55994503607007906</v>
      </c>
      <c r="M14" s="1">
        <f t="shared" ref="M14:M45" si="2">IFERROR($F2/SUM($D2:$F2),"")</f>
        <v>0</v>
      </c>
      <c r="O14">
        <v>13</v>
      </c>
      <c r="P14" t="s">
        <v>59</v>
      </c>
      <c r="Q14" t="s">
        <v>37</v>
      </c>
      <c r="R14">
        <v>0</v>
      </c>
      <c r="S14">
        <v>0</v>
      </c>
      <c r="T14">
        <v>2880</v>
      </c>
    </row>
    <row r="15" spans="1:20" x14ac:dyDescent="0.3">
      <c r="A15">
        <v>14</v>
      </c>
      <c r="B15" t="s">
        <v>60</v>
      </c>
      <c r="C15" t="s">
        <v>37</v>
      </c>
      <c r="D15">
        <v>1331</v>
      </c>
      <c r="E15">
        <v>1582</v>
      </c>
      <c r="F15">
        <v>0</v>
      </c>
      <c r="H15" t="str">
        <f t="shared" ref="H15:H46" si="3">IF(B3="","",TEXT(B3,"dd/mm") &amp; "-" &amp; IF(UPPER(TRIM(C3))="CN",1,IF(UPPER(TRIM(C3))="CD",2,"")))</f>
        <v>01/04-2</v>
      </c>
      <c r="I15" s="1">
        <v>0.6</v>
      </c>
      <c r="J15" s="1">
        <v>0.72941176470588232</v>
      </c>
      <c r="K15" s="1">
        <f t="shared" si="0"/>
        <v>0.5636237897648686</v>
      </c>
      <c r="L15" s="1">
        <f t="shared" si="1"/>
        <v>0.4363762102351314</v>
      </c>
      <c r="M15" s="1">
        <f t="shared" si="2"/>
        <v>0</v>
      </c>
      <c r="O15">
        <v>14</v>
      </c>
      <c r="P15" t="s">
        <v>61</v>
      </c>
      <c r="Q15" t="s">
        <v>34</v>
      </c>
      <c r="R15">
        <v>586</v>
      </c>
      <c r="S15">
        <v>1499</v>
      </c>
      <c r="T15">
        <v>811</v>
      </c>
    </row>
    <row r="16" spans="1:20" x14ac:dyDescent="0.3">
      <c r="A16">
        <v>15</v>
      </c>
      <c r="B16" t="s">
        <v>62</v>
      </c>
      <c r="C16" t="s">
        <v>34</v>
      </c>
      <c r="D16">
        <v>1456</v>
      </c>
      <c r="E16">
        <v>1459</v>
      </c>
      <c r="F16">
        <v>0</v>
      </c>
      <c r="H16" t="str">
        <f t="shared" si="3"/>
        <v>02/04-1</v>
      </c>
      <c r="I16" s="1">
        <v>0.6</v>
      </c>
      <c r="J16" s="1">
        <v>0.72941176470588232</v>
      </c>
      <c r="K16" s="1">
        <f t="shared" si="0"/>
        <v>0.49844774060020697</v>
      </c>
      <c r="L16" s="1">
        <f t="shared" si="1"/>
        <v>0.50155225939979298</v>
      </c>
      <c r="M16" s="1">
        <f t="shared" si="2"/>
        <v>0</v>
      </c>
      <c r="O16">
        <v>15</v>
      </c>
      <c r="P16" t="s">
        <v>61</v>
      </c>
      <c r="Q16" t="s">
        <v>37</v>
      </c>
      <c r="R16">
        <v>1410</v>
      </c>
      <c r="S16">
        <v>1484</v>
      </c>
      <c r="T16">
        <v>0</v>
      </c>
    </row>
    <row r="17" spans="1:20" x14ac:dyDescent="0.3">
      <c r="A17">
        <v>16</v>
      </c>
      <c r="B17" t="s">
        <v>62</v>
      </c>
      <c r="C17" t="s">
        <v>37</v>
      </c>
      <c r="D17">
        <v>1096</v>
      </c>
      <c r="E17">
        <v>1818</v>
      </c>
      <c r="F17">
        <v>0</v>
      </c>
      <c r="H17" t="str">
        <f t="shared" si="3"/>
        <v>02/04-2</v>
      </c>
      <c r="I17" s="1">
        <v>0.6</v>
      </c>
      <c r="J17" s="1">
        <v>0.72941176470588232</v>
      </c>
      <c r="K17" s="1">
        <f t="shared" si="0"/>
        <v>0.65494657014822477</v>
      </c>
      <c r="L17" s="1">
        <f t="shared" si="1"/>
        <v>0.34505342985177523</v>
      </c>
      <c r="M17" s="1">
        <f t="shared" si="2"/>
        <v>0</v>
      </c>
      <c r="O17">
        <v>16</v>
      </c>
      <c r="P17" t="s">
        <v>63</v>
      </c>
      <c r="Q17" t="s">
        <v>34</v>
      </c>
      <c r="R17">
        <v>1646</v>
      </c>
      <c r="S17">
        <v>1253</v>
      </c>
      <c r="T17">
        <v>0</v>
      </c>
    </row>
    <row r="18" spans="1:20" x14ac:dyDescent="0.3">
      <c r="H18" t="str">
        <f t="shared" si="3"/>
        <v>03/04-1</v>
      </c>
      <c r="I18" s="1">
        <v>0.6</v>
      </c>
      <c r="J18" s="1">
        <v>0.72941176470588232</v>
      </c>
      <c r="K18" s="1">
        <f t="shared" si="0"/>
        <v>0.43784530386740333</v>
      </c>
      <c r="L18" s="1">
        <f t="shared" si="1"/>
        <v>0.56215469613259672</v>
      </c>
      <c r="M18" s="1">
        <f t="shared" si="2"/>
        <v>0</v>
      </c>
      <c r="O18">
        <v>17</v>
      </c>
      <c r="P18" t="s">
        <v>63</v>
      </c>
      <c r="Q18" t="s">
        <v>37</v>
      </c>
      <c r="R18">
        <v>1282</v>
      </c>
      <c r="S18">
        <v>1607</v>
      </c>
      <c r="T18">
        <v>0</v>
      </c>
    </row>
    <row r="19" spans="1:20" x14ac:dyDescent="0.3">
      <c r="H19" t="str">
        <f t="shared" si="3"/>
        <v>03/04-2</v>
      </c>
      <c r="I19" s="1">
        <v>0.6</v>
      </c>
      <c r="J19" s="1">
        <v>0.72941176470588232</v>
      </c>
      <c r="K19" s="1">
        <f t="shared" si="0"/>
        <v>0.56607019958706128</v>
      </c>
      <c r="L19" s="1">
        <f t="shared" si="1"/>
        <v>0.43392980041293877</v>
      </c>
      <c r="M19" s="1">
        <f t="shared" si="2"/>
        <v>0</v>
      </c>
      <c r="O19">
        <v>18</v>
      </c>
      <c r="P19" t="s">
        <v>64</v>
      </c>
      <c r="Q19" t="s">
        <v>34</v>
      </c>
      <c r="R19">
        <v>1599</v>
      </c>
      <c r="S19">
        <v>1284</v>
      </c>
      <c r="T19">
        <v>7</v>
      </c>
    </row>
    <row r="20" spans="1:20" x14ac:dyDescent="0.3">
      <c r="H20" t="str">
        <f t="shared" si="3"/>
        <v>04/04-1</v>
      </c>
      <c r="I20" s="1">
        <v>0.6</v>
      </c>
      <c r="J20" s="1">
        <v>0.72941176470588232</v>
      </c>
      <c r="K20" s="1">
        <f t="shared" si="0"/>
        <v>0.49295774647887325</v>
      </c>
      <c r="L20" s="1">
        <f t="shared" si="1"/>
        <v>0.50704225352112675</v>
      </c>
      <c r="M20" s="1">
        <f t="shared" si="2"/>
        <v>0</v>
      </c>
      <c r="O20">
        <v>19</v>
      </c>
      <c r="P20" t="s">
        <v>64</v>
      </c>
      <c r="Q20" t="s">
        <v>37</v>
      </c>
      <c r="R20">
        <v>0</v>
      </c>
      <c r="S20">
        <v>97</v>
      </c>
      <c r="T20">
        <v>2782</v>
      </c>
    </row>
    <row r="21" spans="1:20" x14ac:dyDescent="0.3">
      <c r="H21" t="str">
        <f t="shared" si="3"/>
        <v>04/04-2</v>
      </c>
      <c r="I21" s="1">
        <v>0.6</v>
      </c>
      <c r="J21" s="1">
        <v>0.72941176470588232</v>
      </c>
      <c r="K21" s="1">
        <f t="shared" si="0"/>
        <v>0.59649725274725274</v>
      </c>
      <c r="L21" s="1">
        <f t="shared" si="1"/>
        <v>0.40350274725274726</v>
      </c>
      <c r="M21" s="1">
        <f t="shared" si="2"/>
        <v>0</v>
      </c>
      <c r="O21">
        <v>20</v>
      </c>
      <c r="P21" t="s">
        <v>65</v>
      </c>
      <c r="Q21" t="s">
        <v>34</v>
      </c>
      <c r="R21">
        <v>0</v>
      </c>
      <c r="S21">
        <v>0</v>
      </c>
      <c r="T21">
        <v>2880</v>
      </c>
    </row>
    <row r="22" spans="1:20" x14ac:dyDescent="0.3">
      <c r="H22" t="str">
        <f t="shared" si="3"/>
        <v>05/04-1</v>
      </c>
      <c r="I22" s="1">
        <v>0.6</v>
      </c>
      <c r="J22" s="1">
        <v>0.72941176470588232</v>
      </c>
      <c r="K22" s="1">
        <f t="shared" si="0"/>
        <v>0.45297967619703755</v>
      </c>
      <c r="L22" s="1">
        <f t="shared" si="1"/>
        <v>0.53599724423010675</v>
      </c>
      <c r="M22" s="1">
        <f t="shared" si="2"/>
        <v>1.1023079572855667E-2</v>
      </c>
      <c r="O22">
        <v>21</v>
      </c>
      <c r="P22" t="s">
        <v>65</v>
      </c>
      <c r="Q22" t="s">
        <v>37</v>
      </c>
      <c r="R22">
        <v>0</v>
      </c>
      <c r="S22">
        <v>0</v>
      </c>
      <c r="T22">
        <v>2880</v>
      </c>
    </row>
    <row r="23" spans="1:20" x14ac:dyDescent="0.3">
      <c r="H23" t="str">
        <f t="shared" si="3"/>
        <v>05/04-2</v>
      </c>
      <c r="I23" s="1">
        <v>0.6</v>
      </c>
      <c r="J23" s="1">
        <v>0.72941176470588232</v>
      </c>
      <c r="K23" s="1">
        <f t="shared" si="0"/>
        <v>1.8049288441513364E-2</v>
      </c>
      <c r="L23" s="1">
        <f t="shared" si="1"/>
        <v>0.23221103783408539</v>
      </c>
      <c r="M23" s="1">
        <f t="shared" si="2"/>
        <v>0.7497396737244012</v>
      </c>
      <c r="O23">
        <v>22</v>
      </c>
      <c r="P23" t="s">
        <v>66</v>
      </c>
      <c r="Q23" t="s">
        <v>34</v>
      </c>
      <c r="R23">
        <v>694</v>
      </c>
      <c r="S23">
        <v>1337</v>
      </c>
      <c r="T23">
        <v>862</v>
      </c>
    </row>
    <row r="24" spans="1:20" x14ac:dyDescent="0.3">
      <c r="H24" t="str">
        <f t="shared" si="3"/>
        <v>06/04-1</v>
      </c>
      <c r="I24" s="1">
        <v>0.6</v>
      </c>
      <c r="J24" s="1">
        <v>0.72941176470588232</v>
      </c>
      <c r="K24" s="1">
        <f t="shared" si="0"/>
        <v>0.50429110882251971</v>
      </c>
      <c r="L24" s="1">
        <f t="shared" si="1"/>
        <v>0.28664606934431858</v>
      </c>
      <c r="M24" s="1">
        <f t="shared" si="2"/>
        <v>0.20906282183316169</v>
      </c>
      <c r="O24">
        <v>23</v>
      </c>
      <c r="P24" t="s">
        <v>66</v>
      </c>
      <c r="Q24" t="s">
        <v>37</v>
      </c>
      <c r="R24">
        <v>1354</v>
      </c>
      <c r="S24">
        <v>1549</v>
      </c>
      <c r="T24">
        <v>0</v>
      </c>
    </row>
    <row r="25" spans="1:20" x14ac:dyDescent="0.3">
      <c r="H25" t="str">
        <f t="shared" si="3"/>
        <v>06/04-2</v>
      </c>
      <c r="I25" s="1">
        <v>0.6</v>
      </c>
      <c r="J25" s="1">
        <v>0.72941176470588232</v>
      </c>
      <c r="K25" s="1">
        <f t="shared" si="0"/>
        <v>0.61868773617313633</v>
      </c>
      <c r="L25" s="1">
        <f t="shared" si="1"/>
        <v>0.38131226382686362</v>
      </c>
      <c r="M25" s="1">
        <f t="shared" si="2"/>
        <v>0</v>
      </c>
      <c r="O25">
        <v>24</v>
      </c>
      <c r="P25" t="s">
        <v>67</v>
      </c>
      <c r="Q25" t="s">
        <v>34</v>
      </c>
      <c r="R25">
        <v>1616</v>
      </c>
      <c r="S25">
        <v>1282</v>
      </c>
      <c r="T25">
        <v>0</v>
      </c>
    </row>
    <row r="26" spans="1:20" x14ac:dyDescent="0.3">
      <c r="H26" t="str">
        <f t="shared" si="3"/>
        <v>07/04-1</v>
      </c>
      <c r="I26" s="1">
        <v>0.6</v>
      </c>
      <c r="J26" s="1">
        <v>0.72941176470588232</v>
      </c>
      <c r="K26" s="1">
        <f t="shared" si="0"/>
        <v>0.47517241379310343</v>
      </c>
      <c r="L26" s="1">
        <f t="shared" si="1"/>
        <v>0.52482758620689651</v>
      </c>
      <c r="M26" s="1">
        <f t="shared" si="2"/>
        <v>0</v>
      </c>
      <c r="O26">
        <v>25</v>
      </c>
      <c r="P26" t="s">
        <v>67</v>
      </c>
      <c r="Q26" t="s">
        <v>37</v>
      </c>
      <c r="R26">
        <v>1074</v>
      </c>
      <c r="S26">
        <v>1818</v>
      </c>
      <c r="T26">
        <v>0</v>
      </c>
    </row>
    <row r="27" spans="1:20" x14ac:dyDescent="0.3">
      <c r="H27" t="str">
        <f t="shared" si="3"/>
        <v>07/04-2</v>
      </c>
      <c r="I27" s="1">
        <v>0.6</v>
      </c>
      <c r="J27" s="1">
        <v>0.72941176470588232</v>
      </c>
      <c r="K27" s="1">
        <f t="shared" si="0"/>
        <v>0.54308273257809814</v>
      </c>
      <c r="L27" s="1">
        <f t="shared" si="1"/>
        <v>0.45691726742190181</v>
      </c>
      <c r="M27" s="1">
        <f t="shared" si="2"/>
        <v>0</v>
      </c>
      <c r="O27">
        <v>26</v>
      </c>
      <c r="P27" t="s">
        <v>68</v>
      </c>
      <c r="Q27" t="s">
        <v>34</v>
      </c>
      <c r="R27">
        <v>1437</v>
      </c>
      <c r="S27">
        <v>1462</v>
      </c>
      <c r="T27">
        <v>0</v>
      </c>
    </row>
    <row r="28" spans="1:20" x14ac:dyDescent="0.3">
      <c r="H28" t="str">
        <f t="shared" si="3"/>
        <v>08/04-1</v>
      </c>
      <c r="I28" s="1">
        <v>0.6</v>
      </c>
      <c r="J28" s="1">
        <v>0.72941176470588232</v>
      </c>
      <c r="K28" s="1">
        <f t="shared" si="0"/>
        <v>0.5005145797598628</v>
      </c>
      <c r="L28" s="1">
        <f t="shared" si="1"/>
        <v>0.4994854202401372</v>
      </c>
      <c r="M28" s="1">
        <f t="shared" si="2"/>
        <v>0</v>
      </c>
      <c r="O28">
        <v>27</v>
      </c>
      <c r="P28" t="s">
        <v>68</v>
      </c>
      <c r="Q28" t="s">
        <v>37</v>
      </c>
      <c r="R28">
        <v>834</v>
      </c>
      <c r="S28">
        <v>2054</v>
      </c>
      <c r="T28">
        <v>0</v>
      </c>
    </row>
    <row r="29" spans="1:20" x14ac:dyDescent="0.3">
      <c r="H29" t="str">
        <f t="shared" si="3"/>
        <v>08/04-2</v>
      </c>
      <c r="I29" s="1">
        <v>0.6</v>
      </c>
      <c r="J29" s="1">
        <v>0.72941176470588232</v>
      </c>
      <c r="K29" s="1">
        <f t="shared" si="0"/>
        <v>0.62388469457789975</v>
      </c>
      <c r="L29" s="1">
        <f t="shared" si="1"/>
        <v>0.3761153054221002</v>
      </c>
      <c r="M29" s="1">
        <f t="shared" si="2"/>
        <v>0</v>
      </c>
      <c r="O29">
        <v>28</v>
      </c>
      <c r="P29" t="s">
        <v>69</v>
      </c>
      <c r="Q29" t="s">
        <v>34</v>
      </c>
      <c r="R29">
        <v>1399</v>
      </c>
      <c r="S29">
        <v>1499</v>
      </c>
      <c r="T29">
        <v>0</v>
      </c>
    </row>
    <row r="30" spans="1:20" x14ac:dyDescent="0.3">
      <c r="H30" t="str">
        <f t="shared" si="3"/>
        <v/>
      </c>
      <c r="I30" s="1"/>
      <c r="J30" s="1"/>
      <c r="K30" s="1" t="str">
        <f t="shared" si="0"/>
        <v/>
      </c>
      <c r="L30" s="1" t="str">
        <f t="shared" si="1"/>
        <v/>
      </c>
      <c r="M30" s="1" t="str">
        <f t="shared" si="2"/>
        <v/>
      </c>
      <c r="O30">
        <v>29</v>
      </c>
      <c r="P30" t="s">
        <v>69</v>
      </c>
      <c r="Q30" t="s">
        <v>37</v>
      </c>
      <c r="R30">
        <v>998</v>
      </c>
      <c r="S30">
        <v>1898</v>
      </c>
      <c r="T30">
        <v>0</v>
      </c>
    </row>
    <row r="31" spans="1:20" x14ac:dyDescent="0.3">
      <c r="H31" t="str">
        <f t="shared" si="3"/>
        <v/>
      </c>
      <c r="I31" s="1"/>
      <c r="J31" s="1"/>
      <c r="K31" s="1" t="str">
        <f t="shared" si="0"/>
        <v/>
      </c>
      <c r="L31" s="1" t="str">
        <f t="shared" si="1"/>
        <v/>
      </c>
      <c r="M31" s="1" t="str">
        <f t="shared" si="2"/>
        <v/>
      </c>
      <c r="O31">
        <v>30</v>
      </c>
      <c r="P31" t="s">
        <v>70</v>
      </c>
      <c r="Q31" t="s">
        <v>34</v>
      </c>
      <c r="R31">
        <v>1790</v>
      </c>
      <c r="S31">
        <v>1100</v>
      </c>
      <c r="T31">
        <v>0</v>
      </c>
    </row>
    <row r="32" spans="1:20" x14ac:dyDescent="0.3">
      <c r="H32" t="str">
        <f t="shared" si="3"/>
        <v/>
      </c>
      <c r="I32" s="1"/>
      <c r="J32" s="1"/>
      <c r="K32" s="1" t="str">
        <f t="shared" si="0"/>
        <v/>
      </c>
      <c r="L32" s="1" t="str">
        <f t="shared" si="1"/>
        <v/>
      </c>
      <c r="M32" s="1" t="str">
        <f t="shared" si="2"/>
        <v/>
      </c>
      <c r="O32">
        <v>31</v>
      </c>
      <c r="P32" t="s">
        <v>70</v>
      </c>
      <c r="Q32" t="s">
        <v>37</v>
      </c>
      <c r="R32">
        <v>933</v>
      </c>
      <c r="S32">
        <v>1974</v>
      </c>
      <c r="T32">
        <v>0</v>
      </c>
    </row>
    <row r="33" spans="8:20" x14ac:dyDescent="0.3">
      <c r="H33" t="str">
        <f t="shared" si="3"/>
        <v/>
      </c>
      <c r="I33" s="1"/>
      <c r="J33" s="1"/>
      <c r="K33" s="1" t="str">
        <f t="shared" si="0"/>
        <v/>
      </c>
      <c r="L33" s="1" t="str">
        <f t="shared" si="1"/>
        <v/>
      </c>
      <c r="M33" s="1" t="str">
        <f t="shared" si="2"/>
        <v/>
      </c>
      <c r="O33">
        <v>32</v>
      </c>
      <c r="P33" t="s">
        <v>71</v>
      </c>
      <c r="Q33" t="s">
        <v>34</v>
      </c>
      <c r="R33">
        <v>1191</v>
      </c>
      <c r="S33">
        <v>1706</v>
      </c>
      <c r="T33">
        <v>0</v>
      </c>
    </row>
    <row r="34" spans="8:20" x14ac:dyDescent="0.3">
      <c r="H34" t="str">
        <f t="shared" si="3"/>
        <v/>
      </c>
      <c r="I34" s="1"/>
      <c r="J34" s="1"/>
      <c r="K34" s="1" t="str">
        <f t="shared" si="0"/>
        <v/>
      </c>
      <c r="L34" s="1" t="str">
        <f t="shared" si="1"/>
        <v/>
      </c>
      <c r="M34" s="1" t="str">
        <f t="shared" si="2"/>
        <v/>
      </c>
      <c r="O34">
        <v>33</v>
      </c>
      <c r="P34" t="s">
        <v>71</v>
      </c>
      <c r="Q34" t="s">
        <v>37</v>
      </c>
      <c r="R34">
        <v>989</v>
      </c>
      <c r="S34">
        <v>1898</v>
      </c>
      <c r="T34">
        <v>0</v>
      </c>
    </row>
    <row r="35" spans="8:20" x14ac:dyDescent="0.3">
      <c r="H35" t="str">
        <f t="shared" si="3"/>
        <v/>
      </c>
      <c r="I35" s="1"/>
      <c r="J35" s="1"/>
      <c r="K35" s="1" t="str">
        <f t="shared" si="0"/>
        <v/>
      </c>
      <c r="L35" s="1" t="str">
        <f t="shared" si="1"/>
        <v/>
      </c>
      <c r="M35" s="1" t="str">
        <f t="shared" si="2"/>
        <v/>
      </c>
      <c r="O35">
        <v>34</v>
      </c>
      <c r="P35" t="s">
        <v>72</v>
      </c>
      <c r="Q35" t="s">
        <v>34</v>
      </c>
      <c r="R35">
        <v>1806</v>
      </c>
      <c r="S35">
        <v>1080</v>
      </c>
      <c r="T35">
        <v>0</v>
      </c>
    </row>
    <row r="36" spans="8:20" x14ac:dyDescent="0.3">
      <c r="H36" t="str">
        <f t="shared" si="3"/>
        <v/>
      </c>
      <c r="I36" s="1"/>
      <c r="J36" s="1"/>
      <c r="K36" s="1" t="str">
        <f t="shared" si="0"/>
        <v/>
      </c>
      <c r="L36" s="1" t="str">
        <f t="shared" si="1"/>
        <v/>
      </c>
      <c r="M36" s="1" t="str">
        <f t="shared" si="2"/>
        <v/>
      </c>
      <c r="O36">
        <v>35</v>
      </c>
      <c r="P36" t="s">
        <v>72</v>
      </c>
      <c r="Q36" t="s">
        <v>37</v>
      </c>
      <c r="R36">
        <v>1326</v>
      </c>
      <c r="S36">
        <v>351</v>
      </c>
      <c r="T36">
        <v>1207</v>
      </c>
    </row>
    <row r="37" spans="8:20" x14ac:dyDescent="0.3">
      <c r="H37" t="str">
        <f t="shared" si="3"/>
        <v/>
      </c>
      <c r="I37" s="1"/>
      <c r="J37" s="1"/>
      <c r="K37" s="1" t="str">
        <f t="shared" si="0"/>
        <v/>
      </c>
      <c r="L37" s="1" t="str">
        <f t="shared" si="1"/>
        <v/>
      </c>
      <c r="M37" s="1" t="str">
        <f t="shared" si="2"/>
        <v/>
      </c>
      <c r="O37">
        <v>36</v>
      </c>
      <c r="P37" t="s">
        <v>73</v>
      </c>
      <c r="Q37" t="s">
        <v>34</v>
      </c>
      <c r="R37">
        <v>1214</v>
      </c>
      <c r="S37">
        <v>1261</v>
      </c>
      <c r="T37">
        <v>410</v>
      </c>
    </row>
    <row r="38" spans="8:20" x14ac:dyDescent="0.3">
      <c r="H38" t="str">
        <f t="shared" si="3"/>
        <v/>
      </c>
      <c r="I38" s="1"/>
      <c r="J38" s="1"/>
      <c r="K38" s="1" t="str">
        <f t="shared" si="0"/>
        <v/>
      </c>
      <c r="L38" s="1" t="str">
        <f t="shared" si="1"/>
        <v/>
      </c>
      <c r="M38" s="1" t="str">
        <f t="shared" si="2"/>
        <v/>
      </c>
      <c r="O38">
        <v>37</v>
      </c>
      <c r="P38" t="s">
        <v>73</v>
      </c>
      <c r="Q38" t="s">
        <v>37</v>
      </c>
      <c r="R38">
        <v>993</v>
      </c>
      <c r="S38">
        <v>1905</v>
      </c>
      <c r="T38">
        <v>0</v>
      </c>
    </row>
    <row r="39" spans="8:20" x14ac:dyDescent="0.3">
      <c r="H39" t="str">
        <f t="shared" si="3"/>
        <v/>
      </c>
      <c r="I39" s="1"/>
      <c r="J39" s="1"/>
      <c r="K39" s="1" t="str">
        <f t="shared" si="0"/>
        <v/>
      </c>
      <c r="L39" s="1" t="str">
        <f t="shared" si="1"/>
        <v/>
      </c>
      <c r="M39" s="1" t="str">
        <f t="shared" si="2"/>
        <v/>
      </c>
      <c r="O39">
        <v>38</v>
      </c>
      <c r="P39" t="s">
        <v>74</v>
      </c>
      <c r="Q39" t="s">
        <v>34</v>
      </c>
      <c r="R39">
        <v>1428</v>
      </c>
      <c r="S39">
        <v>1455</v>
      </c>
      <c r="T39">
        <v>0</v>
      </c>
    </row>
    <row r="40" spans="8:20" x14ac:dyDescent="0.3">
      <c r="H40" t="str">
        <f t="shared" si="3"/>
        <v/>
      </c>
      <c r="I40" s="1"/>
      <c r="J40" s="1"/>
      <c r="K40" s="1" t="str">
        <f t="shared" si="0"/>
        <v/>
      </c>
      <c r="L40" s="1" t="str">
        <f t="shared" si="1"/>
        <v/>
      </c>
      <c r="M40" s="1" t="str">
        <f t="shared" si="2"/>
        <v/>
      </c>
      <c r="O40">
        <v>39</v>
      </c>
      <c r="P40" t="s">
        <v>74</v>
      </c>
      <c r="Q40" t="s">
        <v>37</v>
      </c>
      <c r="R40">
        <v>1355</v>
      </c>
      <c r="S40">
        <v>1531</v>
      </c>
      <c r="T40">
        <v>0</v>
      </c>
    </row>
    <row r="41" spans="8:20" x14ac:dyDescent="0.3">
      <c r="H41" t="str">
        <f t="shared" si="3"/>
        <v/>
      </c>
      <c r="I41" s="1"/>
      <c r="J41" s="1"/>
      <c r="K41" s="1" t="str">
        <f t="shared" si="0"/>
        <v/>
      </c>
      <c r="L41" s="1" t="str">
        <f t="shared" si="1"/>
        <v/>
      </c>
      <c r="M41" s="1" t="str">
        <f t="shared" si="2"/>
        <v/>
      </c>
      <c r="O41">
        <v>40</v>
      </c>
      <c r="P41" t="s">
        <v>75</v>
      </c>
      <c r="Q41" t="s">
        <v>34</v>
      </c>
      <c r="R41">
        <v>1433</v>
      </c>
      <c r="S41">
        <v>1456</v>
      </c>
      <c r="T41">
        <v>0</v>
      </c>
    </row>
    <row r="42" spans="8:20" x14ac:dyDescent="0.3">
      <c r="H42" t="str">
        <f t="shared" si="3"/>
        <v/>
      </c>
      <c r="I42" s="1"/>
      <c r="J42" s="1"/>
      <c r="K42" s="1" t="str">
        <f t="shared" si="0"/>
        <v/>
      </c>
      <c r="L42" s="1" t="str">
        <f t="shared" si="1"/>
        <v/>
      </c>
      <c r="M42" s="1" t="str">
        <f t="shared" si="2"/>
        <v/>
      </c>
      <c r="O42">
        <v>41</v>
      </c>
      <c r="P42" t="s">
        <v>75</v>
      </c>
      <c r="Q42" t="s">
        <v>37</v>
      </c>
      <c r="R42">
        <v>1256</v>
      </c>
      <c r="S42">
        <v>1632</v>
      </c>
      <c r="T42">
        <v>0</v>
      </c>
    </row>
    <row r="43" spans="8:20" x14ac:dyDescent="0.3">
      <c r="H43" t="str">
        <f t="shared" si="3"/>
        <v/>
      </c>
      <c r="I43" s="1"/>
      <c r="J43" s="1"/>
      <c r="K43" s="1" t="str">
        <f t="shared" si="0"/>
        <v/>
      </c>
      <c r="L43" s="1" t="str">
        <f t="shared" si="1"/>
        <v/>
      </c>
      <c r="M43" s="1" t="str">
        <f t="shared" si="2"/>
        <v/>
      </c>
      <c r="O43">
        <v>42</v>
      </c>
      <c r="P43" t="s">
        <v>76</v>
      </c>
      <c r="Q43" t="s">
        <v>34</v>
      </c>
      <c r="R43">
        <v>1464</v>
      </c>
      <c r="S43">
        <v>1423</v>
      </c>
      <c r="T43">
        <v>0</v>
      </c>
    </row>
    <row r="44" spans="8:20" x14ac:dyDescent="0.3">
      <c r="H44" t="str">
        <f t="shared" si="3"/>
        <v/>
      </c>
      <c r="I44" s="1"/>
      <c r="J44" s="1"/>
      <c r="K44" s="1" t="str">
        <f t="shared" si="0"/>
        <v/>
      </c>
      <c r="L44" s="1" t="str">
        <f t="shared" si="1"/>
        <v/>
      </c>
      <c r="M44" s="1" t="str">
        <f t="shared" si="2"/>
        <v/>
      </c>
      <c r="O44">
        <v>43</v>
      </c>
      <c r="P44" t="s">
        <v>76</v>
      </c>
      <c r="Q44" t="s">
        <v>37</v>
      </c>
      <c r="R44">
        <v>1097</v>
      </c>
      <c r="S44">
        <v>1790</v>
      </c>
      <c r="T44">
        <v>0</v>
      </c>
    </row>
    <row r="45" spans="8:20" x14ac:dyDescent="0.3">
      <c r="H45" t="str">
        <f t="shared" si="3"/>
        <v/>
      </c>
      <c r="I45" s="1"/>
      <c r="J45" s="1"/>
      <c r="K45" s="1" t="str">
        <f t="shared" si="0"/>
        <v/>
      </c>
      <c r="L45" s="1" t="str">
        <f t="shared" si="1"/>
        <v/>
      </c>
      <c r="M45" s="1" t="str">
        <f t="shared" si="2"/>
        <v/>
      </c>
      <c r="O45">
        <v>44</v>
      </c>
      <c r="P45" t="s">
        <v>77</v>
      </c>
      <c r="Q45" t="s">
        <v>34</v>
      </c>
      <c r="R45">
        <v>1489</v>
      </c>
      <c r="S45">
        <v>1417</v>
      </c>
      <c r="T45">
        <v>0</v>
      </c>
    </row>
    <row r="46" spans="8:20" x14ac:dyDescent="0.3">
      <c r="H46" t="str">
        <f t="shared" si="3"/>
        <v/>
      </c>
      <c r="I46" s="1"/>
      <c r="J46" s="1"/>
      <c r="K46" s="1" t="str">
        <f t="shared" ref="K46:K77" si="4">IFERROR($E34/SUM($D34:$F34),"")</f>
        <v/>
      </c>
      <c r="L46" s="1" t="str">
        <f t="shared" ref="L46:L77" si="5">IFERROR($D34/SUM($D34:$F34),"")</f>
        <v/>
      </c>
      <c r="M46" s="1" t="str">
        <f t="shared" ref="M46:M77" si="6">IFERROR($F34/SUM($D34:$F34),"")</f>
        <v/>
      </c>
      <c r="O46">
        <v>45</v>
      </c>
      <c r="P46" t="s">
        <v>77</v>
      </c>
      <c r="Q46" t="s">
        <v>37</v>
      </c>
      <c r="R46">
        <v>1120</v>
      </c>
      <c r="S46">
        <v>1773</v>
      </c>
      <c r="T46">
        <v>0</v>
      </c>
    </row>
    <row r="47" spans="8:20" x14ac:dyDescent="0.3">
      <c r="H47" t="str">
        <f t="shared" ref="H47:H78" si="7">IF(B35="","",TEXT(B35,"dd/mm") &amp; "-" &amp; IF(UPPER(TRIM(C35))="CN",1,IF(UPPER(TRIM(C35))="CD",2,"")))</f>
        <v/>
      </c>
      <c r="I47" s="1"/>
      <c r="J47" s="1"/>
      <c r="K47" s="1" t="str">
        <f t="shared" si="4"/>
        <v/>
      </c>
      <c r="L47" s="1" t="str">
        <f t="shared" si="5"/>
        <v/>
      </c>
      <c r="M47" s="1" t="str">
        <f t="shared" si="6"/>
        <v/>
      </c>
      <c r="O47">
        <v>46</v>
      </c>
      <c r="P47" t="s">
        <v>78</v>
      </c>
      <c r="Q47" t="s">
        <v>34</v>
      </c>
      <c r="R47">
        <v>1541</v>
      </c>
      <c r="S47">
        <v>1352</v>
      </c>
      <c r="T47">
        <v>0</v>
      </c>
    </row>
    <row r="48" spans="8:20" x14ac:dyDescent="0.3">
      <c r="H48" t="str">
        <f t="shared" si="7"/>
        <v/>
      </c>
      <c r="I48" s="1"/>
      <c r="J48" s="1"/>
      <c r="K48" s="1" t="str">
        <f t="shared" si="4"/>
        <v/>
      </c>
      <c r="L48" s="1" t="str">
        <f t="shared" si="5"/>
        <v/>
      </c>
      <c r="M48" s="1" t="str">
        <f t="shared" si="6"/>
        <v/>
      </c>
      <c r="O48">
        <v>47</v>
      </c>
      <c r="P48" t="s">
        <v>78</v>
      </c>
      <c r="Q48" t="s">
        <v>37</v>
      </c>
      <c r="R48">
        <v>1214</v>
      </c>
      <c r="S48">
        <v>1699</v>
      </c>
      <c r="T48">
        <v>0</v>
      </c>
    </row>
    <row r="49" spans="8:20" x14ac:dyDescent="0.3">
      <c r="H49" t="str">
        <f t="shared" si="7"/>
        <v/>
      </c>
      <c r="I49" s="1"/>
      <c r="J49" s="1"/>
      <c r="K49" s="1" t="str">
        <f t="shared" si="4"/>
        <v/>
      </c>
      <c r="L49" s="1" t="str">
        <f t="shared" si="5"/>
        <v/>
      </c>
      <c r="M49" s="1" t="str">
        <f t="shared" si="6"/>
        <v/>
      </c>
      <c r="O49">
        <v>48</v>
      </c>
      <c r="P49" t="s">
        <v>79</v>
      </c>
      <c r="Q49" t="s">
        <v>34</v>
      </c>
      <c r="R49">
        <v>1672</v>
      </c>
      <c r="S49">
        <v>1214</v>
      </c>
      <c r="T49">
        <v>2</v>
      </c>
    </row>
    <row r="50" spans="8:20" x14ac:dyDescent="0.3">
      <c r="H50" t="str">
        <f t="shared" si="7"/>
        <v/>
      </c>
      <c r="I50" s="1"/>
      <c r="J50" s="1"/>
      <c r="K50" s="1" t="str">
        <f t="shared" si="4"/>
        <v/>
      </c>
      <c r="L50" s="1" t="str">
        <f t="shared" si="5"/>
        <v/>
      </c>
      <c r="M50" s="1" t="str">
        <f t="shared" si="6"/>
        <v/>
      </c>
      <c r="O50">
        <v>49</v>
      </c>
      <c r="P50" t="s">
        <v>79</v>
      </c>
      <c r="Q50" t="s">
        <v>37</v>
      </c>
      <c r="R50">
        <v>1962</v>
      </c>
      <c r="S50">
        <v>922</v>
      </c>
      <c r="T50">
        <v>0</v>
      </c>
    </row>
    <row r="51" spans="8:20" x14ac:dyDescent="0.3">
      <c r="H51" t="str">
        <f t="shared" si="7"/>
        <v/>
      </c>
      <c r="I51" s="1"/>
      <c r="J51" s="1"/>
      <c r="K51" s="1" t="str">
        <f t="shared" si="4"/>
        <v/>
      </c>
      <c r="L51" s="1" t="str">
        <f t="shared" si="5"/>
        <v/>
      </c>
      <c r="M51" s="1" t="str">
        <f t="shared" si="6"/>
        <v/>
      </c>
      <c r="O51">
        <v>50</v>
      </c>
      <c r="P51" t="s">
        <v>80</v>
      </c>
      <c r="Q51" t="s">
        <v>34</v>
      </c>
      <c r="R51">
        <v>1499</v>
      </c>
      <c r="S51">
        <v>1401</v>
      </c>
      <c r="T51">
        <v>0</v>
      </c>
    </row>
    <row r="52" spans="8:20" x14ac:dyDescent="0.3">
      <c r="H52" t="str">
        <f t="shared" si="7"/>
        <v/>
      </c>
      <c r="I52" s="1"/>
      <c r="J52" s="1"/>
      <c r="K52" s="1" t="str">
        <f t="shared" si="4"/>
        <v/>
      </c>
      <c r="L52" s="1" t="str">
        <f t="shared" si="5"/>
        <v/>
      </c>
      <c r="M52" s="1" t="str">
        <f t="shared" si="6"/>
        <v/>
      </c>
      <c r="O52">
        <v>51</v>
      </c>
      <c r="P52" t="s">
        <v>80</v>
      </c>
      <c r="Q52" t="s">
        <v>37</v>
      </c>
      <c r="R52">
        <v>799</v>
      </c>
      <c r="S52">
        <v>2091</v>
      </c>
      <c r="T52">
        <v>0</v>
      </c>
    </row>
    <row r="53" spans="8:20" x14ac:dyDescent="0.3">
      <c r="H53" t="str">
        <f t="shared" si="7"/>
        <v/>
      </c>
      <c r="I53" s="1"/>
      <c r="J53" s="1"/>
      <c r="K53" s="1" t="str">
        <f t="shared" si="4"/>
        <v/>
      </c>
      <c r="L53" s="1" t="str">
        <f t="shared" si="5"/>
        <v/>
      </c>
      <c r="M53" s="1" t="str">
        <f t="shared" si="6"/>
        <v/>
      </c>
      <c r="O53">
        <v>52</v>
      </c>
      <c r="P53" t="s">
        <v>81</v>
      </c>
      <c r="Q53" t="s">
        <v>34</v>
      </c>
      <c r="R53">
        <v>1484</v>
      </c>
      <c r="S53">
        <v>1407</v>
      </c>
      <c r="T53">
        <v>0</v>
      </c>
    </row>
    <row r="54" spans="8:20" x14ac:dyDescent="0.3">
      <c r="H54" t="str">
        <f t="shared" si="7"/>
        <v/>
      </c>
      <c r="I54" s="1"/>
      <c r="J54" s="1"/>
      <c r="K54" s="1" t="str">
        <f t="shared" si="4"/>
        <v/>
      </c>
      <c r="L54" s="1" t="str">
        <f t="shared" si="5"/>
        <v/>
      </c>
      <c r="M54" s="1" t="str">
        <f t="shared" si="6"/>
        <v/>
      </c>
      <c r="O54">
        <v>53</v>
      </c>
      <c r="P54" t="s">
        <v>81</v>
      </c>
      <c r="Q54" t="s">
        <v>37</v>
      </c>
      <c r="R54">
        <v>1346</v>
      </c>
      <c r="S54">
        <v>1571</v>
      </c>
      <c r="T54">
        <v>0</v>
      </c>
    </row>
    <row r="55" spans="8:20" x14ac:dyDescent="0.3">
      <c r="H55" t="str">
        <f t="shared" si="7"/>
        <v/>
      </c>
      <c r="I55" s="1"/>
      <c r="J55" s="1"/>
      <c r="K55" s="1" t="str">
        <f t="shared" si="4"/>
        <v/>
      </c>
      <c r="L55" s="1" t="str">
        <f t="shared" si="5"/>
        <v/>
      </c>
      <c r="M55" s="1" t="str">
        <f t="shared" si="6"/>
        <v/>
      </c>
      <c r="O55">
        <v>54</v>
      </c>
      <c r="P55" t="s">
        <v>82</v>
      </c>
      <c r="Q55" t="s">
        <v>34</v>
      </c>
      <c r="R55">
        <v>1485</v>
      </c>
      <c r="S55">
        <v>1429</v>
      </c>
      <c r="T55">
        <v>0</v>
      </c>
    </row>
    <row r="56" spans="8:20" x14ac:dyDescent="0.3">
      <c r="H56" t="str">
        <f t="shared" si="7"/>
        <v/>
      </c>
      <c r="I56" s="1"/>
      <c r="J56" s="1"/>
      <c r="K56" s="1" t="str">
        <f t="shared" si="4"/>
        <v/>
      </c>
      <c r="L56" s="1" t="str">
        <f t="shared" si="5"/>
        <v/>
      </c>
      <c r="M56" s="1" t="str">
        <f t="shared" si="6"/>
        <v/>
      </c>
      <c r="O56">
        <v>55</v>
      </c>
      <c r="P56" t="s">
        <v>82</v>
      </c>
      <c r="Q56" t="s">
        <v>37</v>
      </c>
      <c r="R56">
        <v>1287</v>
      </c>
      <c r="S56">
        <v>1618</v>
      </c>
      <c r="T56">
        <v>0</v>
      </c>
    </row>
    <row r="57" spans="8:20" x14ac:dyDescent="0.3">
      <c r="H57" t="str">
        <f t="shared" si="7"/>
        <v/>
      </c>
      <c r="I57" s="1"/>
      <c r="J57" s="1"/>
      <c r="K57" s="1" t="str">
        <f t="shared" si="4"/>
        <v/>
      </c>
      <c r="L57" s="1" t="str">
        <f t="shared" si="5"/>
        <v/>
      </c>
      <c r="M57" s="1" t="str">
        <f t="shared" si="6"/>
        <v/>
      </c>
      <c r="O57">
        <v>56</v>
      </c>
      <c r="P57" t="s">
        <v>83</v>
      </c>
      <c r="Q57" t="s">
        <v>34</v>
      </c>
      <c r="R57">
        <v>1428</v>
      </c>
      <c r="S57">
        <v>1465</v>
      </c>
      <c r="T57">
        <v>0</v>
      </c>
    </row>
    <row r="58" spans="8:20" x14ac:dyDescent="0.3">
      <c r="H58" t="str">
        <f t="shared" si="7"/>
        <v/>
      </c>
      <c r="I58" s="1"/>
      <c r="J58" s="1"/>
      <c r="K58" s="1" t="str">
        <f t="shared" si="4"/>
        <v/>
      </c>
      <c r="L58" s="1" t="str">
        <f t="shared" si="5"/>
        <v/>
      </c>
      <c r="M58" s="1" t="str">
        <f t="shared" si="6"/>
        <v/>
      </c>
      <c r="O58">
        <v>57</v>
      </c>
      <c r="P58" t="s">
        <v>83</v>
      </c>
      <c r="Q58" t="s">
        <v>37</v>
      </c>
      <c r="R58">
        <v>1103</v>
      </c>
      <c r="S58">
        <v>1805</v>
      </c>
      <c r="T58">
        <v>0</v>
      </c>
    </row>
    <row r="59" spans="8:20" x14ac:dyDescent="0.3">
      <c r="H59" t="str">
        <f t="shared" si="7"/>
        <v/>
      </c>
      <c r="I59" s="1"/>
      <c r="J59" s="1"/>
      <c r="K59" s="1" t="str">
        <f t="shared" si="4"/>
        <v/>
      </c>
      <c r="L59" s="1" t="str">
        <f t="shared" si="5"/>
        <v/>
      </c>
      <c r="M59" s="1" t="str">
        <f t="shared" si="6"/>
        <v/>
      </c>
      <c r="O59">
        <v>58</v>
      </c>
      <c r="P59" t="s">
        <v>84</v>
      </c>
      <c r="Q59" t="s">
        <v>34</v>
      </c>
      <c r="R59">
        <v>1302</v>
      </c>
      <c r="S59">
        <v>1590</v>
      </c>
      <c r="T59">
        <v>0</v>
      </c>
    </row>
    <row r="60" spans="8:20" x14ac:dyDescent="0.3">
      <c r="H60" t="str">
        <f t="shared" si="7"/>
        <v/>
      </c>
      <c r="I60" s="1"/>
      <c r="J60" s="1"/>
      <c r="K60" s="1" t="str">
        <f t="shared" si="4"/>
        <v/>
      </c>
      <c r="L60" s="1" t="str">
        <f t="shared" si="5"/>
        <v/>
      </c>
      <c r="M60" s="1" t="str">
        <f t="shared" si="6"/>
        <v/>
      </c>
      <c r="O60">
        <v>59</v>
      </c>
      <c r="P60" t="s">
        <v>84</v>
      </c>
      <c r="Q60" t="s">
        <v>37</v>
      </c>
      <c r="R60">
        <v>1044</v>
      </c>
      <c r="S60">
        <v>1874</v>
      </c>
      <c r="T60">
        <v>0</v>
      </c>
    </row>
    <row r="61" spans="8:20" x14ac:dyDescent="0.3">
      <c r="H61" t="str">
        <f t="shared" si="7"/>
        <v/>
      </c>
      <c r="I61" s="1"/>
      <c r="J61" s="1"/>
      <c r="K61" s="1" t="str">
        <f t="shared" si="4"/>
        <v/>
      </c>
      <c r="L61" s="1" t="str">
        <f t="shared" si="5"/>
        <v/>
      </c>
      <c r="M61" s="1" t="str">
        <f t="shared" si="6"/>
        <v/>
      </c>
      <c r="O61">
        <v>60</v>
      </c>
      <c r="P61" t="s">
        <v>85</v>
      </c>
      <c r="Q61" t="s">
        <v>34</v>
      </c>
      <c r="R61">
        <v>1383</v>
      </c>
      <c r="S61">
        <v>1506</v>
      </c>
      <c r="T61">
        <v>0</v>
      </c>
    </row>
    <row r="62" spans="8:20" x14ac:dyDescent="0.3">
      <c r="H62" t="str">
        <f t="shared" si="7"/>
        <v/>
      </c>
      <c r="I62" s="1"/>
      <c r="J62" s="1"/>
      <c r="K62" s="1" t="str">
        <f t="shared" si="4"/>
        <v/>
      </c>
      <c r="L62" s="1" t="str">
        <f t="shared" si="5"/>
        <v/>
      </c>
      <c r="M62" s="1" t="str">
        <f t="shared" si="6"/>
        <v/>
      </c>
      <c r="O62">
        <v>61</v>
      </c>
      <c r="P62" t="s">
        <v>85</v>
      </c>
      <c r="Q62" t="s">
        <v>37</v>
      </c>
      <c r="R62">
        <v>435</v>
      </c>
      <c r="S62">
        <v>1795</v>
      </c>
      <c r="T62">
        <v>662</v>
      </c>
    </row>
    <row r="63" spans="8:20" x14ac:dyDescent="0.3">
      <c r="H63" t="str">
        <f t="shared" si="7"/>
        <v/>
      </c>
      <c r="I63" s="1"/>
      <c r="J63" s="1"/>
      <c r="K63" s="1" t="str">
        <f t="shared" si="4"/>
        <v/>
      </c>
      <c r="L63" s="1" t="str">
        <f t="shared" si="5"/>
        <v/>
      </c>
      <c r="M63" s="1" t="str">
        <f t="shared" si="6"/>
        <v/>
      </c>
      <c r="O63">
        <v>62</v>
      </c>
      <c r="P63" t="s">
        <v>86</v>
      </c>
      <c r="Q63" t="s">
        <v>34</v>
      </c>
      <c r="R63">
        <v>609</v>
      </c>
      <c r="S63">
        <v>110</v>
      </c>
      <c r="T63">
        <v>2160</v>
      </c>
    </row>
    <row r="64" spans="8:20" x14ac:dyDescent="0.3">
      <c r="H64" t="str">
        <f t="shared" si="7"/>
        <v/>
      </c>
      <c r="I64" s="1"/>
      <c r="J64" s="1"/>
      <c r="K64" s="1" t="str">
        <f t="shared" si="4"/>
        <v/>
      </c>
      <c r="L64" s="1" t="str">
        <f t="shared" si="5"/>
        <v/>
      </c>
      <c r="M64" s="1" t="str">
        <f t="shared" si="6"/>
        <v/>
      </c>
      <c r="O64">
        <v>63</v>
      </c>
      <c r="P64" t="s">
        <v>86</v>
      </c>
      <c r="Q64" t="s">
        <v>37</v>
      </c>
      <c r="R64">
        <v>720</v>
      </c>
      <c r="S64">
        <v>0</v>
      </c>
      <c r="T64">
        <v>2160</v>
      </c>
    </row>
    <row r="65" spans="8:20" x14ac:dyDescent="0.3">
      <c r="H65" t="str">
        <f t="shared" si="7"/>
        <v/>
      </c>
      <c r="I65" s="1"/>
      <c r="J65" s="1"/>
      <c r="K65" s="1" t="str">
        <f t="shared" si="4"/>
        <v/>
      </c>
      <c r="L65" s="1" t="str">
        <f t="shared" si="5"/>
        <v/>
      </c>
      <c r="M65" s="1" t="str">
        <f t="shared" si="6"/>
        <v/>
      </c>
      <c r="O65">
        <v>64</v>
      </c>
      <c r="P65" t="s">
        <v>87</v>
      </c>
      <c r="Q65" t="s">
        <v>34</v>
      </c>
      <c r="R65">
        <v>675</v>
      </c>
      <c r="S65">
        <v>1603</v>
      </c>
      <c r="T65">
        <v>609</v>
      </c>
    </row>
    <row r="66" spans="8:20" x14ac:dyDescent="0.3">
      <c r="H66" t="str">
        <f t="shared" si="7"/>
        <v/>
      </c>
      <c r="I66" s="1"/>
      <c r="J66" s="1"/>
      <c r="K66" s="1" t="str">
        <f t="shared" si="4"/>
        <v/>
      </c>
      <c r="L66" s="1" t="str">
        <f t="shared" si="5"/>
        <v/>
      </c>
      <c r="M66" s="1" t="str">
        <f t="shared" si="6"/>
        <v/>
      </c>
      <c r="O66">
        <v>65</v>
      </c>
      <c r="P66" t="s">
        <v>87</v>
      </c>
      <c r="Q66" t="s">
        <v>37</v>
      </c>
      <c r="R66">
        <v>1047</v>
      </c>
      <c r="S66">
        <v>1857</v>
      </c>
      <c r="T66">
        <v>0</v>
      </c>
    </row>
    <row r="67" spans="8:20" x14ac:dyDescent="0.3">
      <c r="H67" t="str">
        <f t="shared" si="7"/>
        <v/>
      </c>
      <c r="I67" s="1"/>
      <c r="J67" s="1"/>
      <c r="K67" s="1" t="str">
        <f t="shared" si="4"/>
        <v/>
      </c>
      <c r="L67" s="1" t="str">
        <f t="shared" si="5"/>
        <v/>
      </c>
      <c r="M67" s="1" t="str">
        <f t="shared" si="6"/>
        <v/>
      </c>
      <c r="O67">
        <v>66</v>
      </c>
      <c r="P67" t="s">
        <v>88</v>
      </c>
      <c r="Q67" t="s">
        <v>34</v>
      </c>
      <c r="R67">
        <v>1522</v>
      </c>
      <c r="S67">
        <v>1390</v>
      </c>
      <c r="T67">
        <v>0</v>
      </c>
    </row>
    <row r="68" spans="8:20" x14ac:dyDescent="0.3">
      <c r="H68" t="str">
        <f t="shared" si="7"/>
        <v/>
      </c>
      <c r="I68" s="1"/>
      <c r="J68" s="1"/>
      <c r="K68" s="1" t="str">
        <f t="shared" si="4"/>
        <v/>
      </c>
      <c r="L68" s="1" t="str">
        <f t="shared" si="5"/>
        <v/>
      </c>
      <c r="M68" s="1" t="str">
        <f t="shared" si="6"/>
        <v/>
      </c>
      <c r="O68">
        <v>67</v>
      </c>
      <c r="P68" t="s">
        <v>88</v>
      </c>
      <c r="Q68" t="s">
        <v>37</v>
      </c>
      <c r="R68">
        <v>1544</v>
      </c>
      <c r="S68">
        <v>1355</v>
      </c>
      <c r="T68">
        <v>0</v>
      </c>
    </row>
    <row r="69" spans="8:20" x14ac:dyDescent="0.3">
      <c r="H69" t="str">
        <f t="shared" si="7"/>
        <v/>
      </c>
      <c r="I69" s="1"/>
      <c r="J69" s="1"/>
      <c r="K69" s="1" t="str">
        <f t="shared" si="4"/>
        <v/>
      </c>
      <c r="L69" s="1" t="str">
        <f t="shared" si="5"/>
        <v/>
      </c>
      <c r="M69" s="1" t="str">
        <f t="shared" si="6"/>
        <v/>
      </c>
      <c r="O69">
        <v>68</v>
      </c>
      <c r="P69" t="s">
        <v>89</v>
      </c>
      <c r="Q69" t="s">
        <v>34</v>
      </c>
      <c r="R69">
        <v>1385</v>
      </c>
      <c r="S69">
        <v>1503</v>
      </c>
      <c r="T69">
        <v>0</v>
      </c>
    </row>
    <row r="70" spans="8:20" x14ac:dyDescent="0.3">
      <c r="H70" t="str">
        <f t="shared" si="7"/>
        <v/>
      </c>
      <c r="I70" s="1"/>
      <c r="J70" s="1"/>
      <c r="K70" s="1" t="str">
        <f t="shared" si="4"/>
        <v/>
      </c>
      <c r="L70" s="1" t="str">
        <f t="shared" si="5"/>
        <v/>
      </c>
      <c r="M70" s="1" t="str">
        <f t="shared" si="6"/>
        <v/>
      </c>
      <c r="O70">
        <v>69</v>
      </c>
      <c r="P70" t="s">
        <v>89</v>
      </c>
      <c r="Q70" t="s">
        <v>37</v>
      </c>
      <c r="R70">
        <v>1125</v>
      </c>
      <c r="S70">
        <v>1758</v>
      </c>
      <c r="T70">
        <v>0</v>
      </c>
    </row>
    <row r="71" spans="8:20" x14ac:dyDescent="0.3">
      <c r="H71" t="str">
        <f t="shared" si="7"/>
        <v/>
      </c>
      <c r="I71" s="1"/>
      <c r="J71" s="1"/>
      <c r="K71" s="1" t="str">
        <f t="shared" si="4"/>
        <v/>
      </c>
      <c r="L71" s="1" t="str">
        <f t="shared" si="5"/>
        <v/>
      </c>
      <c r="M71" s="1" t="str">
        <f t="shared" si="6"/>
        <v/>
      </c>
      <c r="O71">
        <v>70</v>
      </c>
      <c r="P71" t="s">
        <v>90</v>
      </c>
      <c r="Q71" t="s">
        <v>34</v>
      </c>
      <c r="R71">
        <v>1370</v>
      </c>
      <c r="S71">
        <v>1522</v>
      </c>
      <c r="T71">
        <v>0</v>
      </c>
    </row>
    <row r="72" spans="8:20" x14ac:dyDescent="0.3">
      <c r="H72" t="str">
        <f t="shared" si="7"/>
        <v/>
      </c>
      <c r="I72" s="1"/>
      <c r="J72" s="1"/>
      <c r="K72" s="1" t="str">
        <f t="shared" si="4"/>
        <v/>
      </c>
      <c r="L72" s="1" t="str">
        <f t="shared" si="5"/>
        <v/>
      </c>
      <c r="M72" s="1" t="str">
        <f t="shared" si="6"/>
        <v/>
      </c>
      <c r="O72">
        <v>71</v>
      </c>
      <c r="P72" t="s">
        <v>90</v>
      </c>
      <c r="Q72" t="s">
        <v>37</v>
      </c>
      <c r="R72">
        <v>1237</v>
      </c>
      <c r="S72">
        <v>1659</v>
      </c>
      <c r="T72">
        <v>0</v>
      </c>
    </row>
    <row r="73" spans="8:20" x14ac:dyDescent="0.3">
      <c r="H73" t="str">
        <f t="shared" si="7"/>
        <v/>
      </c>
      <c r="I73" s="1"/>
      <c r="J73" s="1"/>
      <c r="K73" s="1" t="str">
        <f t="shared" si="4"/>
        <v/>
      </c>
      <c r="L73" s="1" t="str">
        <f t="shared" si="5"/>
        <v/>
      </c>
      <c r="M73" s="1" t="str">
        <f t="shared" si="6"/>
        <v/>
      </c>
      <c r="O73">
        <v>72</v>
      </c>
      <c r="P73" t="s">
        <v>91</v>
      </c>
      <c r="Q73" t="s">
        <v>34</v>
      </c>
      <c r="R73">
        <v>1387</v>
      </c>
      <c r="S73">
        <v>1505</v>
      </c>
      <c r="T73">
        <v>0</v>
      </c>
    </row>
    <row r="74" spans="8:20" x14ac:dyDescent="0.3">
      <c r="H74" t="str">
        <f t="shared" si="7"/>
        <v/>
      </c>
      <c r="I74" s="1"/>
      <c r="J74" s="1"/>
      <c r="K74" s="1" t="str">
        <f t="shared" si="4"/>
        <v/>
      </c>
      <c r="L74" s="1" t="str">
        <f t="shared" si="5"/>
        <v/>
      </c>
      <c r="M74" s="1" t="str">
        <f t="shared" si="6"/>
        <v/>
      </c>
      <c r="O74">
        <v>73</v>
      </c>
      <c r="P74" t="s">
        <v>91</v>
      </c>
      <c r="Q74" t="s">
        <v>37</v>
      </c>
      <c r="R74">
        <v>949</v>
      </c>
      <c r="S74">
        <v>1946</v>
      </c>
      <c r="T74">
        <v>0</v>
      </c>
    </row>
    <row r="75" spans="8:20" x14ac:dyDescent="0.3">
      <c r="H75" t="str">
        <f t="shared" si="7"/>
        <v/>
      </c>
      <c r="I75" s="1"/>
      <c r="J75" s="1"/>
      <c r="K75" s="1" t="str">
        <f t="shared" si="4"/>
        <v/>
      </c>
      <c r="L75" s="1" t="str">
        <f t="shared" si="5"/>
        <v/>
      </c>
      <c r="M75" s="1" t="str">
        <f t="shared" si="6"/>
        <v/>
      </c>
      <c r="O75">
        <v>74</v>
      </c>
      <c r="P75" t="s">
        <v>92</v>
      </c>
      <c r="Q75" t="s">
        <v>34</v>
      </c>
      <c r="R75">
        <v>1482</v>
      </c>
      <c r="S75">
        <v>1434</v>
      </c>
      <c r="T75">
        <v>0</v>
      </c>
    </row>
    <row r="76" spans="8:20" x14ac:dyDescent="0.3">
      <c r="I76" s="1"/>
      <c r="J76" s="1"/>
      <c r="K76" s="1"/>
      <c r="L76" s="1"/>
      <c r="M76" s="1"/>
      <c r="O76">
        <v>75</v>
      </c>
      <c r="P76" t="s">
        <v>92</v>
      </c>
      <c r="Q76" t="s">
        <v>37</v>
      </c>
      <c r="R76">
        <v>1303</v>
      </c>
      <c r="S76">
        <v>1581</v>
      </c>
      <c r="T76">
        <v>0</v>
      </c>
    </row>
    <row r="77" spans="8:20" x14ac:dyDescent="0.3">
      <c r="I77" s="1"/>
      <c r="J77" s="1"/>
      <c r="K77" s="1"/>
      <c r="L77" s="1"/>
      <c r="M77" s="1"/>
      <c r="O77">
        <v>76</v>
      </c>
      <c r="P77" t="s">
        <v>93</v>
      </c>
      <c r="Q77" t="s">
        <v>34</v>
      </c>
      <c r="R77">
        <v>1435</v>
      </c>
      <c r="S77">
        <v>1447</v>
      </c>
      <c r="T77">
        <v>12</v>
      </c>
    </row>
    <row r="78" spans="8:20" x14ac:dyDescent="0.3">
      <c r="I78" s="1"/>
      <c r="J78" s="1"/>
      <c r="K78" s="1"/>
      <c r="L78" s="1"/>
      <c r="M78" s="1"/>
      <c r="O78">
        <v>77</v>
      </c>
      <c r="P78" t="s">
        <v>93</v>
      </c>
      <c r="Q78" t="s">
        <v>37</v>
      </c>
      <c r="R78">
        <v>7</v>
      </c>
      <c r="S78">
        <v>117</v>
      </c>
      <c r="T78">
        <v>2755</v>
      </c>
    </row>
    <row r="79" spans="8:20" x14ac:dyDescent="0.3">
      <c r="I79" s="1"/>
      <c r="J79" s="1"/>
      <c r="K79" s="1"/>
      <c r="L79" s="1"/>
      <c r="M79" s="1"/>
      <c r="O79">
        <v>78</v>
      </c>
      <c r="P79" t="s">
        <v>94</v>
      </c>
      <c r="Q79" t="s">
        <v>34</v>
      </c>
      <c r="R79">
        <v>768</v>
      </c>
      <c r="S79">
        <v>1293</v>
      </c>
      <c r="T79">
        <v>827</v>
      </c>
    </row>
    <row r="80" spans="8:20" x14ac:dyDescent="0.3">
      <c r="I80" s="1"/>
      <c r="J80" s="1"/>
      <c r="K80" s="1"/>
      <c r="L80" s="1"/>
      <c r="M80" s="1"/>
      <c r="O80">
        <v>79</v>
      </c>
      <c r="P80" t="s">
        <v>94</v>
      </c>
      <c r="Q80" t="s">
        <v>37</v>
      </c>
      <c r="R80">
        <v>907</v>
      </c>
      <c r="S80">
        <v>2013</v>
      </c>
      <c r="T80">
        <v>0</v>
      </c>
    </row>
    <row r="81" spans="9:20" x14ac:dyDescent="0.3">
      <c r="I81" s="1"/>
      <c r="J81" s="1"/>
      <c r="K81" s="1"/>
      <c r="L81" s="1"/>
      <c r="M81" s="1"/>
      <c r="O81">
        <v>80</v>
      </c>
      <c r="P81" t="s">
        <v>95</v>
      </c>
      <c r="Q81" t="s">
        <v>34</v>
      </c>
      <c r="R81">
        <v>1516</v>
      </c>
      <c r="S81">
        <v>1412</v>
      </c>
      <c r="T81">
        <v>0</v>
      </c>
    </row>
    <row r="82" spans="9:20" x14ac:dyDescent="0.3">
      <c r="I82" s="1"/>
      <c r="J82" s="1"/>
      <c r="K82" s="1"/>
      <c r="L82" s="1"/>
      <c r="M82" s="1"/>
      <c r="O82">
        <v>81</v>
      </c>
      <c r="P82" t="s">
        <v>95</v>
      </c>
      <c r="Q82" t="s">
        <v>37</v>
      </c>
      <c r="R82">
        <v>1094</v>
      </c>
      <c r="S82">
        <v>1827</v>
      </c>
      <c r="T82">
        <v>0</v>
      </c>
    </row>
    <row r="83" spans="9:20" x14ac:dyDescent="0.3">
      <c r="I83" s="1"/>
      <c r="J83" s="1"/>
      <c r="K83" s="1"/>
      <c r="L83" s="1"/>
      <c r="M83" s="1"/>
      <c r="O83">
        <v>82</v>
      </c>
      <c r="P83" t="s">
        <v>96</v>
      </c>
      <c r="Q83" t="s">
        <v>34</v>
      </c>
      <c r="R83">
        <v>1854</v>
      </c>
      <c r="S83">
        <v>1049</v>
      </c>
      <c r="T83">
        <v>0</v>
      </c>
    </row>
    <row r="84" spans="9:20" x14ac:dyDescent="0.3">
      <c r="I84" s="1"/>
      <c r="J84" s="1"/>
      <c r="K84" s="1"/>
      <c r="L84" s="1"/>
      <c r="M84" s="1"/>
      <c r="O84">
        <v>83</v>
      </c>
      <c r="P84" t="s">
        <v>96</v>
      </c>
      <c r="Q84" t="s">
        <v>37</v>
      </c>
      <c r="R84">
        <v>870</v>
      </c>
      <c r="S84">
        <v>2029</v>
      </c>
      <c r="T84">
        <v>0</v>
      </c>
    </row>
    <row r="85" spans="9:20" x14ac:dyDescent="0.3">
      <c r="I85" s="1"/>
      <c r="J85" s="1"/>
      <c r="K85" s="1"/>
      <c r="L85" s="1"/>
      <c r="M85" s="1"/>
      <c r="O85">
        <v>84</v>
      </c>
      <c r="P85" t="s">
        <v>97</v>
      </c>
      <c r="Q85" t="s">
        <v>34</v>
      </c>
      <c r="R85">
        <v>1380</v>
      </c>
      <c r="S85">
        <v>1516</v>
      </c>
      <c r="T85">
        <v>0</v>
      </c>
    </row>
    <row r="86" spans="9:20" x14ac:dyDescent="0.3">
      <c r="I86" s="1"/>
      <c r="J86" s="1"/>
      <c r="K86" s="1"/>
      <c r="L86" s="1"/>
      <c r="M86" s="1"/>
      <c r="O86">
        <v>85</v>
      </c>
      <c r="P86" t="s">
        <v>97</v>
      </c>
      <c r="Q86" t="s">
        <v>37</v>
      </c>
      <c r="R86">
        <v>1263</v>
      </c>
      <c r="S86">
        <v>1648</v>
      </c>
      <c r="T86">
        <v>0</v>
      </c>
    </row>
    <row r="87" spans="9:20" x14ac:dyDescent="0.3">
      <c r="I87" s="1"/>
      <c r="J87" s="1"/>
      <c r="K87" s="1"/>
      <c r="L87" s="1"/>
      <c r="M87" s="1"/>
      <c r="O87">
        <v>86</v>
      </c>
      <c r="P87" t="s">
        <v>98</v>
      </c>
      <c r="Q87" t="s">
        <v>34</v>
      </c>
      <c r="R87">
        <v>1403</v>
      </c>
      <c r="S87">
        <v>1490</v>
      </c>
      <c r="T87">
        <v>0</v>
      </c>
    </row>
    <row r="88" spans="9:20" x14ac:dyDescent="0.3">
      <c r="I88" s="1"/>
      <c r="J88" s="1"/>
      <c r="K88" s="1"/>
      <c r="L88" s="1"/>
      <c r="M88" s="1"/>
      <c r="O88">
        <v>87</v>
      </c>
      <c r="P88" t="s">
        <v>98</v>
      </c>
      <c r="Q88" t="s">
        <v>37</v>
      </c>
      <c r="R88">
        <v>512</v>
      </c>
      <c r="S88">
        <v>1230</v>
      </c>
      <c r="T88">
        <v>1152</v>
      </c>
    </row>
    <row r="89" spans="9:20" x14ac:dyDescent="0.3">
      <c r="I89" s="1"/>
      <c r="J89" s="1"/>
      <c r="K89" s="1"/>
      <c r="L89" s="1"/>
      <c r="M89" s="1"/>
      <c r="O89">
        <v>88</v>
      </c>
      <c r="P89" t="s">
        <v>99</v>
      </c>
      <c r="Q89" t="s">
        <v>34</v>
      </c>
      <c r="R89">
        <v>0</v>
      </c>
      <c r="S89">
        <v>0</v>
      </c>
      <c r="T89">
        <v>2880</v>
      </c>
    </row>
    <row r="90" spans="9:20" x14ac:dyDescent="0.3">
      <c r="I90" s="1"/>
      <c r="J90" s="1"/>
      <c r="K90" s="1"/>
      <c r="L90" s="1"/>
      <c r="M90" s="1"/>
      <c r="O90">
        <v>89</v>
      </c>
      <c r="P90" t="s">
        <v>99</v>
      </c>
      <c r="Q90" t="s">
        <v>37</v>
      </c>
      <c r="R90">
        <v>0</v>
      </c>
      <c r="S90">
        <v>0</v>
      </c>
      <c r="T90">
        <v>2880</v>
      </c>
    </row>
    <row r="91" spans="9:20" x14ac:dyDescent="0.3">
      <c r="I91" s="1"/>
      <c r="J91" s="1"/>
      <c r="K91" s="1"/>
      <c r="L91" s="1"/>
      <c r="M91" s="1"/>
      <c r="O91">
        <v>90</v>
      </c>
      <c r="P91" t="s">
        <v>100</v>
      </c>
      <c r="Q91" t="s">
        <v>34</v>
      </c>
      <c r="R91">
        <v>0</v>
      </c>
      <c r="S91">
        <v>0</v>
      </c>
      <c r="T91">
        <v>2880</v>
      </c>
    </row>
    <row r="92" spans="9:20" x14ac:dyDescent="0.3">
      <c r="I92" s="1"/>
      <c r="J92" s="1"/>
      <c r="K92" s="1"/>
      <c r="L92" s="1"/>
      <c r="M92" s="1"/>
      <c r="O92">
        <v>91</v>
      </c>
      <c r="P92" t="s">
        <v>100</v>
      </c>
      <c r="Q92" t="s">
        <v>37</v>
      </c>
      <c r="R92">
        <v>0</v>
      </c>
      <c r="S92">
        <v>0</v>
      </c>
      <c r="T92">
        <v>2880</v>
      </c>
    </row>
    <row r="93" spans="9:20" x14ac:dyDescent="0.3">
      <c r="I93" s="1"/>
      <c r="J93" s="1"/>
      <c r="K93" s="1"/>
      <c r="L93" s="1"/>
      <c r="M93" s="1"/>
      <c r="O93">
        <v>92</v>
      </c>
      <c r="P93" t="s">
        <v>101</v>
      </c>
      <c r="Q93" t="s">
        <v>34</v>
      </c>
      <c r="R93">
        <v>0</v>
      </c>
      <c r="S93">
        <v>0</v>
      </c>
      <c r="T93">
        <v>2880</v>
      </c>
    </row>
    <row r="94" spans="9:20" x14ac:dyDescent="0.3">
      <c r="I94" s="1"/>
      <c r="J94" s="1"/>
      <c r="K94" s="1"/>
      <c r="L94" s="1"/>
      <c r="M94" s="1"/>
      <c r="O94">
        <v>93</v>
      </c>
      <c r="P94" t="s">
        <v>101</v>
      </c>
      <c r="Q94" t="s">
        <v>37</v>
      </c>
      <c r="R94">
        <v>0</v>
      </c>
      <c r="S94">
        <v>0</v>
      </c>
      <c r="T94">
        <v>2880</v>
      </c>
    </row>
    <row r="95" spans="9:20" x14ac:dyDescent="0.3">
      <c r="I95" s="1"/>
      <c r="J95" s="1"/>
      <c r="K95" s="1"/>
      <c r="L95" s="1"/>
      <c r="M95" s="1"/>
      <c r="O95">
        <v>94</v>
      </c>
      <c r="P95" t="s">
        <v>102</v>
      </c>
      <c r="Q95" t="s">
        <v>34</v>
      </c>
      <c r="R95">
        <v>0</v>
      </c>
      <c r="S95">
        <v>0</v>
      </c>
      <c r="T95">
        <v>2880</v>
      </c>
    </row>
    <row r="96" spans="9:20" x14ac:dyDescent="0.3">
      <c r="I96" s="1"/>
      <c r="J96" s="1"/>
      <c r="K96" s="1"/>
      <c r="L96" s="1"/>
      <c r="M96" s="1"/>
      <c r="O96">
        <v>95</v>
      </c>
      <c r="P96" t="s">
        <v>102</v>
      </c>
      <c r="Q96" t="s">
        <v>37</v>
      </c>
      <c r="R96">
        <v>0</v>
      </c>
      <c r="S96">
        <v>0</v>
      </c>
      <c r="T96">
        <v>2880</v>
      </c>
    </row>
    <row r="97" spans="9:20" x14ac:dyDescent="0.3">
      <c r="I97" s="1"/>
      <c r="J97" s="1"/>
      <c r="K97" s="1"/>
      <c r="L97" s="1"/>
      <c r="M97" s="1"/>
      <c r="O97">
        <v>96</v>
      </c>
      <c r="P97" t="s">
        <v>103</v>
      </c>
      <c r="Q97" t="s">
        <v>34</v>
      </c>
      <c r="R97">
        <v>0</v>
      </c>
      <c r="S97">
        <v>0</v>
      </c>
      <c r="T97">
        <v>2880</v>
      </c>
    </row>
    <row r="98" spans="9:20" x14ac:dyDescent="0.3">
      <c r="I98" s="1"/>
      <c r="J98" s="1"/>
      <c r="K98" s="1"/>
      <c r="L98" s="1"/>
      <c r="M98" s="1"/>
      <c r="O98">
        <v>97</v>
      </c>
      <c r="P98" t="s">
        <v>103</v>
      </c>
      <c r="Q98" t="s">
        <v>37</v>
      </c>
      <c r="R98">
        <v>0</v>
      </c>
      <c r="S98">
        <v>0</v>
      </c>
      <c r="T98">
        <v>2880</v>
      </c>
    </row>
    <row r="99" spans="9:20" x14ac:dyDescent="0.3">
      <c r="I99" s="1"/>
      <c r="J99" s="1"/>
      <c r="K99" s="1"/>
      <c r="L99" s="1"/>
      <c r="M99" s="1"/>
      <c r="O99">
        <v>98</v>
      </c>
      <c r="P99" t="s">
        <v>104</v>
      </c>
      <c r="Q99" t="s">
        <v>34</v>
      </c>
      <c r="R99">
        <v>0</v>
      </c>
      <c r="S99">
        <v>0</v>
      </c>
      <c r="T99">
        <v>2880</v>
      </c>
    </row>
    <row r="100" spans="9:20" x14ac:dyDescent="0.3">
      <c r="I100" s="1"/>
      <c r="J100" s="1"/>
      <c r="K100" s="1"/>
      <c r="L100" s="1"/>
      <c r="M100" s="1"/>
      <c r="O100">
        <v>99</v>
      </c>
      <c r="P100" t="s">
        <v>104</v>
      </c>
      <c r="Q100" t="s">
        <v>37</v>
      </c>
      <c r="R100">
        <v>0</v>
      </c>
      <c r="S100">
        <v>0</v>
      </c>
      <c r="T100">
        <v>2880</v>
      </c>
    </row>
    <row r="101" spans="9:20" x14ac:dyDescent="0.3">
      <c r="I101" s="1"/>
      <c r="J101" s="1"/>
      <c r="K101" s="1"/>
      <c r="L101" s="1"/>
      <c r="M101" s="1"/>
      <c r="O101">
        <v>100</v>
      </c>
      <c r="P101" t="s">
        <v>105</v>
      </c>
      <c r="Q101" t="s">
        <v>34</v>
      </c>
      <c r="R101">
        <v>0</v>
      </c>
      <c r="S101">
        <v>0</v>
      </c>
      <c r="T101">
        <v>2880</v>
      </c>
    </row>
    <row r="102" spans="9:20" x14ac:dyDescent="0.3">
      <c r="O102">
        <v>101</v>
      </c>
      <c r="P102" t="s">
        <v>105</v>
      </c>
      <c r="Q102" t="s">
        <v>37</v>
      </c>
      <c r="R102">
        <v>0</v>
      </c>
      <c r="S102">
        <v>0</v>
      </c>
      <c r="T102">
        <v>2880</v>
      </c>
    </row>
    <row r="103" spans="9:20" x14ac:dyDescent="0.3">
      <c r="O103">
        <v>102</v>
      </c>
      <c r="P103" t="s">
        <v>106</v>
      </c>
      <c r="Q103" t="s">
        <v>34</v>
      </c>
      <c r="R103">
        <v>0</v>
      </c>
      <c r="S103">
        <v>0</v>
      </c>
      <c r="T103">
        <v>2880</v>
      </c>
    </row>
    <row r="104" spans="9:20" x14ac:dyDescent="0.3">
      <c r="O104">
        <v>103</v>
      </c>
      <c r="P104" t="s">
        <v>106</v>
      </c>
      <c r="Q104" t="s">
        <v>37</v>
      </c>
      <c r="R104">
        <v>0</v>
      </c>
      <c r="S104">
        <v>0</v>
      </c>
      <c r="T104">
        <v>2880</v>
      </c>
    </row>
    <row r="105" spans="9:20" x14ac:dyDescent="0.3">
      <c r="O105">
        <v>104</v>
      </c>
      <c r="P105" t="s">
        <v>107</v>
      </c>
      <c r="Q105" t="s">
        <v>34</v>
      </c>
      <c r="R105">
        <v>0</v>
      </c>
      <c r="S105">
        <v>0</v>
      </c>
      <c r="T105">
        <v>2880</v>
      </c>
    </row>
    <row r="106" spans="9:20" x14ac:dyDescent="0.3">
      <c r="O106">
        <v>105</v>
      </c>
      <c r="P106" t="s">
        <v>107</v>
      </c>
      <c r="Q106" t="s">
        <v>37</v>
      </c>
      <c r="R106">
        <v>0</v>
      </c>
      <c r="S106">
        <v>0</v>
      </c>
      <c r="T106">
        <v>2880</v>
      </c>
    </row>
    <row r="107" spans="9:20" x14ac:dyDescent="0.3">
      <c r="O107">
        <v>106</v>
      </c>
      <c r="P107" t="s">
        <v>108</v>
      </c>
      <c r="Q107" t="s">
        <v>34</v>
      </c>
      <c r="R107">
        <v>1123</v>
      </c>
      <c r="S107">
        <v>937</v>
      </c>
      <c r="T107">
        <v>837</v>
      </c>
    </row>
    <row r="108" spans="9:20" x14ac:dyDescent="0.3">
      <c r="O108">
        <v>107</v>
      </c>
      <c r="P108" t="s">
        <v>108</v>
      </c>
      <c r="Q108" t="s">
        <v>37</v>
      </c>
      <c r="R108">
        <v>910</v>
      </c>
      <c r="S108">
        <v>1706</v>
      </c>
      <c r="T108">
        <v>292</v>
      </c>
    </row>
    <row r="109" spans="9:20" x14ac:dyDescent="0.3">
      <c r="O109">
        <v>108</v>
      </c>
      <c r="P109" t="s">
        <v>109</v>
      </c>
      <c r="Q109" t="s">
        <v>34</v>
      </c>
      <c r="R109">
        <v>1218</v>
      </c>
      <c r="S109">
        <v>1305</v>
      </c>
      <c r="T109">
        <v>375</v>
      </c>
    </row>
    <row r="110" spans="9:20" x14ac:dyDescent="0.3">
      <c r="O110">
        <v>109</v>
      </c>
      <c r="P110" t="s">
        <v>109</v>
      </c>
      <c r="Q110" t="s">
        <v>37</v>
      </c>
      <c r="R110">
        <v>832</v>
      </c>
      <c r="S110">
        <v>2071</v>
      </c>
      <c r="T110">
        <v>0</v>
      </c>
    </row>
    <row r="111" spans="9:20" x14ac:dyDescent="0.3">
      <c r="O111">
        <v>110</v>
      </c>
      <c r="P111" t="s">
        <v>110</v>
      </c>
      <c r="Q111" t="s">
        <v>34</v>
      </c>
      <c r="R111">
        <v>1386</v>
      </c>
      <c r="S111">
        <v>1511</v>
      </c>
      <c r="T111">
        <v>0</v>
      </c>
    </row>
    <row r="112" spans="9:20" x14ac:dyDescent="0.3">
      <c r="O112">
        <v>111</v>
      </c>
      <c r="P112" t="s">
        <v>110</v>
      </c>
      <c r="Q112" t="s">
        <v>37</v>
      </c>
      <c r="R112">
        <v>1043</v>
      </c>
      <c r="S112">
        <v>1888</v>
      </c>
      <c r="T112">
        <v>0</v>
      </c>
    </row>
    <row r="113" spans="15:20" x14ac:dyDescent="0.3">
      <c r="O113">
        <v>112</v>
      </c>
      <c r="P113" t="s">
        <v>111</v>
      </c>
      <c r="Q113" t="s">
        <v>34</v>
      </c>
      <c r="R113">
        <v>1385</v>
      </c>
      <c r="S113">
        <v>1524</v>
      </c>
      <c r="T113">
        <v>0</v>
      </c>
    </row>
    <row r="114" spans="15:20" x14ac:dyDescent="0.3">
      <c r="O114">
        <v>113</v>
      </c>
      <c r="P114" t="s">
        <v>111</v>
      </c>
      <c r="Q114" t="s">
        <v>37</v>
      </c>
      <c r="R114">
        <v>834</v>
      </c>
      <c r="S114">
        <v>2080</v>
      </c>
      <c r="T114">
        <v>0</v>
      </c>
    </row>
    <row r="115" spans="15:20" x14ac:dyDescent="0.3">
      <c r="O115">
        <v>114</v>
      </c>
      <c r="P115" t="s">
        <v>112</v>
      </c>
      <c r="Q115" t="s">
        <v>34</v>
      </c>
      <c r="R115">
        <v>1538</v>
      </c>
      <c r="S115">
        <v>1355</v>
      </c>
      <c r="T115">
        <v>0</v>
      </c>
    </row>
    <row r="116" spans="15:20" x14ac:dyDescent="0.3">
      <c r="O116">
        <v>115</v>
      </c>
      <c r="P116" t="s">
        <v>112</v>
      </c>
      <c r="Q116" t="s">
        <v>37</v>
      </c>
      <c r="R116">
        <v>648</v>
      </c>
      <c r="S116">
        <v>2250</v>
      </c>
      <c r="T116">
        <v>0</v>
      </c>
    </row>
    <row r="117" spans="15:20" x14ac:dyDescent="0.3">
      <c r="O117">
        <v>116</v>
      </c>
      <c r="P117" t="s">
        <v>113</v>
      </c>
      <c r="Q117" t="s">
        <v>34</v>
      </c>
      <c r="R117">
        <v>1277</v>
      </c>
      <c r="S117">
        <v>1636</v>
      </c>
      <c r="T117">
        <v>0</v>
      </c>
    </row>
    <row r="118" spans="15:20" x14ac:dyDescent="0.3">
      <c r="O118">
        <v>117</v>
      </c>
      <c r="P118" t="s">
        <v>113</v>
      </c>
      <c r="Q118" t="s">
        <v>37</v>
      </c>
      <c r="R118">
        <v>649</v>
      </c>
      <c r="S118">
        <v>1254</v>
      </c>
      <c r="T118">
        <v>985</v>
      </c>
    </row>
    <row r="119" spans="15:20" x14ac:dyDescent="0.3">
      <c r="O119">
        <v>118</v>
      </c>
      <c r="P119" t="s">
        <v>114</v>
      </c>
      <c r="Q119" t="s">
        <v>34</v>
      </c>
      <c r="R119">
        <v>0</v>
      </c>
      <c r="S119">
        <v>0</v>
      </c>
      <c r="T119">
        <v>2620</v>
      </c>
    </row>
    <row r="120" spans="15:20" x14ac:dyDescent="0.3">
      <c r="O120">
        <v>119</v>
      </c>
      <c r="P120" t="s">
        <v>114</v>
      </c>
      <c r="Q120" t="s">
        <v>37</v>
      </c>
      <c r="R120">
        <v>0</v>
      </c>
      <c r="S120">
        <v>0</v>
      </c>
      <c r="T120">
        <v>2880</v>
      </c>
    </row>
    <row r="121" spans="15:20" x14ac:dyDescent="0.3">
      <c r="O121">
        <v>120</v>
      </c>
      <c r="P121" t="s">
        <v>115</v>
      </c>
      <c r="Q121" t="s">
        <v>34</v>
      </c>
      <c r="R121">
        <v>604</v>
      </c>
      <c r="S121">
        <v>1484</v>
      </c>
      <c r="T121">
        <v>811</v>
      </c>
    </row>
    <row r="122" spans="15:20" x14ac:dyDescent="0.3">
      <c r="O122">
        <v>121</v>
      </c>
      <c r="P122" t="s">
        <v>115</v>
      </c>
      <c r="Q122" t="s">
        <v>37</v>
      </c>
      <c r="R122">
        <v>970</v>
      </c>
      <c r="S122">
        <v>1928</v>
      </c>
      <c r="T122">
        <v>0</v>
      </c>
    </row>
    <row r="123" spans="15:20" x14ac:dyDescent="0.3">
      <c r="O123">
        <v>122</v>
      </c>
      <c r="P123" t="s">
        <v>116</v>
      </c>
      <c r="Q123" t="s">
        <v>34</v>
      </c>
      <c r="R123">
        <v>1296</v>
      </c>
      <c r="S123">
        <v>1601</v>
      </c>
      <c r="T123">
        <v>0</v>
      </c>
    </row>
    <row r="124" spans="15:20" x14ac:dyDescent="0.3">
      <c r="O124">
        <v>123</v>
      </c>
      <c r="P124" t="s">
        <v>116</v>
      </c>
      <c r="Q124" t="s">
        <v>37</v>
      </c>
      <c r="R124">
        <v>931</v>
      </c>
      <c r="S124">
        <v>1961</v>
      </c>
      <c r="T124">
        <v>0</v>
      </c>
    </row>
    <row r="125" spans="15:20" x14ac:dyDescent="0.3">
      <c r="O125">
        <v>124</v>
      </c>
      <c r="P125" t="s">
        <v>117</v>
      </c>
      <c r="Q125" t="s">
        <v>34</v>
      </c>
      <c r="R125">
        <v>1490</v>
      </c>
      <c r="S125">
        <v>1399</v>
      </c>
      <c r="T125">
        <v>0</v>
      </c>
    </row>
    <row r="126" spans="15:20" x14ac:dyDescent="0.3">
      <c r="O126">
        <v>125</v>
      </c>
      <c r="P126" t="s">
        <v>117</v>
      </c>
      <c r="Q126" t="s">
        <v>37</v>
      </c>
      <c r="R126">
        <v>913</v>
      </c>
      <c r="S126">
        <v>1979</v>
      </c>
      <c r="T126">
        <v>0</v>
      </c>
    </row>
    <row r="127" spans="15:20" x14ac:dyDescent="0.3">
      <c r="O127">
        <v>126</v>
      </c>
      <c r="P127" t="s">
        <v>118</v>
      </c>
      <c r="Q127" t="s">
        <v>34</v>
      </c>
      <c r="R127">
        <v>1405</v>
      </c>
      <c r="S127">
        <v>1505</v>
      </c>
      <c r="T127">
        <v>0</v>
      </c>
    </row>
    <row r="128" spans="15:20" x14ac:dyDescent="0.3">
      <c r="O128">
        <v>127</v>
      </c>
      <c r="P128" t="s">
        <v>118</v>
      </c>
      <c r="Q128" t="s">
        <v>37</v>
      </c>
      <c r="R128">
        <v>1018</v>
      </c>
      <c r="S128">
        <v>1879</v>
      </c>
      <c r="T128">
        <v>0</v>
      </c>
    </row>
    <row r="129" spans="15:20" x14ac:dyDescent="0.3">
      <c r="O129">
        <v>128</v>
      </c>
      <c r="P129" t="s">
        <v>119</v>
      </c>
      <c r="Q129" t="s">
        <v>34</v>
      </c>
      <c r="R129">
        <v>1418</v>
      </c>
      <c r="S129">
        <v>1469</v>
      </c>
      <c r="T129">
        <v>0</v>
      </c>
    </row>
    <row r="130" spans="15:20" x14ac:dyDescent="0.3">
      <c r="O130">
        <v>129</v>
      </c>
      <c r="P130" t="s">
        <v>119</v>
      </c>
      <c r="Q130" t="s">
        <v>37</v>
      </c>
      <c r="R130">
        <v>1173</v>
      </c>
      <c r="S130">
        <v>1721</v>
      </c>
      <c r="T130">
        <v>0</v>
      </c>
    </row>
    <row r="131" spans="15:20" x14ac:dyDescent="0.3">
      <c r="O131">
        <v>130</v>
      </c>
      <c r="P131" t="s">
        <v>120</v>
      </c>
      <c r="Q131" t="s">
        <v>34</v>
      </c>
      <c r="R131">
        <v>1623</v>
      </c>
      <c r="S131">
        <v>1288</v>
      </c>
      <c r="T131">
        <v>0</v>
      </c>
    </row>
    <row r="132" spans="15:20" x14ac:dyDescent="0.3">
      <c r="O132">
        <v>131</v>
      </c>
      <c r="P132" t="s">
        <v>120</v>
      </c>
      <c r="Q132" t="s">
        <v>37</v>
      </c>
      <c r="R132">
        <v>1096</v>
      </c>
      <c r="S132">
        <v>1795</v>
      </c>
      <c r="T132">
        <v>0</v>
      </c>
    </row>
    <row r="133" spans="15:20" x14ac:dyDescent="0.3">
      <c r="O133">
        <v>132</v>
      </c>
      <c r="P133" t="s">
        <v>121</v>
      </c>
      <c r="Q133" t="s">
        <v>34</v>
      </c>
      <c r="R133">
        <v>1420</v>
      </c>
      <c r="S133">
        <v>1481</v>
      </c>
      <c r="T133">
        <v>6</v>
      </c>
    </row>
    <row r="134" spans="15:20" x14ac:dyDescent="0.3">
      <c r="O134">
        <v>133</v>
      </c>
      <c r="P134" t="s">
        <v>121</v>
      </c>
      <c r="Q134" t="s">
        <v>37</v>
      </c>
      <c r="R134">
        <v>1930</v>
      </c>
      <c r="S134">
        <v>228</v>
      </c>
      <c r="T134">
        <v>720</v>
      </c>
    </row>
    <row r="135" spans="15:20" x14ac:dyDescent="0.3">
      <c r="O135">
        <v>134</v>
      </c>
      <c r="P135" t="s">
        <v>122</v>
      </c>
      <c r="Q135" t="s">
        <v>34</v>
      </c>
      <c r="R135">
        <v>1375</v>
      </c>
      <c r="S135">
        <v>1312</v>
      </c>
      <c r="T135">
        <v>208</v>
      </c>
    </row>
    <row r="136" spans="15:20" x14ac:dyDescent="0.3">
      <c r="O136">
        <v>135</v>
      </c>
      <c r="P136" t="s">
        <v>122</v>
      </c>
      <c r="Q136" t="s">
        <v>37</v>
      </c>
      <c r="R136">
        <v>1053</v>
      </c>
      <c r="S136">
        <v>1853</v>
      </c>
      <c r="T136">
        <v>0</v>
      </c>
    </row>
    <row r="137" spans="15:20" x14ac:dyDescent="0.3">
      <c r="O137">
        <v>136</v>
      </c>
      <c r="P137" t="s">
        <v>123</v>
      </c>
      <c r="Q137" t="s">
        <v>34</v>
      </c>
      <c r="R137">
        <v>1361</v>
      </c>
      <c r="S137">
        <v>1532</v>
      </c>
      <c r="T137">
        <v>0</v>
      </c>
    </row>
    <row r="138" spans="15:20" x14ac:dyDescent="0.3">
      <c r="O138">
        <v>137</v>
      </c>
      <c r="P138" t="s">
        <v>123</v>
      </c>
      <c r="Q138" t="s">
        <v>37</v>
      </c>
      <c r="R138">
        <v>966</v>
      </c>
      <c r="S138">
        <v>1999</v>
      </c>
      <c r="T138">
        <v>0</v>
      </c>
    </row>
    <row r="139" spans="15:20" x14ac:dyDescent="0.3">
      <c r="O139">
        <v>138</v>
      </c>
      <c r="P139" t="s">
        <v>124</v>
      </c>
      <c r="Q139" t="s">
        <v>34</v>
      </c>
      <c r="R139">
        <v>1478</v>
      </c>
      <c r="S139">
        <v>1420</v>
      </c>
      <c r="T139">
        <v>0</v>
      </c>
    </row>
    <row r="140" spans="15:20" x14ac:dyDescent="0.3">
      <c r="O140">
        <v>139</v>
      </c>
      <c r="P140" t="s">
        <v>124</v>
      </c>
      <c r="Q140" t="s">
        <v>37</v>
      </c>
      <c r="R140">
        <v>1107</v>
      </c>
      <c r="S140">
        <v>1817</v>
      </c>
      <c r="T140">
        <v>0</v>
      </c>
    </row>
    <row r="141" spans="15:20" x14ac:dyDescent="0.3">
      <c r="O141">
        <v>140</v>
      </c>
      <c r="P141" t="s">
        <v>125</v>
      </c>
      <c r="Q141" t="s">
        <v>34</v>
      </c>
      <c r="R141">
        <v>1512</v>
      </c>
      <c r="S141">
        <v>1383</v>
      </c>
      <c r="T141">
        <v>0</v>
      </c>
    </row>
    <row r="142" spans="15:20" x14ac:dyDescent="0.3">
      <c r="O142">
        <v>141</v>
      </c>
      <c r="P142" t="s">
        <v>125</v>
      </c>
      <c r="Q142" t="s">
        <v>37</v>
      </c>
      <c r="R142">
        <v>872</v>
      </c>
      <c r="S142">
        <v>2026</v>
      </c>
      <c r="T142">
        <v>0</v>
      </c>
    </row>
    <row r="143" spans="15:20" x14ac:dyDescent="0.3">
      <c r="O143">
        <v>142</v>
      </c>
      <c r="P143" t="s">
        <v>126</v>
      </c>
      <c r="Q143" t="s">
        <v>34</v>
      </c>
      <c r="R143">
        <v>1368</v>
      </c>
      <c r="S143">
        <v>1539</v>
      </c>
      <c r="T143">
        <v>0</v>
      </c>
    </row>
    <row r="144" spans="15:20" x14ac:dyDescent="0.3">
      <c r="O144">
        <v>143</v>
      </c>
      <c r="P144" t="s">
        <v>126</v>
      </c>
      <c r="Q144" t="s">
        <v>37</v>
      </c>
      <c r="R144">
        <v>947</v>
      </c>
      <c r="S144">
        <v>1954</v>
      </c>
      <c r="T144">
        <v>0</v>
      </c>
    </row>
    <row r="145" spans="15:20" x14ac:dyDescent="0.3">
      <c r="O145">
        <v>144</v>
      </c>
      <c r="P145" t="s">
        <v>127</v>
      </c>
      <c r="Q145" t="s">
        <v>34</v>
      </c>
      <c r="R145">
        <v>1551</v>
      </c>
      <c r="S145">
        <v>1336</v>
      </c>
      <c r="T145">
        <v>0</v>
      </c>
    </row>
    <row r="146" spans="15:20" x14ac:dyDescent="0.3">
      <c r="O146">
        <v>145</v>
      </c>
      <c r="P146" t="s">
        <v>127</v>
      </c>
      <c r="Q146" t="s">
        <v>37</v>
      </c>
      <c r="R146">
        <v>542</v>
      </c>
      <c r="S146">
        <v>1779</v>
      </c>
      <c r="T146">
        <v>562</v>
      </c>
    </row>
    <row r="147" spans="15:20" x14ac:dyDescent="0.3">
      <c r="O147">
        <v>146</v>
      </c>
      <c r="P147" t="s">
        <v>128</v>
      </c>
      <c r="Q147" t="s">
        <v>34</v>
      </c>
      <c r="R147">
        <v>0</v>
      </c>
      <c r="S147">
        <v>0</v>
      </c>
      <c r="T147">
        <v>2880</v>
      </c>
    </row>
    <row r="148" spans="15:20" x14ac:dyDescent="0.3">
      <c r="O148">
        <v>147</v>
      </c>
      <c r="P148" t="s">
        <v>128</v>
      </c>
      <c r="Q148" t="s">
        <v>37</v>
      </c>
      <c r="R148">
        <v>0</v>
      </c>
      <c r="S148">
        <v>0</v>
      </c>
      <c r="T148">
        <v>2880</v>
      </c>
    </row>
    <row r="149" spans="15:20" x14ac:dyDescent="0.3">
      <c r="O149">
        <v>148</v>
      </c>
      <c r="P149" t="s">
        <v>129</v>
      </c>
      <c r="Q149" t="s">
        <v>34</v>
      </c>
      <c r="R149">
        <v>626</v>
      </c>
      <c r="S149">
        <v>1462</v>
      </c>
      <c r="T149">
        <v>812</v>
      </c>
    </row>
    <row r="150" spans="15:20" x14ac:dyDescent="0.3">
      <c r="O150">
        <v>149</v>
      </c>
      <c r="P150" t="s">
        <v>129</v>
      </c>
      <c r="Q150" t="s">
        <v>37</v>
      </c>
      <c r="R150">
        <v>1188</v>
      </c>
      <c r="S150">
        <v>1704</v>
      </c>
      <c r="T150">
        <v>0</v>
      </c>
    </row>
    <row r="151" spans="15:20" x14ac:dyDescent="0.3">
      <c r="O151">
        <v>150</v>
      </c>
      <c r="P151" t="s">
        <v>130</v>
      </c>
      <c r="Q151" t="s">
        <v>34</v>
      </c>
      <c r="R151">
        <v>1422</v>
      </c>
      <c r="S151">
        <v>1472</v>
      </c>
      <c r="T151">
        <v>0</v>
      </c>
    </row>
    <row r="152" spans="15:20" x14ac:dyDescent="0.3">
      <c r="O152">
        <v>151</v>
      </c>
      <c r="P152" t="s">
        <v>130</v>
      </c>
      <c r="Q152" t="s">
        <v>37</v>
      </c>
      <c r="R152">
        <v>1165</v>
      </c>
      <c r="S152">
        <v>1733</v>
      </c>
      <c r="T152">
        <v>0</v>
      </c>
    </row>
    <row r="153" spans="15:20" x14ac:dyDescent="0.3">
      <c r="O153">
        <v>152</v>
      </c>
      <c r="P153" t="s">
        <v>131</v>
      </c>
      <c r="Q153" t="s">
        <v>34</v>
      </c>
      <c r="R153">
        <v>1350</v>
      </c>
      <c r="S153">
        <v>1539</v>
      </c>
      <c r="T153">
        <v>0</v>
      </c>
    </row>
    <row r="154" spans="15:20" x14ac:dyDescent="0.3">
      <c r="O154">
        <v>153</v>
      </c>
      <c r="P154" t="s">
        <v>131</v>
      </c>
      <c r="Q154" t="s">
        <v>37</v>
      </c>
      <c r="R154">
        <v>1081</v>
      </c>
      <c r="S154">
        <v>1805</v>
      </c>
      <c r="T154">
        <v>0</v>
      </c>
    </row>
    <row r="155" spans="15:20" x14ac:dyDescent="0.3">
      <c r="O155">
        <v>154</v>
      </c>
      <c r="P155" t="s">
        <v>132</v>
      </c>
      <c r="Q155" t="s">
        <v>34</v>
      </c>
      <c r="R155">
        <v>1280</v>
      </c>
      <c r="S155">
        <v>1612</v>
      </c>
      <c r="T155">
        <v>0</v>
      </c>
    </row>
    <row r="156" spans="15:20" x14ac:dyDescent="0.3">
      <c r="O156">
        <v>155</v>
      </c>
      <c r="P156" t="s">
        <v>132</v>
      </c>
      <c r="Q156" t="s">
        <v>37</v>
      </c>
      <c r="R156">
        <v>1251</v>
      </c>
      <c r="S156">
        <v>1635</v>
      </c>
      <c r="T156">
        <v>0</v>
      </c>
    </row>
    <row r="157" spans="15:20" x14ac:dyDescent="0.3">
      <c r="O157">
        <v>156</v>
      </c>
      <c r="P157" t="s">
        <v>133</v>
      </c>
      <c r="Q157" t="s">
        <v>34</v>
      </c>
      <c r="R157">
        <v>1526</v>
      </c>
      <c r="S157">
        <v>1368</v>
      </c>
      <c r="T157">
        <v>0</v>
      </c>
    </row>
    <row r="158" spans="15:20" x14ac:dyDescent="0.3">
      <c r="O158">
        <v>157</v>
      </c>
      <c r="P158" t="s">
        <v>133</v>
      </c>
      <c r="Q158" t="s">
        <v>37</v>
      </c>
      <c r="R158">
        <v>980</v>
      </c>
      <c r="S158">
        <v>1910</v>
      </c>
      <c r="T158">
        <v>0</v>
      </c>
    </row>
    <row r="159" spans="15:20" x14ac:dyDescent="0.3">
      <c r="O159">
        <v>158</v>
      </c>
      <c r="P159" t="s">
        <v>134</v>
      </c>
      <c r="Q159" t="s">
        <v>34</v>
      </c>
      <c r="R159">
        <v>1515</v>
      </c>
      <c r="S159">
        <v>1377</v>
      </c>
      <c r="T159">
        <v>0</v>
      </c>
    </row>
    <row r="160" spans="15:20" x14ac:dyDescent="0.3">
      <c r="O160">
        <v>159</v>
      </c>
      <c r="P160" t="s">
        <v>134</v>
      </c>
      <c r="Q160" t="s">
        <v>37</v>
      </c>
      <c r="R160">
        <v>1630</v>
      </c>
      <c r="S160">
        <v>1274</v>
      </c>
      <c r="T160">
        <v>0</v>
      </c>
    </row>
    <row r="161" spans="15:20" x14ac:dyDescent="0.3">
      <c r="O161">
        <v>160</v>
      </c>
      <c r="P161" t="s">
        <v>135</v>
      </c>
      <c r="Q161" t="s">
        <v>34</v>
      </c>
      <c r="R161">
        <v>1442</v>
      </c>
      <c r="S161">
        <v>1438</v>
      </c>
      <c r="T161">
        <v>7</v>
      </c>
    </row>
    <row r="162" spans="15:20" x14ac:dyDescent="0.3">
      <c r="O162">
        <v>161</v>
      </c>
      <c r="P162" t="s">
        <v>135</v>
      </c>
      <c r="Q162" t="s">
        <v>37</v>
      </c>
      <c r="R162">
        <v>1049</v>
      </c>
      <c r="S162">
        <v>427</v>
      </c>
      <c r="T162">
        <v>1403</v>
      </c>
    </row>
    <row r="163" spans="15:20" x14ac:dyDescent="0.3">
      <c r="O163">
        <v>162</v>
      </c>
      <c r="P163" t="s">
        <v>136</v>
      </c>
      <c r="Q163" t="s">
        <v>34</v>
      </c>
      <c r="R163">
        <v>1208</v>
      </c>
      <c r="S163">
        <v>1278</v>
      </c>
      <c r="T163">
        <v>410</v>
      </c>
    </row>
    <row r="164" spans="15:20" x14ac:dyDescent="0.3">
      <c r="O164">
        <v>163</v>
      </c>
      <c r="P164" t="s">
        <v>136</v>
      </c>
      <c r="Q164" t="s">
        <v>37</v>
      </c>
      <c r="R164">
        <v>543</v>
      </c>
      <c r="S164">
        <v>2352</v>
      </c>
      <c r="T164">
        <v>0</v>
      </c>
    </row>
    <row r="165" spans="15:20" x14ac:dyDescent="0.3">
      <c r="O165">
        <v>164</v>
      </c>
      <c r="P165" t="s">
        <v>137</v>
      </c>
      <c r="Q165" t="s">
        <v>34</v>
      </c>
      <c r="R165">
        <v>1206</v>
      </c>
      <c r="S165">
        <v>1688</v>
      </c>
      <c r="T165">
        <v>0</v>
      </c>
    </row>
    <row r="166" spans="15:20" x14ac:dyDescent="0.3">
      <c r="O166">
        <v>165</v>
      </c>
      <c r="P166" t="s">
        <v>137</v>
      </c>
      <c r="Q166" t="s">
        <v>37</v>
      </c>
      <c r="R166">
        <v>1115</v>
      </c>
      <c r="S166">
        <v>1821</v>
      </c>
      <c r="T166">
        <v>0</v>
      </c>
    </row>
    <row r="167" spans="15:20" x14ac:dyDescent="0.3">
      <c r="O167">
        <v>166</v>
      </c>
      <c r="P167" t="s">
        <v>138</v>
      </c>
      <c r="Q167" t="s">
        <v>34</v>
      </c>
      <c r="R167">
        <v>1281</v>
      </c>
      <c r="S167">
        <v>1657</v>
      </c>
      <c r="T167">
        <v>0</v>
      </c>
    </row>
    <row r="168" spans="15:20" x14ac:dyDescent="0.3">
      <c r="O168">
        <v>167</v>
      </c>
      <c r="P168" t="s">
        <v>138</v>
      </c>
      <c r="Q168" t="s">
        <v>37</v>
      </c>
      <c r="R168">
        <v>940</v>
      </c>
      <c r="S168">
        <v>1953</v>
      </c>
      <c r="T168">
        <v>0</v>
      </c>
    </row>
    <row r="169" spans="15:20" x14ac:dyDescent="0.3">
      <c r="O169">
        <v>168</v>
      </c>
      <c r="P169" t="s">
        <v>139</v>
      </c>
      <c r="Q169" t="s">
        <v>34</v>
      </c>
      <c r="R169">
        <v>1229</v>
      </c>
      <c r="S169">
        <v>1663</v>
      </c>
      <c r="T169">
        <v>0</v>
      </c>
    </row>
    <row r="170" spans="15:20" x14ac:dyDescent="0.3">
      <c r="O170">
        <v>169</v>
      </c>
      <c r="P170" t="s">
        <v>139</v>
      </c>
      <c r="Q170" t="s">
        <v>37</v>
      </c>
      <c r="R170">
        <v>1196</v>
      </c>
      <c r="S170">
        <v>1713</v>
      </c>
      <c r="T170">
        <v>0</v>
      </c>
    </row>
    <row r="171" spans="15:20" x14ac:dyDescent="0.3">
      <c r="O171">
        <v>170</v>
      </c>
      <c r="P171" t="s">
        <v>140</v>
      </c>
      <c r="Q171" t="s">
        <v>34</v>
      </c>
      <c r="R171">
        <v>1572</v>
      </c>
      <c r="S171">
        <v>1323</v>
      </c>
      <c r="T171">
        <v>0</v>
      </c>
    </row>
    <row r="172" spans="15:20" x14ac:dyDescent="0.3">
      <c r="O172">
        <v>171</v>
      </c>
      <c r="P172" t="s">
        <v>140</v>
      </c>
      <c r="Q172" t="s">
        <v>37</v>
      </c>
      <c r="R172">
        <v>943</v>
      </c>
      <c r="S172">
        <v>1967</v>
      </c>
      <c r="T172">
        <v>0</v>
      </c>
    </row>
    <row r="173" spans="15:20" x14ac:dyDescent="0.3">
      <c r="O173">
        <v>172</v>
      </c>
      <c r="P173" t="s">
        <v>141</v>
      </c>
      <c r="Q173" t="s">
        <v>34</v>
      </c>
      <c r="R173">
        <v>1357</v>
      </c>
      <c r="S173">
        <v>1528</v>
      </c>
      <c r="T173">
        <v>0</v>
      </c>
    </row>
    <row r="174" spans="15:20" x14ac:dyDescent="0.3">
      <c r="O174">
        <v>173</v>
      </c>
      <c r="P174" t="s">
        <v>141</v>
      </c>
      <c r="Q174" t="s">
        <v>37</v>
      </c>
      <c r="R174">
        <v>1283</v>
      </c>
      <c r="S174">
        <v>1619</v>
      </c>
      <c r="T174">
        <v>0</v>
      </c>
    </row>
    <row r="175" spans="15:20" x14ac:dyDescent="0.3">
      <c r="O175">
        <v>174</v>
      </c>
      <c r="P175" t="s">
        <v>142</v>
      </c>
      <c r="Q175" t="s">
        <v>34</v>
      </c>
      <c r="R175">
        <v>1439</v>
      </c>
      <c r="S175">
        <v>1454</v>
      </c>
      <c r="T175">
        <v>0</v>
      </c>
    </row>
    <row r="176" spans="15:20" x14ac:dyDescent="0.3">
      <c r="O176">
        <v>175</v>
      </c>
      <c r="P176" t="s">
        <v>142</v>
      </c>
      <c r="Q176" t="s">
        <v>37</v>
      </c>
      <c r="R176">
        <v>2027</v>
      </c>
      <c r="S176">
        <v>184</v>
      </c>
      <c r="T176">
        <v>665</v>
      </c>
    </row>
    <row r="177" spans="15:20" x14ac:dyDescent="0.3">
      <c r="O177">
        <v>176</v>
      </c>
      <c r="P177" t="s">
        <v>143</v>
      </c>
      <c r="Q177" t="s">
        <v>34</v>
      </c>
      <c r="R177">
        <v>1075</v>
      </c>
      <c r="S177">
        <v>1599</v>
      </c>
      <c r="T177">
        <v>213</v>
      </c>
    </row>
    <row r="178" spans="15:20" x14ac:dyDescent="0.3">
      <c r="O178">
        <v>177</v>
      </c>
      <c r="P178" t="s">
        <v>143</v>
      </c>
      <c r="Q178" t="s">
        <v>37</v>
      </c>
      <c r="R178">
        <v>1122</v>
      </c>
      <c r="S178">
        <v>1780</v>
      </c>
      <c r="T178">
        <v>0</v>
      </c>
    </row>
    <row r="179" spans="15:20" x14ac:dyDescent="0.3">
      <c r="O179">
        <v>178</v>
      </c>
      <c r="P179" t="s">
        <v>144</v>
      </c>
      <c r="Q179" t="s">
        <v>34</v>
      </c>
      <c r="R179">
        <v>1466</v>
      </c>
      <c r="S179">
        <v>1438</v>
      </c>
      <c r="T179">
        <v>0</v>
      </c>
    </row>
    <row r="180" spans="15:20" x14ac:dyDescent="0.3">
      <c r="O180">
        <v>179</v>
      </c>
      <c r="P180" t="s">
        <v>144</v>
      </c>
      <c r="Q180" t="s">
        <v>37</v>
      </c>
      <c r="R180">
        <v>1127</v>
      </c>
      <c r="S180">
        <v>1765</v>
      </c>
      <c r="T180">
        <v>0</v>
      </c>
    </row>
    <row r="181" spans="15:20" x14ac:dyDescent="0.3">
      <c r="O181">
        <v>180</v>
      </c>
      <c r="P181" t="s">
        <v>33</v>
      </c>
      <c r="Q181" t="s">
        <v>34</v>
      </c>
      <c r="R181">
        <v>1630</v>
      </c>
      <c r="S181">
        <v>1281</v>
      </c>
      <c r="T181">
        <v>0</v>
      </c>
    </row>
    <row r="182" spans="15:20" x14ac:dyDescent="0.3">
      <c r="O182">
        <v>181</v>
      </c>
      <c r="P182" t="s">
        <v>33</v>
      </c>
      <c r="Q182" t="s">
        <v>37</v>
      </c>
      <c r="R182">
        <v>1262</v>
      </c>
      <c r="S182">
        <v>1630</v>
      </c>
      <c r="T182">
        <v>0</v>
      </c>
    </row>
    <row r="183" spans="15:20" x14ac:dyDescent="0.3">
      <c r="O183">
        <v>182</v>
      </c>
      <c r="P183" t="s">
        <v>39</v>
      </c>
      <c r="Q183" t="s">
        <v>34</v>
      </c>
      <c r="R183">
        <v>1454</v>
      </c>
      <c r="S183">
        <v>1445</v>
      </c>
      <c r="T183">
        <v>0</v>
      </c>
    </row>
    <row r="184" spans="15:20" x14ac:dyDescent="0.3">
      <c r="O184">
        <v>183</v>
      </c>
      <c r="P184" t="s">
        <v>39</v>
      </c>
      <c r="Q184" t="s">
        <v>37</v>
      </c>
      <c r="R184">
        <v>1001</v>
      </c>
      <c r="S184">
        <v>1900</v>
      </c>
      <c r="T184">
        <v>0</v>
      </c>
    </row>
    <row r="185" spans="15:20" x14ac:dyDescent="0.3">
      <c r="O185">
        <v>184</v>
      </c>
      <c r="P185" t="s">
        <v>43</v>
      </c>
      <c r="Q185" t="s">
        <v>34</v>
      </c>
      <c r="R185">
        <v>1628</v>
      </c>
      <c r="S185">
        <v>1268</v>
      </c>
      <c r="T185">
        <v>0</v>
      </c>
    </row>
    <row r="186" spans="15:20" x14ac:dyDescent="0.3">
      <c r="O186">
        <v>185</v>
      </c>
      <c r="P186" t="s">
        <v>43</v>
      </c>
      <c r="Q186" t="s">
        <v>37</v>
      </c>
      <c r="R186">
        <v>1261</v>
      </c>
      <c r="S186">
        <v>1645</v>
      </c>
      <c r="T186">
        <v>0</v>
      </c>
    </row>
    <row r="187" spans="15:20" x14ac:dyDescent="0.3">
      <c r="O187">
        <v>186</v>
      </c>
      <c r="P187" t="s">
        <v>48</v>
      </c>
      <c r="Q187" t="s">
        <v>34</v>
      </c>
      <c r="R187">
        <v>1476</v>
      </c>
      <c r="S187">
        <v>1435</v>
      </c>
      <c r="T187">
        <v>0</v>
      </c>
    </row>
    <row r="188" spans="15:20" x14ac:dyDescent="0.3">
      <c r="O188">
        <v>187</v>
      </c>
      <c r="P188" t="s">
        <v>48</v>
      </c>
      <c r="Q188" t="s">
        <v>37</v>
      </c>
      <c r="R188">
        <v>1175</v>
      </c>
      <c r="S188">
        <v>1737</v>
      </c>
      <c r="T188">
        <v>0</v>
      </c>
    </row>
    <row r="189" spans="15:20" x14ac:dyDescent="0.3">
      <c r="O189">
        <v>188</v>
      </c>
      <c r="P189" t="s">
        <v>52</v>
      </c>
      <c r="Q189" t="s">
        <v>34</v>
      </c>
      <c r="R189">
        <v>1556</v>
      </c>
      <c r="S189">
        <v>1315</v>
      </c>
      <c r="T189">
        <v>32</v>
      </c>
    </row>
    <row r="190" spans="15:20" x14ac:dyDescent="0.3">
      <c r="O190">
        <v>189</v>
      </c>
      <c r="P190" t="s">
        <v>52</v>
      </c>
      <c r="Q190" t="s">
        <v>37</v>
      </c>
      <c r="R190">
        <v>669</v>
      </c>
      <c r="S190">
        <v>52</v>
      </c>
      <c r="T190">
        <v>2160</v>
      </c>
    </row>
    <row r="191" spans="15:20" x14ac:dyDescent="0.3">
      <c r="O191">
        <v>190</v>
      </c>
      <c r="P191" t="s">
        <v>56</v>
      </c>
      <c r="Q191" t="s">
        <v>34</v>
      </c>
      <c r="R191">
        <v>835</v>
      </c>
      <c r="S191">
        <v>1469</v>
      </c>
      <c r="T191">
        <v>609</v>
      </c>
    </row>
    <row r="192" spans="15:20" x14ac:dyDescent="0.3">
      <c r="O192">
        <v>191</v>
      </c>
      <c r="P192" t="s">
        <v>56</v>
      </c>
      <c r="Q192" t="s">
        <v>37</v>
      </c>
      <c r="R192">
        <v>1110</v>
      </c>
      <c r="S192">
        <v>1801</v>
      </c>
      <c r="T192">
        <v>0</v>
      </c>
    </row>
    <row r="193" spans="15:20" x14ac:dyDescent="0.3">
      <c r="O193">
        <v>192</v>
      </c>
      <c r="P193" t="s">
        <v>60</v>
      </c>
      <c r="Q193" t="s">
        <v>34</v>
      </c>
      <c r="R193">
        <v>1522</v>
      </c>
      <c r="S193">
        <v>1378</v>
      </c>
      <c r="T193">
        <v>0</v>
      </c>
    </row>
    <row r="194" spans="15:20" x14ac:dyDescent="0.3">
      <c r="O194">
        <v>193</v>
      </c>
      <c r="P194" t="s">
        <v>60</v>
      </c>
      <c r="Q194" t="s">
        <v>37</v>
      </c>
      <c r="R194">
        <v>1331</v>
      </c>
      <c r="S194">
        <v>1582</v>
      </c>
      <c r="T194">
        <v>0</v>
      </c>
    </row>
    <row r="195" spans="15:20" x14ac:dyDescent="0.3">
      <c r="O195">
        <v>194</v>
      </c>
      <c r="P195" t="s">
        <v>62</v>
      </c>
      <c r="Q195" t="s">
        <v>34</v>
      </c>
      <c r="R195">
        <v>1456</v>
      </c>
      <c r="S195">
        <v>1459</v>
      </c>
      <c r="T195">
        <v>0</v>
      </c>
    </row>
    <row r="196" spans="15:20" x14ac:dyDescent="0.3">
      <c r="O196">
        <v>195</v>
      </c>
      <c r="P196" t="s">
        <v>62</v>
      </c>
      <c r="Q196" t="s">
        <v>37</v>
      </c>
      <c r="R196">
        <v>1096</v>
      </c>
      <c r="S196">
        <v>1818</v>
      </c>
      <c r="T196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T196"/>
  <sheetViews>
    <sheetView topLeftCell="D1" workbookViewId="0">
      <selection activeCell="K11" sqref="K11"/>
    </sheetView>
  </sheetViews>
  <sheetFormatPr defaultRowHeight="14.4" x14ac:dyDescent="0.3"/>
  <cols>
    <col min="1" max="1" width="3" bestFit="1" customWidth="1"/>
    <col min="2" max="3" width="10.88671875" bestFit="1" customWidth="1"/>
    <col min="4" max="4" width="34.109375" bestFit="1" customWidth="1"/>
    <col min="5" max="5" width="30.5546875" bestFit="1" customWidth="1"/>
    <col min="6" max="6" width="22.6640625" bestFit="1" customWidth="1"/>
    <col min="11" max="11" width="8.33203125" bestFit="1" customWidth="1"/>
    <col min="12" max="12" width="11.5546875" bestFit="1" customWidth="1"/>
    <col min="13" max="13" width="10" bestFit="1" customWidth="1"/>
  </cols>
  <sheetData>
    <row r="1" spans="1:20" s="2" customFormat="1" x14ac:dyDescent="0.3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  <c r="L1" s="3" t="s">
        <v>31</v>
      </c>
      <c r="M1" s="3" t="s">
        <v>32</v>
      </c>
    </row>
    <row r="2" spans="1:20" x14ac:dyDescent="0.3">
      <c r="A2">
        <v>1</v>
      </c>
      <c r="B2" t="s">
        <v>33</v>
      </c>
      <c r="C2" t="s">
        <v>34</v>
      </c>
      <c r="D2">
        <v>1261</v>
      </c>
      <c r="E2">
        <v>1622</v>
      </c>
      <c r="F2">
        <v>0</v>
      </c>
      <c r="H2" t="s">
        <v>35</v>
      </c>
      <c r="I2" s="1">
        <v>0.68</v>
      </c>
      <c r="J2" s="1">
        <v>0.84235294117647064</v>
      </c>
      <c r="K2" s="1">
        <f>IFERROR(SUMIFS(S:S,P:P,"*/01/2026")/(SUMIFS(R:R,P:P,"*/01/2026")+SUMIFS(S:S,P:P,"*/01/2026")+SUMIFS(T:T,P:P,"*/01/2026")),"")</f>
        <v>0.53119716881184775</v>
      </c>
      <c r="L2" s="1">
        <f>IFERROR(SUMIFS(R:R,P:P,"*/01/2026")/(SUMIFS(R:R,P:P,"*/01/2026")+SUMIFS(S:S,P:P,"*/01/2026")+SUMIFS(T:T,P:P,"*/01/2026")),"")</f>
        <v>0.28754254671685864</v>
      </c>
      <c r="M2" s="1">
        <f>IFERROR(SUMIFS(T:T,P:P,"*/01/2026")/(SUMIFS(R:R,P:P,"*/01/2026")+SUMIFS(S:S,P:P,"*/01/2026")+SUMIFS(T:T,P:P,"*/01/2026")),"")</f>
        <v>0.18126028447129364</v>
      </c>
      <c r="O2">
        <v>1</v>
      </c>
      <c r="P2" t="s">
        <v>36</v>
      </c>
      <c r="Q2" t="s">
        <v>34</v>
      </c>
      <c r="R2">
        <v>0</v>
      </c>
      <c r="S2">
        <v>0</v>
      </c>
      <c r="T2">
        <v>2880</v>
      </c>
    </row>
    <row r="3" spans="1:20" x14ac:dyDescent="0.3">
      <c r="A3">
        <v>2</v>
      </c>
      <c r="B3" t="s">
        <v>33</v>
      </c>
      <c r="C3" t="s">
        <v>37</v>
      </c>
      <c r="D3">
        <v>579</v>
      </c>
      <c r="E3">
        <v>2301</v>
      </c>
      <c r="F3">
        <v>0</v>
      </c>
      <c r="H3" t="s">
        <v>38</v>
      </c>
      <c r="I3" s="1">
        <v>0.68</v>
      </c>
      <c r="J3" s="1">
        <v>0.84235294117647064</v>
      </c>
      <c r="K3" s="1">
        <f>IFERROR(SUMIFS(S:S,P:P,"*/02/2026")/(SUMIFS(R:R,P:P,"*/02/2026")+SUMIFS(S:S,P:P,"*/02/2026")+SUMIFS(T:T,P:P,"*/02/2026")),"")</f>
        <v>0.39814005393843577</v>
      </c>
      <c r="L3" s="1">
        <f>IFERROR(SUMIFS(R:R,P:P,"*/02/2026")/(SUMIFS(R:R,P:P,"*/02/2026")+SUMIFS(S:S,P:P,"*/02/2026")+SUMIFS(T:T,P:P,"*/02/2026")),"")</f>
        <v>0.22337952199386218</v>
      </c>
      <c r="M3" s="1">
        <f>IFERROR(SUMIFS(T:T,P:P,"*/02/2026")/(SUMIFS(R:R,P:P,"*/02/2026")+SUMIFS(S:S,P:P,"*/02/2026")+SUMIFS(T:T,P:P,"*/02/2026")),"")</f>
        <v>0.37848042406770205</v>
      </c>
      <c r="O3">
        <v>2</v>
      </c>
      <c r="P3" t="s">
        <v>36</v>
      </c>
      <c r="Q3" t="s">
        <v>37</v>
      </c>
      <c r="R3">
        <v>164</v>
      </c>
      <c r="S3">
        <v>136</v>
      </c>
      <c r="T3">
        <v>2575</v>
      </c>
    </row>
    <row r="4" spans="1:20" x14ac:dyDescent="0.3">
      <c r="A4">
        <v>3</v>
      </c>
      <c r="B4" t="s">
        <v>39</v>
      </c>
      <c r="C4" t="s">
        <v>34</v>
      </c>
      <c r="D4">
        <v>1214</v>
      </c>
      <c r="E4">
        <v>1670</v>
      </c>
      <c r="F4">
        <v>0</v>
      </c>
      <c r="H4" t="s">
        <v>40</v>
      </c>
      <c r="I4" s="1">
        <v>0.68</v>
      </c>
      <c r="J4" s="1">
        <v>0.84235294117647064</v>
      </c>
      <c r="K4" s="1">
        <f>IFERROR(SUMIFS(S:S,P:P,"*/03/2026")/(SUMIFS(R:R,P:P,"*/03/2026")+SUMIFS(S:S,P:P,"*/03/2026")+SUMIFS(T:T,P:P,"*/03/2026")),"")</f>
        <v>0.59869893166587218</v>
      </c>
      <c r="L4" s="1">
        <f>IFERROR(SUMIFS(R:R,P:P,"*/03/2026")/(SUMIFS(R:R,P:P,"*/03/2026")+SUMIFS(S:S,P:P,"*/03/2026")+SUMIFS(T:T,P:P,"*/03/2026")),"")</f>
        <v>0.30992345007430672</v>
      </c>
      <c r="M4" s="1">
        <f>IFERROR(SUMIFS(T:T,P:P,"*/03/2026")/(SUMIFS(R:R,P:P,"*/03/2026")+SUMIFS(S:S,P:P,"*/03/2026")+SUMIFS(T:T,P:P,"*/03/2026")),"")</f>
        <v>9.1377618259821103E-2</v>
      </c>
      <c r="O4">
        <v>3</v>
      </c>
      <c r="P4" t="s">
        <v>41</v>
      </c>
      <c r="Q4" t="s">
        <v>34</v>
      </c>
      <c r="R4">
        <v>832</v>
      </c>
      <c r="S4">
        <v>2051</v>
      </c>
      <c r="T4">
        <v>0</v>
      </c>
    </row>
    <row r="5" spans="1:20" x14ac:dyDescent="0.3">
      <c r="A5">
        <v>4</v>
      </c>
      <c r="B5" t="s">
        <v>39</v>
      </c>
      <c r="C5" t="s">
        <v>37</v>
      </c>
      <c r="D5">
        <v>713</v>
      </c>
      <c r="E5">
        <v>2169</v>
      </c>
      <c r="F5">
        <v>0</v>
      </c>
      <c r="H5" t="s">
        <v>42</v>
      </c>
      <c r="I5" s="1">
        <v>0.68</v>
      </c>
      <c r="J5" s="1">
        <v>0.84235294117647064</v>
      </c>
      <c r="K5" s="1">
        <f>IFERROR(SUMIFS(S:S,P:P,"*/04/2026")/(SUMIFS(R:R,P:P,"*/04/2026")+SUMIFS(S:S,P:P,"*/04/2026")+SUMIFS(T:T,P:P,"*/04/2026")),"")</f>
        <v>0.59929731722657187</v>
      </c>
      <c r="L5" s="1">
        <f>IFERROR(SUMIFS(R:R,P:P,"*/04/2026")/(SUMIFS(R:R,P:P,"*/04/2026")+SUMIFS(S:S,P:P,"*/04/2026")+SUMIFS(T:T,P:P,"*/04/2026")),"")</f>
        <v>0.32186774816196406</v>
      </c>
      <c r="M5" s="1">
        <f>IFERROR(SUMIFS(T:T,P:P,"*/04/2026")/(SUMIFS(R:R,P:P,"*/04/2026")+SUMIFS(S:S,P:P,"*/04/2026")+SUMIFS(T:T,P:P,"*/04/2026")),"")</f>
        <v>7.8834934611464139E-2</v>
      </c>
      <c r="O5">
        <v>4</v>
      </c>
      <c r="P5" t="s">
        <v>41</v>
      </c>
      <c r="Q5" t="s">
        <v>37</v>
      </c>
      <c r="R5">
        <v>505</v>
      </c>
      <c r="S5">
        <v>1021</v>
      </c>
      <c r="T5">
        <v>1351</v>
      </c>
    </row>
    <row r="6" spans="1:20" x14ac:dyDescent="0.3">
      <c r="A6">
        <v>5</v>
      </c>
      <c r="B6" t="s">
        <v>43</v>
      </c>
      <c r="C6" t="s">
        <v>34</v>
      </c>
      <c r="D6">
        <v>1293</v>
      </c>
      <c r="E6">
        <v>1588</v>
      </c>
      <c r="F6">
        <v>0</v>
      </c>
      <c r="H6" t="s">
        <v>44</v>
      </c>
      <c r="I6" s="1">
        <v>0.68</v>
      </c>
      <c r="J6" s="1">
        <v>0.84235294117647064</v>
      </c>
      <c r="K6" s="1" t="str">
        <f>IFERROR(SUMIFS(S:S,P:P,"*/05/2026")/(SUMIFS(R:R,P:P,"*/05/2026")+SUMIFS(S:S,P:P,"*/05/2026")+SUMIFS(T:T,P:P,"*/05/2026")),"")</f>
        <v/>
      </c>
      <c r="L6" s="1" t="str">
        <f>IFERROR(SUMIFS(R:R,P:P,"*/05/2026")/(SUMIFS(R:R,P:P,"*/05/2026")+SUMIFS(S:S,P:P,"*/05/2026")+SUMIFS(T:T,P:P,"*/05/2026")),"")</f>
        <v/>
      </c>
      <c r="M6" s="1" t="str">
        <f>IFERROR(SUMIFS(T:T,P:P,"*/05/2026")/(SUMIFS(R:R,P:P,"*/05/2026")+SUMIFS(S:S,P:P,"*/05/2026")+SUMIFS(T:T,P:P,"*/05/2026")),"")</f>
        <v/>
      </c>
      <c r="O6">
        <v>5</v>
      </c>
      <c r="P6" t="s">
        <v>45</v>
      </c>
      <c r="Q6" t="s">
        <v>37</v>
      </c>
      <c r="R6">
        <v>908</v>
      </c>
      <c r="S6">
        <v>3127</v>
      </c>
      <c r="T6">
        <v>647</v>
      </c>
    </row>
    <row r="7" spans="1:20" x14ac:dyDescent="0.3">
      <c r="A7">
        <v>6</v>
      </c>
      <c r="B7" t="s">
        <v>43</v>
      </c>
      <c r="C7" t="s">
        <v>37</v>
      </c>
      <c r="D7">
        <v>980</v>
      </c>
      <c r="E7">
        <v>1905</v>
      </c>
      <c r="F7">
        <v>0</v>
      </c>
      <c r="H7" t="s">
        <v>46</v>
      </c>
      <c r="I7" s="1">
        <v>0.68</v>
      </c>
      <c r="J7" s="1">
        <v>0.84235294117647064</v>
      </c>
      <c r="K7" s="1" t="str">
        <f>IFERROR(SUMIFS(S:S,P:P,"*/06/2026")/(SUMIFS(R:R,P:P,"*/06/2026")+SUMIFS(S:S,P:P,"*/06/2026")+SUMIFS(T:T,P:P,"*/06/2026")),"")</f>
        <v/>
      </c>
      <c r="L7" s="1" t="str">
        <f>IFERROR(SUMIFS(R:R,P:P,"*/06/2026")/(SUMIFS(R:R,P:P,"*/06/2026")+SUMIFS(S:S,P:P,"*/06/2026")+SUMIFS(T:T,P:P,"*/06/2026")),"")</f>
        <v/>
      </c>
      <c r="M7" s="1" t="str">
        <f>IFERROR(SUMIFS(T:T,P:P,"*/06/2026")/(SUMIFS(R:R,P:P,"*/06/2026")+SUMIFS(S:S,P:P,"*/06/2026")+SUMIFS(T:T,P:P,"*/06/2026")),"")</f>
        <v/>
      </c>
      <c r="O7">
        <v>6</v>
      </c>
      <c r="P7" t="s">
        <v>47</v>
      </c>
      <c r="Q7" t="s">
        <v>34</v>
      </c>
      <c r="R7">
        <v>0</v>
      </c>
      <c r="S7">
        <v>0</v>
      </c>
      <c r="T7">
        <v>2880</v>
      </c>
    </row>
    <row r="8" spans="1:20" x14ac:dyDescent="0.3">
      <c r="A8">
        <v>7</v>
      </c>
      <c r="B8" t="s">
        <v>48</v>
      </c>
      <c r="C8" t="s">
        <v>34</v>
      </c>
      <c r="D8">
        <v>1176</v>
      </c>
      <c r="E8">
        <v>1703</v>
      </c>
      <c r="F8">
        <v>1</v>
      </c>
      <c r="H8" t="s">
        <v>49</v>
      </c>
      <c r="I8" s="1">
        <v>0.68</v>
      </c>
      <c r="J8" s="1">
        <v>0.84235294117647064</v>
      </c>
      <c r="K8" s="1" t="str">
        <f>IFERROR(SUMIFS(S:S,P:P,"*/07/2026")/(SUMIFS(R:R,P:P,"*/07/2026")+SUMIFS(S:S,P:P,"*/07/2026")+SUMIFS(T:T,P:P,"*/07/2026")),"")</f>
        <v/>
      </c>
      <c r="L8" s="1" t="str">
        <f>IFERROR(SUMIFS(R:R,P:P,"*/07/2026")/(SUMIFS(R:R,P:P,"*/07/2026")+SUMIFS(S:S,P:P,"*/07/2026")+SUMIFS(T:T,P:P,"*/07/2026")),"")</f>
        <v/>
      </c>
      <c r="M8" s="1" t="str">
        <f>IFERROR(SUMIFS(T:T,P:P,"*/07/2026")/(SUMIFS(R:R,P:P,"*/07/2026")+SUMIFS(S:S,P:P,"*/07/2026")+SUMIFS(T:T,P:P,"*/07/2026")),"")</f>
        <v/>
      </c>
      <c r="O8">
        <v>7</v>
      </c>
      <c r="P8" t="s">
        <v>47</v>
      </c>
      <c r="Q8" t="s">
        <v>37</v>
      </c>
      <c r="R8">
        <v>0</v>
      </c>
      <c r="S8">
        <v>0</v>
      </c>
      <c r="T8">
        <v>2880</v>
      </c>
    </row>
    <row r="9" spans="1:20" x14ac:dyDescent="0.3">
      <c r="A9">
        <v>8</v>
      </c>
      <c r="B9" t="s">
        <v>48</v>
      </c>
      <c r="C9" t="s">
        <v>37</v>
      </c>
      <c r="D9">
        <v>740</v>
      </c>
      <c r="E9">
        <v>2140</v>
      </c>
      <c r="F9">
        <v>0</v>
      </c>
      <c r="H9" t="s">
        <v>50</v>
      </c>
      <c r="I9" s="1">
        <v>0.68</v>
      </c>
      <c r="J9" s="1">
        <v>0.84235294117647064</v>
      </c>
      <c r="K9" s="1" t="str">
        <f>IFERROR(SUMIFS(S:S,P:P,"*/08/2026")/(SUMIFS(R:R,P:P,"*/08/2026")+SUMIFS(S:S,P:P,"*/08/2026")+SUMIFS(T:T,P:P,"*/08/2026")),"")</f>
        <v/>
      </c>
      <c r="L9" s="1" t="str">
        <f>IFERROR(SUMIFS(R:R,P:P,"*/08/2026")/(SUMIFS(R:R,P:P,"*/08/2026")+SUMIFS(S:S,P:P,"*/08/2026")+SUMIFS(T:T,P:P,"*/08/2026")),"")</f>
        <v/>
      </c>
      <c r="M9" s="1" t="str">
        <f>IFERROR(SUMIFS(T:T,P:P,"*/08/2026")/(SUMIFS(R:R,P:P,"*/08/2026")+SUMIFS(S:S,P:P,"*/08/2026")+SUMIFS(T:T,P:P,"*/08/2026")),"")</f>
        <v/>
      </c>
      <c r="O9">
        <v>8</v>
      </c>
      <c r="P9" t="s">
        <v>51</v>
      </c>
      <c r="Q9" t="s">
        <v>34</v>
      </c>
      <c r="R9">
        <v>423</v>
      </c>
      <c r="S9">
        <v>1670</v>
      </c>
      <c r="T9">
        <v>784</v>
      </c>
    </row>
    <row r="10" spans="1:20" x14ac:dyDescent="0.3">
      <c r="A10">
        <v>9</v>
      </c>
      <c r="B10" t="s">
        <v>52</v>
      </c>
      <c r="C10" t="s">
        <v>34</v>
      </c>
      <c r="D10">
        <v>1426</v>
      </c>
      <c r="E10">
        <v>1413</v>
      </c>
      <c r="F10">
        <v>41</v>
      </c>
      <c r="H10" t="s">
        <v>53</v>
      </c>
      <c r="I10" s="1">
        <v>0.68</v>
      </c>
      <c r="J10" s="1">
        <v>0.84235294117647064</v>
      </c>
      <c r="K10" s="1" t="str">
        <f>IFERROR(SUMIFS(S:S,P:P,"*/09/2026")/(SUMIFS(R:R,P:P,"*/09/2026")+SUMIFS(S:S,P:P,"*/09/2026")+SUMIFS(T:T,P:P,"*/09/2026")),"")</f>
        <v/>
      </c>
      <c r="L10" s="1" t="str">
        <f>IFERROR(SUMIFS(R:R,P:P,"*/09/2026")/(SUMIFS(R:R,P:P,"*/09/2026")+SUMIFS(S:S,P:P,"*/09/2026")+SUMIFS(T:T,P:P,"*/09/2026")),"")</f>
        <v/>
      </c>
      <c r="M10" s="1" t="str">
        <f>IFERROR(SUMIFS(T:T,P:P,"*/09/2026")/(SUMIFS(R:R,P:P,"*/09/2026")+SUMIFS(S:S,P:P,"*/09/2026")+SUMIFS(T:T,P:P,"*/09/2026")),"")</f>
        <v/>
      </c>
      <c r="O10">
        <v>9</v>
      </c>
      <c r="P10" t="s">
        <v>51</v>
      </c>
      <c r="Q10" t="s">
        <v>37</v>
      </c>
      <c r="R10">
        <v>615</v>
      </c>
      <c r="S10">
        <v>1983</v>
      </c>
      <c r="T10">
        <v>248</v>
      </c>
    </row>
    <row r="11" spans="1:20" x14ac:dyDescent="0.3">
      <c r="A11">
        <v>10</v>
      </c>
      <c r="B11" t="s">
        <v>52</v>
      </c>
      <c r="C11" t="s">
        <v>37</v>
      </c>
      <c r="D11">
        <v>0</v>
      </c>
      <c r="E11">
        <v>85</v>
      </c>
      <c r="F11">
        <v>2793</v>
      </c>
      <c r="H11" t="s">
        <v>54</v>
      </c>
      <c r="I11" s="1">
        <v>0.68</v>
      </c>
      <c r="J11" s="1">
        <v>0.84235294117647064</v>
      </c>
      <c r="K11" s="1" t="str">
        <f>IFERROR(SUMIFS(S:S,P:P,"*/10/2026")/(SUMIFS(R:R,P:P,"*/10/2026")+SUMIFS(S:S,P:P,"*/10/2026")+SUMIFS(T:T,P:P,"*/10/2026")),"")</f>
        <v/>
      </c>
      <c r="L11" s="1" t="str">
        <f>IFERROR(SUMIFS(R:R,P:P,"*/10/2026")/(SUMIFS(R:R,P:P,"*/10/2026")+SUMIFS(S:S,P:P,"*/10/2026")+SUMIFS(T:T,P:P,"*/10/2026")),"")</f>
        <v/>
      </c>
      <c r="M11" s="1" t="str">
        <f>IFERROR(SUMIFS(T:T,P:P,"*/10/2026")/(SUMIFS(R:R,P:P,"*/10/2026")+SUMIFS(S:S,P:P,"*/10/2026")+SUMIFS(T:T,P:P,"*/10/2026")),"")</f>
        <v/>
      </c>
      <c r="O11">
        <v>10</v>
      </c>
      <c r="P11" t="s">
        <v>55</v>
      </c>
      <c r="Q11" t="s">
        <v>34</v>
      </c>
      <c r="R11">
        <v>991</v>
      </c>
      <c r="S11">
        <v>1481</v>
      </c>
      <c r="T11">
        <v>409</v>
      </c>
    </row>
    <row r="12" spans="1:20" x14ac:dyDescent="0.3">
      <c r="A12">
        <v>11</v>
      </c>
      <c r="B12" t="s">
        <v>56</v>
      </c>
      <c r="C12" t="s">
        <v>34</v>
      </c>
      <c r="D12">
        <v>628</v>
      </c>
      <c r="E12">
        <v>1452</v>
      </c>
      <c r="F12">
        <v>800</v>
      </c>
      <c r="H12" t="s">
        <v>57</v>
      </c>
      <c r="I12" s="1">
        <v>0.68</v>
      </c>
      <c r="J12" s="1">
        <v>0.84235294117647064</v>
      </c>
      <c r="K12" s="1" t="str">
        <f>IFERROR(SUMIFS(S:S,P:P,"*/11/2026")/(SUMIFS(R:R,P:P,"*/11/2026")+SUMIFS(S:S,P:P,"*/11/2026")+SUMIFS(T:T,P:P,"*/11/2026")),"")</f>
        <v/>
      </c>
      <c r="L12" s="1" t="str">
        <f>IFERROR(SUMIFS(R:R,P:P,"*/11/2026")/(SUMIFS(R:R,P:P,"*/11/2026")+SUMIFS(S:S,P:P,"*/11/2026")+SUMIFS(T:T,P:P,"*/11/2026")),"")</f>
        <v/>
      </c>
      <c r="M12" s="1" t="str">
        <f>IFERROR(SUMIFS(T:T,P:P,"*/11/2026")/(SUMIFS(R:R,P:P,"*/11/2026")+SUMIFS(S:S,P:P,"*/11/2026")+SUMIFS(T:T,P:P,"*/11/2026")),"")</f>
        <v/>
      </c>
      <c r="O12">
        <v>11</v>
      </c>
      <c r="P12" t="s">
        <v>55</v>
      </c>
      <c r="Q12" t="s">
        <v>37</v>
      </c>
      <c r="R12">
        <v>882</v>
      </c>
      <c r="S12">
        <v>2000</v>
      </c>
      <c r="T12">
        <v>0</v>
      </c>
    </row>
    <row r="13" spans="1:20" x14ac:dyDescent="0.3">
      <c r="A13">
        <v>12</v>
      </c>
      <c r="B13" t="s">
        <v>56</v>
      </c>
      <c r="C13" t="s">
        <v>37</v>
      </c>
      <c r="D13">
        <v>633</v>
      </c>
      <c r="E13">
        <v>2251</v>
      </c>
      <c r="F13">
        <v>0</v>
      </c>
      <c r="H13" t="s">
        <v>58</v>
      </c>
      <c r="I13" s="1">
        <v>0.68</v>
      </c>
      <c r="J13" s="1">
        <v>0.84235294117647064</v>
      </c>
      <c r="K13" s="1" t="str">
        <f>IFERROR(SUMIFS(S:S,P:P,"*/12/2026")/(SUMIFS(R:R,P:P,"*/12/2026")+SUMIFS(S:S,P:P,"*/12/2026")+SUMIFS(T:T,P:P,"*/12/2026")),"")</f>
        <v/>
      </c>
      <c r="L13" s="1" t="str">
        <f>IFERROR(SUMIFS(R:R,P:P,"*/12/2026")/(SUMIFS(R:R,P:P,"*/12/2026")+SUMIFS(S:S,P:P,"*/12/2026")+SUMIFS(T:T,P:P,"*/12/2026")),"")</f>
        <v/>
      </c>
      <c r="M13" s="1" t="str">
        <f>IFERROR(SUMIFS(T:T,P:P,"*/12/2026")/(SUMIFS(R:R,P:P,"*/12/2026")+SUMIFS(S:S,P:P,"*/12/2026")+SUMIFS(T:T,P:P,"*/12/2026")),"")</f>
        <v/>
      </c>
      <c r="O13">
        <v>12</v>
      </c>
      <c r="P13" t="s">
        <v>59</v>
      </c>
      <c r="Q13" t="s">
        <v>34</v>
      </c>
      <c r="R13">
        <v>758</v>
      </c>
      <c r="S13">
        <v>642</v>
      </c>
      <c r="T13">
        <v>1475</v>
      </c>
    </row>
    <row r="14" spans="1:20" x14ac:dyDescent="0.3">
      <c r="A14">
        <v>13</v>
      </c>
      <c r="B14" t="s">
        <v>60</v>
      </c>
      <c r="C14" t="s">
        <v>34</v>
      </c>
      <c r="D14">
        <v>1378</v>
      </c>
      <c r="E14">
        <v>1507</v>
      </c>
      <c r="F14">
        <v>0</v>
      </c>
      <c r="H14" t="str">
        <f>IF(B2="","",TEXT(B2,"dd/mm")&amp; "-" &amp;IF(UPPER(TRIM(C2))="CN",1,IF(UPPER(TRIM(C2))="CD",2,"")))</f>
        <v>01/04-1</v>
      </c>
      <c r="I14" s="1">
        <v>0.68</v>
      </c>
      <c r="J14" s="1">
        <v>0.84235294117647064</v>
      </c>
      <c r="K14" s="1">
        <f t="shared" ref="K14:K45" si="0">IFERROR($E2/SUM($D2:$F2),"")</f>
        <v>0.56260839403399232</v>
      </c>
      <c r="L14" s="1">
        <f t="shared" ref="L14:L45" si="1">IFERROR($D2/SUM($D2:$F2),"")</f>
        <v>0.43739160596600762</v>
      </c>
      <c r="M14" s="1">
        <f t="shared" ref="M14:M45" si="2">IFERROR($F2/SUM($D2:$F2),"")</f>
        <v>0</v>
      </c>
      <c r="O14">
        <v>13</v>
      </c>
      <c r="P14" t="s">
        <v>59</v>
      </c>
      <c r="Q14" t="s">
        <v>37</v>
      </c>
      <c r="R14">
        <v>0</v>
      </c>
      <c r="S14">
        <v>0</v>
      </c>
      <c r="T14">
        <v>2880</v>
      </c>
    </row>
    <row r="15" spans="1:20" x14ac:dyDescent="0.3">
      <c r="A15">
        <v>14</v>
      </c>
      <c r="B15" t="s">
        <v>60</v>
      </c>
      <c r="C15" t="s">
        <v>37</v>
      </c>
      <c r="D15">
        <v>866</v>
      </c>
      <c r="E15">
        <v>2017</v>
      </c>
      <c r="F15">
        <v>0</v>
      </c>
      <c r="H15" t="str">
        <f t="shared" ref="H15:H46" si="3">IF(B3="","",TEXT(B3,"dd/mm") &amp; "-" &amp; IF(UPPER(TRIM(C3))="CN",1,IF(UPPER(TRIM(C3))="CD",2,"")))</f>
        <v>01/04-2</v>
      </c>
      <c r="I15" s="1">
        <v>0.68</v>
      </c>
      <c r="J15" s="1">
        <v>0.84235294117647064</v>
      </c>
      <c r="K15" s="1">
        <f t="shared" si="0"/>
        <v>0.79895833333333333</v>
      </c>
      <c r="L15" s="1">
        <f t="shared" si="1"/>
        <v>0.20104166666666667</v>
      </c>
      <c r="M15" s="1">
        <f t="shared" si="2"/>
        <v>0</v>
      </c>
      <c r="O15">
        <v>14</v>
      </c>
      <c r="P15" t="s">
        <v>61</v>
      </c>
      <c r="Q15" t="s">
        <v>34</v>
      </c>
      <c r="R15">
        <v>524</v>
      </c>
      <c r="S15">
        <v>1542</v>
      </c>
      <c r="T15">
        <v>812</v>
      </c>
    </row>
    <row r="16" spans="1:20" x14ac:dyDescent="0.3">
      <c r="A16">
        <v>15</v>
      </c>
      <c r="B16" t="s">
        <v>62</v>
      </c>
      <c r="C16" t="s">
        <v>34</v>
      </c>
      <c r="D16">
        <v>1172</v>
      </c>
      <c r="E16">
        <v>1708</v>
      </c>
      <c r="F16">
        <v>0</v>
      </c>
      <c r="H16" t="str">
        <f t="shared" si="3"/>
        <v>02/04-1</v>
      </c>
      <c r="I16" s="1">
        <v>0.68</v>
      </c>
      <c r="J16" s="1">
        <v>0.84235294117647064</v>
      </c>
      <c r="K16" s="1">
        <f t="shared" si="0"/>
        <v>0.57905686546463242</v>
      </c>
      <c r="L16" s="1">
        <f t="shared" si="1"/>
        <v>0.42094313453536752</v>
      </c>
      <c r="M16" s="1">
        <f t="shared" si="2"/>
        <v>0</v>
      </c>
      <c r="O16">
        <v>15</v>
      </c>
      <c r="P16" t="s">
        <v>61</v>
      </c>
      <c r="Q16" t="s">
        <v>37</v>
      </c>
      <c r="R16">
        <v>945</v>
      </c>
      <c r="S16">
        <v>1938</v>
      </c>
      <c r="T16">
        <v>0</v>
      </c>
    </row>
    <row r="17" spans="1:20" x14ac:dyDescent="0.3">
      <c r="A17">
        <v>16</v>
      </c>
      <c r="B17" t="s">
        <v>62</v>
      </c>
      <c r="C17" t="s">
        <v>37</v>
      </c>
      <c r="D17">
        <v>782</v>
      </c>
      <c r="E17">
        <v>2102</v>
      </c>
      <c r="F17">
        <v>0</v>
      </c>
      <c r="H17" t="str">
        <f t="shared" si="3"/>
        <v>02/04-2</v>
      </c>
      <c r="I17" s="1">
        <v>0.68</v>
      </c>
      <c r="J17" s="1">
        <v>0.84235294117647064</v>
      </c>
      <c r="K17" s="1">
        <f t="shared" si="0"/>
        <v>0.75260235947258847</v>
      </c>
      <c r="L17" s="1">
        <f t="shared" si="1"/>
        <v>0.24739764052741153</v>
      </c>
      <c r="M17" s="1">
        <f t="shared" si="2"/>
        <v>0</v>
      </c>
      <c r="O17">
        <v>16</v>
      </c>
      <c r="P17" t="s">
        <v>63</v>
      </c>
      <c r="Q17" t="s">
        <v>34</v>
      </c>
      <c r="R17">
        <v>1363</v>
      </c>
      <c r="S17">
        <v>1517</v>
      </c>
      <c r="T17">
        <v>0</v>
      </c>
    </row>
    <row r="18" spans="1:20" x14ac:dyDescent="0.3">
      <c r="H18" t="str">
        <f t="shared" si="3"/>
        <v>03/04-1</v>
      </c>
      <c r="I18" s="1">
        <v>0.68</v>
      </c>
      <c r="J18" s="1">
        <v>0.84235294117647064</v>
      </c>
      <c r="K18" s="1">
        <f t="shared" si="0"/>
        <v>0.55119750086775421</v>
      </c>
      <c r="L18" s="1">
        <f t="shared" si="1"/>
        <v>0.44880249913224574</v>
      </c>
      <c r="M18" s="1">
        <f t="shared" si="2"/>
        <v>0</v>
      </c>
      <c r="O18">
        <v>17</v>
      </c>
      <c r="P18" t="s">
        <v>63</v>
      </c>
      <c r="Q18" t="s">
        <v>37</v>
      </c>
      <c r="R18">
        <v>1090</v>
      </c>
      <c r="S18">
        <v>1790</v>
      </c>
      <c r="T18">
        <v>0</v>
      </c>
    </row>
    <row r="19" spans="1:20" x14ac:dyDescent="0.3">
      <c r="H19" t="str">
        <f t="shared" si="3"/>
        <v>03/04-2</v>
      </c>
      <c r="I19" s="1">
        <v>0.68</v>
      </c>
      <c r="J19" s="1">
        <v>0.84235294117647064</v>
      </c>
      <c r="K19" s="1">
        <f t="shared" si="0"/>
        <v>0.66031195840554591</v>
      </c>
      <c r="L19" s="1">
        <f t="shared" si="1"/>
        <v>0.33968804159445409</v>
      </c>
      <c r="M19" s="1">
        <f t="shared" si="2"/>
        <v>0</v>
      </c>
      <c r="O19">
        <v>18</v>
      </c>
      <c r="P19" t="s">
        <v>64</v>
      </c>
      <c r="Q19" t="s">
        <v>34</v>
      </c>
      <c r="R19">
        <v>1434</v>
      </c>
      <c r="S19">
        <v>1426</v>
      </c>
      <c r="T19">
        <v>16</v>
      </c>
    </row>
    <row r="20" spans="1:20" x14ac:dyDescent="0.3">
      <c r="H20" t="str">
        <f t="shared" si="3"/>
        <v>04/04-1</v>
      </c>
      <c r="I20" s="1">
        <v>0.68</v>
      </c>
      <c r="J20" s="1">
        <v>0.84235294117647064</v>
      </c>
      <c r="K20" s="1">
        <f t="shared" si="0"/>
        <v>0.5913194444444444</v>
      </c>
      <c r="L20" s="1">
        <f t="shared" si="1"/>
        <v>0.40833333333333333</v>
      </c>
      <c r="M20" s="1">
        <f t="shared" si="2"/>
        <v>3.4722222222222224E-4</v>
      </c>
      <c r="O20">
        <v>19</v>
      </c>
      <c r="P20" t="s">
        <v>64</v>
      </c>
      <c r="Q20" t="s">
        <v>37</v>
      </c>
      <c r="R20">
        <v>0</v>
      </c>
      <c r="S20">
        <v>0</v>
      </c>
      <c r="T20">
        <v>2880</v>
      </c>
    </row>
    <row r="21" spans="1:20" x14ac:dyDescent="0.3">
      <c r="H21" t="str">
        <f t="shared" si="3"/>
        <v>04/04-2</v>
      </c>
      <c r="I21" s="1">
        <v>0.68</v>
      </c>
      <c r="J21" s="1">
        <v>0.84235294117647064</v>
      </c>
      <c r="K21" s="1">
        <f t="shared" si="0"/>
        <v>0.74305555555555558</v>
      </c>
      <c r="L21" s="1">
        <f t="shared" si="1"/>
        <v>0.25694444444444442</v>
      </c>
      <c r="M21" s="1">
        <f t="shared" si="2"/>
        <v>0</v>
      </c>
      <c r="O21">
        <v>20</v>
      </c>
      <c r="P21" t="s">
        <v>65</v>
      </c>
      <c r="Q21" t="s">
        <v>34</v>
      </c>
      <c r="R21">
        <v>0</v>
      </c>
      <c r="S21">
        <v>0</v>
      </c>
      <c r="T21">
        <v>2880</v>
      </c>
    </row>
    <row r="22" spans="1:20" x14ac:dyDescent="0.3">
      <c r="H22" t="str">
        <f t="shared" si="3"/>
        <v>05/04-1</v>
      </c>
      <c r="I22" s="1">
        <v>0.68</v>
      </c>
      <c r="J22" s="1">
        <v>0.84235294117647064</v>
      </c>
      <c r="K22" s="1">
        <f t="shared" si="0"/>
        <v>0.49062499999999998</v>
      </c>
      <c r="L22" s="1">
        <f t="shared" si="1"/>
        <v>0.49513888888888891</v>
      </c>
      <c r="M22" s="1">
        <f t="shared" si="2"/>
        <v>1.4236111111111111E-2</v>
      </c>
      <c r="O22">
        <v>21</v>
      </c>
      <c r="P22" t="s">
        <v>65</v>
      </c>
      <c r="Q22" t="s">
        <v>37</v>
      </c>
      <c r="R22">
        <v>0</v>
      </c>
      <c r="S22">
        <v>0</v>
      </c>
      <c r="T22">
        <v>2880</v>
      </c>
    </row>
    <row r="23" spans="1:20" x14ac:dyDescent="0.3">
      <c r="H23" t="str">
        <f t="shared" si="3"/>
        <v>05/04-2</v>
      </c>
      <c r="I23" s="1">
        <v>0.68</v>
      </c>
      <c r="J23" s="1">
        <v>0.84235294117647064</v>
      </c>
      <c r="K23" s="1">
        <f t="shared" si="0"/>
        <v>2.9534398888116747E-2</v>
      </c>
      <c r="L23" s="1">
        <f t="shared" si="1"/>
        <v>0</v>
      </c>
      <c r="M23" s="1">
        <f t="shared" si="2"/>
        <v>0.97046560111188329</v>
      </c>
      <c r="O23">
        <v>22</v>
      </c>
      <c r="P23" t="s">
        <v>66</v>
      </c>
      <c r="Q23" t="s">
        <v>34</v>
      </c>
      <c r="R23">
        <v>683</v>
      </c>
      <c r="S23">
        <v>1374</v>
      </c>
      <c r="T23">
        <v>824</v>
      </c>
    </row>
    <row r="24" spans="1:20" x14ac:dyDescent="0.3">
      <c r="H24" t="str">
        <f t="shared" si="3"/>
        <v>06/04-1</v>
      </c>
      <c r="I24" s="1">
        <v>0.68</v>
      </c>
      <c r="J24" s="1">
        <v>0.84235294117647064</v>
      </c>
      <c r="K24" s="1">
        <f t="shared" si="0"/>
        <v>0.50416666666666665</v>
      </c>
      <c r="L24" s="1">
        <f t="shared" si="1"/>
        <v>0.21805555555555556</v>
      </c>
      <c r="M24" s="1">
        <f t="shared" si="2"/>
        <v>0.27777777777777779</v>
      </c>
      <c r="O24">
        <v>23</v>
      </c>
      <c r="P24" t="s">
        <v>66</v>
      </c>
      <c r="Q24" t="s">
        <v>37</v>
      </c>
      <c r="R24">
        <v>1084</v>
      </c>
      <c r="S24">
        <v>1796</v>
      </c>
      <c r="T24">
        <v>0</v>
      </c>
    </row>
    <row r="25" spans="1:20" x14ac:dyDescent="0.3">
      <c r="H25" t="str">
        <f t="shared" si="3"/>
        <v>06/04-2</v>
      </c>
      <c r="I25" s="1">
        <v>0.68</v>
      </c>
      <c r="J25" s="1">
        <v>0.84235294117647064</v>
      </c>
      <c r="K25" s="1">
        <f t="shared" si="0"/>
        <v>0.78051317614424409</v>
      </c>
      <c r="L25" s="1">
        <f t="shared" si="1"/>
        <v>0.21948682385575591</v>
      </c>
      <c r="M25" s="1">
        <f t="shared" si="2"/>
        <v>0</v>
      </c>
      <c r="O25">
        <v>24</v>
      </c>
      <c r="P25" t="s">
        <v>67</v>
      </c>
      <c r="Q25" t="s">
        <v>34</v>
      </c>
      <c r="R25">
        <v>1197</v>
      </c>
      <c r="S25">
        <v>1684</v>
      </c>
      <c r="T25">
        <v>0</v>
      </c>
    </row>
    <row r="26" spans="1:20" x14ac:dyDescent="0.3">
      <c r="H26" t="str">
        <f t="shared" si="3"/>
        <v>07/04-1</v>
      </c>
      <c r="I26" s="1">
        <v>0.68</v>
      </c>
      <c r="J26" s="1">
        <v>0.84235294117647064</v>
      </c>
      <c r="K26" s="1">
        <f t="shared" si="0"/>
        <v>0.52235701906412479</v>
      </c>
      <c r="L26" s="1">
        <f t="shared" si="1"/>
        <v>0.47764298093587521</v>
      </c>
      <c r="M26" s="1">
        <f t="shared" si="2"/>
        <v>0</v>
      </c>
      <c r="O26">
        <v>25</v>
      </c>
      <c r="P26" t="s">
        <v>67</v>
      </c>
      <c r="Q26" t="s">
        <v>37</v>
      </c>
      <c r="R26">
        <v>932</v>
      </c>
      <c r="S26">
        <v>1946</v>
      </c>
      <c r="T26">
        <v>4</v>
      </c>
    </row>
    <row r="27" spans="1:20" x14ac:dyDescent="0.3">
      <c r="H27" t="str">
        <f t="shared" si="3"/>
        <v>07/04-2</v>
      </c>
      <c r="I27" s="1">
        <v>0.68</v>
      </c>
      <c r="J27" s="1">
        <v>0.84235294117647064</v>
      </c>
      <c r="K27" s="1">
        <f t="shared" si="0"/>
        <v>0.69961845300034686</v>
      </c>
      <c r="L27" s="1">
        <f t="shared" si="1"/>
        <v>0.30038154699965314</v>
      </c>
      <c r="M27" s="1">
        <f t="shared" si="2"/>
        <v>0</v>
      </c>
      <c r="O27">
        <v>26</v>
      </c>
      <c r="P27" t="s">
        <v>68</v>
      </c>
      <c r="Q27" t="s">
        <v>34</v>
      </c>
      <c r="R27">
        <v>1375</v>
      </c>
      <c r="S27">
        <v>1506</v>
      </c>
      <c r="T27">
        <v>0</v>
      </c>
    </row>
    <row r="28" spans="1:20" x14ac:dyDescent="0.3">
      <c r="H28" t="str">
        <f t="shared" si="3"/>
        <v>08/04-1</v>
      </c>
      <c r="I28" s="1">
        <v>0.68</v>
      </c>
      <c r="J28" s="1">
        <v>0.84235294117647064</v>
      </c>
      <c r="K28" s="1">
        <f t="shared" si="0"/>
        <v>0.59305555555555556</v>
      </c>
      <c r="L28" s="1">
        <f t="shared" si="1"/>
        <v>0.40694444444444444</v>
      </c>
      <c r="M28" s="1">
        <f t="shared" si="2"/>
        <v>0</v>
      </c>
      <c r="O28">
        <v>27</v>
      </c>
      <c r="P28" t="s">
        <v>68</v>
      </c>
      <c r="Q28" t="s">
        <v>37</v>
      </c>
      <c r="R28">
        <v>1219</v>
      </c>
      <c r="S28">
        <v>1663</v>
      </c>
      <c r="T28">
        <v>0</v>
      </c>
    </row>
    <row r="29" spans="1:20" x14ac:dyDescent="0.3">
      <c r="H29" t="str">
        <f t="shared" si="3"/>
        <v>08/04-2</v>
      </c>
      <c r="I29" s="1">
        <v>0.68</v>
      </c>
      <c r="J29" s="1">
        <v>0.84235294117647064</v>
      </c>
      <c r="K29" s="1">
        <f t="shared" si="0"/>
        <v>0.7288488210818308</v>
      </c>
      <c r="L29" s="1">
        <f t="shared" si="1"/>
        <v>0.2711511789181692</v>
      </c>
      <c r="M29" s="1">
        <f t="shared" si="2"/>
        <v>0</v>
      </c>
      <c r="O29">
        <v>28</v>
      </c>
      <c r="P29" t="s">
        <v>69</v>
      </c>
      <c r="Q29" t="s">
        <v>34</v>
      </c>
      <c r="R29">
        <v>1292</v>
      </c>
      <c r="S29">
        <v>1591</v>
      </c>
      <c r="T29">
        <v>0</v>
      </c>
    </row>
    <row r="30" spans="1:20" x14ac:dyDescent="0.3">
      <c r="H30" t="str">
        <f t="shared" si="3"/>
        <v/>
      </c>
      <c r="I30" s="1"/>
      <c r="J30" s="1"/>
      <c r="K30" s="1" t="str">
        <f t="shared" si="0"/>
        <v/>
      </c>
      <c r="L30" s="1" t="str">
        <f t="shared" si="1"/>
        <v/>
      </c>
      <c r="M30" s="1" t="str">
        <f t="shared" si="2"/>
        <v/>
      </c>
      <c r="O30">
        <v>29</v>
      </c>
      <c r="P30" t="s">
        <v>69</v>
      </c>
      <c r="Q30" t="s">
        <v>37</v>
      </c>
      <c r="R30">
        <v>929</v>
      </c>
      <c r="S30">
        <v>1954</v>
      </c>
      <c r="T30">
        <v>0</v>
      </c>
    </row>
    <row r="31" spans="1:20" x14ac:dyDescent="0.3">
      <c r="H31" t="str">
        <f t="shared" si="3"/>
        <v/>
      </c>
      <c r="I31" s="1"/>
      <c r="J31" s="1"/>
      <c r="K31" s="1" t="str">
        <f t="shared" si="0"/>
        <v/>
      </c>
      <c r="L31" s="1" t="str">
        <f t="shared" si="1"/>
        <v/>
      </c>
      <c r="M31" s="1" t="str">
        <f t="shared" si="2"/>
        <v/>
      </c>
      <c r="O31">
        <v>30</v>
      </c>
      <c r="P31" t="s">
        <v>70</v>
      </c>
      <c r="Q31" t="s">
        <v>34</v>
      </c>
      <c r="R31">
        <v>1165</v>
      </c>
      <c r="S31">
        <v>1718</v>
      </c>
      <c r="T31">
        <v>0</v>
      </c>
    </row>
    <row r="32" spans="1:20" x14ac:dyDescent="0.3">
      <c r="H32" t="str">
        <f t="shared" si="3"/>
        <v/>
      </c>
      <c r="I32" s="1"/>
      <c r="J32" s="1"/>
      <c r="K32" s="1" t="str">
        <f t="shared" si="0"/>
        <v/>
      </c>
      <c r="L32" s="1" t="str">
        <f t="shared" si="1"/>
        <v/>
      </c>
      <c r="M32" s="1" t="str">
        <f t="shared" si="2"/>
        <v/>
      </c>
      <c r="O32">
        <v>31</v>
      </c>
      <c r="P32" t="s">
        <v>70</v>
      </c>
      <c r="Q32" t="s">
        <v>37</v>
      </c>
      <c r="R32">
        <v>1184</v>
      </c>
      <c r="S32">
        <v>1700</v>
      </c>
      <c r="T32">
        <v>0</v>
      </c>
    </row>
    <row r="33" spans="8:20" x14ac:dyDescent="0.3">
      <c r="H33" t="str">
        <f t="shared" si="3"/>
        <v/>
      </c>
      <c r="I33" s="1"/>
      <c r="J33" s="1"/>
      <c r="K33" s="1" t="str">
        <f t="shared" si="0"/>
        <v/>
      </c>
      <c r="L33" s="1" t="str">
        <f t="shared" si="1"/>
        <v/>
      </c>
      <c r="M33" s="1" t="str">
        <f t="shared" si="2"/>
        <v/>
      </c>
      <c r="O33">
        <v>32</v>
      </c>
      <c r="P33" t="s">
        <v>71</v>
      </c>
      <c r="Q33" t="s">
        <v>34</v>
      </c>
      <c r="R33">
        <v>1127</v>
      </c>
      <c r="S33">
        <v>1753</v>
      </c>
      <c r="T33">
        <v>0</v>
      </c>
    </row>
    <row r="34" spans="8:20" x14ac:dyDescent="0.3">
      <c r="H34" t="str">
        <f t="shared" si="3"/>
        <v/>
      </c>
      <c r="I34" s="1"/>
      <c r="J34" s="1"/>
      <c r="K34" s="1" t="str">
        <f t="shared" si="0"/>
        <v/>
      </c>
      <c r="L34" s="1" t="str">
        <f t="shared" si="1"/>
        <v/>
      </c>
      <c r="M34" s="1" t="str">
        <f t="shared" si="2"/>
        <v/>
      </c>
      <c r="O34">
        <v>33</v>
      </c>
      <c r="P34" t="s">
        <v>71</v>
      </c>
      <c r="Q34" t="s">
        <v>37</v>
      </c>
      <c r="R34">
        <v>545</v>
      </c>
      <c r="S34">
        <v>2333</v>
      </c>
      <c r="T34">
        <v>0</v>
      </c>
    </row>
    <row r="35" spans="8:20" x14ac:dyDescent="0.3">
      <c r="H35" t="str">
        <f t="shared" si="3"/>
        <v/>
      </c>
      <c r="I35" s="1"/>
      <c r="J35" s="1"/>
      <c r="K35" s="1" t="str">
        <f t="shared" si="0"/>
        <v/>
      </c>
      <c r="L35" s="1" t="str">
        <f t="shared" si="1"/>
        <v/>
      </c>
      <c r="M35" s="1" t="str">
        <f t="shared" si="2"/>
        <v/>
      </c>
      <c r="O35">
        <v>34</v>
      </c>
      <c r="P35" t="s">
        <v>72</v>
      </c>
      <c r="Q35" t="s">
        <v>34</v>
      </c>
      <c r="R35">
        <v>1452</v>
      </c>
      <c r="S35">
        <v>1424</v>
      </c>
      <c r="T35">
        <v>0</v>
      </c>
    </row>
    <row r="36" spans="8:20" x14ac:dyDescent="0.3">
      <c r="H36" t="str">
        <f t="shared" si="3"/>
        <v/>
      </c>
      <c r="I36" s="1"/>
      <c r="J36" s="1"/>
      <c r="K36" s="1" t="str">
        <f t="shared" si="0"/>
        <v/>
      </c>
      <c r="L36" s="1" t="str">
        <f t="shared" si="1"/>
        <v/>
      </c>
      <c r="M36" s="1" t="str">
        <f t="shared" si="2"/>
        <v/>
      </c>
      <c r="O36">
        <v>35</v>
      </c>
      <c r="P36" t="s">
        <v>72</v>
      </c>
      <c r="Q36" t="s">
        <v>37</v>
      </c>
      <c r="R36">
        <v>1571</v>
      </c>
      <c r="S36">
        <v>672</v>
      </c>
      <c r="T36">
        <v>634</v>
      </c>
    </row>
    <row r="37" spans="8:20" x14ac:dyDescent="0.3">
      <c r="H37" t="str">
        <f t="shared" si="3"/>
        <v/>
      </c>
      <c r="I37" s="1"/>
      <c r="J37" s="1"/>
      <c r="K37" s="1" t="str">
        <f t="shared" si="0"/>
        <v/>
      </c>
      <c r="L37" s="1" t="str">
        <f t="shared" si="1"/>
        <v/>
      </c>
      <c r="M37" s="1" t="str">
        <f t="shared" si="2"/>
        <v/>
      </c>
      <c r="O37">
        <v>36</v>
      </c>
      <c r="P37" t="s">
        <v>73</v>
      </c>
      <c r="Q37" t="s">
        <v>34</v>
      </c>
      <c r="R37">
        <v>1003</v>
      </c>
      <c r="S37">
        <v>1656</v>
      </c>
      <c r="T37">
        <v>220</v>
      </c>
    </row>
    <row r="38" spans="8:20" x14ac:dyDescent="0.3">
      <c r="H38" t="str">
        <f t="shared" si="3"/>
        <v/>
      </c>
      <c r="I38" s="1"/>
      <c r="J38" s="1"/>
      <c r="K38" s="1" t="str">
        <f t="shared" si="0"/>
        <v/>
      </c>
      <c r="L38" s="1" t="str">
        <f t="shared" si="1"/>
        <v/>
      </c>
      <c r="M38" s="1" t="str">
        <f t="shared" si="2"/>
        <v/>
      </c>
      <c r="O38">
        <v>37</v>
      </c>
      <c r="P38" t="s">
        <v>73</v>
      </c>
      <c r="Q38" t="s">
        <v>37</v>
      </c>
      <c r="R38">
        <v>674</v>
      </c>
      <c r="S38">
        <v>2207</v>
      </c>
      <c r="T38">
        <v>0</v>
      </c>
    </row>
    <row r="39" spans="8:20" x14ac:dyDescent="0.3">
      <c r="H39" t="str">
        <f t="shared" si="3"/>
        <v/>
      </c>
      <c r="I39" s="1"/>
      <c r="J39" s="1"/>
      <c r="K39" s="1" t="str">
        <f t="shared" si="0"/>
        <v/>
      </c>
      <c r="L39" s="1" t="str">
        <f t="shared" si="1"/>
        <v/>
      </c>
      <c r="M39" s="1" t="str">
        <f t="shared" si="2"/>
        <v/>
      </c>
      <c r="O39">
        <v>38</v>
      </c>
      <c r="P39" t="s">
        <v>74</v>
      </c>
      <c r="Q39" t="s">
        <v>34</v>
      </c>
      <c r="R39">
        <v>1082</v>
      </c>
      <c r="S39">
        <v>1800</v>
      </c>
      <c r="T39">
        <v>0</v>
      </c>
    </row>
    <row r="40" spans="8:20" x14ac:dyDescent="0.3">
      <c r="H40" t="str">
        <f t="shared" si="3"/>
        <v/>
      </c>
      <c r="I40" s="1"/>
      <c r="J40" s="1"/>
      <c r="K40" s="1" t="str">
        <f t="shared" si="0"/>
        <v/>
      </c>
      <c r="L40" s="1" t="str">
        <f t="shared" si="1"/>
        <v/>
      </c>
      <c r="M40" s="1" t="str">
        <f t="shared" si="2"/>
        <v/>
      </c>
      <c r="O40">
        <v>39</v>
      </c>
      <c r="P40" t="s">
        <v>74</v>
      </c>
      <c r="Q40" t="s">
        <v>37</v>
      </c>
      <c r="R40">
        <v>773</v>
      </c>
      <c r="S40">
        <v>2108</v>
      </c>
      <c r="T40">
        <v>0</v>
      </c>
    </row>
    <row r="41" spans="8:20" x14ac:dyDescent="0.3">
      <c r="H41" t="str">
        <f t="shared" si="3"/>
        <v/>
      </c>
      <c r="I41" s="1"/>
      <c r="J41" s="1"/>
      <c r="K41" s="1" t="str">
        <f t="shared" si="0"/>
        <v/>
      </c>
      <c r="L41" s="1" t="str">
        <f t="shared" si="1"/>
        <v/>
      </c>
      <c r="M41" s="1" t="str">
        <f t="shared" si="2"/>
        <v/>
      </c>
      <c r="O41">
        <v>40</v>
      </c>
      <c r="P41" t="s">
        <v>75</v>
      </c>
      <c r="Q41" t="s">
        <v>34</v>
      </c>
      <c r="R41">
        <v>1242</v>
      </c>
      <c r="S41">
        <v>1639</v>
      </c>
      <c r="T41">
        <v>0</v>
      </c>
    </row>
    <row r="42" spans="8:20" x14ac:dyDescent="0.3">
      <c r="H42" t="str">
        <f t="shared" si="3"/>
        <v/>
      </c>
      <c r="I42" s="1"/>
      <c r="J42" s="1"/>
      <c r="K42" s="1" t="str">
        <f t="shared" si="0"/>
        <v/>
      </c>
      <c r="L42" s="1" t="str">
        <f t="shared" si="1"/>
        <v/>
      </c>
      <c r="M42" s="1" t="str">
        <f t="shared" si="2"/>
        <v/>
      </c>
      <c r="O42">
        <v>41</v>
      </c>
      <c r="P42" t="s">
        <v>75</v>
      </c>
      <c r="Q42" t="s">
        <v>37</v>
      </c>
      <c r="R42">
        <v>672</v>
      </c>
      <c r="S42">
        <v>2209</v>
      </c>
      <c r="T42">
        <v>0</v>
      </c>
    </row>
    <row r="43" spans="8:20" x14ac:dyDescent="0.3">
      <c r="H43" t="str">
        <f t="shared" si="3"/>
        <v/>
      </c>
      <c r="I43" s="1"/>
      <c r="J43" s="1"/>
      <c r="K43" s="1" t="str">
        <f t="shared" si="0"/>
        <v/>
      </c>
      <c r="L43" s="1" t="str">
        <f t="shared" si="1"/>
        <v/>
      </c>
      <c r="M43" s="1" t="str">
        <f t="shared" si="2"/>
        <v/>
      </c>
      <c r="O43">
        <v>42</v>
      </c>
      <c r="P43" t="s">
        <v>76</v>
      </c>
      <c r="Q43" t="s">
        <v>34</v>
      </c>
      <c r="R43">
        <v>1077</v>
      </c>
      <c r="S43">
        <v>1699</v>
      </c>
      <c r="T43">
        <v>102</v>
      </c>
    </row>
    <row r="44" spans="8:20" x14ac:dyDescent="0.3">
      <c r="H44" t="str">
        <f t="shared" si="3"/>
        <v/>
      </c>
      <c r="I44" s="1"/>
      <c r="J44" s="1"/>
      <c r="K44" s="1" t="str">
        <f t="shared" si="0"/>
        <v/>
      </c>
      <c r="L44" s="1" t="str">
        <f t="shared" si="1"/>
        <v/>
      </c>
      <c r="M44" s="1" t="str">
        <f t="shared" si="2"/>
        <v/>
      </c>
      <c r="O44">
        <v>43</v>
      </c>
      <c r="P44" t="s">
        <v>76</v>
      </c>
      <c r="Q44" t="s">
        <v>37</v>
      </c>
      <c r="R44">
        <v>545</v>
      </c>
      <c r="S44">
        <v>2335</v>
      </c>
      <c r="T44">
        <v>0</v>
      </c>
    </row>
    <row r="45" spans="8:20" x14ac:dyDescent="0.3">
      <c r="H45" t="str">
        <f t="shared" si="3"/>
        <v/>
      </c>
      <c r="I45" s="1"/>
      <c r="J45" s="1"/>
      <c r="K45" s="1" t="str">
        <f t="shared" si="0"/>
        <v/>
      </c>
      <c r="L45" s="1" t="str">
        <f t="shared" si="1"/>
        <v/>
      </c>
      <c r="M45" s="1" t="str">
        <f t="shared" si="2"/>
        <v/>
      </c>
      <c r="O45">
        <v>44</v>
      </c>
      <c r="P45" t="s">
        <v>77</v>
      </c>
      <c r="Q45" t="s">
        <v>34</v>
      </c>
      <c r="R45">
        <v>1198</v>
      </c>
      <c r="S45">
        <v>1682</v>
      </c>
      <c r="T45">
        <v>0</v>
      </c>
    </row>
    <row r="46" spans="8:20" x14ac:dyDescent="0.3">
      <c r="H46" t="str">
        <f t="shared" si="3"/>
        <v/>
      </c>
      <c r="I46" s="1"/>
      <c r="J46" s="1"/>
      <c r="K46" s="1" t="str">
        <f t="shared" ref="K46:K77" si="4">IFERROR($E34/SUM($D34:$F34),"")</f>
        <v/>
      </c>
      <c r="L46" s="1" t="str">
        <f t="shared" ref="L46:L77" si="5">IFERROR($D34/SUM($D34:$F34),"")</f>
        <v/>
      </c>
      <c r="M46" s="1" t="str">
        <f t="shared" ref="M46:M77" si="6">IFERROR($F34/SUM($D34:$F34),"")</f>
        <v/>
      </c>
      <c r="O46">
        <v>45</v>
      </c>
      <c r="P46" t="s">
        <v>77</v>
      </c>
      <c r="Q46" t="s">
        <v>37</v>
      </c>
      <c r="R46">
        <v>595</v>
      </c>
      <c r="S46">
        <v>2286</v>
      </c>
      <c r="T46">
        <v>0</v>
      </c>
    </row>
    <row r="47" spans="8:20" x14ac:dyDescent="0.3">
      <c r="H47" t="str">
        <f t="shared" ref="H47:H78" si="7">IF(B35="","",TEXT(B35,"dd/mm") &amp; "-" &amp; IF(UPPER(TRIM(C35))="CN",1,IF(UPPER(TRIM(C35))="CD",2,"")))</f>
        <v/>
      </c>
      <c r="I47" s="1"/>
      <c r="J47" s="1"/>
      <c r="K47" s="1" t="str">
        <f t="shared" si="4"/>
        <v/>
      </c>
      <c r="L47" s="1" t="str">
        <f t="shared" si="5"/>
        <v/>
      </c>
      <c r="M47" s="1" t="str">
        <f t="shared" si="6"/>
        <v/>
      </c>
      <c r="O47">
        <v>46</v>
      </c>
      <c r="P47" t="s">
        <v>78</v>
      </c>
      <c r="Q47" t="s">
        <v>34</v>
      </c>
      <c r="R47">
        <v>1238</v>
      </c>
      <c r="S47">
        <v>1642</v>
      </c>
      <c r="T47">
        <v>0</v>
      </c>
    </row>
    <row r="48" spans="8:20" x14ac:dyDescent="0.3">
      <c r="H48" t="str">
        <f t="shared" si="7"/>
        <v/>
      </c>
      <c r="I48" s="1"/>
      <c r="J48" s="1"/>
      <c r="K48" s="1" t="str">
        <f t="shared" si="4"/>
        <v/>
      </c>
      <c r="L48" s="1" t="str">
        <f t="shared" si="5"/>
        <v/>
      </c>
      <c r="M48" s="1" t="str">
        <f t="shared" si="6"/>
        <v/>
      </c>
      <c r="O48">
        <v>47</v>
      </c>
      <c r="P48" t="s">
        <v>78</v>
      </c>
      <c r="Q48" t="s">
        <v>37</v>
      </c>
      <c r="R48">
        <v>857</v>
      </c>
      <c r="S48">
        <v>2022</v>
      </c>
      <c r="T48">
        <v>0</v>
      </c>
    </row>
    <row r="49" spans="8:20" x14ac:dyDescent="0.3">
      <c r="H49" t="str">
        <f t="shared" si="7"/>
        <v/>
      </c>
      <c r="I49" s="1"/>
      <c r="J49" s="1"/>
      <c r="K49" s="1" t="str">
        <f t="shared" si="4"/>
        <v/>
      </c>
      <c r="L49" s="1" t="str">
        <f t="shared" si="5"/>
        <v/>
      </c>
      <c r="M49" s="1" t="str">
        <f t="shared" si="6"/>
        <v/>
      </c>
      <c r="O49">
        <v>48</v>
      </c>
      <c r="P49" t="s">
        <v>79</v>
      </c>
      <c r="Q49" t="s">
        <v>34</v>
      </c>
      <c r="R49">
        <v>1204</v>
      </c>
      <c r="S49">
        <v>1671</v>
      </c>
      <c r="T49">
        <v>3</v>
      </c>
    </row>
    <row r="50" spans="8:20" x14ac:dyDescent="0.3">
      <c r="H50" t="str">
        <f t="shared" si="7"/>
        <v/>
      </c>
      <c r="I50" s="1"/>
      <c r="J50" s="1"/>
      <c r="K50" s="1" t="str">
        <f t="shared" si="4"/>
        <v/>
      </c>
      <c r="L50" s="1" t="str">
        <f t="shared" si="5"/>
        <v/>
      </c>
      <c r="M50" s="1" t="str">
        <f t="shared" si="6"/>
        <v/>
      </c>
      <c r="O50">
        <v>49</v>
      </c>
      <c r="P50" t="s">
        <v>79</v>
      </c>
      <c r="Q50" t="s">
        <v>37</v>
      </c>
      <c r="R50">
        <v>1444</v>
      </c>
      <c r="S50">
        <v>713</v>
      </c>
      <c r="T50">
        <v>720</v>
      </c>
    </row>
    <row r="51" spans="8:20" x14ac:dyDescent="0.3">
      <c r="H51" t="str">
        <f t="shared" si="7"/>
        <v/>
      </c>
      <c r="I51" s="1"/>
      <c r="J51" s="1"/>
      <c r="K51" s="1" t="str">
        <f t="shared" si="4"/>
        <v/>
      </c>
      <c r="L51" s="1" t="str">
        <f t="shared" si="5"/>
        <v/>
      </c>
      <c r="M51" s="1" t="str">
        <f t="shared" si="6"/>
        <v/>
      </c>
      <c r="O51">
        <v>50</v>
      </c>
      <c r="P51" t="s">
        <v>80</v>
      </c>
      <c r="Q51" t="s">
        <v>34</v>
      </c>
      <c r="R51">
        <v>1063</v>
      </c>
      <c r="S51">
        <v>1614</v>
      </c>
      <c r="T51">
        <v>203</v>
      </c>
    </row>
    <row r="52" spans="8:20" x14ac:dyDescent="0.3">
      <c r="H52" t="str">
        <f t="shared" si="7"/>
        <v/>
      </c>
      <c r="I52" s="1"/>
      <c r="J52" s="1"/>
      <c r="K52" s="1" t="str">
        <f t="shared" si="4"/>
        <v/>
      </c>
      <c r="L52" s="1" t="str">
        <f t="shared" si="5"/>
        <v/>
      </c>
      <c r="M52" s="1" t="str">
        <f t="shared" si="6"/>
        <v/>
      </c>
      <c r="O52">
        <v>51</v>
      </c>
      <c r="P52" t="s">
        <v>80</v>
      </c>
      <c r="Q52" t="s">
        <v>37</v>
      </c>
      <c r="R52">
        <v>502</v>
      </c>
      <c r="S52">
        <v>2380</v>
      </c>
      <c r="T52">
        <v>0</v>
      </c>
    </row>
    <row r="53" spans="8:20" x14ac:dyDescent="0.3">
      <c r="H53" t="str">
        <f t="shared" si="7"/>
        <v/>
      </c>
      <c r="I53" s="1"/>
      <c r="J53" s="1"/>
      <c r="K53" s="1" t="str">
        <f t="shared" si="4"/>
        <v/>
      </c>
      <c r="L53" s="1" t="str">
        <f t="shared" si="5"/>
        <v/>
      </c>
      <c r="M53" s="1" t="str">
        <f t="shared" si="6"/>
        <v/>
      </c>
      <c r="O53">
        <v>52</v>
      </c>
      <c r="P53" t="s">
        <v>81</v>
      </c>
      <c r="Q53" t="s">
        <v>34</v>
      </c>
      <c r="R53">
        <v>885</v>
      </c>
      <c r="S53">
        <v>1998</v>
      </c>
      <c r="T53">
        <v>0</v>
      </c>
    </row>
    <row r="54" spans="8:20" x14ac:dyDescent="0.3">
      <c r="H54" t="str">
        <f t="shared" si="7"/>
        <v/>
      </c>
      <c r="I54" s="1"/>
      <c r="J54" s="1"/>
      <c r="K54" s="1" t="str">
        <f t="shared" si="4"/>
        <v/>
      </c>
      <c r="L54" s="1" t="str">
        <f t="shared" si="5"/>
        <v/>
      </c>
      <c r="M54" s="1" t="str">
        <f t="shared" si="6"/>
        <v/>
      </c>
      <c r="O54">
        <v>53</v>
      </c>
      <c r="P54" t="s">
        <v>81</v>
      </c>
      <c r="Q54" t="s">
        <v>37</v>
      </c>
      <c r="R54">
        <v>628</v>
      </c>
      <c r="S54">
        <v>2253</v>
      </c>
      <c r="T54">
        <v>0</v>
      </c>
    </row>
    <row r="55" spans="8:20" x14ac:dyDescent="0.3">
      <c r="H55" t="str">
        <f t="shared" si="7"/>
        <v/>
      </c>
      <c r="I55" s="1"/>
      <c r="J55" s="1"/>
      <c r="K55" s="1" t="str">
        <f t="shared" si="4"/>
        <v/>
      </c>
      <c r="L55" s="1" t="str">
        <f t="shared" si="5"/>
        <v/>
      </c>
      <c r="M55" s="1" t="str">
        <f t="shared" si="6"/>
        <v/>
      </c>
      <c r="O55">
        <v>54</v>
      </c>
      <c r="P55" t="s">
        <v>82</v>
      </c>
      <c r="Q55" t="s">
        <v>34</v>
      </c>
      <c r="R55">
        <v>1101</v>
      </c>
      <c r="S55">
        <v>1780</v>
      </c>
      <c r="T55">
        <v>0</v>
      </c>
    </row>
    <row r="56" spans="8:20" x14ac:dyDescent="0.3">
      <c r="H56" t="str">
        <f t="shared" si="7"/>
        <v/>
      </c>
      <c r="I56" s="1"/>
      <c r="J56" s="1"/>
      <c r="K56" s="1" t="str">
        <f t="shared" si="4"/>
        <v/>
      </c>
      <c r="L56" s="1" t="str">
        <f t="shared" si="5"/>
        <v/>
      </c>
      <c r="M56" s="1" t="str">
        <f t="shared" si="6"/>
        <v/>
      </c>
      <c r="O56">
        <v>55</v>
      </c>
      <c r="P56" t="s">
        <v>82</v>
      </c>
      <c r="Q56" t="s">
        <v>37</v>
      </c>
      <c r="R56">
        <v>656</v>
      </c>
      <c r="S56">
        <v>2225</v>
      </c>
      <c r="T56">
        <v>0</v>
      </c>
    </row>
    <row r="57" spans="8:20" x14ac:dyDescent="0.3">
      <c r="H57" t="str">
        <f t="shared" si="7"/>
        <v/>
      </c>
      <c r="I57" s="1"/>
      <c r="J57" s="1"/>
      <c r="K57" s="1" t="str">
        <f t="shared" si="4"/>
        <v/>
      </c>
      <c r="L57" s="1" t="str">
        <f t="shared" si="5"/>
        <v/>
      </c>
      <c r="M57" s="1" t="str">
        <f t="shared" si="6"/>
        <v/>
      </c>
      <c r="O57">
        <v>56</v>
      </c>
      <c r="P57" t="s">
        <v>83</v>
      </c>
      <c r="Q57" t="s">
        <v>34</v>
      </c>
      <c r="R57">
        <v>1202</v>
      </c>
      <c r="S57">
        <v>1677</v>
      </c>
      <c r="T57">
        <v>0</v>
      </c>
    </row>
    <row r="58" spans="8:20" x14ac:dyDescent="0.3">
      <c r="H58" t="str">
        <f t="shared" si="7"/>
        <v/>
      </c>
      <c r="I58" s="1"/>
      <c r="J58" s="1"/>
      <c r="K58" s="1" t="str">
        <f t="shared" si="4"/>
        <v/>
      </c>
      <c r="L58" s="1" t="str">
        <f t="shared" si="5"/>
        <v/>
      </c>
      <c r="M58" s="1" t="str">
        <f t="shared" si="6"/>
        <v/>
      </c>
      <c r="O58">
        <v>57</v>
      </c>
      <c r="P58" t="s">
        <v>83</v>
      </c>
      <c r="Q58" t="s">
        <v>37</v>
      </c>
      <c r="R58">
        <v>853</v>
      </c>
      <c r="S58">
        <v>2029</v>
      </c>
      <c r="T58">
        <v>0</v>
      </c>
    </row>
    <row r="59" spans="8:20" x14ac:dyDescent="0.3">
      <c r="H59" t="str">
        <f t="shared" si="7"/>
        <v/>
      </c>
      <c r="I59" s="1"/>
      <c r="J59" s="1"/>
      <c r="K59" s="1" t="str">
        <f t="shared" si="4"/>
        <v/>
      </c>
      <c r="L59" s="1" t="str">
        <f t="shared" si="5"/>
        <v/>
      </c>
      <c r="M59" s="1" t="str">
        <f t="shared" si="6"/>
        <v/>
      </c>
      <c r="O59">
        <v>58</v>
      </c>
      <c r="P59" t="s">
        <v>84</v>
      </c>
      <c r="Q59" t="s">
        <v>34</v>
      </c>
      <c r="R59">
        <v>1043</v>
      </c>
      <c r="S59">
        <v>1838</v>
      </c>
      <c r="T59">
        <v>0</v>
      </c>
    </row>
    <row r="60" spans="8:20" x14ac:dyDescent="0.3">
      <c r="H60" t="str">
        <f t="shared" si="7"/>
        <v/>
      </c>
      <c r="I60" s="1"/>
      <c r="J60" s="1"/>
      <c r="K60" s="1" t="str">
        <f t="shared" si="4"/>
        <v/>
      </c>
      <c r="L60" s="1" t="str">
        <f t="shared" si="5"/>
        <v/>
      </c>
      <c r="M60" s="1" t="str">
        <f t="shared" si="6"/>
        <v/>
      </c>
      <c r="O60">
        <v>59</v>
      </c>
      <c r="P60" t="s">
        <v>84</v>
      </c>
      <c r="Q60" t="s">
        <v>37</v>
      </c>
      <c r="R60">
        <v>702</v>
      </c>
      <c r="S60">
        <v>2178</v>
      </c>
      <c r="T60">
        <v>0</v>
      </c>
    </row>
    <row r="61" spans="8:20" x14ac:dyDescent="0.3">
      <c r="H61" t="str">
        <f t="shared" si="7"/>
        <v/>
      </c>
      <c r="I61" s="1"/>
      <c r="J61" s="1"/>
      <c r="K61" s="1" t="str">
        <f t="shared" si="4"/>
        <v/>
      </c>
      <c r="L61" s="1" t="str">
        <f t="shared" si="5"/>
        <v/>
      </c>
      <c r="M61" s="1" t="str">
        <f t="shared" si="6"/>
        <v/>
      </c>
      <c r="O61">
        <v>60</v>
      </c>
      <c r="P61" t="s">
        <v>85</v>
      </c>
      <c r="Q61" t="s">
        <v>34</v>
      </c>
      <c r="R61">
        <v>1299</v>
      </c>
      <c r="S61">
        <v>1582</v>
      </c>
      <c r="T61">
        <v>0</v>
      </c>
    </row>
    <row r="62" spans="8:20" x14ac:dyDescent="0.3">
      <c r="H62" t="str">
        <f t="shared" si="7"/>
        <v/>
      </c>
      <c r="I62" s="1"/>
      <c r="J62" s="1"/>
      <c r="K62" s="1" t="str">
        <f t="shared" si="4"/>
        <v/>
      </c>
      <c r="L62" s="1" t="str">
        <f t="shared" si="5"/>
        <v/>
      </c>
      <c r="M62" s="1" t="str">
        <f t="shared" si="6"/>
        <v/>
      </c>
      <c r="O62">
        <v>61</v>
      </c>
      <c r="P62" t="s">
        <v>85</v>
      </c>
      <c r="Q62" t="s">
        <v>37</v>
      </c>
      <c r="R62">
        <v>298</v>
      </c>
      <c r="S62">
        <v>1601</v>
      </c>
      <c r="T62">
        <v>978</v>
      </c>
    </row>
    <row r="63" spans="8:20" x14ac:dyDescent="0.3">
      <c r="H63" t="str">
        <f t="shared" si="7"/>
        <v/>
      </c>
      <c r="I63" s="1"/>
      <c r="J63" s="1"/>
      <c r="K63" s="1" t="str">
        <f t="shared" si="4"/>
        <v/>
      </c>
      <c r="L63" s="1" t="str">
        <f t="shared" si="5"/>
        <v/>
      </c>
      <c r="M63" s="1" t="str">
        <f t="shared" si="6"/>
        <v/>
      </c>
      <c r="O63">
        <v>62</v>
      </c>
      <c r="P63" t="s">
        <v>86</v>
      </c>
      <c r="Q63" t="s">
        <v>34</v>
      </c>
      <c r="R63">
        <v>0</v>
      </c>
      <c r="S63">
        <v>0</v>
      </c>
      <c r="T63">
        <v>2880</v>
      </c>
    </row>
    <row r="64" spans="8:20" x14ac:dyDescent="0.3">
      <c r="H64" t="str">
        <f t="shared" si="7"/>
        <v/>
      </c>
      <c r="I64" s="1"/>
      <c r="J64" s="1"/>
      <c r="K64" s="1" t="str">
        <f t="shared" si="4"/>
        <v/>
      </c>
      <c r="L64" s="1" t="str">
        <f t="shared" si="5"/>
        <v/>
      </c>
      <c r="M64" s="1" t="str">
        <f t="shared" si="6"/>
        <v/>
      </c>
      <c r="O64">
        <v>63</v>
      </c>
      <c r="P64" t="s">
        <v>86</v>
      </c>
      <c r="Q64" t="s">
        <v>37</v>
      </c>
      <c r="R64">
        <v>0</v>
      </c>
      <c r="S64">
        <v>0</v>
      </c>
      <c r="T64">
        <v>2880</v>
      </c>
    </row>
    <row r="65" spans="8:20" x14ac:dyDescent="0.3">
      <c r="H65" t="str">
        <f t="shared" si="7"/>
        <v/>
      </c>
      <c r="I65" s="1"/>
      <c r="J65" s="1"/>
      <c r="K65" s="1" t="str">
        <f t="shared" si="4"/>
        <v/>
      </c>
      <c r="L65" s="1" t="str">
        <f t="shared" si="5"/>
        <v/>
      </c>
      <c r="M65" s="1" t="str">
        <f t="shared" si="6"/>
        <v/>
      </c>
      <c r="O65">
        <v>64</v>
      </c>
      <c r="P65" t="s">
        <v>87</v>
      </c>
      <c r="Q65" t="s">
        <v>34</v>
      </c>
      <c r="R65">
        <v>564</v>
      </c>
      <c r="S65">
        <v>1503</v>
      </c>
      <c r="T65">
        <v>811</v>
      </c>
    </row>
    <row r="66" spans="8:20" x14ac:dyDescent="0.3">
      <c r="H66" t="str">
        <f t="shared" si="7"/>
        <v/>
      </c>
      <c r="I66" s="1"/>
      <c r="J66" s="1"/>
      <c r="K66" s="1" t="str">
        <f t="shared" si="4"/>
        <v/>
      </c>
      <c r="L66" s="1" t="str">
        <f t="shared" si="5"/>
        <v/>
      </c>
      <c r="M66" s="1" t="str">
        <f t="shared" si="6"/>
        <v/>
      </c>
      <c r="O66">
        <v>65</v>
      </c>
      <c r="P66" t="s">
        <v>87</v>
      </c>
      <c r="Q66" t="s">
        <v>37</v>
      </c>
      <c r="R66">
        <v>791</v>
      </c>
      <c r="S66">
        <v>2090</v>
      </c>
      <c r="T66">
        <v>0</v>
      </c>
    </row>
    <row r="67" spans="8:20" x14ac:dyDescent="0.3">
      <c r="H67" t="str">
        <f t="shared" si="7"/>
        <v/>
      </c>
      <c r="I67" s="1"/>
      <c r="J67" s="1"/>
      <c r="K67" s="1" t="str">
        <f t="shared" si="4"/>
        <v/>
      </c>
      <c r="L67" s="1" t="str">
        <f t="shared" si="5"/>
        <v/>
      </c>
      <c r="M67" s="1" t="str">
        <f t="shared" si="6"/>
        <v/>
      </c>
      <c r="O67">
        <v>66</v>
      </c>
      <c r="P67" t="s">
        <v>88</v>
      </c>
      <c r="Q67" t="s">
        <v>34</v>
      </c>
      <c r="R67">
        <v>1362</v>
      </c>
      <c r="S67">
        <v>1522</v>
      </c>
      <c r="T67">
        <v>0</v>
      </c>
    </row>
    <row r="68" spans="8:20" x14ac:dyDescent="0.3">
      <c r="H68" t="str">
        <f t="shared" si="7"/>
        <v/>
      </c>
      <c r="I68" s="1"/>
      <c r="J68" s="1"/>
      <c r="K68" s="1" t="str">
        <f t="shared" si="4"/>
        <v/>
      </c>
      <c r="L68" s="1" t="str">
        <f t="shared" si="5"/>
        <v/>
      </c>
      <c r="M68" s="1" t="str">
        <f t="shared" si="6"/>
        <v/>
      </c>
      <c r="O68">
        <v>67</v>
      </c>
      <c r="P68" t="s">
        <v>88</v>
      </c>
      <c r="Q68" t="s">
        <v>37</v>
      </c>
      <c r="R68">
        <v>614</v>
      </c>
      <c r="S68">
        <v>2267</v>
      </c>
      <c r="T68">
        <v>0</v>
      </c>
    </row>
    <row r="69" spans="8:20" x14ac:dyDescent="0.3">
      <c r="H69" t="str">
        <f t="shared" si="7"/>
        <v/>
      </c>
      <c r="I69" s="1"/>
      <c r="J69" s="1"/>
      <c r="K69" s="1" t="str">
        <f t="shared" si="4"/>
        <v/>
      </c>
      <c r="L69" s="1" t="str">
        <f t="shared" si="5"/>
        <v/>
      </c>
      <c r="M69" s="1" t="str">
        <f t="shared" si="6"/>
        <v/>
      </c>
      <c r="O69">
        <v>68</v>
      </c>
      <c r="P69" t="s">
        <v>89</v>
      </c>
      <c r="Q69" t="s">
        <v>34</v>
      </c>
      <c r="R69">
        <v>1193</v>
      </c>
      <c r="S69">
        <v>1689</v>
      </c>
      <c r="T69">
        <v>0</v>
      </c>
    </row>
    <row r="70" spans="8:20" x14ac:dyDescent="0.3">
      <c r="H70" t="str">
        <f t="shared" si="7"/>
        <v/>
      </c>
      <c r="I70" s="1"/>
      <c r="J70" s="1"/>
      <c r="K70" s="1" t="str">
        <f t="shared" si="4"/>
        <v/>
      </c>
      <c r="L70" s="1" t="str">
        <f t="shared" si="5"/>
        <v/>
      </c>
      <c r="M70" s="1" t="str">
        <f t="shared" si="6"/>
        <v/>
      </c>
      <c r="O70">
        <v>69</v>
      </c>
      <c r="P70" t="s">
        <v>89</v>
      </c>
      <c r="Q70" t="s">
        <v>37</v>
      </c>
      <c r="R70">
        <v>724</v>
      </c>
      <c r="S70">
        <v>2159</v>
      </c>
      <c r="T70">
        <v>0</v>
      </c>
    </row>
    <row r="71" spans="8:20" x14ac:dyDescent="0.3">
      <c r="H71" t="str">
        <f t="shared" si="7"/>
        <v/>
      </c>
      <c r="I71" s="1"/>
      <c r="J71" s="1"/>
      <c r="K71" s="1" t="str">
        <f t="shared" si="4"/>
        <v/>
      </c>
      <c r="L71" s="1" t="str">
        <f t="shared" si="5"/>
        <v/>
      </c>
      <c r="M71" s="1" t="str">
        <f t="shared" si="6"/>
        <v/>
      </c>
      <c r="O71">
        <v>70</v>
      </c>
      <c r="P71" t="s">
        <v>90</v>
      </c>
      <c r="Q71" t="s">
        <v>34</v>
      </c>
      <c r="R71">
        <v>1249</v>
      </c>
      <c r="S71">
        <v>1630</v>
      </c>
      <c r="T71">
        <v>0</v>
      </c>
    </row>
    <row r="72" spans="8:20" x14ac:dyDescent="0.3">
      <c r="H72" t="str">
        <f t="shared" si="7"/>
        <v/>
      </c>
      <c r="I72" s="1"/>
      <c r="J72" s="1"/>
      <c r="K72" s="1" t="str">
        <f t="shared" si="4"/>
        <v/>
      </c>
      <c r="L72" s="1" t="str">
        <f t="shared" si="5"/>
        <v/>
      </c>
      <c r="M72" s="1" t="str">
        <f t="shared" si="6"/>
        <v/>
      </c>
      <c r="O72">
        <v>71</v>
      </c>
      <c r="P72" t="s">
        <v>90</v>
      </c>
      <c r="Q72" t="s">
        <v>37</v>
      </c>
      <c r="R72">
        <v>487</v>
      </c>
      <c r="S72">
        <v>2395</v>
      </c>
      <c r="T72">
        <v>0</v>
      </c>
    </row>
    <row r="73" spans="8:20" x14ac:dyDescent="0.3">
      <c r="H73" t="str">
        <f t="shared" si="7"/>
        <v/>
      </c>
      <c r="I73" s="1"/>
      <c r="J73" s="1"/>
      <c r="K73" s="1" t="str">
        <f t="shared" si="4"/>
        <v/>
      </c>
      <c r="L73" s="1" t="str">
        <f t="shared" si="5"/>
        <v/>
      </c>
      <c r="M73" s="1" t="str">
        <f t="shared" si="6"/>
        <v/>
      </c>
      <c r="O73">
        <v>72</v>
      </c>
      <c r="P73" t="s">
        <v>91</v>
      </c>
      <c r="Q73" t="s">
        <v>34</v>
      </c>
      <c r="R73">
        <v>1190</v>
      </c>
      <c r="S73">
        <v>1691</v>
      </c>
      <c r="T73">
        <v>0</v>
      </c>
    </row>
    <row r="74" spans="8:20" x14ac:dyDescent="0.3">
      <c r="H74" t="str">
        <f t="shared" si="7"/>
        <v/>
      </c>
      <c r="I74" s="1"/>
      <c r="J74" s="1"/>
      <c r="K74" s="1" t="str">
        <f t="shared" si="4"/>
        <v/>
      </c>
      <c r="L74" s="1" t="str">
        <f t="shared" si="5"/>
        <v/>
      </c>
      <c r="M74" s="1" t="str">
        <f t="shared" si="6"/>
        <v/>
      </c>
      <c r="O74">
        <v>73</v>
      </c>
      <c r="P74" t="s">
        <v>91</v>
      </c>
      <c r="Q74" t="s">
        <v>37</v>
      </c>
      <c r="R74">
        <v>696</v>
      </c>
      <c r="S74">
        <v>2186</v>
      </c>
      <c r="T74">
        <v>0</v>
      </c>
    </row>
    <row r="75" spans="8:20" x14ac:dyDescent="0.3">
      <c r="H75" t="str">
        <f t="shared" si="7"/>
        <v/>
      </c>
      <c r="I75" s="1"/>
      <c r="J75" s="1"/>
      <c r="K75" s="1" t="str">
        <f t="shared" si="4"/>
        <v/>
      </c>
      <c r="L75" s="1" t="str">
        <f t="shared" si="5"/>
        <v/>
      </c>
      <c r="M75" s="1" t="str">
        <f t="shared" si="6"/>
        <v/>
      </c>
      <c r="O75">
        <v>74</v>
      </c>
      <c r="P75" t="s">
        <v>92</v>
      </c>
      <c r="Q75" t="s">
        <v>34</v>
      </c>
      <c r="R75">
        <v>1199</v>
      </c>
      <c r="S75">
        <v>1681</v>
      </c>
      <c r="T75">
        <v>0</v>
      </c>
    </row>
    <row r="76" spans="8:20" x14ac:dyDescent="0.3">
      <c r="I76" s="1"/>
      <c r="J76" s="1"/>
      <c r="K76" s="1"/>
      <c r="L76" s="1"/>
      <c r="M76" s="1"/>
      <c r="O76">
        <v>75</v>
      </c>
      <c r="P76" t="s">
        <v>92</v>
      </c>
      <c r="Q76" t="s">
        <v>37</v>
      </c>
      <c r="R76">
        <v>995</v>
      </c>
      <c r="S76">
        <v>1888</v>
      </c>
      <c r="T76">
        <v>0</v>
      </c>
    </row>
    <row r="77" spans="8:20" x14ac:dyDescent="0.3">
      <c r="I77" s="1"/>
      <c r="J77" s="1"/>
      <c r="K77" s="1"/>
      <c r="L77" s="1"/>
      <c r="M77" s="1"/>
      <c r="O77">
        <v>76</v>
      </c>
      <c r="P77" t="s">
        <v>93</v>
      </c>
      <c r="Q77" t="s">
        <v>34</v>
      </c>
      <c r="R77">
        <v>1099</v>
      </c>
      <c r="S77">
        <v>1779</v>
      </c>
      <c r="T77">
        <v>0</v>
      </c>
    </row>
    <row r="78" spans="8:20" x14ac:dyDescent="0.3">
      <c r="I78" s="1"/>
      <c r="J78" s="1"/>
      <c r="K78" s="1"/>
      <c r="L78" s="1"/>
      <c r="M78" s="1"/>
      <c r="O78">
        <v>77</v>
      </c>
      <c r="P78" t="s">
        <v>93</v>
      </c>
      <c r="Q78" t="s">
        <v>37</v>
      </c>
      <c r="R78">
        <v>2575</v>
      </c>
      <c r="S78">
        <v>302</v>
      </c>
      <c r="T78">
        <v>0</v>
      </c>
    </row>
    <row r="79" spans="8:20" x14ac:dyDescent="0.3">
      <c r="I79" s="1"/>
      <c r="J79" s="1"/>
      <c r="K79" s="1"/>
      <c r="L79" s="1"/>
      <c r="M79" s="1"/>
      <c r="O79">
        <v>78</v>
      </c>
      <c r="P79" t="s">
        <v>94</v>
      </c>
      <c r="Q79" t="s">
        <v>34</v>
      </c>
      <c r="R79">
        <v>1271</v>
      </c>
      <c r="S79">
        <v>1611</v>
      </c>
      <c r="T79">
        <v>0</v>
      </c>
    </row>
    <row r="80" spans="8:20" x14ac:dyDescent="0.3">
      <c r="I80" s="1"/>
      <c r="J80" s="1"/>
      <c r="K80" s="1"/>
      <c r="L80" s="1"/>
      <c r="M80" s="1"/>
      <c r="O80">
        <v>79</v>
      </c>
      <c r="P80" t="s">
        <v>94</v>
      </c>
      <c r="Q80" t="s">
        <v>37</v>
      </c>
      <c r="R80">
        <v>835</v>
      </c>
      <c r="S80">
        <v>2047</v>
      </c>
      <c r="T80">
        <v>0</v>
      </c>
    </row>
    <row r="81" spans="9:20" x14ac:dyDescent="0.3">
      <c r="I81" s="1"/>
      <c r="J81" s="1"/>
      <c r="K81" s="1"/>
      <c r="L81" s="1"/>
      <c r="M81" s="1"/>
      <c r="O81">
        <v>80</v>
      </c>
      <c r="P81" t="s">
        <v>95</v>
      </c>
      <c r="Q81" t="s">
        <v>34</v>
      </c>
      <c r="R81">
        <v>1523</v>
      </c>
      <c r="S81">
        <v>1356</v>
      </c>
      <c r="T81">
        <v>0</v>
      </c>
    </row>
    <row r="82" spans="9:20" x14ac:dyDescent="0.3">
      <c r="I82" s="1"/>
      <c r="J82" s="1"/>
      <c r="K82" s="1"/>
      <c r="L82" s="1"/>
      <c r="M82" s="1"/>
      <c r="O82">
        <v>81</v>
      </c>
      <c r="P82" t="s">
        <v>95</v>
      </c>
      <c r="Q82" t="s">
        <v>37</v>
      </c>
      <c r="R82">
        <v>1124</v>
      </c>
      <c r="S82">
        <v>1757</v>
      </c>
      <c r="T82">
        <v>0</v>
      </c>
    </row>
    <row r="83" spans="9:20" x14ac:dyDescent="0.3">
      <c r="I83" s="1"/>
      <c r="J83" s="1"/>
      <c r="K83" s="1"/>
      <c r="L83" s="1"/>
      <c r="M83" s="1"/>
      <c r="O83">
        <v>82</v>
      </c>
      <c r="P83" t="s">
        <v>96</v>
      </c>
      <c r="Q83" t="s">
        <v>34</v>
      </c>
      <c r="R83">
        <v>1598</v>
      </c>
      <c r="S83">
        <v>1284</v>
      </c>
      <c r="T83">
        <v>0</v>
      </c>
    </row>
    <row r="84" spans="9:20" x14ac:dyDescent="0.3">
      <c r="I84" s="1"/>
      <c r="J84" s="1"/>
      <c r="K84" s="1"/>
      <c r="L84" s="1"/>
      <c r="M84" s="1"/>
      <c r="O84">
        <v>83</v>
      </c>
      <c r="P84" t="s">
        <v>96</v>
      </c>
      <c r="Q84" t="s">
        <v>37</v>
      </c>
      <c r="R84">
        <v>1147</v>
      </c>
      <c r="S84">
        <v>1733</v>
      </c>
      <c r="T84">
        <v>0</v>
      </c>
    </row>
    <row r="85" spans="9:20" x14ac:dyDescent="0.3">
      <c r="I85" s="1"/>
      <c r="J85" s="1"/>
      <c r="K85" s="1"/>
      <c r="L85" s="1"/>
      <c r="M85" s="1"/>
      <c r="O85">
        <v>84</v>
      </c>
      <c r="P85" t="s">
        <v>97</v>
      </c>
      <c r="Q85" t="s">
        <v>34</v>
      </c>
      <c r="R85">
        <v>1177</v>
      </c>
      <c r="S85">
        <v>1703</v>
      </c>
      <c r="T85">
        <v>0</v>
      </c>
    </row>
    <row r="86" spans="9:20" x14ac:dyDescent="0.3">
      <c r="I86" s="1"/>
      <c r="J86" s="1"/>
      <c r="K86" s="1"/>
      <c r="L86" s="1"/>
      <c r="M86" s="1"/>
      <c r="O86">
        <v>85</v>
      </c>
      <c r="P86" t="s">
        <v>97</v>
      </c>
      <c r="Q86" t="s">
        <v>37</v>
      </c>
      <c r="R86">
        <v>904</v>
      </c>
      <c r="S86">
        <v>1974</v>
      </c>
      <c r="T86">
        <v>4</v>
      </c>
    </row>
    <row r="87" spans="9:20" x14ac:dyDescent="0.3">
      <c r="I87" s="1"/>
      <c r="J87" s="1"/>
      <c r="K87" s="1"/>
      <c r="L87" s="1"/>
      <c r="M87" s="1"/>
      <c r="O87">
        <v>86</v>
      </c>
      <c r="P87" t="s">
        <v>98</v>
      </c>
      <c r="Q87" t="s">
        <v>34</v>
      </c>
      <c r="R87">
        <v>1313</v>
      </c>
      <c r="S87">
        <v>1567</v>
      </c>
      <c r="T87">
        <v>0</v>
      </c>
    </row>
    <row r="88" spans="9:20" x14ac:dyDescent="0.3">
      <c r="I88" s="1"/>
      <c r="J88" s="1"/>
      <c r="K88" s="1"/>
      <c r="L88" s="1"/>
      <c r="M88" s="1"/>
      <c r="O88">
        <v>87</v>
      </c>
      <c r="P88" t="s">
        <v>98</v>
      </c>
      <c r="Q88" t="s">
        <v>37</v>
      </c>
      <c r="R88">
        <v>565</v>
      </c>
      <c r="S88">
        <v>1259</v>
      </c>
      <c r="T88">
        <v>1052</v>
      </c>
    </row>
    <row r="89" spans="9:20" x14ac:dyDescent="0.3">
      <c r="I89" s="1"/>
      <c r="J89" s="1"/>
      <c r="K89" s="1"/>
      <c r="L89" s="1"/>
      <c r="M89" s="1"/>
      <c r="O89">
        <v>88</v>
      </c>
      <c r="P89" t="s">
        <v>99</v>
      </c>
      <c r="Q89" t="s">
        <v>34</v>
      </c>
      <c r="R89">
        <v>0</v>
      </c>
      <c r="S89">
        <v>0</v>
      </c>
      <c r="T89">
        <v>2880</v>
      </c>
    </row>
    <row r="90" spans="9:20" x14ac:dyDescent="0.3">
      <c r="I90" s="1"/>
      <c r="J90" s="1"/>
      <c r="K90" s="1"/>
      <c r="L90" s="1"/>
      <c r="M90" s="1"/>
      <c r="O90">
        <v>89</v>
      </c>
      <c r="P90" t="s">
        <v>99</v>
      </c>
      <c r="Q90" t="s">
        <v>37</v>
      </c>
      <c r="R90">
        <v>0</v>
      </c>
      <c r="S90">
        <v>0</v>
      </c>
      <c r="T90">
        <v>2880</v>
      </c>
    </row>
    <row r="91" spans="9:20" x14ac:dyDescent="0.3">
      <c r="I91" s="1"/>
      <c r="J91" s="1"/>
      <c r="K91" s="1"/>
      <c r="L91" s="1"/>
      <c r="M91" s="1"/>
      <c r="O91">
        <v>90</v>
      </c>
      <c r="P91" t="s">
        <v>100</v>
      </c>
      <c r="Q91" t="s">
        <v>34</v>
      </c>
      <c r="R91">
        <v>0</v>
      </c>
      <c r="S91">
        <v>0</v>
      </c>
      <c r="T91">
        <v>2880</v>
      </c>
    </row>
    <row r="92" spans="9:20" x14ac:dyDescent="0.3">
      <c r="I92" s="1"/>
      <c r="J92" s="1"/>
      <c r="K92" s="1"/>
      <c r="L92" s="1"/>
      <c r="M92" s="1"/>
      <c r="O92">
        <v>91</v>
      </c>
      <c r="P92" t="s">
        <v>100</v>
      </c>
      <c r="Q92" t="s">
        <v>37</v>
      </c>
      <c r="R92">
        <v>0</v>
      </c>
      <c r="S92">
        <v>0</v>
      </c>
      <c r="T92">
        <v>2880</v>
      </c>
    </row>
    <row r="93" spans="9:20" x14ac:dyDescent="0.3">
      <c r="I93" s="1"/>
      <c r="J93" s="1"/>
      <c r="K93" s="1"/>
      <c r="L93" s="1"/>
      <c r="M93" s="1"/>
      <c r="O93">
        <v>92</v>
      </c>
      <c r="P93" t="s">
        <v>101</v>
      </c>
      <c r="Q93" t="s">
        <v>34</v>
      </c>
      <c r="R93">
        <v>0</v>
      </c>
      <c r="S93">
        <v>0</v>
      </c>
      <c r="T93">
        <v>2880</v>
      </c>
    </row>
    <row r="94" spans="9:20" x14ac:dyDescent="0.3">
      <c r="I94" s="1"/>
      <c r="J94" s="1"/>
      <c r="K94" s="1"/>
      <c r="L94" s="1"/>
      <c r="M94" s="1"/>
      <c r="O94">
        <v>93</v>
      </c>
      <c r="P94" t="s">
        <v>101</v>
      </c>
      <c r="Q94" t="s">
        <v>37</v>
      </c>
      <c r="R94">
        <v>0</v>
      </c>
      <c r="S94">
        <v>0</v>
      </c>
      <c r="T94">
        <v>2880</v>
      </c>
    </row>
    <row r="95" spans="9:20" x14ac:dyDescent="0.3">
      <c r="I95" s="1"/>
      <c r="J95" s="1"/>
      <c r="K95" s="1"/>
      <c r="L95" s="1"/>
      <c r="M95" s="1"/>
      <c r="O95">
        <v>94</v>
      </c>
      <c r="P95" t="s">
        <v>102</v>
      </c>
      <c r="Q95" t="s">
        <v>34</v>
      </c>
      <c r="R95">
        <v>0</v>
      </c>
      <c r="S95">
        <v>0</v>
      </c>
      <c r="T95">
        <v>2880</v>
      </c>
    </row>
    <row r="96" spans="9:20" x14ac:dyDescent="0.3">
      <c r="I96" s="1"/>
      <c r="J96" s="1"/>
      <c r="K96" s="1"/>
      <c r="L96" s="1"/>
      <c r="M96" s="1"/>
      <c r="O96">
        <v>95</v>
      </c>
      <c r="P96" t="s">
        <v>102</v>
      </c>
      <c r="Q96" t="s">
        <v>37</v>
      </c>
      <c r="R96">
        <v>0</v>
      </c>
      <c r="S96">
        <v>0</v>
      </c>
      <c r="T96">
        <v>2880</v>
      </c>
    </row>
    <row r="97" spans="9:20" x14ac:dyDescent="0.3">
      <c r="I97" s="1"/>
      <c r="J97" s="1"/>
      <c r="K97" s="1"/>
      <c r="L97" s="1"/>
      <c r="M97" s="1"/>
      <c r="O97">
        <v>96</v>
      </c>
      <c r="P97" t="s">
        <v>103</v>
      </c>
      <c r="Q97" t="s">
        <v>34</v>
      </c>
      <c r="R97">
        <v>0</v>
      </c>
      <c r="S97">
        <v>0</v>
      </c>
      <c r="T97">
        <v>2880</v>
      </c>
    </row>
    <row r="98" spans="9:20" x14ac:dyDescent="0.3">
      <c r="I98" s="1"/>
      <c r="J98" s="1"/>
      <c r="K98" s="1"/>
      <c r="L98" s="1"/>
      <c r="M98" s="1"/>
      <c r="O98">
        <v>97</v>
      </c>
      <c r="P98" t="s">
        <v>103</v>
      </c>
      <c r="Q98" t="s">
        <v>37</v>
      </c>
      <c r="R98">
        <v>0</v>
      </c>
      <c r="S98">
        <v>0</v>
      </c>
      <c r="T98">
        <v>2880</v>
      </c>
    </row>
    <row r="99" spans="9:20" x14ac:dyDescent="0.3">
      <c r="I99" s="1"/>
      <c r="J99" s="1"/>
      <c r="K99" s="1"/>
      <c r="L99" s="1"/>
      <c r="M99" s="1"/>
      <c r="O99">
        <v>98</v>
      </c>
      <c r="P99" t="s">
        <v>104</v>
      </c>
      <c r="Q99" t="s">
        <v>34</v>
      </c>
      <c r="R99">
        <v>0</v>
      </c>
      <c r="S99">
        <v>0</v>
      </c>
      <c r="T99">
        <v>2880</v>
      </c>
    </row>
    <row r="100" spans="9:20" x14ac:dyDescent="0.3">
      <c r="I100" s="1"/>
      <c r="J100" s="1"/>
      <c r="K100" s="1"/>
      <c r="L100" s="1"/>
      <c r="M100" s="1"/>
      <c r="O100">
        <v>99</v>
      </c>
      <c r="P100" t="s">
        <v>104</v>
      </c>
      <c r="Q100" t="s">
        <v>37</v>
      </c>
      <c r="R100">
        <v>0</v>
      </c>
      <c r="S100">
        <v>0</v>
      </c>
      <c r="T100">
        <v>2880</v>
      </c>
    </row>
    <row r="101" spans="9:20" x14ac:dyDescent="0.3">
      <c r="I101" s="1"/>
      <c r="J101" s="1"/>
      <c r="K101" s="1"/>
      <c r="L101" s="1"/>
      <c r="M101" s="1"/>
      <c r="O101">
        <v>100</v>
      </c>
      <c r="P101" t="s">
        <v>105</v>
      </c>
      <c r="Q101" t="s">
        <v>34</v>
      </c>
      <c r="R101">
        <v>0</v>
      </c>
      <c r="S101">
        <v>0</v>
      </c>
      <c r="T101">
        <v>2880</v>
      </c>
    </row>
    <row r="102" spans="9:20" x14ac:dyDescent="0.3">
      <c r="O102">
        <v>101</v>
      </c>
      <c r="P102" t="s">
        <v>105</v>
      </c>
      <c r="Q102" t="s">
        <v>37</v>
      </c>
      <c r="R102">
        <v>0</v>
      </c>
      <c r="S102">
        <v>0</v>
      </c>
      <c r="T102">
        <v>2880</v>
      </c>
    </row>
    <row r="103" spans="9:20" x14ac:dyDescent="0.3">
      <c r="O103">
        <v>102</v>
      </c>
      <c r="P103" t="s">
        <v>106</v>
      </c>
      <c r="Q103" t="s">
        <v>34</v>
      </c>
      <c r="R103">
        <v>0</v>
      </c>
      <c r="S103">
        <v>0</v>
      </c>
      <c r="T103">
        <v>2880</v>
      </c>
    </row>
    <row r="104" spans="9:20" x14ac:dyDescent="0.3">
      <c r="O104">
        <v>103</v>
      </c>
      <c r="P104" t="s">
        <v>106</v>
      </c>
      <c r="Q104" t="s">
        <v>37</v>
      </c>
      <c r="R104">
        <v>0</v>
      </c>
      <c r="S104">
        <v>0</v>
      </c>
      <c r="T104">
        <v>2880</v>
      </c>
    </row>
    <row r="105" spans="9:20" x14ac:dyDescent="0.3">
      <c r="O105">
        <v>104</v>
      </c>
      <c r="P105" t="s">
        <v>107</v>
      </c>
      <c r="Q105" t="s">
        <v>34</v>
      </c>
      <c r="R105">
        <v>0</v>
      </c>
      <c r="S105">
        <v>0</v>
      </c>
      <c r="T105">
        <v>2880</v>
      </c>
    </row>
    <row r="106" spans="9:20" x14ac:dyDescent="0.3">
      <c r="O106">
        <v>105</v>
      </c>
      <c r="P106" t="s">
        <v>107</v>
      </c>
      <c r="Q106" t="s">
        <v>37</v>
      </c>
      <c r="R106">
        <v>0</v>
      </c>
      <c r="S106">
        <v>0</v>
      </c>
      <c r="T106">
        <v>2880</v>
      </c>
    </row>
    <row r="107" spans="9:20" x14ac:dyDescent="0.3">
      <c r="O107">
        <v>106</v>
      </c>
      <c r="P107" t="s">
        <v>108</v>
      </c>
      <c r="Q107" t="s">
        <v>34</v>
      </c>
      <c r="R107">
        <v>554</v>
      </c>
      <c r="S107">
        <v>1497</v>
      </c>
      <c r="T107">
        <v>826</v>
      </c>
    </row>
    <row r="108" spans="9:20" x14ac:dyDescent="0.3">
      <c r="O108">
        <v>107</v>
      </c>
      <c r="P108" t="s">
        <v>108</v>
      </c>
      <c r="Q108" t="s">
        <v>37</v>
      </c>
      <c r="R108">
        <v>880</v>
      </c>
      <c r="S108">
        <v>2001</v>
      </c>
      <c r="T108">
        <v>0</v>
      </c>
    </row>
    <row r="109" spans="9:20" x14ac:dyDescent="0.3">
      <c r="O109">
        <v>108</v>
      </c>
      <c r="P109" t="s">
        <v>109</v>
      </c>
      <c r="Q109" t="s">
        <v>34</v>
      </c>
      <c r="R109">
        <v>1240</v>
      </c>
      <c r="S109">
        <v>1641</v>
      </c>
      <c r="T109">
        <v>0</v>
      </c>
    </row>
    <row r="110" spans="9:20" x14ac:dyDescent="0.3">
      <c r="O110">
        <v>109</v>
      </c>
      <c r="P110" t="s">
        <v>109</v>
      </c>
      <c r="Q110" t="s">
        <v>37</v>
      </c>
      <c r="R110">
        <v>768</v>
      </c>
      <c r="S110">
        <v>2115</v>
      </c>
      <c r="T110">
        <v>0</v>
      </c>
    </row>
    <row r="111" spans="9:20" x14ac:dyDescent="0.3">
      <c r="O111">
        <v>110</v>
      </c>
      <c r="P111" t="s">
        <v>110</v>
      </c>
      <c r="Q111" t="s">
        <v>34</v>
      </c>
      <c r="R111">
        <v>923</v>
      </c>
      <c r="S111">
        <v>1956</v>
      </c>
      <c r="T111">
        <v>0</v>
      </c>
    </row>
    <row r="112" spans="9:20" x14ac:dyDescent="0.3">
      <c r="O112">
        <v>111</v>
      </c>
      <c r="P112" t="s">
        <v>110</v>
      </c>
      <c r="Q112" t="s">
        <v>37</v>
      </c>
      <c r="R112">
        <v>544</v>
      </c>
      <c r="S112">
        <v>2337</v>
      </c>
      <c r="T112">
        <v>0</v>
      </c>
    </row>
    <row r="113" spans="15:20" x14ac:dyDescent="0.3">
      <c r="O113">
        <v>112</v>
      </c>
      <c r="P113" t="s">
        <v>111</v>
      </c>
      <c r="Q113" t="s">
        <v>34</v>
      </c>
      <c r="R113">
        <v>1145</v>
      </c>
      <c r="S113">
        <v>1732</v>
      </c>
      <c r="T113">
        <v>0</v>
      </c>
    </row>
    <row r="114" spans="15:20" x14ac:dyDescent="0.3">
      <c r="O114">
        <v>113</v>
      </c>
      <c r="P114" t="s">
        <v>111</v>
      </c>
      <c r="Q114" t="s">
        <v>37</v>
      </c>
      <c r="R114">
        <v>324</v>
      </c>
      <c r="S114">
        <v>2556</v>
      </c>
      <c r="T114">
        <v>0</v>
      </c>
    </row>
    <row r="115" spans="15:20" x14ac:dyDescent="0.3">
      <c r="O115">
        <v>114</v>
      </c>
      <c r="P115" t="s">
        <v>112</v>
      </c>
      <c r="Q115" t="s">
        <v>34</v>
      </c>
      <c r="R115">
        <v>715</v>
      </c>
      <c r="S115">
        <v>2165</v>
      </c>
      <c r="T115">
        <v>0</v>
      </c>
    </row>
    <row r="116" spans="15:20" x14ac:dyDescent="0.3">
      <c r="O116">
        <v>115</v>
      </c>
      <c r="P116" t="s">
        <v>112</v>
      </c>
      <c r="Q116" t="s">
        <v>37</v>
      </c>
      <c r="R116">
        <v>725</v>
      </c>
      <c r="S116">
        <v>2154</v>
      </c>
      <c r="T116">
        <v>0</v>
      </c>
    </row>
    <row r="117" spans="15:20" x14ac:dyDescent="0.3">
      <c r="O117">
        <v>116</v>
      </c>
      <c r="P117" t="s">
        <v>113</v>
      </c>
      <c r="Q117" t="s">
        <v>34</v>
      </c>
      <c r="R117">
        <v>1266</v>
      </c>
      <c r="S117">
        <v>1615</v>
      </c>
      <c r="T117">
        <v>0</v>
      </c>
    </row>
    <row r="118" spans="15:20" x14ac:dyDescent="0.3">
      <c r="O118">
        <v>117</v>
      </c>
      <c r="P118" t="s">
        <v>113</v>
      </c>
      <c r="Q118" t="s">
        <v>37</v>
      </c>
      <c r="R118">
        <v>751</v>
      </c>
      <c r="S118">
        <v>1376</v>
      </c>
      <c r="T118">
        <v>754</v>
      </c>
    </row>
    <row r="119" spans="15:20" x14ac:dyDescent="0.3">
      <c r="O119">
        <v>118</v>
      </c>
      <c r="P119" t="s">
        <v>114</v>
      </c>
      <c r="Q119" t="s">
        <v>34</v>
      </c>
      <c r="R119">
        <v>332</v>
      </c>
      <c r="S119">
        <v>0</v>
      </c>
      <c r="T119">
        <v>2287</v>
      </c>
    </row>
    <row r="120" spans="15:20" x14ac:dyDescent="0.3">
      <c r="O120">
        <v>119</v>
      </c>
      <c r="P120" t="s">
        <v>114</v>
      </c>
      <c r="Q120" t="s">
        <v>37</v>
      </c>
      <c r="R120">
        <v>0</v>
      </c>
      <c r="S120">
        <v>0</v>
      </c>
      <c r="T120">
        <v>2880</v>
      </c>
    </row>
    <row r="121" spans="15:20" x14ac:dyDescent="0.3">
      <c r="O121">
        <v>120</v>
      </c>
      <c r="P121" t="s">
        <v>115</v>
      </c>
      <c r="Q121" t="s">
        <v>34</v>
      </c>
      <c r="R121">
        <v>646</v>
      </c>
      <c r="S121">
        <v>1420</v>
      </c>
      <c r="T121">
        <v>812</v>
      </c>
    </row>
    <row r="122" spans="15:20" x14ac:dyDescent="0.3">
      <c r="O122">
        <v>121</v>
      </c>
      <c r="P122" t="s">
        <v>115</v>
      </c>
      <c r="Q122" t="s">
        <v>37</v>
      </c>
      <c r="R122">
        <v>582</v>
      </c>
      <c r="S122">
        <v>2300</v>
      </c>
      <c r="T122">
        <v>0</v>
      </c>
    </row>
    <row r="123" spans="15:20" x14ac:dyDescent="0.3">
      <c r="O123">
        <v>122</v>
      </c>
      <c r="P123" t="s">
        <v>116</v>
      </c>
      <c r="Q123" t="s">
        <v>34</v>
      </c>
      <c r="R123">
        <v>1212</v>
      </c>
      <c r="S123">
        <v>1668</v>
      </c>
      <c r="T123">
        <v>0</v>
      </c>
    </row>
    <row r="124" spans="15:20" x14ac:dyDescent="0.3">
      <c r="O124">
        <v>123</v>
      </c>
      <c r="P124" t="s">
        <v>116</v>
      </c>
      <c r="Q124" t="s">
        <v>37</v>
      </c>
      <c r="R124">
        <v>704</v>
      </c>
      <c r="S124">
        <v>2177</v>
      </c>
      <c r="T124">
        <v>0</v>
      </c>
    </row>
    <row r="125" spans="15:20" x14ac:dyDescent="0.3">
      <c r="O125">
        <v>124</v>
      </c>
      <c r="P125" t="s">
        <v>117</v>
      </c>
      <c r="Q125" t="s">
        <v>34</v>
      </c>
      <c r="R125">
        <v>1319</v>
      </c>
      <c r="S125">
        <v>1561</v>
      </c>
      <c r="T125">
        <v>0</v>
      </c>
    </row>
    <row r="126" spans="15:20" x14ac:dyDescent="0.3">
      <c r="O126">
        <v>125</v>
      </c>
      <c r="P126" t="s">
        <v>117</v>
      </c>
      <c r="Q126" t="s">
        <v>37</v>
      </c>
      <c r="R126">
        <v>366</v>
      </c>
      <c r="S126">
        <v>2515</v>
      </c>
      <c r="T126">
        <v>0</v>
      </c>
    </row>
    <row r="127" spans="15:20" x14ac:dyDescent="0.3">
      <c r="O127">
        <v>126</v>
      </c>
      <c r="P127" t="s">
        <v>118</v>
      </c>
      <c r="Q127" t="s">
        <v>34</v>
      </c>
      <c r="R127">
        <v>1174</v>
      </c>
      <c r="S127">
        <v>1706</v>
      </c>
      <c r="T127">
        <v>0</v>
      </c>
    </row>
    <row r="128" spans="15:20" x14ac:dyDescent="0.3">
      <c r="O128">
        <v>127</v>
      </c>
      <c r="P128" t="s">
        <v>118</v>
      </c>
      <c r="Q128" t="s">
        <v>37</v>
      </c>
      <c r="R128">
        <v>485</v>
      </c>
      <c r="S128">
        <v>2396</v>
      </c>
      <c r="T128">
        <v>0</v>
      </c>
    </row>
    <row r="129" spans="15:20" x14ac:dyDescent="0.3">
      <c r="O129">
        <v>128</v>
      </c>
      <c r="P129" t="s">
        <v>119</v>
      </c>
      <c r="Q129" t="s">
        <v>34</v>
      </c>
      <c r="R129">
        <v>1144</v>
      </c>
      <c r="S129">
        <v>1737</v>
      </c>
      <c r="T129">
        <v>0</v>
      </c>
    </row>
    <row r="130" spans="15:20" x14ac:dyDescent="0.3">
      <c r="O130">
        <v>129</v>
      </c>
      <c r="P130" t="s">
        <v>119</v>
      </c>
      <c r="Q130" t="s">
        <v>37</v>
      </c>
      <c r="R130">
        <v>383</v>
      </c>
      <c r="S130">
        <v>2496</v>
      </c>
      <c r="T130">
        <v>0</v>
      </c>
    </row>
    <row r="131" spans="15:20" x14ac:dyDescent="0.3">
      <c r="O131">
        <v>130</v>
      </c>
      <c r="P131" t="s">
        <v>120</v>
      </c>
      <c r="Q131" t="s">
        <v>34</v>
      </c>
      <c r="R131">
        <v>1204</v>
      </c>
      <c r="S131">
        <v>1677</v>
      </c>
      <c r="T131">
        <v>0</v>
      </c>
    </row>
    <row r="132" spans="15:20" x14ac:dyDescent="0.3">
      <c r="O132">
        <v>131</v>
      </c>
      <c r="P132" t="s">
        <v>120</v>
      </c>
      <c r="Q132" t="s">
        <v>37</v>
      </c>
      <c r="R132">
        <v>855</v>
      </c>
      <c r="S132">
        <v>2024</v>
      </c>
      <c r="T132">
        <v>0</v>
      </c>
    </row>
    <row r="133" spans="15:20" x14ac:dyDescent="0.3">
      <c r="O133">
        <v>132</v>
      </c>
      <c r="P133" t="s">
        <v>121</v>
      </c>
      <c r="Q133" t="s">
        <v>34</v>
      </c>
      <c r="R133">
        <v>1213</v>
      </c>
      <c r="S133">
        <v>1667</v>
      </c>
      <c r="T133">
        <v>0</v>
      </c>
    </row>
    <row r="134" spans="15:20" x14ac:dyDescent="0.3">
      <c r="O134">
        <v>133</v>
      </c>
      <c r="P134" t="s">
        <v>121</v>
      </c>
      <c r="Q134" t="s">
        <v>37</v>
      </c>
      <c r="R134">
        <v>1875</v>
      </c>
      <c r="S134">
        <v>293</v>
      </c>
      <c r="T134">
        <v>708</v>
      </c>
    </row>
    <row r="135" spans="15:20" x14ac:dyDescent="0.3">
      <c r="O135">
        <v>134</v>
      </c>
      <c r="P135" t="s">
        <v>122</v>
      </c>
      <c r="Q135" t="s">
        <v>34</v>
      </c>
      <c r="R135">
        <v>1112</v>
      </c>
      <c r="S135">
        <v>1562</v>
      </c>
      <c r="T135">
        <v>206</v>
      </c>
    </row>
    <row r="136" spans="15:20" x14ac:dyDescent="0.3">
      <c r="O136">
        <v>135</v>
      </c>
      <c r="P136" t="s">
        <v>122</v>
      </c>
      <c r="Q136" t="s">
        <v>37</v>
      </c>
      <c r="R136">
        <v>594</v>
      </c>
      <c r="S136">
        <v>2287</v>
      </c>
      <c r="T136">
        <v>0</v>
      </c>
    </row>
    <row r="137" spans="15:20" x14ac:dyDescent="0.3">
      <c r="O137">
        <v>136</v>
      </c>
      <c r="P137" t="s">
        <v>123</v>
      </c>
      <c r="Q137" t="s">
        <v>34</v>
      </c>
      <c r="R137">
        <v>964</v>
      </c>
      <c r="S137">
        <v>1917</v>
      </c>
      <c r="T137">
        <v>0</v>
      </c>
    </row>
    <row r="138" spans="15:20" x14ac:dyDescent="0.3">
      <c r="O138">
        <v>137</v>
      </c>
      <c r="P138" t="s">
        <v>123</v>
      </c>
      <c r="Q138" t="s">
        <v>37</v>
      </c>
      <c r="R138">
        <v>654</v>
      </c>
      <c r="S138">
        <v>2227</v>
      </c>
      <c r="T138">
        <v>0</v>
      </c>
    </row>
    <row r="139" spans="15:20" x14ac:dyDescent="0.3">
      <c r="O139">
        <v>138</v>
      </c>
      <c r="P139" t="s">
        <v>124</v>
      </c>
      <c r="Q139" t="s">
        <v>34</v>
      </c>
      <c r="R139">
        <v>1263</v>
      </c>
      <c r="S139">
        <v>1620</v>
      </c>
      <c r="T139">
        <v>0</v>
      </c>
    </row>
    <row r="140" spans="15:20" x14ac:dyDescent="0.3">
      <c r="O140">
        <v>139</v>
      </c>
      <c r="P140" t="s">
        <v>124</v>
      </c>
      <c r="Q140" t="s">
        <v>37</v>
      </c>
      <c r="R140">
        <v>940</v>
      </c>
      <c r="S140">
        <v>1943</v>
      </c>
      <c r="T140">
        <v>0</v>
      </c>
    </row>
    <row r="141" spans="15:20" x14ac:dyDescent="0.3">
      <c r="O141">
        <v>140</v>
      </c>
      <c r="P141" t="s">
        <v>125</v>
      </c>
      <c r="Q141" t="s">
        <v>34</v>
      </c>
      <c r="R141">
        <v>1340</v>
      </c>
      <c r="S141">
        <v>1541</v>
      </c>
      <c r="T141">
        <v>0</v>
      </c>
    </row>
    <row r="142" spans="15:20" x14ac:dyDescent="0.3">
      <c r="O142">
        <v>141</v>
      </c>
      <c r="P142" t="s">
        <v>125</v>
      </c>
      <c r="Q142" t="s">
        <v>37</v>
      </c>
      <c r="R142">
        <v>815</v>
      </c>
      <c r="S142">
        <v>2065</v>
      </c>
      <c r="T142">
        <v>0</v>
      </c>
    </row>
    <row r="143" spans="15:20" x14ac:dyDescent="0.3">
      <c r="O143">
        <v>142</v>
      </c>
      <c r="P143" t="s">
        <v>126</v>
      </c>
      <c r="Q143" t="s">
        <v>34</v>
      </c>
      <c r="R143">
        <v>1323</v>
      </c>
      <c r="S143">
        <v>1560</v>
      </c>
      <c r="T143">
        <v>0</v>
      </c>
    </row>
    <row r="144" spans="15:20" x14ac:dyDescent="0.3">
      <c r="O144">
        <v>143</v>
      </c>
      <c r="P144" t="s">
        <v>126</v>
      </c>
      <c r="Q144" t="s">
        <v>37</v>
      </c>
      <c r="R144">
        <v>910</v>
      </c>
      <c r="S144">
        <v>1973</v>
      </c>
      <c r="T144">
        <v>0</v>
      </c>
    </row>
    <row r="145" spans="15:20" x14ac:dyDescent="0.3">
      <c r="O145">
        <v>144</v>
      </c>
      <c r="P145" t="s">
        <v>127</v>
      </c>
      <c r="Q145" t="s">
        <v>34</v>
      </c>
      <c r="R145">
        <v>1028</v>
      </c>
      <c r="S145">
        <v>1851</v>
      </c>
      <c r="T145">
        <v>0</v>
      </c>
    </row>
    <row r="146" spans="15:20" x14ac:dyDescent="0.3">
      <c r="O146">
        <v>145</v>
      </c>
      <c r="P146" t="s">
        <v>127</v>
      </c>
      <c r="Q146" t="s">
        <v>37</v>
      </c>
      <c r="R146">
        <v>301</v>
      </c>
      <c r="S146">
        <v>1607</v>
      </c>
      <c r="T146">
        <v>970</v>
      </c>
    </row>
    <row r="147" spans="15:20" x14ac:dyDescent="0.3">
      <c r="O147">
        <v>146</v>
      </c>
      <c r="P147" t="s">
        <v>128</v>
      </c>
      <c r="Q147" t="s">
        <v>34</v>
      </c>
      <c r="R147">
        <v>0</v>
      </c>
      <c r="S147">
        <v>0</v>
      </c>
      <c r="T147">
        <v>2880</v>
      </c>
    </row>
    <row r="148" spans="15:20" x14ac:dyDescent="0.3">
      <c r="O148">
        <v>147</v>
      </c>
      <c r="P148" t="s">
        <v>128</v>
      </c>
      <c r="Q148" t="s">
        <v>37</v>
      </c>
      <c r="R148">
        <v>0</v>
      </c>
      <c r="S148">
        <v>0</v>
      </c>
      <c r="T148">
        <v>2880</v>
      </c>
    </row>
    <row r="149" spans="15:20" x14ac:dyDescent="0.3">
      <c r="O149">
        <v>148</v>
      </c>
      <c r="P149" t="s">
        <v>129</v>
      </c>
      <c r="Q149" t="s">
        <v>34</v>
      </c>
      <c r="R149">
        <v>484</v>
      </c>
      <c r="S149">
        <v>1582</v>
      </c>
      <c r="T149">
        <v>812</v>
      </c>
    </row>
    <row r="150" spans="15:20" x14ac:dyDescent="0.3">
      <c r="O150">
        <v>149</v>
      </c>
      <c r="P150" t="s">
        <v>129</v>
      </c>
      <c r="Q150" t="s">
        <v>37</v>
      </c>
      <c r="R150">
        <v>703</v>
      </c>
      <c r="S150">
        <v>2178</v>
      </c>
      <c r="T150">
        <v>0</v>
      </c>
    </row>
    <row r="151" spans="15:20" x14ac:dyDescent="0.3">
      <c r="O151">
        <v>150</v>
      </c>
      <c r="P151" t="s">
        <v>130</v>
      </c>
      <c r="Q151" t="s">
        <v>34</v>
      </c>
      <c r="R151">
        <v>926</v>
      </c>
      <c r="S151">
        <v>1955</v>
      </c>
      <c r="T151">
        <v>0</v>
      </c>
    </row>
    <row r="152" spans="15:20" x14ac:dyDescent="0.3">
      <c r="O152">
        <v>151</v>
      </c>
      <c r="P152" t="s">
        <v>130</v>
      </c>
      <c r="Q152" t="s">
        <v>37</v>
      </c>
      <c r="R152">
        <v>405</v>
      </c>
      <c r="S152">
        <v>2474</v>
      </c>
      <c r="T152">
        <v>0</v>
      </c>
    </row>
    <row r="153" spans="15:20" x14ac:dyDescent="0.3">
      <c r="O153">
        <v>152</v>
      </c>
      <c r="P153" t="s">
        <v>131</v>
      </c>
      <c r="Q153" t="s">
        <v>34</v>
      </c>
      <c r="R153">
        <v>1135</v>
      </c>
      <c r="S153">
        <v>1746</v>
      </c>
      <c r="T153">
        <v>0</v>
      </c>
    </row>
    <row r="154" spans="15:20" x14ac:dyDescent="0.3">
      <c r="O154">
        <v>153</v>
      </c>
      <c r="P154" t="s">
        <v>131</v>
      </c>
      <c r="Q154" t="s">
        <v>37</v>
      </c>
      <c r="R154">
        <v>823</v>
      </c>
      <c r="S154">
        <v>2058</v>
      </c>
      <c r="T154">
        <v>0</v>
      </c>
    </row>
    <row r="155" spans="15:20" x14ac:dyDescent="0.3">
      <c r="O155">
        <v>154</v>
      </c>
      <c r="P155" t="s">
        <v>132</v>
      </c>
      <c r="Q155" t="s">
        <v>34</v>
      </c>
      <c r="R155">
        <v>1258</v>
      </c>
      <c r="S155">
        <v>1623</v>
      </c>
      <c r="T155">
        <v>0</v>
      </c>
    </row>
    <row r="156" spans="15:20" x14ac:dyDescent="0.3">
      <c r="O156">
        <v>155</v>
      </c>
      <c r="P156" t="s">
        <v>132</v>
      </c>
      <c r="Q156" t="s">
        <v>37</v>
      </c>
      <c r="R156">
        <v>878</v>
      </c>
      <c r="S156">
        <v>2005</v>
      </c>
      <c r="T156">
        <v>0</v>
      </c>
    </row>
    <row r="157" spans="15:20" x14ac:dyDescent="0.3">
      <c r="O157">
        <v>156</v>
      </c>
      <c r="P157" t="s">
        <v>133</v>
      </c>
      <c r="Q157" t="s">
        <v>34</v>
      </c>
      <c r="R157">
        <v>1225</v>
      </c>
      <c r="S157">
        <v>1656</v>
      </c>
      <c r="T157">
        <v>0</v>
      </c>
    </row>
    <row r="158" spans="15:20" x14ac:dyDescent="0.3">
      <c r="O158">
        <v>157</v>
      </c>
      <c r="P158" t="s">
        <v>133</v>
      </c>
      <c r="Q158" t="s">
        <v>37</v>
      </c>
      <c r="R158">
        <v>657</v>
      </c>
      <c r="S158">
        <v>2225</v>
      </c>
      <c r="T158">
        <v>0</v>
      </c>
    </row>
    <row r="159" spans="15:20" x14ac:dyDescent="0.3">
      <c r="O159">
        <v>158</v>
      </c>
      <c r="P159" t="s">
        <v>134</v>
      </c>
      <c r="Q159" t="s">
        <v>34</v>
      </c>
      <c r="R159">
        <v>1223</v>
      </c>
      <c r="S159">
        <v>1658</v>
      </c>
      <c r="T159">
        <v>0</v>
      </c>
    </row>
    <row r="160" spans="15:20" x14ac:dyDescent="0.3">
      <c r="O160">
        <v>159</v>
      </c>
      <c r="P160" t="s">
        <v>134</v>
      </c>
      <c r="Q160" t="s">
        <v>37</v>
      </c>
      <c r="R160">
        <v>1113</v>
      </c>
      <c r="S160">
        <v>1767</v>
      </c>
      <c r="T160">
        <v>0</v>
      </c>
    </row>
    <row r="161" spans="15:20" x14ac:dyDescent="0.3">
      <c r="O161">
        <v>160</v>
      </c>
      <c r="P161" t="s">
        <v>135</v>
      </c>
      <c r="Q161" t="s">
        <v>34</v>
      </c>
      <c r="R161">
        <v>1171</v>
      </c>
      <c r="S161">
        <v>1693</v>
      </c>
      <c r="T161">
        <v>14</v>
      </c>
    </row>
    <row r="162" spans="15:20" x14ac:dyDescent="0.3">
      <c r="O162">
        <v>161</v>
      </c>
      <c r="P162" t="s">
        <v>135</v>
      </c>
      <c r="Q162" t="s">
        <v>37</v>
      </c>
      <c r="R162">
        <v>1354</v>
      </c>
      <c r="S162">
        <v>84</v>
      </c>
      <c r="T162">
        <v>1440</v>
      </c>
    </row>
    <row r="163" spans="15:20" x14ac:dyDescent="0.3">
      <c r="O163">
        <v>162</v>
      </c>
      <c r="P163" t="s">
        <v>136</v>
      </c>
      <c r="Q163" t="s">
        <v>34</v>
      </c>
      <c r="R163">
        <v>1060</v>
      </c>
      <c r="S163">
        <v>1416</v>
      </c>
      <c r="T163">
        <v>404</v>
      </c>
    </row>
    <row r="164" spans="15:20" x14ac:dyDescent="0.3">
      <c r="O164">
        <v>163</v>
      </c>
      <c r="P164" t="s">
        <v>136</v>
      </c>
      <c r="Q164" t="s">
        <v>37</v>
      </c>
      <c r="R164">
        <v>550</v>
      </c>
      <c r="S164">
        <v>2330</v>
      </c>
      <c r="T164">
        <v>0</v>
      </c>
    </row>
    <row r="165" spans="15:20" x14ac:dyDescent="0.3">
      <c r="O165">
        <v>164</v>
      </c>
      <c r="P165" t="s">
        <v>137</v>
      </c>
      <c r="Q165" t="s">
        <v>34</v>
      </c>
      <c r="R165">
        <v>1140</v>
      </c>
      <c r="S165">
        <v>1741</v>
      </c>
      <c r="T165">
        <v>0</v>
      </c>
    </row>
    <row r="166" spans="15:20" x14ac:dyDescent="0.3">
      <c r="O166">
        <v>165</v>
      </c>
      <c r="P166" t="s">
        <v>137</v>
      </c>
      <c r="Q166" t="s">
        <v>37</v>
      </c>
      <c r="R166">
        <v>688</v>
      </c>
      <c r="S166">
        <v>2192</v>
      </c>
      <c r="T166">
        <v>0</v>
      </c>
    </row>
    <row r="167" spans="15:20" x14ac:dyDescent="0.3">
      <c r="O167">
        <v>166</v>
      </c>
      <c r="P167" t="s">
        <v>138</v>
      </c>
      <c r="Q167" t="s">
        <v>34</v>
      </c>
      <c r="R167">
        <v>1126</v>
      </c>
      <c r="S167">
        <v>1753</v>
      </c>
      <c r="T167">
        <v>0</v>
      </c>
    </row>
    <row r="168" spans="15:20" x14ac:dyDescent="0.3">
      <c r="O168">
        <v>167</v>
      </c>
      <c r="P168" t="s">
        <v>138</v>
      </c>
      <c r="Q168" t="s">
        <v>37</v>
      </c>
      <c r="R168">
        <v>448</v>
      </c>
      <c r="S168">
        <v>2430</v>
      </c>
      <c r="T168">
        <v>1</v>
      </c>
    </row>
    <row r="169" spans="15:20" x14ac:dyDescent="0.3">
      <c r="O169">
        <v>168</v>
      </c>
      <c r="P169" t="s">
        <v>139</v>
      </c>
      <c r="Q169" t="s">
        <v>34</v>
      </c>
      <c r="R169">
        <v>1046</v>
      </c>
      <c r="S169">
        <v>1835</v>
      </c>
      <c r="T169">
        <v>0</v>
      </c>
    </row>
    <row r="170" spans="15:20" x14ac:dyDescent="0.3">
      <c r="O170">
        <v>169</v>
      </c>
      <c r="P170" t="s">
        <v>139</v>
      </c>
      <c r="Q170" t="s">
        <v>37</v>
      </c>
      <c r="R170">
        <v>485</v>
      </c>
      <c r="S170">
        <v>2396</v>
      </c>
      <c r="T170">
        <v>0</v>
      </c>
    </row>
    <row r="171" spans="15:20" x14ac:dyDescent="0.3">
      <c r="O171">
        <v>170</v>
      </c>
      <c r="P171" t="s">
        <v>140</v>
      </c>
      <c r="Q171" t="s">
        <v>34</v>
      </c>
      <c r="R171">
        <v>1004</v>
      </c>
      <c r="S171">
        <v>1877</v>
      </c>
      <c r="T171">
        <v>0</v>
      </c>
    </row>
    <row r="172" spans="15:20" x14ac:dyDescent="0.3">
      <c r="O172">
        <v>171</v>
      </c>
      <c r="P172" t="s">
        <v>140</v>
      </c>
      <c r="Q172" t="s">
        <v>37</v>
      </c>
      <c r="R172">
        <v>524</v>
      </c>
      <c r="S172">
        <v>2355</v>
      </c>
      <c r="T172">
        <v>0</v>
      </c>
    </row>
    <row r="173" spans="15:20" x14ac:dyDescent="0.3">
      <c r="O173">
        <v>172</v>
      </c>
      <c r="P173" t="s">
        <v>141</v>
      </c>
      <c r="Q173" t="s">
        <v>34</v>
      </c>
      <c r="R173">
        <v>1056</v>
      </c>
      <c r="S173">
        <v>1824</v>
      </c>
      <c r="T173">
        <v>0</v>
      </c>
    </row>
    <row r="174" spans="15:20" x14ac:dyDescent="0.3">
      <c r="O174">
        <v>173</v>
      </c>
      <c r="P174" t="s">
        <v>141</v>
      </c>
      <c r="Q174" t="s">
        <v>37</v>
      </c>
      <c r="R174">
        <v>825</v>
      </c>
      <c r="S174">
        <v>2055</v>
      </c>
      <c r="T174">
        <v>0</v>
      </c>
    </row>
    <row r="175" spans="15:20" x14ac:dyDescent="0.3">
      <c r="O175">
        <v>174</v>
      </c>
      <c r="P175" t="s">
        <v>142</v>
      </c>
      <c r="Q175" t="s">
        <v>34</v>
      </c>
      <c r="R175">
        <v>1245</v>
      </c>
      <c r="S175">
        <v>1634</v>
      </c>
      <c r="T175">
        <v>0</v>
      </c>
    </row>
    <row r="176" spans="15:20" x14ac:dyDescent="0.3">
      <c r="O176">
        <v>175</v>
      </c>
      <c r="P176" t="s">
        <v>142</v>
      </c>
      <c r="Q176" t="s">
        <v>37</v>
      </c>
      <c r="R176">
        <v>2633</v>
      </c>
      <c r="S176">
        <v>243</v>
      </c>
      <c r="T176">
        <v>0</v>
      </c>
    </row>
    <row r="177" spans="15:20" x14ac:dyDescent="0.3">
      <c r="O177">
        <v>176</v>
      </c>
      <c r="P177" t="s">
        <v>143</v>
      </c>
      <c r="Q177" t="s">
        <v>34</v>
      </c>
      <c r="R177">
        <v>1254</v>
      </c>
      <c r="S177">
        <v>1627</v>
      </c>
      <c r="T177">
        <v>0</v>
      </c>
    </row>
    <row r="178" spans="15:20" x14ac:dyDescent="0.3">
      <c r="O178">
        <v>177</v>
      </c>
      <c r="P178" t="s">
        <v>143</v>
      </c>
      <c r="Q178" t="s">
        <v>37</v>
      </c>
      <c r="R178">
        <v>417</v>
      </c>
      <c r="S178">
        <v>2465</v>
      </c>
      <c r="T178">
        <v>0</v>
      </c>
    </row>
    <row r="179" spans="15:20" x14ac:dyDescent="0.3">
      <c r="O179">
        <v>178</v>
      </c>
      <c r="P179" t="s">
        <v>144</v>
      </c>
      <c r="Q179" t="s">
        <v>34</v>
      </c>
      <c r="R179">
        <v>1013</v>
      </c>
      <c r="S179">
        <v>1866</v>
      </c>
      <c r="T179">
        <v>0</v>
      </c>
    </row>
    <row r="180" spans="15:20" x14ac:dyDescent="0.3">
      <c r="O180">
        <v>179</v>
      </c>
      <c r="P180" t="s">
        <v>144</v>
      </c>
      <c r="Q180" t="s">
        <v>37</v>
      </c>
      <c r="R180">
        <v>657</v>
      </c>
      <c r="S180">
        <v>2224</v>
      </c>
      <c r="T180">
        <v>0</v>
      </c>
    </row>
    <row r="181" spans="15:20" x14ac:dyDescent="0.3">
      <c r="O181">
        <v>180</v>
      </c>
      <c r="P181" t="s">
        <v>33</v>
      </c>
      <c r="Q181" t="s">
        <v>34</v>
      </c>
      <c r="R181">
        <v>1261</v>
      </c>
      <c r="S181">
        <v>1622</v>
      </c>
      <c r="T181">
        <v>0</v>
      </c>
    </row>
    <row r="182" spans="15:20" x14ac:dyDescent="0.3">
      <c r="O182">
        <v>181</v>
      </c>
      <c r="P182" t="s">
        <v>33</v>
      </c>
      <c r="Q182" t="s">
        <v>37</v>
      </c>
      <c r="R182">
        <v>579</v>
      </c>
      <c r="S182">
        <v>2301</v>
      </c>
      <c r="T182">
        <v>0</v>
      </c>
    </row>
    <row r="183" spans="15:20" x14ac:dyDescent="0.3">
      <c r="O183">
        <v>182</v>
      </c>
      <c r="P183" t="s">
        <v>39</v>
      </c>
      <c r="Q183" t="s">
        <v>34</v>
      </c>
      <c r="R183">
        <v>1214</v>
      </c>
      <c r="S183">
        <v>1670</v>
      </c>
      <c r="T183">
        <v>0</v>
      </c>
    </row>
    <row r="184" spans="15:20" x14ac:dyDescent="0.3">
      <c r="O184">
        <v>183</v>
      </c>
      <c r="P184" t="s">
        <v>39</v>
      </c>
      <c r="Q184" t="s">
        <v>37</v>
      </c>
      <c r="R184">
        <v>713</v>
      </c>
      <c r="S184">
        <v>2169</v>
      </c>
      <c r="T184">
        <v>0</v>
      </c>
    </row>
    <row r="185" spans="15:20" x14ac:dyDescent="0.3">
      <c r="O185">
        <v>184</v>
      </c>
      <c r="P185" t="s">
        <v>43</v>
      </c>
      <c r="Q185" t="s">
        <v>34</v>
      </c>
      <c r="R185">
        <v>1293</v>
      </c>
      <c r="S185">
        <v>1588</v>
      </c>
      <c r="T185">
        <v>0</v>
      </c>
    </row>
    <row r="186" spans="15:20" x14ac:dyDescent="0.3">
      <c r="O186">
        <v>185</v>
      </c>
      <c r="P186" t="s">
        <v>43</v>
      </c>
      <c r="Q186" t="s">
        <v>37</v>
      </c>
      <c r="R186">
        <v>980</v>
      </c>
      <c r="S186">
        <v>1905</v>
      </c>
      <c r="T186">
        <v>0</v>
      </c>
    </row>
    <row r="187" spans="15:20" x14ac:dyDescent="0.3">
      <c r="O187">
        <v>186</v>
      </c>
      <c r="P187" t="s">
        <v>48</v>
      </c>
      <c r="Q187" t="s">
        <v>34</v>
      </c>
      <c r="R187">
        <v>1176</v>
      </c>
      <c r="S187">
        <v>1703</v>
      </c>
      <c r="T187">
        <v>1</v>
      </c>
    </row>
    <row r="188" spans="15:20" x14ac:dyDescent="0.3">
      <c r="O188">
        <v>187</v>
      </c>
      <c r="P188" t="s">
        <v>48</v>
      </c>
      <c r="Q188" t="s">
        <v>37</v>
      </c>
      <c r="R188">
        <v>740</v>
      </c>
      <c r="S188">
        <v>2140</v>
      </c>
      <c r="T188">
        <v>0</v>
      </c>
    </row>
    <row r="189" spans="15:20" x14ac:dyDescent="0.3">
      <c r="O189">
        <v>188</v>
      </c>
      <c r="P189" t="s">
        <v>52</v>
      </c>
      <c r="Q189" t="s">
        <v>34</v>
      </c>
      <c r="R189">
        <v>1426</v>
      </c>
      <c r="S189">
        <v>1413</v>
      </c>
      <c r="T189">
        <v>41</v>
      </c>
    </row>
    <row r="190" spans="15:20" x14ac:dyDescent="0.3">
      <c r="O190">
        <v>189</v>
      </c>
      <c r="P190" t="s">
        <v>52</v>
      </c>
      <c r="Q190" t="s">
        <v>37</v>
      </c>
      <c r="R190">
        <v>0</v>
      </c>
      <c r="S190">
        <v>85</v>
      </c>
      <c r="T190">
        <v>2793</v>
      </c>
    </row>
    <row r="191" spans="15:20" x14ac:dyDescent="0.3">
      <c r="O191">
        <v>190</v>
      </c>
      <c r="P191" t="s">
        <v>56</v>
      </c>
      <c r="Q191" t="s">
        <v>34</v>
      </c>
      <c r="R191">
        <v>628</v>
      </c>
      <c r="S191">
        <v>1452</v>
      </c>
      <c r="T191">
        <v>800</v>
      </c>
    </row>
    <row r="192" spans="15:20" x14ac:dyDescent="0.3">
      <c r="O192">
        <v>191</v>
      </c>
      <c r="P192" t="s">
        <v>56</v>
      </c>
      <c r="Q192" t="s">
        <v>37</v>
      </c>
      <c r="R192">
        <v>633</v>
      </c>
      <c r="S192">
        <v>2251</v>
      </c>
      <c r="T192">
        <v>0</v>
      </c>
    </row>
    <row r="193" spans="15:20" x14ac:dyDescent="0.3">
      <c r="O193">
        <v>192</v>
      </c>
      <c r="P193" t="s">
        <v>60</v>
      </c>
      <c r="Q193" t="s">
        <v>34</v>
      </c>
      <c r="R193">
        <v>1378</v>
      </c>
      <c r="S193">
        <v>1507</v>
      </c>
      <c r="T193">
        <v>0</v>
      </c>
    </row>
    <row r="194" spans="15:20" x14ac:dyDescent="0.3">
      <c r="O194">
        <v>193</v>
      </c>
      <c r="P194" t="s">
        <v>60</v>
      </c>
      <c r="Q194" t="s">
        <v>37</v>
      </c>
      <c r="R194">
        <v>866</v>
      </c>
      <c r="S194">
        <v>2017</v>
      </c>
      <c r="T194">
        <v>0</v>
      </c>
    </row>
    <row r="195" spans="15:20" x14ac:dyDescent="0.3">
      <c r="O195">
        <v>194</v>
      </c>
      <c r="P195" t="s">
        <v>62</v>
      </c>
      <c r="Q195" t="s">
        <v>34</v>
      </c>
      <c r="R195">
        <v>1172</v>
      </c>
      <c r="S195">
        <v>1708</v>
      </c>
      <c r="T195">
        <v>0</v>
      </c>
    </row>
    <row r="196" spans="15:20" x14ac:dyDescent="0.3">
      <c r="O196">
        <v>195</v>
      </c>
      <c r="P196" t="s">
        <v>62</v>
      </c>
      <c r="Q196" t="s">
        <v>37</v>
      </c>
      <c r="R196">
        <v>782</v>
      </c>
      <c r="S196">
        <v>2102</v>
      </c>
      <c r="T196"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T196"/>
  <sheetViews>
    <sheetView topLeftCell="G1" zoomScale="115" zoomScaleNormal="115" workbookViewId="0">
      <selection activeCell="I2" sqref="I2:J75"/>
    </sheetView>
  </sheetViews>
  <sheetFormatPr defaultRowHeight="14.4" x14ac:dyDescent="0.3"/>
  <cols>
    <col min="1" max="1" width="3.44140625" bestFit="1" customWidth="1"/>
    <col min="2" max="2" width="11.88671875" bestFit="1" customWidth="1"/>
    <col min="3" max="3" width="11" bestFit="1" customWidth="1"/>
    <col min="4" max="4" width="34.109375" bestFit="1" customWidth="1"/>
    <col min="5" max="5" width="30.5546875" bestFit="1" customWidth="1"/>
    <col min="6" max="6" width="22.6640625" bestFit="1" customWidth="1"/>
    <col min="9" max="10" width="12" bestFit="1" customWidth="1"/>
    <col min="11" max="11" width="8.33203125" bestFit="1" customWidth="1"/>
    <col min="12" max="12" width="11.5546875" bestFit="1" customWidth="1"/>
    <col min="13" max="13" width="10" bestFit="1" customWidth="1"/>
  </cols>
  <sheetData>
    <row r="1" spans="1:20" s="2" customFormat="1" x14ac:dyDescent="0.3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  <c r="L1" s="3" t="s">
        <v>31</v>
      </c>
      <c r="M1" s="3" t="s">
        <v>32</v>
      </c>
    </row>
    <row r="2" spans="1:20" x14ac:dyDescent="0.3">
      <c r="A2">
        <v>1</v>
      </c>
      <c r="B2" t="s">
        <v>33</v>
      </c>
      <c r="C2" t="s">
        <v>34</v>
      </c>
      <c r="D2">
        <v>900</v>
      </c>
      <c r="E2">
        <v>540</v>
      </c>
      <c r="F2">
        <v>1</v>
      </c>
      <c r="H2" t="s">
        <v>35</v>
      </c>
      <c r="I2" s="1">
        <v>0.5</v>
      </c>
      <c r="J2" s="1">
        <v>0.58823529411764708</v>
      </c>
      <c r="K2" s="1">
        <f>IFERROR(SUMIFS(S:S,P:P,"*/01/2026")/(SUMIFS(R:R,P:P,"*/01/2026")+SUMIFS(S:S,P:P,"*/01/2026")+SUMIFS(T:T,P:P,"*/01/2026")),"")</f>
        <v>0.4827036751477769</v>
      </c>
      <c r="L2" s="1">
        <f>IFERROR(SUMIFS(R:R,P:P,"*/01/2026")/(SUMIFS(R:R,P:P,"*/01/2026")+SUMIFS(S:S,P:P,"*/01/2026")+SUMIFS(T:T,P:P,"*/01/2026")),"")</f>
        <v>0.37684399897198662</v>
      </c>
      <c r="M2" s="1">
        <f>IFERROR(SUMIFS(T:T,P:P,"*/01/2026")/(SUMIFS(R:R,P:P,"*/01/2026")+SUMIFS(S:S,P:P,"*/01/2026")+SUMIFS(T:T,P:P,"*/01/2026")),"")</f>
        <v>0.14045232588023646</v>
      </c>
      <c r="O2">
        <v>1</v>
      </c>
      <c r="P2" t="s">
        <v>36</v>
      </c>
      <c r="Q2" t="s">
        <v>34</v>
      </c>
      <c r="R2">
        <v>0</v>
      </c>
      <c r="S2">
        <v>0</v>
      </c>
      <c r="T2">
        <v>720</v>
      </c>
    </row>
    <row r="3" spans="1:20" x14ac:dyDescent="0.3">
      <c r="A3">
        <v>2</v>
      </c>
      <c r="B3" t="s">
        <v>33</v>
      </c>
      <c r="C3" t="s">
        <v>37</v>
      </c>
      <c r="D3">
        <v>522</v>
      </c>
      <c r="E3">
        <v>918</v>
      </c>
      <c r="F3">
        <v>1</v>
      </c>
      <c r="H3" t="s">
        <v>38</v>
      </c>
      <c r="I3" s="1">
        <v>0.5</v>
      </c>
      <c r="J3" s="1">
        <v>0.58823529411764708</v>
      </c>
      <c r="K3" s="1">
        <f>IFERROR(SUMIFS(S:S,P:P,"*/02/2026")/(SUMIFS(R:R,P:P,"*/02/2026")+SUMIFS(S:S,P:P,"*/02/2026")+SUMIFS(T:T,P:P,"*/02/2026")),"")</f>
        <v>0.41719428436093786</v>
      </c>
      <c r="L3" s="1">
        <f>IFERROR(SUMIFS(R:R,P:P,"*/02/2026")/(SUMIFS(R:R,P:P,"*/02/2026")+SUMIFS(S:S,P:P,"*/02/2026")+SUMIFS(T:T,P:P,"*/02/2026")),"")</f>
        <v>0.30938659508960292</v>
      </c>
      <c r="M3" s="1">
        <f>IFERROR(SUMIFS(T:T,P:P,"*/02/2026")/(SUMIFS(R:R,P:P,"*/02/2026")+SUMIFS(S:S,P:P,"*/02/2026")+SUMIFS(T:T,P:P,"*/02/2026")),"")</f>
        <v>0.27341912054945922</v>
      </c>
      <c r="O3">
        <v>2</v>
      </c>
      <c r="P3" t="s">
        <v>36</v>
      </c>
      <c r="Q3" t="s">
        <v>37</v>
      </c>
      <c r="R3">
        <v>80</v>
      </c>
      <c r="S3">
        <v>41</v>
      </c>
      <c r="T3">
        <v>658</v>
      </c>
    </row>
    <row r="4" spans="1:20" x14ac:dyDescent="0.3">
      <c r="A4">
        <v>3</v>
      </c>
      <c r="B4" t="s">
        <v>39</v>
      </c>
      <c r="C4" t="s">
        <v>34</v>
      </c>
      <c r="D4">
        <v>670</v>
      </c>
      <c r="E4">
        <v>769</v>
      </c>
      <c r="F4">
        <v>1</v>
      </c>
      <c r="H4" t="s">
        <v>40</v>
      </c>
      <c r="I4" s="1">
        <v>0.5</v>
      </c>
      <c r="J4" s="1">
        <v>0.58823529411764708</v>
      </c>
      <c r="K4" s="1">
        <f>IFERROR(SUMIFS(S:S,P:P,"*/03/2026")/(SUMIFS(R:R,P:P,"*/03/2026")+SUMIFS(S:S,P:P,"*/03/2026")+SUMIFS(T:T,P:P,"*/03/2026")),"")</f>
        <v>0.36643714564452046</v>
      </c>
      <c r="L4" s="1">
        <f>IFERROR(SUMIFS(R:R,P:P,"*/03/2026")/(SUMIFS(R:R,P:P,"*/03/2026")+SUMIFS(S:S,P:P,"*/03/2026")+SUMIFS(T:T,P:P,"*/03/2026")),"")</f>
        <v>0.37231891639684989</v>
      </c>
      <c r="M4" s="1">
        <f>IFERROR(SUMIFS(T:T,P:P,"*/03/2026")/(SUMIFS(R:R,P:P,"*/03/2026")+SUMIFS(S:S,P:P,"*/03/2026")+SUMIFS(T:T,P:P,"*/03/2026")),"")</f>
        <v>0.26124393795862966</v>
      </c>
      <c r="O4">
        <v>3</v>
      </c>
      <c r="P4" t="s">
        <v>41</v>
      </c>
      <c r="Q4" t="s">
        <v>34</v>
      </c>
      <c r="R4">
        <v>486</v>
      </c>
      <c r="S4">
        <v>954</v>
      </c>
      <c r="T4">
        <v>1</v>
      </c>
    </row>
    <row r="5" spans="1:20" x14ac:dyDescent="0.3">
      <c r="A5">
        <v>4</v>
      </c>
      <c r="B5" t="s">
        <v>39</v>
      </c>
      <c r="C5" t="s">
        <v>37</v>
      </c>
      <c r="D5">
        <v>550</v>
      </c>
      <c r="E5">
        <v>889</v>
      </c>
      <c r="F5">
        <v>1</v>
      </c>
      <c r="H5" t="s">
        <v>42</v>
      </c>
      <c r="I5" s="1">
        <v>0.5</v>
      </c>
      <c r="J5" s="1">
        <v>0.58823529411764708</v>
      </c>
      <c r="K5" s="1">
        <f>IFERROR(SUMIFS(S:S,P:P,"*/04/2026")/(SUMIFS(R:R,P:P,"*/04/2026")+SUMIFS(S:S,P:P,"*/04/2026")+SUMIFS(T:T,P:P,"*/04/2026")),"")</f>
        <v>0.438409458367017</v>
      </c>
      <c r="L5" s="1">
        <f>IFERROR(SUMIFS(R:R,P:P,"*/04/2026")/(SUMIFS(R:R,P:P,"*/04/2026")+SUMIFS(S:S,P:P,"*/04/2026")+SUMIFS(T:T,P:P,"*/04/2026")),"")</f>
        <v>0.38778294260307195</v>
      </c>
      <c r="M5" s="1">
        <f>IFERROR(SUMIFS(T:T,P:P,"*/04/2026")/(SUMIFS(R:R,P:P,"*/04/2026")+SUMIFS(S:S,P:P,"*/04/2026")+SUMIFS(T:T,P:P,"*/04/2026")),"")</f>
        <v>0.17380759902991108</v>
      </c>
      <c r="O5">
        <v>4</v>
      </c>
      <c r="P5" t="s">
        <v>41</v>
      </c>
      <c r="Q5" t="s">
        <v>37</v>
      </c>
      <c r="R5">
        <v>986</v>
      </c>
      <c r="S5">
        <v>453</v>
      </c>
      <c r="T5">
        <v>1</v>
      </c>
    </row>
    <row r="6" spans="1:20" x14ac:dyDescent="0.3">
      <c r="A6">
        <v>5</v>
      </c>
      <c r="B6" t="s">
        <v>43</v>
      </c>
      <c r="C6" t="s">
        <v>34</v>
      </c>
      <c r="D6">
        <v>689</v>
      </c>
      <c r="E6">
        <v>750</v>
      </c>
      <c r="F6">
        <v>1</v>
      </c>
      <c r="H6" t="s">
        <v>44</v>
      </c>
      <c r="I6" s="1">
        <v>0.5</v>
      </c>
      <c r="J6" s="1">
        <v>0.58823529411764708</v>
      </c>
      <c r="K6" s="1" t="str">
        <f>IFERROR(SUMIFS(S:S,P:P,"*/05/2026")/(SUMIFS(R:R,P:P,"*/05/2026")+SUMIFS(S:S,P:P,"*/05/2026")+SUMIFS(T:T,P:P,"*/05/2026")),"")</f>
        <v/>
      </c>
      <c r="L6" s="1" t="str">
        <f>IFERROR(SUMIFS(R:R,P:P,"*/05/2026")/(SUMIFS(R:R,P:P,"*/05/2026")+SUMIFS(S:S,P:P,"*/05/2026")+SUMIFS(T:T,P:P,"*/05/2026")),"")</f>
        <v/>
      </c>
      <c r="M6" s="1" t="str">
        <f>IFERROR(SUMIFS(T:T,P:P,"*/05/2026")/(SUMIFS(R:R,P:P,"*/05/2026")+SUMIFS(S:S,P:P,"*/05/2026")+SUMIFS(T:T,P:P,"*/05/2026")),"")</f>
        <v/>
      </c>
      <c r="O6">
        <v>5</v>
      </c>
      <c r="P6" t="s">
        <v>45</v>
      </c>
      <c r="Q6" t="s">
        <v>37</v>
      </c>
      <c r="R6">
        <v>620</v>
      </c>
      <c r="S6">
        <v>1400</v>
      </c>
      <c r="T6">
        <v>160</v>
      </c>
    </row>
    <row r="7" spans="1:20" x14ac:dyDescent="0.3">
      <c r="A7">
        <v>6</v>
      </c>
      <c r="B7" t="s">
        <v>43</v>
      </c>
      <c r="C7" t="s">
        <v>37</v>
      </c>
      <c r="D7">
        <v>266</v>
      </c>
      <c r="E7">
        <v>852</v>
      </c>
      <c r="F7">
        <v>157</v>
      </c>
      <c r="H7" t="s">
        <v>46</v>
      </c>
      <c r="I7" s="1">
        <v>0.5</v>
      </c>
      <c r="J7" s="1">
        <v>0.58823529411764708</v>
      </c>
      <c r="K7" s="1" t="str">
        <f>IFERROR(SUMIFS(S:S,P:P,"*/06/2026")/(SUMIFS(R:R,P:P,"*/06/2026")+SUMIFS(S:S,P:P,"*/06/2026")+SUMIFS(T:T,P:P,"*/06/2026")),"")</f>
        <v/>
      </c>
      <c r="L7" s="1" t="str">
        <f>IFERROR(SUMIFS(R:R,P:P,"*/06/2026")/(SUMIFS(R:R,P:P,"*/06/2026")+SUMIFS(S:S,P:P,"*/06/2026")+SUMIFS(T:T,P:P,"*/06/2026")),"")</f>
        <v/>
      </c>
      <c r="M7" s="1" t="str">
        <f>IFERROR(SUMIFS(T:T,P:P,"*/06/2026")/(SUMIFS(R:R,P:P,"*/06/2026")+SUMIFS(S:S,P:P,"*/06/2026")+SUMIFS(T:T,P:P,"*/06/2026")),"")</f>
        <v/>
      </c>
      <c r="O7">
        <v>6</v>
      </c>
      <c r="P7" t="s">
        <v>47</v>
      </c>
      <c r="Q7" t="s">
        <v>34</v>
      </c>
      <c r="R7">
        <v>0</v>
      </c>
      <c r="S7">
        <v>0</v>
      </c>
      <c r="T7">
        <v>720</v>
      </c>
    </row>
    <row r="8" spans="1:20" x14ac:dyDescent="0.3">
      <c r="A8">
        <v>7</v>
      </c>
      <c r="B8" t="s">
        <v>48</v>
      </c>
      <c r="C8" t="s">
        <v>34</v>
      </c>
      <c r="D8">
        <v>0</v>
      </c>
      <c r="E8">
        <v>0</v>
      </c>
      <c r="F8">
        <v>720</v>
      </c>
      <c r="H8" t="s">
        <v>49</v>
      </c>
      <c r="I8" s="1">
        <v>0.5</v>
      </c>
      <c r="J8" s="1">
        <v>0.58823529411764708</v>
      </c>
      <c r="K8" s="1" t="str">
        <f>IFERROR(SUMIFS(S:S,P:P,"*/07/2026")/(SUMIFS(R:R,P:P,"*/07/2026")+SUMIFS(S:S,P:P,"*/07/2026")+SUMIFS(T:T,P:P,"*/07/2026")),"")</f>
        <v/>
      </c>
      <c r="L8" s="1" t="str">
        <f>IFERROR(SUMIFS(R:R,P:P,"*/07/2026")/(SUMIFS(R:R,P:P,"*/07/2026")+SUMIFS(S:S,P:P,"*/07/2026")+SUMIFS(T:T,P:P,"*/07/2026")),"")</f>
        <v/>
      </c>
      <c r="M8" s="1" t="str">
        <f>IFERROR(SUMIFS(T:T,P:P,"*/07/2026")/(SUMIFS(R:R,P:P,"*/07/2026")+SUMIFS(S:S,P:P,"*/07/2026")+SUMIFS(T:T,P:P,"*/07/2026")),"")</f>
        <v/>
      </c>
      <c r="O8">
        <v>7</v>
      </c>
      <c r="P8" t="s">
        <v>47</v>
      </c>
      <c r="Q8" t="s">
        <v>37</v>
      </c>
      <c r="R8">
        <v>0</v>
      </c>
      <c r="S8">
        <v>0</v>
      </c>
      <c r="T8">
        <v>720</v>
      </c>
    </row>
    <row r="9" spans="1:20" x14ac:dyDescent="0.3">
      <c r="A9">
        <v>8</v>
      </c>
      <c r="B9" t="s">
        <v>48</v>
      </c>
      <c r="C9" t="s">
        <v>37</v>
      </c>
      <c r="D9">
        <v>0</v>
      </c>
      <c r="E9">
        <v>0</v>
      </c>
      <c r="F9">
        <v>720</v>
      </c>
      <c r="H9" t="s">
        <v>50</v>
      </c>
      <c r="I9" s="1">
        <v>0.5</v>
      </c>
      <c r="J9" s="1">
        <v>0.58823529411764708</v>
      </c>
      <c r="K9" s="1" t="str">
        <f>IFERROR(SUMIFS(S:S,P:P,"*/08/2026")/(SUMIFS(R:R,P:P,"*/08/2026")+SUMIFS(S:S,P:P,"*/08/2026")+SUMIFS(T:T,P:P,"*/08/2026")),"")</f>
        <v/>
      </c>
      <c r="L9" s="1" t="str">
        <f>IFERROR(SUMIFS(R:R,P:P,"*/08/2026")/(SUMIFS(R:R,P:P,"*/08/2026")+SUMIFS(S:S,P:P,"*/08/2026")+SUMIFS(T:T,P:P,"*/08/2026")),"")</f>
        <v/>
      </c>
      <c r="M9" s="1" t="str">
        <f>IFERROR(SUMIFS(T:T,P:P,"*/08/2026")/(SUMIFS(R:R,P:P,"*/08/2026")+SUMIFS(S:S,P:P,"*/08/2026")+SUMIFS(T:T,P:P,"*/08/2026")),"")</f>
        <v/>
      </c>
      <c r="O9">
        <v>8</v>
      </c>
      <c r="P9" t="s">
        <v>51</v>
      </c>
      <c r="Q9" t="s">
        <v>34</v>
      </c>
      <c r="R9">
        <v>181</v>
      </c>
      <c r="S9">
        <v>854</v>
      </c>
      <c r="T9">
        <v>202</v>
      </c>
    </row>
    <row r="10" spans="1:20" x14ac:dyDescent="0.3">
      <c r="A10">
        <v>9</v>
      </c>
      <c r="B10" t="s">
        <v>52</v>
      </c>
      <c r="C10" t="s">
        <v>34</v>
      </c>
      <c r="D10">
        <v>0</v>
      </c>
      <c r="E10">
        <v>0</v>
      </c>
      <c r="F10">
        <v>720</v>
      </c>
      <c r="H10" t="s">
        <v>53</v>
      </c>
      <c r="I10" s="1">
        <v>0.5</v>
      </c>
      <c r="J10" s="1">
        <v>0.58823529411764708</v>
      </c>
      <c r="K10" s="1" t="str">
        <f>IFERROR(SUMIFS(S:S,P:P,"*/09/2026")/(SUMIFS(R:R,P:P,"*/09/2026")+SUMIFS(S:S,P:P,"*/09/2026")+SUMIFS(T:T,P:P,"*/09/2026")),"")</f>
        <v/>
      </c>
      <c r="L10" s="1" t="str">
        <f>IFERROR(SUMIFS(R:R,P:P,"*/09/2026")/(SUMIFS(R:R,P:P,"*/09/2026")+SUMIFS(S:S,P:P,"*/09/2026")+SUMIFS(T:T,P:P,"*/09/2026")),"")</f>
        <v/>
      </c>
      <c r="M10" s="1" t="str">
        <f>IFERROR(SUMIFS(T:T,P:P,"*/09/2026")/(SUMIFS(R:R,P:P,"*/09/2026")+SUMIFS(S:S,P:P,"*/09/2026")+SUMIFS(T:T,P:P,"*/09/2026")),"")</f>
        <v/>
      </c>
      <c r="O10">
        <v>9</v>
      </c>
      <c r="P10" t="s">
        <v>51</v>
      </c>
      <c r="Q10" t="s">
        <v>37</v>
      </c>
      <c r="R10">
        <v>597</v>
      </c>
      <c r="S10">
        <v>826</v>
      </c>
      <c r="T10">
        <v>1</v>
      </c>
    </row>
    <row r="11" spans="1:20" x14ac:dyDescent="0.3">
      <c r="A11">
        <v>10</v>
      </c>
      <c r="B11" t="s">
        <v>52</v>
      </c>
      <c r="C11" t="s">
        <v>37</v>
      </c>
      <c r="D11">
        <v>0</v>
      </c>
      <c r="E11">
        <v>0</v>
      </c>
      <c r="F11">
        <v>720</v>
      </c>
      <c r="H11" t="s">
        <v>54</v>
      </c>
      <c r="I11" s="1">
        <v>0.5</v>
      </c>
      <c r="J11" s="1">
        <v>0.58823529411764708</v>
      </c>
      <c r="K11" s="1" t="str">
        <f>IFERROR(SUMIFS(S:S,P:P,"*/10/2026")/(SUMIFS(R:R,P:P,"*/10/2026")+SUMIFS(S:S,P:P,"*/10/2026")+SUMIFS(T:T,P:P,"*/10/2026")),"")</f>
        <v/>
      </c>
      <c r="L11" s="1" t="str">
        <f>IFERROR(SUMIFS(R:R,P:P,"*/10/2026")/(SUMIFS(R:R,P:P,"*/10/2026")+SUMIFS(S:S,P:P,"*/10/2026")+SUMIFS(T:T,P:P,"*/10/2026")),"")</f>
        <v/>
      </c>
      <c r="M11" s="1" t="str">
        <f>IFERROR(SUMIFS(T:T,P:P,"*/10/2026")/(SUMIFS(R:R,P:P,"*/10/2026")+SUMIFS(S:S,P:P,"*/10/2026")+SUMIFS(T:T,P:P,"*/10/2026")),"")</f>
        <v/>
      </c>
      <c r="O11">
        <v>10</v>
      </c>
      <c r="P11" t="s">
        <v>55</v>
      </c>
      <c r="Q11" t="s">
        <v>34</v>
      </c>
      <c r="R11">
        <v>858</v>
      </c>
      <c r="S11">
        <v>581</v>
      </c>
      <c r="T11">
        <v>1</v>
      </c>
    </row>
    <row r="12" spans="1:20" x14ac:dyDescent="0.3">
      <c r="A12">
        <v>11</v>
      </c>
      <c r="B12" t="s">
        <v>56</v>
      </c>
      <c r="C12" t="s">
        <v>34</v>
      </c>
      <c r="D12">
        <v>339</v>
      </c>
      <c r="E12">
        <v>670</v>
      </c>
      <c r="F12">
        <v>225</v>
      </c>
      <c r="H12" t="s">
        <v>57</v>
      </c>
      <c r="I12" s="1">
        <v>0.5</v>
      </c>
      <c r="J12" s="1">
        <v>0.58823529411764708</v>
      </c>
      <c r="K12" s="1" t="str">
        <f>IFERROR(SUMIFS(S:S,P:P,"*/11/2026")/(SUMIFS(R:R,P:P,"*/11/2026")+SUMIFS(S:S,P:P,"*/11/2026")+SUMIFS(T:T,P:P,"*/11/2026")),"")</f>
        <v/>
      </c>
      <c r="L12" s="1" t="str">
        <f>IFERROR(SUMIFS(R:R,P:P,"*/11/2026")/(SUMIFS(R:R,P:P,"*/11/2026")+SUMIFS(S:S,P:P,"*/11/2026")+SUMIFS(T:T,P:P,"*/11/2026")),"")</f>
        <v/>
      </c>
      <c r="M12" s="1" t="str">
        <f>IFERROR(SUMIFS(T:T,P:P,"*/11/2026")/(SUMIFS(R:R,P:P,"*/11/2026")+SUMIFS(S:S,P:P,"*/11/2026")+SUMIFS(T:T,P:P,"*/11/2026")),"")</f>
        <v/>
      </c>
      <c r="O12">
        <v>11</v>
      </c>
      <c r="P12" t="s">
        <v>55</v>
      </c>
      <c r="Q12" t="s">
        <v>37</v>
      </c>
      <c r="R12">
        <v>659</v>
      </c>
      <c r="S12">
        <v>779</v>
      </c>
      <c r="T12">
        <v>1</v>
      </c>
    </row>
    <row r="13" spans="1:20" x14ac:dyDescent="0.3">
      <c r="A13">
        <v>12</v>
      </c>
      <c r="B13" t="s">
        <v>56</v>
      </c>
      <c r="C13" t="s">
        <v>37</v>
      </c>
      <c r="D13">
        <v>790</v>
      </c>
      <c r="E13">
        <v>650</v>
      </c>
      <c r="F13">
        <v>1</v>
      </c>
      <c r="H13" t="s">
        <v>58</v>
      </c>
      <c r="I13" s="1">
        <v>0.5</v>
      </c>
      <c r="J13" s="1">
        <v>0.58823529411764708</v>
      </c>
      <c r="K13" s="1" t="str">
        <f>IFERROR(SUMIFS(S:S,P:P,"*/12/2026")/(SUMIFS(R:R,P:P,"*/12/2026")+SUMIFS(S:S,P:P,"*/12/2026")+SUMIFS(T:T,P:P,"*/12/2026")),"")</f>
        <v/>
      </c>
      <c r="L13" s="1" t="str">
        <f>IFERROR(SUMIFS(R:R,P:P,"*/12/2026")/(SUMIFS(R:R,P:P,"*/12/2026")+SUMIFS(S:S,P:P,"*/12/2026")+SUMIFS(T:T,P:P,"*/12/2026")),"")</f>
        <v/>
      </c>
      <c r="M13" s="1" t="str">
        <f>IFERROR(SUMIFS(T:T,P:P,"*/12/2026")/(SUMIFS(R:R,P:P,"*/12/2026")+SUMIFS(S:S,P:P,"*/12/2026")+SUMIFS(T:T,P:P,"*/12/2026")),"")</f>
        <v/>
      </c>
      <c r="O13">
        <v>12</v>
      </c>
      <c r="P13" t="s">
        <v>59</v>
      </c>
      <c r="Q13" t="s">
        <v>34</v>
      </c>
      <c r="R13">
        <v>529</v>
      </c>
      <c r="S13">
        <v>147</v>
      </c>
      <c r="T13">
        <v>381</v>
      </c>
    </row>
    <row r="14" spans="1:20" x14ac:dyDescent="0.3">
      <c r="A14">
        <v>13</v>
      </c>
      <c r="B14" t="s">
        <v>60</v>
      </c>
      <c r="C14" t="s">
        <v>34</v>
      </c>
      <c r="D14">
        <v>776</v>
      </c>
      <c r="E14">
        <v>495</v>
      </c>
      <c r="F14">
        <v>169</v>
      </c>
      <c r="H14" t="str">
        <f>IF(B2="","",TEXT(B2,"dd/mm")&amp; "-" &amp;IF(UPPER(TRIM(C2))="CN",1,IF(UPPER(TRIM(C2))="CD",2,"")))</f>
        <v>01/04-1</v>
      </c>
      <c r="I14" s="1">
        <v>0.5</v>
      </c>
      <c r="J14" s="1">
        <v>0.58823529411764708</v>
      </c>
      <c r="K14" s="1">
        <f t="shared" ref="K14:K45" si="0">IFERROR($E2/SUM($D2:$F2),"")</f>
        <v>0.37473976405274118</v>
      </c>
      <c r="L14" s="1">
        <f t="shared" ref="L14:L45" si="1">IFERROR($D2/SUM($D2:$F2),"")</f>
        <v>0.62456627342123527</v>
      </c>
      <c r="M14" s="1">
        <f t="shared" ref="M14:M45" si="2">IFERROR($F2/SUM($D2:$F2),"")</f>
        <v>6.939625260235947E-4</v>
      </c>
      <c r="O14">
        <v>13</v>
      </c>
      <c r="P14" t="s">
        <v>59</v>
      </c>
      <c r="Q14" t="s">
        <v>37</v>
      </c>
      <c r="R14">
        <v>0</v>
      </c>
      <c r="S14">
        <v>0</v>
      </c>
      <c r="T14">
        <v>720</v>
      </c>
    </row>
    <row r="15" spans="1:20" x14ac:dyDescent="0.3">
      <c r="A15">
        <v>14</v>
      </c>
      <c r="B15" t="s">
        <v>60</v>
      </c>
      <c r="C15" t="s">
        <v>37</v>
      </c>
      <c r="D15">
        <v>765</v>
      </c>
      <c r="E15">
        <v>675</v>
      </c>
      <c r="F15">
        <v>1</v>
      </c>
      <c r="H15" t="str">
        <f t="shared" ref="H15:H46" si="3">IF(B3="","",TEXT(B3,"dd/mm") &amp; "-" &amp; IF(UPPER(TRIM(C3))="CN",1,IF(UPPER(TRIM(C3))="CD",2,"")))</f>
        <v>01/04-2</v>
      </c>
      <c r="I15" s="1">
        <v>0.5</v>
      </c>
      <c r="J15" s="1">
        <v>0.58823529411764708</v>
      </c>
      <c r="K15" s="1">
        <f t="shared" si="0"/>
        <v>0.63705759888965996</v>
      </c>
      <c r="L15" s="1">
        <f t="shared" si="1"/>
        <v>0.36224843858431643</v>
      </c>
      <c r="M15" s="1">
        <f t="shared" si="2"/>
        <v>6.939625260235947E-4</v>
      </c>
      <c r="O15">
        <v>14</v>
      </c>
      <c r="P15" t="s">
        <v>61</v>
      </c>
      <c r="Q15" t="s">
        <v>34</v>
      </c>
      <c r="R15">
        <v>370</v>
      </c>
      <c r="S15">
        <v>653</v>
      </c>
      <c r="T15">
        <v>208</v>
      </c>
    </row>
    <row r="16" spans="1:20" x14ac:dyDescent="0.3">
      <c r="A16">
        <v>15</v>
      </c>
      <c r="B16" t="s">
        <v>62</v>
      </c>
      <c r="C16" t="s">
        <v>34</v>
      </c>
      <c r="D16">
        <v>736</v>
      </c>
      <c r="E16">
        <v>702</v>
      </c>
      <c r="F16">
        <v>1</v>
      </c>
      <c r="H16" t="str">
        <f t="shared" si="3"/>
        <v>02/04-1</v>
      </c>
      <c r="I16" s="1">
        <v>0.5</v>
      </c>
      <c r="J16" s="1">
        <v>0.58823529411764708</v>
      </c>
      <c r="K16" s="1">
        <f t="shared" si="0"/>
        <v>0.53402777777777777</v>
      </c>
      <c r="L16" s="1">
        <f t="shared" si="1"/>
        <v>0.46527777777777779</v>
      </c>
      <c r="M16" s="1">
        <f t="shared" si="2"/>
        <v>6.9444444444444447E-4</v>
      </c>
      <c r="O16">
        <v>15</v>
      </c>
      <c r="P16" t="s">
        <v>61</v>
      </c>
      <c r="Q16" t="s">
        <v>37</v>
      </c>
      <c r="R16">
        <v>634</v>
      </c>
      <c r="S16">
        <v>805</v>
      </c>
      <c r="T16">
        <v>1</v>
      </c>
    </row>
    <row r="17" spans="1:20" x14ac:dyDescent="0.3">
      <c r="A17">
        <v>16</v>
      </c>
      <c r="B17" t="s">
        <v>62</v>
      </c>
      <c r="C17" t="s">
        <v>37</v>
      </c>
      <c r="D17">
        <v>672</v>
      </c>
      <c r="E17">
        <v>767</v>
      </c>
      <c r="F17">
        <v>1</v>
      </c>
      <c r="H17" t="str">
        <f t="shared" si="3"/>
        <v>02/04-2</v>
      </c>
      <c r="I17" s="1">
        <v>0.5</v>
      </c>
      <c r="J17" s="1">
        <v>0.58823529411764708</v>
      </c>
      <c r="K17" s="1">
        <f t="shared" si="0"/>
        <v>0.61736111111111114</v>
      </c>
      <c r="L17" s="1">
        <f t="shared" si="1"/>
        <v>0.38194444444444442</v>
      </c>
      <c r="M17" s="1">
        <f t="shared" si="2"/>
        <v>6.9444444444444447E-4</v>
      </c>
      <c r="O17">
        <v>16</v>
      </c>
      <c r="P17" t="s">
        <v>63</v>
      </c>
      <c r="Q17" t="s">
        <v>34</v>
      </c>
      <c r="R17">
        <v>836</v>
      </c>
      <c r="S17">
        <v>602</v>
      </c>
      <c r="T17">
        <v>1</v>
      </c>
    </row>
    <row r="18" spans="1:20" x14ac:dyDescent="0.3">
      <c r="H18" t="str">
        <f t="shared" si="3"/>
        <v>03/04-1</v>
      </c>
      <c r="I18" s="1">
        <v>0.5</v>
      </c>
      <c r="J18" s="1">
        <v>0.58823529411764708</v>
      </c>
      <c r="K18" s="1">
        <f t="shared" si="0"/>
        <v>0.52083333333333337</v>
      </c>
      <c r="L18" s="1">
        <f t="shared" si="1"/>
        <v>0.47847222222222224</v>
      </c>
      <c r="M18" s="1">
        <f t="shared" si="2"/>
        <v>6.9444444444444447E-4</v>
      </c>
      <c r="O18">
        <v>17</v>
      </c>
      <c r="P18" t="s">
        <v>63</v>
      </c>
      <c r="Q18" t="s">
        <v>37</v>
      </c>
      <c r="R18">
        <v>625</v>
      </c>
      <c r="S18">
        <v>815</v>
      </c>
      <c r="T18">
        <v>1</v>
      </c>
    </row>
    <row r="19" spans="1:20" x14ac:dyDescent="0.3">
      <c r="H19" t="str">
        <f t="shared" si="3"/>
        <v>03/04-2</v>
      </c>
      <c r="I19" s="1">
        <v>0.5</v>
      </c>
      <c r="J19" s="1">
        <v>0.58823529411764708</v>
      </c>
      <c r="K19" s="1">
        <f t="shared" si="0"/>
        <v>0.66823529411764704</v>
      </c>
      <c r="L19" s="1">
        <f t="shared" si="1"/>
        <v>0.20862745098039215</v>
      </c>
      <c r="M19" s="1">
        <f t="shared" si="2"/>
        <v>0.12313725490196079</v>
      </c>
      <c r="O19">
        <v>18</v>
      </c>
      <c r="P19" t="s">
        <v>64</v>
      </c>
      <c r="Q19" t="s">
        <v>34</v>
      </c>
      <c r="R19">
        <v>804</v>
      </c>
      <c r="S19">
        <v>632</v>
      </c>
      <c r="T19">
        <v>1</v>
      </c>
    </row>
    <row r="20" spans="1:20" x14ac:dyDescent="0.3">
      <c r="H20" t="str">
        <f t="shared" si="3"/>
        <v>04/04-1</v>
      </c>
      <c r="I20" s="1">
        <v>0.5</v>
      </c>
      <c r="J20" s="1">
        <v>0.58823529411764708</v>
      </c>
      <c r="K20" s="1">
        <f t="shared" si="0"/>
        <v>0</v>
      </c>
      <c r="L20" s="1">
        <f t="shared" si="1"/>
        <v>0</v>
      </c>
      <c r="M20" s="1">
        <f t="shared" si="2"/>
        <v>1</v>
      </c>
      <c r="O20">
        <v>19</v>
      </c>
      <c r="P20" t="s">
        <v>64</v>
      </c>
      <c r="Q20" t="s">
        <v>37</v>
      </c>
      <c r="R20">
        <v>0</v>
      </c>
      <c r="S20">
        <v>0</v>
      </c>
      <c r="T20">
        <v>720</v>
      </c>
    </row>
    <row r="21" spans="1:20" x14ac:dyDescent="0.3">
      <c r="H21" t="str">
        <f t="shared" si="3"/>
        <v>04/04-2</v>
      </c>
      <c r="I21" s="1">
        <v>0.5</v>
      </c>
      <c r="J21" s="1">
        <v>0.58823529411764708</v>
      </c>
      <c r="K21" s="1">
        <f t="shared" si="0"/>
        <v>0</v>
      </c>
      <c r="L21" s="1">
        <f t="shared" si="1"/>
        <v>0</v>
      </c>
      <c r="M21" s="1">
        <f t="shared" si="2"/>
        <v>1</v>
      </c>
      <c r="O21">
        <v>20</v>
      </c>
      <c r="P21" t="s">
        <v>65</v>
      </c>
      <c r="Q21" t="s">
        <v>34</v>
      </c>
      <c r="R21">
        <v>0</v>
      </c>
      <c r="S21">
        <v>0</v>
      </c>
      <c r="T21">
        <v>720</v>
      </c>
    </row>
    <row r="22" spans="1:20" x14ac:dyDescent="0.3">
      <c r="H22" t="str">
        <f t="shared" si="3"/>
        <v>05/04-1</v>
      </c>
      <c r="I22" s="1">
        <v>0.5</v>
      </c>
      <c r="J22" s="1">
        <v>0.58823529411764708</v>
      </c>
      <c r="K22" s="1">
        <f t="shared" si="0"/>
        <v>0</v>
      </c>
      <c r="L22" s="1">
        <f t="shared" si="1"/>
        <v>0</v>
      </c>
      <c r="M22" s="1">
        <f t="shared" si="2"/>
        <v>1</v>
      </c>
      <c r="O22">
        <v>21</v>
      </c>
      <c r="P22" t="s">
        <v>65</v>
      </c>
      <c r="Q22" t="s">
        <v>37</v>
      </c>
      <c r="R22">
        <v>0</v>
      </c>
      <c r="S22">
        <v>0</v>
      </c>
      <c r="T22">
        <v>720</v>
      </c>
    </row>
    <row r="23" spans="1:20" x14ac:dyDescent="0.3">
      <c r="H23" t="str">
        <f t="shared" si="3"/>
        <v>05/04-2</v>
      </c>
      <c r="I23" s="1">
        <v>0.5</v>
      </c>
      <c r="J23" s="1">
        <v>0.58823529411764708</v>
      </c>
      <c r="K23" s="1">
        <f t="shared" si="0"/>
        <v>0</v>
      </c>
      <c r="L23" s="1">
        <f t="shared" si="1"/>
        <v>0</v>
      </c>
      <c r="M23" s="1">
        <f t="shared" si="2"/>
        <v>1</v>
      </c>
      <c r="O23">
        <v>22</v>
      </c>
      <c r="P23" t="s">
        <v>66</v>
      </c>
      <c r="Q23" t="s">
        <v>34</v>
      </c>
      <c r="R23">
        <v>303</v>
      </c>
      <c r="S23">
        <v>719</v>
      </c>
      <c r="T23">
        <v>208</v>
      </c>
    </row>
    <row r="24" spans="1:20" x14ac:dyDescent="0.3">
      <c r="H24" t="str">
        <f t="shared" si="3"/>
        <v>06/04-1</v>
      </c>
      <c r="I24" s="1">
        <v>0.5</v>
      </c>
      <c r="J24" s="1">
        <v>0.58823529411764708</v>
      </c>
      <c r="K24" s="1">
        <f t="shared" si="0"/>
        <v>0.5429497568881686</v>
      </c>
      <c r="L24" s="1">
        <f t="shared" si="1"/>
        <v>0.27471636952998379</v>
      </c>
      <c r="M24" s="1">
        <f t="shared" si="2"/>
        <v>0.18233387358184766</v>
      </c>
      <c r="O24">
        <v>23</v>
      </c>
      <c r="P24" t="s">
        <v>66</v>
      </c>
      <c r="Q24" t="s">
        <v>37</v>
      </c>
      <c r="R24">
        <v>469</v>
      </c>
      <c r="S24">
        <v>970</v>
      </c>
      <c r="T24">
        <v>1</v>
      </c>
    </row>
    <row r="25" spans="1:20" x14ac:dyDescent="0.3">
      <c r="H25" t="str">
        <f t="shared" si="3"/>
        <v>06/04-2</v>
      </c>
      <c r="I25" s="1">
        <v>0.5</v>
      </c>
      <c r="J25" s="1">
        <v>0.58823529411764708</v>
      </c>
      <c r="K25" s="1">
        <f t="shared" si="0"/>
        <v>0.45107564191533656</v>
      </c>
      <c r="L25" s="1">
        <f t="shared" si="1"/>
        <v>0.54823039555863984</v>
      </c>
      <c r="M25" s="1">
        <f t="shared" si="2"/>
        <v>6.939625260235947E-4</v>
      </c>
      <c r="O25">
        <v>24</v>
      </c>
      <c r="P25" t="s">
        <v>67</v>
      </c>
      <c r="Q25" t="s">
        <v>34</v>
      </c>
      <c r="R25">
        <v>716</v>
      </c>
      <c r="S25">
        <v>722</v>
      </c>
      <c r="T25">
        <v>1</v>
      </c>
    </row>
    <row r="26" spans="1:20" x14ac:dyDescent="0.3">
      <c r="H26" t="str">
        <f t="shared" si="3"/>
        <v>07/04-1</v>
      </c>
      <c r="I26" s="1">
        <v>0.5</v>
      </c>
      <c r="J26" s="1">
        <v>0.58823529411764708</v>
      </c>
      <c r="K26" s="1">
        <f t="shared" si="0"/>
        <v>0.34375</v>
      </c>
      <c r="L26" s="1">
        <f t="shared" si="1"/>
        <v>0.53888888888888886</v>
      </c>
      <c r="M26" s="1">
        <f t="shared" si="2"/>
        <v>0.11736111111111111</v>
      </c>
      <c r="O26">
        <v>25</v>
      </c>
      <c r="P26" t="s">
        <v>67</v>
      </c>
      <c r="Q26" t="s">
        <v>37</v>
      </c>
      <c r="R26">
        <v>675</v>
      </c>
      <c r="S26">
        <v>764</v>
      </c>
      <c r="T26">
        <v>1</v>
      </c>
    </row>
    <row r="27" spans="1:20" x14ac:dyDescent="0.3">
      <c r="H27" t="str">
        <f t="shared" si="3"/>
        <v>07/04-2</v>
      </c>
      <c r="I27" s="1">
        <v>0.5</v>
      </c>
      <c r="J27" s="1">
        <v>0.58823529411764708</v>
      </c>
      <c r="K27" s="1">
        <f t="shared" si="0"/>
        <v>0.46842470506592643</v>
      </c>
      <c r="L27" s="1">
        <f t="shared" si="1"/>
        <v>0.53088133240804991</v>
      </c>
      <c r="M27" s="1">
        <f t="shared" si="2"/>
        <v>6.939625260235947E-4</v>
      </c>
      <c r="O27">
        <v>26</v>
      </c>
      <c r="P27" t="s">
        <v>68</v>
      </c>
      <c r="Q27" t="s">
        <v>34</v>
      </c>
      <c r="R27">
        <v>743</v>
      </c>
      <c r="S27">
        <v>695</v>
      </c>
      <c r="T27">
        <v>1</v>
      </c>
    </row>
    <row r="28" spans="1:20" x14ac:dyDescent="0.3">
      <c r="H28" t="str">
        <f t="shared" si="3"/>
        <v>08/04-1</v>
      </c>
      <c r="I28" s="1">
        <v>0.5</v>
      </c>
      <c r="J28" s="1">
        <v>0.58823529411764708</v>
      </c>
      <c r="K28" s="1">
        <f t="shared" si="0"/>
        <v>0.48783877692842254</v>
      </c>
      <c r="L28" s="1">
        <f t="shared" si="1"/>
        <v>0.51146629603891591</v>
      </c>
      <c r="M28" s="1">
        <f t="shared" si="2"/>
        <v>6.9492703266157052E-4</v>
      </c>
      <c r="O28">
        <v>27</v>
      </c>
      <c r="P28" t="s">
        <v>68</v>
      </c>
      <c r="Q28" t="s">
        <v>37</v>
      </c>
      <c r="R28">
        <v>548</v>
      </c>
      <c r="S28">
        <v>892</v>
      </c>
      <c r="T28">
        <v>1</v>
      </c>
    </row>
    <row r="29" spans="1:20" x14ac:dyDescent="0.3">
      <c r="H29" t="str">
        <f t="shared" si="3"/>
        <v>08/04-2</v>
      </c>
      <c r="I29" s="1">
        <v>0.5</v>
      </c>
      <c r="J29" s="1">
        <v>0.58823529411764708</v>
      </c>
      <c r="K29" s="1">
        <f t="shared" si="0"/>
        <v>0.53263888888888888</v>
      </c>
      <c r="L29" s="1">
        <f t="shared" si="1"/>
        <v>0.46666666666666667</v>
      </c>
      <c r="M29" s="1">
        <f t="shared" si="2"/>
        <v>6.9444444444444447E-4</v>
      </c>
      <c r="O29">
        <v>28</v>
      </c>
      <c r="P29" t="s">
        <v>69</v>
      </c>
      <c r="Q29" t="s">
        <v>34</v>
      </c>
      <c r="R29">
        <v>719</v>
      </c>
      <c r="S29">
        <v>720</v>
      </c>
      <c r="T29">
        <v>1</v>
      </c>
    </row>
    <row r="30" spans="1:20" x14ac:dyDescent="0.3">
      <c r="H30" t="str">
        <f t="shared" si="3"/>
        <v/>
      </c>
      <c r="I30" s="1"/>
      <c r="J30" s="1"/>
      <c r="K30" s="1" t="str">
        <f t="shared" si="0"/>
        <v/>
      </c>
      <c r="L30" s="1" t="str">
        <f t="shared" si="1"/>
        <v/>
      </c>
      <c r="M30" s="1" t="str">
        <f t="shared" si="2"/>
        <v/>
      </c>
      <c r="O30">
        <v>29</v>
      </c>
      <c r="P30" t="s">
        <v>69</v>
      </c>
      <c r="Q30" t="s">
        <v>37</v>
      </c>
      <c r="R30">
        <v>581</v>
      </c>
      <c r="S30">
        <v>858</v>
      </c>
      <c r="T30">
        <v>1</v>
      </c>
    </row>
    <row r="31" spans="1:20" x14ac:dyDescent="0.3">
      <c r="H31" t="str">
        <f t="shared" si="3"/>
        <v/>
      </c>
      <c r="I31" s="1"/>
      <c r="J31" s="1"/>
      <c r="K31" s="1" t="str">
        <f t="shared" si="0"/>
        <v/>
      </c>
      <c r="L31" s="1" t="str">
        <f t="shared" si="1"/>
        <v/>
      </c>
      <c r="M31" s="1" t="str">
        <f t="shared" si="2"/>
        <v/>
      </c>
      <c r="O31">
        <v>30</v>
      </c>
      <c r="P31" t="s">
        <v>70</v>
      </c>
      <c r="Q31" t="s">
        <v>34</v>
      </c>
      <c r="R31">
        <v>738</v>
      </c>
      <c r="S31">
        <v>701</v>
      </c>
      <c r="T31">
        <v>1</v>
      </c>
    </row>
    <row r="32" spans="1:20" x14ac:dyDescent="0.3">
      <c r="H32" t="str">
        <f t="shared" si="3"/>
        <v/>
      </c>
      <c r="I32" s="1"/>
      <c r="J32" s="1"/>
      <c r="K32" s="1" t="str">
        <f t="shared" si="0"/>
        <v/>
      </c>
      <c r="L32" s="1" t="str">
        <f t="shared" si="1"/>
        <v/>
      </c>
      <c r="M32" s="1" t="str">
        <f t="shared" si="2"/>
        <v/>
      </c>
      <c r="O32">
        <v>31</v>
      </c>
      <c r="P32" t="s">
        <v>70</v>
      </c>
      <c r="Q32" t="s">
        <v>37</v>
      </c>
      <c r="R32">
        <v>611</v>
      </c>
      <c r="S32">
        <v>828</v>
      </c>
      <c r="T32">
        <v>1</v>
      </c>
    </row>
    <row r="33" spans="8:20" x14ac:dyDescent="0.3">
      <c r="H33" t="str">
        <f t="shared" si="3"/>
        <v/>
      </c>
      <c r="I33" s="1"/>
      <c r="J33" s="1"/>
      <c r="K33" s="1" t="str">
        <f t="shared" si="0"/>
        <v/>
      </c>
      <c r="L33" s="1" t="str">
        <f t="shared" si="1"/>
        <v/>
      </c>
      <c r="M33" s="1" t="str">
        <f t="shared" si="2"/>
        <v/>
      </c>
      <c r="O33">
        <v>32</v>
      </c>
      <c r="P33" t="s">
        <v>71</v>
      </c>
      <c r="Q33" t="s">
        <v>34</v>
      </c>
      <c r="R33">
        <v>774</v>
      </c>
      <c r="S33">
        <v>665</v>
      </c>
      <c r="T33">
        <v>1</v>
      </c>
    </row>
    <row r="34" spans="8:20" x14ac:dyDescent="0.3">
      <c r="H34" t="str">
        <f t="shared" si="3"/>
        <v/>
      </c>
      <c r="I34" s="1"/>
      <c r="J34" s="1"/>
      <c r="K34" s="1" t="str">
        <f t="shared" si="0"/>
        <v/>
      </c>
      <c r="L34" s="1" t="str">
        <f t="shared" si="1"/>
        <v/>
      </c>
      <c r="M34" s="1" t="str">
        <f t="shared" si="2"/>
        <v/>
      </c>
      <c r="O34">
        <v>33</v>
      </c>
      <c r="P34" t="s">
        <v>71</v>
      </c>
      <c r="Q34" t="s">
        <v>37</v>
      </c>
      <c r="R34">
        <v>206</v>
      </c>
      <c r="S34">
        <v>747</v>
      </c>
      <c r="T34">
        <v>242</v>
      </c>
    </row>
    <row r="35" spans="8:20" x14ac:dyDescent="0.3">
      <c r="H35" t="str">
        <f t="shared" si="3"/>
        <v/>
      </c>
      <c r="I35" s="1"/>
      <c r="J35" s="1"/>
      <c r="K35" s="1" t="str">
        <f t="shared" si="0"/>
        <v/>
      </c>
      <c r="L35" s="1" t="str">
        <f t="shared" si="1"/>
        <v/>
      </c>
      <c r="M35" s="1" t="str">
        <f t="shared" si="2"/>
        <v/>
      </c>
      <c r="O35">
        <v>34</v>
      </c>
      <c r="P35" t="s">
        <v>72</v>
      </c>
      <c r="Q35" t="s">
        <v>34</v>
      </c>
      <c r="R35">
        <v>0</v>
      </c>
      <c r="S35">
        <v>0</v>
      </c>
      <c r="T35">
        <v>720</v>
      </c>
    </row>
    <row r="36" spans="8:20" x14ac:dyDescent="0.3">
      <c r="H36" t="str">
        <f t="shared" si="3"/>
        <v/>
      </c>
      <c r="I36" s="1"/>
      <c r="J36" s="1"/>
      <c r="K36" s="1" t="str">
        <f t="shared" si="0"/>
        <v/>
      </c>
      <c r="L36" s="1" t="str">
        <f t="shared" si="1"/>
        <v/>
      </c>
      <c r="M36" s="1" t="str">
        <f t="shared" si="2"/>
        <v/>
      </c>
      <c r="O36">
        <v>35</v>
      </c>
      <c r="P36" t="s">
        <v>72</v>
      </c>
      <c r="Q36" t="s">
        <v>37</v>
      </c>
      <c r="R36">
        <v>0</v>
      </c>
      <c r="S36">
        <v>0</v>
      </c>
      <c r="T36">
        <v>720</v>
      </c>
    </row>
    <row r="37" spans="8:20" x14ac:dyDescent="0.3">
      <c r="H37" t="str">
        <f t="shared" si="3"/>
        <v/>
      </c>
      <c r="I37" s="1"/>
      <c r="J37" s="1"/>
      <c r="K37" s="1" t="str">
        <f t="shared" si="0"/>
        <v/>
      </c>
      <c r="L37" s="1" t="str">
        <f t="shared" si="1"/>
        <v/>
      </c>
      <c r="M37" s="1" t="str">
        <f t="shared" si="2"/>
        <v/>
      </c>
      <c r="O37">
        <v>36</v>
      </c>
      <c r="P37" t="s">
        <v>73</v>
      </c>
      <c r="Q37" t="s">
        <v>34</v>
      </c>
      <c r="R37">
        <v>300</v>
      </c>
      <c r="S37">
        <v>720</v>
      </c>
      <c r="T37">
        <v>211</v>
      </c>
    </row>
    <row r="38" spans="8:20" x14ac:dyDescent="0.3">
      <c r="H38" t="str">
        <f t="shared" si="3"/>
        <v/>
      </c>
      <c r="I38" s="1"/>
      <c r="J38" s="1"/>
      <c r="K38" s="1" t="str">
        <f t="shared" si="0"/>
        <v/>
      </c>
      <c r="L38" s="1" t="str">
        <f t="shared" si="1"/>
        <v/>
      </c>
      <c r="M38" s="1" t="str">
        <f t="shared" si="2"/>
        <v/>
      </c>
      <c r="O38">
        <v>37</v>
      </c>
      <c r="P38" t="s">
        <v>73</v>
      </c>
      <c r="Q38" t="s">
        <v>37</v>
      </c>
      <c r="R38">
        <v>569</v>
      </c>
      <c r="S38">
        <v>870</v>
      </c>
      <c r="T38">
        <v>1</v>
      </c>
    </row>
    <row r="39" spans="8:20" x14ac:dyDescent="0.3">
      <c r="H39" t="str">
        <f t="shared" si="3"/>
        <v/>
      </c>
      <c r="I39" s="1"/>
      <c r="J39" s="1"/>
      <c r="K39" s="1" t="str">
        <f t="shared" si="0"/>
        <v/>
      </c>
      <c r="L39" s="1" t="str">
        <f t="shared" si="1"/>
        <v/>
      </c>
      <c r="M39" s="1" t="str">
        <f t="shared" si="2"/>
        <v/>
      </c>
      <c r="O39">
        <v>38</v>
      </c>
      <c r="P39" t="s">
        <v>74</v>
      </c>
      <c r="Q39" t="s">
        <v>34</v>
      </c>
      <c r="R39">
        <v>660</v>
      </c>
      <c r="S39">
        <v>779</v>
      </c>
      <c r="T39">
        <v>1</v>
      </c>
    </row>
    <row r="40" spans="8:20" x14ac:dyDescent="0.3">
      <c r="H40" t="str">
        <f t="shared" si="3"/>
        <v/>
      </c>
      <c r="I40" s="1"/>
      <c r="J40" s="1"/>
      <c r="K40" s="1" t="str">
        <f t="shared" si="0"/>
        <v/>
      </c>
      <c r="L40" s="1" t="str">
        <f t="shared" si="1"/>
        <v/>
      </c>
      <c r="M40" s="1" t="str">
        <f t="shared" si="2"/>
        <v/>
      </c>
      <c r="O40">
        <v>39</v>
      </c>
      <c r="P40" t="s">
        <v>74</v>
      </c>
      <c r="Q40" t="s">
        <v>37</v>
      </c>
      <c r="R40">
        <v>585</v>
      </c>
      <c r="S40">
        <v>854</v>
      </c>
      <c r="T40">
        <v>1</v>
      </c>
    </row>
    <row r="41" spans="8:20" x14ac:dyDescent="0.3">
      <c r="H41" t="str">
        <f t="shared" si="3"/>
        <v/>
      </c>
      <c r="I41" s="1"/>
      <c r="J41" s="1"/>
      <c r="K41" s="1" t="str">
        <f t="shared" si="0"/>
        <v/>
      </c>
      <c r="L41" s="1" t="str">
        <f t="shared" si="1"/>
        <v/>
      </c>
      <c r="M41" s="1" t="str">
        <f t="shared" si="2"/>
        <v/>
      </c>
      <c r="O41">
        <v>40</v>
      </c>
      <c r="P41" t="s">
        <v>75</v>
      </c>
      <c r="Q41" t="s">
        <v>34</v>
      </c>
      <c r="R41">
        <v>691</v>
      </c>
      <c r="S41">
        <v>748</v>
      </c>
      <c r="T41">
        <v>1</v>
      </c>
    </row>
    <row r="42" spans="8:20" x14ac:dyDescent="0.3">
      <c r="H42" t="str">
        <f t="shared" si="3"/>
        <v/>
      </c>
      <c r="I42" s="1"/>
      <c r="J42" s="1"/>
      <c r="K42" s="1" t="str">
        <f t="shared" si="0"/>
        <v/>
      </c>
      <c r="L42" s="1" t="str">
        <f t="shared" si="1"/>
        <v/>
      </c>
      <c r="M42" s="1" t="str">
        <f t="shared" si="2"/>
        <v/>
      </c>
      <c r="O42">
        <v>41</v>
      </c>
      <c r="P42" t="s">
        <v>75</v>
      </c>
      <c r="Q42" t="s">
        <v>37</v>
      </c>
      <c r="R42">
        <v>635</v>
      </c>
      <c r="S42">
        <v>803</v>
      </c>
      <c r="T42">
        <v>1</v>
      </c>
    </row>
    <row r="43" spans="8:20" x14ac:dyDescent="0.3">
      <c r="H43" t="str">
        <f t="shared" si="3"/>
        <v/>
      </c>
      <c r="I43" s="1"/>
      <c r="J43" s="1"/>
      <c r="K43" s="1" t="str">
        <f t="shared" si="0"/>
        <v/>
      </c>
      <c r="L43" s="1" t="str">
        <f t="shared" si="1"/>
        <v/>
      </c>
      <c r="M43" s="1" t="str">
        <f t="shared" si="2"/>
        <v/>
      </c>
      <c r="O43">
        <v>42</v>
      </c>
      <c r="P43" t="s">
        <v>76</v>
      </c>
      <c r="Q43" t="s">
        <v>34</v>
      </c>
      <c r="R43">
        <v>791</v>
      </c>
      <c r="S43">
        <v>649</v>
      </c>
      <c r="T43">
        <v>1</v>
      </c>
    </row>
    <row r="44" spans="8:20" x14ac:dyDescent="0.3">
      <c r="H44" t="str">
        <f t="shared" si="3"/>
        <v/>
      </c>
      <c r="I44" s="1"/>
      <c r="J44" s="1"/>
      <c r="K44" s="1" t="str">
        <f t="shared" si="0"/>
        <v/>
      </c>
      <c r="L44" s="1" t="str">
        <f t="shared" si="1"/>
        <v/>
      </c>
      <c r="M44" s="1" t="str">
        <f t="shared" si="2"/>
        <v/>
      </c>
      <c r="O44">
        <v>43</v>
      </c>
      <c r="P44" t="s">
        <v>76</v>
      </c>
      <c r="Q44" t="s">
        <v>37</v>
      </c>
      <c r="R44">
        <v>613</v>
      </c>
      <c r="S44">
        <v>827</v>
      </c>
      <c r="T44">
        <v>1</v>
      </c>
    </row>
    <row r="45" spans="8:20" x14ac:dyDescent="0.3">
      <c r="H45" t="str">
        <f t="shared" si="3"/>
        <v/>
      </c>
      <c r="I45" s="1"/>
      <c r="J45" s="1"/>
      <c r="K45" s="1" t="str">
        <f t="shared" si="0"/>
        <v/>
      </c>
      <c r="L45" s="1" t="str">
        <f t="shared" si="1"/>
        <v/>
      </c>
      <c r="M45" s="1" t="str">
        <f t="shared" si="2"/>
        <v/>
      </c>
      <c r="O45">
        <v>44</v>
      </c>
      <c r="P45" t="s">
        <v>77</v>
      </c>
      <c r="Q45" t="s">
        <v>34</v>
      </c>
      <c r="R45">
        <v>630</v>
      </c>
      <c r="S45">
        <v>810</v>
      </c>
      <c r="T45">
        <v>1</v>
      </c>
    </row>
    <row r="46" spans="8:20" x14ac:dyDescent="0.3">
      <c r="H46" t="str">
        <f t="shared" si="3"/>
        <v/>
      </c>
      <c r="I46" s="1"/>
      <c r="J46" s="1"/>
      <c r="K46" s="1" t="str">
        <f t="shared" ref="K46:K77" si="4">IFERROR($E34/SUM($D34:$F34),"")</f>
        <v/>
      </c>
      <c r="L46" s="1" t="str">
        <f t="shared" ref="L46:L77" si="5">IFERROR($D34/SUM($D34:$F34),"")</f>
        <v/>
      </c>
      <c r="M46" s="1" t="str">
        <f t="shared" ref="M46:M77" si="6">IFERROR($F34/SUM($D34:$F34),"")</f>
        <v/>
      </c>
      <c r="O46">
        <v>45</v>
      </c>
      <c r="P46" t="s">
        <v>77</v>
      </c>
      <c r="Q46" t="s">
        <v>37</v>
      </c>
      <c r="R46">
        <v>505</v>
      </c>
      <c r="S46">
        <v>933</v>
      </c>
      <c r="T46">
        <v>1</v>
      </c>
    </row>
    <row r="47" spans="8:20" x14ac:dyDescent="0.3">
      <c r="H47" t="str">
        <f t="shared" ref="H47:H78" si="7">IF(B35="","",TEXT(B35,"dd/mm") &amp; "-" &amp; IF(UPPER(TRIM(C35))="CN",1,IF(UPPER(TRIM(C35))="CD",2,"")))</f>
        <v/>
      </c>
      <c r="I47" s="1"/>
      <c r="J47" s="1"/>
      <c r="K47" s="1" t="str">
        <f t="shared" si="4"/>
        <v/>
      </c>
      <c r="L47" s="1" t="str">
        <f t="shared" si="5"/>
        <v/>
      </c>
      <c r="M47" s="1" t="str">
        <f t="shared" si="6"/>
        <v/>
      </c>
      <c r="O47">
        <v>46</v>
      </c>
      <c r="P47" t="s">
        <v>78</v>
      </c>
      <c r="Q47" t="s">
        <v>34</v>
      </c>
      <c r="R47">
        <v>753</v>
      </c>
      <c r="S47">
        <v>685</v>
      </c>
      <c r="T47">
        <v>1</v>
      </c>
    </row>
    <row r="48" spans="8:20" x14ac:dyDescent="0.3">
      <c r="H48" t="str">
        <f t="shared" si="7"/>
        <v/>
      </c>
      <c r="I48" s="1"/>
      <c r="J48" s="1"/>
      <c r="K48" s="1" t="str">
        <f t="shared" si="4"/>
        <v/>
      </c>
      <c r="L48" s="1" t="str">
        <f t="shared" si="5"/>
        <v/>
      </c>
      <c r="M48" s="1" t="str">
        <f t="shared" si="6"/>
        <v/>
      </c>
      <c r="O48">
        <v>47</v>
      </c>
      <c r="P48" t="s">
        <v>78</v>
      </c>
      <c r="Q48" t="s">
        <v>37</v>
      </c>
      <c r="R48">
        <v>238</v>
      </c>
      <c r="S48">
        <v>712</v>
      </c>
      <c r="T48">
        <v>245</v>
      </c>
    </row>
    <row r="49" spans="8:20" x14ac:dyDescent="0.3">
      <c r="H49" t="str">
        <f t="shared" si="7"/>
        <v/>
      </c>
      <c r="I49" s="1"/>
      <c r="J49" s="1"/>
      <c r="K49" s="1" t="str">
        <f t="shared" si="4"/>
        <v/>
      </c>
      <c r="L49" s="1" t="str">
        <f t="shared" si="5"/>
        <v/>
      </c>
      <c r="M49" s="1" t="str">
        <f t="shared" si="6"/>
        <v/>
      </c>
      <c r="O49">
        <v>48</v>
      </c>
      <c r="P49" t="s">
        <v>79</v>
      </c>
      <c r="Q49" t="s">
        <v>34</v>
      </c>
      <c r="R49">
        <v>0</v>
      </c>
      <c r="S49">
        <v>0</v>
      </c>
      <c r="T49">
        <v>720</v>
      </c>
    </row>
    <row r="50" spans="8:20" x14ac:dyDescent="0.3">
      <c r="H50" t="str">
        <f t="shared" si="7"/>
        <v/>
      </c>
      <c r="I50" s="1"/>
      <c r="J50" s="1"/>
      <c r="K50" s="1" t="str">
        <f t="shared" si="4"/>
        <v/>
      </c>
      <c r="L50" s="1" t="str">
        <f t="shared" si="5"/>
        <v/>
      </c>
      <c r="M50" s="1" t="str">
        <f t="shared" si="6"/>
        <v/>
      </c>
      <c r="O50">
        <v>49</v>
      </c>
      <c r="P50" t="s">
        <v>79</v>
      </c>
      <c r="Q50" t="s">
        <v>37</v>
      </c>
      <c r="R50">
        <v>0</v>
      </c>
      <c r="S50">
        <v>0</v>
      </c>
      <c r="T50">
        <v>720</v>
      </c>
    </row>
    <row r="51" spans="8:20" x14ac:dyDescent="0.3">
      <c r="H51" t="str">
        <f t="shared" si="7"/>
        <v/>
      </c>
      <c r="I51" s="1"/>
      <c r="J51" s="1"/>
      <c r="K51" s="1" t="str">
        <f t="shared" si="4"/>
        <v/>
      </c>
      <c r="L51" s="1" t="str">
        <f t="shared" si="5"/>
        <v/>
      </c>
      <c r="M51" s="1" t="str">
        <f t="shared" si="6"/>
        <v/>
      </c>
      <c r="O51">
        <v>50</v>
      </c>
      <c r="P51" t="s">
        <v>80</v>
      </c>
      <c r="Q51" t="s">
        <v>34</v>
      </c>
      <c r="R51">
        <v>259</v>
      </c>
      <c r="S51">
        <v>759</v>
      </c>
      <c r="T51">
        <v>211</v>
      </c>
    </row>
    <row r="52" spans="8:20" x14ac:dyDescent="0.3">
      <c r="H52" t="str">
        <f t="shared" si="7"/>
        <v/>
      </c>
      <c r="I52" s="1"/>
      <c r="J52" s="1"/>
      <c r="K52" s="1" t="str">
        <f t="shared" si="4"/>
        <v/>
      </c>
      <c r="L52" s="1" t="str">
        <f t="shared" si="5"/>
        <v/>
      </c>
      <c r="M52" s="1" t="str">
        <f t="shared" si="6"/>
        <v/>
      </c>
      <c r="O52">
        <v>51</v>
      </c>
      <c r="P52" t="s">
        <v>80</v>
      </c>
      <c r="Q52" t="s">
        <v>37</v>
      </c>
      <c r="R52">
        <v>452</v>
      </c>
      <c r="S52">
        <v>988</v>
      </c>
      <c r="T52">
        <v>1</v>
      </c>
    </row>
    <row r="53" spans="8:20" x14ac:dyDescent="0.3">
      <c r="H53" t="str">
        <f t="shared" si="7"/>
        <v/>
      </c>
      <c r="I53" s="1"/>
      <c r="J53" s="1"/>
      <c r="K53" s="1" t="str">
        <f t="shared" si="4"/>
        <v/>
      </c>
      <c r="L53" s="1" t="str">
        <f t="shared" si="5"/>
        <v/>
      </c>
      <c r="M53" s="1" t="str">
        <f t="shared" si="6"/>
        <v/>
      </c>
      <c r="O53">
        <v>52</v>
      </c>
      <c r="P53" t="s">
        <v>81</v>
      </c>
      <c r="Q53" t="s">
        <v>34</v>
      </c>
      <c r="R53">
        <v>759</v>
      </c>
      <c r="S53">
        <v>681</v>
      </c>
      <c r="T53">
        <v>1</v>
      </c>
    </row>
    <row r="54" spans="8:20" x14ac:dyDescent="0.3">
      <c r="H54" t="str">
        <f t="shared" si="7"/>
        <v/>
      </c>
      <c r="I54" s="1"/>
      <c r="J54" s="1"/>
      <c r="K54" s="1" t="str">
        <f t="shared" si="4"/>
        <v/>
      </c>
      <c r="L54" s="1" t="str">
        <f t="shared" si="5"/>
        <v/>
      </c>
      <c r="M54" s="1" t="str">
        <f t="shared" si="6"/>
        <v/>
      </c>
      <c r="O54">
        <v>53</v>
      </c>
      <c r="P54" t="s">
        <v>81</v>
      </c>
      <c r="Q54" t="s">
        <v>37</v>
      </c>
      <c r="R54">
        <v>538</v>
      </c>
      <c r="S54">
        <v>901</v>
      </c>
      <c r="T54">
        <v>1</v>
      </c>
    </row>
    <row r="55" spans="8:20" x14ac:dyDescent="0.3">
      <c r="H55" t="str">
        <f t="shared" si="7"/>
        <v/>
      </c>
      <c r="I55" s="1"/>
      <c r="J55" s="1"/>
      <c r="K55" s="1" t="str">
        <f t="shared" si="4"/>
        <v/>
      </c>
      <c r="L55" s="1" t="str">
        <f t="shared" si="5"/>
        <v/>
      </c>
      <c r="M55" s="1" t="str">
        <f t="shared" si="6"/>
        <v/>
      </c>
      <c r="O55">
        <v>54</v>
      </c>
      <c r="P55" t="s">
        <v>82</v>
      </c>
      <c r="Q55" t="s">
        <v>34</v>
      </c>
      <c r="R55">
        <v>656</v>
      </c>
      <c r="S55">
        <v>784</v>
      </c>
      <c r="T55">
        <v>1</v>
      </c>
    </row>
    <row r="56" spans="8:20" x14ac:dyDescent="0.3">
      <c r="H56" t="str">
        <f t="shared" si="7"/>
        <v/>
      </c>
      <c r="I56" s="1"/>
      <c r="J56" s="1"/>
      <c r="K56" s="1" t="str">
        <f t="shared" si="4"/>
        <v/>
      </c>
      <c r="L56" s="1" t="str">
        <f t="shared" si="5"/>
        <v/>
      </c>
      <c r="M56" s="1" t="str">
        <f t="shared" si="6"/>
        <v/>
      </c>
      <c r="O56">
        <v>55</v>
      </c>
      <c r="P56" t="s">
        <v>82</v>
      </c>
      <c r="Q56" t="s">
        <v>37</v>
      </c>
      <c r="R56">
        <v>645</v>
      </c>
      <c r="S56">
        <v>794</v>
      </c>
      <c r="T56">
        <v>1</v>
      </c>
    </row>
    <row r="57" spans="8:20" x14ac:dyDescent="0.3">
      <c r="H57" t="str">
        <f t="shared" si="7"/>
        <v/>
      </c>
      <c r="I57" s="1"/>
      <c r="J57" s="1"/>
      <c r="K57" s="1" t="str">
        <f t="shared" si="4"/>
        <v/>
      </c>
      <c r="L57" s="1" t="str">
        <f t="shared" si="5"/>
        <v/>
      </c>
      <c r="M57" s="1" t="str">
        <f t="shared" si="6"/>
        <v/>
      </c>
      <c r="O57">
        <v>56</v>
      </c>
      <c r="P57" t="s">
        <v>83</v>
      </c>
      <c r="Q57" t="s">
        <v>34</v>
      </c>
      <c r="R57">
        <v>774</v>
      </c>
      <c r="S57">
        <v>666</v>
      </c>
      <c r="T57">
        <v>1</v>
      </c>
    </row>
    <row r="58" spans="8:20" x14ac:dyDescent="0.3">
      <c r="H58" t="str">
        <f t="shared" si="7"/>
        <v/>
      </c>
      <c r="I58" s="1"/>
      <c r="J58" s="1"/>
      <c r="K58" s="1" t="str">
        <f t="shared" si="4"/>
        <v/>
      </c>
      <c r="L58" s="1" t="str">
        <f t="shared" si="5"/>
        <v/>
      </c>
      <c r="M58" s="1" t="str">
        <f t="shared" si="6"/>
        <v/>
      </c>
      <c r="O58">
        <v>57</v>
      </c>
      <c r="P58" t="s">
        <v>83</v>
      </c>
      <c r="Q58" t="s">
        <v>37</v>
      </c>
      <c r="R58">
        <v>486</v>
      </c>
      <c r="S58">
        <v>952</v>
      </c>
      <c r="T58">
        <v>1</v>
      </c>
    </row>
    <row r="59" spans="8:20" x14ac:dyDescent="0.3">
      <c r="H59" t="str">
        <f t="shared" si="7"/>
        <v/>
      </c>
      <c r="I59" s="1"/>
      <c r="J59" s="1"/>
      <c r="K59" s="1" t="str">
        <f t="shared" si="4"/>
        <v/>
      </c>
      <c r="L59" s="1" t="str">
        <f t="shared" si="5"/>
        <v/>
      </c>
      <c r="M59" s="1" t="str">
        <f t="shared" si="6"/>
        <v/>
      </c>
      <c r="O59">
        <v>58</v>
      </c>
      <c r="P59" t="s">
        <v>84</v>
      </c>
      <c r="Q59" t="s">
        <v>34</v>
      </c>
      <c r="R59">
        <v>735</v>
      </c>
      <c r="S59">
        <v>705</v>
      </c>
      <c r="T59">
        <v>1</v>
      </c>
    </row>
    <row r="60" spans="8:20" x14ac:dyDescent="0.3">
      <c r="H60" t="str">
        <f t="shared" si="7"/>
        <v/>
      </c>
      <c r="I60" s="1"/>
      <c r="J60" s="1"/>
      <c r="K60" s="1" t="str">
        <f t="shared" si="4"/>
        <v/>
      </c>
      <c r="L60" s="1" t="str">
        <f t="shared" si="5"/>
        <v/>
      </c>
      <c r="M60" s="1" t="str">
        <f t="shared" si="6"/>
        <v/>
      </c>
      <c r="O60">
        <v>59</v>
      </c>
      <c r="P60" t="s">
        <v>84</v>
      </c>
      <c r="Q60" t="s">
        <v>37</v>
      </c>
      <c r="R60">
        <v>620</v>
      </c>
      <c r="S60">
        <v>818</v>
      </c>
      <c r="T60">
        <v>1</v>
      </c>
    </row>
    <row r="61" spans="8:20" x14ac:dyDescent="0.3">
      <c r="H61" t="str">
        <f t="shared" si="7"/>
        <v/>
      </c>
      <c r="I61" s="1"/>
      <c r="J61" s="1"/>
      <c r="K61" s="1" t="str">
        <f t="shared" si="4"/>
        <v/>
      </c>
      <c r="L61" s="1" t="str">
        <f t="shared" si="5"/>
        <v/>
      </c>
      <c r="M61" s="1" t="str">
        <f t="shared" si="6"/>
        <v/>
      </c>
      <c r="O61">
        <v>60</v>
      </c>
      <c r="P61" t="s">
        <v>85</v>
      </c>
      <c r="Q61" t="s">
        <v>34</v>
      </c>
      <c r="R61">
        <v>807</v>
      </c>
      <c r="S61">
        <v>632</v>
      </c>
      <c r="T61">
        <v>1</v>
      </c>
    </row>
    <row r="62" spans="8:20" x14ac:dyDescent="0.3">
      <c r="H62" t="str">
        <f t="shared" si="7"/>
        <v/>
      </c>
      <c r="I62" s="1"/>
      <c r="J62" s="1"/>
      <c r="K62" s="1" t="str">
        <f t="shared" si="4"/>
        <v/>
      </c>
      <c r="L62" s="1" t="str">
        <f t="shared" si="5"/>
        <v/>
      </c>
      <c r="M62" s="1" t="str">
        <f t="shared" si="6"/>
        <v/>
      </c>
      <c r="O62">
        <v>61</v>
      </c>
      <c r="P62" t="s">
        <v>85</v>
      </c>
      <c r="Q62" t="s">
        <v>37</v>
      </c>
      <c r="R62">
        <v>277</v>
      </c>
      <c r="S62">
        <v>671</v>
      </c>
      <c r="T62">
        <v>245</v>
      </c>
    </row>
    <row r="63" spans="8:20" x14ac:dyDescent="0.3">
      <c r="H63" t="str">
        <f t="shared" si="7"/>
        <v/>
      </c>
      <c r="I63" s="1"/>
      <c r="J63" s="1"/>
      <c r="K63" s="1" t="str">
        <f t="shared" si="4"/>
        <v/>
      </c>
      <c r="L63" s="1" t="str">
        <f t="shared" si="5"/>
        <v/>
      </c>
      <c r="M63" s="1" t="str">
        <f t="shared" si="6"/>
        <v/>
      </c>
      <c r="O63">
        <v>62</v>
      </c>
      <c r="P63" t="s">
        <v>86</v>
      </c>
      <c r="Q63" t="s">
        <v>34</v>
      </c>
      <c r="R63">
        <v>0</v>
      </c>
      <c r="S63">
        <v>0</v>
      </c>
      <c r="T63">
        <v>720</v>
      </c>
    </row>
    <row r="64" spans="8:20" x14ac:dyDescent="0.3">
      <c r="H64" t="str">
        <f t="shared" si="7"/>
        <v/>
      </c>
      <c r="I64" s="1"/>
      <c r="J64" s="1"/>
      <c r="K64" s="1" t="str">
        <f t="shared" si="4"/>
        <v/>
      </c>
      <c r="L64" s="1" t="str">
        <f t="shared" si="5"/>
        <v/>
      </c>
      <c r="M64" s="1" t="str">
        <f t="shared" si="6"/>
        <v/>
      </c>
      <c r="O64">
        <v>63</v>
      </c>
      <c r="P64" t="s">
        <v>86</v>
      </c>
      <c r="Q64" t="s">
        <v>37</v>
      </c>
      <c r="R64">
        <v>0</v>
      </c>
      <c r="S64">
        <v>0</v>
      </c>
      <c r="T64">
        <v>720</v>
      </c>
    </row>
    <row r="65" spans="8:20" x14ac:dyDescent="0.3">
      <c r="H65" t="str">
        <f t="shared" si="7"/>
        <v/>
      </c>
      <c r="I65" s="1"/>
      <c r="J65" s="1"/>
      <c r="K65" s="1" t="str">
        <f t="shared" si="4"/>
        <v/>
      </c>
      <c r="L65" s="1" t="str">
        <f t="shared" si="5"/>
        <v/>
      </c>
      <c r="M65" s="1" t="str">
        <f t="shared" si="6"/>
        <v/>
      </c>
      <c r="O65">
        <v>64</v>
      </c>
      <c r="P65" t="s">
        <v>87</v>
      </c>
      <c r="Q65" t="s">
        <v>34</v>
      </c>
      <c r="R65">
        <v>219</v>
      </c>
      <c r="S65">
        <v>807</v>
      </c>
      <c r="T65">
        <v>207</v>
      </c>
    </row>
    <row r="66" spans="8:20" x14ac:dyDescent="0.3">
      <c r="H66" t="str">
        <f t="shared" si="7"/>
        <v/>
      </c>
      <c r="I66" s="1"/>
      <c r="J66" s="1"/>
      <c r="K66" s="1" t="str">
        <f t="shared" si="4"/>
        <v/>
      </c>
      <c r="L66" s="1" t="str">
        <f t="shared" si="5"/>
        <v/>
      </c>
      <c r="M66" s="1" t="str">
        <f t="shared" si="6"/>
        <v/>
      </c>
      <c r="O66">
        <v>65</v>
      </c>
      <c r="P66" t="s">
        <v>87</v>
      </c>
      <c r="Q66" t="s">
        <v>37</v>
      </c>
      <c r="R66">
        <v>609</v>
      </c>
      <c r="S66">
        <v>831</v>
      </c>
      <c r="T66">
        <v>1</v>
      </c>
    </row>
    <row r="67" spans="8:20" x14ac:dyDescent="0.3">
      <c r="H67" t="str">
        <f t="shared" si="7"/>
        <v/>
      </c>
      <c r="I67" s="1"/>
      <c r="J67" s="1"/>
      <c r="K67" s="1" t="str">
        <f t="shared" si="4"/>
        <v/>
      </c>
      <c r="L67" s="1" t="str">
        <f t="shared" si="5"/>
        <v/>
      </c>
      <c r="M67" s="1" t="str">
        <f t="shared" si="6"/>
        <v/>
      </c>
      <c r="O67">
        <v>66</v>
      </c>
      <c r="P67" t="s">
        <v>88</v>
      </c>
      <c r="Q67" t="s">
        <v>34</v>
      </c>
      <c r="R67">
        <v>815</v>
      </c>
      <c r="S67">
        <v>625</v>
      </c>
      <c r="T67">
        <v>1</v>
      </c>
    </row>
    <row r="68" spans="8:20" x14ac:dyDescent="0.3">
      <c r="H68" t="str">
        <f t="shared" si="7"/>
        <v/>
      </c>
      <c r="I68" s="1"/>
      <c r="J68" s="1"/>
      <c r="K68" s="1" t="str">
        <f t="shared" si="4"/>
        <v/>
      </c>
      <c r="L68" s="1" t="str">
        <f t="shared" si="5"/>
        <v/>
      </c>
      <c r="M68" s="1" t="str">
        <f t="shared" si="6"/>
        <v/>
      </c>
      <c r="O68">
        <v>67</v>
      </c>
      <c r="P68" t="s">
        <v>88</v>
      </c>
      <c r="Q68" t="s">
        <v>37</v>
      </c>
      <c r="R68">
        <v>500</v>
      </c>
      <c r="S68">
        <v>940</v>
      </c>
      <c r="T68">
        <v>1</v>
      </c>
    </row>
    <row r="69" spans="8:20" x14ac:dyDescent="0.3">
      <c r="H69" t="str">
        <f t="shared" si="7"/>
        <v/>
      </c>
      <c r="I69" s="1"/>
      <c r="J69" s="1"/>
      <c r="K69" s="1" t="str">
        <f t="shared" si="4"/>
        <v/>
      </c>
      <c r="L69" s="1" t="str">
        <f t="shared" si="5"/>
        <v/>
      </c>
      <c r="M69" s="1" t="str">
        <f t="shared" si="6"/>
        <v/>
      </c>
      <c r="O69">
        <v>68</v>
      </c>
      <c r="P69" t="s">
        <v>89</v>
      </c>
      <c r="Q69" t="s">
        <v>34</v>
      </c>
      <c r="R69">
        <v>548</v>
      </c>
      <c r="S69">
        <v>891</v>
      </c>
      <c r="T69">
        <v>1</v>
      </c>
    </row>
    <row r="70" spans="8:20" x14ac:dyDescent="0.3">
      <c r="H70" t="str">
        <f t="shared" si="7"/>
        <v/>
      </c>
      <c r="I70" s="1"/>
      <c r="J70" s="1"/>
      <c r="K70" s="1" t="str">
        <f t="shared" si="4"/>
        <v/>
      </c>
      <c r="L70" s="1" t="str">
        <f t="shared" si="5"/>
        <v/>
      </c>
      <c r="M70" s="1" t="str">
        <f t="shared" si="6"/>
        <v/>
      </c>
      <c r="O70">
        <v>69</v>
      </c>
      <c r="P70" t="s">
        <v>89</v>
      </c>
      <c r="Q70" t="s">
        <v>37</v>
      </c>
      <c r="R70">
        <v>531</v>
      </c>
      <c r="S70">
        <v>907</v>
      </c>
      <c r="T70">
        <v>1</v>
      </c>
    </row>
    <row r="71" spans="8:20" x14ac:dyDescent="0.3">
      <c r="H71" t="str">
        <f t="shared" si="7"/>
        <v/>
      </c>
      <c r="I71" s="1"/>
      <c r="J71" s="1"/>
      <c r="K71" s="1" t="str">
        <f t="shared" si="4"/>
        <v/>
      </c>
      <c r="L71" s="1" t="str">
        <f t="shared" si="5"/>
        <v/>
      </c>
      <c r="M71" s="1" t="str">
        <f t="shared" si="6"/>
        <v/>
      </c>
      <c r="O71">
        <v>70</v>
      </c>
      <c r="P71" t="s">
        <v>90</v>
      </c>
      <c r="Q71" t="s">
        <v>34</v>
      </c>
      <c r="R71">
        <v>706</v>
      </c>
      <c r="S71">
        <v>733</v>
      </c>
      <c r="T71">
        <v>1</v>
      </c>
    </row>
    <row r="72" spans="8:20" x14ac:dyDescent="0.3">
      <c r="H72" t="str">
        <f t="shared" si="7"/>
        <v/>
      </c>
      <c r="I72" s="1"/>
      <c r="J72" s="1"/>
      <c r="K72" s="1" t="str">
        <f t="shared" si="4"/>
        <v/>
      </c>
      <c r="L72" s="1" t="str">
        <f t="shared" si="5"/>
        <v/>
      </c>
      <c r="M72" s="1" t="str">
        <f t="shared" si="6"/>
        <v/>
      </c>
      <c r="O72">
        <v>71</v>
      </c>
      <c r="P72" t="s">
        <v>90</v>
      </c>
      <c r="Q72" t="s">
        <v>37</v>
      </c>
      <c r="R72">
        <v>563</v>
      </c>
      <c r="S72">
        <v>876</v>
      </c>
      <c r="T72">
        <v>1</v>
      </c>
    </row>
    <row r="73" spans="8:20" x14ac:dyDescent="0.3">
      <c r="H73" t="str">
        <f t="shared" si="7"/>
        <v/>
      </c>
      <c r="I73" s="1"/>
      <c r="J73" s="1"/>
      <c r="K73" s="1" t="str">
        <f t="shared" si="4"/>
        <v/>
      </c>
      <c r="L73" s="1" t="str">
        <f t="shared" si="5"/>
        <v/>
      </c>
      <c r="M73" s="1" t="str">
        <f t="shared" si="6"/>
        <v/>
      </c>
      <c r="O73">
        <v>72</v>
      </c>
      <c r="P73" t="s">
        <v>91</v>
      </c>
      <c r="Q73" t="s">
        <v>34</v>
      </c>
      <c r="R73">
        <v>737</v>
      </c>
      <c r="S73">
        <v>703</v>
      </c>
      <c r="T73">
        <v>1</v>
      </c>
    </row>
    <row r="74" spans="8:20" x14ac:dyDescent="0.3">
      <c r="H74" t="str">
        <f t="shared" si="7"/>
        <v/>
      </c>
      <c r="I74" s="1"/>
      <c r="J74" s="1"/>
      <c r="K74" s="1" t="str">
        <f t="shared" si="4"/>
        <v/>
      </c>
      <c r="L74" s="1" t="str">
        <f t="shared" si="5"/>
        <v/>
      </c>
      <c r="M74" s="1" t="str">
        <f t="shared" si="6"/>
        <v/>
      </c>
      <c r="O74">
        <v>73</v>
      </c>
      <c r="P74" t="s">
        <v>91</v>
      </c>
      <c r="Q74" t="s">
        <v>37</v>
      </c>
      <c r="R74">
        <v>636</v>
      </c>
      <c r="S74">
        <v>804</v>
      </c>
      <c r="T74">
        <v>1</v>
      </c>
    </row>
    <row r="75" spans="8:20" x14ac:dyDescent="0.3">
      <c r="H75" t="str">
        <f t="shared" si="7"/>
        <v/>
      </c>
      <c r="I75" s="1"/>
      <c r="J75" s="1"/>
      <c r="K75" s="1" t="str">
        <f t="shared" si="4"/>
        <v/>
      </c>
      <c r="L75" s="1" t="str">
        <f t="shared" si="5"/>
        <v/>
      </c>
      <c r="M75" s="1" t="str">
        <f t="shared" si="6"/>
        <v/>
      </c>
      <c r="O75">
        <v>74</v>
      </c>
      <c r="P75" t="s">
        <v>92</v>
      </c>
      <c r="Q75" t="s">
        <v>34</v>
      </c>
      <c r="R75">
        <v>785</v>
      </c>
      <c r="S75">
        <v>653</v>
      </c>
      <c r="T75">
        <v>1</v>
      </c>
    </row>
    <row r="76" spans="8:20" x14ac:dyDescent="0.3">
      <c r="I76" s="1"/>
      <c r="J76" s="1"/>
      <c r="K76" s="1"/>
      <c r="L76" s="1"/>
      <c r="M76" s="1"/>
      <c r="O76">
        <v>75</v>
      </c>
      <c r="P76" t="s">
        <v>92</v>
      </c>
      <c r="Q76" t="s">
        <v>37</v>
      </c>
      <c r="R76">
        <v>295</v>
      </c>
      <c r="S76">
        <v>648</v>
      </c>
      <c r="T76">
        <v>246</v>
      </c>
    </row>
    <row r="77" spans="8:20" x14ac:dyDescent="0.3">
      <c r="I77" s="1"/>
      <c r="J77" s="1"/>
      <c r="K77" s="1"/>
      <c r="L77" s="1"/>
      <c r="M77" s="1"/>
      <c r="O77">
        <v>76</v>
      </c>
      <c r="P77" t="s">
        <v>93</v>
      </c>
      <c r="Q77" t="s">
        <v>34</v>
      </c>
      <c r="R77">
        <v>0</v>
      </c>
      <c r="S77">
        <v>0</v>
      </c>
      <c r="T77">
        <v>720</v>
      </c>
    </row>
    <row r="78" spans="8:20" x14ac:dyDescent="0.3">
      <c r="I78" s="1"/>
      <c r="J78" s="1"/>
      <c r="K78" s="1"/>
      <c r="L78" s="1"/>
      <c r="M78" s="1"/>
      <c r="O78">
        <v>77</v>
      </c>
      <c r="P78" t="s">
        <v>93</v>
      </c>
      <c r="Q78" t="s">
        <v>37</v>
      </c>
      <c r="R78">
        <v>0</v>
      </c>
      <c r="S78">
        <v>0</v>
      </c>
      <c r="T78">
        <v>720</v>
      </c>
    </row>
    <row r="79" spans="8:20" x14ac:dyDescent="0.3">
      <c r="I79" s="1"/>
      <c r="J79" s="1"/>
      <c r="K79" s="1"/>
      <c r="L79" s="1"/>
      <c r="M79" s="1"/>
      <c r="O79">
        <v>78</v>
      </c>
      <c r="P79" t="s">
        <v>94</v>
      </c>
      <c r="Q79" t="s">
        <v>34</v>
      </c>
      <c r="R79">
        <v>209</v>
      </c>
      <c r="S79">
        <v>817</v>
      </c>
      <c r="T79">
        <v>207</v>
      </c>
    </row>
    <row r="80" spans="8:20" x14ac:dyDescent="0.3">
      <c r="I80" s="1"/>
      <c r="J80" s="1"/>
      <c r="K80" s="1"/>
      <c r="L80" s="1"/>
      <c r="M80" s="1"/>
      <c r="O80">
        <v>79</v>
      </c>
      <c r="P80" t="s">
        <v>94</v>
      </c>
      <c r="Q80" t="s">
        <v>37</v>
      </c>
      <c r="R80">
        <v>457</v>
      </c>
      <c r="S80">
        <v>982</v>
      </c>
      <c r="T80">
        <v>1</v>
      </c>
    </row>
    <row r="81" spans="9:20" x14ac:dyDescent="0.3">
      <c r="I81" s="1"/>
      <c r="J81" s="1"/>
      <c r="K81" s="1"/>
      <c r="L81" s="1"/>
      <c r="M81" s="1"/>
      <c r="O81">
        <v>80</v>
      </c>
      <c r="P81" t="s">
        <v>95</v>
      </c>
      <c r="Q81" t="s">
        <v>34</v>
      </c>
      <c r="R81">
        <v>642</v>
      </c>
      <c r="S81">
        <v>797</v>
      </c>
      <c r="T81">
        <v>1</v>
      </c>
    </row>
    <row r="82" spans="9:20" x14ac:dyDescent="0.3">
      <c r="I82" s="1"/>
      <c r="J82" s="1"/>
      <c r="K82" s="1"/>
      <c r="L82" s="1"/>
      <c r="M82" s="1"/>
      <c r="O82">
        <v>81</v>
      </c>
      <c r="P82" t="s">
        <v>95</v>
      </c>
      <c r="Q82" t="s">
        <v>37</v>
      </c>
      <c r="R82">
        <v>564</v>
      </c>
      <c r="S82">
        <v>876</v>
      </c>
      <c r="T82">
        <v>1</v>
      </c>
    </row>
    <row r="83" spans="9:20" x14ac:dyDescent="0.3">
      <c r="I83" s="1"/>
      <c r="J83" s="1"/>
      <c r="K83" s="1"/>
      <c r="L83" s="1"/>
      <c r="M83" s="1"/>
      <c r="O83">
        <v>82</v>
      </c>
      <c r="P83" t="s">
        <v>96</v>
      </c>
      <c r="Q83" t="s">
        <v>34</v>
      </c>
      <c r="R83">
        <v>715</v>
      </c>
      <c r="S83">
        <v>724</v>
      </c>
      <c r="T83">
        <v>1</v>
      </c>
    </row>
    <row r="84" spans="9:20" x14ac:dyDescent="0.3">
      <c r="I84" s="1"/>
      <c r="J84" s="1"/>
      <c r="K84" s="1"/>
      <c r="L84" s="1"/>
      <c r="M84" s="1"/>
      <c r="O84">
        <v>83</v>
      </c>
      <c r="P84" t="s">
        <v>96</v>
      </c>
      <c r="Q84" t="s">
        <v>37</v>
      </c>
      <c r="R84">
        <v>589</v>
      </c>
      <c r="S84">
        <v>851</v>
      </c>
      <c r="T84">
        <v>1</v>
      </c>
    </row>
    <row r="85" spans="9:20" x14ac:dyDescent="0.3">
      <c r="I85" s="1"/>
      <c r="J85" s="1"/>
      <c r="K85" s="1"/>
      <c r="L85" s="1"/>
      <c r="M85" s="1"/>
      <c r="O85">
        <v>84</v>
      </c>
      <c r="P85" t="s">
        <v>97</v>
      </c>
      <c r="Q85" t="s">
        <v>34</v>
      </c>
      <c r="R85">
        <v>662</v>
      </c>
      <c r="S85">
        <v>776</v>
      </c>
      <c r="T85">
        <v>1</v>
      </c>
    </row>
    <row r="86" spans="9:20" x14ac:dyDescent="0.3">
      <c r="I86" s="1"/>
      <c r="J86" s="1"/>
      <c r="K86" s="1"/>
      <c r="L86" s="1"/>
      <c r="M86" s="1"/>
      <c r="O86">
        <v>85</v>
      </c>
      <c r="P86" t="s">
        <v>97</v>
      </c>
      <c r="Q86" t="s">
        <v>37</v>
      </c>
      <c r="R86">
        <v>647</v>
      </c>
      <c r="S86">
        <v>792</v>
      </c>
      <c r="T86">
        <v>1</v>
      </c>
    </row>
    <row r="87" spans="9:20" x14ac:dyDescent="0.3">
      <c r="I87" s="1"/>
      <c r="J87" s="1"/>
      <c r="K87" s="1"/>
      <c r="L87" s="1"/>
      <c r="M87" s="1"/>
      <c r="O87">
        <v>86</v>
      </c>
      <c r="P87" t="s">
        <v>98</v>
      </c>
      <c r="Q87" t="s">
        <v>34</v>
      </c>
      <c r="R87">
        <v>1004</v>
      </c>
      <c r="S87">
        <v>436</v>
      </c>
      <c r="T87">
        <v>0</v>
      </c>
    </row>
    <row r="88" spans="9:20" x14ac:dyDescent="0.3">
      <c r="I88" s="1"/>
      <c r="J88" s="1"/>
      <c r="K88" s="1"/>
      <c r="L88" s="1"/>
      <c r="M88" s="1"/>
      <c r="O88">
        <v>87</v>
      </c>
      <c r="P88" t="s">
        <v>98</v>
      </c>
      <c r="Q88" t="s">
        <v>37</v>
      </c>
      <c r="R88">
        <v>474</v>
      </c>
      <c r="S88">
        <v>294</v>
      </c>
      <c r="T88">
        <v>330</v>
      </c>
    </row>
    <row r="89" spans="9:20" x14ac:dyDescent="0.3">
      <c r="I89" s="1"/>
      <c r="J89" s="1"/>
      <c r="K89" s="1"/>
      <c r="L89" s="1"/>
      <c r="M89" s="1"/>
      <c r="O89">
        <v>88</v>
      </c>
      <c r="P89" t="s">
        <v>99</v>
      </c>
      <c r="Q89" t="s">
        <v>34</v>
      </c>
      <c r="R89">
        <v>0</v>
      </c>
      <c r="S89">
        <v>0</v>
      </c>
      <c r="T89">
        <v>720</v>
      </c>
    </row>
    <row r="90" spans="9:20" x14ac:dyDescent="0.3">
      <c r="I90" s="1"/>
      <c r="J90" s="1"/>
      <c r="K90" s="1"/>
      <c r="L90" s="1"/>
      <c r="M90" s="1"/>
      <c r="O90">
        <v>89</v>
      </c>
      <c r="P90" t="s">
        <v>99</v>
      </c>
      <c r="Q90" t="s">
        <v>37</v>
      </c>
      <c r="R90">
        <v>0</v>
      </c>
      <c r="S90">
        <v>0</v>
      </c>
      <c r="T90">
        <v>720</v>
      </c>
    </row>
    <row r="91" spans="9:20" x14ac:dyDescent="0.3">
      <c r="I91" s="1"/>
      <c r="J91" s="1"/>
      <c r="K91" s="1"/>
      <c r="L91" s="1"/>
      <c r="M91" s="1"/>
      <c r="O91">
        <v>90</v>
      </c>
      <c r="P91" t="s">
        <v>100</v>
      </c>
      <c r="Q91" t="s">
        <v>34</v>
      </c>
      <c r="R91">
        <v>0</v>
      </c>
      <c r="S91">
        <v>0</v>
      </c>
      <c r="T91">
        <v>720</v>
      </c>
    </row>
    <row r="92" spans="9:20" x14ac:dyDescent="0.3">
      <c r="I92" s="1"/>
      <c r="J92" s="1"/>
      <c r="K92" s="1"/>
      <c r="L92" s="1"/>
      <c r="M92" s="1"/>
      <c r="O92">
        <v>91</v>
      </c>
      <c r="P92" t="s">
        <v>100</v>
      </c>
      <c r="Q92" t="s">
        <v>37</v>
      </c>
      <c r="R92">
        <v>0</v>
      </c>
      <c r="S92">
        <v>0</v>
      </c>
      <c r="T92">
        <v>720</v>
      </c>
    </row>
    <row r="93" spans="9:20" x14ac:dyDescent="0.3">
      <c r="I93" s="1"/>
      <c r="J93" s="1"/>
      <c r="K93" s="1"/>
      <c r="L93" s="1"/>
      <c r="M93" s="1"/>
      <c r="O93">
        <v>92</v>
      </c>
      <c r="P93" t="s">
        <v>101</v>
      </c>
      <c r="Q93" t="s">
        <v>34</v>
      </c>
      <c r="R93">
        <v>0</v>
      </c>
      <c r="S93">
        <v>0</v>
      </c>
      <c r="T93">
        <v>720</v>
      </c>
    </row>
    <row r="94" spans="9:20" x14ac:dyDescent="0.3">
      <c r="I94" s="1"/>
      <c r="J94" s="1"/>
      <c r="K94" s="1"/>
      <c r="L94" s="1"/>
      <c r="M94" s="1"/>
      <c r="O94">
        <v>93</v>
      </c>
      <c r="P94" t="s">
        <v>101</v>
      </c>
      <c r="Q94" t="s">
        <v>37</v>
      </c>
      <c r="R94">
        <v>0</v>
      </c>
      <c r="S94">
        <v>0</v>
      </c>
      <c r="T94">
        <v>720</v>
      </c>
    </row>
    <row r="95" spans="9:20" x14ac:dyDescent="0.3">
      <c r="I95" s="1"/>
      <c r="J95" s="1"/>
      <c r="K95" s="1"/>
      <c r="L95" s="1"/>
      <c r="M95" s="1"/>
      <c r="O95">
        <v>94</v>
      </c>
      <c r="P95" t="s">
        <v>102</v>
      </c>
      <c r="Q95" t="s">
        <v>34</v>
      </c>
      <c r="R95">
        <v>0</v>
      </c>
      <c r="S95">
        <v>0</v>
      </c>
      <c r="T95">
        <v>720</v>
      </c>
    </row>
    <row r="96" spans="9:20" x14ac:dyDescent="0.3">
      <c r="I96" s="1"/>
      <c r="J96" s="1"/>
      <c r="K96" s="1"/>
      <c r="L96" s="1"/>
      <c r="M96" s="1"/>
      <c r="O96">
        <v>95</v>
      </c>
      <c r="P96" t="s">
        <v>102</v>
      </c>
      <c r="Q96" t="s">
        <v>37</v>
      </c>
      <c r="R96">
        <v>0</v>
      </c>
      <c r="S96">
        <v>0</v>
      </c>
      <c r="T96">
        <v>720</v>
      </c>
    </row>
    <row r="97" spans="9:20" x14ac:dyDescent="0.3">
      <c r="I97" s="1"/>
      <c r="J97" s="1"/>
      <c r="K97" s="1"/>
      <c r="L97" s="1"/>
      <c r="M97" s="1"/>
      <c r="O97">
        <v>96</v>
      </c>
      <c r="P97" t="s">
        <v>103</v>
      </c>
      <c r="Q97" t="s">
        <v>34</v>
      </c>
      <c r="R97">
        <v>0</v>
      </c>
      <c r="S97">
        <v>0</v>
      </c>
      <c r="T97">
        <v>720</v>
      </c>
    </row>
    <row r="98" spans="9:20" x14ac:dyDescent="0.3">
      <c r="I98" s="1"/>
      <c r="J98" s="1"/>
      <c r="K98" s="1"/>
      <c r="L98" s="1"/>
      <c r="M98" s="1"/>
      <c r="O98">
        <v>97</v>
      </c>
      <c r="P98" t="s">
        <v>103</v>
      </c>
      <c r="Q98" t="s">
        <v>37</v>
      </c>
      <c r="R98">
        <v>0</v>
      </c>
      <c r="S98">
        <v>0</v>
      </c>
      <c r="T98">
        <v>720</v>
      </c>
    </row>
    <row r="99" spans="9:20" x14ac:dyDescent="0.3">
      <c r="I99" s="1"/>
      <c r="J99" s="1"/>
      <c r="K99" s="1"/>
      <c r="L99" s="1"/>
      <c r="M99" s="1"/>
      <c r="O99">
        <v>98</v>
      </c>
      <c r="P99" t="s">
        <v>104</v>
      </c>
      <c r="Q99" t="s">
        <v>34</v>
      </c>
      <c r="R99">
        <v>0</v>
      </c>
      <c r="S99">
        <v>0</v>
      </c>
      <c r="T99">
        <v>720</v>
      </c>
    </row>
    <row r="100" spans="9:20" x14ac:dyDescent="0.3">
      <c r="I100" s="1"/>
      <c r="J100" s="1"/>
      <c r="K100" s="1"/>
      <c r="L100" s="1"/>
      <c r="M100" s="1"/>
      <c r="O100">
        <v>99</v>
      </c>
      <c r="P100" t="s">
        <v>104</v>
      </c>
      <c r="Q100" t="s">
        <v>37</v>
      </c>
      <c r="R100">
        <v>0</v>
      </c>
      <c r="S100">
        <v>0</v>
      </c>
      <c r="T100">
        <v>720</v>
      </c>
    </row>
    <row r="101" spans="9:20" x14ac:dyDescent="0.3">
      <c r="I101" s="1"/>
      <c r="J101" s="1"/>
      <c r="K101" s="1"/>
      <c r="L101" s="1"/>
      <c r="M101" s="1"/>
      <c r="O101">
        <v>100</v>
      </c>
      <c r="P101" t="s">
        <v>105</v>
      </c>
      <c r="Q101" t="s">
        <v>34</v>
      </c>
      <c r="R101">
        <v>0</v>
      </c>
      <c r="S101">
        <v>0</v>
      </c>
      <c r="T101">
        <v>720</v>
      </c>
    </row>
    <row r="102" spans="9:20" x14ac:dyDescent="0.3">
      <c r="O102">
        <v>101</v>
      </c>
      <c r="P102" t="s">
        <v>105</v>
      </c>
      <c r="Q102" t="s">
        <v>37</v>
      </c>
      <c r="R102">
        <v>0</v>
      </c>
      <c r="S102">
        <v>0</v>
      </c>
      <c r="T102">
        <v>720</v>
      </c>
    </row>
    <row r="103" spans="9:20" x14ac:dyDescent="0.3">
      <c r="O103">
        <v>102</v>
      </c>
      <c r="P103" t="s">
        <v>106</v>
      </c>
      <c r="Q103" t="s">
        <v>34</v>
      </c>
      <c r="R103">
        <v>0</v>
      </c>
      <c r="S103">
        <v>0</v>
      </c>
      <c r="T103">
        <v>720</v>
      </c>
    </row>
    <row r="104" spans="9:20" x14ac:dyDescent="0.3">
      <c r="O104">
        <v>103</v>
      </c>
      <c r="P104" t="s">
        <v>106</v>
      </c>
      <c r="Q104" t="s">
        <v>37</v>
      </c>
      <c r="R104">
        <v>0</v>
      </c>
      <c r="S104">
        <v>0</v>
      </c>
      <c r="T104">
        <v>720</v>
      </c>
    </row>
    <row r="105" spans="9:20" x14ac:dyDescent="0.3">
      <c r="O105">
        <v>104</v>
      </c>
      <c r="P105" t="s">
        <v>107</v>
      </c>
      <c r="Q105" t="s">
        <v>34</v>
      </c>
      <c r="R105">
        <v>0</v>
      </c>
      <c r="S105">
        <v>0</v>
      </c>
      <c r="T105">
        <v>720</v>
      </c>
    </row>
    <row r="106" spans="9:20" x14ac:dyDescent="0.3">
      <c r="O106">
        <v>105</v>
      </c>
      <c r="P106" t="s">
        <v>107</v>
      </c>
      <c r="Q106" t="s">
        <v>37</v>
      </c>
      <c r="R106">
        <v>0</v>
      </c>
      <c r="S106">
        <v>0</v>
      </c>
      <c r="T106">
        <v>720</v>
      </c>
    </row>
    <row r="107" spans="9:20" x14ac:dyDescent="0.3">
      <c r="O107">
        <v>106</v>
      </c>
      <c r="P107" t="s">
        <v>108</v>
      </c>
      <c r="Q107" t="s">
        <v>34</v>
      </c>
      <c r="R107">
        <v>362</v>
      </c>
      <c r="S107">
        <v>650</v>
      </c>
      <c r="T107">
        <v>214</v>
      </c>
    </row>
    <row r="108" spans="9:20" x14ac:dyDescent="0.3">
      <c r="O108">
        <v>107</v>
      </c>
      <c r="P108" t="s">
        <v>108</v>
      </c>
      <c r="Q108" t="s">
        <v>37</v>
      </c>
      <c r="R108">
        <v>740</v>
      </c>
      <c r="S108">
        <v>699</v>
      </c>
      <c r="T108">
        <v>1</v>
      </c>
    </row>
    <row r="109" spans="9:20" x14ac:dyDescent="0.3">
      <c r="O109">
        <v>108</v>
      </c>
      <c r="P109" t="s">
        <v>109</v>
      </c>
      <c r="Q109" t="s">
        <v>34</v>
      </c>
      <c r="R109">
        <v>750</v>
      </c>
      <c r="S109">
        <v>689</v>
      </c>
      <c r="T109">
        <v>1</v>
      </c>
    </row>
    <row r="110" spans="9:20" x14ac:dyDescent="0.3">
      <c r="O110">
        <v>109</v>
      </c>
      <c r="P110" t="s">
        <v>109</v>
      </c>
      <c r="Q110" t="s">
        <v>37</v>
      </c>
      <c r="R110">
        <v>489</v>
      </c>
      <c r="S110">
        <v>950</v>
      </c>
      <c r="T110">
        <v>1</v>
      </c>
    </row>
    <row r="111" spans="9:20" x14ac:dyDescent="0.3">
      <c r="O111">
        <v>110</v>
      </c>
      <c r="P111" t="s">
        <v>110</v>
      </c>
      <c r="Q111" t="s">
        <v>34</v>
      </c>
      <c r="R111">
        <v>652</v>
      </c>
      <c r="S111">
        <v>788</v>
      </c>
      <c r="T111">
        <v>1</v>
      </c>
    </row>
    <row r="112" spans="9:20" x14ac:dyDescent="0.3">
      <c r="O112">
        <v>111</v>
      </c>
      <c r="P112" t="s">
        <v>110</v>
      </c>
      <c r="Q112" t="s">
        <v>37</v>
      </c>
      <c r="R112">
        <v>473</v>
      </c>
      <c r="S112">
        <v>966</v>
      </c>
      <c r="T112">
        <v>1</v>
      </c>
    </row>
    <row r="113" spans="15:20" x14ac:dyDescent="0.3">
      <c r="O113">
        <v>112</v>
      </c>
      <c r="P113" t="s">
        <v>111</v>
      </c>
      <c r="Q113" t="s">
        <v>34</v>
      </c>
      <c r="R113">
        <v>679</v>
      </c>
      <c r="S113">
        <v>757</v>
      </c>
      <c r="T113">
        <v>1</v>
      </c>
    </row>
    <row r="114" spans="15:20" x14ac:dyDescent="0.3">
      <c r="O114">
        <v>113</v>
      </c>
      <c r="P114" t="s">
        <v>111</v>
      </c>
      <c r="Q114" t="s">
        <v>37</v>
      </c>
      <c r="R114">
        <v>533</v>
      </c>
      <c r="S114">
        <v>906</v>
      </c>
      <c r="T114">
        <v>1</v>
      </c>
    </row>
    <row r="115" spans="15:20" x14ac:dyDescent="0.3">
      <c r="O115">
        <v>114</v>
      </c>
      <c r="P115" t="s">
        <v>112</v>
      </c>
      <c r="Q115" t="s">
        <v>34</v>
      </c>
      <c r="R115">
        <v>666</v>
      </c>
      <c r="S115">
        <v>773</v>
      </c>
      <c r="T115">
        <v>1</v>
      </c>
    </row>
    <row r="116" spans="15:20" x14ac:dyDescent="0.3">
      <c r="O116">
        <v>115</v>
      </c>
      <c r="P116" t="s">
        <v>112</v>
      </c>
      <c r="Q116" t="s">
        <v>37</v>
      </c>
      <c r="R116">
        <v>474</v>
      </c>
      <c r="S116">
        <v>965</v>
      </c>
      <c r="T116">
        <v>1</v>
      </c>
    </row>
    <row r="117" spans="15:20" x14ac:dyDescent="0.3">
      <c r="O117">
        <v>116</v>
      </c>
      <c r="P117" t="s">
        <v>113</v>
      </c>
      <c r="Q117" t="s">
        <v>34</v>
      </c>
      <c r="R117">
        <v>592</v>
      </c>
      <c r="S117">
        <v>847</v>
      </c>
      <c r="T117">
        <v>1</v>
      </c>
    </row>
    <row r="118" spans="15:20" x14ac:dyDescent="0.3">
      <c r="O118">
        <v>117</v>
      </c>
      <c r="P118" t="s">
        <v>113</v>
      </c>
      <c r="Q118" t="s">
        <v>37</v>
      </c>
      <c r="R118">
        <v>278</v>
      </c>
      <c r="S118">
        <v>670</v>
      </c>
      <c r="T118">
        <v>246</v>
      </c>
    </row>
    <row r="119" spans="15:20" x14ac:dyDescent="0.3">
      <c r="O119">
        <v>118</v>
      </c>
      <c r="P119" t="s">
        <v>114</v>
      </c>
      <c r="Q119" t="s">
        <v>34</v>
      </c>
      <c r="R119">
        <v>0</v>
      </c>
      <c r="S119">
        <v>0</v>
      </c>
      <c r="T119">
        <v>655</v>
      </c>
    </row>
    <row r="120" spans="15:20" x14ac:dyDescent="0.3">
      <c r="O120">
        <v>119</v>
      </c>
      <c r="P120" t="s">
        <v>114</v>
      </c>
      <c r="Q120" t="s">
        <v>37</v>
      </c>
      <c r="R120">
        <v>0</v>
      </c>
      <c r="S120">
        <v>0</v>
      </c>
      <c r="T120">
        <v>720</v>
      </c>
    </row>
    <row r="121" spans="15:20" x14ac:dyDescent="0.3">
      <c r="O121">
        <v>120</v>
      </c>
      <c r="P121" t="s">
        <v>115</v>
      </c>
      <c r="Q121" t="s">
        <v>34</v>
      </c>
      <c r="R121">
        <v>218</v>
      </c>
      <c r="S121">
        <v>808</v>
      </c>
      <c r="T121">
        <v>208</v>
      </c>
    </row>
    <row r="122" spans="15:20" x14ac:dyDescent="0.3">
      <c r="O122">
        <v>121</v>
      </c>
      <c r="P122" t="s">
        <v>115</v>
      </c>
      <c r="Q122" t="s">
        <v>37</v>
      </c>
      <c r="R122">
        <v>571</v>
      </c>
      <c r="S122">
        <v>867</v>
      </c>
      <c r="T122">
        <v>1</v>
      </c>
    </row>
    <row r="123" spans="15:20" x14ac:dyDescent="0.3">
      <c r="O123">
        <v>122</v>
      </c>
      <c r="P123" t="s">
        <v>116</v>
      </c>
      <c r="Q123" t="s">
        <v>34</v>
      </c>
      <c r="R123">
        <v>605</v>
      </c>
      <c r="S123">
        <v>834</v>
      </c>
      <c r="T123">
        <v>1</v>
      </c>
    </row>
    <row r="124" spans="15:20" x14ac:dyDescent="0.3">
      <c r="O124">
        <v>123</v>
      </c>
      <c r="P124" t="s">
        <v>116</v>
      </c>
      <c r="Q124" t="s">
        <v>37</v>
      </c>
      <c r="R124">
        <v>651</v>
      </c>
      <c r="S124">
        <v>788</v>
      </c>
      <c r="T124">
        <v>1</v>
      </c>
    </row>
    <row r="125" spans="15:20" x14ac:dyDescent="0.3">
      <c r="O125">
        <v>124</v>
      </c>
      <c r="P125" t="s">
        <v>117</v>
      </c>
      <c r="Q125" t="s">
        <v>34</v>
      </c>
      <c r="R125">
        <v>620</v>
      </c>
      <c r="S125">
        <v>818</v>
      </c>
      <c r="T125">
        <v>1</v>
      </c>
    </row>
    <row r="126" spans="15:20" x14ac:dyDescent="0.3">
      <c r="O126">
        <v>125</v>
      </c>
      <c r="P126" t="s">
        <v>117</v>
      </c>
      <c r="Q126" t="s">
        <v>37</v>
      </c>
      <c r="R126">
        <v>535</v>
      </c>
      <c r="S126">
        <v>903</v>
      </c>
      <c r="T126">
        <v>1</v>
      </c>
    </row>
    <row r="127" spans="15:20" x14ac:dyDescent="0.3">
      <c r="O127">
        <v>126</v>
      </c>
      <c r="P127" t="s">
        <v>118</v>
      </c>
      <c r="Q127" t="s">
        <v>34</v>
      </c>
      <c r="R127">
        <v>599</v>
      </c>
      <c r="S127">
        <v>839</v>
      </c>
      <c r="T127">
        <v>1</v>
      </c>
    </row>
    <row r="128" spans="15:20" x14ac:dyDescent="0.3">
      <c r="O128">
        <v>127</v>
      </c>
      <c r="P128" t="s">
        <v>118</v>
      </c>
      <c r="Q128" t="s">
        <v>37</v>
      </c>
      <c r="R128">
        <v>159</v>
      </c>
      <c r="S128">
        <v>9</v>
      </c>
      <c r="T128">
        <v>635</v>
      </c>
    </row>
    <row r="129" spans="15:20" x14ac:dyDescent="0.3">
      <c r="O129">
        <v>128</v>
      </c>
      <c r="P129" t="s">
        <v>119</v>
      </c>
      <c r="Q129" t="s">
        <v>34</v>
      </c>
      <c r="R129">
        <v>214</v>
      </c>
      <c r="S129">
        <v>782</v>
      </c>
      <c r="T129">
        <v>221</v>
      </c>
    </row>
    <row r="130" spans="15:20" x14ac:dyDescent="0.3">
      <c r="O130">
        <v>129</v>
      </c>
      <c r="P130" t="s">
        <v>119</v>
      </c>
      <c r="Q130" t="s">
        <v>37</v>
      </c>
      <c r="R130">
        <v>324</v>
      </c>
      <c r="S130">
        <v>3</v>
      </c>
      <c r="T130">
        <v>709</v>
      </c>
    </row>
    <row r="131" spans="15:20" x14ac:dyDescent="0.3">
      <c r="O131">
        <v>130</v>
      </c>
      <c r="P131" t="s">
        <v>120</v>
      </c>
      <c r="Q131" t="s">
        <v>34</v>
      </c>
      <c r="R131">
        <v>0</v>
      </c>
      <c r="S131">
        <v>0</v>
      </c>
      <c r="T131">
        <v>720</v>
      </c>
    </row>
    <row r="132" spans="15:20" x14ac:dyDescent="0.3">
      <c r="O132">
        <v>131</v>
      </c>
      <c r="P132" t="s">
        <v>120</v>
      </c>
      <c r="Q132" t="s">
        <v>37</v>
      </c>
      <c r="R132">
        <v>0</v>
      </c>
      <c r="S132">
        <v>0</v>
      </c>
      <c r="T132">
        <v>720</v>
      </c>
    </row>
    <row r="133" spans="15:20" x14ac:dyDescent="0.3">
      <c r="O133">
        <v>132</v>
      </c>
      <c r="P133" t="s">
        <v>121</v>
      </c>
      <c r="Q133" t="s">
        <v>34</v>
      </c>
      <c r="R133">
        <v>0</v>
      </c>
      <c r="S133">
        <v>0</v>
      </c>
      <c r="T133">
        <v>720</v>
      </c>
    </row>
    <row r="134" spans="15:20" x14ac:dyDescent="0.3">
      <c r="O134">
        <v>133</v>
      </c>
      <c r="P134" t="s">
        <v>121</v>
      </c>
      <c r="Q134" t="s">
        <v>37</v>
      </c>
      <c r="R134">
        <v>0</v>
      </c>
      <c r="S134">
        <v>0</v>
      </c>
      <c r="T134">
        <v>720</v>
      </c>
    </row>
    <row r="135" spans="15:20" x14ac:dyDescent="0.3">
      <c r="O135">
        <v>134</v>
      </c>
      <c r="P135" t="s">
        <v>122</v>
      </c>
      <c r="Q135" t="s">
        <v>34</v>
      </c>
      <c r="R135">
        <v>331</v>
      </c>
      <c r="S135">
        <v>696</v>
      </c>
      <c r="T135">
        <v>207</v>
      </c>
    </row>
    <row r="136" spans="15:20" x14ac:dyDescent="0.3">
      <c r="O136">
        <v>135</v>
      </c>
      <c r="P136" t="s">
        <v>122</v>
      </c>
      <c r="Q136" t="s">
        <v>37</v>
      </c>
      <c r="R136">
        <v>670</v>
      </c>
      <c r="S136">
        <v>769</v>
      </c>
      <c r="T136">
        <v>1</v>
      </c>
    </row>
    <row r="137" spans="15:20" x14ac:dyDescent="0.3">
      <c r="O137">
        <v>136</v>
      </c>
      <c r="P137" t="s">
        <v>123</v>
      </c>
      <c r="Q137" t="s">
        <v>34</v>
      </c>
      <c r="R137">
        <v>647</v>
      </c>
      <c r="S137">
        <v>791</v>
      </c>
      <c r="T137">
        <v>1</v>
      </c>
    </row>
    <row r="138" spans="15:20" x14ac:dyDescent="0.3">
      <c r="O138">
        <v>137</v>
      </c>
      <c r="P138" t="s">
        <v>123</v>
      </c>
      <c r="Q138" t="s">
        <v>37</v>
      </c>
      <c r="R138">
        <v>628</v>
      </c>
      <c r="S138">
        <v>812</v>
      </c>
      <c r="T138">
        <v>1</v>
      </c>
    </row>
    <row r="139" spans="15:20" x14ac:dyDescent="0.3">
      <c r="O139">
        <v>138</v>
      </c>
      <c r="P139" t="s">
        <v>124</v>
      </c>
      <c r="Q139" t="s">
        <v>34</v>
      </c>
      <c r="R139">
        <v>717</v>
      </c>
      <c r="S139">
        <v>722</v>
      </c>
      <c r="T139">
        <v>1</v>
      </c>
    </row>
    <row r="140" spans="15:20" x14ac:dyDescent="0.3">
      <c r="O140">
        <v>139</v>
      </c>
      <c r="P140" t="s">
        <v>124</v>
      </c>
      <c r="Q140" t="s">
        <v>37</v>
      </c>
      <c r="R140">
        <v>447</v>
      </c>
      <c r="S140">
        <v>991</v>
      </c>
      <c r="T140">
        <v>1</v>
      </c>
    </row>
    <row r="141" spans="15:20" x14ac:dyDescent="0.3">
      <c r="O141">
        <v>140</v>
      </c>
      <c r="P141" t="s">
        <v>125</v>
      </c>
      <c r="Q141" t="s">
        <v>34</v>
      </c>
      <c r="R141">
        <v>481</v>
      </c>
      <c r="S141">
        <v>8</v>
      </c>
      <c r="T141">
        <v>474</v>
      </c>
    </row>
    <row r="142" spans="15:20" x14ac:dyDescent="0.3">
      <c r="O142">
        <v>141</v>
      </c>
      <c r="P142" t="s">
        <v>125</v>
      </c>
      <c r="Q142" t="s">
        <v>37</v>
      </c>
      <c r="R142">
        <v>599</v>
      </c>
      <c r="S142">
        <v>825</v>
      </c>
      <c r="T142">
        <v>3</v>
      </c>
    </row>
    <row r="143" spans="15:20" x14ac:dyDescent="0.3">
      <c r="O143">
        <v>142</v>
      </c>
      <c r="P143" t="s">
        <v>126</v>
      </c>
      <c r="Q143" t="s">
        <v>34</v>
      </c>
      <c r="R143">
        <v>1440</v>
      </c>
      <c r="S143">
        <v>0</v>
      </c>
      <c r="T143">
        <v>0</v>
      </c>
    </row>
    <row r="144" spans="15:20" x14ac:dyDescent="0.3">
      <c r="O144">
        <v>143</v>
      </c>
      <c r="P144" t="s">
        <v>126</v>
      </c>
      <c r="Q144" t="s">
        <v>37</v>
      </c>
      <c r="R144">
        <v>400</v>
      </c>
      <c r="S144">
        <v>884</v>
      </c>
      <c r="T144">
        <v>155</v>
      </c>
    </row>
    <row r="145" spans="15:20" x14ac:dyDescent="0.3">
      <c r="O145">
        <v>144</v>
      </c>
      <c r="P145" t="s">
        <v>127</v>
      </c>
      <c r="Q145" t="s">
        <v>34</v>
      </c>
      <c r="R145">
        <v>326</v>
      </c>
      <c r="S145">
        <v>0</v>
      </c>
      <c r="T145">
        <v>720</v>
      </c>
    </row>
    <row r="146" spans="15:20" x14ac:dyDescent="0.3">
      <c r="O146">
        <v>145</v>
      </c>
      <c r="P146" t="s">
        <v>127</v>
      </c>
      <c r="Q146" t="s">
        <v>37</v>
      </c>
      <c r="R146">
        <v>0</v>
      </c>
      <c r="S146">
        <v>0</v>
      </c>
      <c r="T146">
        <v>720</v>
      </c>
    </row>
    <row r="147" spans="15:20" x14ac:dyDescent="0.3">
      <c r="O147">
        <v>146</v>
      </c>
      <c r="P147" t="s">
        <v>128</v>
      </c>
      <c r="Q147" t="s">
        <v>34</v>
      </c>
      <c r="R147">
        <v>0</v>
      </c>
      <c r="S147">
        <v>0</v>
      </c>
      <c r="T147">
        <v>720</v>
      </c>
    </row>
    <row r="148" spans="15:20" x14ac:dyDescent="0.3">
      <c r="O148">
        <v>147</v>
      </c>
      <c r="P148" t="s">
        <v>128</v>
      </c>
      <c r="Q148" t="s">
        <v>37</v>
      </c>
      <c r="R148">
        <v>0</v>
      </c>
      <c r="S148">
        <v>0</v>
      </c>
      <c r="T148">
        <v>720</v>
      </c>
    </row>
    <row r="149" spans="15:20" x14ac:dyDescent="0.3">
      <c r="O149">
        <v>148</v>
      </c>
      <c r="P149" t="s">
        <v>129</v>
      </c>
      <c r="Q149" t="s">
        <v>34</v>
      </c>
      <c r="R149">
        <v>384</v>
      </c>
      <c r="S149">
        <v>639</v>
      </c>
      <c r="T149">
        <v>208</v>
      </c>
    </row>
    <row r="150" spans="15:20" x14ac:dyDescent="0.3">
      <c r="O150">
        <v>149</v>
      </c>
      <c r="P150" t="s">
        <v>129</v>
      </c>
      <c r="Q150" t="s">
        <v>37</v>
      </c>
      <c r="R150">
        <v>679</v>
      </c>
      <c r="S150">
        <v>759</v>
      </c>
      <c r="T150">
        <v>1</v>
      </c>
    </row>
    <row r="151" spans="15:20" x14ac:dyDescent="0.3">
      <c r="O151">
        <v>150</v>
      </c>
      <c r="P151" t="s">
        <v>130</v>
      </c>
      <c r="Q151" t="s">
        <v>34</v>
      </c>
      <c r="R151">
        <v>478</v>
      </c>
      <c r="S151">
        <v>18</v>
      </c>
      <c r="T151">
        <v>471</v>
      </c>
    </row>
    <row r="152" spans="15:20" x14ac:dyDescent="0.3">
      <c r="O152">
        <v>151</v>
      </c>
      <c r="P152" t="s">
        <v>130</v>
      </c>
      <c r="Q152" t="s">
        <v>37</v>
      </c>
      <c r="R152">
        <v>708</v>
      </c>
      <c r="S152">
        <v>730</v>
      </c>
      <c r="T152">
        <v>1</v>
      </c>
    </row>
    <row r="153" spans="15:20" x14ac:dyDescent="0.3">
      <c r="O153">
        <v>152</v>
      </c>
      <c r="P153" t="s">
        <v>131</v>
      </c>
      <c r="Q153" t="s">
        <v>34</v>
      </c>
      <c r="R153">
        <v>514</v>
      </c>
      <c r="S153">
        <v>0</v>
      </c>
      <c r="T153">
        <v>462</v>
      </c>
    </row>
    <row r="154" spans="15:20" x14ac:dyDescent="0.3">
      <c r="O154">
        <v>153</v>
      </c>
      <c r="P154" t="s">
        <v>131</v>
      </c>
      <c r="Q154" t="s">
        <v>37</v>
      </c>
      <c r="R154">
        <v>564</v>
      </c>
      <c r="S154">
        <v>874</v>
      </c>
      <c r="T154">
        <v>1</v>
      </c>
    </row>
    <row r="155" spans="15:20" x14ac:dyDescent="0.3">
      <c r="O155">
        <v>154</v>
      </c>
      <c r="P155" t="s">
        <v>132</v>
      </c>
      <c r="Q155" t="s">
        <v>34</v>
      </c>
      <c r="R155">
        <v>611</v>
      </c>
      <c r="S155">
        <v>8</v>
      </c>
      <c r="T155">
        <v>309</v>
      </c>
    </row>
    <row r="156" spans="15:20" x14ac:dyDescent="0.3">
      <c r="O156">
        <v>155</v>
      </c>
      <c r="P156" t="s">
        <v>132</v>
      </c>
      <c r="Q156" t="s">
        <v>37</v>
      </c>
      <c r="R156">
        <v>508</v>
      </c>
      <c r="S156">
        <v>931</v>
      </c>
      <c r="T156">
        <v>1</v>
      </c>
    </row>
    <row r="157" spans="15:20" x14ac:dyDescent="0.3">
      <c r="O157">
        <v>156</v>
      </c>
      <c r="P157" t="s">
        <v>133</v>
      </c>
      <c r="Q157" t="s">
        <v>34</v>
      </c>
      <c r="R157">
        <v>759</v>
      </c>
      <c r="S157">
        <v>680</v>
      </c>
      <c r="T157">
        <v>1</v>
      </c>
    </row>
    <row r="158" spans="15:20" x14ac:dyDescent="0.3">
      <c r="O158">
        <v>157</v>
      </c>
      <c r="P158" t="s">
        <v>133</v>
      </c>
      <c r="Q158" t="s">
        <v>37</v>
      </c>
      <c r="R158">
        <v>535</v>
      </c>
      <c r="S158">
        <v>904</v>
      </c>
      <c r="T158">
        <v>1</v>
      </c>
    </row>
    <row r="159" spans="15:20" x14ac:dyDescent="0.3">
      <c r="O159">
        <v>158</v>
      </c>
      <c r="P159" t="s">
        <v>134</v>
      </c>
      <c r="Q159" t="s">
        <v>34</v>
      </c>
      <c r="R159">
        <v>1198</v>
      </c>
      <c r="S159">
        <v>0</v>
      </c>
      <c r="T159">
        <v>120</v>
      </c>
    </row>
    <row r="160" spans="15:20" x14ac:dyDescent="0.3">
      <c r="O160">
        <v>159</v>
      </c>
      <c r="P160" t="s">
        <v>134</v>
      </c>
      <c r="Q160" t="s">
        <v>37</v>
      </c>
      <c r="R160">
        <v>0</v>
      </c>
      <c r="S160">
        <v>0</v>
      </c>
      <c r="T160">
        <v>720</v>
      </c>
    </row>
    <row r="161" spans="15:20" x14ac:dyDescent="0.3">
      <c r="O161">
        <v>160</v>
      </c>
      <c r="P161" t="s">
        <v>135</v>
      </c>
      <c r="Q161" t="s">
        <v>34</v>
      </c>
      <c r="R161">
        <v>0</v>
      </c>
      <c r="S161">
        <v>0</v>
      </c>
      <c r="T161">
        <v>720</v>
      </c>
    </row>
    <row r="162" spans="15:20" x14ac:dyDescent="0.3">
      <c r="O162">
        <v>161</v>
      </c>
      <c r="P162" t="s">
        <v>135</v>
      </c>
      <c r="Q162" t="s">
        <v>37</v>
      </c>
      <c r="R162">
        <v>0</v>
      </c>
      <c r="S162">
        <v>0</v>
      </c>
      <c r="T162">
        <v>720</v>
      </c>
    </row>
    <row r="163" spans="15:20" x14ac:dyDescent="0.3">
      <c r="O163">
        <v>162</v>
      </c>
      <c r="P163" t="s">
        <v>136</v>
      </c>
      <c r="Q163" t="s">
        <v>34</v>
      </c>
      <c r="R163">
        <v>145</v>
      </c>
      <c r="S163">
        <v>257</v>
      </c>
      <c r="T163">
        <v>519</v>
      </c>
    </row>
    <row r="164" spans="15:20" x14ac:dyDescent="0.3">
      <c r="O164">
        <v>163</v>
      </c>
      <c r="P164" t="s">
        <v>136</v>
      </c>
      <c r="Q164" t="s">
        <v>37</v>
      </c>
      <c r="R164">
        <v>702</v>
      </c>
      <c r="S164">
        <v>738</v>
      </c>
      <c r="T164">
        <v>1</v>
      </c>
    </row>
    <row r="165" spans="15:20" x14ac:dyDescent="0.3">
      <c r="O165">
        <v>164</v>
      </c>
      <c r="P165" t="s">
        <v>137</v>
      </c>
      <c r="Q165" t="s">
        <v>34</v>
      </c>
      <c r="R165">
        <v>535</v>
      </c>
      <c r="S165">
        <v>15</v>
      </c>
      <c r="T165">
        <v>444</v>
      </c>
    </row>
    <row r="166" spans="15:20" x14ac:dyDescent="0.3">
      <c r="O166">
        <v>165</v>
      </c>
      <c r="P166" t="s">
        <v>137</v>
      </c>
      <c r="Q166" t="s">
        <v>37</v>
      </c>
      <c r="R166">
        <v>612</v>
      </c>
      <c r="S166">
        <v>828</v>
      </c>
      <c r="T166">
        <v>1</v>
      </c>
    </row>
    <row r="167" spans="15:20" x14ac:dyDescent="0.3">
      <c r="O167">
        <v>166</v>
      </c>
      <c r="P167" t="s">
        <v>138</v>
      </c>
      <c r="Q167" t="s">
        <v>34</v>
      </c>
      <c r="R167">
        <v>431</v>
      </c>
      <c r="S167">
        <v>0</v>
      </c>
      <c r="T167">
        <v>502</v>
      </c>
    </row>
    <row r="168" spans="15:20" x14ac:dyDescent="0.3">
      <c r="O168">
        <v>167</v>
      </c>
      <c r="P168" t="s">
        <v>138</v>
      </c>
      <c r="Q168" t="s">
        <v>37</v>
      </c>
      <c r="R168">
        <v>729</v>
      </c>
      <c r="S168">
        <v>711</v>
      </c>
      <c r="T168">
        <v>1</v>
      </c>
    </row>
    <row r="169" spans="15:20" x14ac:dyDescent="0.3">
      <c r="O169">
        <v>168</v>
      </c>
      <c r="P169" t="s">
        <v>139</v>
      </c>
      <c r="Q169" t="s">
        <v>34</v>
      </c>
      <c r="R169">
        <v>460</v>
      </c>
      <c r="S169">
        <v>0</v>
      </c>
      <c r="T169">
        <v>489</v>
      </c>
    </row>
    <row r="170" spans="15:20" x14ac:dyDescent="0.3">
      <c r="O170">
        <v>169</v>
      </c>
      <c r="P170" t="s">
        <v>139</v>
      </c>
      <c r="Q170" t="s">
        <v>37</v>
      </c>
      <c r="R170">
        <v>506</v>
      </c>
      <c r="S170">
        <v>932</v>
      </c>
      <c r="T170">
        <v>2</v>
      </c>
    </row>
    <row r="171" spans="15:20" x14ac:dyDescent="0.3">
      <c r="O171">
        <v>170</v>
      </c>
      <c r="P171" t="s">
        <v>140</v>
      </c>
      <c r="Q171" t="s">
        <v>34</v>
      </c>
      <c r="R171">
        <v>855</v>
      </c>
      <c r="S171">
        <v>0</v>
      </c>
      <c r="T171">
        <v>291</v>
      </c>
    </row>
    <row r="172" spans="15:20" x14ac:dyDescent="0.3">
      <c r="O172">
        <v>171</v>
      </c>
      <c r="P172" t="s">
        <v>140</v>
      </c>
      <c r="Q172" t="s">
        <v>37</v>
      </c>
      <c r="R172">
        <v>587</v>
      </c>
      <c r="S172">
        <v>693</v>
      </c>
      <c r="T172">
        <v>1</v>
      </c>
    </row>
    <row r="173" spans="15:20" x14ac:dyDescent="0.3">
      <c r="O173">
        <v>172</v>
      </c>
      <c r="P173" t="s">
        <v>141</v>
      </c>
      <c r="Q173" t="s">
        <v>34</v>
      </c>
      <c r="R173">
        <v>357</v>
      </c>
      <c r="S173">
        <v>0</v>
      </c>
      <c r="T173">
        <v>362</v>
      </c>
    </row>
    <row r="174" spans="15:20" x14ac:dyDescent="0.3">
      <c r="O174">
        <v>173</v>
      </c>
      <c r="P174" t="s">
        <v>141</v>
      </c>
      <c r="Q174" t="s">
        <v>37</v>
      </c>
      <c r="R174">
        <v>0</v>
      </c>
      <c r="S174">
        <v>0</v>
      </c>
      <c r="T174">
        <v>720</v>
      </c>
    </row>
    <row r="175" spans="15:20" x14ac:dyDescent="0.3">
      <c r="O175">
        <v>174</v>
      </c>
      <c r="P175" t="s">
        <v>142</v>
      </c>
      <c r="Q175" t="s">
        <v>34</v>
      </c>
      <c r="R175">
        <v>0</v>
      </c>
      <c r="S175">
        <v>0</v>
      </c>
      <c r="T175">
        <v>720</v>
      </c>
    </row>
    <row r="176" spans="15:20" x14ac:dyDescent="0.3">
      <c r="O176">
        <v>175</v>
      </c>
      <c r="P176" t="s">
        <v>142</v>
      </c>
      <c r="Q176" t="s">
        <v>37</v>
      </c>
      <c r="R176">
        <v>0</v>
      </c>
      <c r="S176">
        <v>0</v>
      </c>
      <c r="T176">
        <v>720</v>
      </c>
    </row>
    <row r="177" spans="15:20" x14ac:dyDescent="0.3">
      <c r="O177">
        <v>176</v>
      </c>
      <c r="P177" t="s">
        <v>143</v>
      </c>
      <c r="Q177" t="s">
        <v>34</v>
      </c>
      <c r="R177">
        <v>409</v>
      </c>
      <c r="S177">
        <v>617</v>
      </c>
      <c r="T177">
        <v>207</v>
      </c>
    </row>
    <row r="178" spans="15:20" x14ac:dyDescent="0.3">
      <c r="O178">
        <v>177</v>
      </c>
      <c r="P178" t="s">
        <v>143</v>
      </c>
      <c r="Q178" t="s">
        <v>37</v>
      </c>
      <c r="R178">
        <v>493</v>
      </c>
      <c r="S178">
        <v>946</v>
      </c>
      <c r="T178">
        <v>1</v>
      </c>
    </row>
    <row r="179" spans="15:20" x14ac:dyDescent="0.3">
      <c r="O179">
        <v>178</v>
      </c>
      <c r="P179" t="s">
        <v>144</v>
      </c>
      <c r="Q179" t="s">
        <v>34</v>
      </c>
      <c r="R179">
        <v>694</v>
      </c>
      <c r="S179">
        <v>746</v>
      </c>
      <c r="T179">
        <v>1</v>
      </c>
    </row>
    <row r="180" spans="15:20" x14ac:dyDescent="0.3">
      <c r="O180">
        <v>179</v>
      </c>
      <c r="P180" t="s">
        <v>144</v>
      </c>
      <c r="Q180" t="s">
        <v>37</v>
      </c>
      <c r="R180">
        <v>698</v>
      </c>
      <c r="S180">
        <v>742</v>
      </c>
      <c r="T180">
        <v>1</v>
      </c>
    </row>
    <row r="181" spans="15:20" x14ac:dyDescent="0.3">
      <c r="O181">
        <v>180</v>
      </c>
      <c r="P181" t="s">
        <v>33</v>
      </c>
      <c r="Q181" t="s">
        <v>34</v>
      </c>
      <c r="R181">
        <v>900</v>
      </c>
      <c r="S181">
        <v>540</v>
      </c>
      <c r="T181">
        <v>1</v>
      </c>
    </row>
    <row r="182" spans="15:20" x14ac:dyDescent="0.3">
      <c r="O182">
        <v>181</v>
      </c>
      <c r="P182" t="s">
        <v>33</v>
      </c>
      <c r="Q182" t="s">
        <v>37</v>
      </c>
      <c r="R182">
        <v>522</v>
      </c>
      <c r="S182">
        <v>918</v>
      </c>
      <c r="T182">
        <v>1</v>
      </c>
    </row>
    <row r="183" spans="15:20" x14ac:dyDescent="0.3">
      <c r="O183">
        <v>182</v>
      </c>
      <c r="P183" t="s">
        <v>39</v>
      </c>
      <c r="Q183" t="s">
        <v>34</v>
      </c>
      <c r="R183">
        <v>670</v>
      </c>
      <c r="S183">
        <v>769</v>
      </c>
      <c r="T183">
        <v>1</v>
      </c>
    </row>
    <row r="184" spans="15:20" x14ac:dyDescent="0.3">
      <c r="O184">
        <v>183</v>
      </c>
      <c r="P184" t="s">
        <v>39</v>
      </c>
      <c r="Q184" t="s">
        <v>37</v>
      </c>
      <c r="R184">
        <v>550</v>
      </c>
      <c r="S184">
        <v>889</v>
      </c>
      <c r="T184">
        <v>1</v>
      </c>
    </row>
    <row r="185" spans="15:20" x14ac:dyDescent="0.3">
      <c r="O185">
        <v>184</v>
      </c>
      <c r="P185" t="s">
        <v>43</v>
      </c>
      <c r="Q185" t="s">
        <v>34</v>
      </c>
      <c r="R185">
        <v>689</v>
      </c>
      <c r="S185">
        <v>750</v>
      </c>
      <c r="T185">
        <v>1</v>
      </c>
    </row>
    <row r="186" spans="15:20" x14ac:dyDescent="0.3">
      <c r="O186">
        <v>185</v>
      </c>
      <c r="P186" t="s">
        <v>43</v>
      </c>
      <c r="Q186" t="s">
        <v>37</v>
      </c>
      <c r="R186">
        <v>266</v>
      </c>
      <c r="S186">
        <v>852</v>
      </c>
      <c r="T186">
        <v>157</v>
      </c>
    </row>
    <row r="187" spans="15:20" x14ac:dyDescent="0.3">
      <c r="O187">
        <v>186</v>
      </c>
      <c r="P187" t="s">
        <v>48</v>
      </c>
      <c r="Q187" t="s">
        <v>34</v>
      </c>
      <c r="R187">
        <v>0</v>
      </c>
      <c r="S187">
        <v>0</v>
      </c>
      <c r="T187">
        <v>720</v>
      </c>
    </row>
    <row r="188" spans="15:20" x14ac:dyDescent="0.3">
      <c r="O188">
        <v>187</v>
      </c>
      <c r="P188" t="s">
        <v>48</v>
      </c>
      <c r="Q188" t="s">
        <v>37</v>
      </c>
      <c r="R188">
        <v>0</v>
      </c>
      <c r="S188">
        <v>0</v>
      </c>
      <c r="T188">
        <v>720</v>
      </c>
    </row>
    <row r="189" spans="15:20" x14ac:dyDescent="0.3">
      <c r="O189">
        <v>188</v>
      </c>
      <c r="P189" t="s">
        <v>52</v>
      </c>
      <c r="Q189" t="s">
        <v>34</v>
      </c>
      <c r="R189">
        <v>0</v>
      </c>
      <c r="S189">
        <v>0</v>
      </c>
      <c r="T189">
        <v>720</v>
      </c>
    </row>
    <row r="190" spans="15:20" x14ac:dyDescent="0.3">
      <c r="O190">
        <v>189</v>
      </c>
      <c r="P190" t="s">
        <v>52</v>
      </c>
      <c r="Q190" t="s">
        <v>37</v>
      </c>
      <c r="R190">
        <v>0</v>
      </c>
      <c r="S190">
        <v>0</v>
      </c>
      <c r="T190">
        <v>720</v>
      </c>
    </row>
    <row r="191" spans="15:20" x14ac:dyDescent="0.3">
      <c r="O191">
        <v>190</v>
      </c>
      <c r="P191" t="s">
        <v>56</v>
      </c>
      <c r="Q191" t="s">
        <v>34</v>
      </c>
      <c r="R191">
        <v>339</v>
      </c>
      <c r="S191">
        <v>670</v>
      </c>
      <c r="T191">
        <v>225</v>
      </c>
    </row>
    <row r="192" spans="15:20" x14ac:dyDescent="0.3">
      <c r="O192">
        <v>191</v>
      </c>
      <c r="P192" t="s">
        <v>56</v>
      </c>
      <c r="Q192" t="s">
        <v>37</v>
      </c>
      <c r="R192">
        <v>790</v>
      </c>
      <c r="S192">
        <v>650</v>
      </c>
      <c r="T192">
        <v>1</v>
      </c>
    </row>
    <row r="193" spans="15:20" x14ac:dyDescent="0.3">
      <c r="O193">
        <v>192</v>
      </c>
      <c r="P193" t="s">
        <v>60</v>
      </c>
      <c r="Q193" t="s">
        <v>34</v>
      </c>
      <c r="R193">
        <v>776</v>
      </c>
      <c r="S193">
        <v>495</v>
      </c>
      <c r="T193">
        <v>169</v>
      </c>
    </row>
    <row r="194" spans="15:20" x14ac:dyDescent="0.3">
      <c r="O194">
        <v>193</v>
      </c>
      <c r="P194" t="s">
        <v>60</v>
      </c>
      <c r="Q194" t="s">
        <v>37</v>
      </c>
      <c r="R194">
        <v>765</v>
      </c>
      <c r="S194">
        <v>675</v>
      </c>
      <c r="T194">
        <v>1</v>
      </c>
    </row>
    <row r="195" spans="15:20" x14ac:dyDescent="0.3">
      <c r="O195">
        <v>194</v>
      </c>
      <c r="P195" t="s">
        <v>62</v>
      </c>
      <c r="Q195" t="s">
        <v>34</v>
      </c>
      <c r="R195">
        <v>736</v>
      </c>
      <c r="S195">
        <v>702</v>
      </c>
      <c r="T195">
        <v>1</v>
      </c>
    </row>
    <row r="196" spans="15:20" x14ac:dyDescent="0.3">
      <c r="O196">
        <v>195</v>
      </c>
      <c r="P196" t="s">
        <v>62</v>
      </c>
      <c r="Q196" t="s">
        <v>37</v>
      </c>
      <c r="R196">
        <v>672</v>
      </c>
      <c r="S196">
        <v>767</v>
      </c>
      <c r="T196">
        <v>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T195"/>
  <sheetViews>
    <sheetView topLeftCell="E1" workbookViewId="0">
      <selection activeCell="I2" sqref="I2:J75"/>
    </sheetView>
  </sheetViews>
  <sheetFormatPr defaultRowHeight="14.4" x14ac:dyDescent="0.3"/>
  <cols>
    <col min="1" max="1" width="3" bestFit="1" customWidth="1"/>
    <col min="2" max="3" width="10.88671875" bestFit="1" customWidth="1"/>
    <col min="4" max="4" width="34.109375" bestFit="1" customWidth="1"/>
    <col min="5" max="5" width="30.5546875" bestFit="1" customWidth="1"/>
    <col min="6" max="6" width="22.6640625" bestFit="1" customWidth="1"/>
    <col min="9" max="10" width="11.6640625" bestFit="1" customWidth="1"/>
    <col min="11" max="11" width="8.33203125" bestFit="1" customWidth="1"/>
    <col min="12" max="12" width="11.5546875" bestFit="1" customWidth="1"/>
    <col min="13" max="13" width="10" bestFit="1" customWidth="1"/>
    <col min="23" max="23" width="9.88671875" bestFit="1" customWidth="1"/>
  </cols>
  <sheetData>
    <row r="1" spans="1:20" s="2" customFormat="1" x14ac:dyDescent="0.3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  <c r="L1" s="3" t="s">
        <v>31</v>
      </c>
      <c r="M1" s="3" t="s">
        <v>32</v>
      </c>
    </row>
    <row r="2" spans="1:20" x14ac:dyDescent="0.3">
      <c r="A2">
        <v>1</v>
      </c>
      <c r="B2" t="s">
        <v>33</v>
      </c>
      <c r="C2" t="s">
        <v>34</v>
      </c>
      <c r="D2">
        <v>1877</v>
      </c>
      <c r="E2">
        <v>1700</v>
      </c>
      <c r="F2">
        <v>1450</v>
      </c>
      <c r="H2" t="s">
        <v>35</v>
      </c>
      <c r="I2" s="1">
        <v>0.35</v>
      </c>
      <c r="J2" s="1">
        <v>0.49411764705882361</v>
      </c>
      <c r="K2" s="1">
        <f>IFERROR(SUMIFS(S:S,P:P,"*/01/2026")/(SUMIFS(R:R,P:P,"*/01/2026")+SUMIFS(S:S,P:P,"*/01/2026")+SUMIFS(T:T,P:P,"*/01/2026")),"")</f>
        <v>0.27141934859098099</v>
      </c>
      <c r="L2" s="1">
        <f>IFERROR(SUMIFS(R:R,P:P,"*/01/2026")/(SUMIFS(R:R,P:P,"*/01/2026")+SUMIFS(S:S,P:P,"*/01/2026")+SUMIFS(T:T,P:P,"*/01/2026")),"")</f>
        <v>0.30444171858355662</v>
      </c>
      <c r="M2" s="1">
        <f>IFERROR(SUMIFS(T:T,P:P,"*/01/2026")/(SUMIFS(R:R,P:P,"*/01/2026")+SUMIFS(S:S,P:P,"*/01/2026")+SUMIFS(T:T,P:P,"*/01/2026")),"")</f>
        <v>0.42413893282546239</v>
      </c>
      <c r="O2">
        <v>1</v>
      </c>
      <c r="P2" t="s">
        <v>36</v>
      </c>
      <c r="Q2" t="s">
        <v>34</v>
      </c>
      <c r="R2">
        <v>0</v>
      </c>
      <c r="S2">
        <v>0</v>
      </c>
      <c r="T2">
        <v>5040</v>
      </c>
    </row>
    <row r="3" spans="1:20" x14ac:dyDescent="0.3">
      <c r="A3">
        <v>2</v>
      </c>
      <c r="B3" t="s">
        <v>33</v>
      </c>
      <c r="C3" t="s">
        <v>37</v>
      </c>
      <c r="D3">
        <v>2012</v>
      </c>
      <c r="E3">
        <v>1900</v>
      </c>
      <c r="F3">
        <v>1114</v>
      </c>
      <c r="H3" t="s">
        <v>38</v>
      </c>
      <c r="I3" s="1">
        <v>0.35</v>
      </c>
      <c r="J3" s="1">
        <v>0.49411764705882361</v>
      </c>
      <c r="K3" s="1">
        <f>IFERROR(SUMIFS(S:S,P:P,"*/02/2026")/(SUMIFS(R:R,P:P,"*/02/2026")+SUMIFS(S:S,P:P,"*/02/2026")+SUMIFS(T:T,P:P,"*/02/2026")),"")</f>
        <v>0.21431030627420219</v>
      </c>
      <c r="L3" s="1">
        <f>IFERROR(SUMIFS(R:R,P:P,"*/02/2026")/(SUMIFS(R:R,P:P,"*/02/2026")+SUMIFS(S:S,P:P,"*/02/2026")+SUMIFS(T:T,P:P,"*/02/2026")),"")</f>
        <v>0.21273084144657681</v>
      </c>
      <c r="M3" s="1">
        <f>IFERROR(SUMIFS(T:T,P:P,"*/02/2026")/(SUMIFS(R:R,P:P,"*/02/2026")+SUMIFS(S:S,P:P,"*/02/2026")+SUMIFS(T:T,P:P,"*/02/2026")),"")</f>
        <v>0.57295885227922094</v>
      </c>
      <c r="O3">
        <v>2</v>
      </c>
      <c r="P3" t="s">
        <v>36</v>
      </c>
      <c r="Q3" t="s">
        <v>37</v>
      </c>
      <c r="R3">
        <v>302</v>
      </c>
      <c r="S3">
        <v>165</v>
      </c>
      <c r="T3">
        <v>4563</v>
      </c>
    </row>
    <row r="4" spans="1:20" x14ac:dyDescent="0.3">
      <c r="A4">
        <v>3</v>
      </c>
      <c r="B4" t="s">
        <v>39</v>
      </c>
      <c r="C4" t="s">
        <v>34</v>
      </c>
      <c r="D4">
        <v>1754</v>
      </c>
      <c r="E4">
        <v>1782</v>
      </c>
      <c r="F4">
        <v>1489</v>
      </c>
      <c r="H4" t="s">
        <v>40</v>
      </c>
      <c r="I4" s="1">
        <v>0.35</v>
      </c>
      <c r="J4" s="1">
        <v>0.49411764705882361</v>
      </c>
      <c r="K4" s="1">
        <f>IFERROR(SUMIFS(S:S,P:P,"*/03/2026")/(SUMIFS(R:R,P:P,"*/03/2026")+SUMIFS(S:S,P:P,"*/03/2026")+SUMIFS(T:T,P:P,"*/03/2026")),"")</f>
        <v>0.28633025580903065</v>
      </c>
      <c r="L4" s="1">
        <f>IFERROR(SUMIFS(R:R,P:P,"*/03/2026")/(SUMIFS(R:R,P:P,"*/03/2026")+SUMIFS(S:S,P:P,"*/03/2026")+SUMIFS(T:T,P:P,"*/03/2026")),"")</f>
        <v>0.30099815999869733</v>
      </c>
      <c r="M4" s="1">
        <f>IFERROR(SUMIFS(T:T,P:P,"*/03/2026")/(SUMIFS(R:R,P:P,"*/03/2026")+SUMIFS(S:S,P:P,"*/03/2026")+SUMIFS(T:T,P:P,"*/03/2026")),"")</f>
        <v>0.41267158419227201</v>
      </c>
      <c r="O4">
        <v>3</v>
      </c>
      <c r="P4" t="s">
        <v>41</v>
      </c>
      <c r="Q4" t="s">
        <v>34</v>
      </c>
      <c r="R4">
        <v>2503</v>
      </c>
      <c r="S4">
        <v>2519</v>
      </c>
      <c r="T4">
        <v>0</v>
      </c>
    </row>
    <row r="5" spans="1:20" x14ac:dyDescent="0.3">
      <c r="A5">
        <v>4</v>
      </c>
      <c r="B5" t="s">
        <v>39</v>
      </c>
      <c r="C5" t="s">
        <v>37</v>
      </c>
      <c r="D5">
        <v>1966</v>
      </c>
      <c r="E5">
        <v>1941</v>
      </c>
      <c r="F5">
        <v>1119</v>
      </c>
      <c r="H5" t="s">
        <v>42</v>
      </c>
      <c r="I5" s="1">
        <v>0.35</v>
      </c>
      <c r="J5" s="1">
        <v>0.49411764705882361</v>
      </c>
      <c r="K5" s="1">
        <f>IFERROR(SUMIFS(S:S,P:P,"*/04/2026")/(SUMIFS(R:R,P:P,"*/04/2026")+SUMIFS(S:S,P:P,"*/04/2026")+SUMIFS(T:T,P:P,"*/04/2026")),"")</f>
        <v>0.28375169395646066</v>
      </c>
      <c r="L5" s="1">
        <f>IFERROR(SUMIFS(R:R,P:P,"*/04/2026")/(SUMIFS(R:R,P:P,"*/04/2026")+SUMIFS(S:S,P:P,"*/04/2026")+SUMIFS(T:T,P:P,"*/04/2026")),"")</f>
        <v>0.31656161028433605</v>
      </c>
      <c r="M5" s="1">
        <f>IFERROR(SUMIFS(T:T,P:P,"*/04/2026")/(SUMIFS(R:R,P:P,"*/04/2026")+SUMIFS(S:S,P:P,"*/04/2026")+SUMIFS(T:T,P:P,"*/04/2026")),"")</f>
        <v>0.39968669575920329</v>
      </c>
      <c r="O5">
        <v>4</v>
      </c>
      <c r="P5" t="s">
        <v>41</v>
      </c>
      <c r="Q5" t="s">
        <v>37</v>
      </c>
      <c r="R5">
        <v>1273</v>
      </c>
      <c r="S5">
        <v>933</v>
      </c>
      <c r="T5">
        <v>2822</v>
      </c>
    </row>
    <row r="6" spans="1:20" x14ac:dyDescent="0.3">
      <c r="A6">
        <v>5</v>
      </c>
      <c r="B6" t="s">
        <v>43</v>
      </c>
      <c r="C6" t="s">
        <v>34</v>
      </c>
      <c r="D6">
        <v>1587</v>
      </c>
      <c r="E6">
        <v>1503</v>
      </c>
      <c r="F6">
        <v>1936</v>
      </c>
      <c r="H6" t="s">
        <v>44</v>
      </c>
      <c r="I6" s="1">
        <v>0.35</v>
      </c>
      <c r="J6" s="1">
        <v>0.49411764705882361</v>
      </c>
      <c r="K6" s="1" t="str">
        <f>IFERROR(SUMIFS(S:S,P:P,"*/05/2026")/(SUMIFS(R:R,P:P,"*/05/2026")+SUMIFS(S:S,P:P,"*/05/2026")+SUMIFS(T:T,P:P,"*/05/2026")),"")</f>
        <v/>
      </c>
      <c r="L6" s="1" t="str">
        <f>IFERROR(SUMIFS(R:R,P:P,"*/05/2026")/(SUMIFS(R:R,P:P,"*/05/2026")+SUMIFS(S:S,P:P,"*/05/2026")+SUMIFS(T:T,P:P,"*/05/2026")),"")</f>
        <v/>
      </c>
      <c r="M6" s="1" t="str">
        <f>IFERROR(SUMIFS(T:T,P:P,"*/05/2026")/(SUMIFS(R:R,P:P,"*/05/2026")+SUMIFS(S:S,P:P,"*/05/2026")+SUMIFS(T:T,P:P,"*/05/2026")),"")</f>
        <v/>
      </c>
      <c r="O6">
        <v>5</v>
      </c>
      <c r="P6" t="s">
        <v>45</v>
      </c>
      <c r="Q6" t="s">
        <v>37</v>
      </c>
      <c r="R6">
        <v>3888</v>
      </c>
      <c r="S6">
        <v>2993</v>
      </c>
      <c r="T6">
        <v>1289</v>
      </c>
    </row>
    <row r="7" spans="1:20" x14ac:dyDescent="0.3">
      <c r="A7">
        <v>6</v>
      </c>
      <c r="B7" t="s">
        <v>43</v>
      </c>
      <c r="C7" t="s">
        <v>37</v>
      </c>
      <c r="D7">
        <v>1700</v>
      </c>
      <c r="E7">
        <v>1804</v>
      </c>
      <c r="F7">
        <v>1519</v>
      </c>
      <c r="H7" t="s">
        <v>46</v>
      </c>
      <c r="I7" s="1">
        <v>0.35</v>
      </c>
      <c r="J7" s="1">
        <v>0.49411764705882361</v>
      </c>
      <c r="K7" s="1" t="str">
        <f>IFERROR(SUMIFS(S:S,P:P,"*/06/2026")/(SUMIFS(R:R,P:P,"*/06/2026")+SUMIFS(S:S,P:P,"*/06/2026")+SUMIFS(T:T,P:P,"*/06/2026")),"")</f>
        <v/>
      </c>
      <c r="L7" s="1" t="str">
        <f>IFERROR(SUMIFS(R:R,P:P,"*/06/2026")/(SUMIFS(R:R,P:P,"*/06/2026")+SUMIFS(S:S,P:P,"*/06/2026")+SUMIFS(T:T,P:P,"*/06/2026")),"")</f>
        <v/>
      </c>
      <c r="M7" s="1" t="str">
        <f>IFERROR(SUMIFS(T:T,P:P,"*/06/2026")/(SUMIFS(R:R,P:P,"*/06/2026")+SUMIFS(S:S,P:P,"*/06/2026")+SUMIFS(T:T,P:P,"*/06/2026")),"")</f>
        <v/>
      </c>
      <c r="O7">
        <v>6</v>
      </c>
      <c r="P7" t="s">
        <v>47</v>
      </c>
      <c r="Q7" t="s">
        <v>34</v>
      </c>
      <c r="R7">
        <v>0</v>
      </c>
      <c r="S7">
        <v>0</v>
      </c>
      <c r="T7">
        <v>5040</v>
      </c>
    </row>
    <row r="8" spans="1:20" x14ac:dyDescent="0.3">
      <c r="A8">
        <v>7</v>
      </c>
      <c r="B8" t="s">
        <v>48</v>
      </c>
      <c r="C8" t="s">
        <v>34</v>
      </c>
      <c r="D8">
        <v>1443</v>
      </c>
      <c r="E8">
        <v>1343</v>
      </c>
      <c r="F8">
        <v>2240</v>
      </c>
      <c r="H8" t="s">
        <v>49</v>
      </c>
      <c r="I8" s="1">
        <v>0.35</v>
      </c>
      <c r="J8" s="1">
        <v>0.49411764705882361</v>
      </c>
      <c r="K8" s="1" t="str">
        <f>IFERROR(SUMIFS(S:S,P:P,"*/07/2026")/(SUMIFS(R:R,P:P,"*/07/2026")+SUMIFS(S:S,P:P,"*/07/2026")+SUMIFS(T:T,P:P,"*/07/2026")),"")</f>
        <v/>
      </c>
      <c r="L8" s="1" t="str">
        <f>IFERROR(SUMIFS(R:R,P:P,"*/07/2026")/(SUMIFS(R:R,P:P,"*/07/2026")+SUMIFS(S:S,P:P,"*/07/2026")+SUMIFS(T:T,P:P,"*/07/2026")),"")</f>
        <v/>
      </c>
      <c r="M8" s="1" t="str">
        <f>IFERROR(SUMIFS(T:T,P:P,"*/07/2026")/(SUMIFS(R:R,P:P,"*/07/2026")+SUMIFS(S:S,P:P,"*/07/2026")+SUMIFS(T:T,P:P,"*/07/2026")),"")</f>
        <v/>
      </c>
      <c r="O8">
        <v>7</v>
      </c>
      <c r="P8" t="s">
        <v>47</v>
      </c>
      <c r="Q8" t="s">
        <v>37</v>
      </c>
      <c r="R8">
        <v>0</v>
      </c>
      <c r="S8">
        <v>0</v>
      </c>
      <c r="T8">
        <v>5040</v>
      </c>
    </row>
    <row r="9" spans="1:20" x14ac:dyDescent="0.3">
      <c r="A9">
        <v>8</v>
      </c>
      <c r="B9" t="s">
        <v>48</v>
      </c>
      <c r="C9" t="s">
        <v>37</v>
      </c>
      <c r="D9">
        <v>1815</v>
      </c>
      <c r="E9">
        <v>1386</v>
      </c>
      <c r="F9">
        <v>1828</v>
      </c>
      <c r="H9" t="s">
        <v>50</v>
      </c>
      <c r="I9" s="1">
        <v>0.35</v>
      </c>
      <c r="J9" s="1">
        <v>0.49411764705882361</v>
      </c>
      <c r="K9" s="1" t="str">
        <f>IFERROR(SUMIFS(S:S,P:P,"*/08/2026")/(SUMIFS(R:R,P:P,"*/08/2026")+SUMIFS(S:S,P:P,"*/08/2026")+SUMIFS(T:T,P:P,"*/08/2026")),"")</f>
        <v/>
      </c>
      <c r="L9" s="1" t="str">
        <f>IFERROR(SUMIFS(R:R,P:P,"*/08/2026")/(SUMIFS(R:R,P:P,"*/08/2026")+SUMIFS(S:S,P:P,"*/08/2026")+SUMIFS(T:T,P:P,"*/08/2026")),"")</f>
        <v/>
      </c>
      <c r="M9" s="1" t="str">
        <f>IFERROR(SUMIFS(T:T,P:P,"*/08/2026")/(SUMIFS(R:R,P:P,"*/08/2026")+SUMIFS(S:S,P:P,"*/08/2026")+SUMIFS(T:T,P:P,"*/08/2026")),"")</f>
        <v/>
      </c>
      <c r="O9">
        <v>8</v>
      </c>
      <c r="P9" t="s">
        <v>51</v>
      </c>
      <c r="Q9" t="s">
        <v>34</v>
      </c>
      <c r="R9">
        <v>2077</v>
      </c>
      <c r="S9">
        <v>1290</v>
      </c>
      <c r="T9">
        <v>1657</v>
      </c>
    </row>
    <row r="10" spans="1:20" x14ac:dyDescent="0.3">
      <c r="A10">
        <v>9</v>
      </c>
      <c r="B10" t="s">
        <v>52</v>
      </c>
      <c r="C10" t="s">
        <v>34</v>
      </c>
      <c r="D10">
        <v>20</v>
      </c>
      <c r="E10">
        <v>27</v>
      </c>
      <c r="F10">
        <v>4991</v>
      </c>
      <c r="H10" t="s">
        <v>53</v>
      </c>
      <c r="I10" s="1">
        <v>0.35</v>
      </c>
      <c r="J10" s="1">
        <v>0.49411764705882361</v>
      </c>
      <c r="K10" s="1" t="str">
        <f>IFERROR(SUMIFS(S:S,P:P,"*/09/2026")/(SUMIFS(R:R,P:P,"*/09/2026")+SUMIFS(S:S,P:P,"*/09/2026")+SUMIFS(T:T,P:P,"*/09/2026")),"")</f>
        <v/>
      </c>
      <c r="L10" s="1" t="str">
        <f>IFERROR(SUMIFS(R:R,P:P,"*/09/2026")/(SUMIFS(R:R,P:P,"*/09/2026")+SUMIFS(S:S,P:P,"*/09/2026")+SUMIFS(T:T,P:P,"*/09/2026")),"")</f>
        <v/>
      </c>
      <c r="M10" s="1" t="str">
        <f>IFERROR(SUMIFS(T:T,P:P,"*/09/2026")/(SUMIFS(R:R,P:P,"*/09/2026")+SUMIFS(S:S,P:P,"*/09/2026")+SUMIFS(T:T,P:P,"*/09/2026")),"")</f>
        <v/>
      </c>
      <c r="O10">
        <v>9</v>
      </c>
      <c r="P10" t="s">
        <v>51</v>
      </c>
      <c r="Q10" t="s">
        <v>37</v>
      </c>
      <c r="R10">
        <v>2266</v>
      </c>
      <c r="S10">
        <v>1450</v>
      </c>
      <c r="T10">
        <v>1250</v>
      </c>
    </row>
    <row r="11" spans="1:20" x14ac:dyDescent="0.3">
      <c r="A11">
        <v>10</v>
      </c>
      <c r="B11" t="s">
        <v>52</v>
      </c>
      <c r="C11" t="s">
        <v>37</v>
      </c>
      <c r="D11">
        <v>0</v>
      </c>
      <c r="E11">
        <v>0</v>
      </c>
      <c r="F11">
        <v>5040</v>
      </c>
      <c r="H11" t="s">
        <v>54</v>
      </c>
      <c r="I11" s="1">
        <v>0.35</v>
      </c>
      <c r="J11" s="1">
        <v>0.49411764705882361</v>
      </c>
      <c r="K11" s="1" t="str">
        <f>IFERROR(SUMIFS(S:S,P:P,"*/10/2026")/(SUMIFS(R:R,P:P,"*/10/2026")+SUMIFS(S:S,P:P,"*/10/2026")+SUMIFS(T:T,P:P,"*/10/2026")),"")</f>
        <v/>
      </c>
      <c r="L11" s="1" t="str">
        <f>IFERROR(SUMIFS(R:R,P:P,"*/10/2026")/(SUMIFS(R:R,P:P,"*/10/2026")+SUMIFS(S:S,P:P,"*/10/2026")+SUMIFS(T:T,P:P,"*/10/2026")),"")</f>
        <v/>
      </c>
      <c r="M11" s="1" t="str">
        <f>IFERROR(SUMIFS(T:T,P:P,"*/10/2026")/(SUMIFS(R:R,P:P,"*/10/2026")+SUMIFS(S:S,P:P,"*/10/2026")+SUMIFS(T:T,P:P,"*/10/2026")),"")</f>
        <v/>
      </c>
      <c r="O11">
        <v>10</v>
      </c>
      <c r="P11" t="s">
        <v>55</v>
      </c>
      <c r="Q11" t="s">
        <v>34</v>
      </c>
      <c r="R11">
        <v>1993</v>
      </c>
      <c r="S11">
        <v>1578</v>
      </c>
      <c r="T11">
        <v>1455</v>
      </c>
    </row>
    <row r="12" spans="1:20" x14ac:dyDescent="0.3">
      <c r="A12">
        <v>11</v>
      </c>
      <c r="B12" t="s">
        <v>56</v>
      </c>
      <c r="C12" t="s">
        <v>34</v>
      </c>
      <c r="D12">
        <v>1997</v>
      </c>
      <c r="E12">
        <v>1596</v>
      </c>
      <c r="F12">
        <v>1433</v>
      </c>
      <c r="H12" t="s">
        <v>57</v>
      </c>
      <c r="I12" s="1">
        <v>0.35</v>
      </c>
      <c r="J12" s="1">
        <v>0.49411764705882361</v>
      </c>
      <c r="K12" s="1" t="str">
        <f>IFERROR(SUMIFS(S:S,P:P,"*/11/2026")/(SUMIFS(R:R,P:P,"*/11/2026")+SUMIFS(S:S,P:P,"*/11/2026")+SUMIFS(T:T,P:P,"*/11/2026")),"")</f>
        <v/>
      </c>
      <c r="L12" s="1" t="str">
        <f>IFERROR(SUMIFS(R:R,P:P,"*/11/2026")/(SUMIFS(R:R,P:P,"*/11/2026")+SUMIFS(S:S,P:P,"*/11/2026")+SUMIFS(T:T,P:P,"*/11/2026")),"")</f>
        <v/>
      </c>
      <c r="M12" s="1" t="str">
        <f>IFERROR(SUMIFS(T:T,P:P,"*/11/2026")/(SUMIFS(R:R,P:P,"*/11/2026")+SUMIFS(S:S,P:P,"*/11/2026")+SUMIFS(T:T,P:P,"*/11/2026")),"")</f>
        <v/>
      </c>
      <c r="O12">
        <v>11</v>
      </c>
      <c r="P12" t="s">
        <v>55</v>
      </c>
      <c r="Q12" t="s">
        <v>37</v>
      </c>
      <c r="R12">
        <v>2314</v>
      </c>
      <c r="S12">
        <v>1598</v>
      </c>
      <c r="T12">
        <v>1111</v>
      </c>
    </row>
    <row r="13" spans="1:20" x14ac:dyDescent="0.3">
      <c r="A13">
        <v>12</v>
      </c>
      <c r="B13" t="s">
        <v>56</v>
      </c>
      <c r="C13" t="s">
        <v>37</v>
      </c>
      <c r="D13">
        <v>1903</v>
      </c>
      <c r="E13">
        <v>1442</v>
      </c>
      <c r="F13">
        <v>1680</v>
      </c>
      <c r="H13" t="s">
        <v>58</v>
      </c>
      <c r="I13" s="1">
        <v>0.35</v>
      </c>
      <c r="J13" s="1">
        <v>0.49411764705882361</v>
      </c>
      <c r="K13" s="1" t="str">
        <f>IFERROR(SUMIFS(S:S,P:P,"*/12/2026")/(SUMIFS(R:R,P:P,"*/12/2026")+SUMIFS(S:S,P:P,"*/12/2026")+SUMIFS(T:T,P:P,"*/12/2026")),"")</f>
        <v/>
      </c>
      <c r="L13" s="1" t="str">
        <f>IFERROR(SUMIFS(R:R,P:P,"*/12/2026")/(SUMIFS(R:R,P:P,"*/12/2026")+SUMIFS(S:S,P:P,"*/12/2026")+SUMIFS(T:T,P:P,"*/12/2026")),"")</f>
        <v/>
      </c>
      <c r="M13" s="1" t="str">
        <f>IFERROR(SUMIFS(T:T,P:P,"*/12/2026")/(SUMIFS(R:R,P:P,"*/12/2026")+SUMIFS(S:S,P:P,"*/12/2026")+SUMIFS(T:T,P:P,"*/12/2026")),"")</f>
        <v/>
      </c>
      <c r="O13">
        <v>12</v>
      </c>
      <c r="P13" t="s">
        <v>59</v>
      </c>
      <c r="Q13" t="s">
        <v>34</v>
      </c>
      <c r="R13">
        <v>432</v>
      </c>
      <c r="S13">
        <v>484</v>
      </c>
      <c r="T13">
        <v>4117</v>
      </c>
    </row>
    <row r="14" spans="1:20" x14ac:dyDescent="0.3">
      <c r="A14">
        <v>13</v>
      </c>
      <c r="B14" t="s">
        <v>60</v>
      </c>
      <c r="C14" t="s">
        <v>34</v>
      </c>
      <c r="D14">
        <v>1943</v>
      </c>
      <c r="E14">
        <v>1651</v>
      </c>
      <c r="F14">
        <v>1430</v>
      </c>
      <c r="H14" t="str">
        <f>IF(B2="","",TEXT(B2,"dd/mm")&amp; "-" &amp;IF(UPPER(TRIM(C2))="CN",1,IF(UPPER(TRIM(C2))="CD",2,"")))</f>
        <v>01/04-1</v>
      </c>
      <c r="I14" s="1">
        <v>0.35</v>
      </c>
      <c r="J14" s="1">
        <v>0.49411764705882361</v>
      </c>
      <c r="K14" s="1">
        <f t="shared" ref="K14:K45" si="0">IFERROR($E2/SUM($D2:$F2),"")</f>
        <v>0.33817386114979114</v>
      </c>
      <c r="L14" s="1">
        <f t="shared" ref="L14:L45" si="1">IFERROR($D2/SUM($D2:$F2),"")</f>
        <v>0.37338372786950469</v>
      </c>
      <c r="M14" s="1">
        <f t="shared" ref="M14:M45" si="2">IFERROR($F2/SUM($D2:$F2),"")</f>
        <v>0.28844241098070422</v>
      </c>
      <c r="O14">
        <v>13</v>
      </c>
      <c r="P14" t="s">
        <v>59</v>
      </c>
      <c r="Q14" t="s">
        <v>37</v>
      </c>
      <c r="R14">
        <v>0</v>
      </c>
      <c r="S14">
        <v>0</v>
      </c>
      <c r="T14">
        <v>5040</v>
      </c>
    </row>
    <row r="15" spans="1:20" x14ac:dyDescent="0.3">
      <c r="A15">
        <v>14</v>
      </c>
      <c r="B15" t="s">
        <v>60</v>
      </c>
      <c r="C15" t="s">
        <v>37</v>
      </c>
      <c r="D15">
        <v>2005</v>
      </c>
      <c r="E15">
        <v>1398</v>
      </c>
      <c r="F15">
        <v>1621</v>
      </c>
      <c r="H15" t="str">
        <f t="shared" ref="H15:H46" si="3">IF(B3="","",TEXT(B3,"dd/mm") &amp; "-" &amp; IF(UPPER(TRIM(C3))="CN",1,IF(UPPER(TRIM(C3))="CD",2,"")))</f>
        <v>01/04-2</v>
      </c>
      <c r="I15" s="1">
        <v>0.35</v>
      </c>
      <c r="J15" s="1">
        <v>0.49411764705882361</v>
      </c>
      <c r="K15" s="1">
        <f t="shared" si="0"/>
        <v>0.37803422204536413</v>
      </c>
      <c r="L15" s="1">
        <f t="shared" si="1"/>
        <v>0.40031834460803822</v>
      </c>
      <c r="M15" s="1">
        <f t="shared" si="2"/>
        <v>0.2216474333465977</v>
      </c>
      <c r="O15">
        <v>14</v>
      </c>
      <c r="P15" t="s">
        <v>61</v>
      </c>
      <c r="Q15" t="s">
        <v>34</v>
      </c>
      <c r="R15">
        <v>1737</v>
      </c>
      <c r="S15">
        <v>1852</v>
      </c>
      <c r="T15">
        <v>1437</v>
      </c>
    </row>
    <row r="16" spans="1:20" x14ac:dyDescent="0.3">
      <c r="A16">
        <v>15</v>
      </c>
      <c r="B16" t="s">
        <v>62</v>
      </c>
      <c r="C16" t="s">
        <v>34</v>
      </c>
      <c r="D16">
        <v>1841</v>
      </c>
      <c r="E16">
        <v>1759</v>
      </c>
      <c r="F16">
        <v>1422</v>
      </c>
      <c r="H16" t="str">
        <f t="shared" si="3"/>
        <v>02/04-1</v>
      </c>
      <c r="I16" s="1">
        <v>0.35</v>
      </c>
      <c r="J16" s="1">
        <v>0.49411764705882361</v>
      </c>
      <c r="K16" s="1">
        <f t="shared" si="0"/>
        <v>0.35462686567164181</v>
      </c>
      <c r="L16" s="1">
        <f t="shared" si="1"/>
        <v>0.34905472636815921</v>
      </c>
      <c r="M16" s="1">
        <f t="shared" si="2"/>
        <v>0.29631840796019898</v>
      </c>
      <c r="O16">
        <v>15</v>
      </c>
      <c r="P16" t="s">
        <v>61</v>
      </c>
      <c r="Q16" t="s">
        <v>37</v>
      </c>
      <c r="R16">
        <v>2344</v>
      </c>
      <c r="S16">
        <v>1522</v>
      </c>
      <c r="T16">
        <v>1160</v>
      </c>
    </row>
    <row r="17" spans="1:20" x14ac:dyDescent="0.3">
      <c r="A17">
        <v>16</v>
      </c>
      <c r="B17" t="s">
        <v>62</v>
      </c>
      <c r="C17" t="s">
        <v>37</v>
      </c>
      <c r="D17">
        <v>1599</v>
      </c>
      <c r="E17">
        <v>1591</v>
      </c>
      <c r="F17">
        <v>1836</v>
      </c>
      <c r="H17" t="str">
        <f t="shared" si="3"/>
        <v>02/04-2</v>
      </c>
      <c r="I17" s="1">
        <v>0.35</v>
      </c>
      <c r="J17" s="1">
        <v>0.49411764705882361</v>
      </c>
      <c r="K17" s="1">
        <f t="shared" si="0"/>
        <v>0.38619180262634301</v>
      </c>
      <c r="L17" s="1">
        <f t="shared" si="1"/>
        <v>0.39116593712693992</v>
      </c>
      <c r="M17" s="1">
        <f t="shared" si="2"/>
        <v>0.22264226024671707</v>
      </c>
      <c r="O17">
        <v>16</v>
      </c>
      <c r="P17" t="s">
        <v>63</v>
      </c>
      <c r="Q17" t="s">
        <v>34</v>
      </c>
      <c r="R17">
        <v>1837</v>
      </c>
      <c r="S17">
        <v>1710</v>
      </c>
      <c r="T17">
        <v>1478</v>
      </c>
    </row>
    <row r="18" spans="1:20" x14ac:dyDescent="0.3">
      <c r="H18" t="str">
        <f t="shared" si="3"/>
        <v>03/04-1</v>
      </c>
      <c r="I18" s="1">
        <v>0.35</v>
      </c>
      <c r="J18" s="1">
        <v>0.49411764705882361</v>
      </c>
      <c r="K18" s="1">
        <f t="shared" si="0"/>
        <v>0.29904496617588538</v>
      </c>
      <c r="L18" s="1">
        <f t="shared" si="1"/>
        <v>0.31575805809789098</v>
      </c>
      <c r="M18" s="1">
        <f t="shared" si="2"/>
        <v>0.38519697572622363</v>
      </c>
      <c r="O18">
        <v>17</v>
      </c>
      <c r="P18" t="s">
        <v>63</v>
      </c>
      <c r="Q18" t="s">
        <v>37</v>
      </c>
      <c r="R18">
        <v>2504</v>
      </c>
      <c r="S18">
        <v>1316</v>
      </c>
      <c r="T18">
        <v>1206</v>
      </c>
    </row>
    <row r="19" spans="1:20" x14ac:dyDescent="0.3">
      <c r="H19" t="str">
        <f t="shared" si="3"/>
        <v>03/04-2</v>
      </c>
      <c r="I19" s="1">
        <v>0.35</v>
      </c>
      <c r="J19" s="1">
        <v>0.49411764705882361</v>
      </c>
      <c r="K19" s="1">
        <f t="shared" si="0"/>
        <v>0.3591479195699781</v>
      </c>
      <c r="L19" s="1">
        <f t="shared" si="1"/>
        <v>0.33844316145729642</v>
      </c>
      <c r="M19" s="1">
        <f t="shared" si="2"/>
        <v>0.30240891897272548</v>
      </c>
      <c r="O19">
        <v>18</v>
      </c>
      <c r="P19" t="s">
        <v>64</v>
      </c>
      <c r="Q19" t="s">
        <v>34</v>
      </c>
      <c r="R19">
        <v>1655</v>
      </c>
      <c r="S19">
        <v>1688</v>
      </c>
      <c r="T19">
        <v>1685</v>
      </c>
    </row>
    <row r="20" spans="1:20" x14ac:dyDescent="0.3">
      <c r="H20" t="str">
        <f t="shared" si="3"/>
        <v>04/04-1</v>
      </c>
      <c r="I20" s="1">
        <v>0.35</v>
      </c>
      <c r="J20" s="1">
        <v>0.49411764705882361</v>
      </c>
      <c r="K20" s="1">
        <f t="shared" si="0"/>
        <v>0.26721050537206525</v>
      </c>
      <c r="L20" s="1">
        <f t="shared" si="1"/>
        <v>0.28710704337445286</v>
      </c>
      <c r="M20" s="1">
        <f t="shared" si="2"/>
        <v>0.44568245125348188</v>
      </c>
      <c r="O20">
        <v>19</v>
      </c>
      <c r="P20" t="s">
        <v>64</v>
      </c>
      <c r="Q20" t="s">
        <v>37</v>
      </c>
      <c r="R20">
        <v>0</v>
      </c>
      <c r="S20">
        <v>0</v>
      </c>
      <c r="T20">
        <v>5040</v>
      </c>
    </row>
    <row r="21" spans="1:20" x14ac:dyDescent="0.3">
      <c r="H21" t="str">
        <f t="shared" si="3"/>
        <v>04/04-2</v>
      </c>
      <c r="I21" s="1">
        <v>0.35</v>
      </c>
      <c r="J21" s="1">
        <v>0.49411764705882361</v>
      </c>
      <c r="K21" s="1">
        <f t="shared" si="0"/>
        <v>0.27560151123483795</v>
      </c>
      <c r="L21" s="1">
        <f t="shared" si="1"/>
        <v>0.36090674090276398</v>
      </c>
      <c r="M21" s="1">
        <f t="shared" si="2"/>
        <v>0.36349174786239807</v>
      </c>
      <c r="O21">
        <v>20</v>
      </c>
      <c r="P21" t="s">
        <v>65</v>
      </c>
      <c r="Q21" t="s">
        <v>34</v>
      </c>
      <c r="R21">
        <v>0</v>
      </c>
      <c r="S21">
        <v>0</v>
      </c>
      <c r="T21">
        <v>5040</v>
      </c>
    </row>
    <row r="22" spans="1:20" x14ac:dyDescent="0.3">
      <c r="H22" t="str">
        <f t="shared" si="3"/>
        <v>05/04-1</v>
      </c>
      <c r="I22" s="1">
        <v>0.35</v>
      </c>
      <c r="J22" s="1">
        <v>0.49411764705882361</v>
      </c>
      <c r="K22" s="1">
        <f t="shared" si="0"/>
        <v>5.3592695514092896E-3</v>
      </c>
      <c r="L22" s="1">
        <f t="shared" si="1"/>
        <v>3.9698292973402143E-3</v>
      </c>
      <c r="M22" s="1">
        <f t="shared" si="2"/>
        <v>0.99067090115125045</v>
      </c>
      <c r="O22">
        <v>21</v>
      </c>
      <c r="P22" t="s">
        <v>65</v>
      </c>
      <c r="Q22" t="s">
        <v>37</v>
      </c>
      <c r="R22">
        <v>0</v>
      </c>
      <c r="S22">
        <v>0</v>
      </c>
      <c r="T22">
        <v>5040</v>
      </c>
    </row>
    <row r="23" spans="1:20" x14ac:dyDescent="0.3">
      <c r="H23" t="str">
        <f t="shared" si="3"/>
        <v>05/04-2</v>
      </c>
      <c r="I23" s="1">
        <v>0.35</v>
      </c>
      <c r="J23" s="1">
        <v>0.49411764705882361</v>
      </c>
      <c r="K23" s="1">
        <f t="shared" si="0"/>
        <v>0</v>
      </c>
      <c r="L23" s="1">
        <f t="shared" si="1"/>
        <v>0</v>
      </c>
      <c r="M23" s="1">
        <f t="shared" si="2"/>
        <v>1</v>
      </c>
      <c r="O23">
        <v>22</v>
      </c>
      <c r="P23" t="s">
        <v>66</v>
      </c>
      <c r="Q23" t="s">
        <v>34</v>
      </c>
      <c r="R23">
        <v>2200</v>
      </c>
      <c r="S23">
        <v>1367</v>
      </c>
      <c r="T23">
        <v>1456</v>
      </c>
    </row>
    <row r="24" spans="1:20" x14ac:dyDescent="0.3">
      <c r="H24" t="str">
        <f t="shared" si="3"/>
        <v>06/04-1</v>
      </c>
      <c r="I24" s="1">
        <v>0.35</v>
      </c>
      <c r="J24" s="1">
        <v>0.49411764705882361</v>
      </c>
      <c r="K24" s="1">
        <f t="shared" si="0"/>
        <v>0.31754874651810583</v>
      </c>
      <c r="L24" s="1">
        <f t="shared" si="1"/>
        <v>0.39733386390768005</v>
      </c>
      <c r="M24" s="1">
        <f t="shared" si="2"/>
        <v>0.28511738957421406</v>
      </c>
      <c r="O24">
        <v>23</v>
      </c>
      <c r="P24" t="s">
        <v>66</v>
      </c>
      <c r="Q24" t="s">
        <v>37</v>
      </c>
      <c r="R24">
        <v>1952</v>
      </c>
      <c r="S24">
        <v>1993</v>
      </c>
      <c r="T24">
        <v>1078</v>
      </c>
    </row>
    <row r="25" spans="1:20" x14ac:dyDescent="0.3">
      <c r="H25" t="str">
        <f t="shared" si="3"/>
        <v>06/04-2</v>
      </c>
      <c r="I25" s="1">
        <v>0.35</v>
      </c>
      <c r="J25" s="1">
        <v>0.49411764705882361</v>
      </c>
      <c r="K25" s="1">
        <f t="shared" si="0"/>
        <v>0.28696517412935324</v>
      </c>
      <c r="L25" s="1">
        <f t="shared" si="1"/>
        <v>0.37870646766169153</v>
      </c>
      <c r="M25" s="1">
        <f t="shared" si="2"/>
        <v>0.33432835820895523</v>
      </c>
      <c r="O25">
        <v>24</v>
      </c>
      <c r="P25" t="s">
        <v>67</v>
      </c>
      <c r="Q25" t="s">
        <v>34</v>
      </c>
      <c r="R25">
        <v>1843</v>
      </c>
      <c r="S25">
        <v>1707</v>
      </c>
      <c r="T25">
        <v>1477</v>
      </c>
    </row>
    <row r="26" spans="1:20" x14ac:dyDescent="0.3">
      <c r="H26" t="str">
        <f t="shared" si="3"/>
        <v>07/04-1</v>
      </c>
      <c r="I26" s="1">
        <v>0.35</v>
      </c>
      <c r="J26" s="1">
        <v>0.49411764705882361</v>
      </c>
      <c r="K26" s="1">
        <f t="shared" si="0"/>
        <v>0.32862261146496813</v>
      </c>
      <c r="L26" s="1">
        <f t="shared" si="1"/>
        <v>0.3867436305732484</v>
      </c>
      <c r="M26" s="1">
        <f t="shared" si="2"/>
        <v>0.28463375796178342</v>
      </c>
      <c r="O26">
        <v>25</v>
      </c>
      <c r="P26" t="s">
        <v>67</v>
      </c>
      <c r="Q26" t="s">
        <v>37</v>
      </c>
      <c r="R26">
        <v>1896</v>
      </c>
      <c r="S26">
        <v>2060</v>
      </c>
      <c r="T26">
        <v>1068</v>
      </c>
    </row>
    <row r="27" spans="1:20" x14ac:dyDescent="0.3">
      <c r="H27" t="str">
        <f t="shared" si="3"/>
        <v>07/04-2</v>
      </c>
      <c r="I27" s="1">
        <v>0.35</v>
      </c>
      <c r="J27" s="1">
        <v>0.49411764705882361</v>
      </c>
      <c r="K27" s="1">
        <f t="shared" si="0"/>
        <v>0.27826433121019106</v>
      </c>
      <c r="L27" s="1">
        <f t="shared" si="1"/>
        <v>0.39908439490445857</v>
      </c>
      <c r="M27" s="1">
        <f t="shared" si="2"/>
        <v>0.32265127388535031</v>
      </c>
      <c r="O27">
        <v>26</v>
      </c>
      <c r="P27" t="s">
        <v>68</v>
      </c>
      <c r="Q27" t="s">
        <v>34</v>
      </c>
      <c r="R27">
        <v>2066</v>
      </c>
      <c r="S27">
        <v>1512</v>
      </c>
      <c r="T27">
        <v>1451</v>
      </c>
    </row>
    <row r="28" spans="1:20" x14ac:dyDescent="0.3">
      <c r="H28" t="str">
        <f t="shared" si="3"/>
        <v>08/04-1</v>
      </c>
      <c r="I28" s="1">
        <v>0.35</v>
      </c>
      <c r="J28" s="1">
        <v>0.49411764705882361</v>
      </c>
      <c r="K28" s="1">
        <f t="shared" si="0"/>
        <v>0.35025886101154918</v>
      </c>
      <c r="L28" s="1">
        <f t="shared" si="1"/>
        <v>0.36658701712465153</v>
      </c>
      <c r="M28" s="1">
        <f t="shared" si="2"/>
        <v>0.28315412186379929</v>
      </c>
      <c r="O28">
        <v>27</v>
      </c>
      <c r="P28" t="s">
        <v>68</v>
      </c>
      <c r="Q28" t="s">
        <v>37</v>
      </c>
      <c r="R28">
        <v>2089</v>
      </c>
      <c r="S28">
        <v>1865</v>
      </c>
      <c r="T28">
        <v>1067</v>
      </c>
    </row>
    <row r="29" spans="1:20" x14ac:dyDescent="0.3">
      <c r="H29" t="str">
        <f t="shared" si="3"/>
        <v>08/04-2</v>
      </c>
      <c r="I29" s="1">
        <v>0.35</v>
      </c>
      <c r="J29" s="1">
        <v>0.49411764705882361</v>
      </c>
      <c r="K29" s="1">
        <f t="shared" si="0"/>
        <v>0.31655391961798646</v>
      </c>
      <c r="L29" s="1">
        <f t="shared" si="1"/>
        <v>0.31814564265817746</v>
      </c>
      <c r="M29" s="1">
        <f t="shared" si="2"/>
        <v>0.36530043772383608</v>
      </c>
      <c r="O29">
        <v>28</v>
      </c>
      <c r="P29" t="s">
        <v>69</v>
      </c>
      <c r="Q29" t="s">
        <v>34</v>
      </c>
      <c r="R29">
        <v>2239</v>
      </c>
      <c r="S29">
        <v>1336</v>
      </c>
      <c r="T29">
        <v>1451</v>
      </c>
    </row>
    <row r="30" spans="1:20" x14ac:dyDescent="0.3">
      <c r="H30" t="str">
        <f t="shared" si="3"/>
        <v/>
      </c>
      <c r="I30" s="1"/>
      <c r="J30" s="1"/>
      <c r="K30" s="1" t="str">
        <f t="shared" si="0"/>
        <v/>
      </c>
      <c r="L30" s="1" t="str">
        <f t="shared" si="1"/>
        <v/>
      </c>
      <c r="M30" s="1" t="str">
        <f t="shared" si="2"/>
        <v/>
      </c>
      <c r="O30">
        <v>29</v>
      </c>
      <c r="P30" t="s">
        <v>69</v>
      </c>
      <c r="Q30" t="s">
        <v>37</v>
      </c>
      <c r="R30">
        <v>1973</v>
      </c>
      <c r="S30">
        <v>2009</v>
      </c>
      <c r="T30">
        <v>1039</v>
      </c>
    </row>
    <row r="31" spans="1:20" x14ac:dyDescent="0.3">
      <c r="H31" t="str">
        <f t="shared" si="3"/>
        <v/>
      </c>
      <c r="I31" s="1"/>
      <c r="J31" s="1"/>
      <c r="K31" s="1" t="str">
        <f t="shared" si="0"/>
        <v/>
      </c>
      <c r="L31" s="1" t="str">
        <f t="shared" si="1"/>
        <v/>
      </c>
      <c r="M31" s="1" t="str">
        <f t="shared" si="2"/>
        <v/>
      </c>
      <c r="O31">
        <v>30</v>
      </c>
      <c r="P31" t="s">
        <v>70</v>
      </c>
      <c r="Q31" t="s">
        <v>34</v>
      </c>
      <c r="R31">
        <v>1947</v>
      </c>
      <c r="S31">
        <v>1538</v>
      </c>
      <c r="T31">
        <v>1541</v>
      </c>
    </row>
    <row r="32" spans="1:20" x14ac:dyDescent="0.3">
      <c r="H32" t="str">
        <f t="shared" si="3"/>
        <v/>
      </c>
      <c r="I32" s="1"/>
      <c r="J32" s="1"/>
      <c r="K32" s="1" t="str">
        <f t="shared" si="0"/>
        <v/>
      </c>
      <c r="L32" s="1" t="str">
        <f t="shared" si="1"/>
        <v/>
      </c>
      <c r="M32" s="1" t="str">
        <f t="shared" si="2"/>
        <v/>
      </c>
      <c r="O32">
        <v>31</v>
      </c>
      <c r="P32" t="s">
        <v>70</v>
      </c>
      <c r="Q32" t="s">
        <v>37</v>
      </c>
      <c r="R32">
        <v>1847</v>
      </c>
      <c r="S32">
        <v>1745</v>
      </c>
      <c r="T32">
        <v>1435</v>
      </c>
    </row>
    <row r="33" spans="8:20" x14ac:dyDescent="0.3">
      <c r="H33" t="str">
        <f t="shared" si="3"/>
        <v/>
      </c>
      <c r="I33" s="1"/>
      <c r="J33" s="1"/>
      <c r="K33" s="1" t="str">
        <f t="shared" si="0"/>
        <v/>
      </c>
      <c r="L33" s="1" t="str">
        <f t="shared" si="1"/>
        <v/>
      </c>
      <c r="M33" s="1" t="str">
        <f t="shared" si="2"/>
        <v/>
      </c>
      <c r="O33">
        <v>32</v>
      </c>
      <c r="P33" t="s">
        <v>71</v>
      </c>
      <c r="Q33" t="s">
        <v>34</v>
      </c>
      <c r="R33">
        <v>1881</v>
      </c>
      <c r="S33">
        <v>1689</v>
      </c>
      <c r="T33">
        <v>1456</v>
      </c>
    </row>
    <row r="34" spans="8:20" x14ac:dyDescent="0.3">
      <c r="H34" t="str">
        <f t="shared" si="3"/>
        <v/>
      </c>
      <c r="I34" s="1"/>
      <c r="J34" s="1"/>
      <c r="K34" s="1" t="str">
        <f t="shared" si="0"/>
        <v/>
      </c>
      <c r="L34" s="1" t="str">
        <f t="shared" si="1"/>
        <v/>
      </c>
      <c r="M34" s="1" t="str">
        <f t="shared" si="2"/>
        <v/>
      </c>
      <c r="O34">
        <v>33</v>
      </c>
      <c r="P34" t="s">
        <v>71</v>
      </c>
      <c r="Q34" t="s">
        <v>37</v>
      </c>
      <c r="R34">
        <v>1581</v>
      </c>
      <c r="S34">
        <v>1746</v>
      </c>
      <c r="T34">
        <v>1700</v>
      </c>
    </row>
    <row r="35" spans="8:20" x14ac:dyDescent="0.3">
      <c r="H35" t="str">
        <f t="shared" si="3"/>
        <v/>
      </c>
      <c r="I35" s="1"/>
      <c r="J35" s="1"/>
      <c r="K35" s="1" t="str">
        <f t="shared" si="0"/>
        <v/>
      </c>
      <c r="L35" s="1" t="str">
        <f t="shared" si="1"/>
        <v/>
      </c>
      <c r="M35" s="1" t="str">
        <f t="shared" si="2"/>
        <v/>
      </c>
      <c r="O35">
        <v>34</v>
      </c>
      <c r="P35" t="s">
        <v>72</v>
      </c>
      <c r="Q35" t="s">
        <v>34</v>
      </c>
      <c r="R35">
        <v>0</v>
      </c>
      <c r="S35">
        <v>0</v>
      </c>
      <c r="T35">
        <v>5040</v>
      </c>
    </row>
    <row r="36" spans="8:20" x14ac:dyDescent="0.3">
      <c r="H36" t="str">
        <f t="shared" si="3"/>
        <v/>
      </c>
      <c r="I36" s="1"/>
      <c r="J36" s="1"/>
      <c r="K36" s="1" t="str">
        <f t="shared" si="0"/>
        <v/>
      </c>
      <c r="L36" s="1" t="str">
        <f t="shared" si="1"/>
        <v/>
      </c>
      <c r="M36" s="1" t="str">
        <f t="shared" si="2"/>
        <v/>
      </c>
      <c r="O36">
        <v>35</v>
      </c>
      <c r="P36" t="s">
        <v>72</v>
      </c>
      <c r="Q36" t="s">
        <v>37</v>
      </c>
      <c r="R36">
        <v>0</v>
      </c>
      <c r="S36">
        <v>0</v>
      </c>
      <c r="T36">
        <v>5040</v>
      </c>
    </row>
    <row r="37" spans="8:20" x14ac:dyDescent="0.3">
      <c r="H37" t="str">
        <f t="shared" si="3"/>
        <v/>
      </c>
      <c r="I37" s="1"/>
      <c r="J37" s="1"/>
      <c r="K37" s="1" t="str">
        <f t="shared" si="0"/>
        <v/>
      </c>
      <c r="L37" s="1" t="str">
        <f t="shared" si="1"/>
        <v/>
      </c>
      <c r="M37" s="1" t="str">
        <f t="shared" si="2"/>
        <v/>
      </c>
      <c r="O37">
        <v>36</v>
      </c>
      <c r="P37" t="s">
        <v>73</v>
      </c>
      <c r="Q37" t="s">
        <v>34</v>
      </c>
      <c r="R37">
        <v>1557</v>
      </c>
      <c r="S37">
        <v>1894</v>
      </c>
      <c r="T37">
        <v>1575</v>
      </c>
    </row>
    <row r="38" spans="8:20" x14ac:dyDescent="0.3">
      <c r="H38" t="str">
        <f t="shared" si="3"/>
        <v/>
      </c>
      <c r="I38" s="1"/>
      <c r="J38" s="1"/>
      <c r="K38" s="1" t="str">
        <f t="shared" si="0"/>
        <v/>
      </c>
      <c r="L38" s="1" t="str">
        <f t="shared" si="1"/>
        <v/>
      </c>
      <c r="M38" s="1" t="str">
        <f t="shared" si="2"/>
        <v/>
      </c>
      <c r="O38">
        <v>37</v>
      </c>
      <c r="P38" t="s">
        <v>73</v>
      </c>
      <c r="Q38" t="s">
        <v>37</v>
      </c>
      <c r="R38">
        <v>2191</v>
      </c>
      <c r="S38">
        <v>1651</v>
      </c>
      <c r="T38">
        <v>1184</v>
      </c>
    </row>
    <row r="39" spans="8:20" x14ac:dyDescent="0.3">
      <c r="H39" t="str">
        <f t="shared" si="3"/>
        <v/>
      </c>
      <c r="I39" s="1"/>
      <c r="J39" s="1"/>
      <c r="K39" s="1" t="str">
        <f t="shared" si="0"/>
        <v/>
      </c>
      <c r="L39" s="1" t="str">
        <f t="shared" si="1"/>
        <v/>
      </c>
      <c r="M39" s="1" t="str">
        <f t="shared" si="2"/>
        <v/>
      </c>
      <c r="O39">
        <v>38</v>
      </c>
      <c r="P39" t="s">
        <v>74</v>
      </c>
      <c r="Q39" t="s">
        <v>34</v>
      </c>
      <c r="R39">
        <v>1671</v>
      </c>
      <c r="S39">
        <v>1380</v>
      </c>
      <c r="T39">
        <v>1976</v>
      </c>
    </row>
    <row r="40" spans="8:20" x14ac:dyDescent="0.3">
      <c r="H40" t="str">
        <f t="shared" si="3"/>
        <v/>
      </c>
      <c r="I40" s="1"/>
      <c r="J40" s="1"/>
      <c r="K40" s="1" t="str">
        <f t="shared" si="0"/>
        <v/>
      </c>
      <c r="L40" s="1" t="str">
        <f t="shared" si="1"/>
        <v/>
      </c>
      <c r="M40" s="1" t="str">
        <f t="shared" si="2"/>
        <v/>
      </c>
      <c r="O40">
        <v>39</v>
      </c>
      <c r="P40" t="s">
        <v>74</v>
      </c>
      <c r="Q40" t="s">
        <v>37</v>
      </c>
      <c r="R40">
        <v>2039</v>
      </c>
      <c r="S40">
        <v>1459</v>
      </c>
      <c r="T40">
        <v>1529</v>
      </c>
    </row>
    <row r="41" spans="8:20" x14ac:dyDescent="0.3">
      <c r="H41" t="str">
        <f t="shared" si="3"/>
        <v/>
      </c>
      <c r="I41" s="1"/>
      <c r="J41" s="1"/>
      <c r="K41" s="1" t="str">
        <f t="shared" si="0"/>
        <v/>
      </c>
      <c r="L41" s="1" t="str">
        <f t="shared" si="1"/>
        <v/>
      </c>
      <c r="M41" s="1" t="str">
        <f t="shared" si="2"/>
        <v/>
      </c>
      <c r="O41">
        <v>40</v>
      </c>
      <c r="P41" t="s">
        <v>75</v>
      </c>
      <c r="Q41" t="s">
        <v>34</v>
      </c>
      <c r="R41">
        <v>1447</v>
      </c>
      <c r="S41">
        <v>1595</v>
      </c>
      <c r="T41">
        <v>1984</v>
      </c>
    </row>
    <row r="42" spans="8:20" x14ac:dyDescent="0.3">
      <c r="H42" t="str">
        <f t="shared" si="3"/>
        <v/>
      </c>
      <c r="I42" s="1"/>
      <c r="J42" s="1"/>
      <c r="K42" s="1" t="str">
        <f t="shared" si="0"/>
        <v/>
      </c>
      <c r="L42" s="1" t="str">
        <f t="shared" si="1"/>
        <v/>
      </c>
      <c r="M42" s="1" t="str">
        <f t="shared" si="2"/>
        <v/>
      </c>
      <c r="O42">
        <v>41</v>
      </c>
      <c r="P42" t="s">
        <v>75</v>
      </c>
      <c r="Q42" t="s">
        <v>37</v>
      </c>
      <c r="R42">
        <v>2264</v>
      </c>
      <c r="S42">
        <v>1611</v>
      </c>
      <c r="T42">
        <v>1150</v>
      </c>
    </row>
    <row r="43" spans="8:20" x14ac:dyDescent="0.3">
      <c r="H43" t="str">
        <f t="shared" si="3"/>
        <v/>
      </c>
      <c r="I43" s="1"/>
      <c r="J43" s="1"/>
      <c r="K43" s="1" t="str">
        <f t="shared" si="0"/>
        <v/>
      </c>
      <c r="L43" s="1" t="str">
        <f t="shared" si="1"/>
        <v/>
      </c>
      <c r="M43" s="1" t="str">
        <f t="shared" si="2"/>
        <v/>
      </c>
      <c r="O43">
        <v>42</v>
      </c>
      <c r="P43" t="s">
        <v>76</v>
      </c>
      <c r="Q43" t="s">
        <v>34</v>
      </c>
      <c r="R43">
        <v>1643</v>
      </c>
      <c r="S43">
        <v>1933</v>
      </c>
      <c r="T43">
        <v>1449</v>
      </c>
    </row>
    <row r="44" spans="8:20" x14ac:dyDescent="0.3">
      <c r="H44" t="str">
        <f t="shared" si="3"/>
        <v/>
      </c>
      <c r="I44" s="1"/>
      <c r="J44" s="1"/>
      <c r="K44" s="1" t="str">
        <f t="shared" si="0"/>
        <v/>
      </c>
      <c r="L44" s="1" t="str">
        <f t="shared" si="1"/>
        <v/>
      </c>
      <c r="M44" s="1" t="str">
        <f t="shared" si="2"/>
        <v/>
      </c>
      <c r="O44">
        <v>43</v>
      </c>
      <c r="P44" t="s">
        <v>76</v>
      </c>
      <c r="Q44" t="s">
        <v>37</v>
      </c>
      <c r="R44">
        <v>2096</v>
      </c>
      <c r="S44">
        <v>1765</v>
      </c>
      <c r="T44">
        <v>1161</v>
      </c>
    </row>
    <row r="45" spans="8:20" x14ac:dyDescent="0.3">
      <c r="H45" t="str">
        <f t="shared" si="3"/>
        <v/>
      </c>
      <c r="I45" s="1"/>
      <c r="J45" s="1"/>
      <c r="K45" s="1" t="str">
        <f t="shared" si="0"/>
        <v/>
      </c>
      <c r="L45" s="1" t="str">
        <f t="shared" si="1"/>
        <v/>
      </c>
      <c r="M45" s="1" t="str">
        <f t="shared" si="2"/>
        <v/>
      </c>
      <c r="O45">
        <v>44</v>
      </c>
      <c r="P45" t="s">
        <v>77</v>
      </c>
      <c r="Q45" t="s">
        <v>34</v>
      </c>
      <c r="R45">
        <v>1890</v>
      </c>
      <c r="S45">
        <v>1684</v>
      </c>
      <c r="T45">
        <v>1452</v>
      </c>
    </row>
    <row r="46" spans="8:20" x14ac:dyDescent="0.3">
      <c r="H46" t="str">
        <f t="shared" si="3"/>
        <v/>
      </c>
      <c r="I46" s="1"/>
      <c r="J46" s="1"/>
      <c r="K46" s="1" t="str">
        <f t="shared" ref="K46:K77" si="4">IFERROR($E34/SUM($D34:$F34),"")</f>
        <v/>
      </c>
      <c r="L46" s="1" t="str">
        <f t="shared" ref="L46:L77" si="5">IFERROR($D34/SUM($D34:$F34),"")</f>
        <v/>
      </c>
      <c r="M46" s="1" t="str">
        <f t="shared" ref="M46:M77" si="6">IFERROR($F34/SUM($D34:$F34),"")</f>
        <v/>
      </c>
      <c r="O46">
        <v>45</v>
      </c>
      <c r="P46" t="s">
        <v>77</v>
      </c>
      <c r="Q46" t="s">
        <v>37</v>
      </c>
      <c r="R46">
        <v>2141</v>
      </c>
      <c r="S46">
        <v>1764</v>
      </c>
      <c r="T46">
        <v>1120</v>
      </c>
    </row>
    <row r="47" spans="8:20" x14ac:dyDescent="0.3">
      <c r="H47" t="str">
        <f t="shared" ref="H47:H78" si="7">IF(B35="","",TEXT(B35,"dd/mm") &amp; "-" &amp; IF(UPPER(TRIM(C35))="CN",1,IF(UPPER(TRIM(C35))="CD",2,"")))</f>
        <v/>
      </c>
      <c r="I47" s="1"/>
      <c r="J47" s="1"/>
      <c r="K47" s="1" t="str">
        <f t="shared" si="4"/>
        <v/>
      </c>
      <c r="L47" s="1" t="str">
        <f t="shared" si="5"/>
        <v/>
      </c>
      <c r="M47" s="1" t="str">
        <f t="shared" si="6"/>
        <v/>
      </c>
      <c r="O47">
        <v>46</v>
      </c>
      <c r="P47" t="s">
        <v>78</v>
      </c>
      <c r="Q47" t="s">
        <v>34</v>
      </c>
      <c r="R47">
        <v>1524</v>
      </c>
      <c r="S47">
        <v>1851</v>
      </c>
      <c r="T47">
        <v>1650</v>
      </c>
    </row>
    <row r="48" spans="8:20" x14ac:dyDescent="0.3">
      <c r="H48" t="str">
        <f t="shared" si="7"/>
        <v/>
      </c>
      <c r="I48" s="1"/>
      <c r="J48" s="1"/>
      <c r="K48" s="1" t="str">
        <f t="shared" si="4"/>
        <v/>
      </c>
      <c r="L48" s="1" t="str">
        <f t="shared" si="5"/>
        <v/>
      </c>
      <c r="M48" s="1" t="str">
        <f t="shared" si="6"/>
        <v/>
      </c>
      <c r="O48">
        <v>47</v>
      </c>
      <c r="P48" t="s">
        <v>78</v>
      </c>
      <c r="Q48" t="s">
        <v>37</v>
      </c>
      <c r="R48">
        <v>1589</v>
      </c>
      <c r="S48">
        <v>1725</v>
      </c>
      <c r="T48">
        <v>1712</v>
      </c>
    </row>
    <row r="49" spans="8:20" x14ac:dyDescent="0.3">
      <c r="H49" t="str">
        <f t="shared" si="7"/>
        <v/>
      </c>
      <c r="I49" s="1"/>
      <c r="J49" s="1"/>
      <c r="K49" s="1" t="str">
        <f t="shared" si="4"/>
        <v/>
      </c>
      <c r="L49" s="1" t="str">
        <f t="shared" si="5"/>
        <v/>
      </c>
      <c r="M49" s="1" t="str">
        <f t="shared" si="6"/>
        <v/>
      </c>
      <c r="O49">
        <v>48</v>
      </c>
      <c r="P49" t="s">
        <v>79</v>
      </c>
      <c r="Q49" t="s">
        <v>34</v>
      </c>
      <c r="R49">
        <v>3</v>
      </c>
      <c r="S49">
        <v>2</v>
      </c>
      <c r="T49">
        <v>5034</v>
      </c>
    </row>
    <row r="50" spans="8:20" x14ac:dyDescent="0.3">
      <c r="H50" t="str">
        <f t="shared" si="7"/>
        <v/>
      </c>
      <c r="I50" s="1"/>
      <c r="J50" s="1"/>
      <c r="K50" s="1" t="str">
        <f t="shared" si="4"/>
        <v/>
      </c>
      <c r="L50" s="1" t="str">
        <f t="shared" si="5"/>
        <v/>
      </c>
      <c r="M50" s="1" t="str">
        <f t="shared" si="6"/>
        <v/>
      </c>
      <c r="O50">
        <v>49</v>
      </c>
      <c r="P50" t="s">
        <v>79</v>
      </c>
      <c r="Q50" t="s">
        <v>37</v>
      </c>
      <c r="R50">
        <v>0</v>
      </c>
      <c r="S50">
        <v>0</v>
      </c>
      <c r="T50">
        <v>5040</v>
      </c>
    </row>
    <row r="51" spans="8:20" x14ac:dyDescent="0.3">
      <c r="H51" t="str">
        <f t="shared" si="7"/>
        <v/>
      </c>
      <c r="I51" s="1"/>
      <c r="J51" s="1"/>
      <c r="K51" s="1" t="str">
        <f t="shared" si="4"/>
        <v/>
      </c>
      <c r="L51" s="1" t="str">
        <f t="shared" si="5"/>
        <v/>
      </c>
      <c r="M51" s="1" t="str">
        <f t="shared" si="6"/>
        <v/>
      </c>
      <c r="O51">
        <v>50</v>
      </c>
      <c r="P51" t="s">
        <v>80</v>
      </c>
      <c r="Q51" t="s">
        <v>34</v>
      </c>
      <c r="R51">
        <v>2232</v>
      </c>
      <c r="S51">
        <v>1345</v>
      </c>
      <c r="T51">
        <v>1446</v>
      </c>
    </row>
    <row r="52" spans="8:20" x14ac:dyDescent="0.3">
      <c r="H52" t="str">
        <f t="shared" si="7"/>
        <v/>
      </c>
      <c r="I52" s="1"/>
      <c r="J52" s="1"/>
      <c r="K52" s="1" t="str">
        <f t="shared" si="4"/>
        <v/>
      </c>
      <c r="L52" s="1" t="str">
        <f t="shared" si="5"/>
        <v/>
      </c>
      <c r="M52" s="1" t="str">
        <f t="shared" si="6"/>
        <v/>
      </c>
      <c r="O52">
        <v>51</v>
      </c>
      <c r="P52" t="s">
        <v>80</v>
      </c>
      <c r="Q52" t="s">
        <v>37</v>
      </c>
      <c r="R52">
        <v>1927</v>
      </c>
      <c r="S52">
        <v>2028</v>
      </c>
      <c r="T52">
        <v>1067</v>
      </c>
    </row>
    <row r="53" spans="8:20" x14ac:dyDescent="0.3">
      <c r="H53" t="str">
        <f t="shared" si="7"/>
        <v/>
      </c>
      <c r="I53" s="1"/>
      <c r="J53" s="1"/>
      <c r="K53" s="1" t="str">
        <f t="shared" si="4"/>
        <v/>
      </c>
      <c r="L53" s="1" t="str">
        <f t="shared" si="5"/>
        <v/>
      </c>
      <c r="M53" s="1" t="str">
        <f t="shared" si="6"/>
        <v/>
      </c>
      <c r="O53">
        <v>52</v>
      </c>
      <c r="P53" t="s">
        <v>81</v>
      </c>
      <c r="Q53" t="s">
        <v>34</v>
      </c>
      <c r="R53">
        <v>2023</v>
      </c>
      <c r="S53">
        <v>1555</v>
      </c>
      <c r="T53">
        <v>1447</v>
      </c>
    </row>
    <row r="54" spans="8:20" x14ac:dyDescent="0.3">
      <c r="H54" t="str">
        <f t="shared" si="7"/>
        <v/>
      </c>
      <c r="I54" s="1"/>
      <c r="J54" s="1"/>
      <c r="K54" s="1" t="str">
        <f t="shared" si="4"/>
        <v/>
      </c>
      <c r="L54" s="1" t="str">
        <f t="shared" si="5"/>
        <v/>
      </c>
      <c r="M54" s="1" t="str">
        <f t="shared" si="6"/>
        <v/>
      </c>
      <c r="O54">
        <v>53</v>
      </c>
      <c r="P54" t="s">
        <v>81</v>
      </c>
      <c r="Q54" t="s">
        <v>37</v>
      </c>
      <c r="R54">
        <v>1770</v>
      </c>
      <c r="S54">
        <v>2168</v>
      </c>
      <c r="T54">
        <v>1084</v>
      </c>
    </row>
    <row r="55" spans="8:20" x14ac:dyDescent="0.3">
      <c r="H55" t="str">
        <f t="shared" si="7"/>
        <v/>
      </c>
      <c r="I55" s="1"/>
      <c r="J55" s="1"/>
      <c r="K55" s="1" t="str">
        <f t="shared" si="4"/>
        <v/>
      </c>
      <c r="L55" s="1" t="str">
        <f t="shared" si="5"/>
        <v/>
      </c>
      <c r="M55" s="1" t="str">
        <f t="shared" si="6"/>
        <v/>
      </c>
      <c r="O55">
        <v>54</v>
      </c>
      <c r="P55" t="s">
        <v>82</v>
      </c>
      <c r="Q55" t="s">
        <v>34</v>
      </c>
      <c r="R55">
        <v>1808</v>
      </c>
      <c r="S55">
        <v>1766</v>
      </c>
      <c r="T55">
        <v>1452</v>
      </c>
    </row>
    <row r="56" spans="8:20" x14ac:dyDescent="0.3">
      <c r="H56" t="str">
        <f t="shared" si="7"/>
        <v/>
      </c>
      <c r="I56" s="1"/>
      <c r="J56" s="1"/>
      <c r="K56" s="1" t="str">
        <f t="shared" si="4"/>
        <v/>
      </c>
      <c r="L56" s="1" t="str">
        <f t="shared" si="5"/>
        <v/>
      </c>
      <c r="M56" s="1" t="str">
        <f t="shared" si="6"/>
        <v/>
      </c>
      <c r="O56">
        <v>55</v>
      </c>
      <c r="P56" t="s">
        <v>82</v>
      </c>
      <c r="Q56" t="s">
        <v>37</v>
      </c>
      <c r="R56">
        <v>1603</v>
      </c>
      <c r="S56">
        <v>2336</v>
      </c>
      <c r="T56">
        <v>1086</v>
      </c>
    </row>
    <row r="57" spans="8:20" x14ac:dyDescent="0.3">
      <c r="H57" t="str">
        <f t="shared" si="7"/>
        <v/>
      </c>
      <c r="I57" s="1"/>
      <c r="J57" s="1"/>
      <c r="K57" s="1" t="str">
        <f t="shared" si="4"/>
        <v/>
      </c>
      <c r="L57" s="1" t="str">
        <f t="shared" si="5"/>
        <v/>
      </c>
      <c r="M57" s="1" t="str">
        <f t="shared" si="6"/>
        <v/>
      </c>
      <c r="O57">
        <v>56</v>
      </c>
      <c r="P57" t="s">
        <v>83</v>
      </c>
      <c r="Q57" t="s">
        <v>34</v>
      </c>
      <c r="R57">
        <v>1840</v>
      </c>
      <c r="S57">
        <v>1724</v>
      </c>
      <c r="T57">
        <v>1460</v>
      </c>
    </row>
    <row r="58" spans="8:20" x14ac:dyDescent="0.3">
      <c r="H58" t="str">
        <f t="shared" si="7"/>
        <v/>
      </c>
      <c r="I58" s="1"/>
      <c r="J58" s="1"/>
      <c r="K58" s="1" t="str">
        <f t="shared" si="4"/>
        <v/>
      </c>
      <c r="L58" s="1" t="str">
        <f t="shared" si="5"/>
        <v/>
      </c>
      <c r="M58" s="1" t="str">
        <f t="shared" si="6"/>
        <v/>
      </c>
      <c r="O58">
        <v>57</v>
      </c>
      <c r="P58" t="s">
        <v>83</v>
      </c>
      <c r="Q58" t="s">
        <v>37</v>
      </c>
      <c r="R58">
        <v>1792</v>
      </c>
      <c r="S58">
        <v>2097</v>
      </c>
      <c r="T58">
        <v>1136</v>
      </c>
    </row>
    <row r="59" spans="8:20" x14ac:dyDescent="0.3">
      <c r="H59" t="str">
        <f t="shared" si="7"/>
        <v/>
      </c>
      <c r="I59" s="1"/>
      <c r="J59" s="1"/>
      <c r="K59" s="1" t="str">
        <f t="shared" si="4"/>
        <v/>
      </c>
      <c r="L59" s="1" t="str">
        <f t="shared" si="5"/>
        <v/>
      </c>
      <c r="M59" s="1" t="str">
        <f t="shared" si="6"/>
        <v/>
      </c>
      <c r="O59">
        <v>58</v>
      </c>
      <c r="P59" t="s">
        <v>84</v>
      </c>
      <c r="Q59" t="s">
        <v>34</v>
      </c>
      <c r="R59">
        <v>1886</v>
      </c>
      <c r="S59">
        <v>1686</v>
      </c>
      <c r="T59">
        <v>1454</v>
      </c>
    </row>
    <row r="60" spans="8:20" x14ac:dyDescent="0.3">
      <c r="H60" t="str">
        <f t="shared" si="7"/>
        <v/>
      </c>
      <c r="I60" s="1"/>
      <c r="J60" s="1"/>
      <c r="K60" s="1" t="str">
        <f t="shared" si="4"/>
        <v/>
      </c>
      <c r="L60" s="1" t="str">
        <f t="shared" si="5"/>
        <v/>
      </c>
      <c r="M60" s="1" t="str">
        <f t="shared" si="6"/>
        <v/>
      </c>
      <c r="O60">
        <v>59</v>
      </c>
      <c r="P60" t="s">
        <v>84</v>
      </c>
      <c r="Q60" t="s">
        <v>37</v>
      </c>
      <c r="R60">
        <v>1790</v>
      </c>
      <c r="S60">
        <v>2153</v>
      </c>
      <c r="T60">
        <v>1077</v>
      </c>
    </row>
    <row r="61" spans="8:20" x14ac:dyDescent="0.3">
      <c r="H61" t="str">
        <f t="shared" si="7"/>
        <v/>
      </c>
      <c r="I61" s="1"/>
      <c r="J61" s="1"/>
      <c r="K61" s="1" t="str">
        <f t="shared" si="4"/>
        <v/>
      </c>
      <c r="L61" s="1" t="str">
        <f t="shared" si="5"/>
        <v/>
      </c>
      <c r="M61" s="1" t="str">
        <f t="shared" si="6"/>
        <v/>
      </c>
      <c r="O61">
        <v>60</v>
      </c>
      <c r="P61" t="s">
        <v>85</v>
      </c>
      <c r="Q61" t="s">
        <v>34</v>
      </c>
      <c r="R61">
        <v>1862</v>
      </c>
      <c r="S61">
        <v>1496</v>
      </c>
      <c r="T61">
        <v>1668</v>
      </c>
    </row>
    <row r="62" spans="8:20" x14ac:dyDescent="0.3">
      <c r="H62" t="str">
        <f t="shared" si="7"/>
        <v/>
      </c>
      <c r="I62" s="1"/>
      <c r="J62" s="1"/>
      <c r="K62" s="1" t="str">
        <f t="shared" si="4"/>
        <v/>
      </c>
      <c r="L62" s="1" t="str">
        <f t="shared" si="5"/>
        <v/>
      </c>
      <c r="M62" s="1" t="str">
        <f t="shared" si="6"/>
        <v/>
      </c>
      <c r="O62">
        <v>61</v>
      </c>
      <c r="P62" t="s">
        <v>85</v>
      </c>
      <c r="Q62" t="s">
        <v>37</v>
      </c>
      <c r="R62">
        <v>1086</v>
      </c>
      <c r="S62">
        <v>1750</v>
      </c>
      <c r="T62">
        <v>2192</v>
      </c>
    </row>
    <row r="63" spans="8:20" x14ac:dyDescent="0.3">
      <c r="H63" t="str">
        <f t="shared" si="7"/>
        <v/>
      </c>
      <c r="I63" s="1"/>
      <c r="J63" s="1"/>
      <c r="K63" s="1" t="str">
        <f t="shared" si="4"/>
        <v/>
      </c>
      <c r="L63" s="1" t="str">
        <f t="shared" si="5"/>
        <v/>
      </c>
      <c r="M63" s="1" t="str">
        <f t="shared" si="6"/>
        <v/>
      </c>
      <c r="O63">
        <v>62</v>
      </c>
      <c r="P63" t="s">
        <v>86</v>
      </c>
      <c r="Q63" t="s">
        <v>34</v>
      </c>
      <c r="R63">
        <v>0</v>
      </c>
      <c r="S63">
        <v>0</v>
      </c>
      <c r="T63">
        <v>5040</v>
      </c>
    </row>
    <row r="64" spans="8:20" x14ac:dyDescent="0.3">
      <c r="H64" t="str">
        <f t="shared" si="7"/>
        <v/>
      </c>
      <c r="I64" s="1"/>
      <c r="J64" s="1"/>
      <c r="K64" s="1" t="str">
        <f t="shared" si="4"/>
        <v/>
      </c>
      <c r="L64" s="1" t="str">
        <f t="shared" si="5"/>
        <v/>
      </c>
      <c r="M64" s="1" t="str">
        <f t="shared" si="6"/>
        <v/>
      </c>
      <c r="O64">
        <v>63</v>
      </c>
      <c r="P64" t="s">
        <v>86</v>
      </c>
      <c r="Q64" t="s">
        <v>37</v>
      </c>
      <c r="R64">
        <v>0</v>
      </c>
      <c r="S64">
        <v>0</v>
      </c>
      <c r="T64">
        <v>5040</v>
      </c>
    </row>
    <row r="65" spans="8:20" x14ac:dyDescent="0.3">
      <c r="H65" t="str">
        <f t="shared" si="7"/>
        <v/>
      </c>
      <c r="I65" s="1"/>
      <c r="J65" s="1"/>
      <c r="K65" s="1" t="str">
        <f t="shared" si="4"/>
        <v/>
      </c>
      <c r="L65" s="1" t="str">
        <f t="shared" si="5"/>
        <v/>
      </c>
      <c r="M65" s="1" t="str">
        <f t="shared" si="6"/>
        <v/>
      </c>
      <c r="O65">
        <v>64</v>
      </c>
      <c r="P65" t="s">
        <v>87</v>
      </c>
      <c r="Q65" t="s">
        <v>34</v>
      </c>
      <c r="R65">
        <v>1735</v>
      </c>
      <c r="S65">
        <v>1849</v>
      </c>
      <c r="T65">
        <v>1438</v>
      </c>
    </row>
    <row r="66" spans="8:20" x14ac:dyDescent="0.3">
      <c r="H66" t="str">
        <f t="shared" si="7"/>
        <v/>
      </c>
      <c r="I66" s="1"/>
      <c r="J66" s="1"/>
      <c r="K66" s="1" t="str">
        <f t="shared" si="4"/>
        <v/>
      </c>
      <c r="L66" s="1" t="str">
        <f t="shared" si="5"/>
        <v/>
      </c>
      <c r="M66" s="1" t="str">
        <f t="shared" si="6"/>
        <v/>
      </c>
      <c r="O66">
        <v>65</v>
      </c>
      <c r="P66" t="s">
        <v>87</v>
      </c>
      <c r="Q66" t="s">
        <v>37</v>
      </c>
      <c r="R66">
        <v>2129</v>
      </c>
      <c r="S66">
        <v>1752</v>
      </c>
      <c r="T66">
        <v>1145</v>
      </c>
    </row>
    <row r="67" spans="8:20" x14ac:dyDescent="0.3">
      <c r="H67" t="str">
        <f t="shared" si="7"/>
        <v/>
      </c>
      <c r="I67" s="1"/>
      <c r="J67" s="1"/>
      <c r="K67" s="1" t="str">
        <f t="shared" si="4"/>
        <v/>
      </c>
      <c r="L67" s="1" t="str">
        <f t="shared" si="5"/>
        <v/>
      </c>
      <c r="M67" s="1" t="str">
        <f t="shared" si="6"/>
        <v/>
      </c>
      <c r="O67">
        <v>66</v>
      </c>
      <c r="P67" t="s">
        <v>88</v>
      </c>
      <c r="Q67" t="s">
        <v>34</v>
      </c>
      <c r="R67">
        <v>1874</v>
      </c>
      <c r="S67">
        <v>1716</v>
      </c>
      <c r="T67">
        <v>1436</v>
      </c>
    </row>
    <row r="68" spans="8:20" x14ac:dyDescent="0.3">
      <c r="H68" t="str">
        <f t="shared" si="7"/>
        <v/>
      </c>
      <c r="I68" s="1"/>
      <c r="J68" s="1"/>
      <c r="K68" s="1" t="str">
        <f t="shared" si="4"/>
        <v/>
      </c>
      <c r="L68" s="1" t="str">
        <f t="shared" si="5"/>
        <v/>
      </c>
      <c r="M68" s="1" t="str">
        <f t="shared" si="6"/>
        <v/>
      </c>
      <c r="O68">
        <v>67</v>
      </c>
      <c r="P68" t="s">
        <v>88</v>
      </c>
      <c r="Q68" t="s">
        <v>37</v>
      </c>
      <c r="R68">
        <v>2042</v>
      </c>
      <c r="S68">
        <v>1774</v>
      </c>
      <c r="T68">
        <v>1208</v>
      </c>
    </row>
    <row r="69" spans="8:20" x14ac:dyDescent="0.3">
      <c r="H69" t="str">
        <f t="shared" si="7"/>
        <v/>
      </c>
      <c r="I69" s="1"/>
      <c r="J69" s="1"/>
      <c r="K69" s="1" t="str">
        <f t="shared" si="4"/>
        <v/>
      </c>
      <c r="L69" s="1" t="str">
        <f t="shared" si="5"/>
        <v/>
      </c>
      <c r="M69" s="1" t="str">
        <f t="shared" si="6"/>
        <v/>
      </c>
      <c r="O69">
        <v>68</v>
      </c>
      <c r="P69" t="s">
        <v>89</v>
      </c>
      <c r="Q69" t="s">
        <v>34</v>
      </c>
      <c r="R69">
        <v>1480</v>
      </c>
      <c r="S69">
        <v>2097</v>
      </c>
      <c r="T69">
        <v>1443</v>
      </c>
    </row>
    <row r="70" spans="8:20" x14ac:dyDescent="0.3">
      <c r="H70" t="str">
        <f t="shared" si="7"/>
        <v/>
      </c>
      <c r="I70" s="1"/>
      <c r="J70" s="1"/>
      <c r="K70" s="1" t="str">
        <f t="shared" si="4"/>
        <v/>
      </c>
      <c r="L70" s="1" t="str">
        <f t="shared" si="5"/>
        <v/>
      </c>
      <c r="M70" s="1" t="str">
        <f t="shared" si="6"/>
        <v/>
      </c>
      <c r="O70">
        <v>69</v>
      </c>
      <c r="P70" t="s">
        <v>89</v>
      </c>
      <c r="Q70" t="s">
        <v>37</v>
      </c>
      <c r="R70">
        <v>2086</v>
      </c>
      <c r="S70">
        <v>1789</v>
      </c>
      <c r="T70">
        <v>1151</v>
      </c>
    </row>
    <row r="71" spans="8:20" x14ac:dyDescent="0.3">
      <c r="H71" t="str">
        <f t="shared" si="7"/>
        <v/>
      </c>
      <c r="I71" s="1"/>
      <c r="J71" s="1"/>
      <c r="K71" s="1" t="str">
        <f t="shared" si="4"/>
        <v/>
      </c>
      <c r="L71" s="1" t="str">
        <f t="shared" si="5"/>
        <v/>
      </c>
      <c r="M71" s="1" t="str">
        <f t="shared" si="6"/>
        <v/>
      </c>
      <c r="O71">
        <v>70</v>
      </c>
      <c r="P71" t="s">
        <v>90</v>
      </c>
      <c r="Q71" t="s">
        <v>34</v>
      </c>
      <c r="R71">
        <v>1709</v>
      </c>
      <c r="S71">
        <v>1866</v>
      </c>
      <c r="T71">
        <v>1450</v>
      </c>
    </row>
    <row r="72" spans="8:20" x14ac:dyDescent="0.3">
      <c r="H72" t="str">
        <f t="shared" si="7"/>
        <v/>
      </c>
      <c r="I72" s="1"/>
      <c r="J72" s="1"/>
      <c r="K72" s="1" t="str">
        <f t="shared" si="4"/>
        <v/>
      </c>
      <c r="L72" s="1" t="str">
        <f t="shared" si="5"/>
        <v/>
      </c>
      <c r="M72" s="1" t="str">
        <f t="shared" si="6"/>
        <v/>
      </c>
      <c r="O72">
        <v>71</v>
      </c>
      <c r="P72" t="s">
        <v>90</v>
      </c>
      <c r="Q72" t="s">
        <v>37</v>
      </c>
      <c r="R72">
        <v>1942</v>
      </c>
      <c r="S72">
        <v>1928</v>
      </c>
      <c r="T72">
        <v>1153</v>
      </c>
    </row>
    <row r="73" spans="8:20" x14ac:dyDescent="0.3">
      <c r="H73" t="str">
        <f t="shared" si="7"/>
        <v/>
      </c>
      <c r="I73" s="1"/>
      <c r="J73" s="1"/>
      <c r="K73" s="1" t="str">
        <f t="shared" si="4"/>
        <v/>
      </c>
      <c r="L73" s="1" t="str">
        <f t="shared" si="5"/>
        <v/>
      </c>
      <c r="M73" s="1" t="str">
        <f t="shared" si="6"/>
        <v/>
      </c>
      <c r="O73">
        <v>72</v>
      </c>
      <c r="P73" t="s">
        <v>91</v>
      </c>
      <c r="Q73" t="s">
        <v>34</v>
      </c>
      <c r="R73">
        <v>1651</v>
      </c>
      <c r="S73">
        <v>1929</v>
      </c>
      <c r="T73">
        <v>1445</v>
      </c>
    </row>
    <row r="74" spans="8:20" x14ac:dyDescent="0.3">
      <c r="H74" t="str">
        <f t="shared" si="7"/>
        <v/>
      </c>
      <c r="I74" s="1"/>
      <c r="J74" s="1"/>
      <c r="K74" s="1" t="str">
        <f t="shared" si="4"/>
        <v/>
      </c>
      <c r="L74" s="1" t="str">
        <f t="shared" si="5"/>
        <v/>
      </c>
      <c r="M74" s="1" t="str">
        <f t="shared" si="6"/>
        <v/>
      </c>
      <c r="O74">
        <v>73</v>
      </c>
      <c r="P74" t="s">
        <v>91</v>
      </c>
      <c r="Q74" t="s">
        <v>37</v>
      </c>
      <c r="R74">
        <v>1883</v>
      </c>
      <c r="S74">
        <v>1903</v>
      </c>
      <c r="T74">
        <v>1242</v>
      </c>
    </row>
    <row r="75" spans="8:20" x14ac:dyDescent="0.3">
      <c r="H75" t="str">
        <f t="shared" si="7"/>
        <v/>
      </c>
      <c r="I75" s="1"/>
      <c r="J75" s="1"/>
      <c r="K75" s="1" t="str">
        <f t="shared" si="4"/>
        <v/>
      </c>
      <c r="L75" s="1" t="str">
        <f t="shared" si="5"/>
        <v/>
      </c>
      <c r="M75" s="1" t="str">
        <f t="shared" si="6"/>
        <v/>
      </c>
      <c r="O75">
        <v>74</v>
      </c>
      <c r="P75" t="s">
        <v>92</v>
      </c>
      <c r="Q75" t="s">
        <v>34</v>
      </c>
      <c r="R75">
        <v>1425</v>
      </c>
      <c r="S75">
        <v>1473</v>
      </c>
      <c r="T75">
        <v>2128</v>
      </c>
    </row>
    <row r="76" spans="8:20" x14ac:dyDescent="0.3">
      <c r="I76" s="1"/>
      <c r="J76" s="1"/>
      <c r="K76" s="1"/>
      <c r="L76" s="1"/>
      <c r="M76" s="1"/>
      <c r="O76">
        <v>75</v>
      </c>
      <c r="P76" t="s">
        <v>92</v>
      </c>
      <c r="Q76" t="s">
        <v>37</v>
      </c>
      <c r="R76">
        <v>1910</v>
      </c>
      <c r="S76">
        <v>1284</v>
      </c>
      <c r="T76">
        <v>1835</v>
      </c>
    </row>
    <row r="77" spans="8:20" x14ac:dyDescent="0.3">
      <c r="I77" s="1"/>
      <c r="J77" s="1"/>
      <c r="K77" s="1"/>
      <c r="L77" s="1"/>
      <c r="M77" s="1"/>
      <c r="O77">
        <v>76</v>
      </c>
      <c r="P77" t="s">
        <v>93</v>
      </c>
      <c r="Q77" t="s">
        <v>34</v>
      </c>
      <c r="R77">
        <v>0</v>
      </c>
      <c r="S77">
        <v>0</v>
      </c>
      <c r="T77">
        <v>5040</v>
      </c>
    </row>
    <row r="78" spans="8:20" x14ac:dyDescent="0.3">
      <c r="I78" s="1"/>
      <c r="J78" s="1"/>
      <c r="K78" s="1"/>
      <c r="L78" s="1"/>
      <c r="M78" s="1"/>
      <c r="O78">
        <v>77</v>
      </c>
      <c r="P78" t="s">
        <v>93</v>
      </c>
      <c r="Q78" t="s">
        <v>37</v>
      </c>
      <c r="R78">
        <v>0</v>
      </c>
      <c r="S78">
        <v>0</v>
      </c>
      <c r="T78">
        <v>5040</v>
      </c>
    </row>
    <row r="79" spans="8:20" x14ac:dyDescent="0.3">
      <c r="I79" s="1"/>
      <c r="J79" s="1"/>
      <c r="K79" s="1"/>
      <c r="L79" s="1"/>
      <c r="M79" s="1"/>
      <c r="O79">
        <v>78</v>
      </c>
      <c r="P79" t="s">
        <v>94</v>
      </c>
      <c r="Q79" t="s">
        <v>34</v>
      </c>
      <c r="R79">
        <v>1993</v>
      </c>
      <c r="S79">
        <v>1590</v>
      </c>
      <c r="T79">
        <v>1441</v>
      </c>
    </row>
    <row r="80" spans="8:20" x14ac:dyDescent="0.3">
      <c r="I80" s="1"/>
      <c r="J80" s="1"/>
      <c r="K80" s="1"/>
      <c r="L80" s="1"/>
      <c r="M80" s="1"/>
      <c r="O80">
        <v>79</v>
      </c>
      <c r="P80" t="s">
        <v>94</v>
      </c>
      <c r="Q80" t="s">
        <v>37</v>
      </c>
      <c r="R80">
        <v>1852</v>
      </c>
      <c r="S80">
        <v>2104</v>
      </c>
      <c r="T80">
        <v>1067</v>
      </c>
    </row>
    <row r="81" spans="9:20" x14ac:dyDescent="0.3">
      <c r="I81" s="1"/>
      <c r="J81" s="1"/>
      <c r="K81" s="1"/>
      <c r="L81" s="1"/>
      <c r="M81" s="1"/>
      <c r="O81">
        <v>80</v>
      </c>
      <c r="P81" t="s">
        <v>95</v>
      </c>
      <c r="Q81" t="s">
        <v>34</v>
      </c>
      <c r="R81">
        <v>1967</v>
      </c>
      <c r="S81">
        <v>1621</v>
      </c>
      <c r="T81">
        <v>1437</v>
      </c>
    </row>
    <row r="82" spans="9:20" x14ac:dyDescent="0.3">
      <c r="I82" s="1"/>
      <c r="J82" s="1"/>
      <c r="K82" s="1"/>
      <c r="L82" s="1"/>
      <c r="M82" s="1"/>
      <c r="O82">
        <v>81</v>
      </c>
      <c r="P82" t="s">
        <v>95</v>
      </c>
      <c r="Q82" t="s">
        <v>37</v>
      </c>
      <c r="R82">
        <v>1863</v>
      </c>
      <c r="S82">
        <v>2086</v>
      </c>
      <c r="T82">
        <v>1076</v>
      </c>
    </row>
    <row r="83" spans="9:20" x14ac:dyDescent="0.3">
      <c r="I83" s="1"/>
      <c r="J83" s="1"/>
      <c r="K83" s="1"/>
      <c r="L83" s="1"/>
      <c r="M83" s="1"/>
      <c r="O83">
        <v>82</v>
      </c>
      <c r="P83" t="s">
        <v>96</v>
      </c>
      <c r="Q83" t="s">
        <v>34</v>
      </c>
      <c r="R83">
        <v>1895</v>
      </c>
      <c r="S83">
        <v>1689</v>
      </c>
      <c r="T83">
        <v>1441</v>
      </c>
    </row>
    <row r="84" spans="9:20" x14ac:dyDescent="0.3">
      <c r="I84" s="1"/>
      <c r="J84" s="1"/>
      <c r="K84" s="1"/>
      <c r="L84" s="1"/>
      <c r="M84" s="1"/>
      <c r="O84">
        <v>83</v>
      </c>
      <c r="P84" t="s">
        <v>96</v>
      </c>
      <c r="Q84" t="s">
        <v>37</v>
      </c>
      <c r="R84">
        <v>1536</v>
      </c>
      <c r="S84">
        <v>1835</v>
      </c>
      <c r="T84">
        <v>1653</v>
      </c>
    </row>
    <row r="85" spans="9:20" x14ac:dyDescent="0.3">
      <c r="I85" s="1"/>
      <c r="J85" s="1"/>
      <c r="K85" s="1"/>
      <c r="L85" s="1"/>
      <c r="M85" s="1"/>
      <c r="O85">
        <v>84</v>
      </c>
      <c r="P85" t="s">
        <v>97</v>
      </c>
      <c r="Q85" t="s">
        <v>34</v>
      </c>
      <c r="R85">
        <v>1746</v>
      </c>
      <c r="S85">
        <v>1835</v>
      </c>
      <c r="T85">
        <v>1446</v>
      </c>
    </row>
    <row r="86" spans="9:20" x14ac:dyDescent="0.3">
      <c r="I86" s="1"/>
      <c r="J86" s="1"/>
      <c r="K86" s="1"/>
      <c r="L86" s="1"/>
      <c r="M86" s="1"/>
      <c r="O86">
        <v>85</v>
      </c>
      <c r="P86" t="s">
        <v>97</v>
      </c>
      <c r="Q86" t="s">
        <v>37</v>
      </c>
      <c r="R86">
        <v>1555</v>
      </c>
      <c r="S86">
        <v>1818</v>
      </c>
      <c r="T86">
        <v>1655</v>
      </c>
    </row>
    <row r="87" spans="9:20" x14ac:dyDescent="0.3">
      <c r="I87" s="1"/>
      <c r="J87" s="1"/>
      <c r="K87" s="1"/>
      <c r="L87" s="1"/>
      <c r="M87" s="1"/>
      <c r="O87">
        <v>86</v>
      </c>
      <c r="P87" t="s">
        <v>98</v>
      </c>
      <c r="Q87" t="s">
        <v>34</v>
      </c>
      <c r="R87">
        <v>2136</v>
      </c>
      <c r="S87">
        <v>1196</v>
      </c>
      <c r="T87">
        <v>1695</v>
      </c>
    </row>
    <row r="88" spans="9:20" x14ac:dyDescent="0.3">
      <c r="I88" s="1"/>
      <c r="J88" s="1"/>
      <c r="K88" s="1"/>
      <c r="L88" s="1"/>
      <c r="M88" s="1"/>
      <c r="O88">
        <v>87</v>
      </c>
      <c r="P88" t="s">
        <v>98</v>
      </c>
      <c r="Q88" t="s">
        <v>37</v>
      </c>
      <c r="R88">
        <v>965</v>
      </c>
      <c r="S88">
        <v>815</v>
      </c>
      <c r="T88">
        <v>3248</v>
      </c>
    </row>
    <row r="89" spans="9:20" x14ac:dyDescent="0.3">
      <c r="I89" s="1"/>
      <c r="J89" s="1"/>
      <c r="K89" s="1"/>
      <c r="L89" s="1"/>
      <c r="M89" s="1"/>
      <c r="O89">
        <v>88</v>
      </c>
      <c r="P89" t="s">
        <v>99</v>
      </c>
      <c r="Q89" t="s">
        <v>34</v>
      </c>
      <c r="R89">
        <v>0</v>
      </c>
      <c r="S89">
        <v>0</v>
      </c>
      <c r="T89">
        <v>5040</v>
      </c>
    </row>
    <row r="90" spans="9:20" x14ac:dyDescent="0.3">
      <c r="I90" s="1"/>
      <c r="J90" s="1"/>
      <c r="K90" s="1"/>
      <c r="L90" s="1"/>
      <c r="M90" s="1"/>
      <c r="O90">
        <v>89</v>
      </c>
      <c r="P90" t="s">
        <v>99</v>
      </c>
      <c r="Q90" t="s">
        <v>37</v>
      </c>
      <c r="R90">
        <v>0</v>
      </c>
      <c r="S90">
        <v>0</v>
      </c>
      <c r="T90">
        <v>5041</v>
      </c>
    </row>
    <row r="91" spans="9:20" x14ac:dyDescent="0.3">
      <c r="I91" s="1"/>
      <c r="J91" s="1"/>
      <c r="K91" s="1"/>
      <c r="L91" s="1"/>
      <c r="M91" s="1"/>
      <c r="O91">
        <v>90</v>
      </c>
      <c r="P91" t="s">
        <v>100</v>
      </c>
      <c r="Q91" t="s">
        <v>34</v>
      </c>
      <c r="R91">
        <v>0</v>
      </c>
      <c r="S91">
        <v>0</v>
      </c>
      <c r="T91">
        <v>5041</v>
      </c>
    </row>
    <row r="92" spans="9:20" x14ac:dyDescent="0.3">
      <c r="I92" s="1"/>
      <c r="J92" s="1"/>
      <c r="K92" s="1"/>
      <c r="L92" s="1"/>
      <c r="M92" s="1"/>
      <c r="O92">
        <v>91</v>
      </c>
      <c r="P92" t="s">
        <v>100</v>
      </c>
      <c r="Q92" t="s">
        <v>37</v>
      </c>
      <c r="R92">
        <v>0</v>
      </c>
      <c r="S92">
        <v>0</v>
      </c>
      <c r="T92">
        <v>5040</v>
      </c>
    </row>
    <row r="93" spans="9:20" x14ac:dyDescent="0.3">
      <c r="I93" s="1"/>
      <c r="J93" s="1"/>
      <c r="K93" s="1"/>
      <c r="L93" s="1"/>
      <c r="M93" s="1"/>
      <c r="O93">
        <v>92</v>
      </c>
      <c r="P93" t="s">
        <v>101</v>
      </c>
      <c r="Q93" t="s">
        <v>34</v>
      </c>
      <c r="R93">
        <v>0</v>
      </c>
      <c r="S93">
        <v>0</v>
      </c>
      <c r="T93">
        <v>5040</v>
      </c>
    </row>
    <row r="94" spans="9:20" x14ac:dyDescent="0.3">
      <c r="I94" s="1"/>
      <c r="J94" s="1"/>
      <c r="K94" s="1"/>
      <c r="L94" s="1"/>
      <c r="M94" s="1"/>
      <c r="O94">
        <v>93</v>
      </c>
      <c r="P94" t="s">
        <v>101</v>
      </c>
      <c r="Q94" t="s">
        <v>37</v>
      </c>
      <c r="R94">
        <v>0</v>
      </c>
      <c r="S94">
        <v>0</v>
      </c>
      <c r="T94">
        <v>5040</v>
      </c>
    </row>
    <row r="95" spans="9:20" x14ac:dyDescent="0.3">
      <c r="I95" s="1"/>
      <c r="J95" s="1"/>
      <c r="K95" s="1"/>
      <c r="L95" s="1"/>
      <c r="M95" s="1"/>
      <c r="O95">
        <v>94</v>
      </c>
      <c r="P95" t="s">
        <v>102</v>
      </c>
      <c r="Q95" t="s">
        <v>34</v>
      </c>
      <c r="R95">
        <v>0</v>
      </c>
      <c r="S95">
        <v>0</v>
      </c>
      <c r="T95">
        <v>5040</v>
      </c>
    </row>
    <row r="96" spans="9:20" x14ac:dyDescent="0.3">
      <c r="I96" s="1"/>
      <c r="J96" s="1"/>
      <c r="K96" s="1"/>
      <c r="L96" s="1"/>
      <c r="M96" s="1"/>
      <c r="O96">
        <v>95</v>
      </c>
      <c r="P96" t="s">
        <v>102</v>
      </c>
      <c r="Q96" t="s">
        <v>37</v>
      </c>
      <c r="R96">
        <v>0</v>
      </c>
      <c r="S96">
        <v>0</v>
      </c>
      <c r="T96">
        <v>5040</v>
      </c>
    </row>
    <row r="97" spans="9:20" x14ac:dyDescent="0.3">
      <c r="I97" s="1"/>
      <c r="J97" s="1"/>
      <c r="K97" s="1"/>
      <c r="L97" s="1"/>
      <c r="M97" s="1"/>
      <c r="O97">
        <v>96</v>
      </c>
      <c r="P97" t="s">
        <v>103</v>
      </c>
      <c r="Q97" t="s">
        <v>34</v>
      </c>
      <c r="R97">
        <v>0</v>
      </c>
      <c r="S97">
        <v>0</v>
      </c>
      <c r="T97">
        <v>5040</v>
      </c>
    </row>
    <row r="98" spans="9:20" x14ac:dyDescent="0.3">
      <c r="I98" s="1"/>
      <c r="J98" s="1"/>
      <c r="K98" s="1"/>
      <c r="L98" s="1"/>
      <c r="M98" s="1"/>
      <c r="O98">
        <v>97</v>
      </c>
      <c r="P98" t="s">
        <v>103</v>
      </c>
      <c r="Q98" t="s">
        <v>37</v>
      </c>
      <c r="R98">
        <v>0</v>
      </c>
      <c r="S98">
        <v>0</v>
      </c>
      <c r="T98">
        <v>5040</v>
      </c>
    </row>
    <row r="99" spans="9:20" x14ac:dyDescent="0.3">
      <c r="I99" s="1"/>
      <c r="J99" s="1"/>
      <c r="K99" s="1"/>
      <c r="L99" s="1"/>
      <c r="M99" s="1"/>
      <c r="O99">
        <v>98</v>
      </c>
      <c r="P99" t="s">
        <v>104</v>
      </c>
      <c r="Q99" t="s">
        <v>34</v>
      </c>
      <c r="R99">
        <v>0</v>
      </c>
      <c r="S99">
        <v>0</v>
      </c>
      <c r="T99">
        <v>5040</v>
      </c>
    </row>
    <row r="100" spans="9:20" x14ac:dyDescent="0.3">
      <c r="I100" s="1"/>
      <c r="J100" s="1"/>
      <c r="K100" s="1"/>
      <c r="L100" s="1"/>
      <c r="M100" s="1"/>
      <c r="O100">
        <v>99</v>
      </c>
      <c r="P100" t="s">
        <v>104</v>
      </c>
      <c r="Q100" t="s">
        <v>37</v>
      </c>
      <c r="R100">
        <v>0</v>
      </c>
      <c r="S100">
        <v>0</v>
      </c>
      <c r="T100">
        <v>5040</v>
      </c>
    </row>
    <row r="101" spans="9:20" x14ac:dyDescent="0.3">
      <c r="I101" s="1"/>
      <c r="J101" s="1"/>
      <c r="K101" s="1"/>
      <c r="L101" s="1"/>
      <c r="M101" s="1"/>
      <c r="O101">
        <v>100</v>
      </c>
      <c r="P101" t="s">
        <v>105</v>
      </c>
      <c r="Q101" t="s">
        <v>34</v>
      </c>
      <c r="R101">
        <v>0</v>
      </c>
      <c r="S101">
        <v>0</v>
      </c>
      <c r="T101">
        <v>5040</v>
      </c>
    </row>
    <row r="102" spans="9:20" x14ac:dyDescent="0.3">
      <c r="O102">
        <v>101</v>
      </c>
      <c r="P102" t="s">
        <v>105</v>
      </c>
      <c r="Q102" t="s">
        <v>37</v>
      </c>
      <c r="R102">
        <v>0</v>
      </c>
      <c r="S102">
        <v>0</v>
      </c>
      <c r="T102">
        <v>5041</v>
      </c>
    </row>
    <row r="103" spans="9:20" x14ac:dyDescent="0.3">
      <c r="O103">
        <v>102</v>
      </c>
      <c r="P103" t="s">
        <v>106</v>
      </c>
      <c r="Q103" t="s">
        <v>34</v>
      </c>
      <c r="R103">
        <v>0</v>
      </c>
      <c r="S103">
        <v>0</v>
      </c>
      <c r="T103">
        <v>5040</v>
      </c>
    </row>
    <row r="104" spans="9:20" x14ac:dyDescent="0.3">
      <c r="O104">
        <v>103</v>
      </c>
      <c r="P104" t="s">
        <v>106</v>
      </c>
      <c r="Q104" t="s">
        <v>37</v>
      </c>
      <c r="R104">
        <v>0</v>
      </c>
      <c r="S104">
        <v>0</v>
      </c>
      <c r="T104">
        <v>5040</v>
      </c>
    </row>
    <row r="105" spans="9:20" x14ac:dyDescent="0.3">
      <c r="O105">
        <v>104</v>
      </c>
      <c r="P105" t="s">
        <v>107</v>
      </c>
      <c r="Q105" t="s">
        <v>34</v>
      </c>
      <c r="R105">
        <v>0</v>
      </c>
      <c r="S105">
        <v>0</v>
      </c>
      <c r="T105">
        <v>5041</v>
      </c>
    </row>
    <row r="106" spans="9:20" x14ac:dyDescent="0.3">
      <c r="O106">
        <v>105</v>
      </c>
      <c r="P106" t="s">
        <v>107</v>
      </c>
      <c r="Q106" t="s">
        <v>37</v>
      </c>
      <c r="R106">
        <v>0</v>
      </c>
      <c r="S106">
        <v>0</v>
      </c>
      <c r="T106">
        <v>5040</v>
      </c>
    </row>
    <row r="107" spans="9:20" x14ac:dyDescent="0.3">
      <c r="O107">
        <v>106</v>
      </c>
      <c r="P107" t="s">
        <v>108</v>
      </c>
      <c r="Q107" t="s">
        <v>34</v>
      </c>
      <c r="R107">
        <v>1807</v>
      </c>
      <c r="S107">
        <v>1772</v>
      </c>
      <c r="T107">
        <v>1449</v>
      </c>
    </row>
    <row r="108" spans="9:20" x14ac:dyDescent="0.3">
      <c r="O108">
        <v>107</v>
      </c>
      <c r="P108" t="s">
        <v>108</v>
      </c>
      <c r="Q108" t="s">
        <v>37</v>
      </c>
      <c r="R108">
        <v>1584</v>
      </c>
      <c r="S108">
        <v>1888</v>
      </c>
      <c r="T108">
        <v>1551</v>
      </c>
    </row>
    <row r="109" spans="9:20" x14ac:dyDescent="0.3">
      <c r="O109">
        <v>108</v>
      </c>
      <c r="P109" t="s">
        <v>109</v>
      </c>
      <c r="Q109" t="s">
        <v>34</v>
      </c>
      <c r="R109">
        <v>1856</v>
      </c>
      <c r="S109">
        <v>1674</v>
      </c>
      <c r="T109">
        <v>1498</v>
      </c>
    </row>
    <row r="110" spans="9:20" x14ac:dyDescent="0.3">
      <c r="O110">
        <v>109</v>
      </c>
      <c r="P110" t="s">
        <v>109</v>
      </c>
      <c r="Q110" t="s">
        <v>37</v>
      </c>
      <c r="R110">
        <v>1553</v>
      </c>
      <c r="S110">
        <v>1837</v>
      </c>
      <c r="T110">
        <v>1636</v>
      </c>
    </row>
    <row r="111" spans="9:20" x14ac:dyDescent="0.3">
      <c r="O111">
        <v>110</v>
      </c>
      <c r="P111" t="s">
        <v>110</v>
      </c>
      <c r="Q111" t="s">
        <v>34</v>
      </c>
      <c r="R111">
        <v>1805</v>
      </c>
      <c r="S111">
        <v>1787</v>
      </c>
      <c r="T111">
        <v>1433</v>
      </c>
    </row>
    <row r="112" spans="9:20" x14ac:dyDescent="0.3">
      <c r="O112">
        <v>111</v>
      </c>
      <c r="P112" t="s">
        <v>110</v>
      </c>
      <c r="Q112" t="s">
        <v>37</v>
      </c>
      <c r="R112">
        <v>1884</v>
      </c>
      <c r="S112">
        <v>2039</v>
      </c>
      <c r="T112">
        <v>1100</v>
      </c>
    </row>
    <row r="113" spans="15:20" x14ac:dyDescent="0.3">
      <c r="O113">
        <v>112</v>
      </c>
      <c r="P113" t="s">
        <v>111</v>
      </c>
      <c r="Q113" t="s">
        <v>34</v>
      </c>
      <c r="R113">
        <v>1639</v>
      </c>
      <c r="S113">
        <v>1944</v>
      </c>
      <c r="T113">
        <v>1436</v>
      </c>
    </row>
    <row r="114" spans="15:20" x14ac:dyDescent="0.3">
      <c r="O114">
        <v>113</v>
      </c>
      <c r="P114" t="s">
        <v>111</v>
      </c>
      <c r="Q114" t="s">
        <v>37</v>
      </c>
      <c r="R114">
        <v>1674</v>
      </c>
      <c r="S114">
        <v>2258</v>
      </c>
      <c r="T114">
        <v>1095</v>
      </c>
    </row>
    <row r="115" spans="15:20" x14ac:dyDescent="0.3">
      <c r="O115">
        <v>114</v>
      </c>
      <c r="P115" t="s">
        <v>112</v>
      </c>
      <c r="Q115" t="s">
        <v>34</v>
      </c>
      <c r="R115">
        <v>1716</v>
      </c>
      <c r="S115">
        <v>1869</v>
      </c>
      <c r="T115">
        <v>1440</v>
      </c>
    </row>
    <row r="116" spans="15:20" x14ac:dyDescent="0.3">
      <c r="O116">
        <v>115</v>
      </c>
      <c r="P116" t="s">
        <v>112</v>
      </c>
      <c r="Q116" t="s">
        <v>37</v>
      </c>
      <c r="R116">
        <v>1753</v>
      </c>
      <c r="S116">
        <v>1967</v>
      </c>
      <c r="T116">
        <v>1304</v>
      </c>
    </row>
    <row r="117" spans="15:20" x14ac:dyDescent="0.3">
      <c r="O117">
        <v>116</v>
      </c>
      <c r="P117" t="s">
        <v>113</v>
      </c>
      <c r="Q117" t="s">
        <v>34</v>
      </c>
      <c r="R117">
        <v>1749</v>
      </c>
      <c r="S117">
        <v>1625</v>
      </c>
      <c r="T117">
        <v>1655</v>
      </c>
    </row>
    <row r="118" spans="15:20" x14ac:dyDescent="0.3">
      <c r="O118">
        <v>117</v>
      </c>
      <c r="P118" t="s">
        <v>113</v>
      </c>
      <c r="Q118" t="s">
        <v>37</v>
      </c>
      <c r="R118">
        <v>1541</v>
      </c>
      <c r="S118">
        <v>1771</v>
      </c>
      <c r="T118">
        <v>1712</v>
      </c>
    </row>
    <row r="119" spans="15:20" x14ac:dyDescent="0.3">
      <c r="O119">
        <v>118</v>
      </c>
      <c r="P119" t="s">
        <v>114</v>
      </c>
      <c r="Q119" t="s">
        <v>34</v>
      </c>
      <c r="R119">
        <v>0</v>
      </c>
      <c r="S119">
        <v>0</v>
      </c>
      <c r="T119">
        <v>4037</v>
      </c>
    </row>
    <row r="120" spans="15:20" x14ac:dyDescent="0.3">
      <c r="O120">
        <v>119</v>
      </c>
      <c r="P120" t="s">
        <v>114</v>
      </c>
      <c r="Q120" t="s">
        <v>37</v>
      </c>
      <c r="R120">
        <v>0</v>
      </c>
      <c r="S120">
        <v>0</v>
      </c>
      <c r="T120">
        <v>5040</v>
      </c>
    </row>
    <row r="121" spans="15:20" x14ac:dyDescent="0.3">
      <c r="O121">
        <v>120</v>
      </c>
      <c r="P121" t="s">
        <v>115</v>
      </c>
      <c r="Q121" t="s">
        <v>34</v>
      </c>
      <c r="R121">
        <v>1563</v>
      </c>
      <c r="S121">
        <v>2021</v>
      </c>
      <c r="T121">
        <v>1441</v>
      </c>
    </row>
    <row r="122" spans="15:20" x14ac:dyDescent="0.3">
      <c r="O122">
        <v>121</v>
      </c>
      <c r="P122" t="s">
        <v>115</v>
      </c>
      <c r="Q122" t="s">
        <v>37</v>
      </c>
      <c r="R122">
        <v>1989</v>
      </c>
      <c r="S122">
        <v>1824</v>
      </c>
      <c r="T122">
        <v>1209</v>
      </c>
    </row>
    <row r="123" spans="15:20" x14ac:dyDescent="0.3">
      <c r="O123">
        <v>122</v>
      </c>
      <c r="P123" t="s">
        <v>116</v>
      </c>
      <c r="Q123" t="s">
        <v>34</v>
      </c>
      <c r="R123">
        <v>1574</v>
      </c>
      <c r="S123">
        <v>2010</v>
      </c>
      <c r="T123">
        <v>1444</v>
      </c>
    </row>
    <row r="124" spans="15:20" x14ac:dyDescent="0.3">
      <c r="O124">
        <v>123</v>
      </c>
      <c r="P124" t="s">
        <v>116</v>
      </c>
      <c r="Q124" t="s">
        <v>37</v>
      </c>
      <c r="R124">
        <v>1946</v>
      </c>
      <c r="S124">
        <v>1902</v>
      </c>
      <c r="T124">
        <v>1178</v>
      </c>
    </row>
    <row r="125" spans="15:20" x14ac:dyDescent="0.3">
      <c r="O125">
        <v>124</v>
      </c>
      <c r="P125" t="s">
        <v>117</v>
      </c>
      <c r="Q125" t="s">
        <v>34</v>
      </c>
      <c r="R125">
        <v>1459</v>
      </c>
      <c r="S125">
        <v>2100</v>
      </c>
      <c r="T125">
        <v>1467</v>
      </c>
    </row>
    <row r="126" spans="15:20" x14ac:dyDescent="0.3">
      <c r="O126">
        <v>125</v>
      </c>
      <c r="P126" t="s">
        <v>117</v>
      </c>
      <c r="Q126" t="s">
        <v>37</v>
      </c>
      <c r="R126">
        <v>1726</v>
      </c>
      <c r="S126">
        <v>2115</v>
      </c>
      <c r="T126">
        <v>1185</v>
      </c>
    </row>
    <row r="127" spans="15:20" x14ac:dyDescent="0.3">
      <c r="O127">
        <v>126</v>
      </c>
      <c r="P127" t="s">
        <v>118</v>
      </c>
      <c r="Q127" t="s">
        <v>34</v>
      </c>
      <c r="R127">
        <v>1616</v>
      </c>
      <c r="S127">
        <v>1904</v>
      </c>
      <c r="T127">
        <v>1508</v>
      </c>
    </row>
    <row r="128" spans="15:20" x14ac:dyDescent="0.3">
      <c r="O128">
        <v>127</v>
      </c>
      <c r="P128" t="s">
        <v>118</v>
      </c>
      <c r="Q128" t="s">
        <v>37</v>
      </c>
      <c r="R128">
        <v>2059</v>
      </c>
      <c r="S128">
        <v>1816</v>
      </c>
      <c r="T128">
        <v>1149</v>
      </c>
    </row>
    <row r="129" spans="15:20" x14ac:dyDescent="0.3">
      <c r="O129">
        <v>128</v>
      </c>
      <c r="P129" t="s">
        <v>119</v>
      </c>
      <c r="Q129" t="s">
        <v>34</v>
      </c>
      <c r="R129">
        <v>1883</v>
      </c>
      <c r="S129">
        <v>1705</v>
      </c>
      <c r="T129">
        <v>1437</v>
      </c>
    </row>
    <row r="130" spans="15:20" x14ac:dyDescent="0.3">
      <c r="O130">
        <v>129</v>
      </c>
      <c r="P130" t="s">
        <v>119</v>
      </c>
      <c r="Q130" t="s">
        <v>37</v>
      </c>
      <c r="R130">
        <v>1979</v>
      </c>
      <c r="S130">
        <v>1871</v>
      </c>
      <c r="T130">
        <v>1174</v>
      </c>
    </row>
    <row r="131" spans="15:20" x14ac:dyDescent="0.3">
      <c r="O131">
        <v>130</v>
      </c>
      <c r="P131" t="s">
        <v>120</v>
      </c>
      <c r="Q131" t="s">
        <v>34</v>
      </c>
      <c r="R131">
        <v>1466</v>
      </c>
      <c r="S131">
        <v>1905</v>
      </c>
      <c r="T131">
        <v>1656</v>
      </c>
    </row>
    <row r="132" spans="15:20" x14ac:dyDescent="0.3">
      <c r="O132">
        <v>131</v>
      </c>
      <c r="P132" t="s">
        <v>120</v>
      </c>
      <c r="Q132" t="s">
        <v>37</v>
      </c>
      <c r="R132">
        <v>1708</v>
      </c>
      <c r="S132">
        <v>1546</v>
      </c>
      <c r="T132">
        <v>1770</v>
      </c>
    </row>
    <row r="133" spans="15:20" x14ac:dyDescent="0.3">
      <c r="O133">
        <v>132</v>
      </c>
      <c r="P133" t="s">
        <v>121</v>
      </c>
      <c r="Q133" t="s">
        <v>34</v>
      </c>
      <c r="R133">
        <v>329</v>
      </c>
      <c r="S133">
        <v>17</v>
      </c>
      <c r="T133">
        <v>4692</v>
      </c>
    </row>
    <row r="134" spans="15:20" x14ac:dyDescent="0.3">
      <c r="O134">
        <v>133</v>
      </c>
      <c r="P134" t="s">
        <v>121</v>
      </c>
      <c r="Q134" t="s">
        <v>37</v>
      </c>
      <c r="R134">
        <v>0</v>
      </c>
      <c r="S134">
        <v>0</v>
      </c>
      <c r="T134">
        <v>5041</v>
      </c>
    </row>
    <row r="135" spans="15:20" x14ac:dyDescent="0.3">
      <c r="O135">
        <v>134</v>
      </c>
      <c r="P135" t="s">
        <v>122</v>
      </c>
      <c r="Q135" t="s">
        <v>34</v>
      </c>
      <c r="R135">
        <v>1978</v>
      </c>
      <c r="S135">
        <v>1572</v>
      </c>
      <c r="T135">
        <v>1478</v>
      </c>
    </row>
    <row r="136" spans="15:20" x14ac:dyDescent="0.3">
      <c r="O136">
        <v>135</v>
      </c>
      <c r="P136" t="s">
        <v>122</v>
      </c>
      <c r="Q136" t="s">
        <v>37</v>
      </c>
      <c r="R136">
        <v>1796</v>
      </c>
      <c r="S136">
        <v>2136</v>
      </c>
      <c r="T136">
        <v>1094</v>
      </c>
    </row>
    <row r="137" spans="15:20" x14ac:dyDescent="0.3">
      <c r="O137">
        <v>136</v>
      </c>
      <c r="P137" t="s">
        <v>123</v>
      </c>
      <c r="Q137" t="s">
        <v>34</v>
      </c>
      <c r="R137">
        <v>1990</v>
      </c>
      <c r="S137">
        <v>1583</v>
      </c>
      <c r="T137">
        <v>1453</v>
      </c>
    </row>
    <row r="138" spans="15:20" x14ac:dyDescent="0.3">
      <c r="O138">
        <v>137</v>
      </c>
      <c r="P138" t="s">
        <v>123</v>
      </c>
      <c r="Q138" t="s">
        <v>37</v>
      </c>
      <c r="R138">
        <v>1820</v>
      </c>
      <c r="S138">
        <v>2121</v>
      </c>
      <c r="T138">
        <v>1083</v>
      </c>
    </row>
    <row r="139" spans="15:20" x14ac:dyDescent="0.3">
      <c r="O139">
        <v>138</v>
      </c>
      <c r="P139" t="s">
        <v>124</v>
      </c>
      <c r="Q139" t="s">
        <v>34</v>
      </c>
      <c r="R139">
        <v>1880</v>
      </c>
      <c r="S139">
        <v>1704</v>
      </c>
      <c r="T139">
        <v>1442</v>
      </c>
    </row>
    <row r="140" spans="15:20" x14ac:dyDescent="0.3">
      <c r="O140">
        <v>139</v>
      </c>
      <c r="P140" t="s">
        <v>124</v>
      </c>
      <c r="Q140" t="s">
        <v>37</v>
      </c>
      <c r="R140">
        <v>1777</v>
      </c>
      <c r="S140">
        <v>2162</v>
      </c>
      <c r="T140">
        <v>1084</v>
      </c>
    </row>
    <row r="141" spans="15:20" x14ac:dyDescent="0.3">
      <c r="O141">
        <v>140</v>
      </c>
      <c r="P141" t="s">
        <v>125</v>
      </c>
      <c r="Q141" t="s">
        <v>34</v>
      </c>
      <c r="R141">
        <v>1904</v>
      </c>
      <c r="S141">
        <v>1684</v>
      </c>
      <c r="T141">
        <v>1440</v>
      </c>
    </row>
    <row r="142" spans="15:20" x14ac:dyDescent="0.3">
      <c r="O142">
        <v>141</v>
      </c>
      <c r="P142" t="s">
        <v>125</v>
      </c>
      <c r="Q142" t="s">
        <v>37</v>
      </c>
      <c r="R142">
        <v>1780</v>
      </c>
      <c r="S142">
        <v>2046</v>
      </c>
      <c r="T142">
        <v>1199</v>
      </c>
    </row>
    <row r="143" spans="15:20" x14ac:dyDescent="0.3">
      <c r="O143">
        <v>142</v>
      </c>
      <c r="P143" t="s">
        <v>126</v>
      </c>
      <c r="Q143" t="s">
        <v>34</v>
      </c>
      <c r="R143">
        <v>1851</v>
      </c>
      <c r="S143">
        <v>1739</v>
      </c>
      <c r="T143">
        <v>1437</v>
      </c>
    </row>
    <row r="144" spans="15:20" x14ac:dyDescent="0.3">
      <c r="O144">
        <v>143</v>
      </c>
      <c r="P144" t="s">
        <v>126</v>
      </c>
      <c r="Q144" t="s">
        <v>37</v>
      </c>
      <c r="R144">
        <v>1709</v>
      </c>
      <c r="S144">
        <v>2116</v>
      </c>
      <c r="T144">
        <v>1198</v>
      </c>
    </row>
    <row r="145" spans="15:20" x14ac:dyDescent="0.3">
      <c r="O145">
        <v>144</v>
      </c>
      <c r="P145" t="s">
        <v>127</v>
      </c>
      <c r="Q145" t="s">
        <v>34</v>
      </c>
      <c r="R145">
        <v>1712</v>
      </c>
      <c r="S145">
        <v>1667</v>
      </c>
      <c r="T145">
        <v>1645</v>
      </c>
    </row>
    <row r="146" spans="15:20" x14ac:dyDescent="0.3">
      <c r="O146">
        <v>145</v>
      </c>
      <c r="P146" t="s">
        <v>127</v>
      </c>
      <c r="Q146" t="s">
        <v>37</v>
      </c>
      <c r="R146">
        <v>1262</v>
      </c>
      <c r="S146">
        <v>1480</v>
      </c>
      <c r="T146">
        <v>2283</v>
      </c>
    </row>
    <row r="147" spans="15:20" x14ac:dyDescent="0.3">
      <c r="O147">
        <v>146</v>
      </c>
      <c r="P147" t="s">
        <v>128</v>
      </c>
      <c r="Q147" t="s">
        <v>34</v>
      </c>
      <c r="R147">
        <v>0</v>
      </c>
      <c r="S147">
        <v>0</v>
      </c>
      <c r="T147">
        <v>5040</v>
      </c>
    </row>
    <row r="148" spans="15:20" x14ac:dyDescent="0.3">
      <c r="O148">
        <v>147</v>
      </c>
      <c r="P148" t="s">
        <v>128</v>
      </c>
      <c r="Q148" t="s">
        <v>37</v>
      </c>
      <c r="R148">
        <v>0</v>
      </c>
      <c r="S148">
        <v>0</v>
      </c>
      <c r="T148">
        <v>5040</v>
      </c>
    </row>
    <row r="149" spans="15:20" x14ac:dyDescent="0.3">
      <c r="O149">
        <v>148</v>
      </c>
      <c r="P149" t="s">
        <v>129</v>
      </c>
      <c r="Q149" t="s">
        <v>34</v>
      </c>
      <c r="R149">
        <v>1787</v>
      </c>
      <c r="S149">
        <v>1799</v>
      </c>
      <c r="T149">
        <v>1438</v>
      </c>
    </row>
    <row r="150" spans="15:20" x14ac:dyDescent="0.3">
      <c r="O150">
        <v>149</v>
      </c>
      <c r="P150" t="s">
        <v>129</v>
      </c>
      <c r="Q150" t="s">
        <v>37</v>
      </c>
      <c r="R150">
        <v>2511</v>
      </c>
      <c r="S150">
        <v>1556</v>
      </c>
      <c r="T150">
        <v>958</v>
      </c>
    </row>
    <row r="151" spans="15:20" x14ac:dyDescent="0.3">
      <c r="O151">
        <v>150</v>
      </c>
      <c r="P151" t="s">
        <v>130</v>
      </c>
      <c r="Q151" t="s">
        <v>34</v>
      </c>
      <c r="R151">
        <v>1842</v>
      </c>
      <c r="S151">
        <v>1938</v>
      </c>
      <c r="T151">
        <v>1242</v>
      </c>
    </row>
    <row r="152" spans="15:20" x14ac:dyDescent="0.3">
      <c r="O152">
        <v>151</v>
      </c>
      <c r="P152" t="s">
        <v>130</v>
      </c>
      <c r="Q152" t="s">
        <v>37</v>
      </c>
      <c r="R152">
        <v>2103</v>
      </c>
      <c r="S152">
        <v>1747</v>
      </c>
      <c r="T152">
        <v>1177</v>
      </c>
    </row>
    <row r="153" spans="15:20" x14ac:dyDescent="0.3">
      <c r="O153">
        <v>152</v>
      </c>
      <c r="P153" t="s">
        <v>131</v>
      </c>
      <c r="Q153" t="s">
        <v>34</v>
      </c>
      <c r="R153">
        <v>1613</v>
      </c>
      <c r="S153">
        <v>1976</v>
      </c>
      <c r="T153">
        <v>1438</v>
      </c>
    </row>
    <row r="154" spans="15:20" x14ac:dyDescent="0.3">
      <c r="O154">
        <v>153</v>
      </c>
      <c r="P154" t="s">
        <v>131</v>
      </c>
      <c r="Q154" t="s">
        <v>37</v>
      </c>
      <c r="R154">
        <v>2297</v>
      </c>
      <c r="S154">
        <v>1623</v>
      </c>
      <c r="T154">
        <v>1107</v>
      </c>
    </row>
    <row r="155" spans="15:20" x14ac:dyDescent="0.3">
      <c r="O155">
        <v>154</v>
      </c>
      <c r="P155" t="s">
        <v>132</v>
      </c>
      <c r="Q155" t="s">
        <v>34</v>
      </c>
      <c r="R155">
        <v>1387</v>
      </c>
      <c r="S155">
        <v>1182</v>
      </c>
      <c r="T155">
        <v>2456</v>
      </c>
    </row>
    <row r="156" spans="15:20" x14ac:dyDescent="0.3">
      <c r="O156">
        <v>155</v>
      </c>
      <c r="P156" t="s">
        <v>132</v>
      </c>
      <c r="Q156" t="s">
        <v>37</v>
      </c>
      <c r="R156">
        <v>2513</v>
      </c>
      <c r="S156">
        <v>1315</v>
      </c>
      <c r="T156">
        <v>1199</v>
      </c>
    </row>
    <row r="157" spans="15:20" x14ac:dyDescent="0.3">
      <c r="O157">
        <v>156</v>
      </c>
      <c r="P157" t="s">
        <v>133</v>
      </c>
      <c r="Q157" t="s">
        <v>34</v>
      </c>
      <c r="R157">
        <v>1369</v>
      </c>
      <c r="S157">
        <v>1203</v>
      </c>
      <c r="T157">
        <v>2456</v>
      </c>
    </row>
    <row r="158" spans="15:20" x14ac:dyDescent="0.3">
      <c r="O158">
        <v>157</v>
      </c>
      <c r="P158" t="s">
        <v>133</v>
      </c>
      <c r="Q158" t="s">
        <v>37</v>
      </c>
      <c r="R158">
        <v>2192</v>
      </c>
      <c r="S158">
        <v>1593</v>
      </c>
      <c r="T158">
        <v>1242</v>
      </c>
    </row>
    <row r="159" spans="15:20" x14ac:dyDescent="0.3">
      <c r="O159">
        <v>158</v>
      </c>
      <c r="P159" t="s">
        <v>134</v>
      </c>
      <c r="Q159" t="s">
        <v>34</v>
      </c>
      <c r="R159">
        <v>1326</v>
      </c>
      <c r="S159">
        <v>1131</v>
      </c>
      <c r="T159">
        <v>2570</v>
      </c>
    </row>
    <row r="160" spans="15:20" x14ac:dyDescent="0.3">
      <c r="O160">
        <v>159</v>
      </c>
      <c r="P160" t="s">
        <v>134</v>
      </c>
      <c r="Q160" t="s">
        <v>37</v>
      </c>
      <c r="R160">
        <v>1808</v>
      </c>
      <c r="S160">
        <v>1441</v>
      </c>
      <c r="T160">
        <v>1779</v>
      </c>
    </row>
    <row r="161" spans="15:20" x14ac:dyDescent="0.3">
      <c r="O161">
        <v>160</v>
      </c>
      <c r="P161" t="s">
        <v>135</v>
      </c>
      <c r="Q161" t="s">
        <v>37</v>
      </c>
      <c r="R161">
        <v>0</v>
      </c>
      <c r="S161">
        <v>0</v>
      </c>
      <c r="T161">
        <v>6403</v>
      </c>
    </row>
    <row r="162" spans="15:20" x14ac:dyDescent="0.3">
      <c r="O162">
        <v>161</v>
      </c>
      <c r="P162" t="s">
        <v>136</v>
      </c>
      <c r="Q162" t="s">
        <v>34</v>
      </c>
      <c r="R162">
        <v>1703</v>
      </c>
      <c r="S162">
        <v>1549</v>
      </c>
      <c r="T162">
        <v>1771</v>
      </c>
    </row>
    <row r="163" spans="15:20" x14ac:dyDescent="0.3">
      <c r="O163">
        <v>162</v>
      </c>
      <c r="P163" t="s">
        <v>136</v>
      </c>
      <c r="Q163" t="s">
        <v>37</v>
      </c>
      <c r="R163">
        <v>1478</v>
      </c>
      <c r="S163">
        <v>1390</v>
      </c>
      <c r="T163">
        <v>2157</v>
      </c>
    </row>
    <row r="164" spans="15:20" x14ac:dyDescent="0.3">
      <c r="O164">
        <v>163</v>
      </c>
      <c r="P164" t="s">
        <v>137</v>
      </c>
      <c r="Q164" t="s">
        <v>34</v>
      </c>
      <c r="R164">
        <v>2145</v>
      </c>
      <c r="S164">
        <v>1450</v>
      </c>
      <c r="T164">
        <v>1430</v>
      </c>
    </row>
    <row r="165" spans="15:20" x14ac:dyDescent="0.3">
      <c r="O165">
        <v>164</v>
      </c>
      <c r="P165" t="s">
        <v>137</v>
      </c>
      <c r="Q165" t="s">
        <v>37</v>
      </c>
      <c r="R165">
        <v>1478</v>
      </c>
      <c r="S165">
        <v>1499</v>
      </c>
      <c r="T165">
        <v>2049</v>
      </c>
    </row>
    <row r="166" spans="15:20" x14ac:dyDescent="0.3">
      <c r="O166">
        <v>165</v>
      </c>
      <c r="P166" t="s">
        <v>138</v>
      </c>
      <c r="Q166" t="s">
        <v>34</v>
      </c>
      <c r="R166">
        <v>1962</v>
      </c>
      <c r="S166">
        <v>1620</v>
      </c>
      <c r="T166">
        <v>1444</v>
      </c>
    </row>
    <row r="167" spans="15:20" x14ac:dyDescent="0.3">
      <c r="O167">
        <v>166</v>
      </c>
      <c r="P167" t="s">
        <v>138</v>
      </c>
      <c r="Q167" t="s">
        <v>37</v>
      </c>
      <c r="R167">
        <v>1987</v>
      </c>
      <c r="S167">
        <v>1692</v>
      </c>
      <c r="T167">
        <v>1345</v>
      </c>
    </row>
    <row r="168" spans="15:20" x14ac:dyDescent="0.3">
      <c r="O168">
        <v>167</v>
      </c>
      <c r="P168" t="s">
        <v>139</v>
      </c>
      <c r="Q168" t="s">
        <v>34</v>
      </c>
      <c r="R168">
        <v>2072</v>
      </c>
      <c r="S168">
        <v>1510</v>
      </c>
      <c r="T168">
        <v>1445</v>
      </c>
    </row>
    <row r="169" spans="15:20" x14ac:dyDescent="0.3">
      <c r="O169">
        <v>168</v>
      </c>
      <c r="P169" t="s">
        <v>139</v>
      </c>
      <c r="Q169" t="s">
        <v>37</v>
      </c>
      <c r="R169">
        <v>1408</v>
      </c>
      <c r="S169">
        <v>1975</v>
      </c>
      <c r="T169">
        <v>1643</v>
      </c>
    </row>
    <row r="170" spans="15:20" x14ac:dyDescent="0.3">
      <c r="O170">
        <v>169</v>
      </c>
      <c r="P170" t="s">
        <v>140</v>
      </c>
      <c r="Q170" t="s">
        <v>34</v>
      </c>
      <c r="R170">
        <v>1853</v>
      </c>
      <c r="S170">
        <v>1732</v>
      </c>
      <c r="T170">
        <v>1441</v>
      </c>
    </row>
    <row r="171" spans="15:20" x14ac:dyDescent="0.3">
      <c r="O171">
        <v>170</v>
      </c>
      <c r="P171" t="s">
        <v>140</v>
      </c>
      <c r="Q171" t="s">
        <v>37</v>
      </c>
      <c r="R171">
        <v>1594</v>
      </c>
      <c r="S171">
        <v>1691</v>
      </c>
      <c r="T171">
        <v>1740</v>
      </c>
    </row>
    <row r="172" spans="15:20" x14ac:dyDescent="0.3">
      <c r="O172">
        <v>171</v>
      </c>
      <c r="P172" t="s">
        <v>141</v>
      </c>
      <c r="Q172" t="s">
        <v>34</v>
      </c>
      <c r="R172">
        <v>1413</v>
      </c>
      <c r="S172">
        <v>887</v>
      </c>
      <c r="T172">
        <v>2732</v>
      </c>
    </row>
    <row r="173" spans="15:20" x14ac:dyDescent="0.3">
      <c r="O173">
        <v>172</v>
      </c>
      <c r="P173" t="s">
        <v>141</v>
      </c>
      <c r="Q173" t="s">
        <v>37</v>
      </c>
      <c r="R173">
        <v>424</v>
      </c>
      <c r="S173">
        <v>300</v>
      </c>
      <c r="T173">
        <v>4313</v>
      </c>
    </row>
    <row r="174" spans="15:20" x14ac:dyDescent="0.3">
      <c r="O174">
        <v>173</v>
      </c>
      <c r="P174" t="s">
        <v>142</v>
      </c>
      <c r="Q174" t="s">
        <v>34</v>
      </c>
      <c r="R174">
        <v>0</v>
      </c>
      <c r="S174">
        <v>0</v>
      </c>
      <c r="T174">
        <v>5041</v>
      </c>
    </row>
    <row r="175" spans="15:20" x14ac:dyDescent="0.3">
      <c r="O175">
        <v>174</v>
      </c>
      <c r="P175" t="s">
        <v>142</v>
      </c>
      <c r="Q175" t="s">
        <v>37</v>
      </c>
      <c r="R175">
        <v>0</v>
      </c>
      <c r="S175">
        <v>0</v>
      </c>
      <c r="T175">
        <v>5040</v>
      </c>
    </row>
    <row r="176" spans="15:20" x14ac:dyDescent="0.3">
      <c r="O176">
        <v>175</v>
      </c>
      <c r="P176" t="s">
        <v>143</v>
      </c>
      <c r="Q176" t="s">
        <v>34</v>
      </c>
      <c r="R176">
        <v>1791</v>
      </c>
      <c r="S176">
        <v>1748</v>
      </c>
      <c r="T176">
        <v>1487</v>
      </c>
    </row>
    <row r="177" spans="15:20" x14ac:dyDescent="0.3">
      <c r="O177">
        <v>176</v>
      </c>
      <c r="P177" t="s">
        <v>143</v>
      </c>
      <c r="Q177" t="s">
        <v>37</v>
      </c>
      <c r="R177">
        <v>1723</v>
      </c>
      <c r="S177">
        <v>2066</v>
      </c>
      <c r="T177">
        <v>1235</v>
      </c>
    </row>
    <row r="178" spans="15:20" x14ac:dyDescent="0.3">
      <c r="O178">
        <v>177</v>
      </c>
      <c r="P178" t="s">
        <v>144</v>
      </c>
      <c r="Q178" t="s">
        <v>34</v>
      </c>
      <c r="R178">
        <v>1807</v>
      </c>
      <c r="S178">
        <v>1741</v>
      </c>
      <c r="T178">
        <v>1476</v>
      </c>
    </row>
    <row r="179" spans="15:20" x14ac:dyDescent="0.3">
      <c r="O179">
        <v>178</v>
      </c>
      <c r="P179" t="s">
        <v>144</v>
      </c>
      <c r="Q179" t="s">
        <v>37</v>
      </c>
      <c r="R179">
        <v>2084</v>
      </c>
      <c r="S179">
        <v>1822</v>
      </c>
      <c r="T179">
        <v>1119</v>
      </c>
    </row>
    <row r="180" spans="15:20" x14ac:dyDescent="0.3">
      <c r="O180">
        <v>179</v>
      </c>
      <c r="P180" t="s">
        <v>33</v>
      </c>
      <c r="Q180" t="s">
        <v>34</v>
      </c>
      <c r="R180">
        <v>1877</v>
      </c>
      <c r="S180">
        <v>1700</v>
      </c>
      <c r="T180">
        <v>1450</v>
      </c>
    </row>
    <row r="181" spans="15:20" x14ac:dyDescent="0.3">
      <c r="O181">
        <v>180</v>
      </c>
      <c r="P181" t="s">
        <v>33</v>
      </c>
      <c r="Q181" t="s">
        <v>37</v>
      </c>
      <c r="R181">
        <v>2012</v>
      </c>
      <c r="S181">
        <v>1900</v>
      </c>
      <c r="T181">
        <v>1114</v>
      </c>
    </row>
    <row r="182" spans="15:20" x14ac:dyDescent="0.3">
      <c r="O182">
        <v>181</v>
      </c>
      <c r="P182" t="s">
        <v>39</v>
      </c>
      <c r="Q182" t="s">
        <v>34</v>
      </c>
      <c r="R182">
        <v>1754</v>
      </c>
      <c r="S182">
        <v>1782</v>
      </c>
      <c r="T182">
        <v>1489</v>
      </c>
    </row>
    <row r="183" spans="15:20" x14ac:dyDescent="0.3">
      <c r="O183">
        <v>182</v>
      </c>
      <c r="P183" t="s">
        <v>39</v>
      </c>
      <c r="Q183" t="s">
        <v>37</v>
      </c>
      <c r="R183">
        <v>1966</v>
      </c>
      <c r="S183">
        <v>1941</v>
      </c>
      <c r="T183">
        <v>1119</v>
      </c>
    </row>
    <row r="184" spans="15:20" x14ac:dyDescent="0.3">
      <c r="O184">
        <v>183</v>
      </c>
      <c r="P184" t="s">
        <v>43</v>
      </c>
      <c r="Q184" t="s">
        <v>34</v>
      </c>
      <c r="R184">
        <v>1587</v>
      </c>
      <c r="S184">
        <v>1503</v>
      </c>
      <c r="T184">
        <v>1936</v>
      </c>
    </row>
    <row r="185" spans="15:20" x14ac:dyDescent="0.3">
      <c r="O185">
        <v>184</v>
      </c>
      <c r="P185" t="s">
        <v>43</v>
      </c>
      <c r="Q185" t="s">
        <v>37</v>
      </c>
      <c r="R185">
        <v>1700</v>
      </c>
      <c r="S185">
        <v>1804</v>
      </c>
      <c r="T185">
        <v>1519</v>
      </c>
    </row>
    <row r="186" spans="15:20" x14ac:dyDescent="0.3">
      <c r="O186">
        <v>185</v>
      </c>
      <c r="P186" t="s">
        <v>48</v>
      </c>
      <c r="Q186" t="s">
        <v>34</v>
      </c>
      <c r="R186">
        <v>1443</v>
      </c>
      <c r="S186">
        <v>1343</v>
      </c>
      <c r="T186">
        <v>2240</v>
      </c>
    </row>
    <row r="187" spans="15:20" x14ac:dyDescent="0.3">
      <c r="O187">
        <v>186</v>
      </c>
      <c r="P187" t="s">
        <v>48</v>
      </c>
      <c r="Q187" t="s">
        <v>37</v>
      </c>
      <c r="R187">
        <v>1815</v>
      </c>
      <c r="S187">
        <v>1386</v>
      </c>
      <c r="T187">
        <v>1828</v>
      </c>
    </row>
    <row r="188" spans="15:20" x14ac:dyDescent="0.3">
      <c r="O188">
        <v>187</v>
      </c>
      <c r="P188" t="s">
        <v>52</v>
      </c>
      <c r="Q188" t="s">
        <v>34</v>
      </c>
      <c r="R188">
        <v>20</v>
      </c>
      <c r="S188">
        <v>27</v>
      </c>
      <c r="T188">
        <v>4991</v>
      </c>
    </row>
    <row r="189" spans="15:20" x14ac:dyDescent="0.3">
      <c r="O189">
        <v>188</v>
      </c>
      <c r="P189" t="s">
        <v>52</v>
      </c>
      <c r="Q189" t="s">
        <v>37</v>
      </c>
      <c r="R189">
        <v>0</v>
      </c>
      <c r="S189">
        <v>0</v>
      </c>
      <c r="T189">
        <v>5040</v>
      </c>
    </row>
    <row r="190" spans="15:20" x14ac:dyDescent="0.3">
      <c r="O190">
        <v>189</v>
      </c>
      <c r="P190" t="s">
        <v>56</v>
      </c>
      <c r="Q190" t="s">
        <v>34</v>
      </c>
      <c r="R190">
        <v>1997</v>
      </c>
      <c r="S190">
        <v>1596</v>
      </c>
      <c r="T190">
        <v>1433</v>
      </c>
    </row>
    <row r="191" spans="15:20" x14ac:dyDescent="0.3">
      <c r="O191">
        <v>190</v>
      </c>
      <c r="P191" t="s">
        <v>56</v>
      </c>
      <c r="Q191" t="s">
        <v>37</v>
      </c>
      <c r="R191">
        <v>1903</v>
      </c>
      <c r="S191">
        <v>1442</v>
      </c>
      <c r="T191">
        <v>1680</v>
      </c>
    </row>
    <row r="192" spans="15:20" x14ac:dyDescent="0.3">
      <c r="O192">
        <v>191</v>
      </c>
      <c r="P192" t="s">
        <v>60</v>
      </c>
      <c r="Q192" t="s">
        <v>34</v>
      </c>
      <c r="R192">
        <v>1943</v>
      </c>
      <c r="S192">
        <v>1651</v>
      </c>
      <c r="T192">
        <v>1430</v>
      </c>
    </row>
    <row r="193" spans="15:20" x14ac:dyDescent="0.3">
      <c r="O193">
        <v>192</v>
      </c>
      <c r="P193" t="s">
        <v>60</v>
      </c>
      <c r="Q193" t="s">
        <v>37</v>
      </c>
      <c r="R193">
        <v>2005</v>
      </c>
      <c r="S193">
        <v>1398</v>
      </c>
      <c r="T193">
        <v>1621</v>
      </c>
    </row>
    <row r="194" spans="15:20" x14ac:dyDescent="0.3">
      <c r="O194">
        <v>193</v>
      </c>
      <c r="P194" t="s">
        <v>62</v>
      </c>
      <c r="Q194" t="s">
        <v>34</v>
      </c>
      <c r="R194">
        <v>1841</v>
      </c>
      <c r="S194">
        <v>1759</v>
      </c>
      <c r="T194">
        <v>1422</v>
      </c>
    </row>
    <row r="195" spans="15:20" x14ac:dyDescent="0.3">
      <c r="O195">
        <v>194</v>
      </c>
      <c r="P195" t="s">
        <v>62</v>
      </c>
      <c r="Q195" t="s">
        <v>37</v>
      </c>
      <c r="R195">
        <v>1599</v>
      </c>
      <c r="S195">
        <v>1591</v>
      </c>
      <c r="T195">
        <v>1836</v>
      </c>
    </row>
  </sheetData>
  <pageMargins left="0.7" right="0.7" top="0.75" bottom="0.75" header="0.3" footer="0.3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T196"/>
  <sheetViews>
    <sheetView topLeftCell="E1" workbookViewId="0">
      <selection activeCell="I2" sqref="I2:J75"/>
    </sheetView>
  </sheetViews>
  <sheetFormatPr defaultRowHeight="14.4" x14ac:dyDescent="0.3"/>
  <cols>
    <col min="1" max="1" width="3" bestFit="1" customWidth="1"/>
    <col min="2" max="3" width="10.88671875" bestFit="1" customWidth="1"/>
    <col min="4" max="4" width="34.109375" bestFit="1" customWidth="1"/>
    <col min="5" max="5" width="30.5546875" bestFit="1" customWidth="1"/>
    <col min="6" max="6" width="22.6640625" bestFit="1" customWidth="1"/>
    <col min="9" max="9" width="11.6640625" bestFit="1" customWidth="1"/>
    <col min="10" max="10" width="9.5546875" customWidth="1"/>
    <col min="11" max="11" width="8.33203125" bestFit="1" customWidth="1"/>
    <col min="12" max="12" width="11.5546875" bestFit="1" customWidth="1"/>
    <col min="13" max="13" width="10" bestFit="1" customWidth="1"/>
  </cols>
  <sheetData>
    <row r="1" spans="1:20" s="2" customFormat="1" x14ac:dyDescent="0.3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  <c r="L1" s="3" t="s">
        <v>31</v>
      </c>
      <c r="M1" s="3" t="s">
        <v>32</v>
      </c>
    </row>
    <row r="2" spans="1:20" x14ac:dyDescent="0.3">
      <c r="A2">
        <v>1</v>
      </c>
      <c r="B2" t="s">
        <v>33</v>
      </c>
      <c r="C2" t="s">
        <v>34</v>
      </c>
      <c r="D2">
        <v>71</v>
      </c>
      <c r="E2">
        <v>963</v>
      </c>
      <c r="F2">
        <v>404</v>
      </c>
      <c r="H2" t="s">
        <v>35</v>
      </c>
      <c r="I2" s="1">
        <v>0.7</v>
      </c>
      <c r="J2" s="1">
        <v>0.87058823529411766</v>
      </c>
      <c r="K2" s="1">
        <f>IFERROR(SUMIFS(S:S,P:P,"*/01/2026")/(SUMIFS(R:R,P:P,"*/01/2026")+SUMIFS(S:S,P:P,"*/01/2026")+SUMIFS(T:T,P:P,"*/01/2026")),"")</f>
        <v>0.53139633286318755</v>
      </c>
      <c r="L2" s="1">
        <f>IFERROR(SUMIFS(R:R,P:P,"*/01/2026")/(SUMIFS(R:R,P:P,"*/01/2026")+SUMIFS(S:S,P:P,"*/01/2026")+SUMIFS(T:T,P:P,"*/01/2026")),"")</f>
        <v>0.15110860366713683</v>
      </c>
      <c r="M2" s="1">
        <f>IFERROR(SUMIFS(T:T,P:P,"*/01/2026")/(SUMIFS(R:R,P:P,"*/01/2026")+SUMIFS(S:S,P:P,"*/01/2026")+SUMIFS(T:T,P:P,"*/01/2026")),"")</f>
        <v>0.3174950634696756</v>
      </c>
      <c r="O2">
        <v>1</v>
      </c>
      <c r="P2" t="s">
        <v>36</v>
      </c>
      <c r="Q2" t="s">
        <v>34</v>
      </c>
      <c r="R2">
        <v>0</v>
      </c>
      <c r="S2">
        <v>0</v>
      </c>
      <c r="T2">
        <v>1440</v>
      </c>
    </row>
    <row r="3" spans="1:20" x14ac:dyDescent="0.3">
      <c r="A3">
        <v>2</v>
      </c>
      <c r="B3" t="s">
        <v>33</v>
      </c>
      <c r="C3" t="s">
        <v>37</v>
      </c>
      <c r="D3">
        <v>58</v>
      </c>
      <c r="E3">
        <v>1092</v>
      </c>
      <c r="F3">
        <v>287</v>
      </c>
      <c r="H3" t="s">
        <v>38</v>
      </c>
      <c r="I3" s="1">
        <v>0.7</v>
      </c>
      <c r="J3" s="1">
        <v>0.87058823529411766</v>
      </c>
      <c r="K3" s="1">
        <f>IFERROR(SUMIFS(S:S,P:P,"*/02/2026")/(SUMIFS(R:R,P:P,"*/02/2026")+SUMIFS(S:S,P:P,"*/02/2026")+SUMIFS(T:T,P:P,"*/02/2026")),"")</f>
        <v>0.43318395670146603</v>
      </c>
      <c r="L3" s="1">
        <f>IFERROR(SUMIFS(R:R,P:P,"*/02/2026")/(SUMIFS(R:R,P:P,"*/02/2026")+SUMIFS(S:S,P:P,"*/02/2026")+SUMIFS(T:T,P:P,"*/02/2026")),"")</f>
        <v>7.8217907816825347E-2</v>
      </c>
      <c r="M3" s="1">
        <f>IFERROR(SUMIFS(T:T,P:P,"*/02/2026")/(SUMIFS(R:R,P:P,"*/02/2026")+SUMIFS(S:S,P:P,"*/02/2026")+SUMIFS(T:T,P:P,"*/02/2026")),"")</f>
        <v>0.48859813548170861</v>
      </c>
      <c r="O3">
        <v>2</v>
      </c>
      <c r="P3" t="s">
        <v>36</v>
      </c>
      <c r="Q3" t="s">
        <v>37</v>
      </c>
      <c r="R3">
        <v>38</v>
      </c>
      <c r="S3">
        <v>99</v>
      </c>
      <c r="T3">
        <v>1301</v>
      </c>
    </row>
    <row r="4" spans="1:20" x14ac:dyDescent="0.3">
      <c r="A4">
        <v>3</v>
      </c>
      <c r="B4" t="s">
        <v>39</v>
      </c>
      <c r="C4" t="s">
        <v>34</v>
      </c>
      <c r="D4">
        <v>171</v>
      </c>
      <c r="E4">
        <v>871</v>
      </c>
      <c r="F4">
        <v>396</v>
      </c>
      <c r="H4" t="s">
        <v>40</v>
      </c>
      <c r="I4" s="1">
        <v>0.7</v>
      </c>
      <c r="J4" s="1">
        <v>0.87058823529411766</v>
      </c>
      <c r="K4" s="1">
        <f>IFERROR(SUMIFS(S:S,P:P,"*/03/2026")/(SUMIFS(R:R,P:P,"*/03/2026")+SUMIFS(S:S,P:P,"*/03/2026")+SUMIFS(T:T,P:P,"*/03/2026")),"")</f>
        <v>0.60950188128264171</v>
      </c>
      <c r="L4" s="1">
        <f>IFERROR(SUMIFS(R:R,P:P,"*/03/2026")/(SUMIFS(R:R,P:P,"*/03/2026")+SUMIFS(S:S,P:P,"*/03/2026")+SUMIFS(T:T,P:P,"*/03/2026")),"")</f>
        <v>7.4453866457011283E-2</v>
      </c>
      <c r="M4" s="1">
        <f>IFERROR(SUMIFS(T:T,P:P,"*/03/2026")/(SUMIFS(R:R,P:P,"*/03/2026")+SUMIFS(S:S,P:P,"*/03/2026")+SUMIFS(T:T,P:P,"*/03/2026")),"")</f>
        <v>0.31604425226034705</v>
      </c>
      <c r="O4">
        <v>3</v>
      </c>
      <c r="P4" t="s">
        <v>41</v>
      </c>
      <c r="Q4" t="s">
        <v>34</v>
      </c>
      <c r="R4">
        <v>314</v>
      </c>
      <c r="S4">
        <v>1125</v>
      </c>
      <c r="T4">
        <v>0</v>
      </c>
    </row>
    <row r="5" spans="1:20" x14ac:dyDescent="0.3">
      <c r="A5">
        <v>4</v>
      </c>
      <c r="B5" t="s">
        <v>39</v>
      </c>
      <c r="C5" t="s">
        <v>37</v>
      </c>
      <c r="D5">
        <v>173</v>
      </c>
      <c r="E5">
        <v>958</v>
      </c>
      <c r="F5">
        <v>307</v>
      </c>
      <c r="H5" t="s">
        <v>42</v>
      </c>
      <c r="I5" s="1">
        <v>0.7</v>
      </c>
      <c r="J5" s="1">
        <v>0.87058823529411766</v>
      </c>
      <c r="K5" s="1">
        <f>IFERROR(SUMIFS(S:S,P:P,"*/04/2026")/(SUMIFS(R:R,P:P,"*/04/2026")+SUMIFS(S:S,P:P,"*/04/2026")+SUMIFS(T:T,P:P,"*/04/2026")),"")</f>
        <v>0.60891110628124323</v>
      </c>
      <c r="L5" s="1">
        <f>IFERROR(SUMIFS(R:R,P:P,"*/04/2026")/(SUMIFS(R:R,P:P,"*/04/2026")+SUMIFS(S:S,P:P,"*/04/2026")+SUMIFS(T:T,P:P,"*/04/2026")),"")</f>
        <v>6.7420126059552277E-2</v>
      </c>
      <c r="M5" s="1">
        <f>IFERROR(SUMIFS(T:T,P:P,"*/04/2026")/(SUMIFS(R:R,P:P,"*/04/2026")+SUMIFS(S:S,P:P,"*/04/2026")+SUMIFS(T:T,P:P,"*/04/2026")),"")</f>
        <v>0.32366876765920455</v>
      </c>
      <c r="O5">
        <v>4</v>
      </c>
      <c r="P5" t="s">
        <v>41</v>
      </c>
      <c r="Q5" t="s">
        <v>37</v>
      </c>
      <c r="R5">
        <v>146</v>
      </c>
      <c r="S5">
        <v>713</v>
      </c>
      <c r="T5">
        <v>580</v>
      </c>
    </row>
    <row r="6" spans="1:20" x14ac:dyDescent="0.3">
      <c r="A6">
        <v>5</v>
      </c>
      <c r="B6" t="s">
        <v>43</v>
      </c>
      <c r="C6" t="s">
        <v>34</v>
      </c>
      <c r="D6">
        <v>48</v>
      </c>
      <c r="E6">
        <v>987</v>
      </c>
      <c r="F6">
        <v>403</v>
      </c>
      <c r="H6" t="s">
        <v>44</v>
      </c>
      <c r="I6" s="1">
        <v>0.7</v>
      </c>
      <c r="J6" s="1">
        <v>0.87058823529411766</v>
      </c>
      <c r="K6" s="1" t="str">
        <f>IFERROR(SUMIFS(S:S,P:P,"*/05/2026")/(SUMIFS(R:R,P:P,"*/05/2026")+SUMIFS(S:S,P:P,"*/05/2026")+SUMIFS(T:T,P:P,"*/05/2026")),"")</f>
        <v/>
      </c>
      <c r="L6" s="1" t="str">
        <f>IFERROR(SUMIFS(R:R,P:P,"*/05/2026")/(SUMIFS(R:R,P:P,"*/05/2026")+SUMIFS(S:S,P:P,"*/05/2026")+SUMIFS(T:T,P:P,"*/05/2026")),"")</f>
        <v/>
      </c>
      <c r="M6" s="1" t="str">
        <f>IFERROR(SUMIFS(T:T,P:P,"*/05/2026")/(SUMIFS(R:R,P:P,"*/05/2026")+SUMIFS(S:S,P:P,"*/05/2026")+SUMIFS(T:T,P:P,"*/05/2026")),"")</f>
        <v/>
      </c>
      <c r="O6">
        <v>5</v>
      </c>
      <c r="P6" t="s">
        <v>45</v>
      </c>
      <c r="Q6" t="s">
        <v>37</v>
      </c>
      <c r="R6">
        <v>365</v>
      </c>
      <c r="S6">
        <v>1655</v>
      </c>
      <c r="T6">
        <v>319</v>
      </c>
    </row>
    <row r="7" spans="1:20" x14ac:dyDescent="0.3">
      <c r="A7">
        <v>6</v>
      </c>
      <c r="B7" t="s">
        <v>43</v>
      </c>
      <c r="C7" t="s">
        <v>37</v>
      </c>
      <c r="D7">
        <v>154</v>
      </c>
      <c r="E7">
        <v>976</v>
      </c>
      <c r="F7">
        <v>308</v>
      </c>
      <c r="H7" t="s">
        <v>46</v>
      </c>
      <c r="I7" s="1">
        <v>0.7</v>
      </c>
      <c r="J7" s="1">
        <v>0.87058823529411766</v>
      </c>
      <c r="K7" s="1" t="str">
        <f>IFERROR(SUMIFS(S:S,P:P,"*/06/2026")/(SUMIFS(R:R,P:P,"*/06/2026")+SUMIFS(S:S,P:P,"*/06/2026")+SUMIFS(T:T,P:P,"*/06/2026")),"")</f>
        <v/>
      </c>
      <c r="L7" s="1" t="str">
        <f>IFERROR(SUMIFS(R:R,P:P,"*/06/2026")/(SUMIFS(R:R,P:P,"*/06/2026")+SUMIFS(S:S,P:P,"*/06/2026")+SUMIFS(T:T,P:P,"*/06/2026")),"")</f>
        <v/>
      </c>
      <c r="M7" s="1" t="str">
        <f>IFERROR(SUMIFS(T:T,P:P,"*/06/2026")/(SUMIFS(R:R,P:P,"*/06/2026")+SUMIFS(S:S,P:P,"*/06/2026")+SUMIFS(T:T,P:P,"*/06/2026")),"")</f>
        <v/>
      </c>
      <c r="O7">
        <v>6</v>
      </c>
      <c r="P7" t="s">
        <v>47</v>
      </c>
      <c r="Q7" t="s">
        <v>34</v>
      </c>
      <c r="R7">
        <v>0</v>
      </c>
      <c r="S7">
        <v>0</v>
      </c>
      <c r="T7">
        <v>1440</v>
      </c>
    </row>
    <row r="8" spans="1:20" x14ac:dyDescent="0.3">
      <c r="A8">
        <v>7</v>
      </c>
      <c r="B8" t="s">
        <v>48</v>
      </c>
      <c r="C8" t="s">
        <v>34</v>
      </c>
      <c r="D8">
        <v>117</v>
      </c>
      <c r="E8">
        <v>854</v>
      </c>
      <c r="F8">
        <v>466</v>
      </c>
      <c r="H8" t="s">
        <v>49</v>
      </c>
      <c r="I8" s="1">
        <v>0.7</v>
      </c>
      <c r="J8" s="1">
        <v>0.87058823529411766</v>
      </c>
      <c r="K8" s="1" t="str">
        <f>IFERROR(SUMIFS(S:S,P:P,"*/07/2026")/(SUMIFS(R:R,P:P,"*/07/2026")+SUMIFS(S:S,P:P,"*/07/2026")+SUMIFS(T:T,P:P,"*/07/2026")),"")</f>
        <v/>
      </c>
      <c r="L8" s="1" t="str">
        <f>IFERROR(SUMIFS(R:R,P:P,"*/07/2026")/(SUMIFS(R:R,P:P,"*/07/2026")+SUMIFS(S:S,P:P,"*/07/2026")+SUMIFS(T:T,P:P,"*/07/2026")),"")</f>
        <v/>
      </c>
      <c r="M8" s="1" t="str">
        <f>IFERROR(SUMIFS(T:T,P:P,"*/07/2026")/(SUMIFS(R:R,P:P,"*/07/2026")+SUMIFS(S:S,P:P,"*/07/2026")+SUMIFS(T:T,P:P,"*/07/2026")),"")</f>
        <v/>
      </c>
      <c r="O8">
        <v>7</v>
      </c>
      <c r="P8" t="s">
        <v>47</v>
      </c>
      <c r="Q8" t="s">
        <v>37</v>
      </c>
      <c r="R8">
        <v>0</v>
      </c>
      <c r="S8">
        <v>0</v>
      </c>
      <c r="T8">
        <v>1440</v>
      </c>
    </row>
    <row r="9" spans="1:20" x14ac:dyDescent="0.3">
      <c r="A9">
        <v>8</v>
      </c>
      <c r="B9" t="s">
        <v>48</v>
      </c>
      <c r="C9" t="s">
        <v>37</v>
      </c>
      <c r="D9">
        <v>48</v>
      </c>
      <c r="E9">
        <v>976</v>
      </c>
      <c r="F9">
        <v>413</v>
      </c>
      <c r="H9" t="s">
        <v>50</v>
      </c>
      <c r="I9" s="1">
        <v>0.7</v>
      </c>
      <c r="J9" s="1">
        <v>0.87058823529411766</v>
      </c>
      <c r="K9" s="1" t="str">
        <f>IFERROR(SUMIFS(S:S,P:P,"*/08/2026")/(SUMIFS(R:R,P:P,"*/08/2026")+SUMIFS(S:S,P:P,"*/08/2026")+SUMIFS(T:T,P:P,"*/08/2026")),"")</f>
        <v/>
      </c>
      <c r="L9" s="1" t="str">
        <f>IFERROR(SUMIFS(R:R,P:P,"*/08/2026")/(SUMIFS(R:R,P:P,"*/08/2026")+SUMIFS(S:S,P:P,"*/08/2026")+SUMIFS(T:T,P:P,"*/08/2026")),"")</f>
        <v/>
      </c>
      <c r="M9" s="1" t="str">
        <f>IFERROR(SUMIFS(T:T,P:P,"*/08/2026")/(SUMIFS(R:R,P:P,"*/08/2026")+SUMIFS(S:S,P:P,"*/08/2026")+SUMIFS(T:T,P:P,"*/08/2026")),"")</f>
        <v/>
      </c>
      <c r="O9">
        <v>8</v>
      </c>
      <c r="P9" t="s">
        <v>51</v>
      </c>
      <c r="Q9" t="s">
        <v>34</v>
      </c>
      <c r="R9">
        <v>257</v>
      </c>
      <c r="S9">
        <v>797</v>
      </c>
      <c r="T9">
        <v>383</v>
      </c>
    </row>
    <row r="10" spans="1:20" x14ac:dyDescent="0.3">
      <c r="A10">
        <v>9</v>
      </c>
      <c r="B10" t="s">
        <v>52</v>
      </c>
      <c r="C10" t="s">
        <v>34</v>
      </c>
      <c r="D10">
        <v>0</v>
      </c>
      <c r="E10">
        <v>0</v>
      </c>
      <c r="F10">
        <v>1440</v>
      </c>
      <c r="H10" t="s">
        <v>53</v>
      </c>
      <c r="I10" s="1">
        <v>0.7</v>
      </c>
      <c r="J10" s="1">
        <v>0.87058823529411766</v>
      </c>
      <c r="K10" s="1" t="str">
        <f>IFERROR(SUMIFS(S:S,P:P,"*/09/2026")/(SUMIFS(R:R,P:P,"*/09/2026")+SUMIFS(S:S,P:P,"*/09/2026")+SUMIFS(T:T,P:P,"*/09/2026")),"")</f>
        <v/>
      </c>
      <c r="L10" s="1" t="str">
        <f>IFERROR(SUMIFS(R:R,P:P,"*/09/2026")/(SUMIFS(R:R,P:P,"*/09/2026")+SUMIFS(S:S,P:P,"*/09/2026")+SUMIFS(T:T,P:P,"*/09/2026")),"")</f>
        <v/>
      </c>
      <c r="M10" s="1" t="str">
        <f>IFERROR(SUMIFS(T:T,P:P,"*/09/2026")/(SUMIFS(R:R,P:P,"*/09/2026")+SUMIFS(S:S,P:P,"*/09/2026")+SUMIFS(T:T,P:P,"*/09/2026")),"")</f>
        <v/>
      </c>
      <c r="O10">
        <v>9</v>
      </c>
      <c r="P10" t="s">
        <v>51</v>
      </c>
      <c r="Q10" t="s">
        <v>37</v>
      </c>
      <c r="R10">
        <v>177</v>
      </c>
      <c r="S10">
        <v>943</v>
      </c>
      <c r="T10">
        <v>302</v>
      </c>
    </row>
    <row r="11" spans="1:20" x14ac:dyDescent="0.3">
      <c r="A11">
        <v>10</v>
      </c>
      <c r="B11" t="s">
        <v>52</v>
      </c>
      <c r="C11" t="s">
        <v>37</v>
      </c>
      <c r="D11">
        <v>0</v>
      </c>
      <c r="E11">
        <v>0</v>
      </c>
      <c r="F11">
        <v>1440</v>
      </c>
      <c r="H11" t="s">
        <v>54</v>
      </c>
      <c r="I11" s="1">
        <v>0.7</v>
      </c>
      <c r="J11" s="1">
        <v>0.87058823529411766</v>
      </c>
      <c r="K11" s="1" t="str">
        <f>IFERROR(SUMIFS(S:S,P:P,"*/10/2026")/(SUMIFS(R:R,P:P,"*/10/2026")+SUMIFS(S:S,P:P,"*/10/2026")+SUMIFS(T:T,P:P,"*/10/2026")),"")</f>
        <v/>
      </c>
      <c r="L11" s="1" t="str">
        <f>IFERROR(SUMIFS(R:R,P:P,"*/10/2026")/(SUMIFS(R:R,P:P,"*/10/2026")+SUMIFS(S:S,P:P,"*/10/2026")+SUMIFS(T:T,P:P,"*/10/2026")),"")</f>
        <v/>
      </c>
      <c r="M11" s="1" t="str">
        <f>IFERROR(SUMIFS(T:T,P:P,"*/10/2026")/(SUMIFS(R:R,P:P,"*/10/2026")+SUMIFS(S:S,P:P,"*/10/2026")+SUMIFS(T:T,P:P,"*/10/2026")),"")</f>
        <v/>
      </c>
      <c r="O11">
        <v>10</v>
      </c>
      <c r="P11" t="s">
        <v>55</v>
      </c>
      <c r="Q11" t="s">
        <v>34</v>
      </c>
      <c r="R11">
        <v>180</v>
      </c>
      <c r="S11">
        <v>850</v>
      </c>
      <c r="T11">
        <v>408</v>
      </c>
    </row>
    <row r="12" spans="1:20" x14ac:dyDescent="0.3">
      <c r="A12">
        <v>11</v>
      </c>
      <c r="B12" t="s">
        <v>56</v>
      </c>
      <c r="C12" t="s">
        <v>34</v>
      </c>
      <c r="D12">
        <v>65</v>
      </c>
      <c r="E12">
        <v>966</v>
      </c>
      <c r="F12">
        <v>406</v>
      </c>
      <c r="H12" t="s">
        <v>57</v>
      </c>
      <c r="I12" s="1">
        <v>0.7</v>
      </c>
      <c r="J12" s="1">
        <v>0.87058823529411766</v>
      </c>
      <c r="K12" s="1" t="str">
        <f>IFERROR(SUMIFS(S:S,P:P,"*/11/2026")/(SUMIFS(R:R,P:P,"*/11/2026")+SUMIFS(S:S,P:P,"*/11/2026")+SUMIFS(T:T,P:P,"*/11/2026")),"")</f>
        <v/>
      </c>
      <c r="L12" s="1" t="str">
        <f>IFERROR(SUMIFS(R:R,P:P,"*/11/2026")/(SUMIFS(R:R,P:P,"*/11/2026")+SUMIFS(S:S,P:P,"*/11/2026")+SUMIFS(T:T,P:P,"*/11/2026")),"")</f>
        <v/>
      </c>
      <c r="M12" s="1" t="str">
        <f>IFERROR(SUMIFS(T:T,P:P,"*/11/2026")/(SUMIFS(R:R,P:P,"*/11/2026")+SUMIFS(S:S,P:P,"*/11/2026")+SUMIFS(T:T,P:P,"*/11/2026")),"")</f>
        <v/>
      </c>
      <c r="O12">
        <v>11</v>
      </c>
      <c r="P12" t="s">
        <v>55</v>
      </c>
      <c r="Q12" t="s">
        <v>37</v>
      </c>
      <c r="R12">
        <v>173</v>
      </c>
      <c r="S12">
        <v>1096</v>
      </c>
      <c r="T12">
        <v>170</v>
      </c>
    </row>
    <row r="13" spans="1:20" x14ac:dyDescent="0.3">
      <c r="A13">
        <v>12</v>
      </c>
      <c r="B13" t="s">
        <v>56</v>
      </c>
      <c r="C13" t="s">
        <v>37</v>
      </c>
      <c r="D13">
        <v>113</v>
      </c>
      <c r="E13">
        <v>1190</v>
      </c>
      <c r="F13">
        <v>136</v>
      </c>
      <c r="H13" t="s">
        <v>58</v>
      </c>
      <c r="I13" s="1">
        <v>0.7</v>
      </c>
      <c r="J13" s="1">
        <v>0.87058823529411766</v>
      </c>
      <c r="K13" s="1" t="str">
        <f>IFERROR(SUMIFS(S:S,P:P,"*/12/2026")/(SUMIFS(R:R,P:P,"*/12/2026")+SUMIFS(S:S,P:P,"*/12/2026")+SUMIFS(T:T,P:P,"*/12/2026")),"")</f>
        <v/>
      </c>
      <c r="L13" s="1" t="str">
        <f>IFERROR(SUMIFS(R:R,P:P,"*/12/2026")/(SUMIFS(R:R,P:P,"*/12/2026")+SUMIFS(S:S,P:P,"*/12/2026")+SUMIFS(T:T,P:P,"*/12/2026")),"")</f>
        <v/>
      </c>
      <c r="M13" s="1" t="str">
        <f>IFERROR(SUMIFS(T:T,P:P,"*/12/2026")/(SUMIFS(R:R,P:P,"*/12/2026")+SUMIFS(S:S,P:P,"*/12/2026")+SUMIFS(T:T,P:P,"*/12/2026")),"")</f>
        <v/>
      </c>
      <c r="O13">
        <v>12</v>
      </c>
      <c r="P13" t="s">
        <v>59</v>
      </c>
      <c r="Q13" t="s">
        <v>34</v>
      </c>
      <c r="R13">
        <v>107</v>
      </c>
      <c r="S13">
        <v>167</v>
      </c>
      <c r="T13">
        <v>1163</v>
      </c>
    </row>
    <row r="14" spans="1:20" x14ac:dyDescent="0.3">
      <c r="A14">
        <v>13</v>
      </c>
      <c r="B14" t="s">
        <v>60</v>
      </c>
      <c r="C14" t="s">
        <v>34</v>
      </c>
      <c r="D14">
        <v>127</v>
      </c>
      <c r="E14">
        <v>903</v>
      </c>
      <c r="F14">
        <v>407</v>
      </c>
      <c r="H14" t="str">
        <f>IF(B2="","",TEXT(B2,"dd/mm")&amp; "-" &amp;IF(UPPER(TRIM(C2))="CN",1,IF(UPPER(TRIM(C2))="CD",2,"")))</f>
        <v>01/04-1</v>
      </c>
      <c r="I14" s="1">
        <v>0.7</v>
      </c>
      <c r="J14" s="1">
        <v>0.87058823529411766</v>
      </c>
      <c r="K14" s="1">
        <f t="shared" ref="K14:K45" si="0">IFERROR($E2/SUM($D2:$F2),"")</f>
        <v>0.66968011126564675</v>
      </c>
      <c r="L14" s="1">
        <f t="shared" ref="L14:L45" si="1">IFERROR($D2/SUM($D2:$F2),"")</f>
        <v>4.9374130737134911E-2</v>
      </c>
      <c r="M14" s="1">
        <f t="shared" ref="M14:M45" si="2">IFERROR($F2/SUM($D2:$F2),"")</f>
        <v>0.28094575799721838</v>
      </c>
      <c r="O14">
        <v>13</v>
      </c>
      <c r="P14" t="s">
        <v>59</v>
      </c>
      <c r="Q14" t="s">
        <v>37</v>
      </c>
      <c r="R14">
        <v>0</v>
      </c>
      <c r="S14">
        <v>0</v>
      </c>
      <c r="T14">
        <v>1440</v>
      </c>
    </row>
    <row r="15" spans="1:20" x14ac:dyDescent="0.3">
      <c r="A15">
        <v>14</v>
      </c>
      <c r="B15" t="s">
        <v>60</v>
      </c>
      <c r="C15" t="s">
        <v>37</v>
      </c>
      <c r="D15">
        <v>127</v>
      </c>
      <c r="E15">
        <v>1131</v>
      </c>
      <c r="F15">
        <v>178</v>
      </c>
      <c r="H15" t="str">
        <f t="shared" ref="H15:H46" si="3">IF(B3="","",TEXT(B3,"dd/mm") &amp; "-" &amp; IF(UPPER(TRIM(C3))="CN",1,IF(UPPER(TRIM(C3))="CD",2,"")))</f>
        <v>01/04-2</v>
      </c>
      <c r="I15" s="1">
        <v>0.7</v>
      </c>
      <c r="J15" s="1">
        <v>0.87058823529411766</v>
      </c>
      <c r="K15" s="1">
        <f t="shared" si="0"/>
        <v>0.75991649269311068</v>
      </c>
      <c r="L15" s="1">
        <f t="shared" si="1"/>
        <v>4.036186499652053E-2</v>
      </c>
      <c r="M15" s="1">
        <f t="shared" si="2"/>
        <v>0.19972164231036882</v>
      </c>
      <c r="O15">
        <v>14</v>
      </c>
      <c r="P15" t="s">
        <v>61</v>
      </c>
      <c r="Q15" t="s">
        <v>34</v>
      </c>
      <c r="R15">
        <v>159</v>
      </c>
      <c r="S15">
        <v>846</v>
      </c>
      <c r="T15">
        <v>433</v>
      </c>
    </row>
    <row r="16" spans="1:20" x14ac:dyDescent="0.3">
      <c r="A16">
        <v>15</v>
      </c>
      <c r="B16" t="s">
        <v>62</v>
      </c>
      <c r="C16" t="s">
        <v>34</v>
      </c>
      <c r="D16">
        <v>116</v>
      </c>
      <c r="E16">
        <v>913</v>
      </c>
      <c r="F16">
        <v>408</v>
      </c>
      <c r="H16" t="str">
        <f t="shared" si="3"/>
        <v>02/04-1</v>
      </c>
      <c r="I16" s="1">
        <v>0.7</v>
      </c>
      <c r="J16" s="1">
        <v>0.87058823529411766</v>
      </c>
      <c r="K16" s="1">
        <f t="shared" si="0"/>
        <v>0.60570236439499303</v>
      </c>
      <c r="L16" s="1">
        <f t="shared" si="1"/>
        <v>0.11891515994436717</v>
      </c>
      <c r="M16" s="1">
        <f t="shared" si="2"/>
        <v>0.27538247566063978</v>
      </c>
      <c r="O16">
        <v>15</v>
      </c>
      <c r="P16" t="s">
        <v>61</v>
      </c>
      <c r="Q16" t="s">
        <v>37</v>
      </c>
      <c r="R16">
        <v>150</v>
      </c>
      <c r="S16">
        <v>1141</v>
      </c>
      <c r="T16">
        <v>147</v>
      </c>
    </row>
    <row r="17" spans="1:20" x14ac:dyDescent="0.3">
      <c r="A17">
        <v>16</v>
      </c>
      <c r="B17" t="s">
        <v>62</v>
      </c>
      <c r="C17" t="s">
        <v>37</v>
      </c>
      <c r="D17">
        <v>163</v>
      </c>
      <c r="E17">
        <v>1228</v>
      </c>
      <c r="F17">
        <v>47</v>
      </c>
      <c r="H17" t="str">
        <f t="shared" si="3"/>
        <v>02/04-2</v>
      </c>
      <c r="I17" s="1">
        <v>0.7</v>
      </c>
      <c r="J17" s="1">
        <v>0.87058823529411766</v>
      </c>
      <c r="K17" s="1">
        <f t="shared" si="0"/>
        <v>0.66620305980528516</v>
      </c>
      <c r="L17" s="1">
        <f t="shared" si="1"/>
        <v>0.12030598052851182</v>
      </c>
      <c r="M17" s="1">
        <f t="shared" si="2"/>
        <v>0.21349095966620307</v>
      </c>
      <c r="O17">
        <v>16</v>
      </c>
      <c r="P17" t="s">
        <v>63</v>
      </c>
      <c r="Q17" t="s">
        <v>34</v>
      </c>
      <c r="R17">
        <v>207</v>
      </c>
      <c r="S17">
        <v>1017</v>
      </c>
      <c r="T17">
        <v>213</v>
      </c>
    </row>
    <row r="18" spans="1:20" x14ac:dyDescent="0.3">
      <c r="H18" t="str">
        <f t="shared" si="3"/>
        <v>03/04-1</v>
      </c>
      <c r="I18" s="1">
        <v>0.7</v>
      </c>
      <c r="J18" s="1">
        <v>0.87058823529411766</v>
      </c>
      <c r="K18" s="1">
        <f t="shared" si="0"/>
        <v>0.6863699582753825</v>
      </c>
      <c r="L18" s="1">
        <f t="shared" si="1"/>
        <v>3.3379694019471488E-2</v>
      </c>
      <c r="M18" s="1">
        <f t="shared" si="2"/>
        <v>0.28025034770514606</v>
      </c>
      <c r="O18">
        <v>17</v>
      </c>
      <c r="P18" t="s">
        <v>63</v>
      </c>
      <c r="Q18" t="s">
        <v>37</v>
      </c>
      <c r="R18">
        <v>158</v>
      </c>
      <c r="S18">
        <v>1192</v>
      </c>
      <c r="T18">
        <v>89</v>
      </c>
    </row>
    <row r="19" spans="1:20" x14ac:dyDescent="0.3">
      <c r="H19" t="str">
        <f t="shared" si="3"/>
        <v>03/04-2</v>
      </c>
      <c r="I19" s="1">
        <v>0.7</v>
      </c>
      <c r="J19" s="1">
        <v>0.87058823529411766</v>
      </c>
      <c r="K19" s="1">
        <f t="shared" si="0"/>
        <v>0.67872044506258689</v>
      </c>
      <c r="L19" s="1">
        <f t="shared" si="1"/>
        <v>0.1070931849791377</v>
      </c>
      <c r="M19" s="1">
        <f t="shared" si="2"/>
        <v>0.21418636995827539</v>
      </c>
      <c r="O19">
        <v>18</v>
      </c>
      <c r="P19" t="s">
        <v>64</v>
      </c>
      <c r="Q19" t="s">
        <v>34</v>
      </c>
      <c r="R19">
        <v>185</v>
      </c>
      <c r="S19">
        <v>825</v>
      </c>
      <c r="T19">
        <v>427</v>
      </c>
    </row>
    <row r="20" spans="1:20" x14ac:dyDescent="0.3">
      <c r="H20" t="str">
        <f t="shared" si="3"/>
        <v>04/04-1</v>
      </c>
      <c r="I20" s="1">
        <v>0.7</v>
      </c>
      <c r="J20" s="1">
        <v>0.87058823529411766</v>
      </c>
      <c r="K20" s="1">
        <f t="shared" si="0"/>
        <v>0.59429366736256084</v>
      </c>
      <c r="L20" s="1">
        <f t="shared" si="1"/>
        <v>8.1419624217118999E-2</v>
      </c>
      <c r="M20" s="1">
        <f t="shared" si="2"/>
        <v>0.32428670842032009</v>
      </c>
      <c r="O20">
        <v>19</v>
      </c>
      <c r="P20" t="s">
        <v>64</v>
      </c>
      <c r="Q20" t="s">
        <v>37</v>
      </c>
      <c r="R20">
        <v>0</v>
      </c>
      <c r="S20">
        <v>0</v>
      </c>
      <c r="T20">
        <v>1440</v>
      </c>
    </row>
    <row r="21" spans="1:20" x14ac:dyDescent="0.3">
      <c r="H21" t="str">
        <f t="shared" si="3"/>
        <v>04/04-2</v>
      </c>
      <c r="I21" s="1">
        <v>0.7</v>
      </c>
      <c r="J21" s="1">
        <v>0.87058823529411766</v>
      </c>
      <c r="K21" s="1">
        <f t="shared" si="0"/>
        <v>0.67919276270006956</v>
      </c>
      <c r="L21" s="1">
        <f t="shared" si="1"/>
        <v>3.3402922755741124E-2</v>
      </c>
      <c r="M21" s="1">
        <f t="shared" si="2"/>
        <v>0.2874043145441893</v>
      </c>
      <c r="O21">
        <v>20</v>
      </c>
      <c r="P21" t="s">
        <v>65</v>
      </c>
      <c r="Q21" t="s">
        <v>34</v>
      </c>
      <c r="R21">
        <v>0</v>
      </c>
      <c r="S21">
        <v>0</v>
      </c>
      <c r="T21">
        <v>1440</v>
      </c>
    </row>
    <row r="22" spans="1:20" x14ac:dyDescent="0.3">
      <c r="H22" t="str">
        <f t="shared" si="3"/>
        <v>05/04-1</v>
      </c>
      <c r="I22" s="1">
        <v>0.7</v>
      </c>
      <c r="J22" s="1">
        <v>0.87058823529411766</v>
      </c>
      <c r="K22" s="1">
        <f t="shared" si="0"/>
        <v>0</v>
      </c>
      <c r="L22" s="1">
        <f t="shared" si="1"/>
        <v>0</v>
      </c>
      <c r="M22" s="1">
        <f t="shared" si="2"/>
        <v>1</v>
      </c>
      <c r="O22">
        <v>21</v>
      </c>
      <c r="P22" t="s">
        <v>65</v>
      </c>
      <c r="Q22" t="s">
        <v>37</v>
      </c>
      <c r="R22">
        <v>0</v>
      </c>
      <c r="S22">
        <v>0</v>
      </c>
      <c r="T22">
        <v>1440</v>
      </c>
    </row>
    <row r="23" spans="1:20" x14ac:dyDescent="0.3">
      <c r="H23" t="str">
        <f t="shared" si="3"/>
        <v>05/04-2</v>
      </c>
      <c r="I23" s="1">
        <v>0.7</v>
      </c>
      <c r="J23" s="1">
        <v>0.87058823529411766</v>
      </c>
      <c r="K23" s="1">
        <f t="shared" si="0"/>
        <v>0</v>
      </c>
      <c r="L23" s="1">
        <f t="shared" si="1"/>
        <v>0</v>
      </c>
      <c r="M23" s="1">
        <f t="shared" si="2"/>
        <v>1</v>
      </c>
      <c r="O23">
        <v>22</v>
      </c>
      <c r="P23" t="s">
        <v>66</v>
      </c>
      <c r="Q23" t="s">
        <v>34</v>
      </c>
      <c r="R23">
        <v>168</v>
      </c>
      <c r="S23">
        <v>852</v>
      </c>
      <c r="T23">
        <v>417</v>
      </c>
    </row>
    <row r="24" spans="1:20" x14ac:dyDescent="0.3">
      <c r="H24" t="str">
        <f t="shared" si="3"/>
        <v>06/04-1</v>
      </c>
      <c r="I24" s="1">
        <v>0.7</v>
      </c>
      <c r="J24" s="1">
        <v>0.87058823529411766</v>
      </c>
      <c r="K24" s="1">
        <f t="shared" si="0"/>
        <v>0.67223382045929014</v>
      </c>
      <c r="L24" s="1">
        <f t="shared" si="1"/>
        <v>4.5233124565066112E-2</v>
      </c>
      <c r="M24" s="1">
        <f t="shared" si="2"/>
        <v>0.28253305497564368</v>
      </c>
      <c r="O24">
        <v>23</v>
      </c>
      <c r="P24" t="s">
        <v>66</v>
      </c>
      <c r="Q24" t="s">
        <v>37</v>
      </c>
      <c r="R24">
        <v>325</v>
      </c>
      <c r="S24">
        <v>893</v>
      </c>
      <c r="T24">
        <v>220</v>
      </c>
    </row>
    <row r="25" spans="1:20" x14ac:dyDescent="0.3">
      <c r="H25" t="str">
        <f t="shared" si="3"/>
        <v>06/04-2</v>
      </c>
      <c r="I25" s="1">
        <v>0.7</v>
      </c>
      <c r="J25" s="1">
        <v>0.87058823529411766</v>
      </c>
      <c r="K25" s="1">
        <f t="shared" si="0"/>
        <v>0.82696316886726895</v>
      </c>
      <c r="L25" s="1">
        <f t="shared" si="1"/>
        <v>7.8526754690757469E-2</v>
      </c>
      <c r="M25" s="1">
        <f t="shared" si="2"/>
        <v>9.4510076441973595E-2</v>
      </c>
      <c r="O25">
        <v>24</v>
      </c>
      <c r="P25" t="s">
        <v>67</v>
      </c>
      <c r="Q25" t="s">
        <v>34</v>
      </c>
      <c r="R25">
        <v>158</v>
      </c>
      <c r="S25">
        <v>859</v>
      </c>
      <c r="T25">
        <v>419</v>
      </c>
    </row>
    <row r="26" spans="1:20" x14ac:dyDescent="0.3">
      <c r="H26" t="str">
        <f t="shared" si="3"/>
        <v>07/04-1</v>
      </c>
      <c r="I26" s="1">
        <v>0.7</v>
      </c>
      <c r="J26" s="1">
        <v>0.87058823529411766</v>
      </c>
      <c r="K26" s="1">
        <f t="shared" si="0"/>
        <v>0.62839248434237993</v>
      </c>
      <c r="L26" s="1">
        <f t="shared" si="1"/>
        <v>8.8378566457898405E-2</v>
      </c>
      <c r="M26" s="1">
        <f t="shared" si="2"/>
        <v>0.28322894919972164</v>
      </c>
      <c r="O26">
        <v>25</v>
      </c>
      <c r="P26" t="s">
        <v>67</v>
      </c>
      <c r="Q26" t="s">
        <v>37</v>
      </c>
      <c r="R26">
        <v>206</v>
      </c>
      <c r="S26">
        <v>1081</v>
      </c>
      <c r="T26">
        <v>150</v>
      </c>
    </row>
    <row r="27" spans="1:20" x14ac:dyDescent="0.3">
      <c r="H27" t="str">
        <f t="shared" si="3"/>
        <v>07/04-2</v>
      </c>
      <c r="I27" s="1">
        <v>0.7</v>
      </c>
      <c r="J27" s="1">
        <v>0.87058823529411766</v>
      </c>
      <c r="K27" s="1">
        <f t="shared" si="0"/>
        <v>0.78760445682451252</v>
      </c>
      <c r="L27" s="1">
        <f t="shared" si="1"/>
        <v>8.844011142061281E-2</v>
      </c>
      <c r="M27" s="1">
        <f t="shared" si="2"/>
        <v>0.12395543175487465</v>
      </c>
      <c r="O27">
        <v>26</v>
      </c>
      <c r="P27" t="s">
        <v>68</v>
      </c>
      <c r="Q27" t="s">
        <v>34</v>
      </c>
      <c r="R27">
        <v>161</v>
      </c>
      <c r="S27">
        <v>906</v>
      </c>
      <c r="T27">
        <v>371</v>
      </c>
    </row>
    <row r="28" spans="1:20" x14ac:dyDescent="0.3">
      <c r="H28" t="str">
        <f t="shared" si="3"/>
        <v>08/04-1</v>
      </c>
      <c r="I28" s="1">
        <v>0.7</v>
      </c>
      <c r="J28" s="1">
        <v>0.87058823529411766</v>
      </c>
      <c r="K28" s="1">
        <f t="shared" si="0"/>
        <v>0.63535142658315935</v>
      </c>
      <c r="L28" s="1">
        <f t="shared" si="1"/>
        <v>8.072372999304106E-2</v>
      </c>
      <c r="M28" s="1">
        <f t="shared" si="2"/>
        <v>0.28392484342379959</v>
      </c>
      <c r="O28">
        <v>27</v>
      </c>
      <c r="P28" t="s">
        <v>68</v>
      </c>
      <c r="Q28" t="s">
        <v>37</v>
      </c>
      <c r="R28">
        <v>248</v>
      </c>
      <c r="S28">
        <v>1083</v>
      </c>
      <c r="T28">
        <v>107</v>
      </c>
    </row>
    <row r="29" spans="1:20" x14ac:dyDescent="0.3">
      <c r="H29" t="str">
        <f t="shared" si="3"/>
        <v>08/04-2</v>
      </c>
      <c r="I29" s="1">
        <v>0.7</v>
      </c>
      <c r="J29" s="1">
        <v>0.87058823529411766</v>
      </c>
      <c r="K29" s="1">
        <f t="shared" si="0"/>
        <v>0.85396383866481229</v>
      </c>
      <c r="L29" s="1">
        <f t="shared" si="1"/>
        <v>0.1133518776077886</v>
      </c>
      <c r="M29" s="1">
        <f t="shared" si="2"/>
        <v>3.2684283727399163E-2</v>
      </c>
      <c r="O29">
        <v>28</v>
      </c>
      <c r="P29" t="s">
        <v>69</v>
      </c>
      <c r="Q29" t="s">
        <v>34</v>
      </c>
      <c r="R29">
        <v>224</v>
      </c>
      <c r="S29">
        <v>799</v>
      </c>
      <c r="T29">
        <v>415</v>
      </c>
    </row>
    <row r="30" spans="1:20" x14ac:dyDescent="0.3">
      <c r="H30" t="str">
        <f t="shared" si="3"/>
        <v/>
      </c>
      <c r="I30" s="1"/>
      <c r="J30" s="1"/>
      <c r="K30" s="1" t="str">
        <f t="shared" si="0"/>
        <v/>
      </c>
      <c r="L30" s="1" t="str">
        <f t="shared" si="1"/>
        <v/>
      </c>
      <c r="M30" s="1" t="str">
        <f t="shared" si="2"/>
        <v/>
      </c>
      <c r="O30">
        <v>29</v>
      </c>
      <c r="P30" t="s">
        <v>69</v>
      </c>
      <c r="Q30" t="s">
        <v>37</v>
      </c>
      <c r="R30">
        <v>213</v>
      </c>
      <c r="S30">
        <v>1226</v>
      </c>
      <c r="T30">
        <v>0</v>
      </c>
    </row>
    <row r="31" spans="1:20" x14ac:dyDescent="0.3">
      <c r="H31" t="str">
        <f t="shared" si="3"/>
        <v/>
      </c>
      <c r="I31" s="1"/>
      <c r="J31" s="1"/>
      <c r="K31" s="1" t="str">
        <f t="shared" si="0"/>
        <v/>
      </c>
      <c r="L31" s="1" t="str">
        <f t="shared" si="1"/>
        <v/>
      </c>
      <c r="M31" s="1" t="str">
        <f t="shared" si="2"/>
        <v/>
      </c>
      <c r="O31">
        <v>30</v>
      </c>
      <c r="P31" t="s">
        <v>70</v>
      </c>
      <c r="Q31" t="s">
        <v>34</v>
      </c>
      <c r="R31">
        <v>144</v>
      </c>
      <c r="S31">
        <v>1082</v>
      </c>
      <c r="T31">
        <v>213</v>
      </c>
    </row>
    <row r="32" spans="1:20" x14ac:dyDescent="0.3">
      <c r="H32" t="str">
        <f t="shared" si="3"/>
        <v/>
      </c>
      <c r="I32" s="1"/>
      <c r="J32" s="1"/>
      <c r="K32" s="1" t="str">
        <f t="shared" si="0"/>
        <v/>
      </c>
      <c r="L32" s="1" t="str">
        <f t="shared" si="1"/>
        <v/>
      </c>
      <c r="M32" s="1" t="str">
        <f t="shared" si="2"/>
        <v/>
      </c>
      <c r="O32">
        <v>31</v>
      </c>
      <c r="P32" t="s">
        <v>70</v>
      </c>
      <c r="Q32" t="s">
        <v>37</v>
      </c>
      <c r="R32">
        <v>178</v>
      </c>
      <c r="S32">
        <v>1203</v>
      </c>
      <c r="T32">
        <v>57</v>
      </c>
    </row>
    <row r="33" spans="8:20" x14ac:dyDescent="0.3">
      <c r="H33" t="str">
        <f t="shared" si="3"/>
        <v/>
      </c>
      <c r="I33" s="1"/>
      <c r="J33" s="1"/>
      <c r="K33" s="1" t="str">
        <f t="shared" si="0"/>
        <v/>
      </c>
      <c r="L33" s="1" t="str">
        <f t="shared" si="1"/>
        <v/>
      </c>
      <c r="M33" s="1" t="str">
        <f t="shared" si="2"/>
        <v/>
      </c>
      <c r="O33">
        <v>32</v>
      </c>
      <c r="P33" t="s">
        <v>71</v>
      </c>
      <c r="Q33" t="s">
        <v>34</v>
      </c>
      <c r="R33">
        <v>360</v>
      </c>
      <c r="S33">
        <v>726</v>
      </c>
      <c r="T33">
        <v>351</v>
      </c>
    </row>
    <row r="34" spans="8:20" x14ac:dyDescent="0.3">
      <c r="H34" t="str">
        <f t="shared" si="3"/>
        <v/>
      </c>
      <c r="I34" s="1"/>
      <c r="J34" s="1"/>
      <c r="K34" s="1" t="str">
        <f t="shared" si="0"/>
        <v/>
      </c>
      <c r="L34" s="1" t="str">
        <f t="shared" si="1"/>
        <v/>
      </c>
      <c r="M34" s="1" t="str">
        <f t="shared" si="2"/>
        <v/>
      </c>
      <c r="O34">
        <v>33</v>
      </c>
      <c r="P34" t="s">
        <v>71</v>
      </c>
      <c r="Q34" t="s">
        <v>37</v>
      </c>
      <c r="R34">
        <v>110</v>
      </c>
      <c r="S34">
        <v>844</v>
      </c>
      <c r="T34">
        <v>484</v>
      </c>
    </row>
    <row r="35" spans="8:20" x14ac:dyDescent="0.3">
      <c r="H35" t="str">
        <f t="shared" si="3"/>
        <v/>
      </c>
      <c r="I35" s="1"/>
      <c r="J35" s="1"/>
      <c r="K35" s="1" t="str">
        <f t="shared" si="0"/>
        <v/>
      </c>
      <c r="L35" s="1" t="str">
        <f t="shared" si="1"/>
        <v/>
      </c>
      <c r="M35" s="1" t="str">
        <f t="shared" si="2"/>
        <v/>
      </c>
      <c r="O35">
        <v>34</v>
      </c>
      <c r="P35" t="s">
        <v>72</v>
      </c>
      <c r="Q35" t="s">
        <v>34</v>
      </c>
      <c r="R35">
        <v>0</v>
      </c>
      <c r="S35">
        <v>0</v>
      </c>
      <c r="T35">
        <v>1440</v>
      </c>
    </row>
    <row r="36" spans="8:20" x14ac:dyDescent="0.3">
      <c r="H36" t="str">
        <f t="shared" si="3"/>
        <v/>
      </c>
      <c r="I36" s="1"/>
      <c r="J36" s="1"/>
      <c r="K36" s="1" t="str">
        <f t="shared" si="0"/>
        <v/>
      </c>
      <c r="L36" s="1" t="str">
        <f t="shared" si="1"/>
        <v/>
      </c>
      <c r="M36" s="1" t="str">
        <f t="shared" si="2"/>
        <v/>
      </c>
      <c r="O36">
        <v>35</v>
      </c>
      <c r="P36" t="s">
        <v>72</v>
      </c>
      <c r="Q36" t="s">
        <v>37</v>
      </c>
      <c r="R36">
        <v>0</v>
      </c>
      <c r="S36">
        <v>0</v>
      </c>
      <c r="T36">
        <v>1440</v>
      </c>
    </row>
    <row r="37" spans="8:20" x14ac:dyDescent="0.3">
      <c r="H37" t="str">
        <f t="shared" si="3"/>
        <v/>
      </c>
      <c r="I37" s="1"/>
      <c r="J37" s="1"/>
      <c r="K37" s="1" t="str">
        <f t="shared" si="0"/>
        <v/>
      </c>
      <c r="L37" s="1" t="str">
        <f t="shared" si="1"/>
        <v/>
      </c>
      <c r="M37" s="1" t="str">
        <f t="shared" si="2"/>
        <v/>
      </c>
      <c r="O37">
        <v>36</v>
      </c>
      <c r="P37" t="s">
        <v>73</v>
      </c>
      <c r="Q37" t="s">
        <v>34</v>
      </c>
      <c r="R37">
        <v>163</v>
      </c>
      <c r="S37">
        <v>868</v>
      </c>
      <c r="T37">
        <v>408</v>
      </c>
    </row>
    <row r="38" spans="8:20" x14ac:dyDescent="0.3">
      <c r="H38" t="str">
        <f t="shared" si="3"/>
        <v/>
      </c>
      <c r="I38" s="1"/>
      <c r="J38" s="1"/>
      <c r="K38" s="1" t="str">
        <f t="shared" si="0"/>
        <v/>
      </c>
      <c r="L38" s="1" t="str">
        <f t="shared" si="1"/>
        <v/>
      </c>
      <c r="M38" s="1" t="str">
        <f t="shared" si="2"/>
        <v/>
      </c>
      <c r="O38">
        <v>37</v>
      </c>
      <c r="P38" t="s">
        <v>73</v>
      </c>
      <c r="Q38" t="s">
        <v>37</v>
      </c>
      <c r="R38">
        <v>469</v>
      </c>
      <c r="S38">
        <v>839</v>
      </c>
      <c r="T38">
        <v>130</v>
      </c>
    </row>
    <row r="39" spans="8:20" x14ac:dyDescent="0.3">
      <c r="H39" t="str">
        <f t="shared" si="3"/>
        <v/>
      </c>
      <c r="I39" s="1"/>
      <c r="J39" s="1"/>
      <c r="K39" s="1" t="str">
        <f t="shared" si="0"/>
        <v/>
      </c>
      <c r="L39" s="1" t="str">
        <f t="shared" si="1"/>
        <v/>
      </c>
      <c r="M39" s="1" t="str">
        <f t="shared" si="2"/>
        <v/>
      </c>
      <c r="O39">
        <v>38</v>
      </c>
      <c r="P39" t="s">
        <v>74</v>
      </c>
      <c r="Q39" t="s">
        <v>34</v>
      </c>
      <c r="R39">
        <v>365</v>
      </c>
      <c r="S39">
        <v>865</v>
      </c>
      <c r="T39">
        <v>208</v>
      </c>
    </row>
    <row r="40" spans="8:20" x14ac:dyDescent="0.3">
      <c r="H40" t="str">
        <f t="shared" si="3"/>
        <v/>
      </c>
      <c r="I40" s="1"/>
      <c r="J40" s="1"/>
      <c r="K40" s="1" t="str">
        <f t="shared" si="0"/>
        <v/>
      </c>
      <c r="L40" s="1" t="str">
        <f t="shared" si="1"/>
        <v/>
      </c>
      <c r="M40" s="1" t="str">
        <f t="shared" si="2"/>
        <v/>
      </c>
      <c r="O40">
        <v>39</v>
      </c>
      <c r="P40" t="s">
        <v>74</v>
      </c>
      <c r="Q40" t="s">
        <v>37</v>
      </c>
      <c r="R40">
        <v>322</v>
      </c>
      <c r="S40">
        <v>935</v>
      </c>
      <c r="T40">
        <v>181</v>
      </c>
    </row>
    <row r="41" spans="8:20" x14ac:dyDescent="0.3">
      <c r="H41" t="str">
        <f t="shared" si="3"/>
        <v/>
      </c>
      <c r="I41" s="1"/>
      <c r="J41" s="1"/>
      <c r="K41" s="1" t="str">
        <f t="shared" si="0"/>
        <v/>
      </c>
      <c r="L41" s="1" t="str">
        <f t="shared" si="1"/>
        <v/>
      </c>
      <c r="M41" s="1" t="str">
        <f t="shared" si="2"/>
        <v/>
      </c>
      <c r="O41">
        <v>40</v>
      </c>
      <c r="P41" t="s">
        <v>75</v>
      </c>
      <c r="Q41" t="s">
        <v>34</v>
      </c>
      <c r="R41">
        <v>452</v>
      </c>
      <c r="S41">
        <v>779</v>
      </c>
      <c r="T41">
        <v>207</v>
      </c>
    </row>
    <row r="42" spans="8:20" x14ac:dyDescent="0.3">
      <c r="H42" t="str">
        <f t="shared" si="3"/>
        <v/>
      </c>
      <c r="I42" s="1"/>
      <c r="J42" s="1"/>
      <c r="K42" s="1" t="str">
        <f t="shared" si="0"/>
        <v/>
      </c>
      <c r="L42" s="1" t="str">
        <f t="shared" si="1"/>
        <v/>
      </c>
      <c r="M42" s="1" t="str">
        <f t="shared" si="2"/>
        <v/>
      </c>
      <c r="O42">
        <v>41</v>
      </c>
      <c r="P42" t="s">
        <v>75</v>
      </c>
      <c r="Q42" t="s">
        <v>37</v>
      </c>
      <c r="R42">
        <v>320</v>
      </c>
      <c r="S42">
        <v>970</v>
      </c>
      <c r="T42">
        <v>147</v>
      </c>
    </row>
    <row r="43" spans="8:20" x14ac:dyDescent="0.3">
      <c r="H43" t="str">
        <f t="shared" si="3"/>
        <v/>
      </c>
      <c r="I43" s="1"/>
      <c r="J43" s="1"/>
      <c r="K43" s="1" t="str">
        <f t="shared" si="0"/>
        <v/>
      </c>
      <c r="L43" s="1" t="str">
        <f t="shared" si="1"/>
        <v/>
      </c>
      <c r="M43" s="1" t="str">
        <f t="shared" si="2"/>
        <v/>
      </c>
      <c r="O43">
        <v>42</v>
      </c>
      <c r="P43" t="s">
        <v>76</v>
      </c>
      <c r="Q43" t="s">
        <v>34</v>
      </c>
      <c r="R43">
        <v>336</v>
      </c>
      <c r="S43">
        <v>897</v>
      </c>
      <c r="T43">
        <v>206</v>
      </c>
    </row>
    <row r="44" spans="8:20" x14ac:dyDescent="0.3">
      <c r="H44" t="str">
        <f t="shared" si="3"/>
        <v/>
      </c>
      <c r="I44" s="1"/>
      <c r="J44" s="1"/>
      <c r="K44" s="1" t="str">
        <f t="shared" si="0"/>
        <v/>
      </c>
      <c r="L44" s="1" t="str">
        <f t="shared" si="1"/>
        <v/>
      </c>
      <c r="M44" s="1" t="str">
        <f t="shared" si="2"/>
        <v/>
      </c>
      <c r="O44">
        <v>43</v>
      </c>
      <c r="P44" t="s">
        <v>76</v>
      </c>
      <c r="Q44" t="s">
        <v>37</v>
      </c>
      <c r="R44">
        <v>345</v>
      </c>
      <c r="S44">
        <v>942</v>
      </c>
      <c r="T44">
        <v>151</v>
      </c>
    </row>
    <row r="45" spans="8:20" x14ac:dyDescent="0.3">
      <c r="H45" t="str">
        <f t="shared" si="3"/>
        <v/>
      </c>
      <c r="I45" s="1"/>
      <c r="J45" s="1"/>
      <c r="K45" s="1" t="str">
        <f t="shared" si="0"/>
        <v/>
      </c>
      <c r="L45" s="1" t="str">
        <f t="shared" si="1"/>
        <v/>
      </c>
      <c r="M45" s="1" t="str">
        <f t="shared" si="2"/>
        <v/>
      </c>
      <c r="O45">
        <v>44</v>
      </c>
      <c r="P45" t="s">
        <v>77</v>
      </c>
      <c r="Q45" t="s">
        <v>34</v>
      </c>
      <c r="R45">
        <v>337</v>
      </c>
      <c r="S45">
        <v>898</v>
      </c>
      <c r="T45">
        <v>203</v>
      </c>
    </row>
    <row r="46" spans="8:20" x14ac:dyDescent="0.3">
      <c r="H46" t="str">
        <f t="shared" si="3"/>
        <v/>
      </c>
      <c r="I46" s="1"/>
      <c r="J46" s="1"/>
      <c r="K46" s="1" t="str">
        <f t="shared" ref="K46:K77" si="4">IFERROR($E34/SUM($D34:$F34),"")</f>
        <v/>
      </c>
      <c r="L46" s="1" t="str">
        <f t="shared" ref="L46:L77" si="5">IFERROR($D34/SUM($D34:$F34),"")</f>
        <v/>
      </c>
      <c r="M46" s="1" t="str">
        <f t="shared" ref="M46:M77" si="6">IFERROR($F34/SUM($D34:$F34),"")</f>
        <v/>
      </c>
      <c r="O46">
        <v>45</v>
      </c>
      <c r="P46" t="s">
        <v>77</v>
      </c>
      <c r="Q46" t="s">
        <v>37</v>
      </c>
      <c r="R46">
        <v>534</v>
      </c>
      <c r="S46">
        <v>904</v>
      </c>
      <c r="T46">
        <v>0</v>
      </c>
    </row>
    <row r="47" spans="8:20" x14ac:dyDescent="0.3">
      <c r="H47" t="str">
        <f t="shared" ref="H47:H78" si="7">IF(B35="","",TEXT(B35,"dd/mm") &amp; "-" &amp; IF(UPPER(TRIM(C35))="CN",1,IF(UPPER(TRIM(C35))="CD",2,"")))</f>
        <v/>
      </c>
      <c r="I47" s="1"/>
      <c r="J47" s="1"/>
      <c r="K47" s="1" t="str">
        <f t="shared" si="4"/>
        <v/>
      </c>
      <c r="L47" s="1" t="str">
        <f t="shared" si="5"/>
        <v/>
      </c>
      <c r="M47" s="1" t="str">
        <f t="shared" si="6"/>
        <v/>
      </c>
      <c r="O47">
        <v>46</v>
      </c>
      <c r="P47" t="s">
        <v>78</v>
      </c>
      <c r="Q47" t="s">
        <v>34</v>
      </c>
      <c r="R47">
        <v>591</v>
      </c>
      <c r="S47">
        <v>848</v>
      </c>
      <c r="T47">
        <v>0</v>
      </c>
    </row>
    <row r="48" spans="8:20" x14ac:dyDescent="0.3">
      <c r="H48" t="str">
        <f t="shared" si="7"/>
        <v/>
      </c>
      <c r="I48" s="1"/>
      <c r="J48" s="1"/>
      <c r="K48" s="1" t="str">
        <f t="shared" si="4"/>
        <v/>
      </c>
      <c r="L48" s="1" t="str">
        <f t="shared" si="5"/>
        <v/>
      </c>
      <c r="M48" s="1" t="str">
        <f t="shared" si="6"/>
        <v/>
      </c>
      <c r="O48">
        <v>47</v>
      </c>
      <c r="P48" t="s">
        <v>78</v>
      </c>
      <c r="Q48" t="s">
        <v>37</v>
      </c>
      <c r="R48">
        <v>390</v>
      </c>
      <c r="S48">
        <v>807</v>
      </c>
      <c r="T48">
        <v>241</v>
      </c>
    </row>
    <row r="49" spans="8:20" x14ac:dyDescent="0.3">
      <c r="H49" t="str">
        <f t="shared" si="7"/>
        <v/>
      </c>
      <c r="I49" s="1"/>
      <c r="J49" s="1"/>
      <c r="K49" s="1" t="str">
        <f t="shared" si="4"/>
        <v/>
      </c>
      <c r="L49" s="1" t="str">
        <f t="shared" si="5"/>
        <v/>
      </c>
      <c r="M49" s="1" t="str">
        <f t="shared" si="6"/>
        <v/>
      </c>
      <c r="O49">
        <v>48</v>
      </c>
      <c r="P49" t="s">
        <v>79</v>
      </c>
      <c r="Q49" t="s">
        <v>34</v>
      </c>
      <c r="R49">
        <v>308</v>
      </c>
      <c r="S49">
        <v>890</v>
      </c>
      <c r="T49">
        <v>241</v>
      </c>
    </row>
    <row r="50" spans="8:20" x14ac:dyDescent="0.3">
      <c r="H50" t="str">
        <f t="shared" si="7"/>
        <v/>
      </c>
      <c r="I50" s="1"/>
      <c r="J50" s="1"/>
      <c r="K50" s="1" t="str">
        <f t="shared" si="4"/>
        <v/>
      </c>
      <c r="L50" s="1" t="str">
        <f t="shared" si="5"/>
        <v/>
      </c>
      <c r="M50" s="1" t="str">
        <f t="shared" si="6"/>
        <v/>
      </c>
      <c r="O50">
        <v>49</v>
      </c>
      <c r="P50" t="s">
        <v>79</v>
      </c>
      <c r="Q50" t="s">
        <v>37</v>
      </c>
      <c r="R50">
        <v>0</v>
      </c>
      <c r="S50">
        <v>0</v>
      </c>
      <c r="T50">
        <v>1440</v>
      </c>
    </row>
    <row r="51" spans="8:20" x14ac:dyDescent="0.3">
      <c r="H51" t="str">
        <f t="shared" si="7"/>
        <v/>
      </c>
      <c r="I51" s="1"/>
      <c r="J51" s="1"/>
      <c r="K51" s="1" t="str">
        <f t="shared" si="4"/>
        <v/>
      </c>
      <c r="L51" s="1" t="str">
        <f t="shared" si="5"/>
        <v/>
      </c>
      <c r="M51" s="1" t="str">
        <f t="shared" si="6"/>
        <v/>
      </c>
      <c r="O51">
        <v>50</v>
      </c>
      <c r="P51" t="s">
        <v>80</v>
      </c>
      <c r="Q51" t="s">
        <v>34</v>
      </c>
      <c r="R51">
        <v>159</v>
      </c>
      <c r="S51">
        <v>871</v>
      </c>
      <c r="T51">
        <v>407</v>
      </c>
    </row>
    <row r="52" spans="8:20" x14ac:dyDescent="0.3">
      <c r="H52" t="str">
        <f t="shared" si="7"/>
        <v/>
      </c>
      <c r="I52" s="1"/>
      <c r="J52" s="1"/>
      <c r="K52" s="1" t="str">
        <f t="shared" si="4"/>
        <v/>
      </c>
      <c r="L52" s="1" t="str">
        <f t="shared" si="5"/>
        <v/>
      </c>
      <c r="M52" s="1" t="str">
        <f t="shared" si="6"/>
        <v/>
      </c>
      <c r="O52">
        <v>51</v>
      </c>
      <c r="P52" t="s">
        <v>80</v>
      </c>
      <c r="Q52" t="s">
        <v>37</v>
      </c>
      <c r="R52">
        <v>198</v>
      </c>
      <c r="S52">
        <v>1230</v>
      </c>
      <c r="T52">
        <v>10</v>
      </c>
    </row>
    <row r="53" spans="8:20" x14ac:dyDescent="0.3">
      <c r="H53" t="str">
        <f t="shared" si="7"/>
        <v/>
      </c>
      <c r="I53" s="1"/>
      <c r="J53" s="1"/>
      <c r="K53" s="1" t="str">
        <f t="shared" si="4"/>
        <v/>
      </c>
      <c r="L53" s="1" t="str">
        <f t="shared" si="5"/>
        <v/>
      </c>
      <c r="M53" s="1" t="str">
        <f t="shared" si="6"/>
        <v/>
      </c>
      <c r="O53">
        <v>52</v>
      </c>
      <c r="P53" t="s">
        <v>81</v>
      </c>
      <c r="Q53" t="s">
        <v>34</v>
      </c>
      <c r="R53">
        <v>357</v>
      </c>
      <c r="S53">
        <v>875</v>
      </c>
      <c r="T53">
        <v>206</v>
      </c>
    </row>
    <row r="54" spans="8:20" x14ac:dyDescent="0.3">
      <c r="H54" t="str">
        <f t="shared" si="7"/>
        <v/>
      </c>
      <c r="I54" s="1"/>
      <c r="J54" s="1"/>
      <c r="K54" s="1" t="str">
        <f t="shared" si="4"/>
        <v/>
      </c>
      <c r="L54" s="1" t="str">
        <f t="shared" si="5"/>
        <v/>
      </c>
      <c r="M54" s="1" t="str">
        <f t="shared" si="6"/>
        <v/>
      </c>
      <c r="O54">
        <v>53</v>
      </c>
      <c r="P54" t="s">
        <v>81</v>
      </c>
      <c r="Q54" t="s">
        <v>37</v>
      </c>
      <c r="R54">
        <v>230</v>
      </c>
      <c r="S54">
        <v>1139</v>
      </c>
      <c r="T54">
        <v>70</v>
      </c>
    </row>
    <row r="55" spans="8:20" x14ac:dyDescent="0.3">
      <c r="H55" t="str">
        <f t="shared" si="7"/>
        <v/>
      </c>
      <c r="I55" s="1"/>
      <c r="J55" s="1"/>
      <c r="K55" s="1" t="str">
        <f t="shared" si="4"/>
        <v/>
      </c>
      <c r="L55" s="1" t="str">
        <f t="shared" si="5"/>
        <v/>
      </c>
      <c r="M55" s="1" t="str">
        <f t="shared" si="6"/>
        <v/>
      </c>
      <c r="O55">
        <v>54</v>
      </c>
      <c r="P55" t="s">
        <v>82</v>
      </c>
      <c r="Q55" t="s">
        <v>34</v>
      </c>
      <c r="R55">
        <v>449</v>
      </c>
      <c r="S55">
        <v>777</v>
      </c>
      <c r="T55">
        <v>212</v>
      </c>
    </row>
    <row r="56" spans="8:20" x14ac:dyDescent="0.3">
      <c r="H56" t="str">
        <f t="shared" si="7"/>
        <v/>
      </c>
      <c r="I56" s="1"/>
      <c r="J56" s="1"/>
      <c r="K56" s="1" t="str">
        <f t="shared" si="4"/>
        <v/>
      </c>
      <c r="L56" s="1" t="str">
        <f t="shared" si="5"/>
        <v/>
      </c>
      <c r="M56" s="1" t="str">
        <f t="shared" si="6"/>
        <v/>
      </c>
      <c r="O56">
        <v>55</v>
      </c>
      <c r="P56" t="s">
        <v>82</v>
      </c>
      <c r="Q56" t="s">
        <v>37</v>
      </c>
      <c r="R56">
        <v>201</v>
      </c>
      <c r="S56">
        <v>1158</v>
      </c>
      <c r="T56">
        <v>80</v>
      </c>
    </row>
    <row r="57" spans="8:20" x14ac:dyDescent="0.3">
      <c r="H57" t="str">
        <f t="shared" si="7"/>
        <v/>
      </c>
      <c r="I57" s="1"/>
      <c r="J57" s="1"/>
      <c r="K57" s="1" t="str">
        <f t="shared" si="4"/>
        <v/>
      </c>
      <c r="L57" s="1" t="str">
        <f t="shared" si="5"/>
        <v/>
      </c>
      <c r="M57" s="1" t="str">
        <f t="shared" si="6"/>
        <v/>
      </c>
      <c r="O57">
        <v>56</v>
      </c>
      <c r="P57" t="s">
        <v>83</v>
      </c>
      <c r="Q57" t="s">
        <v>34</v>
      </c>
      <c r="R57">
        <v>383</v>
      </c>
      <c r="S57">
        <v>851</v>
      </c>
      <c r="T57">
        <v>204</v>
      </c>
    </row>
    <row r="58" spans="8:20" x14ac:dyDescent="0.3">
      <c r="H58" t="str">
        <f t="shared" si="7"/>
        <v/>
      </c>
      <c r="I58" s="1"/>
      <c r="J58" s="1"/>
      <c r="K58" s="1" t="str">
        <f t="shared" si="4"/>
        <v/>
      </c>
      <c r="L58" s="1" t="str">
        <f t="shared" si="5"/>
        <v/>
      </c>
      <c r="M58" s="1" t="str">
        <f t="shared" si="6"/>
        <v/>
      </c>
      <c r="O58">
        <v>57</v>
      </c>
      <c r="P58" t="s">
        <v>83</v>
      </c>
      <c r="Q58" t="s">
        <v>37</v>
      </c>
      <c r="R58">
        <v>268</v>
      </c>
      <c r="S58">
        <v>1092</v>
      </c>
      <c r="T58">
        <v>79</v>
      </c>
    </row>
    <row r="59" spans="8:20" x14ac:dyDescent="0.3">
      <c r="H59" t="str">
        <f t="shared" si="7"/>
        <v/>
      </c>
      <c r="I59" s="1"/>
      <c r="J59" s="1"/>
      <c r="K59" s="1" t="str">
        <f t="shared" si="4"/>
        <v/>
      </c>
      <c r="L59" s="1" t="str">
        <f t="shared" si="5"/>
        <v/>
      </c>
      <c r="M59" s="1" t="str">
        <f t="shared" si="6"/>
        <v/>
      </c>
      <c r="O59">
        <v>58</v>
      </c>
      <c r="P59" t="s">
        <v>84</v>
      </c>
      <c r="Q59" t="s">
        <v>34</v>
      </c>
      <c r="R59">
        <v>333</v>
      </c>
      <c r="S59">
        <v>895</v>
      </c>
      <c r="T59">
        <v>210</v>
      </c>
    </row>
    <row r="60" spans="8:20" x14ac:dyDescent="0.3">
      <c r="H60" t="str">
        <f t="shared" si="7"/>
        <v/>
      </c>
      <c r="I60" s="1"/>
      <c r="J60" s="1"/>
      <c r="K60" s="1" t="str">
        <f t="shared" si="4"/>
        <v/>
      </c>
      <c r="L60" s="1" t="str">
        <f t="shared" si="5"/>
        <v/>
      </c>
      <c r="M60" s="1" t="str">
        <f t="shared" si="6"/>
        <v/>
      </c>
      <c r="O60">
        <v>59</v>
      </c>
      <c r="P60" t="s">
        <v>84</v>
      </c>
      <c r="Q60" t="s">
        <v>37</v>
      </c>
      <c r="R60">
        <v>213</v>
      </c>
      <c r="S60">
        <v>1158</v>
      </c>
      <c r="T60">
        <v>68</v>
      </c>
    </row>
    <row r="61" spans="8:20" x14ac:dyDescent="0.3">
      <c r="H61" t="str">
        <f t="shared" si="7"/>
        <v/>
      </c>
      <c r="I61" s="1"/>
      <c r="J61" s="1"/>
      <c r="K61" s="1" t="str">
        <f t="shared" si="4"/>
        <v/>
      </c>
      <c r="L61" s="1" t="str">
        <f t="shared" si="5"/>
        <v/>
      </c>
      <c r="M61" s="1" t="str">
        <f t="shared" si="6"/>
        <v/>
      </c>
      <c r="O61">
        <v>60</v>
      </c>
      <c r="P61" t="s">
        <v>85</v>
      </c>
      <c r="Q61" t="s">
        <v>34</v>
      </c>
      <c r="R61">
        <v>456</v>
      </c>
      <c r="S61">
        <v>739</v>
      </c>
      <c r="T61">
        <v>243</v>
      </c>
    </row>
    <row r="62" spans="8:20" x14ac:dyDescent="0.3">
      <c r="H62" t="str">
        <f t="shared" si="7"/>
        <v/>
      </c>
      <c r="I62" s="1"/>
      <c r="J62" s="1"/>
      <c r="K62" s="1" t="str">
        <f t="shared" si="4"/>
        <v/>
      </c>
      <c r="L62" s="1" t="str">
        <f t="shared" si="5"/>
        <v/>
      </c>
      <c r="M62" s="1" t="str">
        <f t="shared" si="6"/>
        <v/>
      </c>
      <c r="O62">
        <v>61</v>
      </c>
      <c r="P62" t="s">
        <v>85</v>
      </c>
      <c r="Q62" t="s">
        <v>37</v>
      </c>
      <c r="R62">
        <v>102</v>
      </c>
      <c r="S62">
        <v>848</v>
      </c>
      <c r="T62">
        <v>487</v>
      </c>
    </row>
    <row r="63" spans="8:20" x14ac:dyDescent="0.3">
      <c r="H63" t="str">
        <f t="shared" si="7"/>
        <v/>
      </c>
      <c r="I63" s="1"/>
      <c r="J63" s="1"/>
      <c r="K63" s="1" t="str">
        <f t="shared" si="4"/>
        <v/>
      </c>
      <c r="L63" s="1" t="str">
        <f t="shared" si="5"/>
        <v/>
      </c>
      <c r="M63" s="1" t="str">
        <f t="shared" si="6"/>
        <v/>
      </c>
      <c r="O63">
        <v>62</v>
      </c>
      <c r="P63" t="s">
        <v>86</v>
      </c>
      <c r="Q63" t="s">
        <v>34</v>
      </c>
      <c r="R63">
        <v>0</v>
      </c>
      <c r="S63">
        <v>0</v>
      </c>
      <c r="T63">
        <v>1440</v>
      </c>
    </row>
    <row r="64" spans="8:20" x14ac:dyDescent="0.3">
      <c r="H64" t="str">
        <f t="shared" si="7"/>
        <v/>
      </c>
      <c r="I64" s="1"/>
      <c r="J64" s="1"/>
      <c r="K64" s="1" t="str">
        <f t="shared" si="4"/>
        <v/>
      </c>
      <c r="L64" s="1" t="str">
        <f t="shared" si="5"/>
        <v/>
      </c>
      <c r="M64" s="1" t="str">
        <f t="shared" si="6"/>
        <v/>
      </c>
      <c r="O64">
        <v>63</v>
      </c>
      <c r="P64" t="s">
        <v>86</v>
      </c>
      <c r="Q64" t="s">
        <v>37</v>
      </c>
      <c r="R64">
        <v>0</v>
      </c>
      <c r="S64">
        <v>0</v>
      </c>
      <c r="T64">
        <v>1440</v>
      </c>
    </row>
    <row r="65" spans="8:20" x14ac:dyDescent="0.3">
      <c r="H65" t="str">
        <f t="shared" si="7"/>
        <v/>
      </c>
      <c r="I65" s="1"/>
      <c r="J65" s="1"/>
      <c r="K65" s="1" t="str">
        <f t="shared" si="4"/>
        <v/>
      </c>
      <c r="L65" s="1" t="str">
        <f t="shared" si="5"/>
        <v/>
      </c>
      <c r="M65" s="1" t="str">
        <f t="shared" si="6"/>
        <v/>
      </c>
      <c r="O65">
        <v>64</v>
      </c>
      <c r="P65" t="s">
        <v>87</v>
      </c>
      <c r="Q65" t="s">
        <v>34</v>
      </c>
      <c r="R65">
        <v>183</v>
      </c>
      <c r="S65">
        <v>848</v>
      </c>
      <c r="T65">
        <v>407</v>
      </c>
    </row>
    <row r="66" spans="8:20" x14ac:dyDescent="0.3">
      <c r="H66" t="str">
        <f t="shared" si="7"/>
        <v/>
      </c>
      <c r="I66" s="1"/>
      <c r="J66" s="1"/>
      <c r="K66" s="1" t="str">
        <f t="shared" si="4"/>
        <v/>
      </c>
      <c r="L66" s="1" t="str">
        <f t="shared" si="5"/>
        <v/>
      </c>
      <c r="M66" s="1" t="str">
        <f t="shared" si="6"/>
        <v/>
      </c>
      <c r="O66">
        <v>65</v>
      </c>
      <c r="P66" t="s">
        <v>87</v>
      </c>
      <c r="Q66" t="s">
        <v>37</v>
      </c>
      <c r="R66">
        <v>386</v>
      </c>
      <c r="S66">
        <v>903</v>
      </c>
      <c r="T66">
        <v>149</v>
      </c>
    </row>
    <row r="67" spans="8:20" x14ac:dyDescent="0.3">
      <c r="H67" t="str">
        <f t="shared" si="7"/>
        <v/>
      </c>
      <c r="I67" s="1"/>
      <c r="J67" s="1"/>
      <c r="K67" s="1" t="str">
        <f t="shared" si="4"/>
        <v/>
      </c>
      <c r="L67" s="1" t="str">
        <f t="shared" si="5"/>
        <v/>
      </c>
      <c r="M67" s="1" t="str">
        <f t="shared" si="6"/>
        <v/>
      </c>
      <c r="O67">
        <v>66</v>
      </c>
      <c r="P67" t="s">
        <v>88</v>
      </c>
      <c r="Q67" t="s">
        <v>34</v>
      </c>
      <c r="R67">
        <v>376</v>
      </c>
      <c r="S67">
        <v>860</v>
      </c>
      <c r="T67">
        <v>202</v>
      </c>
    </row>
    <row r="68" spans="8:20" x14ac:dyDescent="0.3">
      <c r="H68" t="str">
        <f t="shared" si="7"/>
        <v/>
      </c>
      <c r="I68" s="1"/>
      <c r="J68" s="1"/>
      <c r="K68" s="1" t="str">
        <f t="shared" si="4"/>
        <v/>
      </c>
      <c r="L68" s="1" t="str">
        <f t="shared" si="5"/>
        <v/>
      </c>
      <c r="M68" s="1" t="str">
        <f t="shared" si="6"/>
        <v/>
      </c>
      <c r="O68">
        <v>67</v>
      </c>
      <c r="P68" t="s">
        <v>88</v>
      </c>
      <c r="Q68" t="s">
        <v>37</v>
      </c>
      <c r="R68">
        <v>365</v>
      </c>
      <c r="S68">
        <v>941</v>
      </c>
      <c r="T68">
        <v>132</v>
      </c>
    </row>
    <row r="69" spans="8:20" x14ac:dyDescent="0.3">
      <c r="H69" t="str">
        <f t="shared" si="7"/>
        <v/>
      </c>
      <c r="I69" s="1"/>
      <c r="J69" s="1"/>
      <c r="K69" s="1" t="str">
        <f t="shared" si="4"/>
        <v/>
      </c>
      <c r="L69" s="1" t="str">
        <f t="shared" si="5"/>
        <v/>
      </c>
      <c r="M69" s="1" t="str">
        <f t="shared" si="6"/>
        <v/>
      </c>
      <c r="O69">
        <v>68</v>
      </c>
      <c r="P69" t="s">
        <v>89</v>
      </c>
      <c r="Q69" t="s">
        <v>34</v>
      </c>
      <c r="R69">
        <v>387</v>
      </c>
      <c r="S69">
        <v>848</v>
      </c>
      <c r="T69">
        <v>203</v>
      </c>
    </row>
    <row r="70" spans="8:20" x14ac:dyDescent="0.3">
      <c r="H70" t="str">
        <f t="shared" si="7"/>
        <v/>
      </c>
      <c r="I70" s="1"/>
      <c r="J70" s="1"/>
      <c r="K70" s="1" t="str">
        <f t="shared" si="4"/>
        <v/>
      </c>
      <c r="L70" s="1" t="str">
        <f t="shared" si="5"/>
        <v/>
      </c>
      <c r="M70" s="1" t="str">
        <f t="shared" si="6"/>
        <v/>
      </c>
      <c r="O70">
        <v>69</v>
      </c>
      <c r="P70" t="s">
        <v>89</v>
      </c>
      <c r="Q70" t="s">
        <v>37</v>
      </c>
      <c r="R70">
        <v>86</v>
      </c>
      <c r="S70">
        <v>1077</v>
      </c>
      <c r="T70">
        <v>275</v>
      </c>
    </row>
    <row r="71" spans="8:20" x14ac:dyDescent="0.3">
      <c r="H71" t="str">
        <f t="shared" si="7"/>
        <v/>
      </c>
      <c r="I71" s="1"/>
      <c r="J71" s="1"/>
      <c r="K71" s="1" t="str">
        <f t="shared" si="4"/>
        <v/>
      </c>
      <c r="L71" s="1" t="str">
        <f t="shared" si="5"/>
        <v/>
      </c>
      <c r="M71" s="1" t="str">
        <f t="shared" si="6"/>
        <v/>
      </c>
      <c r="O71">
        <v>70</v>
      </c>
      <c r="P71" t="s">
        <v>90</v>
      </c>
      <c r="Q71" t="s">
        <v>34</v>
      </c>
      <c r="R71">
        <v>176</v>
      </c>
      <c r="S71">
        <v>849</v>
      </c>
      <c r="T71">
        <v>412</v>
      </c>
    </row>
    <row r="72" spans="8:20" x14ac:dyDescent="0.3">
      <c r="H72" t="str">
        <f t="shared" si="7"/>
        <v/>
      </c>
      <c r="I72" s="1"/>
      <c r="J72" s="1"/>
      <c r="K72" s="1" t="str">
        <f t="shared" si="4"/>
        <v/>
      </c>
      <c r="L72" s="1" t="str">
        <f t="shared" si="5"/>
        <v/>
      </c>
      <c r="M72" s="1" t="str">
        <f t="shared" si="6"/>
        <v/>
      </c>
      <c r="O72">
        <v>71</v>
      </c>
      <c r="P72" t="s">
        <v>90</v>
      </c>
      <c r="Q72" t="s">
        <v>37</v>
      </c>
      <c r="R72">
        <v>70</v>
      </c>
      <c r="S72">
        <v>1097</v>
      </c>
      <c r="T72">
        <v>271</v>
      </c>
    </row>
    <row r="73" spans="8:20" x14ac:dyDescent="0.3">
      <c r="H73" t="str">
        <f t="shared" si="7"/>
        <v/>
      </c>
      <c r="I73" s="1"/>
      <c r="J73" s="1"/>
      <c r="K73" s="1" t="str">
        <f t="shared" si="4"/>
        <v/>
      </c>
      <c r="L73" s="1" t="str">
        <f t="shared" si="5"/>
        <v/>
      </c>
      <c r="M73" s="1" t="str">
        <f t="shared" si="6"/>
        <v/>
      </c>
      <c r="O73">
        <v>72</v>
      </c>
      <c r="P73" t="s">
        <v>91</v>
      </c>
      <c r="Q73" t="s">
        <v>34</v>
      </c>
      <c r="R73">
        <v>178</v>
      </c>
      <c r="S73">
        <v>855</v>
      </c>
      <c r="T73">
        <v>405</v>
      </c>
    </row>
    <row r="74" spans="8:20" x14ac:dyDescent="0.3">
      <c r="H74" t="str">
        <f t="shared" si="7"/>
        <v/>
      </c>
      <c r="I74" s="1"/>
      <c r="J74" s="1"/>
      <c r="K74" s="1" t="str">
        <f t="shared" si="4"/>
        <v/>
      </c>
      <c r="L74" s="1" t="str">
        <f t="shared" si="5"/>
        <v/>
      </c>
      <c r="M74" s="1" t="str">
        <f t="shared" si="6"/>
        <v/>
      </c>
      <c r="O74">
        <v>73</v>
      </c>
      <c r="P74" t="s">
        <v>91</v>
      </c>
      <c r="Q74" t="s">
        <v>37</v>
      </c>
      <c r="R74">
        <v>169</v>
      </c>
      <c r="S74">
        <v>1120</v>
      </c>
      <c r="T74">
        <v>148</v>
      </c>
    </row>
    <row r="75" spans="8:20" x14ac:dyDescent="0.3">
      <c r="H75" t="str">
        <f t="shared" si="7"/>
        <v/>
      </c>
      <c r="I75" s="1"/>
      <c r="J75" s="1"/>
      <c r="K75" s="1" t="str">
        <f t="shared" si="4"/>
        <v/>
      </c>
      <c r="L75" s="1" t="str">
        <f t="shared" si="5"/>
        <v/>
      </c>
      <c r="M75" s="1" t="str">
        <f t="shared" si="6"/>
        <v/>
      </c>
      <c r="O75">
        <v>74</v>
      </c>
      <c r="P75" t="s">
        <v>92</v>
      </c>
      <c r="Q75" t="s">
        <v>34</v>
      </c>
      <c r="R75">
        <v>383</v>
      </c>
      <c r="S75">
        <v>823</v>
      </c>
      <c r="T75">
        <v>232</v>
      </c>
    </row>
    <row r="76" spans="8:20" x14ac:dyDescent="0.3">
      <c r="I76" s="1"/>
      <c r="J76" s="1"/>
      <c r="K76" s="1"/>
      <c r="L76" s="1"/>
      <c r="M76" s="1"/>
      <c r="O76">
        <v>75</v>
      </c>
      <c r="P76" t="s">
        <v>92</v>
      </c>
      <c r="Q76" t="s">
        <v>37</v>
      </c>
      <c r="R76">
        <v>125</v>
      </c>
      <c r="S76">
        <v>1068</v>
      </c>
      <c r="T76">
        <v>245</v>
      </c>
    </row>
    <row r="77" spans="8:20" x14ac:dyDescent="0.3">
      <c r="I77" s="1"/>
      <c r="J77" s="1"/>
      <c r="K77" s="1"/>
      <c r="L77" s="1"/>
      <c r="M77" s="1"/>
      <c r="O77">
        <v>76</v>
      </c>
      <c r="P77" t="s">
        <v>93</v>
      </c>
      <c r="Q77" t="s">
        <v>34</v>
      </c>
      <c r="R77">
        <v>81</v>
      </c>
      <c r="S77">
        <v>1113</v>
      </c>
      <c r="T77">
        <v>243</v>
      </c>
    </row>
    <row r="78" spans="8:20" x14ac:dyDescent="0.3">
      <c r="I78" s="1"/>
      <c r="J78" s="1"/>
      <c r="K78" s="1"/>
      <c r="L78" s="1"/>
      <c r="M78" s="1"/>
      <c r="O78">
        <v>77</v>
      </c>
      <c r="P78" t="s">
        <v>93</v>
      </c>
      <c r="Q78" t="s">
        <v>37</v>
      </c>
      <c r="R78">
        <v>0</v>
      </c>
      <c r="S78">
        <v>0</v>
      </c>
      <c r="T78">
        <v>1440</v>
      </c>
    </row>
    <row r="79" spans="8:20" x14ac:dyDescent="0.3">
      <c r="I79" s="1"/>
      <c r="J79" s="1"/>
      <c r="K79" s="1"/>
      <c r="L79" s="1"/>
      <c r="M79" s="1"/>
      <c r="O79">
        <v>78</v>
      </c>
      <c r="P79" t="s">
        <v>94</v>
      </c>
      <c r="Q79" t="s">
        <v>34</v>
      </c>
      <c r="R79">
        <v>95</v>
      </c>
      <c r="S79">
        <v>926</v>
      </c>
      <c r="T79">
        <v>416</v>
      </c>
    </row>
    <row r="80" spans="8:20" x14ac:dyDescent="0.3">
      <c r="I80" s="1"/>
      <c r="J80" s="1"/>
      <c r="K80" s="1"/>
      <c r="L80" s="1"/>
      <c r="M80" s="1"/>
      <c r="O80">
        <v>79</v>
      </c>
      <c r="P80" t="s">
        <v>94</v>
      </c>
      <c r="Q80" t="s">
        <v>37</v>
      </c>
      <c r="R80">
        <v>173</v>
      </c>
      <c r="S80">
        <v>1219</v>
      </c>
      <c r="T80">
        <v>46</v>
      </c>
    </row>
    <row r="81" spans="9:20" x14ac:dyDescent="0.3">
      <c r="I81" s="1"/>
      <c r="J81" s="1"/>
      <c r="K81" s="1"/>
      <c r="L81" s="1"/>
      <c r="M81" s="1"/>
      <c r="O81">
        <v>80</v>
      </c>
      <c r="P81" t="s">
        <v>95</v>
      </c>
      <c r="Q81" t="s">
        <v>34</v>
      </c>
      <c r="R81">
        <v>169</v>
      </c>
      <c r="S81">
        <v>832</v>
      </c>
      <c r="T81">
        <v>437</v>
      </c>
    </row>
    <row r="82" spans="9:20" x14ac:dyDescent="0.3">
      <c r="I82" s="1"/>
      <c r="J82" s="1"/>
      <c r="K82" s="1"/>
      <c r="L82" s="1"/>
      <c r="M82" s="1"/>
      <c r="O82">
        <v>81</v>
      </c>
      <c r="P82" t="s">
        <v>95</v>
      </c>
      <c r="Q82" t="s">
        <v>37</v>
      </c>
      <c r="R82">
        <v>235</v>
      </c>
      <c r="S82">
        <v>1181</v>
      </c>
      <c r="T82">
        <v>22</v>
      </c>
    </row>
    <row r="83" spans="9:20" x14ac:dyDescent="0.3">
      <c r="I83" s="1"/>
      <c r="J83" s="1"/>
      <c r="K83" s="1"/>
      <c r="L83" s="1"/>
      <c r="M83" s="1"/>
      <c r="O83">
        <v>82</v>
      </c>
      <c r="P83" t="s">
        <v>96</v>
      </c>
      <c r="Q83" t="s">
        <v>34</v>
      </c>
      <c r="R83">
        <v>255</v>
      </c>
      <c r="S83">
        <v>971</v>
      </c>
      <c r="T83">
        <v>212</v>
      </c>
    </row>
    <row r="84" spans="9:20" x14ac:dyDescent="0.3">
      <c r="I84" s="1"/>
      <c r="J84" s="1"/>
      <c r="K84" s="1"/>
      <c r="L84" s="1"/>
      <c r="M84" s="1"/>
      <c r="O84">
        <v>83</v>
      </c>
      <c r="P84" t="s">
        <v>96</v>
      </c>
      <c r="Q84" t="s">
        <v>37</v>
      </c>
      <c r="R84">
        <v>195</v>
      </c>
      <c r="S84">
        <v>1051</v>
      </c>
      <c r="T84">
        <v>192</v>
      </c>
    </row>
    <row r="85" spans="9:20" x14ac:dyDescent="0.3">
      <c r="I85" s="1"/>
      <c r="J85" s="1"/>
      <c r="K85" s="1"/>
      <c r="L85" s="1"/>
      <c r="M85" s="1"/>
      <c r="O85">
        <v>84</v>
      </c>
      <c r="P85" t="s">
        <v>97</v>
      </c>
      <c r="Q85" t="s">
        <v>34</v>
      </c>
      <c r="R85">
        <v>133</v>
      </c>
      <c r="S85">
        <v>886</v>
      </c>
      <c r="T85">
        <v>418</v>
      </c>
    </row>
    <row r="86" spans="9:20" x14ac:dyDescent="0.3">
      <c r="I86" s="1"/>
      <c r="J86" s="1"/>
      <c r="K86" s="1"/>
      <c r="L86" s="1"/>
      <c r="M86" s="1"/>
      <c r="O86">
        <v>85</v>
      </c>
      <c r="P86" t="s">
        <v>97</v>
      </c>
      <c r="Q86" t="s">
        <v>37</v>
      </c>
      <c r="R86">
        <v>160</v>
      </c>
      <c r="S86">
        <v>1201</v>
      </c>
      <c r="T86">
        <v>77</v>
      </c>
    </row>
    <row r="87" spans="9:20" x14ac:dyDescent="0.3">
      <c r="I87" s="1"/>
      <c r="J87" s="1"/>
      <c r="K87" s="1"/>
      <c r="L87" s="1"/>
      <c r="M87" s="1"/>
      <c r="O87">
        <v>86</v>
      </c>
      <c r="P87" t="s">
        <v>98</v>
      </c>
      <c r="Q87" t="s">
        <v>34</v>
      </c>
      <c r="R87">
        <v>145</v>
      </c>
      <c r="S87">
        <v>1087</v>
      </c>
      <c r="T87">
        <v>204</v>
      </c>
    </row>
    <row r="88" spans="9:20" x14ac:dyDescent="0.3">
      <c r="I88" s="1"/>
      <c r="J88" s="1"/>
      <c r="K88" s="1"/>
      <c r="L88" s="1"/>
      <c r="M88" s="1"/>
      <c r="O88">
        <v>87</v>
      </c>
      <c r="P88" t="s">
        <v>98</v>
      </c>
      <c r="Q88" t="s">
        <v>37</v>
      </c>
      <c r="R88">
        <v>156</v>
      </c>
      <c r="S88">
        <v>543</v>
      </c>
      <c r="T88">
        <v>739</v>
      </c>
    </row>
    <row r="89" spans="9:20" x14ac:dyDescent="0.3">
      <c r="I89" s="1"/>
      <c r="J89" s="1"/>
      <c r="K89" s="1"/>
      <c r="L89" s="1"/>
      <c r="M89" s="1"/>
      <c r="O89">
        <v>88</v>
      </c>
      <c r="P89" t="s">
        <v>99</v>
      </c>
      <c r="Q89" t="s">
        <v>34</v>
      </c>
      <c r="R89">
        <v>0</v>
      </c>
      <c r="S89">
        <v>0</v>
      </c>
      <c r="T89">
        <v>1440</v>
      </c>
    </row>
    <row r="90" spans="9:20" x14ac:dyDescent="0.3">
      <c r="I90" s="1"/>
      <c r="J90" s="1"/>
      <c r="K90" s="1"/>
      <c r="L90" s="1"/>
      <c r="M90" s="1"/>
      <c r="O90">
        <v>89</v>
      </c>
      <c r="P90" t="s">
        <v>99</v>
      </c>
      <c r="Q90" t="s">
        <v>37</v>
      </c>
      <c r="R90">
        <v>0</v>
      </c>
      <c r="S90">
        <v>0</v>
      </c>
      <c r="T90">
        <v>1440</v>
      </c>
    </row>
    <row r="91" spans="9:20" x14ac:dyDescent="0.3">
      <c r="I91" s="1"/>
      <c r="J91" s="1"/>
      <c r="K91" s="1"/>
      <c r="L91" s="1"/>
      <c r="M91" s="1"/>
      <c r="O91">
        <v>90</v>
      </c>
      <c r="P91" t="s">
        <v>100</v>
      </c>
      <c r="Q91" t="s">
        <v>34</v>
      </c>
      <c r="R91">
        <v>0</v>
      </c>
      <c r="S91">
        <v>0</v>
      </c>
      <c r="T91">
        <v>1440</v>
      </c>
    </row>
    <row r="92" spans="9:20" x14ac:dyDescent="0.3">
      <c r="I92" s="1"/>
      <c r="J92" s="1"/>
      <c r="K92" s="1"/>
      <c r="L92" s="1"/>
      <c r="M92" s="1"/>
      <c r="O92">
        <v>91</v>
      </c>
      <c r="P92" t="s">
        <v>100</v>
      </c>
      <c r="Q92" t="s">
        <v>37</v>
      </c>
      <c r="R92">
        <v>0</v>
      </c>
      <c r="S92">
        <v>0</v>
      </c>
      <c r="T92">
        <v>1440</v>
      </c>
    </row>
    <row r="93" spans="9:20" x14ac:dyDescent="0.3">
      <c r="I93" s="1"/>
      <c r="J93" s="1"/>
      <c r="K93" s="1"/>
      <c r="L93" s="1"/>
      <c r="M93" s="1"/>
      <c r="O93">
        <v>92</v>
      </c>
      <c r="P93" t="s">
        <v>101</v>
      </c>
      <c r="Q93" t="s">
        <v>34</v>
      </c>
      <c r="R93">
        <v>0</v>
      </c>
      <c r="S93">
        <v>0</v>
      </c>
      <c r="T93">
        <v>1440</v>
      </c>
    </row>
    <row r="94" spans="9:20" x14ac:dyDescent="0.3">
      <c r="I94" s="1"/>
      <c r="J94" s="1"/>
      <c r="K94" s="1"/>
      <c r="L94" s="1"/>
      <c r="M94" s="1"/>
      <c r="O94">
        <v>93</v>
      </c>
      <c r="P94" t="s">
        <v>101</v>
      </c>
      <c r="Q94" t="s">
        <v>37</v>
      </c>
      <c r="R94">
        <v>0</v>
      </c>
      <c r="S94">
        <v>0</v>
      </c>
      <c r="T94">
        <v>1440</v>
      </c>
    </row>
    <row r="95" spans="9:20" x14ac:dyDescent="0.3">
      <c r="I95" s="1"/>
      <c r="J95" s="1"/>
      <c r="K95" s="1"/>
      <c r="L95" s="1"/>
      <c r="M95" s="1"/>
      <c r="O95">
        <v>94</v>
      </c>
      <c r="P95" t="s">
        <v>102</v>
      </c>
      <c r="Q95" t="s">
        <v>34</v>
      </c>
      <c r="R95">
        <v>0</v>
      </c>
      <c r="S95">
        <v>0</v>
      </c>
      <c r="T95">
        <v>1440</v>
      </c>
    </row>
    <row r="96" spans="9:20" x14ac:dyDescent="0.3">
      <c r="I96" s="1"/>
      <c r="J96" s="1"/>
      <c r="K96" s="1"/>
      <c r="L96" s="1"/>
      <c r="M96" s="1"/>
      <c r="O96">
        <v>95</v>
      </c>
      <c r="P96" t="s">
        <v>102</v>
      </c>
      <c r="Q96" t="s">
        <v>37</v>
      </c>
      <c r="R96">
        <v>0</v>
      </c>
      <c r="S96">
        <v>0</v>
      </c>
      <c r="T96">
        <v>1440</v>
      </c>
    </row>
    <row r="97" spans="9:20" x14ac:dyDescent="0.3">
      <c r="I97" s="1"/>
      <c r="J97" s="1"/>
      <c r="K97" s="1"/>
      <c r="L97" s="1"/>
      <c r="M97" s="1"/>
      <c r="O97">
        <v>96</v>
      </c>
      <c r="P97" t="s">
        <v>103</v>
      </c>
      <c r="Q97" t="s">
        <v>34</v>
      </c>
      <c r="R97">
        <v>0</v>
      </c>
      <c r="S97">
        <v>0</v>
      </c>
      <c r="T97">
        <v>1440</v>
      </c>
    </row>
    <row r="98" spans="9:20" x14ac:dyDescent="0.3">
      <c r="I98" s="1"/>
      <c r="J98" s="1"/>
      <c r="K98" s="1"/>
      <c r="L98" s="1"/>
      <c r="M98" s="1"/>
      <c r="O98">
        <v>97</v>
      </c>
      <c r="P98" t="s">
        <v>103</v>
      </c>
      <c r="Q98" t="s">
        <v>37</v>
      </c>
      <c r="R98">
        <v>0</v>
      </c>
      <c r="S98">
        <v>0</v>
      </c>
      <c r="T98">
        <v>1440</v>
      </c>
    </row>
    <row r="99" spans="9:20" x14ac:dyDescent="0.3">
      <c r="I99" s="1"/>
      <c r="J99" s="1"/>
      <c r="K99" s="1"/>
      <c r="L99" s="1"/>
      <c r="M99" s="1"/>
      <c r="O99">
        <v>98</v>
      </c>
      <c r="P99" t="s">
        <v>104</v>
      </c>
      <c r="Q99" t="s">
        <v>34</v>
      </c>
      <c r="R99">
        <v>0</v>
      </c>
      <c r="S99">
        <v>0</v>
      </c>
      <c r="T99">
        <v>1440</v>
      </c>
    </row>
    <row r="100" spans="9:20" x14ac:dyDescent="0.3">
      <c r="I100" s="1"/>
      <c r="J100" s="1"/>
      <c r="K100" s="1"/>
      <c r="L100" s="1"/>
      <c r="M100" s="1"/>
      <c r="O100">
        <v>99</v>
      </c>
      <c r="P100" t="s">
        <v>104</v>
      </c>
      <c r="Q100" t="s">
        <v>37</v>
      </c>
      <c r="R100">
        <v>0</v>
      </c>
      <c r="S100">
        <v>0</v>
      </c>
      <c r="T100">
        <v>1440</v>
      </c>
    </row>
    <row r="101" spans="9:20" x14ac:dyDescent="0.3">
      <c r="I101" s="1"/>
      <c r="J101" s="1"/>
      <c r="K101" s="1"/>
      <c r="L101" s="1"/>
      <c r="M101" s="1"/>
      <c r="O101">
        <v>100</v>
      </c>
      <c r="P101" t="s">
        <v>105</v>
      </c>
      <c r="Q101" t="s">
        <v>34</v>
      </c>
      <c r="R101">
        <v>0</v>
      </c>
      <c r="S101">
        <v>0</v>
      </c>
      <c r="T101">
        <v>1440</v>
      </c>
    </row>
    <row r="102" spans="9:20" x14ac:dyDescent="0.3">
      <c r="O102">
        <v>101</v>
      </c>
      <c r="P102" t="s">
        <v>105</v>
      </c>
      <c r="Q102" t="s">
        <v>37</v>
      </c>
      <c r="R102">
        <v>0</v>
      </c>
      <c r="S102">
        <v>0</v>
      </c>
      <c r="T102">
        <v>1440</v>
      </c>
    </row>
    <row r="103" spans="9:20" x14ac:dyDescent="0.3">
      <c r="O103">
        <v>102</v>
      </c>
      <c r="P103" t="s">
        <v>106</v>
      </c>
      <c r="Q103" t="s">
        <v>34</v>
      </c>
      <c r="R103">
        <v>0</v>
      </c>
      <c r="S103">
        <v>0</v>
      </c>
      <c r="T103">
        <v>1440</v>
      </c>
    </row>
    <row r="104" spans="9:20" x14ac:dyDescent="0.3">
      <c r="O104">
        <v>103</v>
      </c>
      <c r="P104" t="s">
        <v>106</v>
      </c>
      <c r="Q104" t="s">
        <v>37</v>
      </c>
      <c r="R104">
        <v>0</v>
      </c>
      <c r="S104">
        <v>0</v>
      </c>
      <c r="T104">
        <v>1440</v>
      </c>
    </row>
    <row r="105" spans="9:20" x14ac:dyDescent="0.3">
      <c r="O105">
        <v>104</v>
      </c>
      <c r="P105" t="s">
        <v>107</v>
      </c>
      <c r="Q105" t="s">
        <v>34</v>
      </c>
      <c r="R105">
        <v>0</v>
      </c>
      <c r="S105">
        <v>0</v>
      </c>
      <c r="T105">
        <v>1440</v>
      </c>
    </row>
    <row r="106" spans="9:20" x14ac:dyDescent="0.3">
      <c r="O106">
        <v>105</v>
      </c>
      <c r="P106" t="s">
        <v>107</v>
      </c>
      <c r="Q106" t="s">
        <v>37</v>
      </c>
      <c r="R106">
        <v>0</v>
      </c>
      <c r="S106">
        <v>0</v>
      </c>
      <c r="T106">
        <v>1440</v>
      </c>
    </row>
    <row r="107" spans="9:20" x14ac:dyDescent="0.3">
      <c r="O107">
        <v>106</v>
      </c>
      <c r="P107" t="s">
        <v>108</v>
      </c>
      <c r="Q107" t="s">
        <v>34</v>
      </c>
      <c r="R107">
        <v>128</v>
      </c>
      <c r="S107">
        <v>878</v>
      </c>
      <c r="T107">
        <v>431</v>
      </c>
    </row>
    <row r="108" spans="9:20" x14ac:dyDescent="0.3">
      <c r="O108">
        <v>107</v>
      </c>
      <c r="P108" t="s">
        <v>108</v>
      </c>
      <c r="Q108" t="s">
        <v>37</v>
      </c>
      <c r="R108">
        <v>87</v>
      </c>
      <c r="S108">
        <v>1092</v>
      </c>
      <c r="T108">
        <v>258</v>
      </c>
    </row>
    <row r="109" spans="9:20" x14ac:dyDescent="0.3">
      <c r="O109">
        <v>108</v>
      </c>
      <c r="P109" t="s">
        <v>109</v>
      </c>
      <c r="Q109" t="s">
        <v>34</v>
      </c>
      <c r="R109">
        <v>152</v>
      </c>
      <c r="S109">
        <v>864</v>
      </c>
      <c r="T109">
        <v>420</v>
      </c>
    </row>
    <row r="110" spans="9:20" x14ac:dyDescent="0.3">
      <c r="O110">
        <v>109</v>
      </c>
      <c r="P110" t="s">
        <v>109</v>
      </c>
      <c r="Q110" t="s">
        <v>37</v>
      </c>
      <c r="R110">
        <v>114</v>
      </c>
      <c r="S110">
        <v>1104</v>
      </c>
      <c r="T110">
        <v>219</v>
      </c>
    </row>
    <row r="111" spans="9:20" x14ac:dyDescent="0.3">
      <c r="O111">
        <v>110</v>
      </c>
      <c r="P111" t="s">
        <v>110</v>
      </c>
      <c r="Q111" t="s">
        <v>34</v>
      </c>
      <c r="R111">
        <v>60</v>
      </c>
      <c r="S111">
        <v>959</v>
      </c>
      <c r="T111">
        <v>419</v>
      </c>
    </row>
    <row r="112" spans="9:20" x14ac:dyDescent="0.3">
      <c r="O112">
        <v>111</v>
      </c>
      <c r="P112" t="s">
        <v>110</v>
      </c>
      <c r="Q112" t="s">
        <v>37</v>
      </c>
      <c r="R112">
        <v>223</v>
      </c>
      <c r="S112">
        <v>1191</v>
      </c>
      <c r="T112">
        <v>24</v>
      </c>
    </row>
    <row r="113" spans="15:20" x14ac:dyDescent="0.3">
      <c r="O113">
        <v>112</v>
      </c>
      <c r="P113" t="s">
        <v>111</v>
      </c>
      <c r="Q113" t="s">
        <v>34</v>
      </c>
      <c r="R113">
        <v>197</v>
      </c>
      <c r="S113">
        <v>997</v>
      </c>
      <c r="T113">
        <v>240</v>
      </c>
    </row>
    <row r="114" spans="15:20" x14ac:dyDescent="0.3">
      <c r="O114">
        <v>113</v>
      </c>
      <c r="P114" t="s">
        <v>111</v>
      </c>
      <c r="Q114" t="s">
        <v>37</v>
      </c>
      <c r="R114">
        <v>118</v>
      </c>
      <c r="S114">
        <v>1262</v>
      </c>
      <c r="T114">
        <v>59</v>
      </c>
    </row>
    <row r="115" spans="15:20" x14ac:dyDescent="0.3">
      <c r="O115">
        <v>114</v>
      </c>
      <c r="P115" t="s">
        <v>112</v>
      </c>
      <c r="Q115" t="s">
        <v>34</v>
      </c>
      <c r="R115">
        <v>119</v>
      </c>
      <c r="S115">
        <v>1114</v>
      </c>
      <c r="T115">
        <v>205</v>
      </c>
    </row>
    <row r="116" spans="15:20" x14ac:dyDescent="0.3">
      <c r="O116">
        <v>115</v>
      </c>
      <c r="P116" t="s">
        <v>112</v>
      </c>
      <c r="Q116" t="s">
        <v>37</v>
      </c>
      <c r="R116">
        <v>192</v>
      </c>
      <c r="S116">
        <v>1247</v>
      </c>
      <c r="T116">
        <v>0</v>
      </c>
    </row>
    <row r="117" spans="15:20" x14ac:dyDescent="0.3">
      <c r="O117">
        <v>116</v>
      </c>
      <c r="P117" t="s">
        <v>113</v>
      </c>
      <c r="Q117" t="s">
        <v>34</v>
      </c>
      <c r="R117">
        <v>87</v>
      </c>
      <c r="S117">
        <v>1083</v>
      </c>
      <c r="T117">
        <v>268</v>
      </c>
    </row>
    <row r="118" spans="15:20" x14ac:dyDescent="0.3">
      <c r="O118">
        <v>117</v>
      </c>
      <c r="P118" t="s">
        <v>113</v>
      </c>
      <c r="Q118" t="s">
        <v>37</v>
      </c>
      <c r="R118">
        <v>143</v>
      </c>
      <c r="S118">
        <v>806</v>
      </c>
      <c r="T118">
        <v>490</v>
      </c>
    </row>
    <row r="119" spans="15:20" x14ac:dyDescent="0.3">
      <c r="O119">
        <v>118</v>
      </c>
      <c r="P119" t="s">
        <v>114</v>
      </c>
      <c r="Q119" t="s">
        <v>34</v>
      </c>
      <c r="R119">
        <v>0</v>
      </c>
      <c r="S119">
        <v>0</v>
      </c>
      <c r="T119">
        <v>1310</v>
      </c>
    </row>
    <row r="120" spans="15:20" x14ac:dyDescent="0.3">
      <c r="O120">
        <v>119</v>
      </c>
      <c r="P120" t="s">
        <v>114</v>
      </c>
      <c r="Q120" t="s">
        <v>37</v>
      </c>
      <c r="R120">
        <v>0</v>
      </c>
      <c r="S120">
        <v>0</v>
      </c>
      <c r="T120">
        <v>1440</v>
      </c>
    </row>
    <row r="121" spans="15:20" x14ac:dyDescent="0.3">
      <c r="O121">
        <v>120</v>
      </c>
      <c r="P121" t="s">
        <v>115</v>
      </c>
      <c r="Q121" t="s">
        <v>34</v>
      </c>
      <c r="R121">
        <v>120</v>
      </c>
      <c r="S121">
        <v>910</v>
      </c>
      <c r="T121">
        <v>407</v>
      </c>
    </row>
    <row r="122" spans="15:20" x14ac:dyDescent="0.3">
      <c r="O122">
        <v>121</v>
      </c>
      <c r="P122" t="s">
        <v>115</v>
      </c>
      <c r="Q122" t="s">
        <v>37</v>
      </c>
      <c r="R122">
        <v>160</v>
      </c>
      <c r="S122">
        <v>972</v>
      </c>
      <c r="T122">
        <v>306</v>
      </c>
    </row>
    <row r="123" spans="15:20" x14ac:dyDescent="0.3">
      <c r="O123">
        <v>122</v>
      </c>
      <c r="P123" t="s">
        <v>116</v>
      </c>
      <c r="Q123" t="s">
        <v>34</v>
      </c>
      <c r="R123">
        <v>101</v>
      </c>
      <c r="S123">
        <v>927</v>
      </c>
      <c r="T123">
        <v>410</v>
      </c>
    </row>
    <row r="124" spans="15:20" x14ac:dyDescent="0.3">
      <c r="O124">
        <v>123</v>
      </c>
      <c r="P124" t="s">
        <v>116</v>
      </c>
      <c r="Q124" t="s">
        <v>37</v>
      </c>
      <c r="R124">
        <v>119</v>
      </c>
      <c r="S124">
        <v>1016</v>
      </c>
      <c r="T124">
        <v>303</v>
      </c>
    </row>
    <row r="125" spans="15:20" x14ac:dyDescent="0.3">
      <c r="O125">
        <v>124</v>
      </c>
      <c r="P125" t="s">
        <v>117</v>
      </c>
      <c r="Q125" t="s">
        <v>34</v>
      </c>
      <c r="R125">
        <v>127</v>
      </c>
      <c r="S125">
        <v>907</v>
      </c>
      <c r="T125">
        <v>405</v>
      </c>
    </row>
    <row r="126" spans="15:20" x14ac:dyDescent="0.3">
      <c r="O126">
        <v>125</v>
      </c>
      <c r="P126" t="s">
        <v>117</v>
      </c>
      <c r="Q126" t="s">
        <v>37</v>
      </c>
      <c r="R126">
        <v>123</v>
      </c>
      <c r="S126">
        <v>1028</v>
      </c>
      <c r="T126">
        <v>287</v>
      </c>
    </row>
    <row r="127" spans="15:20" x14ac:dyDescent="0.3">
      <c r="O127">
        <v>126</v>
      </c>
      <c r="P127" t="s">
        <v>118</v>
      </c>
      <c r="Q127" t="s">
        <v>34</v>
      </c>
      <c r="R127">
        <v>174</v>
      </c>
      <c r="S127">
        <v>863</v>
      </c>
      <c r="T127">
        <v>399</v>
      </c>
    </row>
    <row r="128" spans="15:20" x14ac:dyDescent="0.3">
      <c r="O128">
        <v>127</v>
      </c>
      <c r="P128" t="s">
        <v>118</v>
      </c>
      <c r="Q128" t="s">
        <v>37</v>
      </c>
      <c r="R128">
        <v>160</v>
      </c>
      <c r="S128">
        <v>975</v>
      </c>
      <c r="T128">
        <v>303</v>
      </c>
    </row>
    <row r="129" spans="15:20" x14ac:dyDescent="0.3">
      <c r="O129">
        <v>128</v>
      </c>
      <c r="P129" t="s">
        <v>119</v>
      </c>
      <c r="Q129" t="s">
        <v>34</v>
      </c>
      <c r="R129">
        <v>112</v>
      </c>
      <c r="S129">
        <v>905</v>
      </c>
      <c r="T129">
        <v>422</v>
      </c>
    </row>
    <row r="130" spans="15:20" x14ac:dyDescent="0.3">
      <c r="O130">
        <v>129</v>
      </c>
      <c r="P130" t="s">
        <v>119</v>
      </c>
      <c r="Q130" t="s">
        <v>37</v>
      </c>
      <c r="R130">
        <v>68</v>
      </c>
      <c r="S130">
        <v>1069</v>
      </c>
      <c r="T130">
        <v>299</v>
      </c>
    </row>
    <row r="131" spans="15:20" x14ac:dyDescent="0.3">
      <c r="O131">
        <v>130</v>
      </c>
      <c r="P131" t="s">
        <v>120</v>
      </c>
      <c r="Q131" t="s">
        <v>34</v>
      </c>
      <c r="R131">
        <v>105</v>
      </c>
      <c r="S131">
        <v>873</v>
      </c>
      <c r="T131">
        <v>460</v>
      </c>
    </row>
    <row r="132" spans="15:20" x14ac:dyDescent="0.3">
      <c r="O132">
        <v>131</v>
      </c>
      <c r="P132" t="s">
        <v>120</v>
      </c>
      <c r="Q132" t="s">
        <v>37</v>
      </c>
      <c r="R132">
        <v>88</v>
      </c>
      <c r="S132">
        <v>862</v>
      </c>
      <c r="T132">
        <v>487</v>
      </c>
    </row>
    <row r="133" spans="15:20" x14ac:dyDescent="0.3">
      <c r="O133">
        <v>132</v>
      </c>
      <c r="P133" t="s">
        <v>121</v>
      </c>
      <c r="Q133" t="s">
        <v>34</v>
      </c>
      <c r="R133">
        <v>64</v>
      </c>
      <c r="S133">
        <v>905</v>
      </c>
      <c r="T133">
        <v>470</v>
      </c>
    </row>
    <row r="134" spans="15:20" x14ac:dyDescent="0.3">
      <c r="O134">
        <v>133</v>
      </c>
      <c r="P134" t="s">
        <v>121</v>
      </c>
      <c r="Q134" t="s">
        <v>37</v>
      </c>
      <c r="R134">
        <v>0</v>
      </c>
      <c r="S134">
        <v>0</v>
      </c>
      <c r="T134">
        <v>1440</v>
      </c>
    </row>
    <row r="135" spans="15:20" x14ac:dyDescent="0.3">
      <c r="O135">
        <v>134</v>
      </c>
      <c r="P135" t="s">
        <v>122</v>
      </c>
      <c r="Q135" t="s">
        <v>34</v>
      </c>
      <c r="R135">
        <v>96</v>
      </c>
      <c r="S135">
        <v>929</v>
      </c>
      <c r="T135">
        <v>413</v>
      </c>
    </row>
    <row r="136" spans="15:20" x14ac:dyDescent="0.3">
      <c r="O136">
        <v>135</v>
      </c>
      <c r="P136" t="s">
        <v>122</v>
      </c>
      <c r="Q136" t="s">
        <v>37</v>
      </c>
      <c r="R136">
        <v>128</v>
      </c>
      <c r="S136">
        <v>1253</v>
      </c>
      <c r="T136">
        <v>58</v>
      </c>
    </row>
    <row r="137" spans="15:20" x14ac:dyDescent="0.3">
      <c r="O137">
        <v>136</v>
      </c>
      <c r="P137" t="s">
        <v>123</v>
      </c>
      <c r="Q137" t="s">
        <v>34</v>
      </c>
      <c r="R137">
        <v>125</v>
      </c>
      <c r="S137">
        <v>895</v>
      </c>
      <c r="T137">
        <v>418</v>
      </c>
    </row>
    <row r="138" spans="15:20" x14ac:dyDescent="0.3">
      <c r="O138">
        <v>137</v>
      </c>
      <c r="P138" t="s">
        <v>123</v>
      </c>
      <c r="Q138" t="s">
        <v>37</v>
      </c>
      <c r="R138">
        <v>140</v>
      </c>
      <c r="S138">
        <v>1299</v>
      </c>
      <c r="T138">
        <v>0</v>
      </c>
    </row>
    <row r="139" spans="15:20" x14ac:dyDescent="0.3">
      <c r="O139">
        <v>138</v>
      </c>
      <c r="P139" t="s">
        <v>124</v>
      </c>
      <c r="Q139" t="s">
        <v>34</v>
      </c>
      <c r="R139">
        <v>99</v>
      </c>
      <c r="S139">
        <v>978</v>
      </c>
      <c r="T139">
        <v>360</v>
      </c>
    </row>
    <row r="140" spans="15:20" x14ac:dyDescent="0.3">
      <c r="O140">
        <v>139</v>
      </c>
      <c r="P140" t="s">
        <v>124</v>
      </c>
      <c r="Q140" t="s">
        <v>37</v>
      </c>
      <c r="R140">
        <v>133</v>
      </c>
      <c r="S140">
        <v>1289</v>
      </c>
      <c r="T140">
        <v>17</v>
      </c>
    </row>
    <row r="141" spans="15:20" x14ac:dyDescent="0.3">
      <c r="O141">
        <v>140</v>
      </c>
      <c r="P141" t="s">
        <v>125</v>
      </c>
      <c r="Q141" t="s">
        <v>34</v>
      </c>
      <c r="R141">
        <v>129</v>
      </c>
      <c r="S141">
        <v>952</v>
      </c>
      <c r="T141">
        <v>356</v>
      </c>
    </row>
    <row r="142" spans="15:20" x14ac:dyDescent="0.3">
      <c r="O142">
        <v>141</v>
      </c>
      <c r="P142" t="s">
        <v>125</v>
      </c>
      <c r="Q142" t="s">
        <v>37</v>
      </c>
      <c r="R142">
        <v>116</v>
      </c>
      <c r="S142">
        <v>1323</v>
      </c>
      <c r="T142">
        <v>0</v>
      </c>
    </row>
    <row r="143" spans="15:20" x14ac:dyDescent="0.3">
      <c r="O143">
        <v>142</v>
      </c>
      <c r="P143" t="s">
        <v>126</v>
      </c>
      <c r="Q143" t="s">
        <v>34</v>
      </c>
      <c r="R143">
        <v>86</v>
      </c>
      <c r="S143">
        <v>977</v>
      </c>
      <c r="T143">
        <v>375</v>
      </c>
    </row>
    <row r="144" spans="15:20" x14ac:dyDescent="0.3">
      <c r="O144">
        <v>143</v>
      </c>
      <c r="P144" t="s">
        <v>126</v>
      </c>
      <c r="Q144" t="s">
        <v>37</v>
      </c>
      <c r="R144">
        <v>74</v>
      </c>
      <c r="S144">
        <v>1300</v>
      </c>
      <c r="T144">
        <v>64</v>
      </c>
    </row>
    <row r="145" spans="15:20" x14ac:dyDescent="0.3">
      <c r="O145">
        <v>144</v>
      </c>
      <c r="P145" t="s">
        <v>127</v>
      </c>
      <c r="Q145" t="s">
        <v>34</v>
      </c>
      <c r="R145">
        <v>152</v>
      </c>
      <c r="S145">
        <v>814</v>
      </c>
      <c r="T145">
        <v>472</v>
      </c>
    </row>
    <row r="146" spans="15:20" x14ac:dyDescent="0.3">
      <c r="O146">
        <v>145</v>
      </c>
      <c r="P146" t="s">
        <v>127</v>
      </c>
      <c r="Q146" t="s">
        <v>37</v>
      </c>
      <c r="R146">
        <v>66</v>
      </c>
      <c r="S146">
        <v>884</v>
      </c>
      <c r="T146">
        <v>488</v>
      </c>
    </row>
    <row r="147" spans="15:20" x14ac:dyDescent="0.3">
      <c r="O147">
        <v>146</v>
      </c>
      <c r="P147" t="s">
        <v>128</v>
      </c>
      <c r="Q147" t="s">
        <v>34</v>
      </c>
      <c r="R147">
        <v>0</v>
      </c>
      <c r="S147">
        <v>0</v>
      </c>
      <c r="T147">
        <v>1440</v>
      </c>
    </row>
    <row r="148" spans="15:20" x14ac:dyDescent="0.3">
      <c r="O148">
        <v>147</v>
      </c>
      <c r="P148" t="s">
        <v>128</v>
      </c>
      <c r="Q148" t="s">
        <v>37</v>
      </c>
      <c r="R148">
        <v>0</v>
      </c>
      <c r="S148">
        <v>0</v>
      </c>
      <c r="T148">
        <v>1440</v>
      </c>
    </row>
    <row r="149" spans="15:20" x14ac:dyDescent="0.3">
      <c r="O149">
        <v>148</v>
      </c>
      <c r="P149" t="s">
        <v>129</v>
      </c>
      <c r="Q149" t="s">
        <v>34</v>
      </c>
      <c r="R149">
        <v>159</v>
      </c>
      <c r="S149">
        <v>872</v>
      </c>
      <c r="T149">
        <v>407</v>
      </c>
    </row>
    <row r="150" spans="15:20" x14ac:dyDescent="0.3">
      <c r="O150">
        <v>149</v>
      </c>
      <c r="P150" t="s">
        <v>129</v>
      </c>
      <c r="Q150" t="s">
        <v>37</v>
      </c>
      <c r="R150">
        <v>130</v>
      </c>
      <c r="S150">
        <v>1025</v>
      </c>
      <c r="T150">
        <v>282</v>
      </c>
    </row>
    <row r="151" spans="15:20" x14ac:dyDescent="0.3">
      <c r="O151">
        <v>150</v>
      </c>
      <c r="P151" t="s">
        <v>130</v>
      </c>
      <c r="Q151" t="s">
        <v>34</v>
      </c>
      <c r="R151">
        <v>135</v>
      </c>
      <c r="S151">
        <v>900</v>
      </c>
      <c r="T151">
        <v>403</v>
      </c>
    </row>
    <row r="152" spans="15:20" x14ac:dyDescent="0.3">
      <c r="O152">
        <v>151</v>
      </c>
      <c r="P152" t="s">
        <v>130</v>
      </c>
      <c r="Q152" t="s">
        <v>37</v>
      </c>
      <c r="R152">
        <v>102</v>
      </c>
      <c r="S152">
        <v>1028</v>
      </c>
      <c r="T152">
        <v>307</v>
      </c>
    </row>
    <row r="153" spans="15:20" x14ac:dyDescent="0.3">
      <c r="O153">
        <v>152</v>
      </c>
      <c r="P153" t="s">
        <v>131</v>
      </c>
      <c r="Q153" t="s">
        <v>34</v>
      </c>
      <c r="R153">
        <v>179</v>
      </c>
      <c r="S153">
        <v>868</v>
      </c>
      <c r="T153">
        <v>392</v>
      </c>
    </row>
    <row r="154" spans="15:20" x14ac:dyDescent="0.3">
      <c r="O154">
        <v>153</v>
      </c>
      <c r="P154" t="s">
        <v>131</v>
      </c>
      <c r="Q154" t="s">
        <v>37</v>
      </c>
      <c r="R154">
        <v>155</v>
      </c>
      <c r="S154">
        <v>1021</v>
      </c>
      <c r="T154">
        <v>261</v>
      </c>
    </row>
    <row r="155" spans="15:20" x14ac:dyDescent="0.3">
      <c r="O155">
        <v>154</v>
      </c>
      <c r="P155" t="s">
        <v>132</v>
      </c>
      <c r="Q155" t="s">
        <v>34</v>
      </c>
      <c r="R155">
        <v>254</v>
      </c>
      <c r="S155">
        <v>781</v>
      </c>
      <c r="T155">
        <v>403</v>
      </c>
    </row>
    <row r="156" spans="15:20" x14ac:dyDescent="0.3">
      <c r="O156">
        <v>155</v>
      </c>
      <c r="P156" t="s">
        <v>132</v>
      </c>
      <c r="Q156" t="s">
        <v>37</v>
      </c>
      <c r="R156">
        <v>75</v>
      </c>
      <c r="S156">
        <v>1061</v>
      </c>
      <c r="T156">
        <v>301</v>
      </c>
    </row>
    <row r="157" spans="15:20" x14ac:dyDescent="0.3">
      <c r="O157">
        <v>156</v>
      </c>
      <c r="P157" t="s">
        <v>133</v>
      </c>
      <c r="Q157" t="s">
        <v>34</v>
      </c>
      <c r="R157">
        <v>157</v>
      </c>
      <c r="S157">
        <v>879</v>
      </c>
      <c r="T157">
        <v>402</v>
      </c>
    </row>
    <row r="158" spans="15:20" x14ac:dyDescent="0.3">
      <c r="O158">
        <v>157</v>
      </c>
      <c r="P158" t="s">
        <v>133</v>
      </c>
      <c r="Q158" t="s">
        <v>37</v>
      </c>
      <c r="R158">
        <v>81</v>
      </c>
      <c r="S158">
        <v>1059</v>
      </c>
      <c r="T158">
        <v>298</v>
      </c>
    </row>
    <row r="159" spans="15:20" x14ac:dyDescent="0.3">
      <c r="O159">
        <v>158</v>
      </c>
      <c r="P159" t="s">
        <v>134</v>
      </c>
      <c r="Q159" t="s">
        <v>34</v>
      </c>
      <c r="R159">
        <v>194</v>
      </c>
      <c r="S159">
        <v>796</v>
      </c>
      <c r="T159">
        <v>449</v>
      </c>
    </row>
    <row r="160" spans="15:20" x14ac:dyDescent="0.3">
      <c r="O160">
        <v>159</v>
      </c>
      <c r="P160" t="s">
        <v>134</v>
      </c>
      <c r="Q160" t="s">
        <v>37</v>
      </c>
      <c r="R160">
        <v>104</v>
      </c>
      <c r="S160">
        <v>848</v>
      </c>
      <c r="T160">
        <v>487</v>
      </c>
    </row>
    <row r="161" spans="15:20" x14ac:dyDescent="0.3">
      <c r="O161">
        <v>160</v>
      </c>
      <c r="P161" t="s">
        <v>135</v>
      </c>
      <c r="Q161" t="s">
        <v>34</v>
      </c>
      <c r="R161">
        <v>165</v>
      </c>
      <c r="S161">
        <v>774</v>
      </c>
      <c r="T161">
        <v>498</v>
      </c>
    </row>
    <row r="162" spans="15:20" x14ac:dyDescent="0.3">
      <c r="O162">
        <v>161</v>
      </c>
      <c r="P162" t="s">
        <v>135</v>
      </c>
      <c r="Q162" t="s">
        <v>37</v>
      </c>
      <c r="R162">
        <v>0</v>
      </c>
      <c r="S162">
        <v>0</v>
      </c>
      <c r="T162">
        <v>1440</v>
      </c>
    </row>
    <row r="163" spans="15:20" x14ac:dyDescent="0.3">
      <c r="O163">
        <v>162</v>
      </c>
      <c r="P163" t="s">
        <v>136</v>
      </c>
      <c r="Q163" t="s">
        <v>34</v>
      </c>
      <c r="R163">
        <v>136</v>
      </c>
      <c r="S163">
        <v>890</v>
      </c>
      <c r="T163">
        <v>412</v>
      </c>
    </row>
    <row r="164" spans="15:20" x14ac:dyDescent="0.3">
      <c r="O164">
        <v>163</v>
      </c>
      <c r="P164" t="s">
        <v>136</v>
      </c>
      <c r="Q164" t="s">
        <v>37</v>
      </c>
      <c r="R164">
        <v>200</v>
      </c>
      <c r="S164">
        <v>1136</v>
      </c>
      <c r="T164">
        <v>101</v>
      </c>
    </row>
    <row r="165" spans="15:20" x14ac:dyDescent="0.3">
      <c r="O165">
        <v>164</v>
      </c>
      <c r="P165" t="s">
        <v>137</v>
      </c>
      <c r="Q165" t="s">
        <v>34</v>
      </c>
      <c r="R165">
        <v>145</v>
      </c>
      <c r="S165">
        <v>891</v>
      </c>
      <c r="T165">
        <v>402</v>
      </c>
    </row>
    <row r="166" spans="15:20" x14ac:dyDescent="0.3">
      <c r="O166">
        <v>165</v>
      </c>
      <c r="P166" t="s">
        <v>137</v>
      </c>
      <c r="Q166" t="s">
        <v>37</v>
      </c>
      <c r="R166">
        <v>69</v>
      </c>
      <c r="S166">
        <v>1316</v>
      </c>
      <c r="T166">
        <v>54</v>
      </c>
    </row>
    <row r="167" spans="15:20" x14ac:dyDescent="0.3">
      <c r="O167">
        <v>166</v>
      </c>
      <c r="P167" t="s">
        <v>138</v>
      </c>
      <c r="Q167" t="s">
        <v>34</v>
      </c>
      <c r="R167">
        <v>167</v>
      </c>
      <c r="S167">
        <v>865</v>
      </c>
      <c r="T167">
        <v>406</v>
      </c>
    </row>
    <row r="168" spans="15:20" x14ac:dyDescent="0.3">
      <c r="O168">
        <v>167</v>
      </c>
      <c r="P168" t="s">
        <v>138</v>
      </c>
      <c r="Q168" t="s">
        <v>37</v>
      </c>
      <c r="R168">
        <v>124</v>
      </c>
      <c r="S168">
        <v>1211</v>
      </c>
      <c r="T168">
        <v>103</v>
      </c>
    </row>
    <row r="169" spans="15:20" x14ac:dyDescent="0.3">
      <c r="O169">
        <v>168</v>
      </c>
      <c r="P169" t="s">
        <v>139</v>
      </c>
      <c r="Q169" t="s">
        <v>34</v>
      </c>
      <c r="R169">
        <v>107</v>
      </c>
      <c r="S169">
        <v>918</v>
      </c>
      <c r="T169">
        <v>412</v>
      </c>
    </row>
    <row r="170" spans="15:20" x14ac:dyDescent="0.3">
      <c r="O170">
        <v>169</v>
      </c>
      <c r="P170" t="s">
        <v>139</v>
      </c>
      <c r="Q170" t="s">
        <v>37</v>
      </c>
      <c r="R170">
        <v>109</v>
      </c>
      <c r="S170">
        <v>1137</v>
      </c>
      <c r="T170">
        <v>193</v>
      </c>
    </row>
    <row r="171" spans="15:20" x14ac:dyDescent="0.3">
      <c r="O171">
        <v>170</v>
      </c>
      <c r="P171" t="s">
        <v>140</v>
      </c>
      <c r="Q171" t="s">
        <v>34</v>
      </c>
      <c r="R171">
        <v>93</v>
      </c>
      <c r="S171">
        <v>929</v>
      </c>
      <c r="T171">
        <v>414</v>
      </c>
    </row>
    <row r="172" spans="15:20" x14ac:dyDescent="0.3">
      <c r="O172">
        <v>171</v>
      </c>
      <c r="P172" t="s">
        <v>140</v>
      </c>
      <c r="Q172" t="s">
        <v>37</v>
      </c>
      <c r="R172">
        <v>121</v>
      </c>
      <c r="S172">
        <v>1136</v>
      </c>
      <c r="T172">
        <v>180</v>
      </c>
    </row>
    <row r="173" spans="15:20" x14ac:dyDescent="0.3">
      <c r="O173">
        <v>172</v>
      </c>
      <c r="P173" t="s">
        <v>141</v>
      </c>
      <c r="Q173" t="s">
        <v>34</v>
      </c>
      <c r="R173">
        <v>31</v>
      </c>
      <c r="S173">
        <v>932</v>
      </c>
      <c r="T173">
        <v>475</v>
      </c>
    </row>
    <row r="174" spans="15:20" x14ac:dyDescent="0.3">
      <c r="O174">
        <v>173</v>
      </c>
      <c r="P174" t="s">
        <v>141</v>
      </c>
      <c r="Q174" t="s">
        <v>37</v>
      </c>
      <c r="R174">
        <v>42</v>
      </c>
      <c r="S174">
        <v>1045</v>
      </c>
      <c r="T174">
        <v>351</v>
      </c>
    </row>
    <row r="175" spans="15:20" x14ac:dyDescent="0.3">
      <c r="O175">
        <v>174</v>
      </c>
      <c r="P175" t="s">
        <v>142</v>
      </c>
      <c r="Q175" t="s">
        <v>34</v>
      </c>
      <c r="R175">
        <v>58</v>
      </c>
      <c r="S175">
        <v>907</v>
      </c>
      <c r="T175">
        <v>473</v>
      </c>
    </row>
    <row r="176" spans="15:20" x14ac:dyDescent="0.3">
      <c r="O176">
        <v>175</v>
      </c>
      <c r="P176" t="s">
        <v>142</v>
      </c>
      <c r="Q176" t="s">
        <v>37</v>
      </c>
      <c r="R176">
        <v>0</v>
      </c>
      <c r="S176">
        <v>0</v>
      </c>
      <c r="T176">
        <v>1440</v>
      </c>
    </row>
    <row r="177" spans="15:20" x14ac:dyDescent="0.3">
      <c r="O177">
        <v>176</v>
      </c>
      <c r="P177" t="s">
        <v>143</v>
      </c>
      <c r="Q177" t="s">
        <v>34</v>
      </c>
      <c r="R177">
        <v>148</v>
      </c>
      <c r="S177">
        <v>887</v>
      </c>
      <c r="T177">
        <v>404</v>
      </c>
    </row>
    <row r="178" spans="15:20" x14ac:dyDescent="0.3">
      <c r="O178">
        <v>177</v>
      </c>
      <c r="P178" t="s">
        <v>143</v>
      </c>
      <c r="Q178" t="s">
        <v>37</v>
      </c>
      <c r="R178">
        <v>83</v>
      </c>
      <c r="S178">
        <v>1125</v>
      </c>
      <c r="T178">
        <v>229</v>
      </c>
    </row>
    <row r="179" spans="15:20" x14ac:dyDescent="0.3">
      <c r="O179">
        <v>178</v>
      </c>
      <c r="P179" t="s">
        <v>144</v>
      </c>
      <c r="Q179" t="s">
        <v>34</v>
      </c>
      <c r="R179">
        <v>121</v>
      </c>
      <c r="S179">
        <v>915</v>
      </c>
      <c r="T179">
        <v>402</v>
      </c>
    </row>
    <row r="180" spans="15:20" x14ac:dyDescent="0.3">
      <c r="O180">
        <v>179</v>
      </c>
      <c r="P180" t="s">
        <v>144</v>
      </c>
      <c r="Q180" t="s">
        <v>37</v>
      </c>
      <c r="R180">
        <v>120</v>
      </c>
      <c r="S180">
        <v>1010</v>
      </c>
      <c r="T180">
        <v>309</v>
      </c>
    </row>
    <row r="181" spans="15:20" x14ac:dyDescent="0.3">
      <c r="O181">
        <v>180</v>
      </c>
      <c r="P181" t="s">
        <v>33</v>
      </c>
      <c r="Q181" t="s">
        <v>34</v>
      </c>
      <c r="R181">
        <v>71</v>
      </c>
      <c r="S181">
        <v>963</v>
      </c>
      <c r="T181">
        <v>404</v>
      </c>
    </row>
    <row r="182" spans="15:20" x14ac:dyDescent="0.3">
      <c r="O182">
        <v>181</v>
      </c>
      <c r="P182" t="s">
        <v>33</v>
      </c>
      <c r="Q182" t="s">
        <v>37</v>
      </c>
      <c r="R182">
        <v>58</v>
      </c>
      <c r="S182">
        <v>1092</v>
      </c>
      <c r="T182">
        <v>287</v>
      </c>
    </row>
    <row r="183" spans="15:20" x14ac:dyDescent="0.3">
      <c r="O183">
        <v>182</v>
      </c>
      <c r="P183" t="s">
        <v>39</v>
      </c>
      <c r="Q183" t="s">
        <v>34</v>
      </c>
      <c r="R183">
        <v>171</v>
      </c>
      <c r="S183">
        <v>871</v>
      </c>
      <c r="T183">
        <v>396</v>
      </c>
    </row>
    <row r="184" spans="15:20" x14ac:dyDescent="0.3">
      <c r="O184">
        <v>183</v>
      </c>
      <c r="P184" t="s">
        <v>39</v>
      </c>
      <c r="Q184" t="s">
        <v>37</v>
      </c>
      <c r="R184">
        <v>173</v>
      </c>
      <c r="S184">
        <v>958</v>
      </c>
      <c r="T184">
        <v>307</v>
      </c>
    </row>
    <row r="185" spans="15:20" x14ac:dyDescent="0.3">
      <c r="O185">
        <v>184</v>
      </c>
      <c r="P185" t="s">
        <v>43</v>
      </c>
      <c r="Q185" t="s">
        <v>34</v>
      </c>
      <c r="R185">
        <v>48</v>
      </c>
      <c r="S185">
        <v>987</v>
      </c>
      <c r="T185">
        <v>403</v>
      </c>
    </row>
    <row r="186" spans="15:20" x14ac:dyDescent="0.3">
      <c r="O186">
        <v>185</v>
      </c>
      <c r="P186" t="s">
        <v>43</v>
      </c>
      <c r="Q186" t="s">
        <v>37</v>
      </c>
      <c r="R186">
        <v>154</v>
      </c>
      <c r="S186">
        <v>976</v>
      </c>
      <c r="T186">
        <v>308</v>
      </c>
    </row>
    <row r="187" spans="15:20" x14ac:dyDescent="0.3">
      <c r="O187">
        <v>186</v>
      </c>
      <c r="P187" t="s">
        <v>48</v>
      </c>
      <c r="Q187" t="s">
        <v>34</v>
      </c>
      <c r="R187">
        <v>117</v>
      </c>
      <c r="S187">
        <v>854</v>
      </c>
      <c r="T187">
        <v>466</v>
      </c>
    </row>
    <row r="188" spans="15:20" x14ac:dyDescent="0.3">
      <c r="O188">
        <v>187</v>
      </c>
      <c r="P188" t="s">
        <v>48</v>
      </c>
      <c r="Q188" t="s">
        <v>37</v>
      </c>
      <c r="R188">
        <v>48</v>
      </c>
      <c r="S188">
        <v>976</v>
      </c>
      <c r="T188">
        <v>413</v>
      </c>
    </row>
    <row r="189" spans="15:20" x14ac:dyDescent="0.3">
      <c r="O189">
        <v>188</v>
      </c>
      <c r="P189" t="s">
        <v>52</v>
      </c>
      <c r="Q189" t="s">
        <v>34</v>
      </c>
      <c r="R189">
        <v>0</v>
      </c>
      <c r="S189">
        <v>0</v>
      </c>
      <c r="T189">
        <v>1440</v>
      </c>
    </row>
    <row r="190" spans="15:20" x14ac:dyDescent="0.3">
      <c r="O190">
        <v>189</v>
      </c>
      <c r="P190" t="s">
        <v>52</v>
      </c>
      <c r="Q190" t="s">
        <v>37</v>
      </c>
      <c r="R190">
        <v>0</v>
      </c>
      <c r="S190">
        <v>0</v>
      </c>
      <c r="T190">
        <v>1440</v>
      </c>
    </row>
    <row r="191" spans="15:20" x14ac:dyDescent="0.3">
      <c r="O191">
        <v>190</v>
      </c>
      <c r="P191" t="s">
        <v>56</v>
      </c>
      <c r="Q191" t="s">
        <v>34</v>
      </c>
      <c r="R191">
        <v>65</v>
      </c>
      <c r="S191">
        <v>966</v>
      </c>
      <c r="T191">
        <v>406</v>
      </c>
    </row>
    <row r="192" spans="15:20" x14ac:dyDescent="0.3">
      <c r="O192">
        <v>191</v>
      </c>
      <c r="P192" t="s">
        <v>56</v>
      </c>
      <c r="Q192" t="s">
        <v>37</v>
      </c>
      <c r="R192">
        <v>113</v>
      </c>
      <c r="S192">
        <v>1190</v>
      </c>
      <c r="T192">
        <v>136</v>
      </c>
    </row>
    <row r="193" spans="15:20" x14ac:dyDescent="0.3">
      <c r="O193">
        <v>192</v>
      </c>
      <c r="P193" t="s">
        <v>60</v>
      </c>
      <c r="Q193" t="s">
        <v>34</v>
      </c>
      <c r="R193">
        <v>127</v>
      </c>
      <c r="S193">
        <v>903</v>
      </c>
      <c r="T193">
        <v>407</v>
      </c>
    </row>
    <row r="194" spans="15:20" x14ac:dyDescent="0.3">
      <c r="O194">
        <v>193</v>
      </c>
      <c r="P194" t="s">
        <v>60</v>
      </c>
      <c r="Q194" t="s">
        <v>37</v>
      </c>
      <c r="R194">
        <v>127</v>
      </c>
      <c r="S194">
        <v>1131</v>
      </c>
      <c r="T194">
        <v>178</v>
      </c>
    </row>
    <row r="195" spans="15:20" x14ac:dyDescent="0.3">
      <c r="O195">
        <v>194</v>
      </c>
      <c r="P195" t="s">
        <v>62</v>
      </c>
      <c r="Q195" t="s">
        <v>34</v>
      </c>
      <c r="R195">
        <v>116</v>
      </c>
      <c r="S195">
        <v>913</v>
      </c>
      <c r="T195">
        <v>408</v>
      </c>
    </row>
    <row r="196" spans="15:20" x14ac:dyDescent="0.3">
      <c r="O196">
        <v>195</v>
      </c>
      <c r="P196" t="s">
        <v>62</v>
      </c>
      <c r="Q196" t="s">
        <v>37</v>
      </c>
      <c r="R196">
        <v>163</v>
      </c>
      <c r="S196">
        <v>1228</v>
      </c>
      <c r="T196">
        <v>47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T195"/>
  <sheetViews>
    <sheetView topLeftCell="E1" workbookViewId="0">
      <selection activeCell="I2" sqref="I2:J75"/>
    </sheetView>
  </sheetViews>
  <sheetFormatPr defaultRowHeight="14.4" x14ac:dyDescent="0.3"/>
  <cols>
    <col min="1" max="1" width="3" bestFit="1" customWidth="1"/>
    <col min="2" max="3" width="10.88671875" bestFit="1" customWidth="1"/>
    <col min="4" max="4" width="34.109375" bestFit="1" customWidth="1"/>
    <col min="5" max="5" width="30.5546875" bestFit="1" customWidth="1"/>
    <col min="6" max="6" width="22.6640625" bestFit="1" customWidth="1"/>
    <col min="9" max="10" width="11.6640625" bestFit="1" customWidth="1"/>
    <col min="11" max="11" width="8.33203125" bestFit="1" customWidth="1"/>
    <col min="12" max="12" width="11.5546875" bestFit="1" customWidth="1"/>
    <col min="13" max="13" width="10" bestFit="1" customWidth="1"/>
  </cols>
  <sheetData>
    <row r="1" spans="1:20" s="2" customFormat="1" x14ac:dyDescent="0.3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  <c r="L1" s="3" t="s">
        <v>31</v>
      </c>
      <c r="M1" s="3" t="s">
        <v>32</v>
      </c>
    </row>
    <row r="2" spans="1:20" x14ac:dyDescent="0.3">
      <c r="A2">
        <v>1</v>
      </c>
      <c r="B2" t="s">
        <v>33</v>
      </c>
      <c r="C2" t="s">
        <v>34</v>
      </c>
      <c r="D2">
        <v>358</v>
      </c>
      <c r="E2">
        <v>672</v>
      </c>
      <c r="F2">
        <v>406</v>
      </c>
      <c r="H2" t="s">
        <v>35</v>
      </c>
      <c r="I2" s="1">
        <v>0.48</v>
      </c>
      <c r="J2" s="1">
        <v>0.67764705882352927</v>
      </c>
      <c r="K2" s="1">
        <f>IFERROR(SUMIFS(S:S,P:P,"*/01/2026")/(SUMIFS(R:R,P:P,"*/01/2026")+SUMIFS(S:S,P:P,"*/01/2026")+SUMIFS(T:T,P:P,"*/01/2026")),"")</f>
        <v>0.40024170139712445</v>
      </c>
      <c r="L2" s="1">
        <f>IFERROR(SUMIFS(R:R,P:P,"*/01/2026")/(SUMIFS(R:R,P:P,"*/01/2026")+SUMIFS(S:S,P:P,"*/01/2026")+SUMIFS(T:T,P:P,"*/01/2026")),"")</f>
        <v>0.19633156010345723</v>
      </c>
      <c r="M2" s="1">
        <f>IFERROR(SUMIFS(T:T,P:P,"*/01/2026")/(SUMIFS(R:R,P:P,"*/01/2026")+SUMIFS(S:S,P:P,"*/01/2026")+SUMIFS(T:T,P:P,"*/01/2026")),"")</f>
        <v>0.40342673849941835</v>
      </c>
      <c r="O2">
        <v>1</v>
      </c>
      <c r="P2" t="s">
        <v>36</v>
      </c>
      <c r="Q2" t="s">
        <v>34</v>
      </c>
      <c r="R2">
        <v>0</v>
      </c>
      <c r="S2">
        <v>0</v>
      </c>
      <c r="T2">
        <v>1441</v>
      </c>
    </row>
    <row r="3" spans="1:20" x14ac:dyDescent="0.3">
      <c r="A3">
        <v>2</v>
      </c>
      <c r="B3" t="s">
        <v>33</v>
      </c>
      <c r="C3" t="s">
        <v>37</v>
      </c>
      <c r="D3">
        <v>364</v>
      </c>
      <c r="E3">
        <v>754</v>
      </c>
      <c r="F3">
        <v>317</v>
      </c>
      <c r="H3" t="s">
        <v>38</v>
      </c>
      <c r="I3" s="1">
        <v>0.48</v>
      </c>
      <c r="J3" s="1">
        <v>0.67764705882352927</v>
      </c>
      <c r="K3" s="1">
        <f>IFERROR(SUMIFS(S:S,P:P,"*/02/2026")/(SUMIFS(R:R,P:P,"*/02/2026")+SUMIFS(S:S,P:P,"*/02/2026")+SUMIFS(T:T,P:P,"*/02/2026")),"")</f>
        <v>0.30793879477370956</v>
      </c>
      <c r="L3" s="1">
        <f>IFERROR(SUMIFS(R:R,P:P,"*/02/2026")/(SUMIFS(R:R,P:P,"*/02/2026")+SUMIFS(S:S,P:P,"*/02/2026")+SUMIFS(T:T,P:P,"*/02/2026")),"")</f>
        <v>0.1315887525460778</v>
      </c>
      <c r="M3" s="1">
        <f>IFERROR(SUMIFS(T:T,P:P,"*/02/2026")/(SUMIFS(R:R,P:P,"*/02/2026")+SUMIFS(S:S,P:P,"*/02/2026")+SUMIFS(T:T,P:P,"*/02/2026")),"")</f>
        <v>0.56047245268021262</v>
      </c>
      <c r="O3">
        <v>2</v>
      </c>
      <c r="P3" t="s">
        <v>36</v>
      </c>
      <c r="Q3" t="s">
        <v>37</v>
      </c>
      <c r="R3">
        <v>75</v>
      </c>
      <c r="S3">
        <v>69</v>
      </c>
      <c r="T3">
        <v>1293</v>
      </c>
    </row>
    <row r="4" spans="1:20" x14ac:dyDescent="0.3">
      <c r="A4">
        <v>3</v>
      </c>
      <c r="B4" t="s">
        <v>39</v>
      </c>
      <c r="C4" t="s">
        <v>34</v>
      </c>
      <c r="D4">
        <v>297</v>
      </c>
      <c r="E4">
        <v>731</v>
      </c>
      <c r="F4">
        <v>409</v>
      </c>
      <c r="H4" t="s">
        <v>40</v>
      </c>
      <c r="I4" s="1">
        <v>0.48</v>
      </c>
      <c r="J4" s="1">
        <v>0.67764705882352927</v>
      </c>
      <c r="K4" s="1">
        <f>IFERROR(SUMIFS(S:S,P:P,"*/03/2026")/(SUMIFS(R:R,P:P,"*/03/2026")+SUMIFS(S:S,P:P,"*/03/2026")+SUMIFS(T:T,P:P,"*/03/2026")),"")</f>
        <v>0.41276459999544285</v>
      </c>
      <c r="L4" s="1">
        <f>IFERROR(SUMIFS(R:R,P:P,"*/03/2026")/(SUMIFS(R:R,P:P,"*/03/2026")+SUMIFS(S:S,P:P,"*/03/2026")+SUMIFS(T:T,P:P,"*/03/2026")),"")</f>
        <v>0.18602319593501493</v>
      </c>
      <c r="M4" s="1">
        <f>IFERROR(SUMIFS(T:T,P:P,"*/03/2026")/(SUMIFS(R:R,P:P,"*/03/2026")+SUMIFS(S:S,P:P,"*/03/2026")+SUMIFS(T:T,P:P,"*/03/2026")),"")</f>
        <v>0.40121220406954222</v>
      </c>
      <c r="O4">
        <v>3</v>
      </c>
      <c r="P4" t="s">
        <v>41</v>
      </c>
      <c r="Q4" t="s">
        <v>34</v>
      </c>
      <c r="R4">
        <v>375</v>
      </c>
      <c r="S4">
        <v>1061</v>
      </c>
      <c r="T4">
        <v>0</v>
      </c>
    </row>
    <row r="5" spans="1:20" x14ac:dyDescent="0.3">
      <c r="A5">
        <v>4</v>
      </c>
      <c r="B5" t="s">
        <v>39</v>
      </c>
      <c r="C5" t="s">
        <v>37</v>
      </c>
      <c r="D5">
        <v>250</v>
      </c>
      <c r="E5">
        <v>865</v>
      </c>
      <c r="F5">
        <v>321</v>
      </c>
      <c r="H5" t="s">
        <v>42</v>
      </c>
      <c r="I5" s="1">
        <v>0.48</v>
      </c>
      <c r="J5" s="1">
        <v>0.67764705882352927</v>
      </c>
      <c r="K5" s="1">
        <f>IFERROR(SUMIFS(S:S,P:P,"*/04/2026")/(SUMIFS(R:R,P:P,"*/04/2026")+SUMIFS(S:S,P:P,"*/04/2026")+SUMIFS(T:T,P:P,"*/04/2026")),"")</f>
        <v>0.44613578045492108</v>
      </c>
      <c r="L5" s="1">
        <f>IFERROR(SUMIFS(R:R,P:P,"*/04/2026")/(SUMIFS(R:R,P:P,"*/04/2026")+SUMIFS(S:S,P:P,"*/04/2026")+SUMIFS(T:T,P:P,"*/04/2026")),"")</f>
        <v>0.19101465663462794</v>
      </c>
      <c r="M5" s="1">
        <f>IFERROR(SUMIFS(T:T,P:P,"*/04/2026")/(SUMIFS(R:R,P:P,"*/04/2026")+SUMIFS(S:S,P:P,"*/04/2026")+SUMIFS(T:T,P:P,"*/04/2026")),"")</f>
        <v>0.36284956291045101</v>
      </c>
      <c r="O5">
        <v>4</v>
      </c>
      <c r="P5" t="s">
        <v>41</v>
      </c>
      <c r="Q5" t="s">
        <v>37</v>
      </c>
      <c r="R5">
        <v>203</v>
      </c>
      <c r="S5">
        <v>513</v>
      </c>
      <c r="T5">
        <v>721</v>
      </c>
    </row>
    <row r="6" spans="1:20" x14ac:dyDescent="0.3">
      <c r="A6">
        <v>5</v>
      </c>
      <c r="B6" t="s">
        <v>43</v>
      </c>
      <c r="C6" t="s">
        <v>34</v>
      </c>
      <c r="D6">
        <v>303</v>
      </c>
      <c r="E6">
        <v>714</v>
      </c>
      <c r="F6">
        <v>421</v>
      </c>
      <c r="H6" t="s">
        <v>44</v>
      </c>
      <c r="I6" s="1">
        <v>0.48</v>
      </c>
      <c r="J6" s="1">
        <v>0.67764705882352927</v>
      </c>
      <c r="K6" s="1" t="str">
        <f>IFERROR(SUMIFS(S:S,P:P,"*/05/2026")/(SUMIFS(R:R,P:P,"*/05/2026")+SUMIFS(S:S,P:P,"*/05/2026")+SUMIFS(T:T,P:P,"*/05/2026")),"")</f>
        <v/>
      </c>
      <c r="L6" s="1" t="str">
        <f>IFERROR(SUMIFS(R:R,P:P,"*/05/2026")/(SUMIFS(R:R,P:P,"*/05/2026")+SUMIFS(S:S,P:P,"*/05/2026")+SUMIFS(T:T,P:P,"*/05/2026")),"")</f>
        <v/>
      </c>
      <c r="M6" s="1" t="str">
        <f>IFERROR(SUMIFS(T:T,P:P,"*/05/2026")/(SUMIFS(R:R,P:P,"*/05/2026")+SUMIFS(S:S,P:P,"*/05/2026")+SUMIFS(T:T,P:P,"*/05/2026")),"")</f>
        <v/>
      </c>
      <c r="O6">
        <v>5</v>
      </c>
      <c r="P6" t="s">
        <v>45</v>
      </c>
      <c r="Q6" t="s">
        <v>37</v>
      </c>
      <c r="R6">
        <v>531</v>
      </c>
      <c r="S6">
        <v>1474</v>
      </c>
      <c r="T6">
        <v>330</v>
      </c>
    </row>
    <row r="7" spans="1:20" x14ac:dyDescent="0.3">
      <c r="A7">
        <v>6</v>
      </c>
      <c r="B7" t="s">
        <v>43</v>
      </c>
      <c r="C7" t="s">
        <v>37</v>
      </c>
      <c r="D7">
        <v>270</v>
      </c>
      <c r="E7">
        <v>739</v>
      </c>
      <c r="F7">
        <v>427</v>
      </c>
      <c r="H7" t="s">
        <v>46</v>
      </c>
      <c r="I7" s="1">
        <v>0.48</v>
      </c>
      <c r="J7" s="1">
        <v>0.67764705882352927</v>
      </c>
      <c r="K7" s="1" t="str">
        <f>IFERROR(SUMIFS(S:S,P:P,"*/06/2026")/(SUMIFS(R:R,P:P,"*/06/2026")+SUMIFS(S:S,P:P,"*/06/2026")+SUMIFS(T:T,P:P,"*/06/2026")),"")</f>
        <v/>
      </c>
      <c r="L7" s="1" t="str">
        <f>IFERROR(SUMIFS(R:R,P:P,"*/06/2026")/(SUMIFS(R:R,P:P,"*/06/2026")+SUMIFS(S:S,P:P,"*/06/2026")+SUMIFS(T:T,P:P,"*/06/2026")),"")</f>
        <v/>
      </c>
      <c r="M7" s="1" t="str">
        <f>IFERROR(SUMIFS(T:T,P:P,"*/06/2026")/(SUMIFS(R:R,P:P,"*/06/2026")+SUMIFS(S:S,P:P,"*/06/2026")+SUMIFS(T:T,P:P,"*/06/2026")),"")</f>
        <v/>
      </c>
      <c r="O7">
        <v>6</v>
      </c>
      <c r="P7" t="s">
        <v>47</v>
      </c>
      <c r="Q7" t="s">
        <v>34</v>
      </c>
      <c r="R7">
        <v>0</v>
      </c>
      <c r="S7">
        <v>0</v>
      </c>
      <c r="T7">
        <v>1440</v>
      </c>
    </row>
    <row r="8" spans="1:20" x14ac:dyDescent="0.3">
      <c r="A8">
        <v>7</v>
      </c>
      <c r="B8" t="s">
        <v>48</v>
      </c>
      <c r="C8" t="s">
        <v>34</v>
      </c>
      <c r="D8">
        <v>326</v>
      </c>
      <c r="E8">
        <v>639</v>
      </c>
      <c r="F8">
        <v>471</v>
      </c>
      <c r="H8" t="s">
        <v>49</v>
      </c>
      <c r="I8" s="1">
        <v>0.48</v>
      </c>
      <c r="J8" s="1">
        <v>0.67764705882352927</v>
      </c>
      <c r="K8" s="1" t="str">
        <f>IFERROR(SUMIFS(S:S,P:P,"*/07/2026")/(SUMIFS(R:R,P:P,"*/07/2026")+SUMIFS(S:S,P:P,"*/07/2026")+SUMIFS(T:T,P:P,"*/07/2026")),"")</f>
        <v/>
      </c>
      <c r="L8" s="1" t="str">
        <f>IFERROR(SUMIFS(R:R,P:P,"*/07/2026")/(SUMIFS(R:R,P:P,"*/07/2026")+SUMIFS(S:S,P:P,"*/07/2026")+SUMIFS(T:T,P:P,"*/07/2026")),"")</f>
        <v/>
      </c>
      <c r="M8" s="1" t="str">
        <f>IFERROR(SUMIFS(T:T,P:P,"*/07/2026")/(SUMIFS(R:R,P:P,"*/07/2026")+SUMIFS(S:S,P:P,"*/07/2026")+SUMIFS(T:T,P:P,"*/07/2026")),"")</f>
        <v/>
      </c>
      <c r="O8">
        <v>7</v>
      </c>
      <c r="P8" t="s">
        <v>47</v>
      </c>
      <c r="Q8" t="s">
        <v>37</v>
      </c>
      <c r="R8">
        <v>0</v>
      </c>
      <c r="S8">
        <v>0</v>
      </c>
      <c r="T8">
        <v>1440</v>
      </c>
    </row>
    <row r="9" spans="1:20" x14ac:dyDescent="0.3">
      <c r="A9">
        <v>8</v>
      </c>
      <c r="B9" t="s">
        <v>48</v>
      </c>
      <c r="C9" t="s">
        <v>37</v>
      </c>
      <c r="D9">
        <v>362</v>
      </c>
      <c r="E9">
        <v>559</v>
      </c>
      <c r="F9">
        <v>517</v>
      </c>
      <c r="H9" t="s">
        <v>50</v>
      </c>
      <c r="I9" s="1">
        <v>0.48</v>
      </c>
      <c r="J9" s="1">
        <v>0.67764705882352927</v>
      </c>
      <c r="K9" s="1" t="str">
        <f>IFERROR(SUMIFS(S:S,P:P,"*/08/2026")/(SUMIFS(R:R,P:P,"*/08/2026")+SUMIFS(S:S,P:P,"*/08/2026")+SUMIFS(T:T,P:P,"*/08/2026")),"")</f>
        <v/>
      </c>
      <c r="L9" s="1" t="str">
        <f>IFERROR(SUMIFS(R:R,P:P,"*/08/2026")/(SUMIFS(R:R,P:P,"*/08/2026")+SUMIFS(S:S,P:P,"*/08/2026")+SUMIFS(T:T,P:P,"*/08/2026")),"")</f>
        <v/>
      </c>
      <c r="M9" s="1" t="str">
        <f>IFERROR(SUMIFS(T:T,P:P,"*/08/2026")/(SUMIFS(R:R,P:P,"*/08/2026")+SUMIFS(S:S,P:P,"*/08/2026")+SUMIFS(T:T,P:P,"*/08/2026")),"")</f>
        <v/>
      </c>
      <c r="O9">
        <v>8</v>
      </c>
      <c r="P9" t="s">
        <v>51</v>
      </c>
      <c r="Q9" t="s">
        <v>34</v>
      </c>
      <c r="R9">
        <v>324</v>
      </c>
      <c r="S9">
        <v>718</v>
      </c>
      <c r="T9">
        <v>394</v>
      </c>
    </row>
    <row r="10" spans="1:20" x14ac:dyDescent="0.3">
      <c r="A10">
        <v>9</v>
      </c>
      <c r="B10" t="s">
        <v>52</v>
      </c>
      <c r="C10" t="s">
        <v>34</v>
      </c>
      <c r="D10">
        <v>0</v>
      </c>
      <c r="E10">
        <v>0</v>
      </c>
      <c r="F10">
        <v>1440</v>
      </c>
      <c r="H10" t="s">
        <v>53</v>
      </c>
      <c r="I10" s="1">
        <v>0.48</v>
      </c>
      <c r="J10" s="1">
        <v>0.67764705882352927</v>
      </c>
      <c r="K10" s="1" t="str">
        <f>IFERROR(SUMIFS(S:S,P:P,"*/09/2026")/(SUMIFS(R:R,P:P,"*/09/2026")+SUMIFS(S:S,P:P,"*/09/2026")+SUMIFS(T:T,P:P,"*/09/2026")),"")</f>
        <v/>
      </c>
      <c r="L10" s="1" t="str">
        <f>IFERROR(SUMIFS(R:R,P:P,"*/09/2026")/(SUMIFS(R:R,P:P,"*/09/2026")+SUMIFS(S:S,P:P,"*/09/2026")+SUMIFS(T:T,P:P,"*/09/2026")),"")</f>
        <v/>
      </c>
      <c r="M10" s="1" t="str">
        <f>IFERROR(SUMIFS(T:T,P:P,"*/09/2026")/(SUMIFS(R:R,P:P,"*/09/2026")+SUMIFS(S:S,P:P,"*/09/2026")+SUMIFS(T:T,P:P,"*/09/2026")),"")</f>
        <v/>
      </c>
      <c r="O10">
        <v>9</v>
      </c>
      <c r="P10" t="s">
        <v>51</v>
      </c>
      <c r="Q10" t="s">
        <v>37</v>
      </c>
      <c r="R10">
        <v>361</v>
      </c>
      <c r="S10">
        <v>758</v>
      </c>
      <c r="T10">
        <v>302</v>
      </c>
    </row>
    <row r="11" spans="1:20" x14ac:dyDescent="0.3">
      <c r="A11">
        <v>10</v>
      </c>
      <c r="B11" t="s">
        <v>52</v>
      </c>
      <c r="C11" t="s">
        <v>37</v>
      </c>
      <c r="D11">
        <v>0</v>
      </c>
      <c r="E11">
        <v>0</v>
      </c>
      <c r="F11">
        <v>1440</v>
      </c>
      <c r="H11" t="s">
        <v>54</v>
      </c>
      <c r="I11" s="1">
        <v>0.48</v>
      </c>
      <c r="J11" s="1">
        <v>0.67764705882352927</v>
      </c>
      <c r="K11" s="1" t="str">
        <f>IFERROR(SUMIFS(S:S,P:P,"*/10/2026")/(SUMIFS(R:R,P:P,"*/10/2026")+SUMIFS(S:S,P:P,"*/10/2026")+SUMIFS(T:T,P:P,"*/10/2026")),"")</f>
        <v/>
      </c>
      <c r="L11" s="1" t="str">
        <f>IFERROR(SUMIFS(R:R,P:P,"*/10/2026")/(SUMIFS(R:R,P:P,"*/10/2026")+SUMIFS(S:S,P:P,"*/10/2026")+SUMIFS(T:T,P:P,"*/10/2026")),"")</f>
        <v/>
      </c>
      <c r="M11" s="1" t="str">
        <f>IFERROR(SUMIFS(T:T,P:P,"*/10/2026")/(SUMIFS(R:R,P:P,"*/10/2026")+SUMIFS(S:S,P:P,"*/10/2026")+SUMIFS(T:T,P:P,"*/10/2026")),"")</f>
        <v/>
      </c>
      <c r="O11">
        <v>10</v>
      </c>
      <c r="P11" t="s">
        <v>55</v>
      </c>
      <c r="Q11" t="s">
        <v>34</v>
      </c>
      <c r="R11">
        <v>382</v>
      </c>
      <c r="S11">
        <v>638</v>
      </c>
      <c r="T11">
        <v>416</v>
      </c>
    </row>
    <row r="12" spans="1:20" x14ac:dyDescent="0.3">
      <c r="A12">
        <v>11</v>
      </c>
      <c r="B12" t="s">
        <v>56</v>
      </c>
      <c r="C12" t="s">
        <v>34</v>
      </c>
      <c r="D12">
        <v>339</v>
      </c>
      <c r="E12">
        <v>692</v>
      </c>
      <c r="F12">
        <v>406</v>
      </c>
      <c r="H12" t="s">
        <v>57</v>
      </c>
      <c r="I12" s="1">
        <v>0.48</v>
      </c>
      <c r="J12" s="1">
        <v>0.67764705882352927</v>
      </c>
      <c r="K12" s="1" t="str">
        <f>IFERROR(SUMIFS(S:S,P:P,"*/11/2026")/(SUMIFS(R:R,P:P,"*/11/2026")+SUMIFS(S:S,P:P,"*/11/2026")+SUMIFS(T:T,P:P,"*/11/2026")),"")</f>
        <v/>
      </c>
      <c r="L12" s="1" t="str">
        <f>IFERROR(SUMIFS(R:R,P:P,"*/11/2026")/(SUMIFS(R:R,P:P,"*/11/2026")+SUMIFS(S:S,P:P,"*/11/2026")+SUMIFS(T:T,P:P,"*/11/2026")),"")</f>
        <v/>
      </c>
      <c r="M12" s="1" t="str">
        <f>IFERROR(SUMIFS(T:T,P:P,"*/11/2026")/(SUMIFS(R:R,P:P,"*/11/2026")+SUMIFS(S:S,P:P,"*/11/2026")+SUMIFS(T:T,P:P,"*/11/2026")),"")</f>
        <v/>
      </c>
      <c r="O12">
        <v>11</v>
      </c>
      <c r="P12" t="s">
        <v>55</v>
      </c>
      <c r="Q12" t="s">
        <v>37</v>
      </c>
      <c r="R12">
        <v>422</v>
      </c>
      <c r="S12">
        <v>710</v>
      </c>
      <c r="T12">
        <v>305</v>
      </c>
    </row>
    <row r="13" spans="1:20" x14ac:dyDescent="0.3">
      <c r="A13">
        <v>12</v>
      </c>
      <c r="B13" t="s">
        <v>56</v>
      </c>
      <c r="C13" t="s">
        <v>37</v>
      </c>
      <c r="D13">
        <v>221</v>
      </c>
      <c r="E13">
        <v>896</v>
      </c>
      <c r="F13">
        <v>319</v>
      </c>
      <c r="H13" t="s">
        <v>58</v>
      </c>
      <c r="I13" s="1">
        <v>0.48</v>
      </c>
      <c r="J13" s="1">
        <v>0.67764705882352927</v>
      </c>
      <c r="K13" s="1" t="str">
        <f>IFERROR(SUMIFS(S:S,P:P,"*/12/2026")/(SUMIFS(R:R,P:P,"*/12/2026")+SUMIFS(S:S,P:P,"*/12/2026")+SUMIFS(T:T,P:P,"*/12/2026")),"")</f>
        <v/>
      </c>
      <c r="L13" s="1" t="str">
        <f>IFERROR(SUMIFS(R:R,P:P,"*/12/2026")/(SUMIFS(R:R,P:P,"*/12/2026")+SUMIFS(S:S,P:P,"*/12/2026")+SUMIFS(T:T,P:P,"*/12/2026")),"")</f>
        <v/>
      </c>
      <c r="M13" s="1" t="str">
        <f>IFERROR(SUMIFS(T:T,P:P,"*/12/2026")/(SUMIFS(R:R,P:P,"*/12/2026")+SUMIFS(S:S,P:P,"*/12/2026")+SUMIFS(T:T,P:P,"*/12/2026")),"")</f>
        <v/>
      </c>
      <c r="O13">
        <v>12</v>
      </c>
      <c r="P13" t="s">
        <v>59</v>
      </c>
      <c r="Q13" t="s">
        <v>34</v>
      </c>
      <c r="R13">
        <v>105</v>
      </c>
      <c r="S13">
        <v>151</v>
      </c>
      <c r="T13">
        <v>1181</v>
      </c>
    </row>
    <row r="14" spans="1:20" x14ac:dyDescent="0.3">
      <c r="A14">
        <v>13</v>
      </c>
      <c r="B14" t="s">
        <v>60</v>
      </c>
      <c r="C14" t="s">
        <v>34</v>
      </c>
      <c r="D14">
        <v>392</v>
      </c>
      <c r="E14">
        <v>638</v>
      </c>
      <c r="F14">
        <v>407</v>
      </c>
      <c r="H14" t="str">
        <f>IF(B2="","",TEXT(B2,"dd/mm")&amp; "-" &amp;IF(UPPER(TRIM(C2))="CN",1,IF(UPPER(TRIM(C2))="CD",2,"")))</f>
        <v>01/04-1</v>
      </c>
      <c r="I14" s="1">
        <v>0.48</v>
      </c>
      <c r="J14" s="1">
        <v>0.67764705882352927</v>
      </c>
      <c r="K14" s="1">
        <f t="shared" ref="K14:K45" si="0">IFERROR($E2/SUM($D2:$F2),"")</f>
        <v>0.46796657381615597</v>
      </c>
      <c r="L14" s="1">
        <f t="shared" ref="L14:L45" si="1">IFERROR($D2/SUM($D2:$F2),"")</f>
        <v>0.24930362116991645</v>
      </c>
      <c r="M14" s="1">
        <f t="shared" ref="M14:M45" si="2">IFERROR($F2/SUM($D2:$F2),"")</f>
        <v>0.28272980501392758</v>
      </c>
      <c r="O14">
        <v>13</v>
      </c>
      <c r="P14" t="s">
        <v>59</v>
      </c>
      <c r="Q14" t="s">
        <v>37</v>
      </c>
      <c r="R14">
        <v>0</v>
      </c>
      <c r="S14">
        <v>0</v>
      </c>
      <c r="T14">
        <v>1440</v>
      </c>
    </row>
    <row r="15" spans="1:20" x14ac:dyDescent="0.3">
      <c r="A15">
        <v>14</v>
      </c>
      <c r="B15" t="s">
        <v>60</v>
      </c>
      <c r="C15" t="s">
        <v>37</v>
      </c>
      <c r="D15">
        <v>317</v>
      </c>
      <c r="E15">
        <v>799</v>
      </c>
      <c r="F15">
        <v>321</v>
      </c>
      <c r="H15" t="str">
        <f t="shared" ref="H15:H46" si="3">IF(B3="","",TEXT(B3,"dd/mm") &amp; "-" &amp; IF(UPPER(TRIM(C3))="CN",1,IF(UPPER(TRIM(C3))="CD",2,"")))</f>
        <v>01/04-2</v>
      </c>
      <c r="I15" s="1">
        <v>0.48</v>
      </c>
      <c r="J15" s="1">
        <v>0.67764705882352927</v>
      </c>
      <c r="K15" s="1">
        <f t="shared" si="0"/>
        <v>0.5254355400696864</v>
      </c>
      <c r="L15" s="1">
        <f t="shared" si="1"/>
        <v>0.25365853658536586</v>
      </c>
      <c r="M15" s="1">
        <f t="shared" si="2"/>
        <v>0.22090592334494774</v>
      </c>
      <c r="O15">
        <v>14</v>
      </c>
      <c r="P15" t="s">
        <v>61</v>
      </c>
      <c r="Q15" t="s">
        <v>34</v>
      </c>
      <c r="R15">
        <v>306</v>
      </c>
      <c r="S15">
        <v>726</v>
      </c>
      <c r="T15">
        <v>405</v>
      </c>
    </row>
    <row r="16" spans="1:20" x14ac:dyDescent="0.3">
      <c r="A16">
        <v>15</v>
      </c>
      <c r="B16" t="s">
        <v>62</v>
      </c>
      <c r="C16" t="s">
        <v>34</v>
      </c>
      <c r="D16">
        <v>380</v>
      </c>
      <c r="E16">
        <v>652</v>
      </c>
      <c r="F16">
        <v>404</v>
      </c>
      <c r="H16" t="str">
        <f t="shared" si="3"/>
        <v>02/04-1</v>
      </c>
      <c r="I16" s="1">
        <v>0.48</v>
      </c>
      <c r="J16" s="1">
        <v>0.67764705882352927</v>
      </c>
      <c r="K16" s="1">
        <f t="shared" si="0"/>
        <v>0.50869867780097422</v>
      </c>
      <c r="L16" s="1">
        <f t="shared" si="1"/>
        <v>0.20668058455114824</v>
      </c>
      <c r="M16" s="1">
        <f t="shared" si="2"/>
        <v>0.28462073764787754</v>
      </c>
      <c r="O16">
        <v>15</v>
      </c>
      <c r="P16" t="s">
        <v>61</v>
      </c>
      <c r="Q16" t="s">
        <v>37</v>
      </c>
      <c r="R16">
        <v>375</v>
      </c>
      <c r="S16">
        <v>751</v>
      </c>
      <c r="T16">
        <v>311</v>
      </c>
    </row>
    <row r="17" spans="1:20" x14ac:dyDescent="0.3">
      <c r="A17">
        <v>16</v>
      </c>
      <c r="B17" t="s">
        <v>62</v>
      </c>
      <c r="C17" t="s">
        <v>37</v>
      </c>
      <c r="D17">
        <v>213</v>
      </c>
      <c r="E17">
        <v>908</v>
      </c>
      <c r="F17">
        <v>317</v>
      </c>
      <c r="H17" t="str">
        <f t="shared" si="3"/>
        <v>02/04-2</v>
      </c>
      <c r="I17" s="1">
        <v>0.48</v>
      </c>
      <c r="J17" s="1">
        <v>0.67764705882352927</v>
      </c>
      <c r="K17" s="1">
        <f t="shared" si="0"/>
        <v>0.60236768802228413</v>
      </c>
      <c r="L17" s="1">
        <f t="shared" si="1"/>
        <v>0.17409470752089137</v>
      </c>
      <c r="M17" s="1">
        <f t="shared" si="2"/>
        <v>0.22353760445682452</v>
      </c>
      <c r="O17">
        <v>16</v>
      </c>
      <c r="P17" t="s">
        <v>63</v>
      </c>
      <c r="Q17" t="s">
        <v>34</v>
      </c>
      <c r="R17">
        <v>385</v>
      </c>
      <c r="S17">
        <v>645</v>
      </c>
      <c r="T17">
        <v>405</v>
      </c>
    </row>
    <row r="18" spans="1:20" x14ac:dyDescent="0.3">
      <c r="H18" t="str">
        <f t="shared" si="3"/>
        <v>03/04-1</v>
      </c>
      <c r="I18" s="1">
        <v>0.48</v>
      </c>
      <c r="J18" s="1">
        <v>0.67764705882352927</v>
      </c>
      <c r="K18" s="1">
        <f t="shared" si="0"/>
        <v>0.49652294853963841</v>
      </c>
      <c r="L18" s="1">
        <f t="shared" si="1"/>
        <v>0.21070931849791377</v>
      </c>
      <c r="M18" s="1">
        <f t="shared" si="2"/>
        <v>0.29276773296244785</v>
      </c>
      <c r="O18">
        <v>17</v>
      </c>
      <c r="P18" t="s">
        <v>63</v>
      </c>
      <c r="Q18" t="s">
        <v>37</v>
      </c>
      <c r="R18">
        <v>480</v>
      </c>
      <c r="S18">
        <v>641</v>
      </c>
      <c r="T18">
        <v>314</v>
      </c>
    </row>
    <row r="19" spans="1:20" x14ac:dyDescent="0.3">
      <c r="H19" t="str">
        <f t="shared" si="3"/>
        <v>03/04-2</v>
      </c>
      <c r="I19" s="1">
        <v>0.48</v>
      </c>
      <c r="J19" s="1">
        <v>0.67764705882352927</v>
      </c>
      <c r="K19" s="1">
        <f t="shared" si="0"/>
        <v>0.51462395543175488</v>
      </c>
      <c r="L19" s="1">
        <f t="shared" si="1"/>
        <v>0.18802228412256267</v>
      </c>
      <c r="M19" s="1">
        <f t="shared" si="2"/>
        <v>0.29735376044568246</v>
      </c>
      <c r="O19">
        <v>18</v>
      </c>
      <c r="P19" t="s">
        <v>64</v>
      </c>
      <c r="Q19" t="s">
        <v>34</v>
      </c>
      <c r="R19">
        <v>375</v>
      </c>
      <c r="S19">
        <v>577</v>
      </c>
      <c r="T19">
        <v>485</v>
      </c>
    </row>
    <row r="20" spans="1:20" x14ac:dyDescent="0.3">
      <c r="H20" t="str">
        <f t="shared" si="3"/>
        <v>04/04-1</v>
      </c>
      <c r="I20" s="1">
        <v>0.48</v>
      </c>
      <c r="J20" s="1">
        <v>0.67764705882352927</v>
      </c>
      <c r="K20" s="1">
        <f t="shared" si="0"/>
        <v>0.44498607242339833</v>
      </c>
      <c r="L20" s="1">
        <f t="shared" si="1"/>
        <v>0.22701949860724233</v>
      </c>
      <c r="M20" s="1">
        <f t="shared" si="2"/>
        <v>0.32799442896935932</v>
      </c>
      <c r="O20">
        <v>19</v>
      </c>
      <c r="P20" t="s">
        <v>64</v>
      </c>
      <c r="Q20" t="s">
        <v>37</v>
      </c>
      <c r="R20">
        <v>0</v>
      </c>
      <c r="S20">
        <v>0</v>
      </c>
      <c r="T20">
        <v>1440</v>
      </c>
    </row>
    <row r="21" spans="1:20" x14ac:dyDescent="0.3">
      <c r="H21" t="str">
        <f t="shared" si="3"/>
        <v>04/04-2</v>
      </c>
      <c r="I21" s="1">
        <v>0.48</v>
      </c>
      <c r="J21" s="1">
        <v>0.67764705882352927</v>
      </c>
      <c r="K21" s="1">
        <f t="shared" si="0"/>
        <v>0.38873435326842837</v>
      </c>
      <c r="L21" s="1">
        <f t="shared" si="1"/>
        <v>0.2517385257301808</v>
      </c>
      <c r="M21" s="1">
        <f t="shared" si="2"/>
        <v>0.35952712100139084</v>
      </c>
      <c r="O21">
        <v>20</v>
      </c>
      <c r="P21" t="s">
        <v>65</v>
      </c>
      <c r="Q21" t="s">
        <v>34</v>
      </c>
      <c r="R21">
        <v>0</v>
      </c>
      <c r="S21">
        <v>0</v>
      </c>
      <c r="T21">
        <v>1440</v>
      </c>
    </row>
    <row r="22" spans="1:20" x14ac:dyDescent="0.3">
      <c r="H22" t="str">
        <f t="shared" si="3"/>
        <v>05/04-1</v>
      </c>
      <c r="I22" s="1">
        <v>0.48</v>
      </c>
      <c r="J22" s="1">
        <v>0.67764705882352927</v>
      </c>
      <c r="K22" s="1">
        <f t="shared" si="0"/>
        <v>0</v>
      </c>
      <c r="L22" s="1">
        <f t="shared" si="1"/>
        <v>0</v>
      </c>
      <c r="M22" s="1">
        <f t="shared" si="2"/>
        <v>1</v>
      </c>
      <c r="O22">
        <v>21</v>
      </c>
      <c r="P22" t="s">
        <v>65</v>
      </c>
      <c r="Q22" t="s">
        <v>37</v>
      </c>
      <c r="R22">
        <v>0</v>
      </c>
      <c r="S22">
        <v>0</v>
      </c>
      <c r="T22">
        <v>1441</v>
      </c>
    </row>
    <row r="23" spans="1:20" x14ac:dyDescent="0.3">
      <c r="H23" t="str">
        <f t="shared" si="3"/>
        <v>05/04-2</v>
      </c>
      <c r="I23" s="1">
        <v>0.48</v>
      </c>
      <c r="J23" s="1">
        <v>0.67764705882352927</v>
      </c>
      <c r="K23" s="1">
        <f t="shared" si="0"/>
        <v>0</v>
      </c>
      <c r="L23" s="1">
        <f t="shared" si="1"/>
        <v>0</v>
      </c>
      <c r="M23" s="1">
        <f t="shared" si="2"/>
        <v>1</v>
      </c>
      <c r="O23">
        <v>22</v>
      </c>
      <c r="P23" t="s">
        <v>66</v>
      </c>
      <c r="Q23" t="s">
        <v>34</v>
      </c>
      <c r="R23">
        <v>361</v>
      </c>
      <c r="S23">
        <v>651</v>
      </c>
      <c r="T23">
        <v>424</v>
      </c>
    </row>
    <row r="24" spans="1:20" x14ac:dyDescent="0.3">
      <c r="H24" t="str">
        <f t="shared" si="3"/>
        <v>06/04-1</v>
      </c>
      <c r="I24" s="1">
        <v>0.48</v>
      </c>
      <c r="J24" s="1">
        <v>0.67764705882352927</v>
      </c>
      <c r="K24" s="1">
        <f t="shared" si="0"/>
        <v>0.4815588030619346</v>
      </c>
      <c r="L24" s="1">
        <f t="shared" si="1"/>
        <v>0.23590814196242171</v>
      </c>
      <c r="M24" s="1">
        <f t="shared" si="2"/>
        <v>0.28253305497564368</v>
      </c>
      <c r="O24">
        <v>23</v>
      </c>
      <c r="P24" t="s">
        <v>66</v>
      </c>
      <c r="Q24" t="s">
        <v>37</v>
      </c>
      <c r="R24">
        <v>429</v>
      </c>
      <c r="S24">
        <v>691</v>
      </c>
      <c r="T24">
        <v>316</v>
      </c>
    </row>
    <row r="25" spans="1:20" x14ac:dyDescent="0.3">
      <c r="H25" t="str">
        <f t="shared" si="3"/>
        <v>06/04-2</v>
      </c>
      <c r="I25" s="1">
        <v>0.48</v>
      </c>
      <c r="J25" s="1">
        <v>0.67764705882352927</v>
      </c>
      <c r="K25" s="1">
        <f t="shared" si="0"/>
        <v>0.62395543175487467</v>
      </c>
      <c r="L25" s="1">
        <f t="shared" si="1"/>
        <v>0.15389972144846797</v>
      </c>
      <c r="M25" s="1">
        <f t="shared" si="2"/>
        <v>0.22214484679665739</v>
      </c>
      <c r="O25">
        <v>24</v>
      </c>
      <c r="P25" t="s">
        <v>67</v>
      </c>
      <c r="Q25" t="s">
        <v>34</v>
      </c>
      <c r="R25">
        <v>342</v>
      </c>
      <c r="S25">
        <v>686</v>
      </c>
      <c r="T25">
        <v>408</v>
      </c>
    </row>
    <row r="26" spans="1:20" x14ac:dyDescent="0.3">
      <c r="H26" t="str">
        <f t="shared" si="3"/>
        <v>07/04-1</v>
      </c>
      <c r="I26" s="1">
        <v>0.48</v>
      </c>
      <c r="J26" s="1">
        <v>0.67764705882352927</v>
      </c>
      <c r="K26" s="1">
        <f t="shared" si="0"/>
        <v>0.4439805149617258</v>
      </c>
      <c r="L26" s="1">
        <f t="shared" si="1"/>
        <v>0.27279053583855256</v>
      </c>
      <c r="M26" s="1">
        <f t="shared" si="2"/>
        <v>0.28322894919972164</v>
      </c>
      <c r="O26">
        <v>25</v>
      </c>
      <c r="P26" t="s">
        <v>67</v>
      </c>
      <c r="Q26" t="s">
        <v>37</v>
      </c>
      <c r="R26">
        <v>445</v>
      </c>
      <c r="S26">
        <v>685</v>
      </c>
      <c r="T26">
        <v>307</v>
      </c>
    </row>
    <row r="27" spans="1:20" x14ac:dyDescent="0.3">
      <c r="H27" t="str">
        <f t="shared" si="3"/>
        <v>07/04-2</v>
      </c>
      <c r="I27" s="1">
        <v>0.48</v>
      </c>
      <c r="J27" s="1">
        <v>0.67764705882352927</v>
      </c>
      <c r="K27" s="1">
        <f t="shared" si="0"/>
        <v>0.55601948503827414</v>
      </c>
      <c r="L27" s="1">
        <f t="shared" si="1"/>
        <v>0.22059846903270702</v>
      </c>
      <c r="M27" s="1">
        <f t="shared" si="2"/>
        <v>0.22338204592901878</v>
      </c>
      <c r="O27">
        <v>26</v>
      </c>
      <c r="P27" t="s">
        <v>68</v>
      </c>
      <c r="Q27" t="s">
        <v>34</v>
      </c>
      <c r="R27">
        <v>425</v>
      </c>
      <c r="S27">
        <v>600</v>
      </c>
      <c r="T27">
        <v>410</v>
      </c>
    </row>
    <row r="28" spans="1:20" x14ac:dyDescent="0.3">
      <c r="H28" t="str">
        <f t="shared" si="3"/>
        <v>08/04-1</v>
      </c>
      <c r="I28" s="1">
        <v>0.48</v>
      </c>
      <c r="J28" s="1">
        <v>0.67764705882352927</v>
      </c>
      <c r="K28" s="1">
        <f t="shared" si="0"/>
        <v>0.45403899721448465</v>
      </c>
      <c r="L28" s="1">
        <f t="shared" si="1"/>
        <v>0.26462395543175488</v>
      </c>
      <c r="M28" s="1">
        <f t="shared" si="2"/>
        <v>0.28133704735376047</v>
      </c>
      <c r="O28">
        <v>27</v>
      </c>
      <c r="P28" t="s">
        <v>68</v>
      </c>
      <c r="Q28" t="s">
        <v>37</v>
      </c>
      <c r="R28">
        <v>491</v>
      </c>
      <c r="S28">
        <v>630</v>
      </c>
      <c r="T28">
        <v>315</v>
      </c>
    </row>
    <row r="29" spans="1:20" x14ac:dyDescent="0.3">
      <c r="H29" t="str">
        <f t="shared" si="3"/>
        <v>08/04-2</v>
      </c>
      <c r="I29" s="1">
        <v>0.48</v>
      </c>
      <c r="J29" s="1">
        <v>0.67764705882352927</v>
      </c>
      <c r="K29" s="1">
        <f t="shared" si="0"/>
        <v>0.63143254520166903</v>
      </c>
      <c r="L29" s="1">
        <f t="shared" si="1"/>
        <v>0.14812239221140472</v>
      </c>
      <c r="M29" s="1">
        <f t="shared" si="2"/>
        <v>0.22044506258692628</v>
      </c>
      <c r="O29">
        <v>28</v>
      </c>
      <c r="P29" t="s">
        <v>69</v>
      </c>
      <c r="Q29" t="s">
        <v>34</v>
      </c>
      <c r="R29">
        <v>354</v>
      </c>
      <c r="S29">
        <v>665</v>
      </c>
      <c r="T29">
        <v>416</v>
      </c>
    </row>
    <row r="30" spans="1:20" x14ac:dyDescent="0.3">
      <c r="H30" t="str">
        <f t="shared" si="3"/>
        <v/>
      </c>
      <c r="I30" s="1"/>
      <c r="J30" s="1"/>
      <c r="K30" s="1" t="str">
        <f t="shared" si="0"/>
        <v/>
      </c>
      <c r="L30" s="1" t="str">
        <f t="shared" si="1"/>
        <v/>
      </c>
      <c r="M30" s="1" t="str">
        <f t="shared" si="2"/>
        <v/>
      </c>
      <c r="O30">
        <v>29</v>
      </c>
      <c r="P30" t="s">
        <v>69</v>
      </c>
      <c r="Q30" t="s">
        <v>37</v>
      </c>
      <c r="R30">
        <v>437</v>
      </c>
      <c r="S30">
        <v>694</v>
      </c>
      <c r="T30">
        <v>305</v>
      </c>
    </row>
    <row r="31" spans="1:20" x14ac:dyDescent="0.3">
      <c r="H31" t="str">
        <f t="shared" si="3"/>
        <v/>
      </c>
      <c r="I31" s="1"/>
      <c r="J31" s="1"/>
      <c r="K31" s="1" t="str">
        <f t="shared" si="0"/>
        <v/>
      </c>
      <c r="L31" s="1" t="str">
        <f t="shared" si="1"/>
        <v/>
      </c>
      <c r="M31" s="1" t="str">
        <f t="shared" si="2"/>
        <v/>
      </c>
      <c r="O31">
        <v>30</v>
      </c>
      <c r="P31" t="s">
        <v>70</v>
      </c>
      <c r="Q31" t="s">
        <v>34</v>
      </c>
      <c r="R31">
        <v>369</v>
      </c>
      <c r="S31">
        <v>657</v>
      </c>
      <c r="T31">
        <v>412</v>
      </c>
    </row>
    <row r="32" spans="1:20" x14ac:dyDescent="0.3">
      <c r="H32" t="str">
        <f t="shared" si="3"/>
        <v/>
      </c>
      <c r="I32" s="1"/>
      <c r="J32" s="1"/>
      <c r="K32" s="1" t="str">
        <f t="shared" si="0"/>
        <v/>
      </c>
      <c r="L32" s="1" t="str">
        <f t="shared" si="1"/>
        <v/>
      </c>
      <c r="M32" s="1" t="str">
        <f t="shared" si="2"/>
        <v/>
      </c>
      <c r="O32">
        <v>31</v>
      </c>
      <c r="P32" t="s">
        <v>70</v>
      </c>
      <c r="Q32" t="s">
        <v>37</v>
      </c>
      <c r="R32">
        <v>391</v>
      </c>
      <c r="S32">
        <v>610</v>
      </c>
      <c r="T32">
        <v>436</v>
      </c>
    </row>
    <row r="33" spans="8:20" x14ac:dyDescent="0.3">
      <c r="H33" t="str">
        <f t="shared" si="3"/>
        <v/>
      </c>
      <c r="I33" s="1"/>
      <c r="J33" s="1"/>
      <c r="K33" s="1" t="str">
        <f t="shared" si="0"/>
        <v/>
      </c>
      <c r="L33" s="1" t="str">
        <f t="shared" si="1"/>
        <v/>
      </c>
      <c r="M33" s="1" t="str">
        <f t="shared" si="2"/>
        <v/>
      </c>
      <c r="O33">
        <v>32</v>
      </c>
      <c r="P33" t="s">
        <v>71</v>
      </c>
      <c r="Q33" t="s">
        <v>34</v>
      </c>
      <c r="R33">
        <v>397</v>
      </c>
      <c r="S33">
        <v>631</v>
      </c>
      <c r="T33">
        <v>409</v>
      </c>
    </row>
    <row r="34" spans="8:20" x14ac:dyDescent="0.3">
      <c r="H34" t="str">
        <f t="shared" si="3"/>
        <v/>
      </c>
      <c r="I34" s="1"/>
      <c r="J34" s="1"/>
      <c r="K34" s="1" t="str">
        <f t="shared" si="0"/>
        <v/>
      </c>
      <c r="L34" s="1" t="str">
        <f t="shared" si="1"/>
        <v/>
      </c>
      <c r="M34" s="1" t="str">
        <f t="shared" si="2"/>
        <v/>
      </c>
      <c r="O34">
        <v>33</v>
      </c>
      <c r="P34" t="s">
        <v>71</v>
      </c>
      <c r="Q34" t="s">
        <v>37</v>
      </c>
      <c r="R34">
        <v>341</v>
      </c>
      <c r="S34">
        <v>609</v>
      </c>
      <c r="T34">
        <v>485</v>
      </c>
    </row>
    <row r="35" spans="8:20" x14ac:dyDescent="0.3">
      <c r="H35" t="str">
        <f t="shared" si="3"/>
        <v/>
      </c>
      <c r="I35" s="1"/>
      <c r="J35" s="1"/>
      <c r="K35" s="1" t="str">
        <f t="shared" si="0"/>
        <v/>
      </c>
      <c r="L35" s="1" t="str">
        <f t="shared" si="1"/>
        <v/>
      </c>
      <c r="M35" s="1" t="str">
        <f t="shared" si="2"/>
        <v/>
      </c>
      <c r="O35">
        <v>34</v>
      </c>
      <c r="P35" t="s">
        <v>72</v>
      </c>
      <c r="Q35" t="s">
        <v>34</v>
      </c>
      <c r="R35">
        <v>0</v>
      </c>
      <c r="S35">
        <v>0</v>
      </c>
      <c r="T35">
        <v>1440</v>
      </c>
    </row>
    <row r="36" spans="8:20" x14ac:dyDescent="0.3">
      <c r="H36" t="str">
        <f t="shared" si="3"/>
        <v/>
      </c>
      <c r="I36" s="1"/>
      <c r="J36" s="1"/>
      <c r="K36" s="1" t="str">
        <f t="shared" si="0"/>
        <v/>
      </c>
      <c r="L36" s="1" t="str">
        <f t="shared" si="1"/>
        <v/>
      </c>
      <c r="M36" s="1" t="str">
        <f t="shared" si="2"/>
        <v/>
      </c>
      <c r="O36">
        <v>35</v>
      </c>
      <c r="P36" t="s">
        <v>72</v>
      </c>
      <c r="Q36" t="s">
        <v>37</v>
      </c>
      <c r="R36">
        <v>0</v>
      </c>
      <c r="S36">
        <v>0</v>
      </c>
      <c r="T36">
        <v>1440</v>
      </c>
    </row>
    <row r="37" spans="8:20" x14ac:dyDescent="0.3">
      <c r="H37" t="str">
        <f t="shared" si="3"/>
        <v/>
      </c>
      <c r="I37" s="1"/>
      <c r="J37" s="1"/>
      <c r="K37" s="1" t="str">
        <f t="shared" si="0"/>
        <v/>
      </c>
      <c r="L37" s="1" t="str">
        <f t="shared" si="1"/>
        <v/>
      </c>
      <c r="M37" s="1" t="str">
        <f t="shared" si="2"/>
        <v/>
      </c>
      <c r="O37">
        <v>36</v>
      </c>
      <c r="P37" t="s">
        <v>73</v>
      </c>
      <c r="Q37" t="s">
        <v>34</v>
      </c>
      <c r="R37">
        <v>427</v>
      </c>
      <c r="S37">
        <v>591</v>
      </c>
      <c r="T37">
        <v>418</v>
      </c>
    </row>
    <row r="38" spans="8:20" x14ac:dyDescent="0.3">
      <c r="H38" t="str">
        <f t="shared" si="3"/>
        <v/>
      </c>
      <c r="I38" s="1"/>
      <c r="J38" s="1"/>
      <c r="K38" s="1" t="str">
        <f t="shared" si="0"/>
        <v/>
      </c>
      <c r="L38" s="1" t="str">
        <f t="shared" si="1"/>
        <v/>
      </c>
      <c r="M38" s="1" t="str">
        <f t="shared" si="2"/>
        <v/>
      </c>
      <c r="O38">
        <v>37</v>
      </c>
      <c r="P38" t="s">
        <v>73</v>
      </c>
      <c r="Q38" t="s">
        <v>37</v>
      </c>
      <c r="R38">
        <v>423</v>
      </c>
      <c r="S38">
        <v>711</v>
      </c>
      <c r="T38">
        <v>303</v>
      </c>
    </row>
    <row r="39" spans="8:20" x14ac:dyDescent="0.3">
      <c r="H39" t="str">
        <f t="shared" si="3"/>
        <v/>
      </c>
      <c r="I39" s="1"/>
      <c r="J39" s="1"/>
      <c r="K39" s="1" t="str">
        <f t="shared" si="0"/>
        <v/>
      </c>
      <c r="L39" s="1" t="str">
        <f t="shared" si="1"/>
        <v/>
      </c>
      <c r="M39" s="1" t="str">
        <f t="shared" si="2"/>
        <v/>
      </c>
      <c r="O39">
        <v>38</v>
      </c>
      <c r="P39" t="s">
        <v>74</v>
      </c>
      <c r="Q39" t="s">
        <v>34</v>
      </c>
      <c r="R39">
        <v>271</v>
      </c>
      <c r="S39">
        <v>751</v>
      </c>
      <c r="T39">
        <v>415</v>
      </c>
    </row>
    <row r="40" spans="8:20" x14ac:dyDescent="0.3">
      <c r="H40" t="str">
        <f t="shared" si="3"/>
        <v/>
      </c>
      <c r="I40" s="1"/>
      <c r="J40" s="1"/>
      <c r="K40" s="1" t="str">
        <f t="shared" si="0"/>
        <v/>
      </c>
      <c r="L40" s="1" t="str">
        <f t="shared" si="1"/>
        <v/>
      </c>
      <c r="M40" s="1" t="str">
        <f t="shared" si="2"/>
        <v/>
      </c>
      <c r="O40">
        <v>39</v>
      </c>
      <c r="P40" t="s">
        <v>74</v>
      </c>
      <c r="Q40" t="s">
        <v>37</v>
      </c>
      <c r="R40">
        <v>225</v>
      </c>
      <c r="S40">
        <v>778</v>
      </c>
      <c r="T40">
        <v>433</v>
      </c>
    </row>
    <row r="41" spans="8:20" x14ac:dyDescent="0.3">
      <c r="H41" t="str">
        <f t="shared" si="3"/>
        <v/>
      </c>
      <c r="I41" s="1"/>
      <c r="J41" s="1"/>
      <c r="K41" s="1" t="str">
        <f t="shared" si="0"/>
        <v/>
      </c>
      <c r="L41" s="1" t="str">
        <f t="shared" si="1"/>
        <v/>
      </c>
      <c r="M41" s="1" t="str">
        <f t="shared" si="2"/>
        <v/>
      </c>
      <c r="O41">
        <v>40</v>
      </c>
      <c r="P41" t="s">
        <v>75</v>
      </c>
      <c r="Q41" t="s">
        <v>34</v>
      </c>
      <c r="R41">
        <v>314</v>
      </c>
      <c r="S41">
        <v>699</v>
      </c>
      <c r="T41">
        <v>423</v>
      </c>
    </row>
    <row r="42" spans="8:20" x14ac:dyDescent="0.3">
      <c r="H42" t="str">
        <f t="shared" si="3"/>
        <v/>
      </c>
      <c r="I42" s="1"/>
      <c r="J42" s="1"/>
      <c r="K42" s="1" t="str">
        <f t="shared" si="0"/>
        <v/>
      </c>
      <c r="L42" s="1" t="str">
        <f t="shared" si="1"/>
        <v/>
      </c>
      <c r="M42" s="1" t="str">
        <f t="shared" si="2"/>
        <v/>
      </c>
      <c r="O42">
        <v>41</v>
      </c>
      <c r="P42" t="s">
        <v>75</v>
      </c>
      <c r="Q42" t="s">
        <v>37</v>
      </c>
      <c r="R42">
        <v>297</v>
      </c>
      <c r="S42">
        <v>830</v>
      </c>
      <c r="T42">
        <v>308</v>
      </c>
    </row>
    <row r="43" spans="8:20" x14ac:dyDescent="0.3">
      <c r="H43" t="str">
        <f t="shared" si="3"/>
        <v/>
      </c>
      <c r="I43" s="1"/>
      <c r="J43" s="1"/>
      <c r="K43" s="1" t="str">
        <f t="shared" si="0"/>
        <v/>
      </c>
      <c r="L43" s="1" t="str">
        <f t="shared" si="1"/>
        <v/>
      </c>
      <c r="M43" s="1" t="str">
        <f t="shared" si="2"/>
        <v/>
      </c>
      <c r="O43">
        <v>42</v>
      </c>
      <c r="P43" t="s">
        <v>76</v>
      </c>
      <c r="Q43" t="s">
        <v>34</v>
      </c>
      <c r="R43">
        <v>412</v>
      </c>
      <c r="S43">
        <v>612</v>
      </c>
      <c r="T43">
        <v>412</v>
      </c>
    </row>
    <row r="44" spans="8:20" x14ac:dyDescent="0.3">
      <c r="H44" t="str">
        <f t="shared" si="3"/>
        <v/>
      </c>
      <c r="I44" s="1"/>
      <c r="J44" s="1"/>
      <c r="K44" s="1" t="str">
        <f t="shared" si="0"/>
        <v/>
      </c>
      <c r="L44" s="1" t="str">
        <f t="shared" si="1"/>
        <v/>
      </c>
      <c r="M44" s="1" t="str">
        <f t="shared" si="2"/>
        <v/>
      </c>
      <c r="O44">
        <v>43</v>
      </c>
      <c r="P44" t="s">
        <v>76</v>
      </c>
      <c r="Q44" t="s">
        <v>37</v>
      </c>
      <c r="R44">
        <v>351</v>
      </c>
      <c r="S44">
        <v>777</v>
      </c>
      <c r="T44">
        <v>310</v>
      </c>
    </row>
    <row r="45" spans="8:20" x14ac:dyDescent="0.3">
      <c r="H45" t="str">
        <f t="shared" si="3"/>
        <v/>
      </c>
      <c r="I45" s="1"/>
      <c r="J45" s="1"/>
      <c r="K45" s="1" t="str">
        <f t="shared" si="0"/>
        <v/>
      </c>
      <c r="L45" s="1" t="str">
        <f t="shared" si="1"/>
        <v/>
      </c>
      <c r="M45" s="1" t="str">
        <f t="shared" si="2"/>
        <v/>
      </c>
      <c r="O45">
        <v>44</v>
      </c>
      <c r="P45" t="s">
        <v>77</v>
      </c>
      <c r="Q45" t="s">
        <v>34</v>
      </c>
      <c r="R45">
        <v>420</v>
      </c>
      <c r="S45">
        <v>606</v>
      </c>
      <c r="T45">
        <v>409</v>
      </c>
    </row>
    <row r="46" spans="8:20" x14ac:dyDescent="0.3">
      <c r="H46" t="str">
        <f t="shared" si="3"/>
        <v/>
      </c>
      <c r="I46" s="1"/>
      <c r="J46" s="1"/>
      <c r="K46" s="1" t="str">
        <f t="shared" ref="K46:K77" si="4">IFERROR($E34/SUM($D34:$F34),"")</f>
        <v/>
      </c>
      <c r="L46" s="1" t="str">
        <f t="shared" ref="L46:L77" si="5">IFERROR($D34/SUM($D34:$F34),"")</f>
        <v/>
      </c>
      <c r="M46" s="1" t="str">
        <f t="shared" ref="M46:M77" si="6">IFERROR($F34/SUM($D34:$F34),"")</f>
        <v/>
      </c>
      <c r="O46">
        <v>45</v>
      </c>
      <c r="P46" t="s">
        <v>77</v>
      </c>
      <c r="Q46" t="s">
        <v>37</v>
      </c>
      <c r="R46">
        <v>307</v>
      </c>
      <c r="S46">
        <v>822</v>
      </c>
      <c r="T46">
        <v>308</v>
      </c>
    </row>
    <row r="47" spans="8:20" x14ac:dyDescent="0.3">
      <c r="H47" t="str">
        <f t="shared" ref="H47:H78" si="7">IF(B35="","",TEXT(B35,"dd/mm") &amp; "-" &amp; IF(UPPER(TRIM(C35))="CN",1,IF(UPPER(TRIM(C35))="CD",2,"")))</f>
        <v/>
      </c>
      <c r="I47" s="1"/>
      <c r="J47" s="1"/>
      <c r="K47" s="1" t="str">
        <f t="shared" si="4"/>
        <v/>
      </c>
      <c r="L47" s="1" t="str">
        <f t="shared" si="5"/>
        <v/>
      </c>
      <c r="M47" s="1" t="str">
        <f t="shared" si="6"/>
        <v/>
      </c>
      <c r="O47">
        <v>46</v>
      </c>
      <c r="P47" t="s">
        <v>78</v>
      </c>
      <c r="Q47" t="s">
        <v>34</v>
      </c>
      <c r="R47">
        <v>309</v>
      </c>
      <c r="S47">
        <v>658</v>
      </c>
      <c r="T47">
        <v>471</v>
      </c>
    </row>
    <row r="48" spans="8:20" x14ac:dyDescent="0.3">
      <c r="H48" t="str">
        <f t="shared" si="7"/>
        <v/>
      </c>
      <c r="I48" s="1"/>
      <c r="J48" s="1"/>
      <c r="K48" s="1" t="str">
        <f t="shared" si="4"/>
        <v/>
      </c>
      <c r="L48" s="1" t="str">
        <f t="shared" si="5"/>
        <v/>
      </c>
      <c r="M48" s="1" t="str">
        <f t="shared" si="6"/>
        <v/>
      </c>
      <c r="O48">
        <v>47</v>
      </c>
      <c r="P48" t="s">
        <v>78</v>
      </c>
      <c r="Q48" t="s">
        <v>37</v>
      </c>
      <c r="R48">
        <v>346</v>
      </c>
      <c r="S48">
        <v>603</v>
      </c>
      <c r="T48">
        <v>488</v>
      </c>
    </row>
    <row r="49" spans="8:20" x14ac:dyDescent="0.3">
      <c r="H49" t="str">
        <f t="shared" si="7"/>
        <v/>
      </c>
      <c r="I49" s="1"/>
      <c r="J49" s="1"/>
      <c r="K49" s="1" t="str">
        <f t="shared" si="4"/>
        <v/>
      </c>
      <c r="L49" s="1" t="str">
        <f t="shared" si="5"/>
        <v/>
      </c>
      <c r="M49" s="1" t="str">
        <f t="shared" si="6"/>
        <v/>
      </c>
      <c r="O49">
        <v>48</v>
      </c>
      <c r="P49" t="s">
        <v>79</v>
      </c>
      <c r="Q49" t="s">
        <v>34</v>
      </c>
      <c r="R49">
        <v>223</v>
      </c>
      <c r="S49">
        <v>734</v>
      </c>
      <c r="T49">
        <v>479</v>
      </c>
    </row>
    <row r="50" spans="8:20" x14ac:dyDescent="0.3">
      <c r="H50" t="str">
        <f t="shared" si="7"/>
        <v/>
      </c>
      <c r="I50" s="1"/>
      <c r="J50" s="1"/>
      <c r="K50" s="1" t="str">
        <f t="shared" si="4"/>
        <v/>
      </c>
      <c r="L50" s="1" t="str">
        <f t="shared" si="5"/>
        <v/>
      </c>
      <c r="M50" s="1" t="str">
        <f t="shared" si="6"/>
        <v/>
      </c>
      <c r="O50">
        <v>49</v>
      </c>
      <c r="P50" t="s">
        <v>79</v>
      </c>
      <c r="Q50" t="s">
        <v>37</v>
      </c>
      <c r="R50">
        <v>0</v>
      </c>
      <c r="S50">
        <v>0</v>
      </c>
      <c r="T50">
        <v>1440</v>
      </c>
    </row>
    <row r="51" spans="8:20" x14ac:dyDescent="0.3">
      <c r="H51" t="str">
        <f t="shared" si="7"/>
        <v/>
      </c>
      <c r="I51" s="1"/>
      <c r="J51" s="1"/>
      <c r="K51" s="1" t="str">
        <f t="shared" si="4"/>
        <v/>
      </c>
      <c r="L51" s="1" t="str">
        <f t="shared" si="5"/>
        <v/>
      </c>
      <c r="M51" s="1" t="str">
        <f t="shared" si="6"/>
        <v/>
      </c>
      <c r="O51">
        <v>50</v>
      </c>
      <c r="P51" t="s">
        <v>80</v>
      </c>
      <c r="Q51" t="s">
        <v>34</v>
      </c>
      <c r="R51">
        <v>375</v>
      </c>
      <c r="S51">
        <v>655</v>
      </c>
      <c r="T51">
        <v>407</v>
      </c>
    </row>
    <row r="52" spans="8:20" x14ac:dyDescent="0.3">
      <c r="H52" t="str">
        <f t="shared" si="7"/>
        <v/>
      </c>
      <c r="I52" s="1"/>
      <c r="J52" s="1"/>
      <c r="K52" s="1" t="str">
        <f t="shared" si="4"/>
        <v/>
      </c>
      <c r="L52" s="1" t="str">
        <f t="shared" si="5"/>
        <v/>
      </c>
      <c r="M52" s="1" t="str">
        <f t="shared" si="6"/>
        <v/>
      </c>
      <c r="O52">
        <v>51</v>
      </c>
      <c r="P52" t="s">
        <v>80</v>
      </c>
      <c r="Q52" t="s">
        <v>37</v>
      </c>
      <c r="R52">
        <v>244</v>
      </c>
      <c r="S52">
        <v>883</v>
      </c>
      <c r="T52">
        <v>309</v>
      </c>
    </row>
    <row r="53" spans="8:20" x14ac:dyDescent="0.3">
      <c r="H53" t="str">
        <f t="shared" si="7"/>
        <v/>
      </c>
      <c r="I53" s="1"/>
      <c r="J53" s="1"/>
      <c r="K53" s="1" t="str">
        <f t="shared" si="4"/>
        <v/>
      </c>
      <c r="L53" s="1" t="str">
        <f t="shared" si="5"/>
        <v/>
      </c>
      <c r="M53" s="1" t="str">
        <f t="shared" si="6"/>
        <v/>
      </c>
      <c r="O53">
        <v>52</v>
      </c>
      <c r="P53" t="s">
        <v>81</v>
      </c>
      <c r="Q53" t="s">
        <v>34</v>
      </c>
      <c r="R53">
        <v>346</v>
      </c>
      <c r="S53">
        <v>680</v>
      </c>
      <c r="T53">
        <v>409</v>
      </c>
    </row>
    <row r="54" spans="8:20" x14ac:dyDescent="0.3">
      <c r="H54" t="str">
        <f t="shared" si="7"/>
        <v/>
      </c>
      <c r="I54" s="1"/>
      <c r="J54" s="1"/>
      <c r="K54" s="1" t="str">
        <f t="shared" si="4"/>
        <v/>
      </c>
      <c r="L54" s="1" t="str">
        <f t="shared" si="5"/>
        <v/>
      </c>
      <c r="M54" s="1" t="str">
        <f t="shared" si="6"/>
        <v/>
      </c>
      <c r="O54">
        <v>53</v>
      </c>
      <c r="P54" t="s">
        <v>81</v>
      </c>
      <c r="Q54" t="s">
        <v>37</v>
      </c>
      <c r="R54">
        <v>229</v>
      </c>
      <c r="S54">
        <v>895</v>
      </c>
      <c r="T54">
        <v>314</v>
      </c>
    </row>
    <row r="55" spans="8:20" x14ac:dyDescent="0.3">
      <c r="H55" t="str">
        <f t="shared" si="7"/>
        <v/>
      </c>
      <c r="I55" s="1"/>
      <c r="J55" s="1"/>
      <c r="K55" s="1" t="str">
        <f t="shared" si="4"/>
        <v/>
      </c>
      <c r="L55" s="1" t="str">
        <f t="shared" si="5"/>
        <v/>
      </c>
      <c r="M55" s="1" t="str">
        <f t="shared" si="6"/>
        <v/>
      </c>
      <c r="O55">
        <v>54</v>
      </c>
      <c r="P55" t="s">
        <v>82</v>
      </c>
      <c r="Q55" t="s">
        <v>34</v>
      </c>
      <c r="R55">
        <v>359</v>
      </c>
      <c r="S55">
        <v>669</v>
      </c>
      <c r="T55">
        <v>408</v>
      </c>
    </row>
    <row r="56" spans="8:20" x14ac:dyDescent="0.3">
      <c r="H56" t="str">
        <f t="shared" si="7"/>
        <v/>
      </c>
      <c r="I56" s="1"/>
      <c r="J56" s="1"/>
      <c r="K56" s="1" t="str">
        <f t="shared" si="4"/>
        <v/>
      </c>
      <c r="L56" s="1" t="str">
        <f t="shared" si="5"/>
        <v/>
      </c>
      <c r="M56" s="1" t="str">
        <f t="shared" si="6"/>
        <v/>
      </c>
      <c r="O56">
        <v>55</v>
      </c>
      <c r="P56" t="s">
        <v>82</v>
      </c>
      <c r="Q56" t="s">
        <v>37</v>
      </c>
      <c r="R56">
        <v>260</v>
      </c>
      <c r="S56">
        <v>801</v>
      </c>
      <c r="T56">
        <v>375</v>
      </c>
    </row>
    <row r="57" spans="8:20" x14ac:dyDescent="0.3">
      <c r="H57" t="str">
        <f t="shared" si="7"/>
        <v/>
      </c>
      <c r="I57" s="1"/>
      <c r="J57" s="1"/>
      <c r="K57" s="1" t="str">
        <f t="shared" si="4"/>
        <v/>
      </c>
      <c r="L57" s="1" t="str">
        <f t="shared" si="5"/>
        <v/>
      </c>
      <c r="M57" s="1" t="str">
        <f t="shared" si="6"/>
        <v/>
      </c>
      <c r="O57">
        <v>56</v>
      </c>
      <c r="P57" t="s">
        <v>83</v>
      </c>
      <c r="Q57" t="s">
        <v>34</v>
      </c>
      <c r="R57">
        <v>321</v>
      </c>
      <c r="S57">
        <v>715</v>
      </c>
      <c r="T57">
        <v>402</v>
      </c>
    </row>
    <row r="58" spans="8:20" x14ac:dyDescent="0.3">
      <c r="H58" t="str">
        <f t="shared" si="7"/>
        <v/>
      </c>
      <c r="I58" s="1"/>
      <c r="J58" s="1"/>
      <c r="K58" s="1" t="str">
        <f t="shared" si="4"/>
        <v/>
      </c>
      <c r="L58" s="1" t="str">
        <f t="shared" si="5"/>
        <v/>
      </c>
      <c r="M58" s="1" t="str">
        <f t="shared" si="6"/>
        <v/>
      </c>
      <c r="O58">
        <v>57</v>
      </c>
      <c r="P58" t="s">
        <v>83</v>
      </c>
      <c r="Q58" t="s">
        <v>37</v>
      </c>
      <c r="R58">
        <v>291</v>
      </c>
      <c r="S58">
        <v>821</v>
      </c>
      <c r="T58">
        <v>323</v>
      </c>
    </row>
    <row r="59" spans="8:20" x14ac:dyDescent="0.3">
      <c r="H59" t="str">
        <f t="shared" si="7"/>
        <v/>
      </c>
      <c r="I59" s="1"/>
      <c r="J59" s="1"/>
      <c r="K59" s="1" t="str">
        <f t="shared" si="4"/>
        <v/>
      </c>
      <c r="L59" s="1" t="str">
        <f t="shared" si="5"/>
        <v/>
      </c>
      <c r="M59" s="1" t="str">
        <f t="shared" si="6"/>
        <v/>
      </c>
      <c r="O59">
        <v>58</v>
      </c>
      <c r="P59" t="s">
        <v>84</v>
      </c>
      <c r="Q59" t="s">
        <v>34</v>
      </c>
      <c r="R59">
        <v>294</v>
      </c>
      <c r="S59">
        <v>725</v>
      </c>
      <c r="T59">
        <v>417</v>
      </c>
    </row>
    <row r="60" spans="8:20" x14ac:dyDescent="0.3">
      <c r="H60" t="str">
        <f t="shared" si="7"/>
        <v/>
      </c>
      <c r="I60" s="1"/>
      <c r="J60" s="1"/>
      <c r="K60" s="1" t="str">
        <f t="shared" si="4"/>
        <v/>
      </c>
      <c r="L60" s="1" t="str">
        <f t="shared" si="5"/>
        <v/>
      </c>
      <c r="M60" s="1" t="str">
        <f t="shared" si="6"/>
        <v/>
      </c>
      <c r="O60">
        <v>59</v>
      </c>
      <c r="P60" t="s">
        <v>84</v>
      </c>
      <c r="Q60" t="s">
        <v>37</v>
      </c>
      <c r="R60">
        <v>352</v>
      </c>
      <c r="S60">
        <v>771</v>
      </c>
      <c r="T60">
        <v>314</v>
      </c>
    </row>
    <row r="61" spans="8:20" x14ac:dyDescent="0.3">
      <c r="H61" t="str">
        <f t="shared" si="7"/>
        <v/>
      </c>
      <c r="I61" s="1"/>
      <c r="J61" s="1"/>
      <c r="K61" s="1" t="str">
        <f t="shared" si="4"/>
        <v/>
      </c>
      <c r="L61" s="1" t="str">
        <f t="shared" si="5"/>
        <v/>
      </c>
      <c r="M61" s="1" t="str">
        <f t="shared" si="6"/>
        <v/>
      </c>
      <c r="O61">
        <v>60</v>
      </c>
      <c r="P61" t="s">
        <v>85</v>
      </c>
      <c r="Q61" t="s">
        <v>34</v>
      </c>
      <c r="R61">
        <v>291</v>
      </c>
      <c r="S61">
        <v>676</v>
      </c>
      <c r="T61">
        <v>469</v>
      </c>
    </row>
    <row r="62" spans="8:20" x14ac:dyDescent="0.3">
      <c r="H62" t="str">
        <f t="shared" si="7"/>
        <v/>
      </c>
      <c r="I62" s="1"/>
      <c r="J62" s="1"/>
      <c r="K62" s="1" t="str">
        <f t="shared" si="4"/>
        <v/>
      </c>
      <c r="L62" s="1" t="str">
        <f t="shared" si="5"/>
        <v/>
      </c>
      <c r="M62" s="1" t="str">
        <f t="shared" si="6"/>
        <v/>
      </c>
      <c r="O62">
        <v>61</v>
      </c>
      <c r="P62" t="s">
        <v>85</v>
      </c>
      <c r="Q62" t="s">
        <v>37</v>
      </c>
      <c r="R62">
        <v>215</v>
      </c>
      <c r="S62">
        <v>733</v>
      </c>
      <c r="T62">
        <v>488</v>
      </c>
    </row>
    <row r="63" spans="8:20" x14ac:dyDescent="0.3">
      <c r="H63" t="str">
        <f t="shared" si="7"/>
        <v/>
      </c>
      <c r="I63" s="1"/>
      <c r="J63" s="1"/>
      <c r="K63" s="1" t="str">
        <f t="shared" si="4"/>
        <v/>
      </c>
      <c r="L63" s="1" t="str">
        <f t="shared" si="5"/>
        <v/>
      </c>
      <c r="M63" s="1" t="str">
        <f t="shared" si="6"/>
        <v/>
      </c>
      <c r="O63">
        <v>62</v>
      </c>
      <c r="P63" t="s">
        <v>86</v>
      </c>
      <c r="Q63" t="s">
        <v>34</v>
      </c>
      <c r="R63">
        <v>0</v>
      </c>
      <c r="S63">
        <v>0</v>
      </c>
      <c r="T63">
        <v>1440</v>
      </c>
    </row>
    <row r="64" spans="8:20" x14ac:dyDescent="0.3">
      <c r="H64" t="str">
        <f t="shared" si="7"/>
        <v/>
      </c>
      <c r="I64" s="1"/>
      <c r="J64" s="1"/>
      <c r="K64" s="1" t="str">
        <f t="shared" si="4"/>
        <v/>
      </c>
      <c r="L64" s="1" t="str">
        <f t="shared" si="5"/>
        <v/>
      </c>
      <c r="M64" s="1" t="str">
        <f t="shared" si="6"/>
        <v/>
      </c>
      <c r="O64">
        <v>63</v>
      </c>
      <c r="P64" t="s">
        <v>86</v>
      </c>
      <c r="Q64" t="s">
        <v>37</v>
      </c>
      <c r="R64">
        <v>0</v>
      </c>
      <c r="S64">
        <v>0</v>
      </c>
      <c r="T64">
        <v>1440</v>
      </c>
    </row>
    <row r="65" spans="8:20" x14ac:dyDescent="0.3">
      <c r="H65" t="str">
        <f t="shared" si="7"/>
        <v/>
      </c>
      <c r="I65" s="1"/>
      <c r="J65" s="1"/>
      <c r="K65" s="1" t="str">
        <f t="shared" si="4"/>
        <v/>
      </c>
      <c r="L65" s="1" t="str">
        <f t="shared" si="5"/>
        <v/>
      </c>
      <c r="M65" s="1" t="str">
        <f t="shared" si="6"/>
        <v/>
      </c>
      <c r="O65">
        <v>64</v>
      </c>
      <c r="P65" t="s">
        <v>87</v>
      </c>
      <c r="Q65" t="s">
        <v>34</v>
      </c>
      <c r="R65">
        <v>219</v>
      </c>
      <c r="S65">
        <v>809</v>
      </c>
      <c r="T65">
        <v>410</v>
      </c>
    </row>
    <row r="66" spans="8:20" x14ac:dyDescent="0.3">
      <c r="H66" t="str">
        <f t="shared" si="7"/>
        <v/>
      </c>
      <c r="I66" s="1"/>
      <c r="J66" s="1"/>
      <c r="K66" s="1" t="str">
        <f t="shared" si="4"/>
        <v/>
      </c>
      <c r="L66" s="1" t="str">
        <f t="shared" si="5"/>
        <v/>
      </c>
      <c r="M66" s="1" t="str">
        <f t="shared" si="6"/>
        <v/>
      </c>
      <c r="O66">
        <v>65</v>
      </c>
      <c r="P66" t="s">
        <v>87</v>
      </c>
      <c r="Q66" t="s">
        <v>37</v>
      </c>
      <c r="R66">
        <v>334</v>
      </c>
      <c r="S66">
        <v>795</v>
      </c>
      <c r="T66">
        <v>307</v>
      </c>
    </row>
    <row r="67" spans="8:20" x14ac:dyDescent="0.3">
      <c r="H67" t="str">
        <f t="shared" si="7"/>
        <v/>
      </c>
      <c r="I67" s="1"/>
      <c r="J67" s="1"/>
      <c r="K67" s="1" t="str">
        <f t="shared" si="4"/>
        <v/>
      </c>
      <c r="L67" s="1" t="str">
        <f t="shared" si="5"/>
        <v/>
      </c>
      <c r="M67" s="1" t="str">
        <f t="shared" si="6"/>
        <v/>
      </c>
      <c r="O67">
        <v>66</v>
      </c>
      <c r="P67" t="s">
        <v>88</v>
      </c>
      <c r="Q67" t="s">
        <v>34</v>
      </c>
      <c r="R67">
        <v>302</v>
      </c>
      <c r="S67">
        <v>719</v>
      </c>
      <c r="T67">
        <v>415</v>
      </c>
    </row>
    <row r="68" spans="8:20" x14ac:dyDescent="0.3">
      <c r="H68" t="str">
        <f t="shared" si="7"/>
        <v/>
      </c>
      <c r="I68" s="1"/>
      <c r="J68" s="1"/>
      <c r="K68" s="1" t="str">
        <f t="shared" si="4"/>
        <v/>
      </c>
      <c r="L68" s="1" t="str">
        <f t="shared" si="5"/>
        <v/>
      </c>
      <c r="M68" s="1" t="str">
        <f t="shared" si="6"/>
        <v/>
      </c>
      <c r="O68">
        <v>67</v>
      </c>
      <c r="P68" t="s">
        <v>88</v>
      </c>
      <c r="Q68" t="s">
        <v>37</v>
      </c>
      <c r="R68">
        <v>284</v>
      </c>
      <c r="S68">
        <v>845</v>
      </c>
      <c r="T68">
        <v>307</v>
      </c>
    </row>
    <row r="69" spans="8:20" x14ac:dyDescent="0.3">
      <c r="H69" t="str">
        <f t="shared" si="7"/>
        <v/>
      </c>
      <c r="I69" s="1"/>
      <c r="J69" s="1"/>
      <c r="K69" s="1" t="str">
        <f t="shared" si="4"/>
        <v/>
      </c>
      <c r="L69" s="1" t="str">
        <f t="shared" si="5"/>
        <v/>
      </c>
      <c r="M69" s="1" t="str">
        <f t="shared" si="6"/>
        <v/>
      </c>
      <c r="O69">
        <v>68</v>
      </c>
      <c r="P69" t="s">
        <v>89</v>
      </c>
      <c r="Q69" t="s">
        <v>34</v>
      </c>
      <c r="R69">
        <v>224</v>
      </c>
      <c r="S69">
        <v>798</v>
      </c>
      <c r="T69">
        <v>416</v>
      </c>
    </row>
    <row r="70" spans="8:20" x14ac:dyDescent="0.3">
      <c r="H70" t="str">
        <f t="shared" si="7"/>
        <v/>
      </c>
      <c r="I70" s="1"/>
      <c r="J70" s="1"/>
      <c r="K70" s="1" t="str">
        <f t="shared" si="4"/>
        <v/>
      </c>
      <c r="L70" s="1" t="str">
        <f t="shared" si="5"/>
        <v/>
      </c>
      <c r="M70" s="1" t="str">
        <f t="shared" si="6"/>
        <v/>
      </c>
      <c r="O70">
        <v>69</v>
      </c>
      <c r="P70" t="s">
        <v>89</v>
      </c>
      <c r="Q70" t="s">
        <v>37</v>
      </c>
      <c r="R70">
        <v>305</v>
      </c>
      <c r="S70">
        <v>822</v>
      </c>
      <c r="T70">
        <v>310</v>
      </c>
    </row>
    <row r="71" spans="8:20" x14ac:dyDescent="0.3">
      <c r="H71" t="str">
        <f t="shared" si="7"/>
        <v/>
      </c>
      <c r="I71" s="1"/>
      <c r="J71" s="1"/>
      <c r="K71" s="1" t="str">
        <f t="shared" si="4"/>
        <v/>
      </c>
      <c r="L71" s="1" t="str">
        <f t="shared" si="5"/>
        <v/>
      </c>
      <c r="M71" s="1" t="str">
        <f t="shared" si="6"/>
        <v/>
      </c>
      <c r="O71">
        <v>70</v>
      </c>
      <c r="P71" t="s">
        <v>90</v>
      </c>
      <c r="Q71" t="s">
        <v>34</v>
      </c>
      <c r="R71">
        <v>284</v>
      </c>
      <c r="S71">
        <v>736</v>
      </c>
      <c r="T71">
        <v>415</v>
      </c>
    </row>
    <row r="72" spans="8:20" x14ac:dyDescent="0.3">
      <c r="H72" t="str">
        <f t="shared" si="7"/>
        <v/>
      </c>
      <c r="I72" s="1"/>
      <c r="J72" s="1"/>
      <c r="K72" s="1" t="str">
        <f t="shared" si="4"/>
        <v/>
      </c>
      <c r="L72" s="1" t="str">
        <f t="shared" si="5"/>
        <v/>
      </c>
      <c r="M72" s="1" t="str">
        <f t="shared" si="6"/>
        <v/>
      </c>
      <c r="O72">
        <v>71</v>
      </c>
      <c r="P72" t="s">
        <v>90</v>
      </c>
      <c r="Q72" t="s">
        <v>37</v>
      </c>
      <c r="R72">
        <v>506</v>
      </c>
      <c r="S72">
        <v>614</v>
      </c>
      <c r="T72">
        <v>314</v>
      </c>
    </row>
    <row r="73" spans="8:20" x14ac:dyDescent="0.3">
      <c r="H73" t="str">
        <f t="shared" si="7"/>
        <v/>
      </c>
      <c r="I73" s="1"/>
      <c r="J73" s="1"/>
      <c r="K73" s="1" t="str">
        <f t="shared" si="4"/>
        <v/>
      </c>
      <c r="L73" s="1" t="str">
        <f t="shared" si="5"/>
        <v/>
      </c>
      <c r="M73" s="1" t="str">
        <f t="shared" si="6"/>
        <v/>
      </c>
      <c r="O73">
        <v>72</v>
      </c>
      <c r="P73" t="s">
        <v>91</v>
      </c>
      <c r="Q73" t="s">
        <v>34</v>
      </c>
      <c r="R73">
        <v>340</v>
      </c>
      <c r="S73">
        <v>679</v>
      </c>
      <c r="T73">
        <v>417</v>
      </c>
    </row>
    <row r="74" spans="8:20" x14ac:dyDescent="0.3">
      <c r="H74" t="str">
        <f t="shared" si="7"/>
        <v/>
      </c>
      <c r="I74" s="1"/>
      <c r="J74" s="1"/>
      <c r="K74" s="1" t="str">
        <f t="shared" si="4"/>
        <v/>
      </c>
      <c r="L74" s="1" t="str">
        <f t="shared" si="5"/>
        <v/>
      </c>
      <c r="M74" s="1" t="str">
        <f t="shared" si="6"/>
        <v/>
      </c>
      <c r="O74">
        <v>73</v>
      </c>
      <c r="P74" t="s">
        <v>91</v>
      </c>
      <c r="Q74" t="s">
        <v>37</v>
      </c>
      <c r="R74">
        <v>325</v>
      </c>
      <c r="S74">
        <v>796</v>
      </c>
      <c r="T74">
        <v>316</v>
      </c>
    </row>
    <row r="75" spans="8:20" x14ac:dyDescent="0.3">
      <c r="H75" t="str">
        <f t="shared" si="7"/>
        <v/>
      </c>
      <c r="I75" s="1"/>
      <c r="J75" s="1"/>
      <c r="K75" s="1" t="str">
        <f t="shared" si="4"/>
        <v/>
      </c>
      <c r="L75" s="1" t="str">
        <f t="shared" si="5"/>
        <v/>
      </c>
      <c r="M75" s="1" t="str">
        <f t="shared" si="6"/>
        <v/>
      </c>
      <c r="O75">
        <v>74</v>
      </c>
      <c r="P75" t="s">
        <v>92</v>
      </c>
      <c r="Q75" t="s">
        <v>34</v>
      </c>
      <c r="R75">
        <v>272</v>
      </c>
      <c r="S75">
        <v>688</v>
      </c>
      <c r="T75">
        <v>477</v>
      </c>
    </row>
    <row r="76" spans="8:20" x14ac:dyDescent="0.3">
      <c r="I76" s="1"/>
      <c r="J76" s="1"/>
      <c r="K76" s="1"/>
      <c r="L76" s="1"/>
      <c r="M76" s="1"/>
      <c r="O76">
        <v>75</v>
      </c>
      <c r="P76" t="s">
        <v>92</v>
      </c>
      <c r="Q76" t="s">
        <v>37</v>
      </c>
      <c r="R76">
        <v>263</v>
      </c>
      <c r="S76">
        <v>689</v>
      </c>
      <c r="T76">
        <v>485</v>
      </c>
    </row>
    <row r="77" spans="8:20" x14ac:dyDescent="0.3">
      <c r="I77" s="1"/>
      <c r="J77" s="1"/>
      <c r="K77" s="1"/>
      <c r="L77" s="1"/>
      <c r="M77" s="1"/>
      <c r="O77">
        <v>76</v>
      </c>
      <c r="P77" t="s">
        <v>93</v>
      </c>
      <c r="Q77" t="s">
        <v>34</v>
      </c>
      <c r="R77">
        <v>0</v>
      </c>
      <c r="S77">
        <v>0</v>
      </c>
      <c r="T77">
        <v>1440</v>
      </c>
    </row>
    <row r="78" spans="8:20" x14ac:dyDescent="0.3">
      <c r="I78" s="1"/>
      <c r="J78" s="1"/>
      <c r="K78" s="1"/>
      <c r="L78" s="1"/>
      <c r="M78" s="1"/>
      <c r="O78">
        <v>77</v>
      </c>
      <c r="P78" t="s">
        <v>93</v>
      </c>
      <c r="Q78" t="s">
        <v>37</v>
      </c>
      <c r="R78">
        <v>0</v>
      </c>
      <c r="S78">
        <v>0</v>
      </c>
      <c r="T78">
        <v>1440</v>
      </c>
    </row>
    <row r="79" spans="8:20" x14ac:dyDescent="0.3">
      <c r="I79" s="1"/>
      <c r="J79" s="1"/>
      <c r="K79" s="1"/>
      <c r="L79" s="1"/>
      <c r="M79" s="1"/>
      <c r="O79">
        <v>78</v>
      </c>
      <c r="P79" t="s">
        <v>94</v>
      </c>
      <c r="Q79" t="s">
        <v>34</v>
      </c>
      <c r="R79">
        <v>361</v>
      </c>
      <c r="S79">
        <v>665</v>
      </c>
      <c r="T79">
        <v>410</v>
      </c>
    </row>
    <row r="80" spans="8:20" x14ac:dyDescent="0.3">
      <c r="I80" s="1"/>
      <c r="J80" s="1"/>
      <c r="K80" s="1"/>
      <c r="L80" s="1"/>
      <c r="M80" s="1"/>
      <c r="O80">
        <v>79</v>
      </c>
      <c r="P80" t="s">
        <v>94</v>
      </c>
      <c r="Q80" t="s">
        <v>37</v>
      </c>
      <c r="R80">
        <v>311</v>
      </c>
      <c r="S80">
        <v>815</v>
      </c>
      <c r="T80">
        <v>310</v>
      </c>
    </row>
    <row r="81" spans="9:20" x14ac:dyDescent="0.3">
      <c r="I81" s="1"/>
      <c r="J81" s="1"/>
      <c r="K81" s="1"/>
      <c r="L81" s="1"/>
      <c r="M81" s="1"/>
      <c r="O81">
        <v>80</v>
      </c>
      <c r="P81" t="s">
        <v>95</v>
      </c>
      <c r="Q81" t="s">
        <v>34</v>
      </c>
      <c r="R81">
        <v>351</v>
      </c>
      <c r="S81">
        <v>679</v>
      </c>
      <c r="T81">
        <v>406</v>
      </c>
    </row>
    <row r="82" spans="9:20" x14ac:dyDescent="0.3">
      <c r="I82" s="1"/>
      <c r="J82" s="1"/>
      <c r="K82" s="1"/>
      <c r="L82" s="1"/>
      <c r="M82" s="1"/>
      <c r="O82">
        <v>81</v>
      </c>
      <c r="P82" t="s">
        <v>95</v>
      </c>
      <c r="Q82" t="s">
        <v>37</v>
      </c>
      <c r="R82">
        <v>356</v>
      </c>
      <c r="S82">
        <v>766</v>
      </c>
      <c r="T82">
        <v>315</v>
      </c>
    </row>
    <row r="83" spans="9:20" x14ac:dyDescent="0.3">
      <c r="I83" s="1"/>
      <c r="J83" s="1"/>
      <c r="K83" s="1"/>
      <c r="L83" s="1"/>
      <c r="M83" s="1"/>
      <c r="O83">
        <v>82</v>
      </c>
      <c r="P83" t="s">
        <v>96</v>
      </c>
      <c r="Q83" t="s">
        <v>34</v>
      </c>
      <c r="R83">
        <v>498</v>
      </c>
      <c r="S83">
        <v>526</v>
      </c>
      <c r="T83">
        <v>412</v>
      </c>
    </row>
    <row r="84" spans="9:20" x14ac:dyDescent="0.3">
      <c r="I84" s="1"/>
      <c r="J84" s="1"/>
      <c r="K84" s="1"/>
      <c r="L84" s="1"/>
      <c r="M84" s="1"/>
      <c r="O84">
        <v>83</v>
      </c>
      <c r="P84" t="s">
        <v>96</v>
      </c>
      <c r="Q84" t="s">
        <v>37</v>
      </c>
      <c r="R84">
        <v>292</v>
      </c>
      <c r="S84">
        <v>837</v>
      </c>
      <c r="T84">
        <v>307</v>
      </c>
    </row>
    <row r="85" spans="9:20" x14ac:dyDescent="0.3">
      <c r="I85" s="1"/>
      <c r="J85" s="1"/>
      <c r="K85" s="1"/>
      <c r="L85" s="1"/>
      <c r="M85" s="1"/>
      <c r="O85">
        <v>84</v>
      </c>
      <c r="P85" t="s">
        <v>97</v>
      </c>
      <c r="Q85" t="s">
        <v>34</v>
      </c>
      <c r="R85">
        <v>151</v>
      </c>
      <c r="S85">
        <v>649</v>
      </c>
      <c r="T85">
        <v>636</v>
      </c>
    </row>
    <row r="86" spans="9:20" x14ac:dyDescent="0.3">
      <c r="I86" s="1"/>
      <c r="J86" s="1"/>
      <c r="K86" s="1"/>
      <c r="L86" s="1"/>
      <c r="M86" s="1"/>
      <c r="O86">
        <v>85</v>
      </c>
      <c r="P86" t="s">
        <v>97</v>
      </c>
      <c r="Q86" t="s">
        <v>37</v>
      </c>
      <c r="R86">
        <v>234</v>
      </c>
      <c r="S86">
        <v>893</v>
      </c>
      <c r="T86">
        <v>311</v>
      </c>
    </row>
    <row r="87" spans="9:20" x14ac:dyDescent="0.3">
      <c r="I87" s="1"/>
      <c r="J87" s="1"/>
      <c r="K87" s="1"/>
      <c r="L87" s="1"/>
      <c r="M87" s="1"/>
      <c r="O87">
        <v>86</v>
      </c>
      <c r="P87" t="s">
        <v>98</v>
      </c>
      <c r="Q87" t="s">
        <v>34</v>
      </c>
      <c r="R87">
        <v>329</v>
      </c>
      <c r="S87">
        <v>698</v>
      </c>
      <c r="T87">
        <v>408</v>
      </c>
    </row>
    <row r="88" spans="9:20" x14ac:dyDescent="0.3">
      <c r="I88" s="1"/>
      <c r="J88" s="1"/>
      <c r="K88" s="1"/>
      <c r="L88" s="1"/>
      <c r="M88" s="1"/>
      <c r="O88">
        <v>87</v>
      </c>
      <c r="P88" t="s">
        <v>98</v>
      </c>
      <c r="Q88" t="s">
        <v>37</v>
      </c>
      <c r="R88">
        <v>293</v>
      </c>
      <c r="S88">
        <v>398</v>
      </c>
      <c r="T88">
        <v>746</v>
      </c>
    </row>
    <row r="89" spans="9:20" x14ac:dyDescent="0.3">
      <c r="I89" s="1"/>
      <c r="J89" s="1"/>
      <c r="K89" s="1"/>
      <c r="L89" s="1"/>
      <c r="M89" s="1"/>
      <c r="O89">
        <v>88</v>
      </c>
      <c r="P89" t="s">
        <v>99</v>
      </c>
      <c r="Q89" t="s">
        <v>34</v>
      </c>
      <c r="R89">
        <v>0</v>
      </c>
      <c r="S89">
        <v>0</v>
      </c>
      <c r="T89">
        <v>1440</v>
      </c>
    </row>
    <row r="90" spans="9:20" x14ac:dyDescent="0.3">
      <c r="I90" s="1"/>
      <c r="J90" s="1"/>
      <c r="K90" s="1"/>
      <c r="L90" s="1"/>
      <c r="M90" s="1"/>
      <c r="O90">
        <v>89</v>
      </c>
      <c r="P90" t="s">
        <v>99</v>
      </c>
      <c r="Q90" t="s">
        <v>37</v>
      </c>
      <c r="R90">
        <v>0</v>
      </c>
      <c r="S90">
        <v>0</v>
      </c>
      <c r="T90">
        <v>1440</v>
      </c>
    </row>
    <row r="91" spans="9:20" x14ac:dyDescent="0.3">
      <c r="I91" s="1"/>
      <c r="J91" s="1"/>
      <c r="K91" s="1"/>
      <c r="L91" s="1"/>
      <c r="M91" s="1"/>
      <c r="O91">
        <v>90</v>
      </c>
      <c r="P91" t="s">
        <v>100</v>
      </c>
      <c r="Q91" t="s">
        <v>34</v>
      </c>
      <c r="R91">
        <v>0</v>
      </c>
      <c r="S91">
        <v>0</v>
      </c>
      <c r="T91">
        <v>1440</v>
      </c>
    </row>
    <row r="92" spans="9:20" x14ac:dyDescent="0.3">
      <c r="I92" s="1"/>
      <c r="J92" s="1"/>
      <c r="K92" s="1"/>
      <c r="L92" s="1"/>
      <c r="M92" s="1"/>
      <c r="O92">
        <v>91</v>
      </c>
      <c r="P92" t="s">
        <v>100</v>
      </c>
      <c r="Q92" t="s">
        <v>37</v>
      </c>
      <c r="R92">
        <v>0</v>
      </c>
      <c r="S92">
        <v>0</v>
      </c>
      <c r="T92">
        <v>1440</v>
      </c>
    </row>
    <row r="93" spans="9:20" x14ac:dyDescent="0.3">
      <c r="I93" s="1"/>
      <c r="J93" s="1"/>
      <c r="K93" s="1"/>
      <c r="L93" s="1"/>
      <c r="M93" s="1"/>
      <c r="O93">
        <v>92</v>
      </c>
      <c r="P93" t="s">
        <v>101</v>
      </c>
      <c r="Q93" t="s">
        <v>34</v>
      </c>
      <c r="R93">
        <v>0</v>
      </c>
      <c r="S93">
        <v>0</v>
      </c>
      <c r="T93">
        <v>1440</v>
      </c>
    </row>
    <row r="94" spans="9:20" x14ac:dyDescent="0.3">
      <c r="I94" s="1"/>
      <c r="J94" s="1"/>
      <c r="K94" s="1"/>
      <c r="L94" s="1"/>
      <c r="M94" s="1"/>
      <c r="O94">
        <v>93</v>
      </c>
      <c r="P94" t="s">
        <v>101</v>
      </c>
      <c r="Q94" t="s">
        <v>37</v>
      </c>
      <c r="R94">
        <v>0</v>
      </c>
      <c r="S94">
        <v>0</v>
      </c>
      <c r="T94">
        <v>1441</v>
      </c>
    </row>
    <row r="95" spans="9:20" x14ac:dyDescent="0.3">
      <c r="I95" s="1"/>
      <c r="J95" s="1"/>
      <c r="K95" s="1"/>
      <c r="L95" s="1"/>
      <c r="M95" s="1"/>
      <c r="O95">
        <v>94</v>
      </c>
      <c r="P95" t="s">
        <v>102</v>
      </c>
      <c r="Q95" t="s">
        <v>34</v>
      </c>
      <c r="R95">
        <v>0</v>
      </c>
      <c r="S95">
        <v>0</v>
      </c>
      <c r="T95">
        <v>1440</v>
      </c>
    </row>
    <row r="96" spans="9:20" x14ac:dyDescent="0.3">
      <c r="I96" s="1"/>
      <c r="J96" s="1"/>
      <c r="K96" s="1"/>
      <c r="L96" s="1"/>
      <c r="M96" s="1"/>
      <c r="O96">
        <v>95</v>
      </c>
      <c r="P96" t="s">
        <v>102</v>
      </c>
      <c r="Q96" t="s">
        <v>37</v>
      </c>
      <c r="R96">
        <v>0</v>
      </c>
      <c r="S96">
        <v>0</v>
      </c>
      <c r="T96">
        <v>1440</v>
      </c>
    </row>
    <row r="97" spans="9:20" x14ac:dyDescent="0.3">
      <c r="I97" s="1"/>
      <c r="J97" s="1"/>
      <c r="K97" s="1"/>
      <c r="L97" s="1"/>
      <c r="M97" s="1"/>
      <c r="O97">
        <v>96</v>
      </c>
      <c r="P97" t="s">
        <v>103</v>
      </c>
      <c r="Q97" t="s">
        <v>34</v>
      </c>
      <c r="R97">
        <v>0</v>
      </c>
      <c r="S97">
        <v>0</v>
      </c>
      <c r="T97">
        <v>1440</v>
      </c>
    </row>
    <row r="98" spans="9:20" x14ac:dyDescent="0.3">
      <c r="I98" s="1"/>
      <c r="J98" s="1"/>
      <c r="K98" s="1"/>
      <c r="L98" s="1"/>
      <c r="M98" s="1"/>
      <c r="O98">
        <v>97</v>
      </c>
      <c r="P98" t="s">
        <v>103</v>
      </c>
      <c r="Q98" t="s">
        <v>37</v>
      </c>
      <c r="R98">
        <v>0</v>
      </c>
      <c r="S98">
        <v>0</v>
      </c>
      <c r="T98">
        <v>1440</v>
      </c>
    </row>
    <row r="99" spans="9:20" x14ac:dyDescent="0.3">
      <c r="I99" s="1"/>
      <c r="J99" s="1"/>
      <c r="K99" s="1"/>
      <c r="L99" s="1"/>
      <c r="M99" s="1"/>
      <c r="O99">
        <v>98</v>
      </c>
      <c r="P99" t="s">
        <v>104</v>
      </c>
      <c r="Q99" t="s">
        <v>34</v>
      </c>
      <c r="R99">
        <v>0</v>
      </c>
      <c r="S99">
        <v>0</v>
      </c>
      <c r="T99">
        <v>1440</v>
      </c>
    </row>
    <row r="100" spans="9:20" x14ac:dyDescent="0.3">
      <c r="I100" s="1"/>
      <c r="J100" s="1"/>
      <c r="K100" s="1"/>
      <c r="L100" s="1"/>
      <c r="M100" s="1"/>
      <c r="O100">
        <v>99</v>
      </c>
      <c r="P100" t="s">
        <v>104</v>
      </c>
      <c r="Q100" t="s">
        <v>37</v>
      </c>
      <c r="R100">
        <v>0</v>
      </c>
      <c r="S100">
        <v>0</v>
      </c>
      <c r="T100">
        <v>1440</v>
      </c>
    </row>
    <row r="101" spans="9:20" x14ac:dyDescent="0.3">
      <c r="I101" s="1"/>
      <c r="J101" s="1"/>
      <c r="K101" s="1"/>
      <c r="L101" s="1"/>
      <c r="M101" s="1"/>
      <c r="O101">
        <v>100</v>
      </c>
      <c r="P101" t="s">
        <v>105</v>
      </c>
      <c r="Q101" t="s">
        <v>34</v>
      </c>
      <c r="R101">
        <v>0</v>
      </c>
      <c r="S101">
        <v>0</v>
      </c>
      <c r="T101">
        <v>1440</v>
      </c>
    </row>
    <row r="102" spans="9:20" x14ac:dyDescent="0.3">
      <c r="O102">
        <v>101</v>
      </c>
      <c r="P102" t="s">
        <v>105</v>
      </c>
      <c r="Q102" t="s">
        <v>37</v>
      </c>
      <c r="R102">
        <v>0</v>
      </c>
      <c r="S102">
        <v>0</v>
      </c>
      <c r="T102">
        <v>1440</v>
      </c>
    </row>
    <row r="103" spans="9:20" x14ac:dyDescent="0.3">
      <c r="O103">
        <v>102</v>
      </c>
      <c r="P103" t="s">
        <v>106</v>
      </c>
      <c r="Q103" t="s">
        <v>34</v>
      </c>
      <c r="R103">
        <v>0</v>
      </c>
      <c r="S103">
        <v>0</v>
      </c>
      <c r="T103">
        <v>1440</v>
      </c>
    </row>
    <row r="104" spans="9:20" x14ac:dyDescent="0.3">
      <c r="O104">
        <v>103</v>
      </c>
      <c r="P104" t="s">
        <v>106</v>
      </c>
      <c r="Q104" t="s">
        <v>37</v>
      </c>
      <c r="R104">
        <v>0</v>
      </c>
      <c r="S104">
        <v>0</v>
      </c>
      <c r="T104">
        <v>1440</v>
      </c>
    </row>
    <row r="105" spans="9:20" x14ac:dyDescent="0.3">
      <c r="O105">
        <v>104</v>
      </c>
      <c r="P105" t="s">
        <v>107</v>
      </c>
      <c r="Q105" t="s">
        <v>34</v>
      </c>
      <c r="R105">
        <v>0</v>
      </c>
      <c r="S105">
        <v>0</v>
      </c>
      <c r="T105">
        <v>1440</v>
      </c>
    </row>
    <row r="106" spans="9:20" x14ac:dyDescent="0.3">
      <c r="O106">
        <v>105</v>
      </c>
      <c r="P106" t="s">
        <v>107</v>
      </c>
      <c r="Q106" t="s">
        <v>37</v>
      </c>
      <c r="R106">
        <v>0</v>
      </c>
      <c r="S106">
        <v>0</v>
      </c>
      <c r="T106">
        <v>1440</v>
      </c>
    </row>
    <row r="107" spans="9:20" x14ac:dyDescent="0.3">
      <c r="O107">
        <v>106</v>
      </c>
      <c r="P107" t="s">
        <v>108</v>
      </c>
      <c r="Q107" t="s">
        <v>34</v>
      </c>
      <c r="R107">
        <v>175</v>
      </c>
      <c r="S107">
        <v>847</v>
      </c>
      <c r="T107">
        <v>415</v>
      </c>
    </row>
    <row r="108" spans="9:20" x14ac:dyDescent="0.3">
      <c r="O108">
        <v>107</v>
      </c>
      <c r="P108" t="s">
        <v>108</v>
      </c>
      <c r="Q108" t="s">
        <v>37</v>
      </c>
      <c r="R108">
        <v>337</v>
      </c>
      <c r="S108">
        <v>781</v>
      </c>
      <c r="T108">
        <v>320</v>
      </c>
    </row>
    <row r="109" spans="9:20" x14ac:dyDescent="0.3">
      <c r="O109">
        <v>108</v>
      </c>
      <c r="P109" t="s">
        <v>109</v>
      </c>
      <c r="Q109" t="s">
        <v>34</v>
      </c>
      <c r="R109">
        <v>298</v>
      </c>
      <c r="S109">
        <v>732</v>
      </c>
      <c r="T109">
        <v>407</v>
      </c>
    </row>
    <row r="110" spans="9:20" x14ac:dyDescent="0.3">
      <c r="O110">
        <v>109</v>
      </c>
      <c r="P110" t="s">
        <v>109</v>
      </c>
      <c r="Q110" t="s">
        <v>37</v>
      </c>
      <c r="R110">
        <v>317</v>
      </c>
      <c r="S110">
        <v>806</v>
      </c>
      <c r="T110">
        <v>313</v>
      </c>
    </row>
    <row r="111" spans="9:20" x14ac:dyDescent="0.3">
      <c r="O111">
        <v>110</v>
      </c>
      <c r="P111" t="s">
        <v>110</v>
      </c>
      <c r="Q111" t="s">
        <v>34</v>
      </c>
      <c r="R111">
        <v>318</v>
      </c>
      <c r="S111">
        <v>709</v>
      </c>
      <c r="T111">
        <v>408</v>
      </c>
    </row>
    <row r="112" spans="9:20" x14ac:dyDescent="0.3">
      <c r="O112">
        <v>111</v>
      </c>
      <c r="P112" t="s">
        <v>110</v>
      </c>
      <c r="Q112" t="s">
        <v>37</v>
      </c>
      <c r="R112">
        <v>342</v>
      </c>
      <c r="S112">
        <v>768</v>
      </c>
      <c r="T112">
        <v>327</v>
      </c>
    </row>
    <row r="113" spans="15:20" x14ac:dyDescent="0.3">
      <c r="O113">
        <v>112</v>
      </c>
      <c r="P113" t="s">
        <v>111</v>
      </c>
      <c r="Q113" t="s">
        <v>34</v>
      </c>
      <c r="R113">
        <v>420</v>
      </c>
      <c r="S113">
        <v>604</v>
      </c>
      <c r="T113">
        <v>409</v>
      </c>
    </row>
    <row r="114" spans="15:20" x14ac:dyDescent="0.3">
      <c r="O114">
        <v>113</v>
      </c>
      <c r="P114" t="s">
        <v>111</v>
      </c>
      <c r="Q114" t="s">
        <v>37</v>
      </c>
      <c r="R114">
        <v>319</v>
      </c>
      <c r="S114">
        <v>810</v>
      </c>
      <c r="T114">
        <v>307</v>
      </c>
    </row>
    <row r="115" spans="15:20" x14ac:dyDescent="0.3">
      <c r="O115">
        <v>114</v>
      </c>
      <c r="P115" t="s">
        <v>112</v>
      </c>
      <c r="Q115" t="s">
        <v>34</v>
      </c>
      <c r="R115">
        <v>304</v>
      </c>
      <c r="S115">
        <v>723</v>
      </c>
      <c r="T115">
        <v>408</v>
      </c>
    </row>
    <row r="116" spans="15:20" x14ac:dyDescent="0.3">
      <c r="O116">
        <v>115</v>
      </c>
      <c r="P116" t="s">
        <v>112</v>
      </c>
      <c r="Q116" t="s">
        <v>37</v>
      </c>
      <c r="R116">
        <v>276</v>
      </c>
      <c r="S116">
        <v>845</v>
      </c>
      <c r="T116">
        <v>316</v>
      </c>
    </row>
    <row r="117" spans="15:20" x14ac:dyDescent="0.3">
      <c r="O117">
        <v>116</v>
      </c>
      <c r="P117" t="s">
        <v>113</v>
      </c>
      <c r="Q117" t="s">
        <v>34</v>
      </c>
      <c r="R117">
        <v>265</v>
      </c>
      <c r="S117">
        <v>705</v>
      </c>
      <c r="T117">
        <v>467</v>
      </c>
    </row>
    <row r="118" spans="15:20" x14ac:dyDescent="0.3">
      <c r="O118">
        <v>117</v>
      </c>
      <c r="P118" t="s">
        <v>113</v>
      </c>
      <c r="Q118" t="s">
        <v>37</v>
      </c>
      <c r="R118">
        <v>390</v>
      </c>
      <c r="S118">
        <v>548</v>
      </c>
      <c r="T118">
        <v>499</v>
      </c>
    </row>
    <row r="119" spans="15:20" x14ac:dyDescent="0.3">
      <c r="O119">
        <v>118</v>
      </c>
      <c r="P119" t="s">
        <v>114</v>
      </c>
      <c r="Q119" t="s">
        <v>34</v>
      </c>
      <c r="R119">
        <v>0</v>
      </c>
      <c r="S119">
        <v>0</v>
      </c>
      <c r="T119">
        <v>1152</v>
      </c>
    </row>
    <row r="120" spans="15:20" x14ac:dyDescent="0.3">
      <c r="O120">
        <v>119</v>
      </c>
      <c r="P120" t="s">
        <v>114</v>
      </c>
      <c r="Q120" t="s">
        <v>37</v>
      </c>
      <c r="R120">
        <v>0</v>
      </c>
      <c r="S120">
        <v>0</v>
      </c>
      <c r="T120">
        <v>1440</v>
      </c>
    </row>
    <row r="121" spans="15:20" x14ac:dyDescent="0.3">
      <c r="O121">
        <v>120</v>
      </c>
      <c r="P121" t="s">
        <v>115</v>
      </c>
      <c r="Q121" t="s">
        <v>34</v>
      </c>
      <c r="R121">
        <v>335</v>
      </c>
      <c r="S121">
        <v>672</v>
      </c>
      <c r="T121">
        <v>431</v>
      </c>
    </row>
    <row r="122" spans="15:20" x14ac:dyDescent="0.3">
      <c r="O122">
        <v>121</v>
      </c>
      <c r="P122" t="s">
        <v>115</v>
      </c>
      <c r="Q122" t="s">
        <v>37</v>
      </c>
      <c r="R122">
        <v>298</v>
      </c>
      <c r="S122">
        <v>826</v>
      </c>
      <c r="T122">
        <v>312</v>
      </c>
    </row>
    <row r="123" spans="15:20" x14ac:dyDescent="0.3">
      <c r="O123">
        <v>122</v>
      </c>
      <c r="P123" t="s">
        <v>116</v>
      </c>
      <c r="Q123" t="s">
        <v>34</v>
      </c>
      <c r="R123">
        <v>310</v>
      </c>
      <c r="S123">
        <v>666</v>
      </c>
      <c r="T123">
        <v>462</v>
      </c>
    </row>
    <row r="124" spans="15:20" x14ac:dyDescent="0.3">
      <c r="O124">
        <v>123</v>
      </c>
      <c r="P124" t="s">
        <v>116</v>
      </c>
      <c r="Q124" t="s">
        <v>37</v>
      </c>
      <c r="R124">
        <v>369</v>
      </c>
      <c r="S124">
        <v>753</v>
      </c>
      <c r="T124">
        <v>315</v>
      </c>
    </row>
    <row r="125" spans="15:20" x14ac:dyDescent="0.3">
      <c r="O125">
        <v>124</v>
      </c>
      <c r="P125" t="s">
        <v>117</v>
      </c>
      <c r="Q125" t="s">
        <v>34</v>
      </c>
      <c r="R125">
        <v>364</v>
      </c>
      <c r="S125">
        <v>665</v>
      </c>
      <c r="T125">
        <v>408</v>
      </c>
    </row>
    <row r="126" spans="15:20" x14ac:dyDescent="0.3">
      <c r="O126">
        <v>125</v>
      </c>
      <c r="P126" t="s">
        <v>117</v>
      </c>
      <c r="Q126" t="s">
        <v>37</v>
      </c>
      <c r="R126">
        <v>256</v>
      </c>
      <c r="S126">
        <v>866</v>
      </c>
      <c r="T126">
        <v>316</v>
      </c>
    </row>
    <row r="127" spans="15:20" x14ac:dyDescent="0.3">
      <c r="O127">
        <v>126</v>
      </c>
      <c r="P127" t="s">
        <v>118</v>
      </c>
      <c r="Q127" t="s">
        <v>34</v>
      </c>
      <c r="R127">
        <v>228</v>
      </c>
      <c r="S127">
        <v>785</v>
      </c>
      <c r="T127">
        <v>424</v>
      </c>
    </row>
    <row r="128" spans="15:20" x14ac:dyDescent="0.3">
      <c r="O128">
        <v>127</v>
      </c>
      <c r="P128" t="s">
        <v>118</v>
      </c>
      <c r="Q128" t="s">
        <v>37</v>
      </c>
      <c r="R128">
        <v>187</v>
      </c>
      <c r="S128">
        <v>935</v>
      </c>
      <c r="T128">
        <v>314</v>
      </c>
    </row>
    <row r="129" spans="15:20" x14ac:dyDescent="0.3">
      <c r="O129">
        <v>128</v>
      </c>
      <c r="P129" t="s">
        <v>119</v>
      </c>
      <c r="Q129" t="s">
        <v>34</v>
      </c>
      <c r="R129">
        <v>369</v>
      </c>
      <c r="S129">
        <v>669</v>
      </c>
      <c r="T129">
        <v>398</v>
      </c>
    </row>
    <row r="130" spans="15:20" x14ac:dyDescent="0.3">
      <c r="O130">
        <v>129</v>
      </c>
      <c r="P130" t="s">
        <v>119</v>
      </c>
      <c r="Q130" t="s">
        <v>37</v>
      </c>
      <c r="R130">
        <v>224</v>
      </c>
      <c r="S130">
        <v>899</v>
      </c>
      <c r="T130">
        <v>314</v>
      </c>
    </row>
    <row r="131" spans="15:20" x14ac:dyDescent="0.3">
      <c r="O131">
        <v>130</v>
      </c>
      <c r="P131" t="s">
        <v>120</v>
      </c>
      <c r="Q131" t="s">
        <v>34</v>
      </c>
      <c r="R131">
        <v>364</v>
      </c>
      <c r="S131">
        <v>595</v>
      </c>
      <c r="T131">
        <v>481</v>
      </c>
    </row>
    <row r="132" spans="15:20" x14ac:dyDescent="0.3">
      <c r="O132">
        <v>131</v>
      </c>
      <c r="P132" t="s">
        <v>120</v>
      </c>
      <c r="Q132" t="s">
        <v>37</v>
      </c>
      <c r="R132">
        <v>331</v>
      </c>
      <c r="S132">
        <v>610</v>
      </c>
      <c r="T132">
        <v>495</v>
      </c>
    </row>
    <row r="133" spans="15:20" x14ac:dyDescent="0.3">
      <c r="O133">
        <v>132</v>
      </c>
      <c r="P133" t="s">
        <v>121</v>
      </c>
      <c r="Q133" t="s">
        <v>34</v>
      </c>
      <c r="R133">
        <v>0</v>
      </c>
      <c r="S133">
        <v>0</v>
      </c>
      <c r="T133">
        <v>1440</v>
      </c>
    </row>
    <row r="134" spans="15:20" x14ac:dyDescent="0.3">
      <c r="O134">
        <v>133</v>
      </c>
      <c r="P134" t="s">
        <v>121</v>
      </c>
      <c r="Q134" t="s">
        <v>37</v>
      </c>
      <c r="R134">
        <v>0</v>
      </c>
      <c r="S134">
        <v>0</v>
      </c>
      <c r="T134">
        <v>1440</v>
      </c>
    </row>
    <row r="135" spans="15:20" x14ac:dyDescent="0.3">
      <c r="O135">
        <v>134</v>
      </c>
      <c r="P135" t="s">
        <v>122</v>
      </c>
      <c r="Q135" t="s">
        <v>34</v>
      </c>
      <c r="R135">
        <v>290</v>
      </c>
      <c r="S135">
        <v>727</v>
      </c>
      <c r="T135">
        <v>419</v>
      </c>
    </row>
    <row r="136" spans="15:20" x14ac:dyDescent="0.3">
      <c r="O136">
        <v>135</v>
      </c>
      <c r="P136" t="s">
        <v>122</v>
      </c>
      <c r="Q136" t="s">
        <v>37</v>
      </c>
      <c r="R136">
        <v>348</v>
      </c>
      <c r="S136">
        <v>774</v>
      </c>
      <c r="T136">
        <v>314</v>
      </c>
    </row>
    <row r="137" spans="15:20" x14ac:dyDescent="0.3">
      <c r="O137">
        <v>136</v>
      </c>
      <c r="P137" t="s">
        <v>123</v>
      </c>
      <c r="Q137" t="s">
        <v>34</v>
      </c>
      <c r="R137">
        <v>380</v>
      </c>
      <c r="S137">
        <v>646</v>
      </c>
      <c r="T137">
        <v>410</v>
      </c>
    </row>
    <row r="138" spans="15:20" x14ac:dyDescent="0.3">
      <c r="O138">
        <v>137</v>
      </c>
      <c r="P138" t="s">
        <v>123</v>
      </c>
      <c r="Q138" t="s">
        <v>37</v>
      </c>
      <c r="R138">
        <v>474</v>
      </c>
      <c r="S138">
        <v>647</v>
      </c>
      <c r="T138">
        <v>316</v>
      </c>
    </row>
    <row r="139" spans="15:20" x14ac:dyDescent="0.3">
      <c r="O139">
        <v>138</v>
      </c>
      <c r="P139" t="s">
        <v>124</v>
      </c>
      <c r="Q139" t="s">
        <v>34</v>
      </c>
      <c r="R139">
        <v>477</v>
      </c>
      <c r="S139">
        <v>551</v>
      </c>
      <c r="T139">
        <v>409</v>
      </c>
    </row>
    <row r="140" spans="15:20" x14ac:dyDescent="0.3">
      <c r="O140">
        <v>139</v>
      </c>
      <c r="P140" t="s">
        <v>124</v>
      </c>
      <c r="Q140" t="s">
        <v>37</v>
      </c>
      <c r="R140">
        <v>335</v>
      </c>
      <c r="S140">
        <v>782</v>
      </c>
      <c r="T140">
        <v>320</v>
      </c>
    </row>
    <row r="141" spans="15:20" x14ac:dyDescent="0.3">
      <c r="O141">
        <v>140</v>
      </c>
      <c r="P141" t="s">
        <v>125</v>
      </c>
      <c r="Q141" t="s">
        <v>34</v>
      </c>
      <c r="R141">
        <v>483</v>
      </c>
      <c r="S141">
        <v>543</v>
      </c>
      <c r="T141">
        <v>410</v>
      </c>
    </row>
    <row r="142" spans="15:20" x14ac:dyDescent="0.3">
      <c r="O142">
        <v>141</v>
      </c>
      <c r="P142" t="s">
        <v>125</v>
      </c>
      <c r="Q142" t="s">
        <v>37</v>
      </c>
      <c r="R142">
        <v>463</v>
      </c>
      <c r="S142">
        <v>665</v>
      </c>
      <c r="T142">
        <v>308</v>
      </c>
    </row>
    <row r="143" spans="15:20" x14ac:dyDescent="0.3">
      <c r="O143">
        <v>142</v>
      </c>
      <c r="P143" t="s">
        <v>126</v>
      </c>
      <c r="Q143" t="s">
        <v>34</v>
      </c>
      <c r="R143">
        <v>382</v>
      </c>
      <c r="S143">
        <v>647</v>
      </c>
      <c r="T143">
        <v>408</v>
      </c>
    </row>
    <row r="144" spans="15:20" x14ac:dyDescent="0.3">
      <c r="O144">
        <v>143</v>
      </c>
      <c r="P144" t="s">
        <v>126</v>
      </c>
      <c r="Q144" t="s">
        <v>37</v>
      </c>
      <c r="R144">
        <v>438</v>
      </c>
      <c r="S144">
        <v>685</v>
      </c>
      <c r="T144">
        <v>314</v>
      </c>
    </row>
    <row r="145" spans="15:20" x14ac:dyDescent="0.3">
      <c r="O145">
        <v>144</v>
      </c>
      <c r="P145" t="s">
        <v>127</v>
      </c>
      <c r="Q145" t="s">
        <v>34</v>
      </c>
      <c r="R145">
        <v>389</v>
      </c>
      <c r="S145">
        <v>578</v>
      </c>
      <c r="T145">
        <v>470</v>
      </c>
    </row>
    <row r="146" spans="15:20" x14ac:dyDescent="0.3">
      <c r="O146">
        <v>145</v>
      </c>
      <c r="P146" t="s">
        <v>127</v>
      </c>
      <c r="Q146" t="s">
        <v>37</v>
      </c>
      <c r="R146">
        <v>321</v>
      </c>
      <c r="S146">
        <v>610</v>
      </c>
      <c r="T146">
        <v>505</v>
      </c>
    </row>
    <row r="147" spans="15:20" x14ac:dyDescent="0.3">
      <c r="O147">
        <v>146</v>
      </c>
      <c r="P147" t="s">
        <v>128</v>
      </c>
      <c r="Q147" t="s">
        <v>34</v>
      </c>
      <c r="R147">
        <v>0</v>
      </c>
      <c r="S147">
        <v>0</v>
      </c>
      <c r="T147">
        <v>1440</v>
      </c>
    </row>
    <row r="148" spans="15:20" x14ac:dyDescent="0.3">
      <c r="O148">
        <v>147</v>
      </c>
      <c r="P148" t="s">
        <v>128</v>
      </c>
      <c r="Q148" t="s">
        <v>37</v>
      </c>
      <c r="R148">
        <v>0</v>
      </c>
      <c r="S148">
        <v>0</v>
      </c>
      <c r="T148">
        <v>1440</v>
      </c>
    </row>
    <row r="149" spans="15:20" x14ac:dyDescent="0.3">
      <c r="O149">
        <v>148</v>
      </c>
      <c r="P149" t="s">
        <v>129</v>
      </c>
      <c r="Q149" t="s">
        <v>34</v>
      </c>
      <c r="R149">
        <v>292</v>
      </c>
      <c r="S149">
        <v>733</v>
      </c>
      <c r="T149">
        <v>412</v>
      </c>
    </row>
    <row r="150" spans="15:20" x14ac:dyDescent="0.3">
      <c r="O150">
        <v>149</v>
      </c>
      <c r="P150" t="s">
        <v>129</v>
      </c>
      <c r="Q150" t="s">
        <v>37</v>
      </c>
      <c r="R150">
        <v>349</v>
      </c>
      <c r="S150">
        <v>775</v>
      </c>
      <c r="T150">
        <v>313</v>
      </c>
    </row>
    <row r="151" spans="15:20" x14ac:dyDescent="0.3">
      <c r="O151">
        <v>150</v>
      </c>
      <c r="P151" t="s">
        <v>130</v>
      </c>
      <c r="Q151" t="s">
        <v>34</v>
      </c>
      <c r="R151">
        <v>315</v>
      </c>
      <c r="S151">
        <v>693</v>
      </c>
      <c r="T151">
        <v>429</v>
      </c>
    </row>
    <row r="152" spans="15:20" x14ac:dyDescent="0.3">
      <c r="O152">
        <v>151</v>
      </c>
      <c r="P152" t="s">
        <v>130</v>
      </c>
      <c r="Q152" t="s">
        <v>37</v>
      </c>
      <c r="R152">
        <v>422</v>
      </c>
      <c r="S152">
        <v>698</v>
      </c>
      <c r="T152">
        <v>315</v>
      </c>
    </row>
    <row r="153" spans="15:20" x14ac:dyDescent="0.3">
      <c r="O153">
        <v>152</v>
      </c>
      <c r="P153" t="s">
        <v>131</v>
      </c>
      <c r="Q153" t="s">
        <v>34</v>
      </c>
      <c r="R153">
        <v>282</v>
      </c>
      <c r="S153">
        <v>734</v>
      </c>
      <c r="T153">
        <v>420</v>
      </c>
    </row>
    <row r="154" spans="15:20" x14ac:dyDescent="0.3">
      <c r="O154">
        <v>153</v>
      </c>
      <c r="P154" t="s">
        <v>131</v>
      </c>
      <c r="Q154" t="s">
        <v>37</v>
      </c>
      <c r="R154">
        <v>299</v>
      </c>
      <c r="S154">
        <v>825</v>
      </c>
      <c r="T154">
        <v>312</v>
      </c>
    </row>
    <row r="155" spans="15:20" x14ac:dyDescent="0.3">
      <c r="O155">
        <v>154</v>
      </c>
      <c r="P155" t="s">
        <v>132</v>
      </c>
      <c r="Q155" t="s">
        <v>34</v>
      </c>
      <c r="R155">
        <v>216</v>
      </c>
      <c r="S155">
        <v>779</v>
      </c>
      <c r="T155">
        <v>442</v>
      </c>
    </row>
    <row r="156" spans="15:20" x14ac:dyDescent="0.3">
      <c r="O156">
        <v>155</v>
      </c>
      <c r="P156" t="s">
        <v>132</v>
      </c>
      <c r="Q156" t="s">
        <v>37</v>
      </c>
      <c r="R156">
        <v>231</v>
      </c>
      <c r="S156">
        <v>888</v>
      </c>
      <c r="T156">
        <v>317</v>
      </c>
    </row>
    <row r="157" spans="15:20" x14ac:dyDescent="0.3">
      <c r="O157">
        <v>156</v>
      </c>
      <c r="P157" t="s">
        <v>133</v>
      </c>
      <c r="Q157" t="s">
        <v>34</v>
      </c>
      <c r="R157">
        <v>350</v>
      </c>
      <c r="S157">
        <v>677</v>
      </c>
      <c r="T157">
        <v>409</v>
      </c>
    </row>
    <row r="158" spans="15:20" x14ac:dyDescent="0.3">
      <c r="O158">
        <v>157</v>
      </c>
      <c r="P158" t="s">
        <v>133</v>
      </c>
      <c r="Q158" t="s">
        <v>37</v>
      </c>
      <c r="R158">
        <v>344</v>
      </c>
      <c r="S158">
        <v>778</v>
      </c>
      <c r="T158">
        <v>314</v>
      </c>
    </row>
    <row r="159" spans="15:20" x14ac:dyDescent="0.3">
      <c r="O159">
        <v>158</v>
      </c>
      <c r="P159" t="s">
        <v>134</v>
      </c>
      <c r="Q159" t="s">
        <v>34</v>
      </c>
      <c r="R159">
        <v>0</v>
      </c>
      <c r="S159">
        <v>0</v>
      </c>
      <c r="T159">
        <v>1440</v>
      </c>
    </row>
    <row r="160" spans="15:20" x14ac:dyDescent="0.3">
      <c r="O160">
        <v>159</v>
      </c>
      <c r="P160" t="s">
        <v>134</v>
      </c>
      <c r="Q160" t="s">
        <v>37</v>
      </c>
      <c r="R160">
        <v>9</v>
      </c>
      <c r="S160">
        <v>0</v>
      </c>
      <c r="T160">
        <v>1430</v>
      </c>
    </row>
    <row r="161" spans="15:20" x14ac:dyDescent="0.3">
      <c r="O161">
        <v>160</v>
      </c>
      <c r="P161" t="s">
        <v>135</v>
      </c>
      <c r="Q161" t="s">
        <v>37</v>
      </c>
      <c r="R161">
        <v>0</v>
      </c>
      <c r="S161">
        <v>0</v>
      </c>
      <c r="T161">
        <v>1830</v>
      </c>
    </row>
    <row r="162" spans="15:20" x14ac:dyDescent="0.3">
      <c r="O162">
        <v>161</v>
      </c>
      <c r="P162" t="s">
        <v>136</v>
      </c>
      <c r="Q162" t="s">
        <v>34</v>
      </c>
      <c r="R162">
        <v>413</v>
      </c>
      <c r="S162">
        <v>412</v>
      </c>
      <c r="T162">
        <v>610</v>
      </c>
    </row>
    <row r="163" spans="15:20" x14ac:dyDescent="0.3">
      <c r="O163">
        <v>162</v>
      </c>
      <c r="P163" t="s">
        <v>136</v>
      </c>
      <c r="Q163" t="s">
        <v>37</v>
      </c>
      <c r="R163">
        <v>289</v>
      </c>
      <c r="S163">
        <v>833</v>
      </c>
      <c r="T163">
        <v>316</v>
      </c>
    </row>
    <row r="164" spans="15:20" x14ac:dyDescent="0.3">
      <c r="O164">
        <v>163</v>
      </c>
      <c r="P164" t="s">
        <v>137</v>
      </c>
      <c r="Q164" t="s">
        <v>34</v>
      </c>
      <c r="R164">
        <v>295</v>
      </c>
      <c r="S164">
        <v>733</v>
      </c>
      <c r="T164">
        <v>409</v>
      </c>
    </row>
    <row r="165" spans="15:20" x14ac:dyDescent="0.3">
      <c r="O165">
        <v>164</v>
      </c>
      <c r="P165" t="s">
        <v>137</v>
      </c>
      <c r="Q165" t="s">
        <v>37</v>
      </c>
      <c r="R165">
        <v>331</v>
      </c>
      <c r="S165">
        <v>656</v>
      </c>
      <c r="T165">
        <v>449</v>
      </c>
    </row>
    <row r="166" spans="15:20" x14ac:dyDescent="0.3">
      <c r="O166">
        <v>165</v>
      </c>
      <c r="P166" t="s">
        <v>138</v>
      </c>
      <c r="Q166" t="s">
        <v>34</v>
      </c>
      <c r="R166">
        <v>365</v>
      </c>
      <c r="S166">
        <v>663</v>
      </c>
      <c r="T166">
        <v>408</v>
      </c>
    </row>
    <row r="167" spans="15:20" x14ac:dyDescent="0.3">
      <c r="O167">
        <v>166</v>
      </c>
      <c r="P167" t="s">
        <v>138</v>
      </c>
      <c r="Q167" t="s">
        <v>37</v>
      </c>
      <c r="R167">
        <v>386</v>
      </c>
      <c r="S167">
        <v>731</v>
      </c>
      <c r="T167">
        <v>320</v>
      </c>
    </row>
    <row r="168" spans="15:20" x14ac:dyDescent="0.3">
      <c r="O168">
        <v>167</v>
      </c>
      <c r="P168" t="s">
        <v>139</v>
      </c>
      <c r="Q168" t="s">
        <v>34</v>
      </c>
      <c r="R168">
        <v>244</v>
      </c>
      <c r="S168">
        <v>785</v>
      </c>
      <c r="T168">
        <v>408</v>
      </c>
    </row>
    <row r="169" spans="15:20" x14ac:dyDescent="0.3">
      <c r="O169">
        <v>168</v>
      </c>
      <c r="P169" t="s">
        <v>139</v>
      </c>
      <c r="Q169" t="s">
        <v>37</v>
      </c>
      <c r="R169">
        <v>225</v>
      </c>
      <c r="S169">
        <v>898</v>
      </c>
      <c r="T169">
        <v>313</v>
      </c>
    </row>
    <row r="170" spans="15:20" x14ac:dyDescent="0.3">
      <c r="O170">
        <v>169</v>
      </c>
      <c r="P170" t="s">
        <v>140</v>
      </c>
      <c r="Q170" t="s">
        <v>34</v>
      </c>
      <c r="R170">
        <v>313</v>
      </c>
      <c r="S170">
        <v>719</v>
      </c>
      <c r="T170">
        <v>405</v>
      </c>
    </row>
    <row r="171" spans="15:20" x14ac:dyDescent="0.3">
      <c r="O171">
        <v>170</v>
      </c>
      <c r="P171" t="s">
        <v>140</v>
      </c>
      <c r="Q171" t="s">
        <v>37</v>
      </c>
      <c r="R171">
        <v>258</v>
      </c>
      <c r="S171">
        <v>866</v>
      </c>
      <c r="T171">
        <v>313</v>
      </c>
    </row>
    <row r="172" spans="15:20" x14ac:dyDescent="0.3">
      <c r="O172">
        <v>171</v>
      </c>
      <c r="P172" t="s">
        <v>141</v>
      </c>
      <c r="Q172" t="s">
        <v>34</v>
      </c>
      <c r="R172">
        <v>266</v>
      </c>
      <c r="S172">
        <v>705</v>
      </c>
      <c r="T172">
        <v>466</v>
      </c>
    </row>
    <row r="173" spans="15:20" x14ac:dyDescent="0.3">
      <c r="O173">
        <v>172</v>
      </c>
      <c r="P173" t="s">
        <v>141</v>
      </c>
      <c r="Q173" t="s">
        <v>37</v>
      </c>
      <c r="R173">
        <v>234</v>
      </c>
      <c r="S173">
        <v>698</v>
      </c>
      <c r="T173">
        <v>504</v>
      </c>
    </row>
    <row r="174" spans="15:20" x14ac:dyDescent="0.3">
      <c r="O174">
        <v>173</v>
      </c>
      <c r="P174" t="s">
        <v>142</v>
      </c>
      <c r="Q174" t="s">
        <v>34</v>
      </c>
      <c r="R174">
        <v>0</v>
      </c>
      <c r="S174">
        <v>0</v>
      </c>
      <c r="T174">
        <v>1440</v>
      </c>
    </row>
    <row r="175" spans="15:20" x14ac:dyDescent="0.3">
      <c r="O175">
        <v>174</v>
      </c>
      <c r="P175" t="s">
        <v>142</v>
      </c>
      <c r="Q175" t="s">
        <v>37</v>
      </c>
      <c r="R175">
        <v>0</v>
      </c>
      <c r="S175">
        <v>0</v>
      </c>
      <c r="T175">
        <v>1440</v>
      </c>
    </row>
    <row r="176" spans="15:20" x14ac:dyDescent="0.3">
      <c r="O176">
        <v>175</v>
      </c>
      <c r="P176" t="s">
        <v>143</v>
      </c>
      <c r="Q176" t="s">
        <v>34</v>
      </c>
      <c r="R176">
        <v>216</v>
      </c>
      <c r="S176">
        <v>813</v>
      </c>
      <c r="T176">
        <v>408</v>
      </c>
    </row>
    <row r="177" spans="15:20" x14ac:dyDescent="0.3">
      <c r="O177">
        <v>176</v>
      </c>
      <c r="P177" t="s">
        <v>143</v>
      </c>
      <c r="Q177" t="s">
        <v>37</v>
      </c>
      <c r="R177">
        <v>344</v>
      </c>
      <c r="S177">
        <v>782</v>
      </c>
      <c r="T177">
        <v>310</v>
      </c>
    </row>
    <row r="178" spans="15:20" x14ac:dyDescent="0.3">
      <c r="O178">
        <v>177</v>
      </c>
      <c r="P178" t="s">
        <v>144</v>
      </c>
      <c r="Q178" t="s">
        <v>34</v>
      </c>
      <c r="R178">
        <v>286</v>
      </c>
      <c r="S178">
        <v>747</v>
      </c>
      <c r="T178">
        <v>404</v>
      </c>
    </row>
    <row r="179" spans="15:20" x14ac:dyDescent="0.3">
      <c r="O179">
        <v>178</v>
      </c>
      <c r="P179" t="s">
        <v>144</v>
      </c>
      <c r="Q179" t="s">
        <v>37</v>
      </c>
      <c r="R179">
        <v>339</v>
      </c>
      <c r="S179">
        <v>813</v>
      </c>
      <c r="T179">
        <v>285</v>
      </c>
    </row>
    <row r="180" spans="15:20" x14ac:dyDescent="0.3">
      <c r="O180">
        <v>179</v>
      </c>
      <c r="P180" t="s">
        <v>33</v>
      </c>
      <c r="Q180" t="s">
        <v>34</v>
      </c>
      <c r="R180">
        <v>358</v>
      </c>
      <c r="S180">
        <v>672</v>
      </c>
      <c r="T180">
        <v>406</v>
      </c>
    </row>
    <row r="181" spans="15:20" x14ac:dyDescent="0.3">
      <c r="O181">
        <v>180</v>
      </c>
      <c r="P181" t="s">
        <v>33</v>
      </c>
      <c r="Q181" t="s">
        <v>37</v>
      </c>
      <c r="R181">
        <v>364</v>
      </c>
      <c r="S181">
        <v>754</v>
      </c>
      <c r="T181">
        <v>317</v>
      </c>
    </row>
    <row r="182" spans="15:20" x14ac:dyDescent="0.3">
      <c r="O182">
        <v>181</v>
      </c>
      <c r="P182" t="s">
        <v>39</v>
      </c>
      <c r="Q182" t="s">
        <v>34</v>
      </c>
      <c r="R182">
        <v>297</v>
      </c>
      <c r="S182">
        <v>731</v>
      </c>
      <c r="T182">
        <v>409</v>
      </c>
    </row>
    <row r="183" spans="15:20" x14ac:dyDescent="0.3">
      <c r="O183">
        <v>182</v>
      </c>
      <c r="P183" t="s">
        <v>39</v>
      </c>
      <c r="Q183" t="s">
        <v>37</v>
      </c>
      <c r="R183">
        <v>250</v>
      </c>
      <c r="S183">
        <v>865</v>
      </c>
      <c r="T183">
        <v>321</v>
      </c>
    </row>
    <row r="184" spans="15:20" x14ac:dyDescent="0.3">
      <c r="O184">
        <v>183</v>
      </c>
      <c r="P184" t="s">
        <v>43</v>
      </c>
      <c r="Q184" t="s">
        <v>34</v>
      </c>
      <c r="R184">
        <v>303</v>
      </c>
      <c r="S184">
        <v>714</v>
      </c>
      <c r="T184">
        <v>421</v>
      </c>
    </row>
    <row r="185" spans="15:20" x14ac:dyDescent="0.3">
      <c r="O185">
        <v>184</v>
      </c>
      <c r="P185" t="s">
        <v>43</v>
      </c>
      <c r="Q185" t="s">
        <v>37</v>
      </c>
      <c r="R185">
        <v>270</v>
      </c>
      <c r="S185">
        <v>739</v>
      </c>
      <c r="T185">
        <v>427</v>
      </c>
    </row>
    <row r="186" spans="15:20" x14ac:dyDescent="0.3">
      <c r="O186">
        <v>185</v>
      </c>
      <c r="P186" t="s">
        <v>48</v>
      </c>
      <c r="Q186" t="s">
        <v>34</v>
      </c>
      <c r="R186">
        <v>326</v>
      </c>
      <c r="S186">
        <v>639</v>
      </c>
      <c r="T186">
        <v>471</v>
      </c>
    </row>
    <row r="187" spans="15:20" x14ac:dyDescent="0.3">
      <c r="O187">
        <v>186</v>
      </c>
      <c r="P187" t="s">
        <v>48</v>
      </c>
      <c r="Q187" t="s">
        <v>37</v>
      </c>
      <c r="R187">
        <v>362</v>
      </c>
      <c r="S187">
        <v>559</v>
      </c>
      <c r="T187">
        <v>517</v>
      </c>
    </row>
    <row r="188" spans="15:20" x14ac:dyDescent="0.3">
      <c r="O188">
        <v>187</v>
      </c>
      <c r="P188" t="s">
        <v>52</v>
      </c>
      <c r="Q188" t="s">
        <v>34</v>
      </c>
      <c r="R188">
        <v>0</v>
      </c>
      <c r="S188">
        <v>0</v>
      </c>
      <c r="T188">
        <v>1440</v>
      </c>
    </row>
    <row r="189" spans="15:20" x14ac:dyDescent="0.3">
      <c r="O189">
        <v>188</v>
      </c>
      <c r="P189" t="s">
        <v>52</v>
      </c>
      <c r="Q189" t="s">
        <v>37</v>
      </c>
      <c r="R189">
        <v>0</v>
      </c>
      <c r="S189">
        <v>0</v>
      </c>
      <c r="T189">
        <v>1440</v>
      </c>
    </row>
    <row r="190" spans="15:20" x14ac:dyDescent="0.3">
      <c r="O190">
        <v>189</v>
      </c>
      <c r="P190" t="s">
        <v>56</v>
      </c>
      <c r="Q190" t="s">
        <v>34</v>
      </c>
      <c r="R190">
        <v>339</v>
      </c>
      <c r="S190">
        <v>692</v>
      </c>
      <c r="T190">
        <v>406</v>
      </c>
    </row>
    <row r="191" spans="15:20" x14ac:dyDescent="0.3">
      <c r="O191">
        <v>190</v>
      </c>
      <c r="P191" t="s">
        <v>56</v>
      </c>
      <c r="Q191" t="s">
        <v>37</v>
      </c>
      <c r="R191">
        <v>221</v>
      </c>
      <c r="S191">
        <v>896</v>
      </c>
      <c r="T191">
        <v>319</v>
      </c>
    </row>
    <row r="192" spans="15:20" x14ac:dyDescent="0.3">
      <c r="O192">
        <v>191</v>
      </c>
      <c r="P192" t="s">
        <v>60</v>
      </c>
      <c r="Q192" t="s">
        <v>34</v>
      </c>
      <c r="R192">
        <v>392</v>
      </c>
      <c r="S192">
        <v>638</v>
      </c>
      <c r="T192">
        <v>407</v>
      </c>
    </row>
    <row r="193" spans="15:20" x14ac:dyDescent="0.3">
      <c r="O193">
        <v>192</v>
      </c>
      <c r="P193" t="s">
        <v>60</v>
      </c>
      <c r="Q193" t="s">
        <v>37</v>
      </c>
      <c r="R193">
        <v>317</v>
      </c>
      <c r="S193">
        <v>799</v>
      </c>
      <c r="T193">
        <v>321</v>
      </c>
    </row>
    <row r="194" spans="15:20" x14ac:dyDescent="0.3">
      <c r="O194">
        <v>193</v>
      </c>
      <c r="P194" t="s">
        <v>62</v>
      </c>
      <c r="Q194" t="s">
        <v>34</v>
      </c>
      <c r="R194">
        <v>380</v>
      </c>
      <c r="S194">
        <v>652</v>
      </c>
      <c r="T194">
        <v>404</v>
      </c>
    </row>
    <row r="195" spans="15:20" x14ac:dyDescent="0.3">
      <c r="O195">
        <v>194</v>
      </c>
      <c r="P195" t="s">
        <v>62</v>
      </c>
      <c r="Q195" t="s">
        <v>37</v>
      </c>
      <c r="R195">
        <v>213</v>
      </c>
      <c r="S195">
        <v>908</v>
      </c>
      <c r="T195">
        <v>317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T195"/>
  <sheetViews>
    <sheetView topLeftCell="D1" workbookViewId="0">
      <selection activeCell="I2" sqref="I2:J75"/>
    </sheetView>
  </sheetViews>
  <sheetFormatPr defaultRowHeight="14.4" x14ac:dyDescent="0.3"/>
  <cols>
    <col min="1" max="1" width="3" bestFit="1" customWidth="1"/>
    <col min="2" max="3" width="10.88671875" bestFit="1" customWidth="1"/>
    <col min="4" max="4" width="34.109375" bestFit="1" customWidth="1"/>
    <col min="5" max="5" width="30.5546875" bestFit="1" customWidth="1"/>
    <col min="6" max="6" width="22.6640625" bestFit="1" customWidth="1"/>
    <col min="9" max="10" width="11.6640625" bestFit="1" customWidth="1"/>
    <col min="11" max="11" width="8.33203125" bestFit="1" customWidth="1"/>
    <col min="12" max="12" width="11.5546875" bestFit="1" customWidth="1"/>
    <col min="13" max="13" width="10" bestFit="1" customWidth="1"/>
  </cols>
  <sheetData>
    <row r="1" spans="1:20" s="2" customFormat="1" x14ac:dyDescent="0.3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  <c r="L1" s="3" t="s">
        <v>31</v>
      </c>
      <c r="M1" s="3" t="s">
        <v>32</v>
      </c>
    </row>
    <row r="2" spans="1:20" x14ac:dyDescent="0.3">
      <c r="A2">
        <v>1</v>
      </c>
      <c r="B2" t="s">
        <v>33</v>
      </c>
      <c r="C2" t="s">
        <v>34</v>
      </c>
      <c r="D2">
        <v>419</v>
      </c>
      <c r="E2">
        <v>486</v>
      </c>
      <c r="F2">
        <v>529</v>
      </c>
      <c r="H2" t="s">
        <v>35</v>
      </c>
      <c r="I2" s="1">
        <v>0.38</v>
      </c>
      <c r="J2" s="1">
        <v>0.53647058823529414</v>
      </c>
      <c r="K2" s="1">
        <f>IFERROR(SUMIFS(S:S,P:P,"*/01/2026")/(SUMIFS(R:R,P:P,"*/01/2026")+SUMIFS(S:S,P:P,"*/01/2026")+SUMIFS(T:T,P:P,"*/01/2026")),"")</f>
        <v>0.16167556523800386</v>
      </c>
      <c r="L2" s="1">
        <f>IFERROR(SUMIFS(R:R,P:P,"*/01/2026")/(SUMIFS(R:R,P:P,"*/01/2026")+SUMIFS(S:S,P:P,"*/01/2026")+SUMIFS(T:T,P:P,"*/01/2026")),"")</f>
        <v>0.1654795633868</v>
      </c>
      <c r="M2" s="1">
        <f>IFERROR(SUMIFS(T:T,P:P,"*/01/2026")/(SUMIFS(R:R,P:P,"*/01/2026")+SUMIFS(S:S,P:P,"*/01/2026")+SUMIFS(T:T,P:P,"*/01/2026")),"")</f>
        <v>0.67284487137519611</v>
      </c>
      <c r="O2">
        <v>1</v>
      </c>
      <c r="P2" t="s">
        <v>36</v>
      </c>
      <c r="Q2" t="s">
        <v>34</v>
      </c>
      <c r="R2">
        <v>0</v>
      </c>
      <c r="S2">
        <v>0</v>
      </c>
      <c r="T2">
        <v>1440</v>
      </c>
    </row>
    <row r="3" spans="1:20" x14ac:dyDescent="0.3">
      <c r="A3">
        <v>2</v>
      </c>
      <c r="B3" t="s">
        <v>33</v>
      </c>
      <c r="C3" t="s">
        <v>37</v>
      </c>
      <c r="D3">
        <v>331</v>
      </c>
      <c r="E3">
        <v>313</v>
      </c>
      <c r="F3">
        <v>796</v>
      </c>
      <c r="H3" t="s">
        <v>38</v>
      </c>
      <c r="I3" s="1">
        <v>0.38</v>
      </c>
      <c r="J3" s="1">
        <v>0.53647058823529414</v>
      </c>
      <c r="K3" s="1">
        <f>IFERROR(SUMIFS(S:S,P:P,"*/02/2026")/(SUMIFS(R:R,P:P,"*/02/2026")+SUMIFS(S:S,P:P,"*/02/2026")+SUMIFS(T:T,P:P,"*/02/2026")),"")</f>
        <v>0.12839104577679003</v>
      </c>
      <c r="L3" s="1">
        <f>IFERROR(SUMIFS(R:R,P:P,"*/02/2026")/(SUMIFS(R:R,P:P,"*/02/2026")+SUMIFS(S:S,P:P,"*/02/2026")+SUMIFS(T:T,P:P,"*/02/2026")),"")</f>
        <v>0.12169896825298288</v>
      </c>
      <c r="M3" s="1">
        <f>IFERROR(SUMIFS(T:T,P:P,"*/02/2026")/(SUMIFS(R:R,P:P,"*/02/2026")+SUMIFS(S:S,P:P,"*/02/2026")+SUMIFS(T:T,P:P,"*/02/2026")),"")</f>
        <v>0.74990998597022707</v>
      </c>
      <c r="O3">
        <v>2</v>
      </c>
      <c r="P3" t="s">
        <v>36</v>
      </c>
      <c r="Q3" t="s">
        <v>37</v>
      </c>
      <c r="R3">
        <v>65</v>
      </c>
      <c r="S3">
        <v>7</v>
      </c>
      <c r="T3">
        <v>1367</v>
      </c>
    </row>
    <row r="4" spans="1:20" x14ac:dyDescent="0.3">
      <c r="A4">
        <v>3</v>
      </c>
      <c r="B4" t="s">
        <v>39</v>
      </c>
      <c r="C4" t="s">
        <v>34</v>
      </c>
      <c r="D4">
        <v>192</v>
      </c>
      <c r="E4">
        <v>207</v>
      </c>
      <c r="F4">
        <v>1040</v>
      </c>
      <c r="H4" t="s">
        <v>40</v>
      </c>
      <c r="I4" s="1">
        <v>0.38</v>
      </c>
      <c r="J4" s="1">
        <v>0.53647058823529414</v>
      </c>
      <c r="K4" s="1">
        <f>IFERROR(SUMIFS(S:S,P:P,"*/03/2026")/(SUMIFS(R:R,P:P,"*/03/2026")+SUMIFS(S:S,P:P,"*/03/2026")+SUMIFS(T:T,P:P,"*/03/2026")),"")</f>
        <v>0.2481571361839332</v>
      </c>
      <c r="L4" s="1">
        <f>IFERROR(SUMIFS(R:R,P:P,"*/03/2026")/(SUMIFS(R:R,P:P,"*/03/2026")+SUMIFS(S:S,P:P,"*/03/2026")+SUMIFS(T:T,P:P,"*/03/2026")),"")</f>
        <v>0.20964783356689567</v>
      </c>
      <c r="M4" s="1">
        <f>IFERROR(SUMIFS(T:T,P:P,"*/03/2026")/(SUMIFS(R:R,P:P,"*/03/2026")+SUMIFS(S:S,P:P,"*/03/2026")+SUMIFS(T:T,P:P,"*/03/2026")),"")</f>
        <v>0.54219503024917115</v>
      </c>
      <c r="O4">
        <v>3</v>
      </c>
      <c r="P4" t="s">
        <v>41</v>
      </c>
      <c r="Q4" t="s">
        <v>34</v>
      </c>
      <c r="R4">
        <v>463</v>
      </c>
      <c r="S4">
        <v>341</v>
      </c>
      <c r="T4">
        <v>632</v>
      </c>
    </row>
    <row r="5" spans="1:20" x14ac:dyDescent="0.3">
      <c r="A5">
        <v>4</v>
      </c>
      <c r="B5" t="s">
        <v>39</v>
      </c>
      <c r="C5" t="s">
        <v>37</v>
      </c>
      <c r="D5">
        <v>225</v>
      </c>
      <c r="E5">
        <v>414</v>
      </c>
      <c r="F5">
        <v>799</v>
      </c>
      <c r="H5" t="s">
        <v>42</v>
      </c>
      <c r="I5" s="1">
        <v>0.38</v>
      </c>
      <c r="J5" s="1">
        <v>0.53647058823529414</v>
      </c>
      <c r="K5" s="1">
        <f>IFERROR(SUMIFS(S:S,P:P,"*/04/2026")/(SUMIFS(R:R,P:P,"*/04/2026")+SUMIFS(S:S,P:P,"*/04/2026")+SUMIFS(T:T,P:P,"*/04/2026")),"")</f>
        <v>0.21775420597313394</v>
      </c>
      <c r="L5" s="1">
        <f>IFERROR(SUMIFS(R:R,P:P,"*/04/2026")/(SUMIFS(R:R,P:P,"*/04/2026")+SUMIFS(S:S,P:P,"*/04/2026")+SUMIFS(T:T,P:P,"*/04/2026")),"")</f>
        <v>0.18232404468982308</v>
      </c>
      <c r="M5" s="1">
        <f>IFERROR(SUMIFS(T:T,P:P,"*/04/2026")/(SUMIFS(R:R,P:P,"*/04/2026")+SUMIFS(S:S,P:P,"*/04/2026")+SUMIFS(T:T,P:P,"*/04/2026")),"")</f>
        <v>0.59992174933704301</v>
      </c>
      <c r="O5">
        <v>4</v>
      </c>
      <c r="P5" t="s">
        <v>41</v>
      </c>
      <c r="Q5" t="s">
        <v>37</v>
      </c>
      <c r="R5">
        <v>212</v>
      </c>
      <c r="S5">
        <v>174</v>
      </c>
      <c r="T5">
        <v>1052</v>
      </c>
    </row>
    <row r="6" spans="1:20" x14ac:dyDescent="0.3">
      <c r="A6">
        <v>5</v>
      </c>
      <c r="B6" t="s">
        <v>43</v>
      </c>
      <c r="C6" t="s">
        <v>34</v>
      </c>
      <c r="D6">
        <v>159</v>
      </c>
      <c r="E6">
        <v>244</v>
      </c>
      <c r="F6">
        <v>1035</v>
      </c>
      <c r="H6" t="s">
        <v>44</v>
      </c>
      <c r="I6" s="1">
        <v>0.38</v>
      </c>
      <c r="J6" s="1">
        <v>0.53647058823529414</v>
      </c>
      <c r="K6" s="1" t="str">
        <f>IFERROR(SUMIFS(S:S,P:P,"*/05/2026")/(SUMIFS(R:R,P:P,"*/05/2026")+SUMIFS(S:S,P:P,"*/05/2026")+SUMIFS(T:T,P:P,"*/05/2026")),"")</f>
        <v/>
      </c>
      <c r="L6" s="1" t="str">
        <f>IFERROR(SUMIFS(R:R,P:P,"*/05/2026")/(SUMIFS(R:R,P:P,"*/05/2026")+SUMIFS(S:S,P:P,"*/05/2026")+SUMIFS(T:T,P:P,"*/05/2026")),"")</f>
        <v/>
      </c>
      <c r="M6" s="1" t="str">
        <f>IFERROR(SUMIFS(T:T,P:P,"*/05/2026")/(SUMIFS(R:R,P:P,"*/05/2026")+SUMIFS(S:S,P:P,"*/05/2026")+SUMIFS(T:T,P:P,"*/05/2026")),"")</f>
        <v/>
      </c>
      <c r="O6">
        <v>5</v>
      </c>
      <c r="P6" t="s">
        <v>45</v>
      </c>
      <c r="Q6" t="s">
        <v>37</v>
      </c>
      <c r="R6">
        <v>581</v>
      </c>
      <c r="S6">
        <v>421</v>
      </c>
      <c r="T6">
        <v>1335</v>
      </c>
    </row>
    <row r="7" spans="1:20" x14ac:dyDescent="0.3">
      <c r="A7">
        <v>6</v>
      </c>
      <c r="B7" t="s">
        <v>43</v>
      </c>
      <c r="C7" t="s">
        <v>37</v>
      </c>
      <c r="D7">
        <v>279</v>
      </c>
      <c r="E7">
        <v>296</v>
      </c>
      <c r="F7">
        <v>862</v>
      </c>
      <c r="H7" t="s">
        <v>46</v>
      </c>
      <c r="I7" s="1">
        <v>0.38</v>
      </c>
      <c r="J7" s="1">
        <v>0.53647058823529414</v>
      </c>
      <c r="K7" s="1" t="str">
        <f>IFERROR(SUMIFS(S:S,P:P,"*/06/2026")/(SUMIFS(R:R,P:P,"*/06/2026")+SUMIFS(S:S,P:P,"*/06/2026")+SUMIFS(T:T,P:P,"*/06/2026")),"")</f>
        <v/>
      </c>
      <c r="L7" s="1" t="str">
        <f>IFERROR(SUMIFS(R:R,P:P,"*/06/2026")/(SUMIFS(R:R,P:P,"*/06/2026")+SUMIFS(S:S,P:P,"*/06/2026")+SUMIFS(T:T,P:P,"*/06/2026")),"")</f>
        <v/>
      </c>
      <c r="M7" s="1" t="str">
        <f>IFERROR(SUMIFS(T:T,P:P,"*/06/2026")/(SUMIFS(R:R,P:P,"*/06/2026")+SUMIFS(S:S,P:P,"*/06/2026")+SUMIFS(T:T,P:P,"*/06/2026")),"")</f>
        <v/>
      </c>
      <c r="O7">
        <v>6</v>
      </c>
      <c r="P7" t="s">
        <v>47</v>
      </c>
      <c r="Q7" t="s">
        <v>34</v>
      </c>
      <c r="R7">
        <v>0</v>
      </c>
      <c r="S7">
        <v>0</v>
      </c>
      <c r="T7">
        <v>1440</v>
      </c>
    </row>
    <row r="8" spans="1:20" x14ac:dyDescent="0.3">
      <c r="A8">
        <v>7</v>
      </c>
      <c r="B8" t="s">
        <v>48</v>
      </c>
      <c r="C8" t="s">
        <v>34</v>
      </c>
      <c r="D8">
        <v>158</v>
      </c>
      <c r="E8">
        <v>242</v>
      </c>
      <c r="F8">
        <v>1039</v>
      </c>
      <c r="H8" t="s">
        <v>49</v>
      </c>
      <c r="I8" s="1">
        <v>0.38</v>
      </c>
      <c r="J8" s="1">
        <v>0.53647058823529414</v>
      </c>
      <c r="K8" s="1" t="str">
        <f>IFERROR(SUMIFS(S:S,P:P,"*/07/2026")/(SUMIFS(R:R,P:P,"*/07/2026")+SUMIFS(S:S,P:P,"*/07/2026")+SUMIFS(T:T,P:P,"*/07/2026")),"")</f>
        <v/>
      </c>
      <c r="L8" s="1" t="str">
        <f>IFERROR(SUMIFS(R:R,P:P,"*/07/2026")/(SUMIFS(R:R,P:P,"*/07/2026")+SUMIFS(S:S,P:P,"*/07/2026")+SUMIFS(T:T,P:P,"*/07/2026")),"")</f>
        <v/>
      </c>
      <c r="M8" s="1" t="str">
        <f>IFERROR(SUMIFS(T:T,P:P,"*/07/2026")/(SUMIFS(R:R,P:P,"*/07/2026")+SUMIFS(S:S,P:P,"*/07/2026")+SUMIFS(T:T,P:P,"*/07/2026")),"")</f>
        <v/>
      </c>
      <c r="O8">
        <v>7</v>
      </c>
      <c r="P8" t="s">
        <v>47</v>
      </c>
      <c r="Q8" t="s">
        <v>37</v>
      </c>
      <c r="R8">
        <v>0</v>
      </c>
      <c r="S8">
        <v>0</v>
      </c>
      <c r="T8">
        <v>1440</v>
      </c>
    </row>
    <row r="9" spans="1:20" x14ac:dyDescent="0.3">
      <c r="A9">
        <v>8</v>
      </c>
      <c r="B9" t="s">
        <v>48</v>
      </c>
      <c r="C9" t="s">
        <v>37</v>
      </c>
      <c r="D9">
        <v>248</v>
      </c>
      <c r="E9">
        <v>339</v>
      </c>
      <c r="F9">
        <v>850</v>
      </c>
      <c r="H9" t="s">
        <v>50</v>
      </c>
      <c r="I9" s="1">
        <v>0.38</v>
      </c>
      <c r="J9" s="1">
        <v>0.53647058823529414</v>
      </c>
      <c r="K9" s="1" t="str">
        <f>IFERROR(SUMIFS(S:S,P:P,"*/08/2026")/(SUMIFS(R:R,P:P,"*/08/2026")+SUMIFS(S:S,P:P,"*/08/2026")+SUMIFS(T:T,P:P,"*/08/2026")),"")</f>
        <v/>
      </c>
      <c r="L9" s="1" t="str">
        <f>IFERROR(SUMIFS(R:R,P:P,"*/08/2026")/(SUMIFS(R:R,P:P,"*/08/2026")+SUMIFS(S:S,P:P,"*/08/2026")+SUMIFS(T:T,P:P,"*/08/2026")),"")</f>
        <v/>
      </c>
      <c r="M9" s="1" t="str">
        <f>IFERROR(SUMIFS(T:T,P:P,"*/08/2026")/(SUMIFS(R:R,P:P,"*/08/2026")+SUMIFS(S:S,P:P,"*/08/2026")+SUMIFS(T:T,P:P,"*/08/2026")),"")</f>
        <v/>
      </c>
      <c r="O9">
        <v>8</v>
      </c>
      <c r="P9" t="s">
        <v>51</v>
      </c>
      <c r="Q9" t="s">
        <v>34</v>
      </c>
      <c r="R9">
        <v>263</v>
      </c>
      <c r="S9">
        <v>257</v>
      </c>
      <c r="T9">
        <v>919</v>
      </c>
    </row>
    <row r="10" spans="1:20" x14ac:dyDescent="0.3">
      <c r="A10">
        <v>9</v>
      </c>
      <c r="B10" t="s">
        <v>52</v>
      </c>
      <c r="C10" t="s">
        <v>34</v>
      </c>
      <c r="D10">
        <v>0</v>
      </c>
      <c r="E10">
        <v>0</v>
      </c>
      <c r="F10">
        <v>1440</v>
      </c>
      <c r="H10" t="s">
        <v>53</v>
      </c>
      <c r="I10" s="1">
        <v>0.38</v>
      </c>
      <c r="J10" s="1">
        <v>0.53647058823529414</v>
      </c>
      <c r="K10" s="1" t="str">
        <f>IFERROR(SUMIFS(S:S,P:P,"*/09/2026")/(SUMIFS(R:R,P:P,"*/09/2026")+SUMIFS(S:S,P:P,"*/09/2026")+SUMIFS(T:T,P:P,"*/09/2026")),"")</f>
        <v/>
      </c>
      <c r="L10" s="1" t="str">
        <f>IFERROR(SUMIFS(R:R,P:P,"*/09/2026")/(SUMIFS(R:R,P:P,"*/09/2026")+SUMIFS(S:S,P:P,"*/09/2026")+SUMIFS(T:T,P:P,"*/09/2026")),"")</f>
        <v/>
      </c>
      <c r="M10" s="1" t="str">
        <f>IFERROR(SUMIFS(T:T,P:P,"*/09/2026")/(SUMIFS(R:R,P:P,"*/09/2026")+SUMIFS(S:S,P:P,"*/09/2026")+SUMIFS(T:T,P:P,"*/09/2026")),"")</f>
        <v/>
      </c>
      <c r="O10">
        <v>9</v>
      </c>
      <c r="P10" t="s">
        <v>51</v>
      </c>
      <c r="Q10" t="s">
        <v>37</v>
      </c>
      <c r="R10">
        <v>319</v>
      </c>
      <c r="S10">
        <v>228</v>
      </c>
      <c r="T10">
        <v>873</v>
      </c>
    </row>
    <row r="11" spans="1:20" x14ac:dyDescent="0.3">
      <c r="A11">
        <v>10</v>
      </c>
      <c r="B11" t="s">
        <v>52</v>
      </c>
      <c r="C11" t="s">
        <v>37</v>
      </c>
      <c r="D11">
        <v>0</v>
      </c>
      <c r="E11">
        <v>0</v>
      </c>
      <c r="F11">
        <v>1440</v>
      </c>
      <c r="H11" t="s">
        <v>54</v>
      </c>
      <c r="I11" s="1">
        <v>0.38</v>
      </c>
      <c r="J11" s="1">
        <v>0.53647058823529414</v>
      </c>
      <c r="K11" s="1" t="str">
        <f>IFERROR(SUMIFS(S:S,P:P,"*/10/2026")/(SUMIFS(R:R,P:P,"*/10/2026")+SUMIFS(S:S,P:P,"*/10/2026")+SUMIFS(T:T,P:P,"*/10/2026")),"")</f>
        <v/>
      </c>
      <c r="L11" s="1" t="str">
        <f>IFERROR(SUMIFS(R:R,P:P,"*/10/2026")/(SUMIFS(R:R,P:P,"*/10/2026")+SUMIFS(S:S,P:P,"*/10/2026")+SUMIFS(T:T,P:P,"*/10/2026")),"")</f>
        <v/>
      </c>
      <c r="M11" s="1" t="str">
        <f>IFERROR(SUMIFS(T:T,P:P,"*/10/2026")/(SUMIFS(R:R,P:P,"*/10/2026")+SUMIFS(S:S,P:P,"*/10/2026")+SUMIFS(T:T,P:P,"*/10/2026")),"")</f>
        <v/>
      </c>
      <c r="O11">
        <v>10</v>
      </c>
      <c r="P11" t="s">
        <v>55</v>
      </c>
      <c r="Q11" t="s">
        <v>34</v>
      </c>
      <c r="R11">
        <v>283</v>
      </c>
      <c r="S11">
        <v>293</v>
      </c>
      <c r="T11">
        <v>862</v>
      </c>
    </row>
    <row r="12" spans="1:20" x14ac:dyDescent="0.3">
      <c r="A12">
        <v>11</v>
      </c>
      <c r="B12" t="s">
        <v>56</v>
      </c>
      <c r="C12" t="s">
        <v>34</v>
      </c>
      <c r="D12">
        <v>365</v>
      </c>
      <c r="E12">
        <v>543</v>
      </c>
      <c r="F12">
        <v>529</v>
      </c>
      <c r="H12" t="s">
        <v>57</v>
      </c>
      <c r="I12" s="1">
        <v>0.38</v>
      </c>
      <c r="J12" s="1">
        <v>0.53647058823529414</v>
      </c>
      <c r="K12" s="1" t="str">
        <f>IFERROR(SUMIFS(S:S,P:P,"*/11/2026")/(SUMIFS(R:R,P:P,"*/11/2026")+SUMIFS(S:S,P:P,"*/11/2026")+SUMIFS(T:T,P:P,"*/11/2026")),"")</f>
        <v/>
      </c>
      <c r="L12" s="1" t="str">
        <f>IFERROR(SUMIFS(R:R,P:P,"*/11/2026")/(SUMIFS(R:R,P:P,"*/11/2026")+SUMIFS(S:S,P:P,"*/11/2026")+SUMIFS(T:T,P:P,"*/11/2026")),"")</f>
        <v/>
      </c>
      <c r="M12" s="1" t="str">
        <f>IFERROR(SUMIFS(T:T,P:P,"*/11/2026")/(SUMIFS(R:R,P:P,"*/11/2026")+SUMIFS(S:S,P:P,"*/11/2026")+SUMIFS(T:T,P:P,"*/11/2026")),"")</f>
        <v/>
      </c>
      <c r="O12">
        <v>11</v>
      </c>
      <c r="P12" t="s">
        <v>55</v>
      </c>
      <c r="Q12" t="s">
        <v>37</v>
      </c>
      <c r="R12">
        <v>336</v>
      </c>
      <c r="S12">
        <v>292</v>
      </c>
      <c r="T12">
        <v>808</v>
      </c>
    </row>
    <row r="13" spans="1:20" x14ac:dyDescent="0.3">
      <c r="A13">
        <v>12</v>
      </c>
      <c r="B13" t="s">
        <v>56</v>
      </c>
      <c r="C13" t="s">
        <v>37</v>
      </c>
      <c r="D13">
        <v>334</v>
      </c>
      <c r="E13">
        <v>304</v>
      </c>
      <c r="F13">
        <v>798</v>
      </c>
      <c r="H13" t="s">
        <v>58</v>
      </c>
      <c r="I13" s="1">
        <v>0.38</v>
      </c>
      <c r="J13" s="1">
        <v>0.53647058823529414</v>
      </c>
      <c r="K13" s="1" t="str">
        <f>IFERROR(SUMIFS(S:S,P:P,"*/12/2026")/(SUMIFS(R:R,P:P,"*/12/2026")+SUMIFS(S:S,P:P,"*/12/2026")+SUMIFS(T:T,P:P,"*/12/2026")),"")</f>
        <v/>
      </c>
      <c r="L13" s="1" t="str">
        <f>IFERROR(SUMIFS(R:R,P:P,"*/12/2026")/(SUMIFS(R:R,P:P,"*/12/2026")+SUMIFS(S:S,P:P,"*/12/2026")+SUMIFS(T:T,P:P,"*/12/2026")),"")</f>
        <v/>
      </c>
      <c r="M13" s="1" t="str">
        <f>IFERROR(SUMIFS(T:T,P:P,"*/12/2026")/(SUMIFS(R:R,P:P,"*/12/2026")+SUMIFS(S:S,P:P,"*/12/2026")+SUMIFS(T:T,P:P,"*/12/2026")),"")</f>
        <v/>
      </c>
      <c r="O13">
        <v>12</v>
      </c>
      <c r="P13" t="s">
        <v>59</v>
      </c>
      <c r="Q13" t="s">
        <v>34</v>
      </c>
      <c r="R13">
        <v>80</v>
      </c>
      <c r="S13">
        <v>51</v>
      </c>
      <c r="T13">
        <v>1308</v>
      </c>
    </row>
    <row r="14" spans="1:20" x14ac:dyDescent="0.3">
      <c r="A14">
        <v>13</v>
      </c>
      <c r="B14" t="s">
        <v>60</v>
      </c>
      <c r="C14" t="s">
        <v>34</v>
      </c>
      <c r="D14">
        <v>421</v>
      </c>
      <c r="E14">
        <v>488</v>
      </c>
      <c r="F14">
        <v>529</v>
      </c>
      <c r="H14" t="str">
        <f>IF(B2="","",TEXT(B2,"dd/mm")&amp; "-" &amp;IF(UPPER(TRIM(C2))="CN",1,IF(UPPER(TRIM(C2))="CD",2,"")))</f>
        <v>01/04-1</v>
      </c>
      <c r="I14" s="1">
        <v>0.38</v>
      </c>
      <c r="J14" s="1">
        <v>0.53647058823529414</v>
      </c>
      <c r="K14" s="1">
        <f t="shared" ref="K14:K45" si="0">IFERROR($E2/SUM($D2:$F2),"")</f>
        <v>0.33891213389121339</v>
      </c>
      <c r="L14" s="1">
        <f t="shared" ref="L14:L45" si="1">IFERROR($D2/SUM($D2:$F2),"")</f>
        <v>0.29218967921896793</v>
      </c>
      <c r="M14" s="1">
        <f t="shared" ref="M14:M45" si="2">IFERROR($F2/SUM($D2:$F2),"")</f>
        <v>0.36889818688981868</v>
      </c>
      <c r="O14">
        <v>13</v>
      </c>
      <c r="P14" t="s">
        <v>59</v>
      </c>
      <c r="Q14" t="s">
        <v>37</v>
      </c>
      <c r="R14">
        <v>0</v>
      </c>
      <c r="S14">
        <v>0</v>
      </c>
      <c r="T14">
        <v>1440</v>
      </c>
    </row>
    <row r="15" spans="1:20" x14ac:dyDescent="0.3">
      <c r="A15">
        <v>14</v>
      </c>
      <c r="B15" t="s">
        <v>60</v>
      </c>
      <c r="C15" t="s">
        <v>37</v>
      </c>
      <c r="D15">
        <v>338</v>
      </c>
      <c r="E15">
        <v>304</v>
      </c>
      <c r="F15">
        <v>793</v>
      </c>
      <c r="H15" t="str">
        <f t="shared" ref="H15:H46" si="3">IF(B3="","",TEXT(B3,"dd/mm") &amp; "-" &amp; IF(UPPER(TRIM(C3))="CN",1,IF(UPPER(TRIM(C3))="CD",2,"")))</f>
        <v>01/04-2</v>
      </c>
      <c r="I15" s="1">
        <v>0.38</v>
      </c>
      <c r="J15" s="1">
        <v>0.53647058823529414</v>
      </c>
      <c r="K15" s="1">
        <f t="shared" si="0"/>
        <v>0.21736111111111112</v>
      </c>
      <c r="L15" s="1">
        <f t="shared" si="1"/>
        <v>0.2298611111111111</v>
      </c>
      <c r="M15" s="1">
        <f t="shared" si="2"/>
        <v>0.55277777777777781</v>
      </c>
      <c r="O15">
        <v>14</v>
      </c>
      <c r="P15" t="s">
        <v>61</v>
      </c>
      <c r="Q15" t="s">
        <v>34</v>
      </c>
      <c r="R15">
        <v>278</v>
      </c>
      <c r="S15">
        <v>298</v>
      </c>
      <c r="T15">
        <v>861</v>
      </c>
    </row>
    <row r="16" spans="1:20" x14ac:dyDescent="0.3">
      <c r="A16">
        <v>15</v>
      </c>
      <c r="B16" t="s">
        <v>62</v>
      </c>
      <c r="C16" t="s">
        <v>34</v>
      </c>
      <c r="D16">
        <v>374</v>
      </c>
      <c r="E16">
        <v>537</v>
      </c>
      <c r="F16">
        <v>528</v>
      </c>
      <c r="H16" t="str">
        <f t="shared" si="3"/>
        <v>02/04-1</v>
      </c>
      <c r="I16" s="1">
        <v>0.38</v>
      </c>
      <c r="J16" s="1">
        <v>0.53647058823529414</v>
      </c>
      <c r="K16" s="1">
        <f t="shared" si="0"/>
        <v>0.14384989576094509</v>
      </c>
      <c r="L16" s="1">
        <f t="shared" si="1"/>
        <v>0.13342599027102153</v>
      </c>
      <c r="M16" s="1">
        <f t="shared" si="2"/>
        <v>0.72272411396803338</v>
      </c>
      <c r="O16">
        <v>15</v>
      </c>
      <c r="P16" t="s">
        <v>61</v>
      </c>
      <c r="Q16" t="s">
        <v>37</v>
      </c>
      <c r="R16">
        <v>313</v>
      </c>
      <c r="S16">
        <v>320</v>
      </c>
      <c r="T16">
        <v>805</v>
      </c>
    </row>
    <row r="17" spans="1:20" x14ac:dyDescent="0.3">
      <c r="A17">
        <v>16</v>
      </c>
      <c r="B17" t="s">
        <v>62</v>
      </c>
      <c r="C17" t="s">
        <v>37</v>
      </c>
      <c r="D17">
        <v>351</v>
      </c>
      <c r="E17">
        <v>292</v>
      </c>
      <c r="F17">
        <v>793</v>
      </c>
      <c r="H17" t="str">
        <f t="shared" si="3"/>
        <v>02/04-2</v>
      </c>
      <c r="I17" s="1">
        <v>0.38</v>
      </c>
      <c r="J17" s="1">
        <v>0.53647058823529414</v>
      </c>
      <c r="K17" s="1">
        <f t="shared" si="0"/>
        <v>0.28789986091794156</v>
      </c>
      <c r="L17" s="1">
        <f t="shared" si="1"/>
        <v>0.15646731571627259</v>
      </c>
      <c r="M17" s="1">
        <f t="shared" si="2"/>
        <v>0.55563282336578579</v>
      </c>
      <c r="O17">
        <v>16</v>
      </c>
      <c r="P17" t="s">
        <v>63</v>
      </c>
      <c r="Q17" t="s">
        <v>34</v>
      </c>
      <c r="R17">
        <v>292</v>
      </c>
      <c r="S17">
        <v>279</v>
      </c>
      <c r="T17">
        <v>867</v>
      </c>
    </row>
    <row r="18" spans="1:20" x14ac:dyDescent="0.3">
      <c r="H18" t="str">
        <f t="shared" si="3"/>
        <v>03/04-1</v>
      </c>
      <c r="I18" s="1">
        <v>0.38</v>
      </c>
      <c r="J18" s="1">
        <v>0.53647058823529414</v>
      </c>
      <c r="K18" s="1">
        <f t="shared" si="0"/>
        <v>0.16968011126564672</v>
      </c>
      <c r="L18" s="1">
        <f t="shared" si="1"/>
        <v>0.1105702364394993</v>
      </c>
      <c r="M18" s="1">
        <f t="shared" si="2"/>
        <v>0.71974965229485399</v>
      </c>
      <c r="O18">
        <v>17</v>
      </c>
      <c r="P18" t="s">
        <v>63</v>
      </c>
      <c r="Q18" t="s">
        <v>37</v>
      </c>
      <c r="R18">
        <v>270</v>
      </c>
      <c r="S18">
        <v>358</v>
      </c>
      <c r="T18">
        <v>809</v>
      </c>
    </row>
    <row r="19" spans="1:20" x14ac:dyDescent="0.3">
      <c r="H19" t="str">
        <f t="shared" si="3"/>
        <v>03/04-2</v>
      </c>
      <c r="I19" s="1">
        <v>0.38</v>
      </c>
      <c r="J19" s="1">
        <v>0.53647058823529414</v>
      </c>
      <c r="K19" s="1">
        <f t="shared" si="0"/>
        <v>0.20598469032707029</v>
      </c>
      <c r="L19" s="1">
        <f t="shared" si="1"/>
        <v>0.19415448851774531</v>
      </c>
      <c r="M19" s="1">
        <f t="shared" si="2"/>
        <v>0.59986082115518446</v>
      </c>
      <c r="O19">
        <v>18</v>
      </c>
      <c r="P19" t="s">
        <v>64</v>
      </c>
      <c r="Q19" t="s">
        <v>34</v>
      </c>
      <c r="R19">
        <v>216</v>
      </c>
      <c r="S19">
        <v>264</v>
      </c>
      <c r="T19">
        <v>959</v>
      </c>
    </row>
    <row r="20" spans="1:20" x14ac:dyDescent="0.3">
      <c r="H20" t="str">
        <f t="shared" si="3"/>
        <v>04/04-1</v>
      </c>
      <c r="I20" s="1">
        <v>0.38</v>
      </c>
      <c r="J20" s="1">
        <v>0.53647058823529414</v>
      </c>
      <c r="K20" s="1">
        <f t="shared" si="0"/>
        <v>0.16817234190410008</v>
      </c>
      <c r="L20" s="1">
        <f t="shared" si="1"/>
        <v>0.10979847116052814</v>
      </c>
      <c r="M20" s="1">
        <f t="shared" si="2"/>
        <v>0.72202918693537177</v>
      </c>
      <c r="O20">
        <v>19</v>
      </c>
      <c r="P20" t="s">
        <v>64</v>
      </c>
      <c r="Q20" t="s">
        <v>37</v>
      </c>
      <c r="R20">
        <v>0</v>
      </c>
      <c r="S20">
        <v>0</v>
      </c>
      <c r="T20">
        <v>1440</v>
      </c>
    </row>
    <row r="21" spans="1:20" x14ac:dyDescent="0.3">
      <c r="H21" t="str">
        <f t="shared" si="3"/>
        <v>04/04-2</v>
      </c>
      <c r="I21" s="1">
        <v>0.38</v>
      </c>
      <c r="J21" s="1">
        <v>0.53647058823529414</v>
      </c>
      <c r="K21" s="1">
        <f t="shared" si="0"/>
        <v>0.23590814196242171</v>
      </c>
      <c r="L21" s="1">
        <f t="shared" si="1"/>
        <v>0.17258176757132915</v>
      </c>
      <c r="M21" s="1">
        <f t="shared" si="2"/>
        <v>0.59151009046624914</v>
      </c>
      <c r="O21">
        <v>20</v>
      </c>
      <c r="P21" t="s">
        <v>65</v>
      </c>
      <c r="Q21" t="s">
        <v>34</v>
      </c>
      <c r="R21">
        <v>0</v>
      </c>
      <c r="S21">
        <v>0</v>
      </c>
      <c r="T21">
        <v>1440</v>
      </c>
    </row>
    <row r="22" spans="1:20" x14ac:dyDescent="0.3">
      <c r="H22" t="str">
        <f t="shared" si="3"/>
        <v>05/04-1</v>
      </c>
      <c r="I22" s="1">
        <v>0.38</v>
      </c>
      <c r="J22" s="1">
        <v>0.53647058823529414</v>
      </c>
      <c r="K22" s="1">
        <f t="shared" si="0"/>
        <v>0</v>
      </c>
      <c r="L22" s="1">
        <f t="shared" si="1"/>
        <v>0</v>
      </c>
      <c r="M22" s="1">
        <f t="shared" si="2"/>
        <v>1</v>
      </c>
      <c r="O22">
        <v>21</v>
      </c>
      <c r="P22" t="s">
        <v>65</v>
      </c>
      <c r="Q22" t="s">
        <v>37</v>
      </c>
      <c r="R22">
        <v>0</v>
      </c>
      <c r="S22">
        <v>0</v>
      </c>
      <c r="T22">
        <v>1440</v>
      </c>
    </row>
    <row r="23" spans="1:20" x14ac:dyDescent="0.3">
      <c r="H23" t="str">
        <f t="shared" si="3"/>
        <v>05/04-2</v>
      </c>
      <c r="I23" s="1">
        <v>0.38</v>
      </c>
      <c r="J23" s="1">
        <v>0.53647058823529414</v>
      </c>
      <c r="K23" s="1">
        <f t="shared" si="0"/>
        <v>0</v>
      </c>
      <c r="L23" s="1">
        <f t="shared" si="1"/>
        <v>0</v>
      </c>
      <c r="M23" s="1">
        <f t="shared" si="2"/>
        <v>1</v>
      </c>
      <c r="O23">
        <v>22</v>
      </c>
      <c r="P23" t="s">
        <v>66</v>
      </c>
      <c r="Q23" t="s">
        <v>34</v>
      </c>
      <c r="R23">
        <v>346</v>
      </c>
      <c r="S23">
        <v>189</v>
      </c>
      <c r="T23">
        <v>900</v>
      </c>
    </row>
    <row r="24" spans="1:20" x14ac:dyDescent="0.3">
      <c r="H24" t="str">
        <f t="shared" si="3"/>
        <v>06/04-1</v>
      </c>
      <c r="I24" s="1">
        <v>0.38</v>
      </c>
      <c r="J24" s="1">
        <v>0.53647058823529414</v>
      </c>
      <c r="K24" s="1">
        <f t="shared" si="0"/>
        <v>0.37787056367432148</v>
      </c>
      <c r="L24" s="1">
        <f t="shared" si="1"/>
        <v>0.25400139178844816</v>
      </c>
      <c r="M24" s="1">
        <f t="shared" si="2"/>
        <v>0.36812804453723036</v>
      </c>
      <c r="O24">
        <v>23</v>
      </c>
      <c r="P24" t="s">
        <v>66</v>
      </c>
      <c r="Q24" t="s">
        <v>37</v>
      </c>
      <c r="R24">
        <v>618</v>
      </c>
      <c r="S24">
        <v>340</v>
      </c>
      <c r="T24">
        <v>479</v>
      </c>
    </row>
    <row r="25" spans="1:20" x14ac:dyDescent="0.3">
      <c r="H25" t="str">
        <f t="shared" si="3"/>
        <v>06/04-2</v>
      </c>
      <c r="I25" s="1">
        <v>0.38</v>
      </c>
      <c r="J25" s="1">
        <v>0.53647058823529414</v>
      </c>
      <c r="K25" s="1">
        <f t="shared" si="0"/>
        <v>0.2116991643454039</v>
      </c>
      <c r="L25" s="1">
        <f t="shared" si="1"/>
        <v>0.23259052924791088</v>
      </c>
      <c r="M25" s="1">
        <f t="shared" si="2"/>
        <v>0.55571030640668528</v>
      </c>
      <c r="O25">
        <v>24</v>
      </c>
      <c r="P25" t="s">
        <v>67</v>
      </c>
      <c r="Q25" t="s">
        <v>34</v>
      </c>
      <c r="R25">
        <v>300</v>
      </c>
      <c r="S25">
        <v>271</v>
      </c>
      <c r="T25">
        <v>863</v>
      </c>
    </row>
    <row r="26" spans="1:20" x14ac:dyDescent="0.3">
      <c r="H26" t="str">
        <f t="shared" si="3"/>
        <v>07/04-1</v>
      </c>
      <c r="I26" s="1">
        <v>0.38</v>
      </c>
      <c r="J26" s="1">
        <v>0.53647058823529414</v>
      </c>
      <c r="K26" s="1">
        <f t="shared" si="0"/>
        <v>0.33936022253129344</v>
      </c>
      <c r="L26" s="1">
        <f t="shared" si="1"/>
        <v>0.29276773296244785</v>
      </c>
      <c r="M26" s="1">
        <f t="shared" si="2"/>
        <v>0.36787204450625871</v>
      </c>
      <c r="O26">
        <v>25</v>
      </c>
      <c r="P26" t="s">
        <v>67</v>
      </c>
      <c r="Q26" t="s">
        <v>37</v>
      </c>
      <c r="R26">
        <v>251</v>
      </c>
      <c r="S26">
        <v>374</v>
      </c>
      <c r="T26">
        <v>813</v>
      </c>
    </row>
    <row r="27" spans="1:20" x14ac:dyDescent="0.3">
      <c r="H27" t="str">
        <f t="shared" si="3"/>
        <v>07/04-2</v>
      </c>
      <c r="I27" s="1">
        <v>0.38</v>
      </c>
      <c r="J27" s="1">
        <v>0.53647058823529414</v>
      </c>
      <c r="K27" s="1">
        <f t="shared" si="0"/>
        <v>0.2118466898954704</v>
      </c>
      <c r="L27" s="1">
        <f t="shared" si="1"/>
        <v>0.23554006968641114</v>
      </c>
      <c r="M27" s="1">
        <f t="shared" si="2"/>
        <v>0.55261324041811843</v>
      </c>
      <c r="O27">
        <v>26</v>
      </c>
      <c r="P27" t="s">
        <v>68</v>
      </c>
      <c r="Q27" t="s">
        <v>34</v>
      </c>
      <c r="R27">
        <v>356</v>
      </c>
      <c r="S27">
        <v>217</v>
      </c>
      <c r="T27">
        <v>864</v>
      </c>
    </row>
    <row r="28" spans="1:20" x14ac:dyDescent="0.3">
      <c r="H28" t="str">
        <f t="shared" si="3"/>
        <v>08/04-1</v>
      </c>
      <c r="I28" s="1">
        <v>0.38</v>
      </c>
      <c r="J28" s="1">
        <v>0.53647058823529414</v>
      </c>
      <c r="K28" s="1">
        <f t="shared" si="0"/>
        <v>0.37317581653926335</v>
      </c>
      <c r="L28" s="1">
        <f t="shared" si="1"/>
        <v>0.25990271021542738</v>
      </c>
      <c r="M28" s="1">
        <f t="shared" si="2"/>
        <v>0.36692147324530922</v>
      </c>
      <c r="O28">
        <v>27</v>
      </c>
      <c r="P28" t="s">
        <v>68</v>
      </c>
      <c r="Q28" t="s">
        <v>37</v>
      </c>
      <c r="R28">
        <v>280</v>
      </c>
      <c r="S28">
        <v>344</v>
      </c>
      <c r="T28">
        <v>813</v>
      </c>
    </row>
    <row r="29" spans="1:20" x14ac:dyDescent="0.3">
      <c r="H29" t="str">
        <f t="shared" si="3"/>
        <v>08/04-2</v>
      </c>
      <c r="I29" s="1">
        <v>0.38</v>
      </c>
      <c r="J29" s="1">
        <v>0.53647058823529414</v>
      </c>
      <c r="K29" s="1">
        <f t="shared" si="0"/>
        <v>0.20334261838440112</v>
      </c>
      <c r="L29" s="1">
        <f t="shared" si="1"/>
        <v>0.24442896935933148</v>
      </c>
      <c r="M29" s="1">
        <f t="shared" si="2"/>
        <v>0.5522284122562674</v>
      </c>
      <c r="O29">
        <v>28</v>
      </c>
      <c r="P29" t="s">
        <v>69</v>
      </c>
      <c r="Q29" t="s">
        <v>34</v>
      </c>
      <c r="R29">
        <v>23</v>
      </c>
      <c r="S29">
        <v>38</v>
      </c>
      <c r="T29">
        <v>1378</v>
      </c>
    </row>
    <row r="30" spans="1:20" x14ac:dyDescent="0.3">
      <c r="H30" t="str">
        <f t="shared" si="3"/>
        <v/>
      </c>
      <c r="I30" s="1"/>
      <c r="J30" s="1"/>
      <c r="K30" s="1" t="str">
        <f t="shared" si="0"/>
        <v/>
      </c>
      <c r="L30" s="1" t="str">
        <f t="shared" si="1"/>
        <v/>
      </c>
      <c r="M30" s="1" t="str">
        <f t="shared" si="2"/>
        <v/>
      </c>
      <c r="O30">
        <v>29</v>
      </c>
      <c r="P30" t="s">
        <v>69</v>
      </c>
      <c r="Q30" t="s">
        <v>37</v>
      </c>
      <c r="R30">
        <v>249</v>
      </c>
      <c r="S30">
        <v>316</v>
      </c>
      <c r="T30">
        <v>873</v>
      </c>
    </row>
    <row r="31" spans="1:20" x14ac:dyDescent="0.3">
      <c r="H31" t="str">
        <f t="shared" si="3"/>
        <v/>
      </c>
      <c r="I31" s="1"/>
      <c r="J31" s="1"/>
      <c r="K31" s="1" t="str">
        <f t="shared" si="0"/>
        <v/>
      </c>
      <c r="L31" s="1" t="str">
        <f t="shared" si="1"/>
        <v/>
      </c>
      <c r="M31" s="1" t="str">
        <f t="shared" si="2"/>
        <v/>
      </c>
      <c r="O31">
        <v>30</v>
      </c>
      <c r="P31" t="s">
        <v>70</v>
      </c>
      <c r="Q31" t="s">
        <v>34</v>
      </c>
      <c r="R31">
        <v>286</v>
      </c>
      <c r="S31">
        <v>290</v>
      </c>
      <c r="T31">
        <v>862</v>
      </c>
    </row>
    <row r="32" spans="1:20" x14ac:dyDescent="0.3">
      <c r="H32" t="str">
        <f t="shared" si="3"/>
        <v/>
      </c>
      <c r="I32" s="1"/>
      <c r="J32" s="1"/>
      <c r="K32" s="1" t="str">
        <f t="shared" si="0"/>
        <v/>
      </c>
      <c r="L32" s="1" t="str">
        <f t="shared" si="1"/>
        <v/>
      </c>
      <c r="M32" s="1" t="str">
        <f t="shared" si="2"/>
        <v/>
      </c>
      <c r="O32">
        <v>31</v>
      </c>
      <c r="P32" t="s">
        <v>70</v>
      </c>
      <c r="Q32" t="s">
        <v>37</v>
      </c>
      <c r="R32">
        <v>207</v>
      </c>
      <c r="S32">
        <v>311</v>
      </c>
      <c r="T32">
        <v>919</v>
      </c>
    </row>
    <row r="33" spans="8:20" x14ac:dyDescent="0.3">
      <c r="H33" t="str">
        <f t="shared" si="3"/>
        <v/>
      </c>
      <c r="I33" s="1"/>
      <c r="J33" s="1"/>
      <c r="K33" s="1" t="str">
        <f t="shared" si="0"/>
        <v/>
      </c>
      <c r="L33" s="1" t="str">
        <f t="shared" si="1"/>
        <v/>
      </c>
      <c r="M33" s="1" t="str">
        <f t="shared" si="2"/>
        <v/>
      </c>
      <c r="O33">
        <v>32</v>
      </c>
      <c r="P33" t="s">
        <v>71</v>
      </c>
      <c r="Q33" t="s">
        <v>34</v>
      </c>
      <c r="R33">
        <v>268</v>
      </c>
      <c r="S33">
        <v>249</v>
      </c>
      <c r="T33">
        <v>920</v>
      </c>
    </row>
    <row r="34" spans="8:20" x14ac:dyDescent="0.3">
      <c r="H34" t="str">
        <f t="shared" si="3"/>
        <v/>
      </c>
      <c r="I34" s="1"/>
      <c r="J34" s="1"/>
      <c r="K34" s="1" t="str">
        <f t="shared" si="0"/>
        <v/>
      </c>
      <c r="L34" s="1" t="str">
        <f t="shared" si="1"/>
        <v/>
      </c>
      <c r="M34" s="1" t="str">
        <f t="shared" si="2"/>
        <v/>
      </c>
      <c r="O34">
        <v>33</v>
      </c>
      <c r="P34" t="s">
        <v>71</v>
      </c>
      <c r="Q34" t="s">
        <v>37</v>
      </c>
      <c r="R34">
        <v>243</v>
      </c>
      <c r="S34">
        <v>293</v>
      </c>
      <c r="T34">
        <v>902</v>
      </c>
    </row>
    <row r="35" spans="8:20" x14ac:dyDescent="0.3">
      <c r="H35" t="str">
        <f t="shared" si="3"/>
        <v/>
      </c>
      <c r="I35" s="1"/>
      <c r="J35" s="1"/>
      <c r="K35" s="1" t="str">
        <f t="shared" si="0"/>
        <v/>
      </c>
      <c r="L35" s="1" t="str">
        <f t="shared" si="1"/>
        <v/>
      </c>
      <c r="M35" s="1" t="str">
        <f t="shared" si="2"/>
        <v/>
      </c>
      <c r="O35">
        <v>34</v>
      </c>
      <c r="P35" t="s">
        <v>72</v>
      </c>
      <c r="Q35" t="s">
        <v>34</v>
      </c>
      <c r="R35">
        <v>0</v>
      </c>
      <c r="S35">
        <v>0</v>
      </c>
      <c r="T35">
        <v>1440</v>
      </c>
    </row>
    <row r="36" spans="8:20" x14ac:dyDescent="0.3">
      <c r="H36" t="str">
        <f t="shared" si="3"/>
        <v/>
      </c>
      <c r="I36" s="1"/>
      <c r="J36" s="1"/>
      <c r="K36" s="1" t="str">
        <f t="shared" si="0"/>
        <v/>
      </c>
      <c r="L36" s="1" t="str">
        <f t="shared" si="1"/>
        <v/>
      </c>
      <c r="M36" s="1" t="str">
        <f t="shared" si="2"/>
        <v/>
      </c>
      <c r="O36">
        <v>35</v>
      </c>
      <c r="P36" t="s">
        <v>72</v>
      </c>
      <c r="Q36" t="s">
        <v>37</v>
      </c>
      <c r="R36">
        <v>0</v>
      </c>
      <c r="S36">
        <v>0</v>
      </c>
      <c r="T36">
        <v>1440</v>
      </c>
    </row>
    <row r="37" spans="8:20" x14ac:dyDescent="0.3">
      <c r="H37" t="str">
        <f t="shared" si="3"/>
        <v/>
      </c>
      <c r="I37" s="1"/>
      <c r="J37" s="1"/>
      <c r="K37" s="1" t="str">
        <f t="shared" si="0"/>
        <v/>
      </c>
      <c r="L37" s="1" t="str">
        <f t="shared" si="1"/>
        <v/>
      </c>
      <c r="M37" s="1" t="str">
        <f t="shared" si="2"/>
        <v/>
      </c>
      <c r="O37">
        <v>36</v>
      </c>
      <c r="P37" t="s">
        <v>73</v>
      </c>
      <c r="Q37" t="s">
        <v>34</v>
      </c>
      <c r="R37">
        <v>301</v>
      </c>
      <c r="S37">
        <v>276</v>
      </c>
      <c r="T37">
        <v>861</v>
      </c>
    </row>
    <row r="38" spans="8:20" x14ac:dyDescent="0.3">
      <c r="H38" t="str">
        <f t="shared" si="3"/>
        <v/>
      </c>
      <c r="I38" s="1"/>
      <c r="J38" s="1"/>
      <c r="K38" s="1" t="str">
        <f t="shared" si="0"/>
        <v/>
      </c>
      <c r="L38" s="1" t="str">
        <f t="shared" si="1"/>
        <v/>
      </c>
      <c r="M38" s="1" t="str">
        <f t="shared" si="2"/>
        <v/>
      </c>
      <c r="O38">
        <v>37</v>
      </c>
      <c r="P38" t="s">
        <v>73</v>
      </c>
      <c r="Q38" t="s">
        <v>37</v>
      </c>
      <c r="R38">
        <v>410</v>
      </c>
      <c r="S38">
        <v>340</v>
      </c>
      <c r="T38">
        <v>687</v>
      </c>
    </row>
    <row r="39" spans="8:20" x14ac:dyDescent="0.3">
      <c r="H39" t="str">
        <f t="shared" si="3"/>
        <v/>
      </c>
      <c r="I39" s="1"/>
      <c r="J39" s="1"/>
      <c r="K39" s="1" t="str">
        <f t="shared" si="0"/>
        <v/>
      </c>
      <c r="L39" s="1" t="str">
        <f t="shared" si="1"/>
        <v/>
      </c>
      <c r="M39" s="1" t="str">
        <f t="shared" si="2"/>
        <v/>
      </c>
      <c r="O39">
        <v>38</v>
      </c>
      <c r="P39" t="s">
        <v>74</v>
      </c>
      <c r="Q39" t="s">
        <v>34</v>
      </c>
      <c r="R39">
        <v>277</v>
      </c>
      <c r="S39">
        <v>302</v>
      </c>
      <c r="T39">
        <v>859</v>
      </c>
    </row>
    <row r="40" spans="8:20" x14ac:dyDescent="0.3">
      <c r="H40" t="str">
        <f t="shared" si="3"/>
        <v/>
      </c>
      <c r="I40" s="1"/>
      <c r="J40" s="1"/>
      <c r="K40" s="1" t="str">
        <f t="shared" si="0"/>
        <v/>
      </c>
      <c r="L40" s="1" t="str">
        <f t="shared" si="1"/>
        <v/>
      </c>
      <c r="M40" s="1" t="str">
        <f t="shared" si="2"/>
        <v/>
      </c>
      <c r="O40">
        <v>39</v>
      </c>
      <c r="P40" t="s">
        <v>74</v>
      </c>
      <c r="Q40" t="s">
        <v>37</v>
      </c>
      <c r="R40">
        <v>236</v>
      </c>
      <c r="S40">
        <v>320</v>
      </c>
      <c r="T40">
        <v>881</v>
      </c>
    </row>
    <row r="41" spans="8:20" x14ac:dyDescent="0.3">
      <c r="H41" t="str">
        <f t="shared" si="3"/>
        <v/>
      </c>
      <c r="I41" s="1"/>
      <c r="J41" s="1"/>
      <c r="K41" s="1" t="str">
        <f t="shared" si="0"/>
        <v/>
      </c>
      <c r="L41" s="1" t="str">
        <f t="shared" si="1"/>
        <v/>
      </c>
      <c r="M41" s="1" t="str">
        <f t="shared" si="2"/>
        <v/>
      </c>
      <c r="O41">
        <v>40</v>
      </c>
      <c r="P41" t="s">
        <v>75</v>
      </c>
      <c r="Q41" t="s">
        <v>34</v>
      </c>
      <c r="R41">
        <v>306</v>
      </c>
      <c r="S41">
        <v>272</v>
      </c>
      <c r="T41">
        <v>859</v>
      </c>
    </row>
    <row r="42" spans="8:20" x14ac:dyDescent="0.3">
      <c r="H42" t="str">
        <f t="shared" si="3"/>
        <v/>
      </c>
      <c r="I42" s="1"/>
      <c r="J42" s="1"/>
      <c r="K42" s="1" t="str">
        <f t="shared" si="0"/>
        <v/>
      </c>
      <c r="L42" s="1" t="str">
        <f t="shared" si="1"/>
        <v/>
      </c>
      <c r="M42" s="1" t="str">
        <f t="shared" si="2"/>
        <v/>
      </c>
      <c r="O42">
        <v>41</v>
      </c>
      <c r="P42" t="s">
        <v>75</v>
      </c>
      <c r="Q42" t="s">
        <v>37</v>
      </c>
      <c r="R42">
        <v>314</v>
      </c>
      <c r="S42">
        <v>310</v>
      </c>
      <c r="T42">
        <v>813</v>
      </c>
    </row>
    <row r="43" spans="8:20" x14ac:dyDescent="0.3">
      <c r="H43" t="str">
        <f t="shared" si="3"/>
        <v/>
      </c>
      <c r="I43" s="1"/>
      <c r="J43" s="1"/>
      <c r="K43" s="1" t="str">
        <f t="shared" si="0"/>
        <v/>
      </c>
      <c r="L43" s="1" t="str">
        <f t="shared" si="1"/>
        <v/>
      </c>
      <c r="M43" s="1" t="str">
        <f t="shared" si="2"/>
        <v/>
      </c>
      <c r="O43">
        <v>42</v>
      </c>
      <c r="P43" t="s">
        <v>76</v>
      </c>
      <c r="Q43" t="s">
        <v>34</v>
      </c>
      <c r="R43">
        <v>274</v>
      </c>
      <c r="S43">
        <v>297</v>
      </c>
      <c r="T43">
        <v>867</v>
      </c>
    </row>
    <row r="44" spans="8:20" x14ac:dyDescent="0.3">
      <c r="H44" t="str">
        <f t="shared" si="3"/>
        <v/>
      </c>
      <c r="I44" s="1"/>
      <c r="J44" s="1"/>
      <c r="K44" s="1" t="str">
        <f t="shared" si="0"/>
        <v/>
      </c>
      <c r="L44" s="1" t="str">
        <f t="shared" si="1"/>
        <v/>
      </c>
      <c r="M44" s="1" t="str">
        <f t="shared" si="2"/>
        <v/>
      </c>
      <c r="O44">
        <v>43</v>
      </c>
      <c r="P44" t="s">
        <v>76</v>
      </c>
      <c r="Q44" t="s">
        <v>37</v>
      </c>
      <c r="R44">
        <v>300</v>
      </c>
      <c r="S44">
        <v>321</v>
      </c>
      <c r="T44">
        <v>816</v>
      </c>
    </row>
    <row r="45" spans="8:20" x14ac:dyDescent="0.3">
      <c r="H45" t="str">
        <f t="shared" si="3"/>
        <v/>
      </c>
      <c r="I45" s="1"/>
      <c r="J45" s="1"/>
      <c r="K45" s="1" t="str">
        <f t="shared" si="0"/>
        <v/>
      </c>
      <c r="L45" s="1" t="str">
        <f t="shared" si="1"/>
        <v/>
      </c>
      <c r="M45" s="1" t="str">
        <f t="shared" si="2"/>
        <v/>
      </c>
      <c r="O45">
        <v>44</v>
      </c>
      <c r="P45" t="s">
        <v>77</v>
      </c>
      <c r="Q45" t="s">
        <v>34</v>
      </c>
      <c r="R45">
        <v>253</v>
      </c>
      <c r="S45">
        <v>323</v>
      </c>
      <c r="T45">
        <v>860</v>
      </c>
    </row>
    <row r="46" spans="8:20" x14ac:dyDescent="0.3">
      <c r="H46" t="str">
        <f t="shared" si="3"/>
        <v/>
      </c>
      <c r="I46" s="1"/>
      <c r="J46" s="1"/>
      <c r="K46" s="1" t="str">
        <f t="shared" ref="K46:K77" si="4">IFERROR($E34/SUM($D34:$F34),"")</f>
        <v/>
      </c>
      <c r="L46" s="1" t="str">
        <f t="shared" ref="L46:L77" si="5">IFERROR($D34/SUM($D34:$F34),"")</f>
        <v/>
      </c>
      <c r="M46" s="1" t="str">
        <f t="shared" ref="M46:M77" si="6">IFERROR($F34/SUM($D34:$F34),"")</f>
        <v/>
      </c>
      <c r="O46">
        <v>45</v>
      </c>
      <c r="P46" t="s">
        <v>77</v>
      </c>
      <c r="Q46" t="s">
        <v>37</v>
      </c>
      <c r="R46">
        <v>294</v>
      </c>
      <c r="S46">
        <v>325</v>
      </c>
      <c r="T46">
        <v>819</v>
      </c>
    </row>
    <row r="47" spans="8:20" x14ac:dyDescent="0.3">
      <c r="H47" t="str">
        <f t="shared" ref="H47:H78" si="7">IF(B35="","",TEXT(B35,"dd/mm") &amp; "-" &amp; IF(UPPER(TRIM(C35))="CN",1,IF(UPPER(TRIM(C35))="CD",2,"")))</f>
        <v/>
      </c>
      <c r="I47" s="1"/>
      <c r="J47" s="1"/>
      <c r="K47" s="1" t="str">
        <f t="shared" si="4"/>
        <v/>
      </c>
      <c r="L47" s="1" t="str">
        <f t="shared" si="5"/>
        <v/>
      </c>
      <c r="M47" s="1" t="str">
        <f t="shared" si="6"/>
        <v/>
      </c>
      <c r="O47">
        <v>46</v>
      </c>
      <c r="P47" t="s">
        <v>78</v>
      </c>
      <c r="Q47" t="s">
        <v>34</v>
      </c>
      <c r="R47">
        <v>266</v>
      </c>
      <c r="S47">
        <v>217</v>
      </c>
      <c r="T47">
        <v>956</v>
      </c>
    </row>
    <row r="48" spans="8:20" x14ac:dyDescent="0.3">
      <c r="H48" t="str">
        <f t="shared" si="7"/>
        <v/>
      </c>
      <c r="I48" s="1"/>
      <c r="J48" s="1"/>
      <c r="K48" s="1" t="str">
        <f t="shared" si="4"/>
        <v/>
      </c>
      <c r="L48" s="1" t="str">
        <f t="shared" si="5"/>
        <v/>
      </c>
      <c r="M48" s="1" t="str">
        <f t="shared" si="6"/>
        <v/>
      </c>
      <c r="O48">
        <v>47</v>
      </c>
      <c r="P48" t="s">
        <v>78</v>
      </c>
      <c r="Q48" t="s">
        <v>37</v>
      </c>
      <c r="R48">
        <v>198</v>
      </c>
      <c r="S48">
        <v>265</v>
      </c>
      <c r="T48">
        <v>975</v>
      </c>
    </row>
    <row r="49" spans="8:20" x14ac:dyDescent="0.3">
      <c r="H49" t="str">
        <f t="shared" si="7"/>
        <v/>
      </c>
      <c r="I49" s="1"/>
      <c r="J49" s="1"/>
      <c r="K49" s="1" t="str">
        <f t="shared" si="4"/>
        <v/>
      </c>
      <c r="L49" s="1" t="str">
        <f t="shared" si="5"/>
        <v/>
      </c>
      <c r="M49" s="1" t="str">
        <f t="shared" si="6"/>
        <v/>
      </c>
      <c r="O49">
        <v>48</v>
      </c>
      <c r="P49" t="s">
        <v>79</v>
      </c>
      <c r="Q49" t="s">
        <v>34</v>
      </c>
      <c r="R49">
        <v>163</v>
      </c>
      <c r="S49">
        <v>321</v>
      </c>
      <c r="T49">
        <v>954</v>
      </c>
    </row>
    <row r="50" spans="8:20" x14ac:dyDescent="0.3">
      <c r="H50" t="str">
        <f t="shared" si="7"/>
        <v/>
      </c>
      <c r="I50" s="1"/>
      <c r="J50" s="1"/>
      <c r="K50" s="1" t="str">
        <f t="shared" si="4"/>
        <v/>
      </c>
      <c r="L50" s="1" t="str">
        <f t="shared" si="5"/>
        <v/>
      </c>
      <c r="M50" s="1" t="str">
        <f t="shared" si="6"/>
        <v/>
      </c>
      <c r="O50">
        <v>49</v>
      </c>
      <c r="P50" t="s">
        <v>79</v>
      </c>
      <c r="Q50" t="s">
        <v>37</v>
      </c>
      <c r="R50">
        <v>0</v>
      </c>
      <c r="S50">
        <v>0</v>
      </c>
      <c r="T50">
        <v>1440</v>
      </c>
    </row>
    <row r="51" spans="8:20" x14ac:dyDescent="0.3">
      <c r="H51" t="str">
        <f t="shared" si="7"/>
        <v/>
      </c>
      <c r="I51" s="1"/>
      <c r="J51" s="1"/>
      <c r="K51" s="1" t="str">
        <f t="shared" si="4"/>
        <v/>
      </c>
      <c r="L51" s="1" t="str">
        <f t="shared" si="5"/>
        <v/>
      </c>
      <c r="M51" s="1" t="str">
        <f t="shared" si="6"/>
        <v/>
      </c>
      <c r="O51">
        <v>50</v>
      </c>
      <c r="P51" t="s">
        <v>80</v>
      </c>
      <c r="Q51" t="s">
        <v>34</v>
      </c>
      <c r="R51">
        <v>321</v>
      </c>
      <c r="S51">
        <v>254</v>
      </c>
      <c r="T51">
        <v>862</v>
      </c>
    </row>
    <row r="52" spans="8:20" x14ac:dyDescent="0.3">
      <c r="H52" t="str">
        <f t="shared" si="7"/>
        <v/>
      </c>
      <c r="I52" s="1"/>
      <c r="J52" s="1"/>
      <c r="K52" s="1" t="str">
        <f t="shared" si="4"/>
        <v/>
      </c>
      <c r="L52" s="1" t="str">
        <f t="shared" si="5"/>
        <v/>
      </c>
      <c r="M52" s="1" t="str">
        <f t="shared" si="6"/>
        <v/>
      </c>
      <c r="O52">
        <v>51</v>
      </c>
      <c r="P52" t="s">
        <v>80</v>
      </c>
      <c r="Q52" t="s">
        <v>37</v>
      </c>
      <c r="R52">
        <v>330</v>
      </c>
      <c r="S52">
        <v>350</v>
      </c>
      <c r="T52">
        <v>757</v>
      </c>
    </row>
    <row r="53" spans="8:20" x14ac:dyDescent="0.3">
      <c r="H53" t="str">
        <f t="shared" si="7"/>
        <v/>
      </c>
      <c r="I53" s="1"/>
      <c r="J53" s="1"/>
      <c r="K53" s="1" t="str">
        <f t="shared" si="4"/>
        <v/>
      </c>
      <c r="L53" s="1" t="str">
        <f t="shared" si="5"/>
        <v/>
      </c>
      <c r="M53" s="1" t="str">
        <f t="shared" si="6"/>
        <v/>
      </c>
      <c r="O53">
        <v>52</v>
      </c>
      <c r="P53" t="s">
        <v>81</v>
      </c>
      <c r="Q53" t="s">
        <v>34</v>
      </c>
      <c r="R53">
        <v>280</v>
      </c>
      <c r="S53">
        <v>293</v>
      </c>
      <c r="T53">
        <v>864</v>
      </c>
    </row>
    <row r="54" spans="8:20" x14ac:dyDescent="0.3">
      <c r="H54" t="str">
        <f t="shared" si="7"/>
        <v/>
      </c>
      <c r="I54" s="1"/>
      <c r="J54" s="1"/>
      <c r="K54" s="1" t="str">
        <f t="shared" si="4"/>
        <v/>
      </c>
      <c r="L54" s="1" t="str">
        <f t="shared" si="5"/>
        <v/>
      </c>
      <c r="M54" s="1" t="str">
        <f t="shared" si="6"/>
        <v/>
      </c>
      <c r="O54">
        <v>53</v>
      </c>
      <c r="P54" t="s">
        <v>81</v>
      </c>
      <c r="Q54" t="s">
        <v>37</v>
      </c>
      <c r="R54">
        <v>322</v>
      </c>
      <c r="S54">
        <v>355</v>
      </c>
      <c r="T54">
        <v>760</v>
      </c>
    </row>
    <row r="55" spans="8:20" x14ac:dyDescent="0.3">
      <c r="H55" t="str">
        <f t="shared" si="7"/>
        <v/>
      </c>
      <c r="I55" s="1"/>
      <c r="J55" s="1"/>
      <c r="K55" s="1" t="str">
        <f t="shared" si="4"/>
        <v/>
      </c>
      <c r="L55" s="1" t="str">
        <f t="shared" si="5"/>
        <v/>
      </c>
      <c r="M55" s="1" t="str">
        <f t="shared" si="6"/>
        <v/>
      </c>
      <c r="O55">
        <v>54</v>
      </c>
      <c r="P55" t="s">
        <v>82</v>
      </c>
      <c r="Q55" t="s">
        <v>34</v>
      </c>
      <c r="R55">
        <v>320</v>
      </c>
      <c r="S55">
        <v>254</v>
      </c>
      <c r="T55">
        <v>862</v>
      </c>
    </row>
    <row r="56" spans="8:20" x14ac:dyDescent="0.3">
      <c r="H56" t="str">
        <f t="shared" si="7"/>
        <v/>
      </c>
      <c r="I56" s="1"/>
      <c r="J56" s="1"/>
      <c r="K56" s="1" t="str">
        <f t="shared" si="4"/>
        <v/>
      </c>
      <c r="L56" s="1" t="str">
        <f t="shared" si="5"/>
        <v/>
      </c>
      <c r="M56" s="1" t="str">
        <f t="shared" si="6"/>
        <v/>
      </c>
      <c r="O56">
        <v>55</v>
      </c>
      <c r="P56" t="s">
        <v>82</v>
      </c>
      <c r="Q56" t="s">
        <v>37</v>
      </c>
      <c r="R56">
        <v>281</v>
      </c>
      <c r="S56">
        <v>404</v>
      </c>
      <c r="T56">
        <v>752</v>
      </c>
    </row>
    <row r="57" spans="8:20" x14ac:dyDescent="0.3">
      <c r="H57" t="str">
        <f t="shared" si="7"/>
        <v/>
      </c>
      <c r="I57" s="1"/>
      <c r="J57" s="1"/>
      <c r="K57" s="1" t="str">
        <f t="shared" si="4"/>
        <v/>
      </c>
      <c r="L57" s="1" t="str">
        <f t="shared" si="5"/>
        <v/>
      </c>
      <c r="M57" s="1" t="str">
        <f t="shared" si="6"/>
        <v/>
      </c>
      <c r="O57">
        <v>56</v>
      </c>
      <c r="P57" t="s">
        <v>83</v>
      </c>
      <c r="Q57" t="s">
        <v>34</v>
      </c>
      <c r="R57">
        <v>202</v>
      </c>
      <c r="S57">
        <v>292</v>
      </c>
      <c r="T57">
        <v>943</v>
      </c>
    </row>
    <row r="58" spans="8:20" x14ac:dyDescent="0.3">
      <c r="H58" t="str">
        <f t="shared" si="7"/>
        <v/>
      </c>
      <c r="I58" s="1"/>
      <c r="J58" s="1"/>
      <c r="K58" s="1" t="str">
        <f t="shared" si="4"/>
        <v/>
      </c>
      <c r="L58" s="1" t="str">
        <f t="shared" si="5"/>
        <v/>
      </c>
      <c r="M58" s="1" t="str">
        <f t="shared" si="6"/>
        <v/>
      </c>
      <c r="O58">
        <v>57</v>
      </c>
      <c r="P58" t="s">
        <v>83</v>
      </c>
      <c r="Q58" t="s">
        <v>37</v>
      </c>
      <c r="R58">
        <v>282</v>
      </c>
      <c r="S58">
        <v>287</v>
      </c>
      <c r="T58">
        <v>868</v>
      </c>
    </row>
    <row r="59" spans="8:20" x14ac:dyDescent="0.3">
      <c r="H59" t="str">
        <f t="shared" si="7"/>
        <v/>
      </c>
      <c r="I59" s="1"/>
      <c r="J59" s="1"/>
      <c r="K59" s="1" t="str">
        <f t="shared" si="4"/>
        <v/>
      </c>
      <c r="L59" s="1" t="str">
        <f t="shared" si="5"/>
        <v/>
      </c>
      <c r="M59" s="1" t="str">
        <f t="shared" si="6"/>
        <v/>
      </c>
      <c r="O59">
        <v>58</v>
      </c>
      <c r="P59" t="s">
        <v>84</v>
      </c>
      <c r="Q59" t="s">
        <v>34</v>
      </c>
      <c r="R59">
        <v>329</v>
      </c>
      <c r="S59">
        <v>282</v>
      </c>
      <c r="T59">
        <v>827</v>
      </c>
    </row>
    <row r="60" spans="8:20" x14ac:dyDescent="0.3">
      <c r="H60" t="str">
        <f t="shared" si="7"/>
        <v/>
      </c>
      <c r="I60" s="1"/>
      <c r="J60" s="1"/>
      <c r="K60" s="1" t="str">
        <f t="shared" si="4"/>
        <v/>
      </c>
      <c r="L60" s="1" t="str">
        <f t="shared" si="5"/>
        <v/>
      </c>
      <c r="M60" s="1" t="str">
        <f t="shared" si="6"/>
        <v/>
      </c>
      <c r="O60">
        <v>59</v>
      </c>
      <c r="P60" t="s">
        <v>84</v>
      </c>
      <c r="Q60" t="s">
        <v>37</v>
      </c>
      <c r="R60">
        <v>303</v>
      </c>
      <c r="S60">
        <v>318</v>
      </c>
      <c r="T60">
        <v>818</v>
      </c>
    </row>
    <row r="61" spans="8:20" x14ac:dyDescent="0.3">
      <c r="H61" t="str">
        <f t="shared" si="7"/>
        <v/>
      </c>
      <c r="I61" s="1"/>
      <c r="J61" s="1"/>
      <c r="K61" s="1" t="str">
        <f t="shared" si="4"/>
        <v/>
      </c>
      <c r="L61" s="1" t="str">
        <f t="shared" si="5"/>
        <v/>
      </c>
      <c r="M61" s="1" t="str">
        <f t="shared" si="6"/>
        <v/>
      </c>
      <c r="O61">
        <v>60</v>
      </c>
      <c r="P61" t="s">
        <v>85</v>
      </c>
      <c r="Q61" t="s">
        <v>34</v>
      </c>
      <c r="R61">
        <v>490</v>
      </c>
      <c r="S61">
        <v>268</v>
      </c>
      <c r="T61">
        <v>679</v>
      </c>
    </row>
    <row r="62" spans="8:20" x14ac:dyDescent="0.3">
      <c r="H62" t="str">
        <f t="shared" si="7"/>
        <v/>
      </c>
      <c r="I62" s="1"/>
      <c r="J62" s="1"/>
      <c r="K62" s="1" t="str">
        <f t="shared" si="4"/>
        <v/>
      </c>
      <c r="L62" s="1" t="str">
        <f t="shared" si="5"/>
        <v/>
      </c>
      <c r="M62" s="1" t="str">
        <f t="shared" si="6"/>
        <v/>
      </c>
      <c r="O62">
        <v>61</v>
      </c>
      <c r="P62" t="s">
        <v>85</v>
      </c>
      <c r="Q62" t="s">
        <v>37</v>
      </c>
      <c r="R62">
        <v>210</v>
      </c>
      <c r="S62">
        <v>262</v>
      </c>
      <c r="T62">
        <v>966</v>
      </c>
    </row>
    <row r="63" spans="8:20" x14ac:dyDescent="0.3">
      <c r="H63" t="str">
        <f t="shared" si="7"/>
        <v/>
      </c>
      <c r="I63" s="1"/>
      <c r="J63" s="1"/>
      <c r="K63" s="1" t="str">
        <f t="shared" si="4"/>
        <v/>
      </c>
      <c r="L63" s="1" t="str">
        <f t="shared" si="5"/>
        <v/>
      </c>
      <c r="M63" s="1" t="str">
        <f t="shared" si="6"/>
        <v/>
      </c>
      <c r="O63">
        <v>62</v>
      </c>
      <c r="P63" t="s">
        <v>86</v>
      </c>
      <c r="Q63" t="s">
        <v>34</v>
      </c>
      <c r="R63">
        <v>0</v>
      </c>
      <c r="S63">
        <v>0</v>
      </c>
      <c r="T63">
        <v>1440</v>
      </c>
    </row>
    <row r="64" spans="8:20" x14ac:dyDescent="0.3">
      <c r="H64" t="str">
        <f t="shared" si="7"/>
        <v/>
      </c>
      <c r="I64" s="1"/>
      <c r="J64" s="1"/>
      <c r="K64" s="1" t="str">
        <f t="shared" si="4"/>
        <v/>
      </c>
      <c r="L64" s="1" t="str">
        <f t="shared" si="5"/>
        <v/>
      </c>
      <c r="M64" s="1" t="str">
        <f t="shared" si="6"/>
        <v/>
      </c>
      <c r="O64">
        <v>63</v>
      </c>
      <c r="P64" t="s">
        <v>86</v>
      </c>
      <c r="Q64" t="s">
        <v>37</v>
      </c>
      <c r="R64">
        <v>0</v>
      </c>
      <c r="S64">
        <v>0</v>
      </c>
      <c r="T64">
        <v>1440</v>
      </c>
    </row>
    <row r="65" spans="8:20" x14ac:dyDescent="0.3">
      <c r="H65" t="str">
        <f t="shared" si="7"/>
        <v/>
      </c>
      <c r="I65" s="1"/>
      <c r="J65" s="1"/>
      <c r="K65" s="1" t="str">
        <f t="shared" si="4"/>
        <v/>
      </c>
      <c r="L65" s="1" t="str">
        <f t="shared" si="5"/>
        <v/>
      </c>
      <c r="M65" s="1" t="str">
        <f t="shared" si="6"/>
        <v/>
      </c>
      <c r="O65">
        <v>64</v>
      </c>
      <c r="P65" t="s">
        <v>87</v>
      </c>
      <c r="Q65" t="s">
        <v>34</v>
      </c>
      <c r="R65">
        <v>217</v>
      </c>
      <c r="S65">
        <v>248</v>
      </c>
      <c r="T65">
        <v>973</v>
      </c>
    </row>
    <row r="66" spans="8:20" x14ac:dyDescent="0.3">
      <c r="H66" t="str">
        <f t="shared" si="7"/>
        <v/>
      </c>
      <c r="I66" s="1"/>
      <c r="J66" s="1"/>
      <c r="K66" s="1" t="str">
        <f t="shared" si="4"/>
        <v/>
      </c>
      <c r="L66" s="1" t="str">
        <f t="shared" si="5"/>
        <v/>
      </c>
      <c r="M66" s="1" t="str">
        <f t="shared" si="6"/>
        <v/>
      </c>
      <c r="O66">
        <v>65</v>
      </c>
      <c r="P66" t="s">
        <v>87</v>
      </c>
      <c r="Q66" t="s">
        <v>37</v>
      </c>
      <c r="R66">
        <v>401</v>
      </c>
      <c r="S66">
        <v>250</v>
      </c>
      <c r="T66">
        <v>787</v>
      </c>
    </row>
    <row r="67" spans="8:20" x14ac:dyDescent="0.3">
      <c r="H67" t="str">
        <f t="shared" si="7"/>
        <v/>
      </c>
      <c r="I67" s="1"/>
      <c r="J67" s="1"/>
      <c r="K67" s="1" t="str">
        <f t="shared" si="4"/>
        <v/>
      </c>
      <c r="L67" s="1" t="str">
        <f t="shared" si="5"/>
        <v/>
      </c>
      <c r="M67" s="1" t="str">
        <f t="shared" si="6"/>
        <v/>
      </c>
      <c r="O67">
        <v>66</v>
      </c>
      <c r="P67" t="s">
        <v>88</v>
      </c>
      <c r="Q67" t="s">
        <v>34</v>
      </c>
      <c r="R67">
        <v>312</v>
      </c>
      <c r="S67">
        <v>270</v>
      </c>
      <c r="T67">
        <v>856</v>
      </c>
    </row>
    <row r="68" spans="8:20" x14ac:dyDescent="0.3">
      <c r="H68" t="str">
        <f t="shared" si="7"/>
        <v/>
      </c>
      <c r="I68" s="1"/>
      <c r="J68" s="1"/>
      <c r="K68" s="1" t="str">
        <f t="shared" si="4"/>
        <v/>
      </c>
      <c r="L68" s="1" t="str">
        <f t="shared" si="5"/>
        <v/>
      </c>
      <c r="M68" s="1" t="str">
        <f t="shared" si="6"/>
        <v/>
      </c>
      <c r="O68">
        <v>67</v>
      </c>
      <c r="P68" t="s">
        <v>88</v>
      </c>
      <c r="Q68" t="s">
        <v>37</v>
      </c>
      <c r="R68">
        <v>268</v>
      </c>
      <c r="S68">
        <v>359</v>
      </c>
      <c r="T68">
        <v>810</v>
      </c>
    </row>
    <row r="69" spans="8:20" x14ac:dyDescent="0.3">
      <c r="H69" t="str">
        <f t="shared" si="7"/>
        <v/>
      </c>
      <c r="I69" s="1"/>
      <c r="J69" s="1"/>
      <c r="K69" s="1" t="str">
        <f t="shared" si="4"/>
        <v/>
      </c>
      <c r="L69" s="1" t="str">
        <f t="shared" si="5"/>
        <v/>
      </c>
      <c r="M69" s="1" t="str">
        <f t="shared" si="6"/>
        <v/>
      </c>
      <c r="O69">
        <v>68</v>
      </c>
      <c r="P69" t="s">
        <v>89</v>
      </c>
      <c r="Q69" t="s">
        <v>34</v>
      </c>
      <c r="R69">
        <v>231</v>
      </c>
      <c r="S69">
        <v>349</v>
      </c>
      <c r="T69">
        <v>858</v>
      </c>
    </row>
    <row r="70" spans="8:20" x14ac:dyDescent="0.3">
      <c r="H70" t="str">
        <f t="shared" si="7"/>
        <v/>
      </c>
      <c r="I70" s="1"/>
      <c r="J70" s="1"/>
      <c r="K70" s="1" t="str">
        <f t="shared" si="4"/>
        <v/>
      </c>
      <c r="L70" s="1" t="str">
        <f t="shared" si="5"/>
        <v/>
      </c>
      <c r="M70" s="1" t="str">
        <f t="shared" si="6"/>
        <v/>
      </c>
      <c r="O70">
        <v>69</v>
      </c>
      <c r="P70" t="s">
        <v>89</v>
      </c>
      <c r="Q70" t="s">
        <v>37</v>
      </c>
      <c r="R70">
        <v>293</v>
      </c>
      <c r="S70">
        <v>333</v>
      </c>
      <c r="T70">
        <v>812</v>
      </c>
    </row>
    <row r="71" spans="8:20" x14ac:dyDescent="0.3">
      <c r="H71" t="str">
        <f t="shared" si="7"/>
        <v/>
      </c>
      <c r="I71" s="1"/>
      <c r="J71" s="1"/>
      <c r="K71" s="1" t="str">
        <f t="shared" si="4"/>
        <v/>
      </c>
      <c r="L71" s="1" t="str">
        <f t="shared" si="5"/>
        <v/>
      </c>
      <c r="M71" s="1" t="str">
        <f t="shared" si="6"/>
        <v/>
      </c>
      <c r="O71">
        <v>70</v>
      </c>
      <c r="P71" t="s">
        <v>90</v>
      </c>
      <c r="Q71" t="s">
        <v>34</v>
      </c>
      <c r="R71">
        <v>278</v>
      </c>
      <c r="S71">
        <v>299</v>
      </c>
      <c r="T71">
        <v>859</v>
      </c>
    </row>
    <row r="72" spans="8:20" x14ac:dyDescent="0.3">
      <c r="H72" t="str">
        <f t="shared" si="7"/>
        <v/>
      </c>
      <c r="I72" s="1"/>
      <c r="J72" s="1"/>
      <c r="K72" s="1" t="str">
        <f t="shared" si="4"/>
        <v/>
      </c>
      <c r="L72" s="1" t="str">
        <f t="shared" si="5"/>
        <v/>
      </c>
      <c r="M72" s="1" t="str">
        <f t="shared" si="6"/>
        <v/>
      </c>
      <c r="O72">
        <v>71</v>
      </c>
      <c r="P72" t="s">
        <v>90</v>
      </c>
      <c r="Q72" t="s">
        <v>37</v>
      </c>
      <c r="R72">
        <v>358</v>
      </c>
      <c r="S72">
        <v>274</v>
      </c>
      <c r="T72">
        <v>805</v>
      </c>
    </row>
    <row r="73" spans="8:20" x14ac:dyDescent="0.3">
      <c r="H73" t="str">
        <f t="shared" si="7"/>
        <v/>
      </c>
      <c r="I73" s="1"/>
      <c r="J73" s="1"/>
      <c r="K73" s="1" t="str">
        <f t="shared" si="4"/>
        <v/>
      </c>
      <c r="L73" s="1" t="str">
        <f t="shared" si="5"/>
        <v/>
      </c>
      <c r="M73" s="1" t="str">
        <f t="shared" si="6"/>
        <v/>
      </c>
      <c r="O73">
        <v>72</v>
      </c>
      <c r="P73" t="s">
        <v>91</v>
      </c>
      <c r="Q73" t="s">
        <v>34</v>
      </c>
      <c r="R73">
        <v>262</v>
      </c>
      <c r="S73">
        <v>317</v>
      </c>
      <c r="T73">
        <v>859</v>
      </c>
    </row>
    <row r="74" spans="8:20" x14ac:dyDescent="0.3">
      <c r="H74" t="str">
        <f t="shared" si="7"/>
        <v/>
      </c>
      <c r="I74" s="1"/>
      <c r="J74" s="1"/>
      <c r="K74" s="1" t="str">
        <f t="shared" si="4"/>
        <v/>
      </c>
      <c r="L74" s="1" t="str">
        <f t="shared" si="5"/>
        <v/>
      </c>
      <c r="M74" s="1" t="str">
        <f t="shared" si="6"/>
        <v/>
      </c>
      <c r="O74">
        <v>73</v>
      </c>
      <c r="P74" t="s">
        <v>91</v>
      </c>
      <c r="Q74" t="s">
        <v>37</v>
      </c>
      <c r="R74">
        <v>371</v>
      </c>
      <c r="S74">
        <v>250</v>
      </c>
      <c r="T74">
        <v>814</v>
      </c>
    </row>
    <row r="75" spans="8:20" x14ac:dyDescent="0.3">
      <c r="H75" t="str">
        <f t="shared" si="7"/>
        <v/>
      </c>
      <c r="I75" s="1"/>
      <c r="J75" s="1"/>
      <c r="K75" s="1" t="str">
        <f t="shared" si="4"/>
        <v/>
      </c>
      <c r="L75" s="1" t="str">
        <f t="shared" si="5"/>
        <v/>
      </c>
      <c r="M75" s="1" t="str">
        <f t="shared" si="6"/>
        <v/>
      </c>
      <c r="O75">
        <v>74</v>
      </c>
      <c r="P75" t="s">
        <v>92</v>
      </c>
      <c r="Q75" t="s">
        <v>34</v>
      </c>
      <c r="R75">
        <v>350</v>
      </c>
      <c r="S75">
        <v>594</v>
      </c>
      <c r="T75">
        <v>492</v>
      </c>
    </row>
    <row r="76" spans="8:20" x14ac:dyDescent="0.3">
      <c r="I76" s="1"/>
      <c r="J76" s="1"/>
      <c r="K76" s="1"/>
      <c r="L76" s="1"/>
      <c r="M76" s="1"/>
      <c r="O76">
        <v>75</v>
      </c>
      <c r="P76" t="s">
        <v>92</v>
      </c>
      <c r="Q76" t="s">
        <v>37</v>
      </c>
      <c r="R76">
        <v>230</v>
      </c>
      <c r="S76">
        <v>246</v>
      </c>
      <c r="T76">
        <v>963</v>
      </c>
    </row>
    <row r="77" spans="8:20" x14ac:dyDescent="0.3">
      <c r="I77" s="1"/>
      <c r="J77" s="1"/>
      <c r="K77" s="1"/>
      <c r="L77" s="1"/>
      <c r="M77" s="1"/>
      <c r="O77">
        <v>76</v>
      </c>
      <c r="P77" t="s">
        <v>93</v>
      </c>
      <c r="Q77" t="s">
        <v>34</v>
      </c>
      <c r="R77">
        <v>0</v>
      </c>
      <c r="S77">
        <v>0</v>
      </c>
      <c r="T77">
        <v>1440</v>
      </c>
    </row>
    <row r="78" spans="8:20" x14ac:dyDescent="0.3">
      <c r="I78" s="1"/>
      <c r="J78" s="1"/>
      <c r="K78" s="1"/>
      <c r="L78" s="1"/>
      <c r="M78" s="1"/>
      <c r="O78">
        <v>77</v>
      </c>
      <c r="P78" t="s">
        <v>93</v>
      </c>
      <c r="Q78" t="s">
        <v>37</v>
      </c>
      <c r="R78">
        <v>0</v>
      </c>
      <c r="S78">
        <v>0</v>
      </c>
      <c r="T78">
        <v>1441</v>
      </c>
    </row>
    <row r="79" spans="8:20" x14ac:dyDescent="0.3">
      <c r="I79" s="1"/>
      <c r="J79" s="1"/>
      <c r="K79" s="1"/>
      <c r="L79" s="1"/>
      <c r="M79" s="1"/>
      <c r="O79">
        <v>78</v>
      </c>
      <c r="P79" t="s">
        <v>94</v>
      </c>
      <c r="Q79" t="s">
        <v>34</v>
      </c>
      <c r="R79">
        <v>362</v>
      </c>
      <c r="S79">
        <v>220</v>
      </c>
      <c r="T79">
        <v>853</v>
      </c>
    </row>
    <row r="80" spans="8:20" x14ac:dyDescent="0.3">
      <c r="I80" s="1"/>
      <c r="J80" s="1"/>
      <c r="K80" s="1"/>
      <c r="L80" s="1"/>
      <c r="M80" s="1"/>
      <c r="O80">
        <v>79</v>
      </c>
      <c r="P80" t="s">
        <v>94</v>
      </c>
      <c r="Q80" t="s">
        <v>37</v>
      </c>
      <c r="R80">
        <v>287</v>
      </c>
      <c r="S80">
        <v>331</v>
      </c>
      <c r="T80">
        <v>818</v>
      </c>
    </row>
    <row r="81" spans="9:20" x14ac:dyDescent="0.3">
      <c r="I81" s="1"/>
      <c r="J81" s="1"/>
      <c r="K81" s="1"/>
      <c r="L81" s="1"/>
      <c r="M81" s="1"/>
      <c r="O81">
        <v>80</v>
      </c>
      <c r="P81" t="s">
        <v>95</v>
      </c>
      <c r="Q81" t="s">
        <v>34</v>
      </c>
      <c r="R81">
        <v>322</v>
      </c>
      <c r="S81">
        <v>253</v>
      </c>
      <c r="T81">
        <v>862</v>
      </c>
    </row>
    <row r="82" spans="9:20" x14ac:dyDescent="0.3">
      <c r="I82" s="1"/>
      <c r="J82" s="1"/>
      <c r="K82" s="1"/>
      <c r="L82" s="1"/>
      <c r="M82" s="1"/>
      <c r="O82">
        <v>81</v>
      </c>
      <c r="P82" t="s">
        <v>95</v>
      </c>
      <c r="Q82" t="s">
        <v>37</v>
      </c>
      <c r="R82">
        <v>260</v>
      </c>
      <c r="S82">
        <v>352</v>
      </c>
      <c r="T82">
        <v>825</v>
      </c>
    </row>
    <row r="83" spans="9:20" x14ac:dyDescent="0.3">
      <c r="I83" s="1"/>
      <c r="J83" s="1"/>
      <c r="K83" s="1"/>
      <c r="L83" s="1"/>
      <c r="M83" s="1"/>
      <c r="O83">
        <v>82</v>
      </c>
      <c r="P83" t="s">
        <v>96</v>
      </c>
      <c r="Q83" t="s">
        <v>34</v>
      </c>
      <c r="R83">
        <v>226</v>
      </c>
      <c r="S83">
        <v>352</v>
      </c>
      <c r="T83">
        <v>859</v>
      </c>
    </row>
    <row r="84" spans="9:20" x14ac:dyDescent="0.3">
      <c r="I84" s="1"/>
      <c r="J84" s="1"/>
      <c r="K84" s="1"/>
      <c r="L84" s="1"/>
      <c r="M84" s="1"/>
      <c r="O84">
        <v>83</v>
      </c>
      <c r="P84" t="s">
        <v>96</v>
      </c>
      <c r="Q84" t="s">
        <v>37</v>
      </c>
      <c r="R84">
        <v>275</v>
      </c>
      <c r="S84">
        <v>357</v>
      </c>
      <c r="T84">
        <v>804</v>
      </c>
    </row>
    <row r="85" spans="9:20" x14ac:dyDescent="0.3">
      <c r="I85" s="1"/>
      <c r="J85" s="1"/>
      <c r="K85" s="1"/>
      <c r="L85" s="1"/>
      <c r="M85" s="1"/>
      <c r="O85">
        <v>84</v>
      </c>
      <c r="P85" t="s">
        <v>97</v>
      </c>
      <c r="Q85" t="s">
        <v>34</v>
      </c>
      <c r="R85">
        <v>304</v>
      </c>
      <c r="S85">
        <v>209</v>
      </c>
      <c r="T85">
        <v>926</v>
      </c>
    </row>
    <row r="86" spans="9:20" x14ac:dyDescent="0.3">
      <c r="I86" s="1"/>
      <c r="J86" s="1"/>
      <c r="K86" s="1"/>
      <c r="L86" s="1"/>
      <c r="M86" s="1"/>
      <c r="O86">
        <v>85</v>
      </c>
      <c r="P86" t="s">
        <v>97</v>
      </c>
      <c r="Q86" t="s">
        <v>37</v>
      </c>
      <c r="R86">
        <v>232</v>
      </c>
      <c r="S86">
        <v>330</v>
      </c>
      <c r="T86">
        <v>876</v>
      </c>
    </row>
    <row r="87" spans="9:20" x14ac:dyDescent="0.3">
      <c r="I87" s="1"/>
      <c r="J87" s="1"/>
      <c r="K87" s="1"/>
      <c r="L87" s="1"/>
      <c r="M87" s="1"/>
      <c r="O87">
        <v>86</v>
      </c>
      <c r="P87" t="s">
        <v>98</v>
      </c>
      <c r="Q87" t="s">
        <v>34</v>
      </c>
      <c r="R87">
        <v>272</v>
      </c>
      <c r="S87">
        <v>240</v>
      </c>
      <c r="T87">
        <v>925</v>
      </c>
    </row>
    <row r="88" spans="9:20" x14ac:dyDescent="0.3">
      <c r="I88" s="1"/>
      <c r="J88" s="1"/>
      <c r="K88" s="1"/>
      <c r="L88" s="1"/>
      <c r="M88" s="1"/>
      <c r="O88">
        <v>87</v>
      </c>
      <c r="P88" t="s">
        <v>98</v>
      </c>
      <c r="Q88" t="s">
        <v>37</v>
      </c>
      <c r="R88">
        <v>123</v>
      </c>
      <c r="S88">
        <v>129</v>
      </c>
      <c r="T88">
        <v>1187</v>
      </c>
    </row>
    <row r="89" spans="9:20" x14ac:dyDescent="0.3">
      <c r="I89" s="1"/>
      <c r="J89" s="1"/>
      <c r="K89" s="1"/>
      <c r="L89" s="1"/>
      <c r="M89" s="1"/>
      <c r="O89">
        <v>88</v>
      </c>
      <c r="P89" t="s">
        <v>99</v>
      </c>
      <c r="Q89" t="s">
        <v>34</v>
      </c>
      <c r="R89">
        <v>0</v>
      </c>
      <c r="S89">
        <v>0</v>
      </c>
      <c r="T89">
        <v>1440</v>
      </c>
    </row>
    <row r="90" spans="9:20" x14ac:dyDescent="0.3">
      <c r="I90" s="1"/>
      <c r="J90" s="1"/>
      <c r="K90" s="1"/>
      <c r="L90" s="1"/>
      <c r="M90" s="1"/>
      <c r="O90">
        <v>89</v>
      </c>
      <c r="P90" t="s">
        <v>99</v>
      </c>
      <c r="Q90" t="s">
        <v>37</v>
      </c>
      <c r="R90">
        <v>0</v>
      </c>
      <c r="S90">
        <v>0</v>
      </c>
      <c r="T90">
        <v>1440</v>
      </c>
    </row>
    <row r="91" spans="9:20" x14ac:dyDescent="0.3">
      <c r="I91" s="1"/>
      <c r="J91" s="1"/>
      <c r="K91" s="1"/>
      <c r="L91" s="1"/>
      <c r="M91" s="1"/>
      <c r="O91">
        <v>90</v>
      </c>
      <c r="P91" t="s">
        <v>100</v>
      </c>
      <c r="Q91" t="s">
        <v>34</v>
      </c>
      <c r="R91">
        <v>0</v>
      </c>
      <c r="S91">
        <v>0</v>
      </c>
      <c r="T91">
        <v>1440</v>
      </c>
    </row>
    <row r="92" spans="9:20" x14ac:dyDescent="0.3">
      <c r="I92" s="1"/>
      <c r="J92" s="1"/>
      <c r="K92" s="1"/>
      <c r="L92" s="1"/>
      <c r="M92" s="1"/>
      <c r="O92">
        <v>91</v>
      </c>
      <c r="P92" t="s">
        <v>100</v>
      </c>
      <c r="Q92" t="s">
        <v>37</v>
      </c>
      <c r="R92">
        <v>0</v>
      </c>
      <c r="S92">
        <v>0</v>
      </c>
      <c r="T92">
        <v>1440</v>
      </c>
    </row>
    <row r="93" spans="9:20" x14ac:dyDescent="0.3">
      <c r="I93" s="1"/>
      <c r="J93" s="1"/>
      <c r="K93" s="1"/>
      <c r="L93" s="1"/>
      <c r="M93" s="1"/>
      <c r="O93">
        <v>92</v>
      </c>
      <c r="P93" t="s">
        <v>101</v>
      </c>
      <c r="Q93" t="s">
        <v>34</v>
      </c>
      <c r="R93">
        <v>0</v>
      </c>
      <c r="S93">
        <v>0</v>
      </c>
      <c r="T93">
        <v>1440</v>
      </c>
    </row>
    <row r="94" spans="9:20" x14ac:dyDescent="0.3">
      <c r="I94" s="1"/>
      <c r="J94" s="1"/>
      <c r="K94" s="1"/>
      <c r="L94" s="1"/>
      <c r="M94" s="1"/>
      <c r="O94">
        <v>93</v>
      </c>
      <c r="P94" t="s">
        <v>101</v>
      </c>
      <c r="Q94" t="s">
        <v>37</v>
      </c>
      <c r="R94">
        <v>0</v>
      </c>
      <c r="S94">
        <v>0</v>
      </c>
      <c r="T94">
        <v>1440</v>
      </c>
    </row>
    <row r="95" spans="9:20" x14ac:dyDescent="0.3">
      <c r="I95" s="1"/>
      <c r="J95" s="1"/>
      <c r="K95" s="1"/>
      <c r="L95" s="1"/>
      <c r="M95" s="1"/>
      <c r="O95">
        <v>94</v>
      </c>
      <c r="P95" t="s">
        <v>102</v>
      </c>
      <c r="Q95" t="s">
        <v>34</v>
      </c>
      <c r="R95">
        <v>0</v>
      </c>
      <c r="S95">
        <v>0</v>
      </c>
      <c r="T95">
        <v>1441</v>
      </c>
    </row>
    <row r="96" spans="9:20" x14ac:dyDescent="0.3">
      <c r="I96" s="1"/>
      <c r="J96" s="1"/>
      <c r="K96" s="1"/>
      <c r="L96" s="1"/>
      <c r="M96" s="1"/>
      <c r="O96">
        <v>95</v>
      </c>
      <c r="P96" t="s">
        <v>102</v>
      </c>
      <c r="Q96" t="s">
        <v>37</v>
      </c>
      <c r="R96">
        <v>0</v>
      </c>
      <c r="S96">
        <v>0</v>
      </c>
      <c r="T96">
        <v>1440</v>
      </c>
    </row>
    <row r="97" spans="9:20" x14ac:dyDescent="0.3">
      <c r="I97" s="1"/>
      <c r="J97" s="1"/>
      <c r="K97" s="1"/>
      <c r="L97" s="1"/>
      <c r="M97" s="1"/>
      <c r="O97">
        <v>96</v>
      </c>
      <c r="P97" t="s">
        <v>103</v>
      </c>
      <c r="Q97" t="s">
        <v>34</v>
      </c>
      <c r="R97">
        <v>0</v>
      </c>
      <c r="S97">
        <v>0</v>
      </c>
      <c r="T97">
        <v>1440</v>
      </c>
    </row>
    <row r="98" spans="9:20" x14ac:dyDescent="0.3">
      <c r="I98" s="1"/>
      <c r="J98" s="1"/>
      <c r="K98" s="1"/>
      <c r="L98" s="1"/>
      <c r="M98" s="1"/>
      <c r="O98">
        <v>97</v>
      </c>
      <c r="P98" t="s">
        <v>103</v>
      </c>
      <c r="Q98" t="s">
        <v>37</v>
      </c>
      <c r="R98">
        <v>0</v>
      </c>
      <c r="S98">
        <v>0</v>
      </c>
      <c r="T98">
        <v>1440</v>
      </c>
    </row>
    <row r="99" spans="9:20" x14ac:dyDescent="0.3">
      <c r="I99" s="1"/>
      <c r="J99" s="1"/>
      <c r="K99" s="1"/>
      <c r="L99" s="1"/>
      <c r="M99" s="1"/>
      <c r="O99">
        <v>98</v>
      </c>
      <c r="P99" t="s">
        <v>104</v>
      </c>
      <c r="Q99" t="s">
        <v>34</v>
      </c>
      <c r="R99">
        <v>0</v>
      </c>
      <c r="S99">
        <v>0</v>
      </c>
      <c r="T99">
        <v>1440</v>
      </c>
    </row>
    <row r="100" spans="9:20" x14ac:dyDescent="0.3">
      <c r="I100" s="1"/>
      <c r="J100" s="1"/>
      <c r="K100" s="1"/>
      <c r="L100" s="1"/>
      <c r="M100" s="1"/>
      <c r="O100">
        <v>99</v>
      </c>
      <c r="P100" t="s">
        <v>104</v>
      </c>
      <c r="Q100" t="s">
        <v>37</v>
      </c>
      <c r="R100">
        <v>0</v>
      </c>
      <c r="S100">
        <v>0</v>
      </c>
      <c r="T100">
        <v>1440</v>
      </c>
    </row>
    <row r="101" spans="9:20" x14ac:dyDescent="0.3">
      <c r="I101" s="1"/>
      <c r="J101" s="1"/>
      <c r="K101" s="1"/>
      <c r="L101" s="1"/>
      <c r="M101" s="1"/>
      <c r="O101">
        <v>100</v>
      </c>
      <c r="P101" t="s">
        <v>105</v>
      </c>
      <c r="Q101" t="s">
        <v>34</v>
      </c>
      <c r="R101">
        <v>0</v>
      </c>
      <c r="S101">
        <v>0</v>
      </c>
      <c r="T101">
        <v>1440</v>
      </c>
    </row>
    <row r="102" spans="9:20" x14ac:dyDescent="0.3">
      <c r="O102">
        <v>101</v>
      </c>
      <c r="P102" t="s">
        <v>105</v>
      </c>
      <c r="Q102" t="s">
        <v>37</v>
      </c>
      <c r="R102">
        <v>0</v>
      </c>
      <c r="S102">
        <v>0</v>
      </c>
      <c r="T102">
        <v>1440</v>
      </c>
    </row>
    <row r="103" spans="9:20" x14ac:dyDescent="0.3">
      <c r="O103">
        <v>102</v>
      </c>
      <c r="P103" t="s">
        <v>106</v>
      </c>
      <c r="Q103" t="s">
        <v>34</v>
      </c>
      <c r="R103">
        <v>0</v>
      </c>
      <c r="S103">
        <v>0</v>
      </c>
      <c r="T103">
        <v>1440</v>
      </c>
    </row>
    <row r="104" spans="9:20" x14ac:dyDescent="0.3">
      <c r="O104">
        <v>103</v>
      </c>
      <c r="P104" t="s">
        <v>106</v>
      </c>
      <c r="Q104" t="s">
        <v>37</v>
      </c>
      <c r="R104">
        <v>0</v>
      </c>
      <c r="S104">
        <v>0</v>
      </c>
      <c r="T104">
        <v>1440</v>
      </c>
    </row>
    <row r="105" spans="9:20" x14ac:dyDescent="0.3">
      <c r="O105">
        <v>104</v>
      </c>
      <c r="P105" t="s">
        <v>107</v>
      </c>
      <c r="Q105" t="s">
        <v>34</v>
      </c>
      <c r="R105">
        <v>0</v>
      </c>
      <c r="S105">
        <v>0</v>
      </c>
      <c r="T105">
        <v>1440</v>
      </c>
    </row>
    <row r="106" spans="9:20" x14ac:dyDescent="0.3">
      <c r="O106">
        <v>105</v>
      </c>
      <c r="P106" t="s">
        <v>107</v>
      </c>
      <c r="Q106" t="s">
        <v>37</v>
      </c>
      <c r="R106">
        <v>0</v>
      </c>
      <c r="S106">
        <v>0</v>
      </c>
      <c r="T106">
        <v>1440</v>
      </c>
    </row>
    <row r="107" spans="9:20" x14ac:dyDescent="0.3">
      <c r="O107">
        <v>106</v>
      </c>
      <c r="P107" t="s">
        <v>108</v>
      </c>
      <c r="Q107" t="s">
        <v>34</v>
      </c>
      <c r="R107">
        <v>281</v>
      </c>
      <c r="S107">
        <v>365</v>
      </c>
      <c r="T107">
        <v>790</v>
      </c>
    </row>
    <row r="108" spans="9:20" x14ac:dyDescent="0.3">
      <c r="O108">
        <v>107</v>
      </c>
      <c r="P108" t="s">
        <v>108</v>
      </c>
      <c r="Q108" t="s">
        <v>37</v>
      </c>
      <c r="R108">
        <v>264</v>
      </c>
      <c r="S108">
        <v>297</v>
      </c>
      <c r="T108">
        <v>877</v>
      </c>
    </row>
    <row r="109" spans="9:20" x14ac:dyDescent="0.3">
      <c r="O109">
        <v>108</v>
      </c>
      <c r="P109" t="s">
        <v>109</v>
      </c>
      <c r="Q109" t="s">
        <v>34</v>
      </c>
      <c r="R109">
        <v>328</v>
      </c>
      <c r="S109">
        <v>251</v>
      </c>
      <c r="T109">
        <v>858</v>
      </c>
    </row>
    <row r="110" spans="9:20" x14ac:dyDescent="0.3">
      <c r="O110">
        <v>109</v>
      </c>
      <c r="P110" t="s">
        <v>109</v>
      </c>
      <c r="Q110" t="s">
        <v>37</v>
      </c>
      <c r="R110">
        <v>297</v>
      </c>
      <c r="S110">
        <v>316</v>
      </c>
      <c r="T110">
        <v>824</v>
      </c>
    </row>
    <row r="111" spans="9:20" x14ac:dyDescent="0.3">
      <c r="O111">
        <v>110</v>
      </c>
      <c r="P111" t="s">
        <v>110</v>
      </c>
      <c r="Q111" t="s">
        <v>34</v>
      </c>
      <c r="R111">
        <v>305</v>
      </c>
      <c r="S111">
        <v>274</v>
      </c>
      <c r="T111">
        <v>858</v>
      </c>
    </row>
    <row r="112" spans="9:20" x14ac:dyDescent="0.3">
      <c r="O112">
        <v>111</v>
      </c>
      <c r="P112" t="s">
        <v>110</v>
      </c>
      <c r="Q112" t="s">
        <v>37</v>
      </c>
      <c r="R112">
        <v>270</v>
      </c>
      <c r="S112">
        <v>338</v>
      </c>
      <c r="T112">
        <v>829</v>
      </c>
    </row>
    <row r="113" spans="15:20" x14ac:dyDescent="0.3">
      <c r="O113">
        <v>112</v>
      </c>
      <c r="P113" t="s">
        <v>111</v>
      </c>
      <c r="Q113" t="s">
        <v>34</v>
      </c>
      <c r="R113">
        <v>269</v>
      </c>
      <c r="S113">
        <v>308</v>
      </c>
      <c r="T113">
        <v>856</v>
      </c>
    </row>
    <row r="114" spans="15:20" x14ac:dyDescent="0.3">
      <c r="O114">
        <v>113</v>
      </c>
      <c r="P114" t="s">
        <v>111</v>
      </c>
      <c r="Q114" t="s">
        <v>37</v>
      </c>
      <c r="R114">
        <v>322</v>
      </c>
      <c r="S114">
        <v>287</v>
      </c>
      <c r="T114">
        <v>828</v>
      </c>
    </row>
    <row r="115" spans="15:20" x14ac:dyDescent="0.3">
      <c r="O115">
        <v>114</v>
      </c>
      <c r="P115" t="s">
        <v>112</v>
      </c>
      <c r="Q115" t="s">
        <v>34</v>
      </c>
      <c r="R115">
        <v>311</v>
      </c>
      <c r="S115">
        <v>266</v>
      </c>
      <c r="T115">
        <v>860</v>
      </c>
    </row>
    <row r="116" spans="15:20" x14ac:dyDescent="0.3">
      <c r="O116">
        <v>115</v>
      </c>
      <c r="P116" t="s">
        <v>112</v>
      </c>
      <c r="Q116" t="s">
        <v>37</v>
      </c>
      <c r="R116">
        <v>252</v>
      </c>
      <c r="S116">
        <v>312</v>
      </c>
      <c r="T116">
        <v>874</v>
      </c>
    </row>
    <row r="117" spans="15:20" x14ac:dyDescent="0.3">
      <c r="O117">
        <v>116</v>
      </c>
      <c r="P117" t="s">
        <v>113</v>
      </c>
      <c r="Q117" t="s">
        <v>34</v>
      </c>
      <c r="R117">
        <v>186</v>
      </c>
      <c r="S117">
        <v>304</v>
      </c>
      <c r="T117">
        <v>947</v>
      </c>
    </row>
    <row r="118" spans="15:20" x14ac:dyDescent="0.3">
      <c r="O118">
        <v>117</v>
      </c>
      <c r="P118" t="s">
        <v>113</v>
      </c>
      <c r="Q118" t="s">
        <v>37</v>
      </c>
      <c r="R118">
        <v>483</v>
      </c>
      <c r="S118">
        <v>461</v>
      </c>
      <c r="T118">
        <v>494</v>
      </c>
    </row>
    <row r="119" spans="15:20" x14ac:dyDescent="0.3">
      <c r="O119">
        <v>118</v>
      </c>
      <c r="P119" t="s">
        <v>114</v>
      </c>
      <c r="Q119" t="s">
        <v>34</v>
      </c>
      <c r="R119">
        <v>0</v>
      </c>
      <c r="S119">
        <v>0</v>
      </c>
      <c r="T119">
        <v>1153</v>
      </c>
    </row>
    <row r="120" spans="15:20" x14ac:dyDescent="0.3">
      <c r="O120">
        <v>119</v>
      </c>
      <c r="P120" t="s">
        <v>114</v>
      </c>
      <c r="Q120" t="s">
        <v>37</v>
      </c>
      <c r="R120">
        <v>0</v>
      </c>
      <c r="S120">
        <v>0</v>
      </c>
      <c r="T120">
        <v>1440</v>
      </c>
    </row>
    <row r="121" spans="15:20" x14ac:dyDescent="0.3">
      <c r="O121">
        <v>120</v>
      </c>
      <c r="P121" t="s">
        <v>115</v>
      </c>
      <c r="Q121" t="s">
        <v>34</v>
      </c>
      <c r="R121">
        <v>379</v>
      </c>
      <c r="S121">
        <v>648</v>
      </c>
      <c r="T121">
        <v>411</v>
      </c>
    </row>
    <row r="122" spans="15:20" x14ac:dyDescent="0.3">
      <c r="O122">
        <v>121</v>
      </c>
      <c r="P122" t="s">
        <v>115</v>
      </c>
      <c r="Q122" t="s">
        <v>37</v>
      </c>
      <c r="R122">
        <v>292</v>
      </c>
      <c r="S122">
        <v>284</v>
      </c>
      <c r="T122">
        <v>862</v>
      </c>
    </row>
    <row r="123" spans="15:20" x14ac:dyDescent="0.3">
      <c r="O123">
        <v>122</v>
      </c>
      <c r="P123" t="s">
        <v>116</v>
      </c>
      <c r="Q123" t="s">
        <v>34</v>
      </c>
      <c r="R123">
        <v>474</v>
      </c>
      <c r="S123">
        <v>541</v>
      </c>
      <c r="T123">
        <v>421</v>
      </c>
    </row>
    <row r="124" spans="15:20" x14ac:dyDescent="0.3">
      <c r="O124">
        <v>123</v>
      </c>
      <c r="P124" t="s">
        <v>116</v>
      </c>
      <c r="Q124" t="s">
        <v>37</v>
      </c>
      <c r="R124">
        <v>259</v>
      </c>
      <c r="S124">
        <v>304</v>
      </c>
      <c r="T124">
        <v>875</v>
      </c>
    </row>
    <row r="125" spans="15:20" x14ac:dyDescent="0.3">
      <c r="O125">
        <v>124</v>
      </c>
      <c r="P125" t="s">
        <v>117</v>
      </c>
      <c r="Q125" t="s">
        <v>34</v>
      </c>
      <c r="R125">
        <v>451</v>
      </c>
      <c r="S125">
        <v>575</v>
      </c>
      <c r="T125">
        <v>410</v>
      </c>
    </row>
    <row r="126" spans="15:20" x14ac:dyDescent="0.3">
      <c r="O126">
        <v>125</v>
      </c>
      <c r="P126" t="s">
        <v>117</v>
      </c>
      <c r="Q126" t="s">
        <v>37</v>
      </c>
      <c r="R126">
        <v>347</v>
      </c>
      <c r="S126">
        <v>268</v>
      </c>
      <c r="T126">
        <v>821</v>
      </c>
    </row>
    <row r="127" spans="15:20" x14ac:dyDescent="0.3">
      <c r="O127">
        <v>126</v>
      </c>
      <c r="P127" t="s">
        <v>118</v>
      </c>
      <c r="Q127" t="s">
        <v>34</v>
      </c>
      <c r="R127">
        <v>437</v>
      </c>
      <c r="S127">
        <v>580</v>
      </c>
      <c r="T127">
        <v>421</v>
      </c>
    </row>
    <row r="128" spans="15:20" x14ac:dyDescent="0.3">
      <c r="O128">
        <v>127</v>
      </c>
      <c r="P128" t="s">
        <v>118</v>
      </c>
      <c r="Q128" t="s">
        <v>37</v>
      </c>
      <c r="R128">
        <v>240</v>
      </c>
      <c r="S128">
        <v>320</v>
      </c>
      <c r="T128">
        <v>876</v>
      </c>
    </row>
    <row r="129" spans="15:20" x14ac:dyDescent="0.3">
      <c r="O129">
        <v>128</v>
      </c>
      <c r="P129" t="s">
        <v>119</v>
      </c>
      <c r="Q129" t="s">
        <v>34</v>
      </c>
      <c r="R129">
        <v>403</v>
      </c>
      <c r="S129">
        <v>603</v>
      </c>
      <c r="T129">
        <v>431</v>
      </c>
    </row>
    <row r="130" spans="15:20" x14ac:dyDescent="0.3">
      <c r="O130">
        <v>129</v>
      </c>
      <c r="P130" t="s">
        <v>119</v>
      </c>
      <c r="Q130" t="s">
        <v>37</v>
      </c>
      <c r="R130">
        <v>223</v>
      </c>
      <c r="S130">
        <v>335</v>
      </c>
      <c r="T130">
        <v>881</v>
      </c>
    </row>
    <row r="131" spans="15:20" x14ac:dyDescent="0.3">
      <c r="O131">
        <v>130</v>
      </c>
      <c r="P131" t="s">
        <v>120</v>
      </c>
      <c r="Q131" t="s">
        <v>34</v>
      </c>
      <c r="R131">
        <v>382</v>
      </c>
      <c r="S131">
        <v>578</v>
      </c>
      <c r="T131">
        <v>477</v>
      </c>
    </row>
    <row r="132" spans="15:20" x14ac:dyDescent="0.3">
      <c r="O132">
        <v>131</v>
      </c>
      <c r="P132" t="s">
        <v>120</v>
      </c>
      <c r="Q132" t="s">
        <v>37</v>
      </c>
      <c r="R132">
        <v>216</v>
      </c>
      <c r="S132">
        <v>251</v>
      </c>
      <c r="T132">
        <v>972</v>
      </c>
    </row>
    <row r="133" spans="15:20" x14ac:dyDescent="0.3">
      <c r="O133">
        <v>132</v>
      </c>
      <c r="P133" t="s">
        <v>121</v>
      </c>
      <c r="Q133" t="s">
        <v>34</v>
      </c>
      <c r="R133">
        <v>0</v>
      </c>
      <c r="S133">
        <v>0</v>
      </c>
      <c r="T133">
        <v>1440</v>
      </c>
    </row>
    <row r="134" spans="15:20" x14ac:dyDescent="0.3">
      <c r="O134">
        <v>133</v>
      </c>
      <c r="P134" t="s">
        <v>121</v>
      </c>
      <c r="Q134" t="s">
        <v>37</v>
      </c>
      <c r="R134">
        <v>0</v>
      </c>
      <c r="S134">
        <v>0</v>
      </c>
      <c r="T134">
        <v>1440</v>
      </c>
    </row>
    <row r="135" spans="15:20" x14ac:dyDescent="0.3">
      <c r="O135">
        <v>134</v>
      </c>
      <c r="P135" t="s">
        <v>122</v>
      </c>
      <c r="Q135" t="s">
        <v>34</v>
      </c>
      <c r="R135">
        <v>3</v>
      </c>
      <c r="S135">
        <v>0</v>
      </c>
      <c r="T135">
        <v>1437</v>
      </c>
    </row>
    <row r="136" spans="15:20" x14ac:dyDescent="0.3">
      <c r="O136">
        <v>135</v>
      </c>
      <c r="P136" t="s">
        <v>122</v>
      </c>
      <c r="Q136" t="s">
        <v>37</v>
      </c>
      <c r="R136">
        <v>407</v>
      </c>
      <c r="S136">
        <v>710</v>
      </c>
      <c r="T136">
        <v>318</v>
      </c>
    </row>
    <row r="137" spans="15:20" x14ac:dyDescent="0.3">
      <c r="O137">
        <v>136</v>
      </c>
      <c r="P137" t="s">
        <v>123</v>
      </c>
      <c r="Q137" t="s">
        <v>34</v>
      </c>
      <c r="R137">
        <v>264</v>
      </c>
      <c r="S137">
        <v>252</v>
      </c>
      <c r="T137">
        <v>920</v>
      </c>
    </row>
    <row r="138" spans="15:20" x14ac:dyDescent="0.3">
      <c r="O138">
        <v>137</v>
      </c>
      <c r="P138" t="s">
        <v>123</v>
      </c>
      <c r="Q138" t="s">
        <v>37</v>
      </c>
      <c r="R138">
        <v>523</v>
      </c>
      <c r="S138">
        <v>595</v>
      </c>
      <c r="T138">
        <v>316</v>
      </c>
    </row>
    <row r="139" spans="15:20" x14ac:dyDescent="0.3">
      <c r="O139">
        <v>138</v>
      </c>
      <c r="P139" t="s">
        <v>124</v>
      </c>
      <c r="Q139" t="s">
        <v>34</v>
      </c>
      <c r="R139">
        <v>253</v>
      </c>
      <c r="S139">
        <v>265</v>
      </c>
      <c r="T139">
        <v>918</v>
      </c>
    </row>
    <row r="140" spans="15:20" x14ac:dyDescent="0.3">
      <c r="O140">
        <v>139</v>
      </c>
      <c r="P140" t="s">
        <v>124</v>
      </c>
      <c r="Q140" t="s">
        <v>37</v>
      </c>
      <c r="R140">
        <v>470</v>
      </c>
      <c r="S140">
        <v>651</v>
      </c>
      <c r="T140">
        <v>312</v>
      </c>
    </row>
    <row r="141" spans="15:20" x14ac:dyDescent="0.3">
      <c r="O141">
        <v>140</v>
      </c>
      <c r="P141" t="s">
        <v>125</v>
      </c>
      <c r="Q141" t="s">
        <v>34</v>
      </c>
      <c r="R141">
        <v>447</v>
      </c>
      <c r="S141">
        <v>459</v>
      </c>
      <c r="T141">
        <v>531</v>
      </c>
    </row>
    <row r="142" spans="15:20" x14ac:dyDescent="0.3">
      <c r="O142">
        <v>141</v>
      </c>
      <c r="P142" t="s">
        <v>125</v>
      </c>
      <c r="Q142" t="s">
        <v>37</v>
      </c>
      <c r="R142">
        <v>429</v>
      </c>
      <c r="S142">
        <v>656</v>
      </c>
      <c r="T142">
        <v>352</v>
      </c>
    </row>
    <row r="143" spans="15:20" x14ac:dyDescent="0.3">
      <c r="O143">
        <v>142</v>
      </c>
      <c r="P143" t="s">
        <v>126</v>
      </c>
      <c r="Q143" t="s">
        <v>34</v>
      </c>
      <c r="R143">
        <v>457</v>
      </c>
      <c r="S143">
        <v>445</v>
      </c>
      <c r="T143">
        <v>534</v>
      </c>
    </row>
    <row r="144" spans="15:20" x14ac:dyDescent="0.3">
      <c r="O144">
        <v>143</v>
      </c>
      <c r="P144" t="s">
        <v>126</v>
      </c>
      <c r="Q144" t="s">
        <v>37</v>
      </c>
      <c r="R144">
        <v>482</v>
      </c>
      <c r="S144">
        <v>656</v>
      </c>
      <c r="T144">
        <v>299</v>
      </c>
    </row>
    <row r="145" spans="15:20" x14ac:dyDescent="0.3">
      <c r="O145">
        <v>144</v>
      </c>
      <c r="P145" t="s">
        <v>127</v>
      </c>
      <c r="Q145" t="s">
        <v>34</v>
      </c>
      <c r="R145">
        <v>350</v>
      </c>
      <c r="S145">
        <v>527</v>
      </c>
      <c r="T145">
        <v>559</v>
      </c>
    </row>
    <row r="146" spans="15:20" x14ac:dyDescent="0.3">
      <c r="O146">
        <v>145</v>
      </c>
      <c r="P146" t="s">
        <v>127</v>
      </c>
      <c r="Q146" t="s">
        <v>37</v>
      </c>
      <c r="R146">
        <v>289</v>
      </c>
      <c r="S146">
        <v>291</v>
      </c>
      <c r="T146">
        <v>857</v>
      </c>
    </row>
    <row r="147" spans="15:20" x14ac:dyDescent="0.3">
      <c r="O147">
        <v>146</v>
      </c>
      <c r="P147" t="s">
        <v>128</v>
      </c>
      <c r="Q147" t="s">
        <v>34</v>
      </c>
      <c r="R147">
        <v>0</v>
      </c>
      <c r="S147">
        <v>0</v>
      </c>
      <c r="T147">
        <v>1440</v>
      </c>
    </row>
    <row r="148" spans="15:20" x14ac:dyDescent="0.3">
      <c r="O148">
        <v>147</v>
      </c>
      <c r="P148" t="s">
        <v>128</v>
      </c>
      <c r="Q148" t="s">
        <v>37</v>
      </c>
      <c r="R148">
        <v>0</v>
      </c>
      <c r="S148">
        <v>0</v>
      </c>
      <c r="T148">
        <v>1440</v>
      </c>
    </row>
    <row r="149" spans="15:20" x14ac:dyDescent="0.3">
      <c r="O149">
        <v>148</v>
      </c>
      <c r="P149" t="s">
        <v>129</v>
      </c>
      <c r="Q149" t="s">
        <v>34</v>
      </c>
      <c r="R149">
        <v>379</v>
      </c>
      <c r="S149">
        <v>528</v>
      </c>
      <c r="T149">
        <v>529</v>
      </c>
    </row>
    <row r="150" spans="15:20" x14ac:dyDescent="0.3">
      <c r="O150">
        <v>149</v>
      </c>
      <c r="P150" t="s">
        <v>129</v>
      </c>
      <c r="Q150" t="s">
        <v>37</v>
      </c>
      <c r="R150">
        <v>324</v>
      </c>
      <c r="S150">
        <v>316</v>
      </c>
      <c r="T150">
        <v>797</v>
      </c>
    </row>
    <row r="151" spans="15:20" x14ac:dyDescent="0.3">
      <c r="O151">
        <v>150</v>
      </c>
      <c r="P151" t="s">
        <v>130</v>
      </c>
      <c r="Q151" t="s">
        <v>34</v>
      </c>
      <c r="R151">
        <v>371</v>
      </c>
      <c r="S151">
        <v>538</v>
      </c>
      <c r="T151">
        <v>528</v>
      </c>
    </row>
    <row r="152" spans="15:20" x14ac:dyDescent="0.3">
      <c r="O152">
        <v>151</v>
      </c>
      <c r="P152" t="s">
        <v>130</v>
      </c>
      <c r="Q152" t="s">
        <v>37</v>
      </c>
      <c r="R152">
        <v>311</v>
      </c>
      <c r="S152">
        <v>330</v>
      </c>
      <c r="T152">
        <v>793</v>
      </c>
    </row>
    <row r="153" spans="15:20" x14ac:dyDescent="0.3">
      <c r="O153">
        <v>152</v>
      </c>
      <c r="P153" t="s">
        <v>131</v>
      </c>
      <c r="Q153" t="s">
        <v>34</v>
      </c>
      <c r="R153">
        <v>336</v>
      </c>
      <c r="S153">
        <v>570</v>
      </c>
      <c r="T153">
        <v>531</v>
      </c>
    </row>
    <row r="154" spans="15:20" x14ac:dyDescent="0.3">
      <c r="O154">
        <v>153</v>
      </c>
      <c r="P154" t="s">
        <v>131</v>
      </c>
      <c r="Q154" t="s">
        <v>37</v>
      </c>
      <c r="R154">
        <v>297</v>
      </c>
      <c r="S154">
        <v>348</v>
      </c>
      <c r="T154">
        <v>792</v>
      </c>
    </row>
    <row r="155" spans="15:20" x14ac:dyDescent="0.3">
      <c r="O155">
        <v>154</v>
      </c>
      <c r="P155" t="s">
        <v>132</v>
      </c>
      <c r="Q155" t="s">
        <v>34</v>
      </c>
      <c r="R155">
        <v>352</v>
      </c>
      <c r="S155">
        <v>553</v>
      </c>
      <c r="T155">
        <v>531</v>
      </c>
    </row>
    <row r="156" spans="15:20" x14ac:dyDescent="0.3">
      <c r="O156">
        <v>155</v>
      </c>
      <c r="P156" t="s">
        <v>132</v>
      </c>
      <c r="Q156" t="s">
        <v>37</v>
      </c>
      <c r="R156">
        <v>286</v>
      </c>
      <c r="S156">
        <v>302</v>
      </c>
      <c r="T156">
        <v>849</v>
      </c>
    </row>
    <row r="157" spans="15:20" x14ac:dyDescent="0.3">
      <c r="O157">
        <v>156</v>
      </c>
      <c r="P157" t="s">
        <v>133</v>
      </c>
      <c r="Q157" t="s">
        <v>34</v>
      </c>
      <c r="R157">
        <v>381</v>
      </c>
      <c r="S157">
        <v>523</v>
      </c>
      <c r="T157">
        <v>533</v>
      </c>
    </row>
    <row r="158" spans="15:20" x14ac:dyDescent="0.3">
      <c r="O158">
        <v>157</v>
      </c>
      <c r="P158" t="s">
        <v>133</v>
      </c>
      <c r="Q158" t="s">
        <v>37</v>
      </c>
      <c r="R158">
        <v>341</v>
      </c>
      <c r="S158">
        <v>302</v>
      </c>
      <c r="T158">
        <v>793</v>
      </c>
    </row>
    <row r="159" spans="15:20" x14ac:dyDescent="0.3">
      <c r="O159">
        <v>158</v>
      </c>
      <c r="P159" t="s">
        <v>134</v>
      </c>
      <c r="Q159" t="s">
        <v>34</v>
      </c>
      <c r="R159">
        <v>286</v>
      </c>
      <c r="S159">
        <v>250</v>
      </c>
      <c r="T159">
        <v>902</v>
      </c>
    </row>
    <row r="160" spans="15:20" x14ac:dyDescent="0.3">
      <c r="O160">
        <v>159</v>
      </c>
      <c r="P160" t="s">
        <v>134</v>
      </c>
      <c r="Q160" t="s">
        <v>37</v>
      </c>
      <c r="R160">
        <v>191</v>
      </c>
      <c r="S160">
        <v>270</v>
      </c>
      <c r="T160">
        <v>977</v>
      </c>
    </row>
    <row r="161" spans="15:20" x14ac:dyDescent="0.3">
      <c r="O161">
        <v>160</v>
      </c>
      <c r="P161" t="s">
        <v>135</v>
      </c>
      <c r="Q161" t="s">
        <v>37</v>
      </c>
      <c r="R161">
        <v>0</v>
      </c>
      <c r="S161">
        <v>0</v>
      </c>
      <c r="T161">
        <v>1829</v>
      </c>
    </row>
    <row r="162" spans="15:20" x14ac:dyDescent="0.3">
      <c r="O162">
        <v>161</v>
      </c>
      <c r="P162" t="s">
        <v>136</v>
      </c>
      <c r="Q162" t="s">
        <v>34</v>
      </c>
      <c r="R162">
        <v>458</v>
      </c>
      <c r="S162">
        <v>441</v>
      </c>
      <c r="T162">
        <v>535</v>
      </c>
    </row>
    <row r="163" spans="15:20" x14ac:dyDescent="0.3">
      <c r="O163">
        <v>162</v>
      </c>
      <c r="P163" t="s">
        <v>136</v>
      </c>
      <c r="Q163" t="s">
        <v>37</v>
      </c>
      <c r="R163">
        <v>290</v>
      </c>
      <c r="S163">
        <v>358</v>
      </c>
      <c r="T163">
        <v>788</v>
      </c>
    </row>
    <row r="164" spans="15:20" x14ac:dyDescent="0.3">
      <c r="O164">
        <v>163</v>
      </c>
      <c r="P164" t="s">
        <v>137</v>
      </c>
      <c r="Q164" t="s">
        <v>34</v>
      </c>
      <c r="R164">
        <v>398</v>
      </c>
      <c r="S164">
        <v>510</v>
      </c>
      <c r="T164">
        <v>529</v>
      </c>
    </row>
    <row r="165" spans="15:20" x14ac:dyDescent="0.3">
      <c r="O165">
        <v>164</v>
      </c>
      <c r="P165" t="s">
        <v>137</v>
      </c>
      <c r="Q165" t="s">
        <v>37</v>
      </c>
      <c r="R165">
        <v>370</v>
      </c>
      <c r="S165">
        <v>281</v>
      </c>
      <c r="T165">
        <v>786</v>
      </c>
    </row>
    <row r="166" spans="15:20" x14ac:dyDescent="0.3">
      <c r="O166">
        <v>165</v>
      </c>
      <c r="P166" t="s">
        <v>138</v>
      </c>
      <c r="Q166" t="s">
        <v>34</v>
      </c>
      <c r="R166">
        <v>630</v>
      </c>
      <c r="S166">
        <v>272</v>
      </c>
      <c r="T166">
        <v>535</v>
      </c>
    </row>
    <row r="167" spans="15:20" x14ac:dyDescent="0.3">
      <c r="O167">
        <v>166</v>
      </c>
      <c r="P167" t="s">
        <v>138</v>
      </c>
      <c r="Q167" t="s">
        <v>37</v>
      </c>
      <c r="R167">
        <v>322</v>
      </c>
      <c r="S167">
        <v>351</v>
      </c>
      <c r="T167">
        <v>762</v>
      </c>
    </row>
    <row r="168" spans="15:20" x14ac:dyDescent="0.3">
      <c r="O168">
        <v>167</v>
      </c>
      <c r="P168" t="s">
        <v>139</v>
      </c>
      <c r="Q168" t="s">
        <v>34</v>
      </c>
      <c r="R168">
        <v>418</v>
      </c>
      <c r="S168">
        <v>487</v>
      </c>
      <c r="T168">
        <v>532</v>
      </c>
    </row>
    <row r="169" spans="15:20" x14ac:dyDescent="0.3">
      <c r="O169">
        <v>168</v>
      </c>
      <c r="P169" t="s">
        <v>139</v>
      </c>
      <c r="Q169" t="s">
        <v>37</v>
      </c>
      <c r="R169">
        <v>404</v>
      </c>
      <c r="S169">
        <v>239</v>
      </c>
      <c r="T169">
        <v>794</v>
      </c>
    </row>
    <row r="170" spans="15:20" x14ac:dyDescent="0.3">
      <c r="O170">
        <v>169</v>
      </c>
      <c r="P170" t="s">
        <v>140</v>
      </c>
      <c r="Q170" t="s">
        <v>34</v>
      </c>
      <c r="R170">
        <v>417</v>
      </c>
      <c r="S170">
        <v>486</v>
      </c>
      <c r="T170">
        <v>533</v>
      </c>
    </row>
    <row r="171" spans="15:20" x14ac:dyDescent="0.3">
      <c r="O171">
        <v>170</v>
      </c>
      <c r="P171" t="s">
        <v>140</v>
      </c>
      <c r="Q171" t="s">
        <v>37</v>
      </c>
      <c r="R171">
        <v>338</v>
      </c>
      <c r="S171">
        <v>302</v>
      </c>
      <c r="T171">
        <v>798</v>
      </c>
    </row>
    <row r="172" spans="15:20" x14ac:dyDescent="0.3">
      <c r="O172">
        <v>171</v>
      </c>
      <c r="P172" t="s">
        <v>141</v>
      </c>
      <c r="Q172" t="s">
        <v>34</v>
      </c>
      <c r="R172">
        <v>308</v>
      </c>
      <c r="S172">
        <v>521</v>
      </c>
      <c r="T172">
        <v>608</v>
      </c>
    </row>
    <row r="173" spans="15:20" x14ac:dyDescent="0.3">
      <c r="O173">
        <v>172</v>
      </c>
      <c r="P173" t="s">
        <v>141</v>
      </c>
      <c r="Q173" t="s">
        <v>37</v>
      </c>
      <c r="R173">
        <v>268</v>
      </c>
      <c r="S173">
        <v>315</v>
      </c>
      <c r="T173">
        <v>854</v>
      </c>
    </row>
    <row r="174" spans="15:20" x14ac:dyDescent="0.3">
      <c r="O174">
        <v>173</v>
      </c>
      <c r="P174" t="s">
        <v>142</v>
      </c>
      <c r="Q174" t="s">
        <v>34</v>
      </c>
      <c r="R174">
        <v>0</v>
      </c>
      <c r="S174">
        <v>0</v>
      </c>
      <c r="T174">
        <v>1440</v>
      </c>
    </row>
    <row r="175" spans="15:20" x14ac:dyDescent="0.3">
      <c r="O175">
        <v>174</v>
      </c>
      <c r="P175" t="s">
        <v>142</v>
      </c>
      <c r="Q175" t="s">
        <v>37</v>
      </c>
      <c r="R175">
        <v>0</v>
      </c>
      <c r="S175">
        <v>0</v>
      </c>
      <c r="T175">
        <v>1440</v>
      </c>
    </row>
    <row r="176" spans="15:20" x14ac:dyDescent="0.3">
      <c r="O176">
        <v>175</v>
      </c>
      <c r="P176" t="s">
        <v>143</v>
      </c>
      <c r="Q176" t="s">
        <v>34</v>
      </c>
      <c r="R176">
        <v>433</v>
      </c>
      <c r="S176">
        <v>472</v>
      </c>
      <c r="T176">
        <v>532</v>
      </c>
    </row>
    <row r="177" spans="15:20" x14ac:dyDescent="0.3">
      <c r="O177">
        <v>176</v>
      </c>
      <c r="P177" t="s">
        <v>143</v>
      </c>
      <c r="Q177" t="s">
        <v>37</v>
      </c>
      <c r="R177">
        <v>294</v>
      </c>
      <c r="S177">
        <v>288</v>
      </c>
      <c r="T177">
        <v>854</v>
      </c>
    </row>
    <row r="178" spans="15:20" x14ac:dyDescent="0.3">
      <c r="O178">
        <v>177</v>
      </c>
      <c r="P178" t="s">
        <v>144</v>
      </c>
      <c r="Q178" t="s">
        <v>34</v>
      </c>
      <c r="R178">
        <v>428</v>
      </c>
      <c r="S178">
        <v>480</v>
      </c>
      <c r="T178">
        <v>530</v>
      </c>
    </row>
    <row r="179" spans="15:20" x14ac:dyDescent="0.3">
      <c r="O179">
        <v>178</v>
      </c>
      <c r="P179" t="s">
        <v>144</v>
      </c>
      <c r="Q179" t="s">
        <v>37</v>
      </c>
      <c r="R179">
        <v>293</v>
      </c>
      <c r="S179">
        <v>354</v>
      </c>
      <c r="T179">
        <v>791</v>
      </c>
    </row>
    <row r="180" spans="15:20" x14ac:dyDescent="0.3">
      <c r="O180">
        <v>179</v>
      </c>
      <c r="P180" t="s">
        <v>33</v>
      </c>
      <c r="Q180" t="s">
        <v>34</v>
      </c>
      <c r="R180">
        <v>419</v>
      </c>
      <c r="S180">
        <v>486</v>
      </c>
      <c r="T180">
        <v>529</v>
      </c>
    </row>
    <row r="181" spans="15:20" x14ac:dyDescent="0.3">
      <c r="O181">
        <v>180</v>
      </c>
      <c r="P181" t="s">
        <v>33</v>
      </c>
      <c r="Q181" t="s">
        <v>37</v>
      </c>
      <c r="R181">
        <v>331</v>
      </c>
      <c r="S181">
        <v>313</v>
      </c>
      <c r="T181">
        <v>796</v>
      </c>
    </row>
    <row r="182" spans="15:20" x14ac:dyDescent="0.3">
      <c r="O182">
        <v>181</v>
      </c>
      <c r="P182" t="s">
        <v>39</v>
      </c>
      <c r="Q182" t="s">
        <v>34</v>
      </c>
      <c r="R182">
        <v>192</v>
      </c>
      <c r="S182">
        <v>207</v>
      </c>
      <c r="T182">
        <v>1040</v>
      </c>
    </row>
    <row r="183" spans="15:20" x14ac:dyDescent="0.3">
      <c r="O183">
        <v>182</v>
      </c>
      <c r="P183" t="s">
        <v>39</v>
      </c>
      <c r="Q183" t="s">
        <v>37</v>
      </c>
      <c r="R183">
        <v>225</v>
      </c>
      <c r="S183">
        <v>414</v>
      </c>
      <c r="T183">
        <v>799</v>
      </c>
    </row>
    <row r="184" spans="15:20" x14ac:dyDescent="0.3">
      <c r="O184">
        <v>183</v>
      </c>
      <c r="P184" t="s">
        <v>43</v>
      </c>
      <c r="Q184" t="s">
        <v>34</v>
      </c>
      <c r="R184">
        <v>159</v>
      </c>
      <c r="S184">
        <v>244</v>
      </c>
      <c r="T184">
        <v>1035</v>
      </c>
    </row>
    <row r="185" spans="15:20" x14ac:dyDescent="0.3">
      <c r="O185">
        <v>184</v>
      </c>
      <c r="P185" t="s">
        <v>43</v>
      </c>
      <c r="Q185" t="s">
        <v>37</v>
      </c>
      <c r="R185">
        <v>279</v>
      </c>
      <c r="S185">
        <v>296</v>
      </c>
      <c r="T185">
        <v>862</v>
      </c>
    </row>
    <row r="186" spans="15:20" x14ac:dyDescent="0.3">
      <c r="O186">
        <v>185</v>
      </c>
      <c r="P186" t="s">
        <v>48</v>
      </c>
      <c r="Q186" t="s">
        <v>34</v>
      </c>
      <c r="R186">
        <v>158</v>
      </c>
      <c r="S186">
        <v>242</v>
      </c>
      <c r="T186">
        <v>1039</v>
      </c>
    </row>
    <row r="187" spans="15:20" x14ac:dyDescent="0.3">
      <c r="O187">
        <v>186</v>
      </c>
      <c r="P187" t="s">
        <v>48</v>
      </c>
      <c r="Q187" t="s">
        <v>37</v>
      </c>
      <c r="R187">
        <v>248</v>
      </c>
      <c r="S187">
        <v>339</v>
      </c>
      <c r="T187">
        <v>850</v>
      </c>
    </row>
    <row r="188" spans="15:20" x14ac:dyDescent="0.3">
      <c r="O188">
        <v>187</v>
      </c>
      <c r="P188" t="s">
        <v>52</v>
      </c>
      <c r="Q188" t="s">
        <v>34</v>
      </c>
      <c r="R188">
        <v>0</v>
      </c>
      <c r="S188">
        <v>0</v>
      </c>
      <c r="T188">
        <v>1440</v>
      </c>
    </row>
    <row r="189" spans="15:20" x14ac:dyDescent="0.3">
      <c r="O189">
        <v>188</v>
      </c>
      <c r="P189" t="s">
        <v>52</v>
      </c>
      <c r="Q189" t="s">
        <v>37</v>
      </c>
      <c r="R189">
        <v>0</v>
      </c>
      <c r="S189">
        <v>0</v>
      </c>
      <c r="T189">
        <v>1440</v>
      </c>
    </row>
    <row r="190" spans="15:20" x14ac:dyDescent="0.3">
      <c r="O190">
        <v>189</v>
      </c>
      <c r="P190" t="s">
        <v>56</v>
      </c>
      <c r="Q190" t="s">
        <v>34</v>
      </c>
      <c r="R190">
        <v>365</v>
      </c>
      <c r="S190">
        <v>543</v>
      </c>
      <c r="T190">
        <v>529</v>
      </c>
    </row>
    <row r="191" spans="15:20" x14ac:dyDescent="0.3">
      <c r="O191">
        <v>190</v>
      </c>
      <c r="P191" t="s">
        <v>56</v>
      </c>
      <c r="Q191" t="s">
        <v>37</v>
      </c>
      <c r="R191">
        <v>334</v>
      </c>
      <c r="S191">
        <v>304</v>
      </c>
      <c r="T191">
        <v>798</v>
      </c>
    </row>
    <row r="192" spans="15:20" x14ac:dyDescent="0.3">
      <c r="O192">
        <v>191</v>
      </c>
      <c r="P192" t="s">
        <v>60</v>
      </c>
      <c r="Q192" t="s">
        <v>34</v>
      </c>
      <c r="R192">
        <v>421</v>
      </c>
      <c r="S192">
        <v>488</v>
      </c>
      <c r="T192">
        <v>529</v>
      </c>
    </row>
    <row r="193" spans="15:20" x14ac:dyDescent="0.3">
      <c r="O193">
        <v>192</v>
      </c>
      <c r="P193" t="s">
        <v>60</v>
      </c>
      <c r="Q193" t="s">
        <v>37</v>
      </c>
      <c r="R193">
        <v>338</v>
      </c>
      <c r="S193">
        <v>304</v>
      </c>
      <c r="T193">
        <v>793</v>
      </c>
    </row>
    <row r="194" spans="15:20" x14ac:dyDescent="0.3">
      <c r="O194">
        <v>193</v>
      </c>
      <c r="P194" t="s">
        <v>62</v>
      </c>
      <c r="Q194" t="s">
        <v>34</v>
      </c>
      <c r="R194">
        <v>374</v>
      </c>
      <c r="S194">
        <v>537</v>
      </c>
      <c r="T194">
        <v>528</v>
      </c>
    </row>
    <row r="195" spans="15:20" x14ac:dyDescent="0.3">
      <c r="O195">
        <v>194</v>
      </c>
      <c r="P195" t="s">
        <v>62</v>
      </c>
      <c r="Q195" t="s">
        <v>37</v>
      </c>
      <c r="R195">
        <v>351</v>
      </c>
      <c r="S195">
        <v>292</v>
      </c>
      <c r="T195">
        <v>793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T195"/>
  <sheetViews>
    <sheetView topLeftCell="E22" workbookViewId="0">
      <selection activeCell="I2" sqref="I2:J75"/>
    </sheetView>
  </sheetViews>
  <sheetFormatPr defaultRowHeight="14.4" x14ac:dyDescent="0.3"/>
  <cols>
    <col min="1" max="1" width="3" bestFit="1" customWidth="1"/>
    <col min="2" max="3" width="10.88671875" bestFit="1" customWidth="1"/>
    <col min="4" max="4" width="34.109375" bestFit="1" customWidth="1"/>
    <col min="5" max="5" width="30.5546875" bestFit="1" customWidth="1"/>
    <col min="6" max="6" width="22.6640625" bestFit="1" customWidth="1"/>
    <col min="9" max="10" width="11.6640625" bestFit="1" customWidth="1"/>
    <col min="11" max="11" width="8.33203125" bestFit="1" customWidth="1"/>
    <col min="12" max="12" width="11.5546875" bestFit="1" customWidth="1"/>
    <col min="13" max="13" width="10" bestFit="1" customWidth="1"/>
  </cols>
  <sheetData>
    <row r="1" spans="1:20" s="2" customFormat="1" x14ac:dyDescent="0.3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  <c r="L1" s="3" t="s">
        <v>31</v>
      </c>
      <c r="M1" s="3" t="s">
        <v>32</v>
      </c>
    </row>
    <row r="2" spans="1:20" x14ac:dyDescent="0.3">
      <c r="A2">
        <v>1</v>
      </c>
      <c r="B2" t="s">
        <v>33</v>
      </c>
      <c r="C2" t="s">
        <v>34</v>
      </c>
      <c r="D2">
        <v>424</v>
      </c>
      <c r="E2">
        <v>807</v>
      </c>
      <c r="F2">
        <v>206</v>
      </c>
      <c r="H2" t="s">
        <v>35</v>
      </c>
      <c r="I2" s="1">
        <v>0.65</v>
      </c>
      <c r="J2" s="1">
        <v>0.8</v>
      </c>
      <c r="K2" s="1">
        <f>IFERROR(SUMIFS(S:S,P:P,"*/01/2026")/(SUMIFS(R:R,P:P,"*/01/2026")+SUMIFS(S:S,P:P,"*/01/2026")+SUMIFS(T:T,P:P,"*/01/2026")),"")</f>
        <v>0.50528801609003182</v>
      </c>
      <c r="L2" s="1">
        <f>IFERROR(SUMIFS(R:R,P:P,"*/01/2026")/(SUMIFS(R:R,P:P,"*/01/2026")+SUMIFS(S:S,P:P,"*/01/2026")+SUMIFS(T:T,P:P,"*/01/2026")),"")</f>
        <v>0.16860635917832364</v>
      </c>
      <c r="M2" s="1">
        <f>IFERROR(SUMIFS(T:T,P:P,"*/01/2026")/(SUMIFS(R:R,P:P,"*/01/2026")+SUMIFS(S:S,P:P,"*/01/2026")+SUMIFS(T:T,P:P,"*/01/2026")),"")</f>
        <v>0.32610562473164451</v>
      </c>
      <c r="O2">
        <v>1</v>
      </c>
      <c r="P2" t="s">
        <v>36</v>
      </c>
      <c r="Q2" t="s">
        <v>34</v>
      </c>
      <c r="R2">
        <v>0</v>
      </c>
      <c r="S2">
        <v>0</v>
      </c>
      <c r="T2">
        <v>1440</v>
      </c>
    </row>
    <row r="3" spans="1:20" x14ac:dyDescent="0.3">
      <c r="A3">
        <v>2</v>
      </c>
      <c r="B3" t="s">
        <v>33</v>
      </c>
      <c r="C3" t="s">
        <v>37</v>
      </c>
      <c r="D3">
        <v>294</v>
      </c>
      <c r="E3">
        <v>985</v>
      </c>
      <c r="F3">
        <v>156</v>
      </c>
      <c r="H3" t="s">
        <v>38</v>
      </c>
      <c r="I3" s="1">
        <v>0.65</v>
      </c>
      <c r="J3" s="1">
        <v>0.8</v>
      </c>
      <c r="K3" s="1">
        <f>IFERROR(SUMIFS(S:S,P:P,"*/02/2026")/(SUMIFS(R:R,P:P,"*/02/2026")+SUMIFS(S:S,P:P,"*/02/2026")+SUMIFS(T:T,P:P,"*/02/2026")),"")</f>
        <v>0.38390504598558289</v>
      </c>
      <c r="L3" s="1">
        <f>IFERROR(SUMIFS(R:R,P:P,"*/02/2026")/(SUMIFS(R:R,P:P,"*/02/2026")+SUMIFS(S:S,P:P,"*/02/2026")+SUMIFS(T:T,P:P,"*/02/2026")),"")</f>
        <v>0.15042257022122793</v>
      </c>
      <c r="M3" s="1">
        <f>IFERROR(SUMIFS(T:T,P:P,"*/02/2026")/(SUMIFS(R:R,P:P,"*/02/2026")+SUMIFS(S:S,P:P,"*/02/2026")+SUMIFS(T:T,P:P,"*/02/2026")),"")</f>
        <v>0.46567238379318915</v>
      </c>
      <c r="O3">
        <v>2</v>
      </c>
      <c r="P3" t="s">
        <v>36</v>
      </c>
      <c r="Q3" t="s">
        <v>37</v>
      </c>
      <c r="R3">
        <v>57</v>
      </c>
      <c r="S3">
        <v>84</v>
      </c>
      <c r="T3">
        <v>1297</v>
      </c>
    </row>
    <row r="4" spans="1:20" x14ac:dyDescent="0.3">
      <c r="A4">
        <v>3</v>
      </c>
      <c r="B4" t="s">
        <v>39</v>
      </c>
      <c r="C4" t="s">
        <v>34</v>
      </c>
      <c r="D4">
        <v>408</v>
      </c>
      <c r="E4">
        <v>824</v>
      </c>
      <c r="F4">
        <v>205</v>
      </c>
      <c r="H4" t="s">
        <v>40</v>
      </c>
      <c r="I4" s="1">
        <v>0.65</v>
      </c>
      <c r="J4" s="1">
        <v>0.8</v>
      </c>
      <c r="K4" s="1">
        <f>IFERROR(SUMIFS(S:S,P:P,"*/03/2026")/(SUMIFS(R:R,P:P,"*/03/2026")+SUMIFS(S:S,P:P,"*/03/2026")+SUMIFS(T:T,P:P,"*/03/2026")),"")</f>
        <v>0.54705922598006795</v>
      </c>
      <c r="L4" s="1">
        <f>IFERROR(SUMIFS(R:R,P:P,"*/03/2026")/(SUMIFS(R:R,P:P,"*/03/2026")+SUMIFS(S:S,P:P,"*/03/2026")+SUMIFS(T:T,P:P,"*/03/2026")),"")</f>
        <v>0.194793495860795</v>
      </c>
      <c r="M4" s="1">
        <f>IFERROR(SUMIFS(T:T,P:P,"*/03/2026")/(SUMIFS(R:R,P:P,"*/03/2026")+SUMIFS(S:S,P:P,"*/03/2026")+SUMIFS(T:T,P:P,"*/03/2026")),"")</f>
        <v>0.25814727815913702</v>
      </c>
      <c r="O4">
        <v>3</v>
      </c>
      <c r="P4" t="s">
        <v>41</v>
      </c>
      <c r="Q4" t="s">
        <v>34</v>
      </c>
      <c r="R4">
        <v>471</v>
      </c>
      <c r="S4">
        <v>963</v>
      </c>
      <c r="T4">
        <v>0</v>
      </c>
    </row>
    <row r="5" spans="1:20" x14ac:dyDescent="0.3">
      <c r="A5">
        <v>4</v>
      </c>
      <c r="B5" t="s">
        <v>39</v>
      </c>
      <c r="C5" t="s">
        <v>37</v>
      </c>
      <c r="D5">
        <v>444</v>
      </c>
      <c r="E5">
        <v>834</v>
      </c>
      <c r="F5">
        <v>157</v>
      </c>
      <c r="H5" t="s">
        <v>42</v>
      </c>
      <c r="I5" s="1">
        <v>0.65</v>
      </c>
      <c r="J5" s="1">
        <v>0.8</v>
      </c>
      <c r="K5" s="1">
        <f>IFERROR(SUMIFS(S:S,P:P,"*/04/2026")/(SUMIFS(R:R,P:P,"*/04/2026")+SUMIFS(S:S,P:P,"*/04/2026")+SUMIFS(T:T,P:P,"*/04/2026")),"")</f>
        <v>0.53033600278551529</v>
      </c>
      <c r="L5" s="1">
        <f>IFERROR(SUMIFS(R:R,P:P,"*/04/2026")/(SUMIFS(R:R,P:P,"*/04/2026")+SUMIFS(S:S,P:P,"*/04/2026")+SUMIFS(T:T,P:P,"*/04/2026")),"")</f>
        <v>0.234375</v>
      </c>
      <c r="M5" s="1">
        <f>IFERROR(SUMIFS(T:T,P:P,"*/04/2026")/(SUMIFS(R:R,P:P,"*/04/2026")+SUMIFS(S:S,P:P,"*/04/2026")+SUMIFS(T:T,P:P,"*/04/2026")),"")</f>
        <v>0.23528899721448468</v>
      </c>
      <c r="O5">
        <v>4</v>
      </c>
      <c r="P5" t="s">
        <v>41</v>
      </c>
      <c r="Q5" t="s">
        <v>37</v>
      </c>
      <c r="R5">
        <v>300</v>
      </c>
      <c r="S5">
        <v>420</v>
      </c>
      <c r="T5">
        <v>714</v>
      </c>
    </row>
    <row r="6" spans="1:20" x14ac:dyDescent="0.3">
      <c r="A6">
        <v>5</v>
      </c>
      <c r="B6" t="s">
        <v>43</v>
      </c>
      <c r="C6" t="s">
        <v>34</v>
      </c>
      <c r="D6">
        <v>452</v>
      </c>
      <c r="E6">
        <v>777</v>
      </c>
      <c r="F6">
        <v>207</v>
      </c>
      <c r="H6" t="s">
        <v>44</v>
      </c>
      <c r="I6" s="1">
        <v>0.65</v>
      </c>
      <c r="J6" s="1">
        <v>0.8</v>
      </c>
      <c r="K6" s="1" t="str">
        <f>IFERROR(SUMIFS(S:S,P:P,"*/05/2026")/(SUMIFS(R:R,P:P,"*/05/2026")+SUMIFS(S:S,P:P,"*/05/2026")+SUMIFS(T:T,P:P,"*/05/2026")),"")</f>
        <v/>
      </c>
      <c r="L6" s="1" t="str">
        <f>IFERROR(SUMIFS(R:R,P:P,"*/05/2026")/(SUMIFS(R:R,P:P,"*/05/2026")+SUMIFS(S:S,P:P,"*/05/2026")+SUMIFS(T:T,P:P,"*/05/2026")),"")</f>
        <v/>
      </c>
      <c r="M6" s="1" t="str">
        <f>IFERROR(SUMIFS(T:T,P:P,"*/05/2026")/(SUMIFS(R:R,P:P,"*/05/2026")+SUMIFS(S:S,P:P,"*/05/2026")+SUMIFS(T:T,P:P,"*/05/2026")),"")</f>
        <v/>
      </c>
      <c r="O6">
        <v>5</v>
      </c>
      <c r="P6" t="s">
        <v>45</v>
      </c>
      <c r="Q6" t="s">
        <v>37</v>
      </c>
      <c r="R6">
        <v>433</v>
      </c>
      <c r="S6">
        <v>1584</v>
      </c>
      <c r="T6">
        <v>319</v>
      </c>
    </row>
    <row r="7" spans="1:20" x14ac:dyDescent="0.3">
      <c r="A7">
        <v>6</v>
      </c>
      <c r="B7" t="s">
        <v>43</v>
      </c>
      <c r="C7" t="s">
        <v>37</v>
      </c>
      <c r="D7">
        <v>451</v>
      </c>
      <c r="E7">
        <v>826</v>
      </c>
      <c r="F7">
        <v>158</v>
      </c>
      <c r="H7" t="s">
        <v>46</v>
      </c>
      <c r="I7" s="1">
        <v>0.65</v>
      </c>
      <c r="J7" s="1">
        <v>0.8</v>
      </c>
      <c r="K7" s="1" t="str">
        <f>IFERROR(SUMIFS(S:S,P:P,"*/06/2026")/(SUMIFS(R:R,P:P,"*/06/2026")+SUMIFS(S:S,P:P,"*/06/2026")+SUMIFS(T:T,P:P,"*/06/2026")),"")</f>
        <v/>
      </c>
      <c r="L7" s="1" t="str">
        <f>IFERROR(SUMIFS(R:R,P:P,"*/06/2026")/(SUMIFS(R:R,P:P,"*/06/2026")+SUMIFS(S:S,P:P,"*/06/2026")+SUMIFS(T:T,P:P,"*/06/2026")),"")</f>
        <v/>
      </c>
      <c r="M7" s="1" t="str">
        <f>IFERROR(SUMIFS(T:T,P:P,"*/06/2026")/(SUMIFS(R:R,P:P,"*/06/2026")+SUMIFS(S:S,P:P,"*/06/2026")+SUMIFS(T:T,P:P,"*/06/2026")),"")</f>
        <v/>
      </c>
      <c r="O7">
        <v>6</v>
      </c>
      <c r="P7" t="s">
        <v>47</v>
      </c>
      <c r="Q7" t="s">
        <v>34</v>
      </c>
      <c r="R7">
        <v>0</v>
      </c>
      <c r="S7">
        <v>0</v>
      </c>
      <c r="T7">
        <v>1440</v>
      </c>
    </row>
    <row r="8" spans="1:20" x14ac:dyDescent="0.3">
      <c r="A8">
        <v>7</v>
      </c>
      <c r="B8" t="s">
        <v>48</v>
      </c>
      <c r="C8" t="s">
        <v>34</v>
      </c>
      <c r="D8">
        <v>488</v>
      </c>
      <c r="E8">
        <v>712</v>
      </c>
      <c r="F8">
        <v>236</v>
      </c>
      <c r="H8" t="s">
        <v>49</v>
      </c>
      <c r="I8" s="1">
        <v>0.65</v>
      </c>
      <c r="J8" s="1">
        <v>0.8</v>
      </c>
      <c r="K8" s="1" t="str">
        <f>IFERROR(SUMIFS(S:S,P:P,"*/07/2026")/(SUMIFS(R:R,P:P,"*/07/2026")+SUMIFS(S:S,P:P,"*/07/2026")+SUMIFS(T:T,P:P,"*/07/2026")),"")</f>
        <v/>
      </c>
      <c r="L8" s="1" t="str">
        <f>IFERROR(SUMIFS(R:R,P:P,"*/07/2026")/(SUMIFS(R:R,P:P,"*/07/2026")+SUMIFS(S:S,P:P,"*/07/2026")+SUMIFS(T:T,P:P,"*/07/2026")),"")</f>
        <v/>
      </c>
      <c r="M8" s="1" t="str">
        <f>IFERROR(SUMIFS(T:T,P:P,"*/07/2026")/(SUMIFS(R:R,P:P,"*/07/2026")+SUMIFS(S:S,P:P,"*/07/2026")+SUMIFS(T:T,P:P,"*/07/2026")),"")</f>
        <v/>
      </c>
      <c r="O8">
        <v>7</v>
      </c>
      <c r="P8" t="s">
        <v>47</v>
      </c>
      <c r="Q8" t="s">
        <v>37</v>
      </c>
      <c r="R8">
        <v>0</v>
      </c>
      <c r="S8">
        <v>0</v>
      </c>
      <c r="T8">
        <v>1440</v>
      </c>
    </row>
    <row r="9" spans="1:20" x14ac:dyDescent="0.3">
      <c r="A9">
        <v>8</v>
      </c>
      <c r="B9" t="s">
        <v>48</v>
      </c>
      <c r="C9" t="s">
        <v>37</v>
      </c>
      <c r="D9">
        <v>418</v>
      </c>
      <c r="E9">
        <v>771</v>
      </c>
      <c r="F9">
        <v>248</v>
      </c>
      <c r="H9" t="s">
        <v>50</v>
      </c>
      <c r="I9" s="1">
        <v>0.65</v>
      </c>
      <c r="J9" s="1">
        <v>0.8</v>
      </c>
      <c r="K9" s="1" t="str">
        <f>IFERROR(SUMIFS(S:S,P:P,"*/08/2026")/(SUMIFS(R:R,P:P,"*/08/2026")+SUMIFS(S:S,P:P,"*/08/2026")+SUMIFS(T:T,P:P,"*/08/2026")),"")</f>
        <v/>
      </c>
      <c r="L9" s="1" t="str">
        <f>IFERROR(SUMIFS(R:R,P:P,"*/08/2026")/(SUMIFS(R:R,P:P,"*/08/2026")+SUMIFS(S:S,P:P,"*/08/2026")+SUMIFS(T:T,P:P,"*/08/2026")),"")</f>
        <v/>
      </c>
      <c r="M9" s="1" t="str">
        <f>IFERROR(SUMIFS(T:T,P:P,"*/08/2026")/(SUMIFS(R:R,P:P,"*/08/2026")+SUMIFS(S:S,P:P,"*/08/2026")+SUMIFS(T:T,P:P,"*/08/2026")),"")</f>
        <v/>
      </c>
      <c r="O9">
        <v>8</v>
      </c>
      <c r="P9" t="s">
        <v>51</v>
      </c>
      <c r="Q9" t="s">
        <v>34</v>
      </c>
      <c r="R9">
        <v>333</v>
      </c>
      <c r="S9">
        <v>702</v>
      </c>
      <c r="T9">
        <v>400</v>
      </c>
    </row>
    <row r="10" spans="1:20" x14ac:dyDescent="0.3">
      <c r="A10">
        <v>9</v>
      </c>
      <c r="B10" t="s">
        <v>52</v>
      </c>
      <c r="C10" t="s">
        <v>34</v>
      </c>
      <c r="D10">
        <v>363</v>
      </c>
      <c r="E10">
        <v>833</v>
      </c>
      <c r="F10">
        <v>242</v>
      </c>
      <c r="H10" t="s">
        <v>53</v>
      </c>
      <c r="I10" s="1">
        <v>0.65</v>
      </c>
      <c r="J10" s="1">
        <v>0.8</v>
      </c>
      <c r="K10" s="1" t="str">
        <f>IFERROR(SUMIFS(S:S,P:P,"*/09/2026")/(SUMIFS(R:R,P:P,"*/09/2026")+SUMIFS(S:S,P:P,"*/09/2026")+SUMIFS(T:T,P:P,"*/09/2026")),"")</f>
        <v/>
      </c>
      <c r="L10" s="1" t="str">
        <f>IFERROR(SUMIFS(R:R,P:P,"*/09/2026")/(SUMIFS(R:R,P:P,"*/09/2026")+SUMIFS(S:S,P:P,"*/09/2026")+SUMIFS(T:T,P:P,"*/09/2026")),"")</f>
        <v/>
      </c>
      <c r="M10" s="1" t="str">
        <f>IFERROR(SUMIFS(T:T,P:P,"*/09/2026")/(SUMIFS(R:R,P:P,"*/09/2026")+SUMIFS(S:S,P:P,"*/09/2026")+SUMIFS(T:T,P:P,"*/09/2026")),"")</f>
        <v/>
      </c>
      <c r="O10">
        <v>9</v>
      </c>
      <c r="P10" t="s">
        <v>51</v>
      </c>
      <c r="Q10" t="s">
        <v>37</v>
      </c>
      <c r="R10">
        <v>291</v>
      </c>
      <c r="S10">
        <v>824</v>
      </c>
      <c r="T10">
        <v>304</v>
      </c>
    </row>
    <row r="11" spans="1:20" x14ac:dyDescent="0.3">
      <c r="A11">
        <v>10</v>
      </c>
      <c r="B11" t="s">
        <v>52</v>
      </c>
      <c r="C11" t="s">
        <v>37</v>
      </c>
      <c r="D11">
        <v>0</v>
      </c>
      <c r="E11">
        <v>0</v>
      </c>
      <c r="F11">
        <v>1440</v>
      </c>
      <c r="H11" t="s">
        <v>54</v>
      </c>
      <c r="I11" s="1">
        <v>0.65</v>
      </c>
      <c r="J11" s="1">
        <v>0.8</v>
      </c>
      <c r="K11" s="1" t="str">
        <f>IFERROR(SUMIFS(S:S,P:P,"*/10/2026")/(SUMIFS(R:R,P:P,"*/10/2026")+SUMIFS(S:S,P:P,"*/10/2026")+SUMIFS(T:T,P:P,"*/10/2026")),"")</f>
        <v/>
      </c>
      <c r="L11" s="1" t="str">
        <f>IFERROR(SUMIFS(R:R,P:P,"*/10/2026")/(SUMIFS(R:R,P:P,"*/10/2026")+SUMIFS(S:S,P:P,"*/10/2026")+SUMIFS(T:T,P:P,"*/10/2026")),"")</f>
        <v/>
      </c>
      <c r="M11" s="1" t="str">
        <f>IFERROR(SUMIFS(T:T,P:P,"*/10/2026")/(SUMIFS(R:R,P:P,"*/10/2026")+SUMIFS(S:S,P:P,"*/10/2026")+SUMIFS(T:T,P:P,"*/10/2026")),"")</f>
        <v/>
      </c>
      <c r="O11">
        <v>10</v>
      </c>
      <c r="P11" t="s">
        <v>55</v>
      </c>
      <c r="Q11" t="s">
        <v>34</v>
      </c>
      <c r="R11">
        <v>217</v>
      </c>
      <c r="S11">
        <v>804</v>
      </c>
      <c r="T11">
        <v>414</v>
      </c>
    </row>
    <row r="12" spans="1:20" x14ac:dyDescent="0.3">
      <c r="A12">
        <v>11</v>
      </c>
      <c r="B12" t="s">
        <v>56</v>
      </c>
      <c r="C12" t="s">
        <v>34</v>
      </c>
      <c r="D12">
        <v>330</v>
      </c>
      <c r="E12">
        <v>694</v>
      </c>
      <c r="F12">
        <v>412</v>
      </c>
      <c r="H12" t="s">
        <v>57</v>
      </c>
      <c r="I12" s="1">
        <v>0.65</v>
      </c>
      <c r="J12" s="1">
        <v>0.8</v>
      </c>
      <c r="K12" s="1" t="str">
        <f>IFERROR(SUMIFS(S:S,P:P,"*/11/2026")/(SUMIFS(R:R,P:P,"*/11/2026")+SUMIFS(S:S,P:P,"*/11/2026")+SUMIFS(T:T,P:P,"*/11/2026")),"")</f>
        <v/>
      </c>
      <c r="L12" s="1" t="str">
        <f>IFERROR(SUMIFS(R:R,P:P,"*/11/2026")/(SUMIFS(R:R,P:P,"*/11/2026")+SUMIFS(S:S,P:P,"*/11/2026")+SUMIFS(T:T,P:P,"*/11/2026")),"")</f>
        <v/>
      </c>
      <c r="M12" s="1" t="str">
        <f>IFERROR(SUMIFS(T:T,P:P,"*/11/2026")/(SUMIFS(R:R,P:P,"*/11/2026")+SUMIFS(S:S,P:P,"*/11/2026")+SUMIFS(T:T,P:P,"*/11/2026")),"")</f>
        <v/>
      </c>
      <c r="O12">
        <v>11</v>
      </c>
      <c r="P12" t="s">
        <v>55</v>
      </c>
      <c r="Q12" t="s">
        <v>37</v>
      </c>
      <c r="R12">
        <v>283</v>
      </c>
      <c r="S12">
        <v>850</v>
      </c>
      <c r="T12">
        <v>303</v>
      </c>
    </row>
    <row r="13" spans="1:20" x14ac:dyDescent="0.3">
      <c r="A13">
        <v>12</v>
      </c>
      <c r="B13" t="s">
        <v>56</v>
      </c>
      <c r="C13" t="s">
        <v>37</v>
      </c>
      <c r="D13">
        <v>348</v>
      </c>
      <c r="E13">
        <v>777</v>
      </c>
      <c r="F13">
        <v>309</v>
      </c>
      <c r="H13" t="s">
        <v>58</v>
      </c>
      <c r="I13" s="1">
        <v>0.65</v>
      </c>
      <c r="J13" s="1">
        <v>0.8</v>
      </c>
      <c r="K13" s="1" t="str">
        <f>IFERROR(SUMIFS(S:S,P:P,"*/12/2026")/(SUMIFS(R:R,P:P,"*/12/2026")+SUMIFS(S:S,P:P,"*/12/2026")+SUMIFS(T:T,P:P,"*/12/2026")),"")</f>
        <v/>
      </c>
      <c r="L13" s="1" t="str">
        <f>IFERROR(SUMIFS(R:R,P:P,"*/12/2026")/(SUMIFS(R:R,P:P,"*/12/2026")+SUMIFS(S:S,P:P,"*/12/2026")+SUMIFS(T:T,P:P,"*/12/2026")),"")</f>
        <v/>
      </c>
      <c r="M13" s="1" t="str">
        <f>IFERROR(SUMIFS(T:T,P:P,"*/12/2026")/(SUMIFS(R:R,P:P,"*/12/2026")+SUMIFS(S:S,P:P,"*/12/2026")+SUMIFS(T:T,P:P,"*/12/2026")),"")</f>
        <v/>
      </c>
      <c r="O13">
        <v>12</v>
      </c>
      <c r="P13" t="s">
        <v>59</v>
      </c>
      <c r="Q13" t="s">
        <v>34</v>
      </c>
      <c r="R13">
        <v>81</v>
      </c>
      <c r="S13">
        <v>181</v>
      </c>
      <c r="T13">
        <v>1178</v>
      </c>
    </row>
    <row r="14" spans="1:20" x14ac:dyDescent="0.3">
      <c r="A14">
        <v>13</v>
      </c>
      <c r="B14" t="s">
        <v>60</v>
      </c>
      <c r="C14" t="s">
        <v>34</v>
      </c>
      <c r="D14">
        <v>239</v>
      </c>
      <c r="E14">
        <v>790</v>
      </c>
      <c r="F14">
        <v>407</v>
      </c>
      <c r="H14" t="str">
        <f>IF(B2="","",TEXT(B2,"dd/mm")&amp; "-" &amp;IF(UPPER(TRIM(C2))="CN",1,IF(UPPER(TRIM(C2))="CD",2,"")))</f>
        <v>01/04-1</v>
      </c>
      <c r="I14" s="1">
        <v>0.65</v>
      </c>
      <c r="J14" s="1">
        <v>0.8</v>
      </c>
      <c r="K14" s="1">
        <f t="shared" ref="K14:K45" si="0">IFERROR($E2/SUM($D2:$F2),"")</f>
        <v>0.56158663883089766</v>
      </c>
      <c r="L14" s="1">
        <f t="shared" ref="L14:L45" si="1">IFERROR($D2/SUM($D2:$F2),"")</f>
        <v>0.29505915100904662</v>
      </c>
      <c r="M14" s="1">
        <f t="shared" ref="M14:M45" si="2">IFERROR($F2/SUM($D2:$F2),"")</f>
        <v>0.14335421016005567</v>
      </c>
      <c r="O14">
        <v>13</v>
      </c>
      <c r="P14" t="s">
        <v>59</v>
      </c>
      <c r="Q14" t="s">
        <v>37</v>
      </c>
      <c r="R14">
        <v>0</v>
      </c>
      <c r="S14">
        <v>0</v>
      </c>
      <c r="T14">
        <v>1440</v>
      </c>
    </row>
    <row r="15" spans="1:20" x14ac:dyDescent="0.3">
      <c r="A15">
        <v>14</v>
      </c>
      <c r="B15" t="s">
        <v>60</v>
      </c>
      <c r="C15" t="s">
        <v>37</v>
      </c>
      <c r="D15">
        <v>314</v>
      </c>
      <c r="E15">
        <v>809</v>
      </c>
      <c r="F15">
        <v>308</v>
      </c>
      <c r="H15" t="str">
        <f t="shared" ref="H15:H46" si="3">IF(B3="","",TEXT(B3,"dd/mm") &amp; "-" &amp; IF(UPPER(TRIM(C3))="CN",1,IF(UPPER(TRIM(C3))="CD",2,"")))</f>
        <v>01/04-2</v>
      </c>
      <c r="I15" s="1">
        <v>0.65</v>
      </c>
      <c r="J15" s="1">
        <v>0.8</v>
      </c>
      <c r="K15" s="1">
        <f t="shared" si="0"/>
        <v>0.68641114982578399</v>
      </c>
      <c r="L15" s="1">
        <f t="shared" si="1"/>
        <v>0.20487804878048779</v>
      </c>
      <c r="M15" s="1">
        <f t="shared" si="2"/>
        <v>0.10871080139372823</v>
      </c>
      <c r="O15">
        <v>14</v>
      </c>
      <c r="P15" t="s">
        <v>61</v>
      </c>
      <c r="Q15" t="s">
        <v>34</v>
      </c>
      <c r="R15">
        <v>401</v>
      </c>
      <c r="S15">
        <v>618</v>
      </c>
      <c r="T15">
        <v>418</v>
      </c>
    </row>
    <row r="16" spans="1:20" x14ac:dyDescent="0.3">
      <c r="A16">
        <v>15</v>
      </c>
      <c r="B16" t="s">
        <v>62</v>
      </c>
      <c r="C16" t="s">
        <v>34</v>
      </c>
      <c r="D16">
        <v>294</v>
      </c>
      <c r="E16">
        <v>736</v>
      </c>
      <c r="F16">
        <v>406</v>
      </c>
      <c r="H16" t="str">
        <f t="shared" si="3"/>
        <v>02/04-1</v>
      </c>
      <c r="I16" s="1">
        <v>0.65</v>
      </c>
      <c r="J16" s="1">
        <v>0.8</v>
      </c>
      <c r="K16" s="1">
        <f t="shared" si="0"/>
        <v>0.57341684064022269</v>
      </c>
      <c r="L16" s="1">
        <f t="shared" si="1"/>
        <v>0.28392484342379959</v>
      </c>
      <c r="M16" s="1">
        <f t="shared" si="2"/>
        <v>0.14265831593597772</v>
      </c>
      <c r="O16">
        <v>15</v>
      </c>
      <c r="P16" t="s">
        <v>61</v>
      </c>
      <c r="Q16" t="s">
        <v>37</v>
      </c>
      <c r="R16">
        <v>413</v>
      </c>
      <c r="S16">
        <v>722</v>
      </c>
      <c r="T16">
        <v>300</v>
      </c>
    </row>
    <row r="17" spans="1:20" x14ac:dyDescent="0.3">
      <c r="A17">
        <v>16</v>
      </c>
      <c r="B17" t="s">
        <v>62</v>
      </c>
      <c r="C17" t="s">
        <v>37</v>
      </c>
      <c r="D17">
        <v>118</v>
      </c>
      <c r="E17">
        <v>1010</v>
      </c>
      <c r="F17">
        <v>309</v>
      </c>
      <c r="H17" t="str">
        <f t="shared" si="3"/>
        <v>02/04-2</v>
      </c>
      <c r="I17" s="1">
        <v>0.65</v>
      </c>
      <c r="J17" s="1">
        <v>0.8</v>
      </c>
      <c r="K17" s="1">
        <f t="shared" si="0"/>
        <v>0.58118466898954702</v>
      </c>
      <c r="L17" s="1">
        <f t="shared" si="1"/>
        <v>0.30940766550522647</v>
      </c>
      <c r="M17" s="1">
        <f t="shared" si="2"/>
        <v>0.10940766550522649</v>
      </c>
      <c r="O17">
        <v>16</v>
      </c>
      <c r="P17" t="s">
        <v>63</v>
      </c>
      <c r="Q17" t="s">
        <v>34</v>
      </c>
      <c r="R17">
        <v>478</v>
      </c>
      <c r="S17">
        <v>540</v>
      </c>
      <c r="T17">
        <v>417</v>
      </c>
    </row>
    <row r="18" spans="1:20" x14ac:dyDescent="0.3">
      <c r="H18" t="str">
        <f t="shared" si="3"/>
        <v>03/04-1</v>
      </c>
      <c r="I18" s="1">
        <v>0.65</v>
      </c>
      <c r="J18" s="1">
        <v>0.8</v>
      </c>
      <c r="K18" s="1">
        <f t="shared" si="0"/>
        <v>0.54108635097493041</v>
      </c>
      <c r="L18" s="1">
        <f t="shared" si="1"/>
        <v>0.31476323119777161</v>
      </c>
      <c r="M18" s="1">
        <f t="shared" si="2"/>
        <v>0.14415041782729804</v>
      </c>
      <c r="O18">
        <v>17</v>
      </c>
      <c r="P18" t="s">
        <v>63</v>
      </c>
      <c r="Q18" t="s">
        <v>37</v>
      </c>
      <c r="R18">
        <v>326</v>
      </c>
      <c r="S18">
        <v>799</v>
      </c>
      <c r="T18">
        <v>310</v>
      </c>
    </row>
    <row r="19" spans="1:20" x14ac:dyDescent="0.3">
      <c r="H19" t="str">
        <f t="shared" si="3"/>
        <v>03/04-2</v>
      </c>
      <c r="I19" s="1">
        <v>0.65</v>
      </c>
      <c r="J19" s="1">
        <v>0.8</v>
      </c>
      <c r="K19" s="1">
        <f t="shared" si="0"/>
        <v>0.57560975609756093</v>
      </c>
      <c r="L19" s="1">
        <f t="shared" si="1"/>
        <v>0.31428571428571428</v>
      </c>
      <c r="M19" s="1">
        <f t="shared" si="2"/>
        <v>0.11010452961672473</v>
      </c>
      <c r="O19">
        <v>18</v>
      </c>
      <c r="P19" t="s">
        <v>64</v>
      </c>
      <c r="Q19" t="s">
        <v>34</v>
      </c>
      <c r="R19">
        <v>159</v>
      </c>
      <c r="S19">
        <v>795</v>
      </c>
      <c r="T19">
        <v>480</v>
      </c>
    </row>
    <row r="20" spans="1:20" x14ac:dyDescent="0.3">
      <c r="H20" t="str">
        <f t="shared" si="3"/>
        <v>04/04-1</v>
      </c>
      <c r="I20" s="1">
        <v>0.65</v>
      </c>
      <c r="J20" s="1">
        <v>0.8</v>
      </c>
      <c r="K20" s="1">
        <f t="shared" si="0"/>
        <v>0.49582172701949861</v>
      </c>
      <c r="L20" s="1">
        <f t="shared" si="1"/>
        <v>0.33983286908077992</v>
      </c>
      <c r="M20" s="1">
        <f t="shared" si="2"/>
        <v>0.16434540389972144</v>
      </c>
      <c r="O20">
        <v>19</v>
      </c>
      <c r="P20" t="s">
        <v>64</v>
      </c>
      <c r="Q20" t="s">
        <v>37</v>
      </c>
      <c r="R20">
        <v>0</v>
      </c>
      <c r="S20">
        <v>0</v>
      </c>
      <c r="T20">
        <v>1440</v>
      </c>
    </row>
    <row r="21" spans="1:20" x14ac:dyDescent="0.3">
      <c r="H21" t="str">
        <f t="shared" si="3"/>
        <v>04/04-2</v>
      </c>
      <c r="I21" s="1">
        <v>0.65</v>
      </c>
      <c r="J21" s="1">
        <v>0.8</v>
      </c>
      <c r="K21" s="1">
        <f t="shared" si="0"/>
        <v>0.5365344467640919</v>
      </c>
      <c r="L21" s="1">
        <f t="shared" si="1"/>
        <v>0.29088378566457901</v>
      </c>
      <c r="M21" s="1">
        <f t="shared" si="2"/>
        <v>0.17258176757132915</v>
      </c>
      <c r="O21">
        <v>20</v>
      </c>
      <c r="P21" t="s">
        <v>65</v>
      </c>
      <c r="Q21" t="s">
        <v>34</v>
      </c>
      <c r="R21">
        <v>0</v>
      </c>
      <c r="S21">
        <v>0</v>
      </c>
      <c r="T21">
        <v>1440</v>
      </c>
    </row>
    <row r="22" spans="1:20" x14ac:dyDescent="0.3">
      <c r="H22" t="str">
        <f t="shared" si="3"/>
        <v>05/04-1</v>
      </c>
      <c r="I22" s="1">
        <v>0.65</v>
      </c>
      <c r="J22" s="1">
        <v>0.8</v>
      </c>
      <c r="K22" s="1">
        <f t="shared" si="0"/>
        <v>0.57927677329624483</v>
      </c>
      <c r="L22" s="1">
        <f t="shared" si="1"/>
        <v>0.25243393602225311</v>
      </c>
      <c r="M22" s="1">
        <f t="shared" si="2"/>
        <v>0.16828929068150209</v>
      </c>
      <c r="O22">
        <v>21</v>
      </c>
      <c r="P22" t="s">
        <v>65</v>
      </c>
      <c r="Q22" t="s">
        <v>37</v>
      </c>
      <c r="R22">
        <v>0</v>
      </c>
      <c r="S22">
        <v>0</v>
      </c>
      <c r="T22">
        <v>1440</v>
      </c>
    </row>
    <row r="23" spans="1:20" x14ac:dyDescent="0.3">
      <c r="H23" t="str">
        <f t="shared" si="3"/>
        <v>05/04-2</v>
      </c>
      <c r="I23" s="1">
        <v>0.65</v>
      </c>
      <c r="J23" s="1">
        <v>0.8</v>
      </c>
      <c r="K23" s="1">
        <f t="shared" si="0"/>
        <v>0</v>
      </c>
      <c r="L23" s="1">
        <f t="shared" si="1"/>
        <v>0</v>
      </c>
      <c r="M23" s="1">
        <f t="shared" si="2"/>
        <v>1</v>
      </c>
      <c r="O23">
        <v>22</v>
      </c>
      <c r="P23" t="s">
        <v>66</v>
      </c>
      <c r="Q23" t="s">
        <v>34</v>
      </c>
      <c r="R23">
        <v>168</v>
      </c>
      <c r="S23">
        <v>853</v>
      </c>
      <c r="T23">
        <v>414</v>
      </c>
    </row>
    <row r="24" spans="1:20" x14ac:dyDescent="0.3">
      <c r="H24" t="str">
        <f t="shared" si="3"/>
        <v>06/04-1</v>
      </c>
      <c r="I24" s="1">
        <v>0.65</v>
      </c>
      <c r="J24" s="1">
        <v>0.8</v>
      </c>
      <c r="K24" s="1">
        <f t="shared" si="0"/>
        <v>0.4832869080779944</v>
      </c>
      <c r="L24" s="1">
        <f t="shared" si="1"/>
        <v>0.2298050139275766</v>
      </c>
      <c r="M24" s="1">
        <f t="shared" si="2"/>
        <v>0.28690807799442897</v>
      </c>
      <c r="O24">
        <v>23</v>
      </c>
      <c r="P24" t="s">
        <v>66</v>
      </c>
      <c r="Q24" t="s">
        <v>37</v>
      </c>
      <c r="R24">
        <v>202</v>
      </c>
      <c r="S24">
        <v>927</v>
      </c>
      <c r="T24">
        <v>303</v>
      </c>
    </row>
    <row r="25" spans="1:20" x14ac:dyDescent="0.3">
      <c r="H25" t="str">
        <f t="shared" si="3"/>
        <v>06/04-2</v>
      </c>
      <c r="I25" s="1">
        <v>0.65</v>
      </c>
      <c r="J25" s="1">
        <v>0.8</v>
      </c>
      <c r="K25" s="1">
        <f t="shared" si="0"/>
        <v>0.54184100418410042</v>
      </c>
      <c r="L25" s="1">
        <f t="shared" si="1"/>
        <v>0.24267782426778242</v>
      </c>
      <c r="M25" s="1">
        <f t="shared" si="2"/>
        <v>0.21548117154811716</v>
      </c>
      <c r="O25">
        <v>24</v>
      </c>
      <c r="P25" t="s">
        <v>67</v>
      </c>
      <c r="Q25" t="s">
        <v>34</v>
      </c>
      <c r="R25">
        <v>416</v>
      </c>
      <c r="S25">
        <v>605</v>
      </c>
      <c r="T25">
        <v>413</v>
      </c>
    </row>
    <row r="26" spans="1:20" x14ac:dyDescent="0.3">
      <c r="H26" t="str">
        <f t="shared" si="3"/>
        <v>07/04-1</v>
      </c>
      <c r="I26" s="1">
        <v>0.65</v>
      </c>
      <c r="J26" s="1">
        <v>0.8</v>
      </c>
      <c r="K26" s="1">
        <f t="shared" si="0"/>
        <v>0.55013927576601673</v>
      </c>
      <c r="L26" s="1">
        <f t="shared" si="1"/>
        <v>0.16643454038997216</v>
      </c>
      <c r="M26" s="1">
        <f t="shared" si="2"/>
        <v>0.28342618384401114</v>
      </c>
      <c r="O26">
        <v>25</v>
      </c>
      <c r="P26" t="s">
        <v>67</v>
      </c>
      <c r="Q26" t="s">
        <v>37</v>
      </c>
      <c r="R26">
        <v>187</v>
      </c>
      <c r="S26">
        <v>943</v>
      </c>
      <c r="T26">
        <v>306</v>
      </c>
    </row>
    <row r="27" spans="1:20" x14ac:dyDescent="0.3">
      <c r="H27" t="str">
        <f t="shared" si="3"/>
        <v>07/04-2</v>
      </c>
      <c r="I27" s="1">
        <v>0.65</v>
      </c>
      <c r="J27" s="1">
        <v>0.8</v>
      </c>
      <c r="K27" s="1">
        <f t="shared" si="0"/>
        <v>0.56533892382948991</v>
      </c>
      <c r="L27" s="1">
        <f t="shared" si="1"/>
        <v>0.21942697414395529</v>
      </c>
      <c r="M27" s="1">
        <f t="shared" si="2"/>
        <v>0.21523410202655485</v>
      </c>
      <c r="O27">
        <v>26</v>
      </c>
      <c r="P27" t="s">
        <v>68</v>
      </c>
      <c r="Q27" t="s">
        <v>34</v>
      </c>
      <c r="R27">
        <v>344</v>
      </c>
      <c r="S27">
        <v>678</v>
      </c>
      <c r="T27">
        <v>413</v>
      </c>
    </row>
    <row r="28" spans="1:20" x14ac:dyDescent="0.3">
      <c r="H28" t="str">
        <f t="shared" si="3"/>
        <v>08/04-1</v>
      </c>
      <c r="I28" s="1">
        <v>0.65</v>
      </c>
      <c r="J28" s="1">
        <v>0.8</v>
      </c>
      <c r="K28" s="1">
        <f t="shared" si="0"/>
        <v>0.51253481894150421</v>
      </c>
      <c r="L28" s="1">
        <f t="shared" si="1"/>
        <v>0.20473537604456823</v>
      </c>
      <c r="M28" s="1">
        <f t="shared" si="2"/>
        <v>0.28272980501392758</v>
      </c>
      <c r="O28">
        <v>27</v>
      </c>
      <c r="P28" t="s">
        <v>68</v>
      </c>
      <c r="Q28" t="s">
        <v>37</v>
      </c>
      <c r="R28">
        <v>249</v>
      </c>
      <c r="S28">
        <v>884</v>
      </c>
      <c r="T28">
        <v>301</v>
      </c>
    </row>
    <row r="29" spans="1:20" x14ac:dyDescent="0.3">
      <c r="H29" t="str">
        <f t="shared" si="3"/>
        <v>08/04-2</v>
      </c>
      <c r="I29" s="1">
        <v>0.65</v>
      </c>
      <c r="J29" s="1">
        <v>0.8</v>
      </c>
      <c r="K29" s="1">
        <f t="shared" si="0"/>
        <v>0.70285316631871952</v>
      </c>
      <c r="L29" s="1">
        <f t="shared" si="1"/>
        <v>8.2115518441196939E-2</v>
      </c>
      <c r="M29" s="1">
        <f t="shared" si="2"/>
        <v>0.21503131524008351</v>
      </c>
      <c r="O29">
        <v>28</v>
      </c>
      <c r="P29" t="s">
        <v>69</v>
      </c>
      <c r="Q29" t="s">
        <v>34</v>
      </c>
      <c r="R29">
        <v>408</v>
      </c>
      <c r="S29">
        <v>615</v>
      </c>
      <c r="T29">
        <v>412</v>
      </c>
    </row>
    <row r="30" spans="1:20" x14ac:dyDescent="0.3">
      <c r="H30" t="str">
        <f t="shared" si="3"/>
        <v/>
      </c>
      <c r="I30" s="1"/>
      <c r="J30" s="1"/>
      <c r="K30" s="1" t="str">
        <f t="shared" si="0"/>
        <v/>
      </c>
      <c r="L30" s="1" t="str">
        <f t="shared" si="1"/>
        <v/>
      </c>
      <c r="M30" s="1" t="str">
        <f t="shared" si="2"/>
        <v/>
      </c>
      <c r="O30">
        <v>29</v>
      </c>
      <c r="P30" t="s">
        <v>69</v>
      </c>
      <c r="Q30" t="s">
        <v>37</v>
      </c>
      <c r="R30">
        <v>227</v>
      </c>
      <c r="S30">
        <v>905</v>
      </c>
      <c r="T30">
        <v>300</v>
      </c>
    </row>
    <row r="31" spans="1:20" x14ac:dyDescent="0.3">
      <c r="H31" t="str">
        <f t="shared" si="3"/>
        <v/>
      </c>
      <c r="I31" s="1"/>
      <c r="J31" s="1"/>
      <c r="K31" s="1" t="str">
        <f t="shared" si="0"/>
        <v/>
      </c>
      <c r="L31" s="1" t="str">
        <f t="shared" si="1"/>
        <v/>
      </c>
      <c r="M31" s="1" t="str">
        <f t="shared" si="2"/>
        <v/>
      </c>
      <c r="O31">
        <v>30</v>
      </c>
      <c r="P31" t="s">
        <v>70</v>
      </c>
      <c r="Q31" t="s">
        <v>34</v>
      </c>
      <c r="R31">
        <v>335</v>
      </c>
      <c r="S31">
        <v>684</v>
      </c>
      <c r="T31">
        <v>416</v>
      </c>
    </row>
    <row r="32" spans="1:20" x14ac:dyDescent="0.3">
      <c r="H32" t="str">
        <f t="shared" si="3"/>
        <v/>
      </c>
      <c r="I32" s="1"/>
      <c r="J32" s="1"/>
      <c r="K32" s="1" t="str">
        <f t="shared" si="0"/>
        <v/>
      </c>
      <c r="L32" s="1" t="str">
        <f t="shared" si="1"/>
        <v/>
      </c>
      <c r="M32" s="1" t="str">
        <f t="shared" si="2"/>
        <v/>
      </c>
      <c r="O32">
        <v>31</v>
      </c>
      <c r="P32" t="s">
        <v>70</v>
      </c>
      <c r="Q32" t="s">
        <v>37</v>
      </c>
      <c r="R32">
        <v>218</v>
      </c>
      <c r="S32">
        <v>796</v>
      </c>
      <c r="T32">
        <v>422</v>
      </c>
    </row>
    <row r="33" spans="8:20" x14ac:dyDescent="0.3">
      <c r="H33" t="str">
        <f t="shared" si="3"/>
        <v/>
      </c>
      <c r="I33" s="1"/>
      <c r="J33" s="1"/>
      <c r="K33" s="1" t="str">
        <f t="shared" si="0"/>
        <v/>
      </c>
      <c r="L33" s="1" t="str">
        <f t="shared" si="1"/>
        <v/>
      </c>
      <c r="M33" s="1" t="str">
        <f t="shared" si="2"/>
        <v/>
      </c>
      <c r="O33">
        <v>32</v>
      </c>
      <c r="P33" t="s">
        <v>71</v>
      </c>
      <c r="Q33" t="s">
        <v>34</v>
      </c>
      <c r="R33">
        <v>306</v>
      </c>
      <c r="S33">
        <v>715</v>
      </c>
      <c r="T33">
        <v>413</v>
      </c>
    </row>
    <row r="34" spans="8:20" x14ac:dyDescent="0.3">
      <c r="H34" t="str">
        <f t="shared" si="3"/>
        <v/>
      </c>
      <c r="I34" s="1"/>
      <c r="J34" s="1"/>
      <c r="K34" s="1" t="str">
        <f t="shared" si="0"/>
        <v/>
      </c>
      <c r="L34" s="1" t="str">
        <f t="shared" si="1"/>
        <v/>
      </c>
      <c r="M34" s="1" t="str">
        <f t="shared" si="2"/>
        <v/>
      </c>
      <c r="O34">
        <v>33</v>
      </c>
      <c r="P34" t="s">
        <v>71</v>
      </c>
      <c r="Q34" t="s">
        <v>37</v>
      </c>
      <c r="R34">
        <v>73</v>
      </c>
      <c r="S34">
        <v>882</v>
      </c>
      <c r="T34">
        <v>483</v>
      </c>
    </row>
    <row r="35" spans="8:20" x14ac:dyDescent="0.3">
      <c r="H35" t="str">
        <f t="shared" si="3"/>
        <v/>
      </c>
      <c r="I35" s="1"/>
      <c r="J35" s="1"/>
      <c r="K35" s="1" t="str">
        <f t="shared" si="0"/>
        <v/>
      </c>
      <c r="L35" s="1" t="str">
        <f t="shared" si="1"/>
        <v/>
      </c>
      <c r="M35" s="1" t="str">
        <f t="shared" si="2"/>
        <v/>
      </c>
      <c r="O35">
        <v>34</v>
      </c>
      <c r="P35" t="s">
        <v>72</v>
      </c>
      <c r="Q35" t="s">
        <v>34</v>
      </c>
      <c r="R35">
        <v>258</v>
      </c>
      <c r="S35">
        <v>537</v>
      </c>
      <c r="T35">
        <v>641</v>
      </c>
    </row>
    <row r="36" spans="8:20" x14ac:dyDescent="0.3">
      <c r="H36" t="str">
        <f t="shared" si="3"/>
        <v/>
      </c>
      <c r="I36" s="1"/>
      <c r="J36" s="1"/>
      <c r="K36" s="1" t="str">
        <f t="shared" si="0"/>
        <v/>
      </c>
      <c r="L36" s="1" t="str">
        <f t="shared" si="1"/>
        <v/>
      </c>
      <c r="M36" s="1" t="str">
        <f t="shared" si="2"/>
        <v/>
      </c>
      <c r="O36">
        <v>35</v>
      </c>
      <c r="P36" t="s">
        <v>72</v>
      </c>
      <c r="Q36" t="s">
        <v>37</v>
      </c>
      <c r="R36">
        <v>42</v>
      </c>
      <c r="S36">
        <v>126</v>
      </c>
      <c r="T36">
        <v>1270</v>
      </c>
    </row>
    <row r="37" spans="8:20" x14ac:dyDescent="0.3">
      <c r="H37" t="str">
        <f t="shared" si="3"/>
        <v/>
      </c>
      <c r="I37" s="1"/>
      <c r="J37" s="1"/>
      <c r="K37" s="1" t="str">
        <f t="shared" si="0"/>
        <v/>
      </c>
      <c r="L37" s="1" t="str">
        <f t="shared" si="1"/>
        <v/>
      </c>
      <c r="M37" s="1" t="str">
        <f t="shared" si="2"/>
        <v/>
      </c>
      <c r="O37">
        <v>36</v>
      </c>
      <c r="P37" t="s">
        <v>73</v>
      </c>
      <c r="Q37" t="s">
        <v>34</v>
      </c>
      <c r="R37">
        <v>198</v>
      </c>
      <c r="S37">
        <v>821</v>
      </c>
      <c r="T37">
        <v>417</v>
      </c>
    </row>
    <row r="38" spans="8:20" x14ac:dyDescent="0.3">
      <c r="H38" t="str">
        <f t="shared" si="3"/>
        <v/>
      </c>
      <c r="I38" s="1"/>
      <c r="J38" s="1"/>
      <c r="K38" s="1" t="str">
        <f t="shared" si="0"/>
        <v/>
      </c>
      <c r="L38" s="1" t="str">
        <f t="shared" si="1"/>
        <v/>
      </c>
      <c r="M38" s="1" t="str">
        <f t="shared" si="2"/>
        <v/>
      </c>
      <c r="O38">
        <v>37</v>
      </c>
      <c r="P38" t="s">
        <v>73</v>
      </c>
      <c r="Q38" t="s">
        <v>37</v>
      </c>
      <c r="R38">
        <v>322</v>
      </c>
      <c r="S38">
        <v>960</v>
      </c>
      <c r="T38">
        <v>154</v>
      </c>
    </row>
    <row r="39" spans="8:20" x14ac:dyDescent="0.3">
      <c r="H39" t="str">
        <f t="shared" si="3"/>
        <v/>
      </c>
      <c r="I39" s="1"/>
      <c r="J39" s="1"/>
      <c r="K39" s="1" t="str">
        <f t="shared" si="0"/>
        <v/>
      </c>
      <c r="L39" s="1" t="str">
        <f t="shared" si="1"/>
        <v/>
      </c>
      <c r="M39" s="1" t="str">
        <f t="shared" si="2"/>
        <v/>
      </c>
      <c r="O39">
        <v>38</v>
      </c>
      <c r="P39" t="s">
        <v>74</v>
      </c>
      <c r="Q39" t="s">
        <v>34</v>
      </c>
      <c r="R39">
        <v>301</v>
      </c>
      <c r="S39">
        <v>928</v>
      </c>
      <c r="T39">
        <v>208</v>
      </c>
    </row>
    <row r="40" spans="8:20" x14ac:dyDescent="0.3">
      <c r="H40" t="str">
        <f t="shared" si="3"/>
        <v/>
      </c>
      <c r="I40" s="1"/>
      <c r="J40" s="1"/>
      <c r="K40" s="1" t="str">
        <f t="shared" si="0"/>
        <v/>
      </c>
      <c r="L40" s="1" t="str">
        <f t="shared" si="1"/>
        <v/>
      </c>
      <c r="M40" s="1" t="str">
        <f t="shared" si="2"/>
        <v/>
      </c>
      <c r="O40">
        <v>39</v>
      </c>
      <c r="P40" t="s">
        <v>74</v>
      </c>
      <c r="Q40" t="s">
        <v>37</v>
      </c>
      <c r="R40">
        <v>304</v>
      </c>
      <c r="S40">
        <v>1134</v>
      </c>
      <c r="T40">
        <v>0</v>
      </c>
    </row>
    <row r="41" spans="8:20" x14ac:dyDescent="0.3">
      <c r="H41" t="str">
        <f t="shared" si="3"/>
        <v/>
      </c>
      <c r="I41" s="1"/>
      <c r="J41" s="1"/>
      <c r="K41" s="1" t="str">
        <f t="shared" si="0"/>
        <v/>
      </c>
      <c r="L41" s="1" t="str">
        <f t="shared" si="1"/>
        <v/>
      </c>
      <c r="M41" s="1" t="str">
        <f t="shared" si="2"/>
        <v/>
      </c>
      <c r="O41">
        <v>40</v>
      </c>
      <c r="P41" t="s">
        <v>75</v>
      </c>
      <c r="Q41" t="s">
        <v>34</v>
      </c>
      <c r="R41">
        <v>487</v>
      </c>
      <c r="S41">
        <v>951</v>
      </c>
      <c r="T41">
        <v>0</v>
      </c>
    </row>
    <row r="42" spans="8:20" x14ac:dyDescent="0.3">
      <c r="H42" t="str">
        <f t="shared" si="3"/>
        <v/>
      </c>
      <c r="I42" s="1"/>
      <c r="J42" s="1"/>
      <c r="K42" s="1" t="str">
        <f t="shared" si="0"/>
        <v/>
      </c>
      <c r="L42" s="1" t="str">
        <f t="shared" si="1"/>
        <v/>
      </c>
      <c r="M42" s="1" t="str">
        <f t="shared" si="2"/>
        <v/>
      </c>
      <c r="O42">
        <v>41</v>
      </c>
      <c r="P42" t="s">
        <v>75</v>
      </c>
      <c r="Q42" t="s">
        <v>37</v>
      </c>
      <c r="R42">
        <v>170</v>
      </c>
      <c r="S42">
        <v>1267</v>
      </c>
      <c r="T42">
        <v>0</v>
      </c>
    </row>
    <row r="43" spans="8:20" x14ac:dyDescent="0.3">
      <c r="H43" t="str">
        <f t="shared" si="3"/>
        <v/>
      </c>
      <c r="I43" s="1"/>
      <c r="J43" s="1"/>
      <c r="K43" s="1" t="str">
        <f t="shared" si="0"/>
        <v/>
      </c>
      <c r="L43" s="1" t="str">
        <f t="shared" si="1"/>
        <v/>
      </c>
      <c r="M43" s="1" t="str">
        <f t="shared" si="2"/>
        <v/>
      </c>
      <c r="O43">
        <v>42</v>
      </c>
      <c r="P43" t="s">
        <v>76</v>
      </c>
      <c r="Q43" t="s">
        <v>34</v>
      </c>
      <c r="R43">
        <v>466</v>
      </c>
      <c r="S43">
        <v>972</v>
      </c>
      <c r="T43">
        <v>0</v>
      </c>
    </row>
    <row r="44" spans="8:20" x14ac:dyDescent="0.3">
      <c r="H44" t="str">
        <f t="shared" si="3"/>
        <v/>
      </c>
      <c r="I44" s="1"/>
      <c r="J44" s="1"/>
      <c r="K44" s="1" t="str">
        <f t="shared" si="0"/>
        <v/>
      </c>
      <c r="L44" s="1" t="str">
        <f t="shared" si="1"/>
        <v/>
      </c>
      <c r="M44" s="1" t="str">
        <f t="shared" si="2"/>
        <v/>
      </c>
      <c r="O44">
        <v>43</v>
      </c>
      <c r="P44" t="s">
        <v>76</v>
      </c>
      <c r="Q44" t="s">
        <v>37</v>
      </c>
      <c r="R44">
        <v>170</v>
      </c>
      <c r="S44">
        <v>1266</v>
      </c>
      <c r="T44">
        <v>0</v>
      </c>
    </row>
    <row r="45" spans="8:20" x14ac:dyDescent="0.3">
      <c r="H45" t="str">
        <f t="shared" si="3"/>
        <v/>
      </c>
      <c r="I45" s="1"/>
      <c r="J45" s="1"/>
      <c r="K45" s="1" t="str">
        <f t="shared" si="0"/>
        <v/>
      </c>
      <c r="L45" s="1" t="str">
        <f t="shared" si="1"/>
        <v/>
      </c>
      <c r="M45" s="1" t="str">
        <f t="shared" si="2"/>
        <v/>
      </c>
      <c r="O45">
        <v>44</v>
      </c>
      <c r="P45" t="s">
        <v>77</v>
      </c>
      <c r="Q45" t="s">
        <v>34</v>
      </c>
      <c r="R45">
        <v>370</v>
      </c>
      <c r="S45">
        <v>1067</v>
      </c>
      <c r="T45">
        <v>0</v>
      </c>
    </row>
    <row r="46" spans="8:20" x14ac:dyDescent="0.3">
      <c r="H46" t="str">
        <f t="shared" si="3"/>
        <v/>
      </c>
      <c r="I46" s="1"/>
      <c r="J46" s="1"/>
      <c r="K46" s="1" t="str">
        <f t="shared" ref="K46:K77" si="4">IFERROR($E34/SUM($D34:$F34),"")</f>
        <v/>
      </c>
      <c r="L46" s="1" t="str">
        <f t="shared" ref="L46:L77" si="5">IFERROR($D34/SUM($D34:$F34),"")</f>
        <v/>
      </c>
      <c r="M46" s="1" t="str">
        <f t="shared" ref="M46:M77" si="6">IFERROR($F34/SUM($D34:$F34),"")</f>
        <v/>
      </c>
      <c r="O46">
        <v>45</v>
      </c>
      <c r="P46" t="s">
        <v>77</v>
      </c>
      <c r="Q46" t="s">
        <v>37</v>
      </c>
      <c r="R46">
        <v>207</v>
      </c>
      <c r="S46">
        <v>1229</v>
      </c>
      <c r="T46">
        <v>0</v>
      </c>
    </row>
    <row r="47" spans="8:20" x14ac:dyDescent="0.3">
      <c r="H47" t="str">
        <f t="shared" ref="H47:H78" si="7">IF(B35="","",TEXT(B35,"dd/mm") &amp; "-" &amp; IF(UPPER(TRIM(C35))="CN",1,IF(UPPER(TRIM(C35))="CD",2,"")))</f>
        <v/>
      </c>
      <c r="I47" s="1"/>
      <c r="J47" s="1"/>
      <c r="K47" s="1" t="str">
        <f t="shared" si="4"/>
        <v/>
      </c>
      <c r="L47" s="1" t="str">
        <f t="shared" si="5"/>
        <v/>
      </c>
      <c r="M47" s="1" t="str">
        <f t="shared" si="6"/>
        <v/>
      </c>
      <c r="O47">
        <v>46</v>
      </c>
      <c r="P47" t="s">
        <v>78</v>
      </c>
      <c r="Q47" t="s">
        <v>34</v>
      </c>
      <c r="R47">
        <v>514</v>
      </c>
      <c r="S47">
        <v>924</v>
      </c>
      <c r="T47">
        <v>0</v>
      </c>
    </row>
    <row r="48" spans="8:20" x14ac:dyDescent="0.3">
      <c r="H48" t="str">
        <f t="shared" si="7"/>
        <v/>
      </c>
      <c r="I48" s="1"/>
      <c r="J48" s="1"/>
      <c r="K48" s="1" t="str">
        <f t="shared" si="4"/>
        <v/>
      </c>
      <c r="L48" s="1" t="str">
        <f t="shared" si="5"/>
        <v/>
      </c>
      <c r="M48" s="1" t="str">
        <f t="shared" si="6"/>
        <v/>
      </c>
      <c r="O48">
        <v>47</v>
      </c>
      <c r="P48" t="s">
        <v>78</v>
      </c>
      <c r="Q48" t="s">
        <v>37</v>
      </c>
      <c r="R48">
        <v>124</v>
      </c>
      <c r="S48">
        <v>1068</v>
      </c>
      <c r="T48">
        <v>246</v>
      </c>
    </row>
    <row r="49" spans="8:20" x14ac:dyDescent="0.3">
      <c r="H49" t="str">
        <f t="shared" si="7"/>
        <v/>
      </c>
      <c r="I49" s="1"/>
      <c r="J49" s="1"/>
      <c r="K49" s="1" t="str">
        <f t="shared" si="4"/>
        <v/>
      </c>
      <c r="L49" s="1" t="str">
        <f t="shared" si="5"/>
        <v/>
      </c>
      <c r="M49" s="1" t="str">
        <f t="shared" si="6"/>
        <v/>
      </c>
      <c r="O49">
        <v>48</v>
      </c>
      <c r="P49" t="s">
        <v>79</v>
      </c>
      <c r="Q49" t="s">
        <v>34</v>
      </c>
      <c r="R49">
        <v>362</v>
      </c>
      <c r="S49">
        <v>835</v>
      </c>
      <c r="T49">
        <v>238</v>
      </c>
    </row>
    <row r="50" spans="8:20" x14ac:dyDescent="0.3">
      <c r="H50" t="str">
        <f t="shared" si="7"/>
        <v/>
      </c>
      <c r="I50" s="1"/>
      <c r="J50" s="1"/>
      <c r="K50" s="1" t="str">
        <f t="shared" si="4"/>
        <v/>
      </c>
      <c r="L50" s="1" t="str">
        <f t="shared" si="5"/>
        <v/>
      </c>
      <c r="M50" s="1" t="str">
        <f t="shared" si="6"/>
        <v/>
      </c>
      <c r="O50">
        <v>49</v>
      </c>
      <c r="P50" t="s">
        <v>79</v>
      </c>
      <c r="Q50" t="s">
        <v>37</v>
      </c>
      <c r="R50">
        <v>0</v>
      </c>
      <c r="S50">
        <v>0</v>
      </c>
      <c r="T50">
        <v>1440</v>
      </c>
    </row>
    <row r="51" spans="8:20" x14ac:dyDescent="0.3">
      <c r="H51" t="str">
        <f t="shared" si="7"/>
        <v/>
      </c>
      <c r="I51" s="1"/>
      <c r="J51" s="1"/>
      <c r="K51" s="1" t="str">
        <f t="shared" si="4"/>
        <v/>
      </c>
      <c r="L51" s="1" t="str">
        <f t="shared" si="5"/>
        <v/>
      </c>
      <c r="M51" s="1" t="str">
        <f t="shared" si="6"/>
        <v/>
      </c>
      <c r="O51">
        <v>50</v>
      </c>
      <c r="P51" t="s">
        <v>80</v>
      </c>
      <c r="Q51" t="s">
        <v>34</v>
      </c>
      <c r="R51">
        <v>210</v>
      </c>
      <c r="S51">
        <v>812</v>
      </c>
      <c r="T51">
        <v>413</v>
      </c>
    </row>
    <row r="52" spans="8:20" x14ac:dyDescent="0.3">
      <c r="H52" t="str">
        <f t="shared" si="7"/>
        <v/>
      </c>
      <c r="I52" s="1"/>
      <c r="J52" s="1"/>
      <c r="K52" s="1" t="str">
        <f t="shared" si="4"/>
        <v/>
      </c>
      <c r="L52" s="1" t="str">
        <f t="shared" si="5"/>
        <v/>
      </c>
      <c r="M52" s="1" t="str">
        <f t="shared" si="6"/>
        <v/>
      </c>
      <c r="O52">
        <v>51</v>
      </c>
      <c r="P52" t="s">
        <v>80</v>
      </c>
      <c r="Q52" t="s">
        <v>37</v>
      </c>
      <c r="R52">
        <v>162</v>
      </c>
      <c r="S52">
        <v>1120</v>
      </c>
      <c r="T52">
        <v>151</v>
      </c>
    </row>
    <row r="53" spans="8:20" x14ac:dyDescent="0.3">
      <c r="H53" t="str">
        <f t="shared" si="7"/>
        <v/>
      </c>
      <c r="I53" s="1"/>
      <c r="J53" s="1"/>
      <c r="K53" s="1" t="str">
        <f t="shared" si="4"/>
        <v/>
      </c>
      <c r="L53" s="1" t="str">
        <f t="shared" si="5"/>
        <v/>
      </c>
      <c r="M53" s="1" t="str">
        <f t="shared" si="6"/>
        <v/>
      </c>
      <c r="O53">
        <v>52</v>
      </c>
      <c r="P53" t="s">
        <v>81</v>
      </c>
      <c r="Q53" t="s">
        <v>34</v>
      </c>
      <c r="R53">
        <v>331</v>
      </c>
      <c r="S53">
        <v>896</v>
      </c>
      <c r="T53">
        <v>208</v>
      </c>
    </row>
    <row r="54" spans="8:20" x14ac:dyDescent="0.3">
      <c r="H54" t="str">
        <f t="shared" si="7"/>
        <v/>
      </c>
      <c r="I54" s="1"/>
      <c r="J54" s="1"/>
      <c r="K54" s="1" t="str">
        <f t="shared" si="4"/>
        <v/>
      </c>
      <c r="L54" s="1" t="str">
        <f t="shared" si="5"/>
        <v/>
      </c>
      <c r="M54" s="1" t="str">
        <f t="shared" si="6"/>
        <v/>
      </c>
      <c r="O54">
        <v>53</v>
      </c>
      <c r="P54" t="s">
        <v>81</v>
      </c>
      <c r="Q54" t="s">
        <v>37</v>
      </c>
      <c r="R54">
        <v>191</v>
      </c>
      <c r="S54">
        <v>1091</v>
      </c>
      <c r="T54">
        <v>153</v>
      </c>
    </row>
    <row r="55" spans="8:20" x14ac:dyDescent="0.3">
      <c r="H55" t="str">
        <f t="shared" si="7"/>
        <v/>
      </c>
      <c r="I55" s="1"/>
      <c r="J55" s="1"/>
      <c r="K55" s="1" t="str">
        <f t="shared" si="4"/>
        <v/>
      </c>
      <c r="L55" s="1" t="str">
        <f t="shared" si="5"/>
        <v/>
      </c>
      <c r="M55" s="1" t="str">
        <f t="shared" si="6"/>
        <v/>
      </c>
      <c r="O55">
        <v>54</v>
      </c>
      <c r="P55" t="s">
        <v>82</v>
      </c>
      <c r="Q55" t="s">
        <v>34</v>
      </c>
      <c r="R55">
        <v>307</v>
      </c>
      <c r="S55">
        <v>921</v>
      </c>
      <c r="T55">
        <v>207</v>
      </c>
    </row>
    <row r="56" spans="8:20" x14ac:dyDescent="0.3">
      <c r="H56" t="str">
        <f t="shared" si="7"/>
        <v/>
      </c>
      <c r="I56" s="1"/>
      <c r="J56" s="1"/>
      <c r="K56" s="1" t="str">
        <f t="shared" si="4"/>
        <v/>
      </c>
      <c r="L56" s="1" t="str">
        <f t="shared" si="5"/>
        <v/>
      </c>
      <c r="M56" s="1" t="str">
        <f t="shared" si="6"/>
        <v/>
      </c>
      <c r="O56">
        <v>55</v>
      </c>
      <c r="P56" t="s">
        <v>82</v>
      </c>
      <c r="Q56" t="s">
        <v>37</v>
      </c>
      <c r="R56">
        <v>259</v>
      </c>
      <c r="S56">
        <v>1027</v>
      </c>
      <c r="T56">
        <v>151</v>
      </c>
    </row>
    <row r="57" spans="8:20" x14ac:dyDescent="0.3">
      <c r="H57" t="str">
        <f t="shared" si="7"/>
        <v/>
      </c>
      <c r="I57" s="1"/>
      <c r="J57" s="1"/>
      <c r="K57" s="1" t="str">
        <f t="shared" si="4"/>
        <v/>
      </c>
      <c r="L57" s="1" t="str">
        <f t="shared" si="5"/>
        <v/>
      </c>
      <c r="M57" s="1" t="str">
        <f t="shared" si="6"/>
        <v/>
      </c>
      <c r="O57">
        <v>56</v>
      </c>
      <c r="P57" t="s">
        <v>83</v>
      </c>
      <c r="Q57" t="s">
        <v>34</v>
      </c>
      <c r="R57">
        <v>388</v>
      </c>
      <c r="S57">
        <v>841</v>
      </c>
      <c r="T57">
        <v>208</v>
      </c>
    </row>
    <row r="58" spans="8:20" x14ac:dyDescent="0.3">
      <c r="H58" t="str">
        <f t="shared" si="7"/>
        <v/>
      </c>
      <c r="I58" s="1"/>
      <c r="J58" s="1"/>
      <c r="K58" s="1" t="str">
        <f t="shared" si="4"/>
        <v/>
      </c>
      <c r="L58" s="1" t="str">
        <f t="shared" si="5"/>
        <v/>
      </c>
      <c r="M58" s="1" t="str">
        <f t="shared" si="6"/>
        <v/>
      </c>
      <c r="O58">
        <v>57</v>
      </c>
      <c r="P58" t="s">
        <v>83</v>
      </c>
      <c r="Q58" t="s">
        <v>37</v>
      </c>
      <c r="R58">
        <v>147</v>
      </c>
      <c r="S58">
        <v>1137</v>
      </c>
      <c r="T58">
        <v>152</v>
      </c>
    </row>
    <row r="59" spans="8:20" x14ac:dyDescent="0.3">
      <c r="H59" t="str">
        <f t="shared" si="7"/>
        <v/>
      </c>
      <c r="I59" s="1"/>
      <c r="J59" s="1"/>
      <c r="K59" s="1" t="str">
        <f t="shared" si="4"/>
        <v/>
      </c>
      <c r="L59" s="1" t="str">
        <f t="shared" si="5"/>
        <v/>
      </c>
      <c r="M59" s="1" t="str">
        <f t="shared" si="6"/>
        <v/>
      </c>
      <c r="O59">
        <v>58</v>
      </c>
      <c r="P59" t="s">
        <v>84</v>
      </c>
      <c r="Q59" t="s">
        <v>34</v>
      </c>
      <c r="R59">
        <v>395</v>
      </c>
      <c r="S59">
        <v>834</v>
      </c>
      <c r="T59">
        <v>208</v>
      </c>
    </row>
    <row r="60" spans="8:20" x14ac:dyDescent="0.3">
      <c r="H60" t="str">
        <f t="shared" si="7"/>
        <v/>
      </c>
      <c r="I60" s="1"/>
      <c r="J60" s="1"/>
      <c r="K60" s="1" t="str">
        <f t="shared" si="4"/>
        <v/>
      </c>
      <c r="L60" s="1" t="str">
        <f t="shared" si="5"/>
        <v/>
      </c>
      <c r="M60" s="1" t="str">
        <f t="shared" si="6"/>
        <v/>
      </c>
      <c r="O60">
        <v>59</v>
      </c>
      <c r="P60" t="s">
        <v>84</v>
      </c>
      <c r="Q60" t="s">
        <v>37</v>
      </c>
      <c r="R60">
        <v>331</v>
      </c>
      <c r="S60">
        <v>954</v>
      </c>
      <c r="T60">
        <v>151</v>
      </c>
    </row>
    <row r="61" spans="8:20" x14ac:dyDescent="0.3">
      <c r="H61" t="str">
        <f t="shared" si="7"/>
        <v/>
      </c>
      <c r="I61" s="1"/>
      <c r="J61" s="1"/>
      <c r="K61" s="1" t="str">
        <f t="shared" si="4"/>
        <v/>
      </c>
      <c r="L61" s="1" t="str">
        <f t="shared" si="5"/>
        <v/>
      </c>
      <c r="M61" s="1" t="str">
        <f t="shared" si="6"/>
        <v/>
      </c>
      <c r="O61">
        <v>60</v>
      </c>
      <c r="P61" t="s">
        <v>85</v>
      </c>
      <c r="Q61" t="s">
        <v>34</v>
      </c>
      <c r="R61">
        <v>389</v>
      </c>
      <c r="S61">
        <v>814</v>
      </c>
      <c r="T61">
        <v>235</v>
      </c>
    </row>
    <row r="62" spans="8:20" x14ac:dyDescent="0.3">
      <c r="H62" t="str">
        <f t="shared" si="7"/>
        <v/>
      </c>
      <c r="I62" s="1"/>
      <c r="J62" s="1"/>
      <c r="K62" s="1" t="str">
        <f t="shared" si="4"/>
        <v/>
      </c>
      <c r="L62" s="1" t="str">
        <f t="shared" si="5"/>
        <v/>
      </c>
      <c r="M62" s="1" t="str">
        <f t="shared" si="6"/>
        <v/>
      </c>
      <c r="O62">
        <v>61</v>
      </c>
      <c r="P62" t="s">
        <v>85</v>
      </c>
      <c r="Q62" t="s">
        <v>37</v>
      </c>
      <c r="R62">
        <v>141</v>
      </c>
      <c r="S62">
        <v>814</v>
      </c>
      <c r="T62">
        <v>480</v>
      </c>
    </row>
    <row r="63" spans="8:20" x14ac:dyDescent="0.3">
      <c r="H63" t="str">
        <f t="shared" si="7"/>
        <v/>
      </c>
      <c r="I63" s="1"/>
      <c r="J63" s="1"/>
      <c r="K63" s="1" t="str">
        <f t="shared" si="4"/>
        <v/>
      </c>
      <c r="L63" s="1" t="str">
        <f t="shared" si="5"/>
        <v/>
      </c>
      <c r="M63" s="1" t="str">
        <f t="shared" si="6"/>
        <v/>
      </c>
      <c r="O63">
        <v>62</v>
      </c>
      <c r="P63" t="s">
        <v>86</v>
      </c>
      <c r="Q63" t="s">
        <v>34</v>
      </c>
      <c r="R63">
        <v>0</v>
      </c>
      <c r="S63">
        <v>0</v>
      </c>
      <c r="T63">
        <v>1440</v>
      </c>
    </row>
    <row r="64" spans="8:20" x14ac:dyDescent="0.3">
      <c r="H64" t="str">
        <f t="shared" si="7"/>
        <v/>
      </c>
      <c r="I64" s="1"/>
      <c r="J64" s="1"/>
      <c r="K64" s="1" t="str">
        <f t="shared" si="4"/>
        <v/>
      </c>
      <c r="L64" s="1" t="str">
        <f t="shared" si="5"/>
        <v/>
      </c>
      <c r="M64" s="1" t="str">
        <f t="shared" si="6"/>
        <v/>
      </c>
      <c r="O64">
        <v>63</v>
      </c>
      <c r="P64" t="s">
        <v>86</v>
      </c>
      <c r="Q64" t="s">
        <v>37</v>
      </c>
      <c r="R64">
        <v>0</v>
      </c>
      <c r="S64">
        <v>0</v>
      </c>
      <c r="T64">
        <v>1440</v>
      </c>
    </row>
    <row r="65" spans="8:20" x14ac:dyDescent="0.3">
      <c r="H65" t="str">
        <f t="shared" si="7"/>
        <v/>
      </c>
      <c r="I65" s="1"/>
      <c r="J65" s="1"/>
      <c r="K65" s="1" t="str">
        <f t="shared" si="4"/>
        <v/>
      </c>
      <c r="L65" s="1" t="str">
        <f t="shared" si="5"/>
        <v/>
      </c>
      <c r="M65" s="1" t="str">
        <f t="shared" si="6"/>
        <v/>
      </c>
      <c r="O65">
        <v>64</v>
      </c>
      <c r="P65" t="s">
        <v>87</v>
      </c>
      <c r="Q65" t="s">
        <v>34</v>
      </c>
      <c r="R65">
        <v>163</v>
      </c>
      <c r="S65">
        <v>862</v>
      </c>
      <c r="T65">
        <v>412</v>
      </c>
    </row>
    <row r="66" spans="8:20" x14ac:dyDescent="0.3">
      <c r="H66" t="str">
        <f t="shared" si="7"/>
        <v/>
      </c>
      <c r="I66" s="1"/>
      <c r="J66" s="1"/>
      <c r="K66" s="1" t="str">
        <f t="shared" si="4"/>
        <v/>
      </c>
      <c r="L66" s="1" t="str">
        <f t="shared" si="5"/>
        <v/>
      </c>
      <c r="M66" s="1" t="str">
        <f t="shared" si="6"/>
        <v/>
      </c>
      <c r="O66">
        <v>65</v>
      </c>
      <c r="P66" t="s">
        <v>87</v>
      </c>
      <c r="Q66" t="s">
        <v>37</v>
      </c>
      <c r="R66">
        <v>366</v>
      </c>
      <c r="S66">
        <v>917</v>
      </c>
      <c r="T66">
        <v>153</v>
      </c>
    </row>
    <row r="67" spans="8:20" x14ac:dyDescent="0.3">
      <c r="H67" t="str">
        <f t="shared" si="7"/>
        <v/>
      </c>
      <c r="I67" s="1"/>
      <c r="J67" s="1"/>
      <c r="K67" s="1" t="str">
        <f t="shared" si="4"/>
        <v/>
      </c>
      <c r="L67" s="1" t="str">
        <f t="shared" si="5"/>
        <v/>
      </c>
      <c r="M67" s="1" t="str">
        <f t="shared" si="6"/>
        <v/>
      </c>
      <c r="O67">
        <v>66</v>
      </c>
      <c r="P67" t="s">
        <v>88</v>
      </c>
      <c r="Q67" t="s">
        <v>34</v>
      </c>
      <c r="R67">
        <v>413</v>
      </c>
      <c r="S67">
        <v>816</v>
      </c>
      <c r="T67">
        <v>207</v>
      </c>
    </row>
    <row r="68" spans="8:20" x14ac:dyDescent="0.3">
      <c r="H68" t="str">
        <f t="shared" si="7"/>
        <v/>
      </c>
      <c r="I68" s="1"/>
      <c r="J68" s="1"/>
      <c r="K68" s="1" t="str">
        <f t="shared" si="4"/>
        <v/>
      </c>
      <c r="L68" s="1" t="str">
        <f t="shared" si="5"/>
        <v/>
      </c>
      <c r="M68" s="1" t="str">
        <f t="shared" si="6"/>
        <v/>
      </c>
      <c r="O68">
        <v>67</v>
      </c>
      <c r="P68" t="s">
        <v>88</v>
      </c>
      <c r="Q68" t="s">
        <v>37</v>
      </c>
      <c r="R68">
        <v>305</v>
      </c>
      <c r="S68">
        <v>974</v>
      </c>
      <c r="T68">
        <v>155</v>
      </c>
    </row>
    <row r="69" spans="8:20" x14ac:dyDescent="0.3">
      <c r="H69" t="str">
        <f t="shared" si="7"/>
        <v/>
      </c>
      <c r="I69" s="1"/>
      <c r="J69" s="1"/>
      <c r="K69" s="1" t="str">
        <f t="shared" si="4"/>
        <v/>
      </c>
      <c r="L69" s="1" t="str">
        <f t="shared" si="5"/>
        <v/>
      </c>
      <c r="M69" s="1" t="str">
        <f t="shared" si="6"/>
        <v/>
      </c>
      <c r="O69">
        <v>68</v>
      </c>
      <c r="P69" t="s">
        <v>89</v>
      </c>
      <c r="Q69" t="s">
        <v>34</v>
      </c>
      <c r="R69">
        <v>438</v>
      </c>
      <c r="S69">
        <v>791</v>
      </c>
      <c r="T69">
        <v>206</v>
      </c>
    </row>
    <row r="70" spans="8:20" x14ac:dyDescent="0.3">
      <c r="H70" t="str">
        <f t="shared" si="7"/>
        <v/>
      </c>
      <c r="I70" s="1"/>
      <c r="J70" s="1"/>
      <c r="K70" s="1" t="str">
        <f t="shared" si="4"/>
        <v/>
      </c>
      <c r="L70" s="1" t="str">
        <f t="shared" si="5"/>
        <v/>
      </c>
      <c r="M70" s="1" t="str">
        <f t="shared" si="6"/>
        <v/>
      </c>
      <c r="O70">
        <v>69</v>
      </c>
      <c r="P70" t="s">
        <v>89</v>
      </c>
      <c r="Q70" t="s">
        <v>37</v>
      </c>
      <c r="R70">
        <v>261</v>
      </c>
      <c r="S70">
        <v>1019</v>
      </c>
      <c r="T70">
        <v>155</v>
      </c>
    </row>
    <row r="71" spans="8:20" x14ac:dyDescent="0.3">
      <c r="H71" t="str">
        <f t="shared" si="7"/>
        <v/>
      </c>
      <c r="I71" s="1"/>
      <c r="J71" s="1"/>
      <c r="K71" s="1" t="str">
        <f t="shared" si="4"/>
        <v/>
      </c>
      <c r="L71" s="1" t="str">
        <f t="shared" si="5"/>
        <v/>
      </c>
      <c r="M71" s="1" t="str">
        <f t="shared" si="6"/>
        <v/>
      </c>
      <c r="O71">
        <v>70</v>
      </c>
      <c r="P71" t="s">
        <v>90</v>
      </c>
      <c r="Q71" t="s">
        <v>34</v>
      </c>
      <c r="R71">
        <v>257</v>
      </c>
      <c r="S71">
        <v>970</v>
      </c>
      <c r="T71">
        <v>209</v>
      </c>
    </row>
    <row r="72" spans="8:20" x14ac:dyDescent="0.3">
      <c r="H72" t="str">
        <f t="shared" si="7"/>
        <v/>
      </c>
      <c r="I72" s="1"/>
      <c r="J72" s="1"/>
      <c r="K72" s="1" t="str">
        <f t="shared" si="4"/>
        <v/>
      </c>
      <c r="L72" s="1" t="str">
        <f t="shared" si="5"/>
        <v/>
      </c>
      <c r="M72" s="1" t="str">
        <f t="shared" si="6"/>
        <v/>
      </c>
      <c r="O72">
        <v>71</v>
      </c>
      <c r="P72" t="s">
        <v>90</v>
      </c>
      <c r="Q72" t="s">
        <v>37</v>
      </c>
      <c r="R72">
        <v>250</v>
      </c>
      <c r="S72">
        <v>1032</v>
      </c>
      <c r="T72">
        <v>153</v>
      </c>
    </row>
    <row r="73" spans="8:20" x14ac:dyDescent="0.3">
      <c r="H73" t="str">
        <f t="shared" si="7"/>
        <v/>
      </c>
      <c r="I73" s="1"/>
      <c r="J73" s="1"/>
      <c r="K73" s="1" t="str">
        <f t="shared" si="4"/>
        <v/>
      </c>
      <c r="L73" s="1" t="str">
        <f t="shared" si="5"/>
        <v/>
      </c>
      <c r="M73" s="1" t="str">
        <f t="shared" si="6"/>
        <v/>
      </c>
      <c r="O73">
        <v>72</v>
      </c>
      <c r="P73" t="s">
        <v>91</v>
      </c>
      <c r="Q73" t="s">
        <v>34</v>
      </c>
      <c r="R73">
        <v>230</v>
      </c>
      <c r="S73">
        <v>996</v>
      </c>
      <c r="T73">
        <v>212</v>
      </c>
    </row>
    <row r="74" spans="8:20" x14ac:dyDescent="0.3">
      <c r="H74" t="str">
        <f t="shared" si="7"/>
        <v/>
      </c>
      <c r="I74" s="1"/>
      <c r="J74" s="1"/>
      <c r="K74" s="1" t="str">
        <f t="shared" si="4"/>
        <v/>
      </c>
      <c r="L74" s="1" t="str">
        <f t="shared" si="5"/>
        <v/>
      </c>
      <c r="M74" s="1" t="str">
        <f t="shared" si="6"/>
        <v/>
      </c>
      <c r="O74">
        <v>73</v>
      </c>
      <c r="P74" t="s">
        <v>91</v>
      </c>
      <c r="Q74" t="s">
        <v>37</v>
      </c>
      <c r="R74">
        <v>358</v>
      </c>
      <c r="S74">
        <v>923</v>
      </c>
      <c r="T74">
        <v>154</v>
      </c>
    </row>
    <row r="75" spans="8:20" x14ac:dyDescent="0.3">
      <c r="H75" t="str">
        <f t="shared" si="7"/>
        <v/>
      </c>
      <c r="I75" s="1"/>
      <c r="J75" s="1"/>
      <c r="K75" s="1" t="str">
        <f t="shared" si="4"/>
        <v/>
      </c>
      <c r="L75" s="1" t="str">
        <f t="shared" si="5"/>
        <v/>
      </c>
      <c r="M75" s="1" t="str">
        <f t="shared" si="6"/>
        <v/>
      </c>
      <c r="O75">
        <v>74</v>
      </c>
      <c r="P75" t="s">
        <v>92</v>
      </c>
      <c r="Q75" t="s">
        <v>34</v>
      </c>
      <c r="R75">
        <v>508</v>
      </c>
      <c r="S75">
        <v>691</v>
      </c>
      <c r="T75">
        <v>238</v>
      </c>
    </row>
    <row r="76" spans="8:20" x14ac:dyDescent="0.3">
      <c r="I76" s="1"/>
      <c r="J76" s="1"/>
      <c r="K76" s="1"/>
      <c r="L76" s="1"/>
      <c r="M76" s="1"/>
      <c r="O76">
        <v>75</v>
      </c>
      <c r="P76" t="s">
        <v>92</v>
      </c>
      <c r="Q76" t="s">
        <v>37</v>
      </c>
      <c r="R76">
        <v>461</v>
      </c>
      <c r="S76">
        <v>730</v>
      </c>
      <c r="T76">
        <v>244</v>
      </c>
    </row>
    <row r="77" spans="8:20" x14ac:dyDescent="0.3">
      <c r="I77" s="1"/>
      <c r="J77" s="1"/>
      <c r="K77" s="1"/>
      <c r="L77" s="1"/>
      <c r="M77" s="1"/>
      <c r="O77">
        <v>76</v>
      </c>
      <c r="P77" t="s">
        <v>93</v>
      </c>
      <c r="Q77" t="s">
        <v>34</v>
      </c>
      <c r="R77">
        <v>362</v>
      </c>
      <c r="S77">
        <v>838</v>
      </c>
      <c r="T77">
        <v>237</v>
      </c>
    </row>
    <row r="78" spans="8:20" x14ac:dyDescent="0.3">
      <c r="I78" s="1"/>
      <c r="J78" s="1"/>
      <c r="K78" s="1"/>
      <c r="L78" s="1"/>
      <c r="M78" s="1"/>
      <c r="O78">
        <v>77</v>
      </c>
      <c r="P78" t="s">
        <v>93</v>
      </c>
      <c r="Q78" t="s">
        <v>37</v>
      </c>
      <c r="R78">
        <v>0</v>
      </c>
      <c r="S78">
        <v>0</v>
      </c>
      <c r="T78">
        <v>1440</v>
      </c>
    </row>
    <row r="79" spans="8:20" x14ac:dyDescent="0.3">
      <c r="I79" s="1"/>
      <c r="J79" s="1"/>
      <c r="K79" s="1"/>
      <c r="L79" s="1"/>
      <c r="M79" s="1"/>
      <c r="O79">
        <v>78</v>
      </c>
      <c r="P79" t="s">
        <v>94</v>
      </c>
      <c r="Q79" t="s">
        <v>34</v>
      </c>
      <c r="R79">
        <v>185</v>
      </c>
      <c r="S79">
        <v>834</v>
      </c>
      <c r="T79">
        <v>416</v>
      </c>
    </row>
    <row r="80" spans="8:20" x14ac:dyDescent="0.3">
      <c r="I80" s="1"/>
      <c r="J80" s="1"/>
      <c r="K80" s="1"/>
      <c r="L80" s="1"/>
      <c r="M80" s="1"/>
      <c r="O80">
        <v>79</v>
      </c>
      <c r="P80" t="s">
        <v>94</v>
      </c>
      <c r="Q80" t="s">
        <v>37</v>
      </c>
      <c r="R80">
        <v>225</v>
      </c>
      <c r="S80">
        <v>1058</v>
      </c>
      <c r="T80">
        <v>152</v>
      </c>
    </row>
    <row r="81" spans="9:20" x14ac:dyDescent="0.3">
      <c r="I81" s="1"/>
      <c r="J81" s="1"/>
      <c r="K81" s="1"/>
      <c r="L81" s="1"/>
      <c r="M81" s="1"/>
      <c r="O81">
        <v>80</v>
      </c>
      <c r="P81" t="s">
        <v>95</v>
      </c>
      <c r="Q81" t="s">
        <v>34</v>
      </c>
      <c r="R81">
        <v>527</v>
      </c>
      <c r="S81">
        <v>590</v>
      </c>
      <c r="T81">
        <v>321</v>
      </c>
    </row>
    <row r="82" spans="9:20" x14ac:dyDescent="0.3">
      <c r="I82" s="1"/>
      <c r="J82" s="1"/>
      <c r="K82" s="1"/>
      <c r="L82" s="1"/>
      <c r="M82" s="1"/>
      <c r="O82">
        <v>81</v>
      </c>
      <c r="P82" t="s">
        <v>95</v>
      </c>
      <c r="Q82" t="s">
        <v>37</v>
      </c>
      <c r="R82">
        <v>585</v>
      </c>
      <c r="S82">
        <v>696</v>
      </c>
      <c r="T82">
        <v>153</v>
      </c>
    </row>
    <row r="83" spans="9:20" x14ac:dyDescent="0.3">
      <c r="I83" s="1"/>
      <c r="J83" s="1"/>
      <c r="K83" s="1"/>
      <c r="L83" s="1"/>
      <c r="M83" s="1"/>
      <c r="O83">
        <v>82</v>
      </c>
      <c r="P83" t="s">
        <v>96</v>
      </c>
      <c r="Q83" t="s">
        <v>34</v>
      </c>
      <c r="R83">
        <v>401</v>
      </c>
      <c r="S83">
        <v>821</v>
      </c>
      <c r="T83">
        <v>213</v>
      </c>
    </row>
    <row r="84" spans="9:20" x14ac:dyDescent="0.3">
      <c r="I84" s="1"/>
      <c r="J84" s="1"/>
      <c r="K84" s="1"/>
      <c r="L84" s="1"/>
      <c r="M84" s="1"/>
      <c r="O84">
        <v>83</v>
      </c>
      <c r="P84" t="s">
        <v>96</v>
      </c>
      <c r="Q84" t="s">
        <v>37</v>
      </c>
      <c r="R84">
        <v>172</v>
      </c>
      <c r="S84">
        <v>1109</v>
      </c>
      <c r="T84">
        <v>153</v>
      </c>
    </row>
    <row r="85" spans="9:20" x14ac:dyDescent="0.3">
      <c r="I85" s="1"/>
      <c r="J85" s="1"/>
      <c r="K85" s="1"/>
      <c r="L85" s="1"/>
      <c r="M85" s="1"/>
      <c r="O85">
        <v>84</v>
      </c>
      <c r="P85" t="s">
        <v>97</v>
      </c>
      <c r="Q85" t="s">
        <v>34</v>
      </c>
      <c r="R85">
        <v>453</v>
      </c>
      <c r="S85">
        <v>775</v>
      </c>
      <c r="T85">
        <v>208</v>
      </c>
    </row>
    <row r="86" spans="9:20" x14ac:dyDescent="0.3">
      <c r="I86" s="1"/>
      <c r="J86" s="1"/>
      <c r="K86" s="1"/>
      <c r="L86" s="1"/>
      <c r="M86" s="1"/>
      <c r="O86">
        <v>85</v>
      </c>
      <c r="P86" t="s">
        <v>97</v>
      </c>
      <c r="Q86" t="s">
        <v>37</v>
      </c>
      <c r="R86">
        <v>407</v>
      </c>
      <c r="S86">
        <v>873</v>
      </c>
      <c r="T86">
        <v>152</v>
      </c>
    </row>
    <row r="87" spans="9:20" x14ac:dyDescent="0.3">
      <c r="I87" s="1"/>
      <c r="J87" s="1"/>
      <c r="K87" s="1"/>
      <c r="L87" s="1"/>
      <c r="M87" s="1"/>
      <c r="O87">
        <v>86</v>
      </c>
      <c r="P87" t="s">
        <v>98</v>
      </c>
      <c r="Q87" t="s">
        <v>34</v>
      </c>
      <c r="R87">
        <v>450</v>
      </c>
      <c r="S87">
        <v>779</v>
      </c>
      <c r="T87">
        <v>205</v>
      </c>
    </row>
    <row r="88" spans="9:20" x14ac:dyDescent="0.3">
      <c r="I88" s="1"/>
      <c r="J88" s="1"/>
      <c r="K88" s="1"/>
      <c r="L88" s="1"/>
      <c r="M88" s="1"/>
      <c r="O88">
        <v>87</v>
      </c>
      <c r="P88" t="s">
        <v>98</v>
      </c>
      <c r="Q88" t="s">
        <v>37</v>
      </c>
      <c r="R88">
        <v>368</v>
      </c>
      <c r="S88">
        <v>624</v>
      </c>
      <c r="T88">
        <v>442</v>
      </c>
    </row>
    <row r="89" spans="9:20" x14ac:dyDescent="0.3">
      <c r="I89" s="1"/>
      <c r="J89" s="1"/>
      <c r="K89" s="1"/>
      <c r="L89" s="1"/>
      <c r="M89" s="1"/>
      <c r="O89">
        <v>88</v>
      </c>
      <c r="P89" t="s">
        <v>99</v>
      </c>
      <c r="Q89" t="s">
        <v>34</v>
      </c>
      <c r="R89">
        <v>0</v>
      </c>
      <c r="S89">
        <v>0</v>
      </c>
      <c r="T89">
        <v>1440</v>
      </c>
    </row>
    <row r="90" spans="9:20" x14ac:dyDescent="0.3">
      <c r="I90" s="1"/>
      <c r="J90" s="1"/>
      <c r="K90" s="1"/>
      <c r="L90" s="1"/>
      <c r="M90" s="1"/>
      <c r="O90">
        <v>89</v>
      </c>
      <c r="P90" t="s">
        <v>99</v>
      </c>
      <c r="Q90" t="s">
        <v>37</v>
      </c>
      <c r="R90">
        <v>0</v>
      </c>
      <c r="S90">
        <v>0</v>
      </c>
      <c r="T90">
        <v>1440</v>
      </c>
    </row>
    <row r="91" spans="9:20" x14ac:dyDescent="0.3">
      <c r="I91" s="1"/>
      <c r="J91" s="1"/>
      <c r="K91" s="1"/>
      <c r="L91" s="1"/>
      <c r="M91" s="1"/>
      <c r="O91">
        <v>90</v>
      </c>
      <c r="P91" t="s">
        <v>100</v>
      </c>
      <c r="Q91" t="s">
        <v>34</v>
      </c>
      <c r="R91">
        <v>0</v>
      </c>
      <c r="S91">
        <v>0</v>
      </c>
      <c r="T91">
        <v>1440</v>
      </c>
    </row>
    <row r="92" spans="9:20" x14ac:dyDescent="0.3">
      <c r="I92" s="1"/>
      <c r="J92" s="1"/>
      <c r="K92" s="1"/>
      <c r="L92" s="1"/>
      <c r="M92" s="1"/>
      <c r="O92">
        <v>91</v>
      </c>
      <c r="P92" t="s">
        <v>100</v>
      </c>
      <c r="Q92" t="s">
        <v>37</v>
      </c>
      <c r="R92">
        <v>0</v>
      </c>
      <c r="S92">
        <v>0</v>
      </c>
      <c r="T92">
        <v>1440</v>
      </c>
    </row>
    <row r="93" spans="9:20" x14ac:dyDescent="0.3">
      <c r="I93" s="1"/>
      <c r="J93" s="1"/>
      <c r="K93" s="1"/>
      <c r="L93" s="1"/>
      <c r="M93" s="1"/>
      <c r="O93">
        <v>92</v>
      </c>
      <c r="P93" t="s">
        <v>101</v>
      </c>
      <c r="Q93" t="s">
        <v>34</v>
      </c>
      <c r="R93">
        <v>0</v>
      </c>
      <c r="S93">
        <v>0</v>
      </c>
      <c r="T93">
        <v>1440</v>
      </c>
    </row>
    <row r="94" spans="9:20" x14ac:dyDescent="0.3">
      <c r="I94" s="1"/>
      <c r="J94" s="1"/>
      <c r="K94" s="1"/>
      <c r="L94" s="1"/>
      <c r="M94" s="1"/>
      <c r="O94">
        <v>93</v>
      </c>
      <c r="P94" t="s">
        <v>101</v>
      </c>
      <c r="Q94" t="s">
        <v>37</v>
      </c>
      <c r="R94">
        <v>0</v>
      </c>
      <c r="S94">
        <v>0</v>
      </c>
      <c r="T94">
        <v>1440</v>
      </c>
    </row>
    <row r="95" spans="9:20" x14ac:dyDescent="0.3">
      <c r="I95" s="1"/>
      <c r="J95" s="1"/>
      <c r="K95" s="1"/>
      <c r="L95" s="1"/>
      <c r="M95" s="1"/>
      <c r="O95">
        <v>94</v>
      </c>
      <c r="P95" t="s">
        <v>102</v>
      </c>
      <c r="Q95" t="s">
        <v>34</v>
      </c>
      <c r="R95">
        <v>0</v>
      </c>
      <c r="S95">
        <v>0</v>
      </c>
      <c r="T95">
        <v>1440</v>
      </c>
    </row>
    <row r="96" spans="9:20" x14ac:dyDescent="0.3">
      <c r="I96" s="1"/>
      <c r="J96" s="1"/>
      <c r="K96" s="1"/>
      <c r="L96" s="1"/>
      <c r="M96" s="1"/>
      <c r="O96">
        <v>95</v>
      </c>
      <c r="P96" t="s">
        <v>102</v>
      </c>
      <c r="Q96" t="s">
        <v>37</v>
      </c>
      <c r="R96">
        <v>0</v>
      </c>
      <c r="S96">
        <v>0</v>
      </c>
      <c r="T96">
        <v>1440</v>
      </c>
    </row>
    <row r="97" spans="9:20" x14ac:dyDescent="0.3">
      <c r="I97" s="1"/>
      <c r="J97" s="1"/>
      <c r="K97" s="1"/>
      <c r="L97" s="1"/>
      <c r="M97" s="1"/>
      <c r="O97">
        <v>96</v>
      </c>
      <c r="P97" t="s">
        <v>103</v>
      </c>
      <c r="Q97" t="s">
        <v>34</v>
      </c>
      <c r="R97">
        <v>0</v>
      </c>
      <c r="S97">
        <v>0</v>
      </c>
      <c r="T97">
        <v>1440</v>
      </c>
    </row>
    <row r="98" spans="9:20" x14ac:dyDescent="0.3">
      <c r="I98" s="1"/>
      <c r="J98" s="1"/>
      <c r="K98" s="1"/>
      <c r="L98" s="1"/>
      <c r="M98" s="1"/>
      <c r="O98">
        <v>97</v>
      </c>
      <c r="P98" t="s">
        <v>103</v>
      </c>
      <c r="Q98" t="s">
        <v>37</v>
      </c>
      <c r="R98">
        <v>0</v>
      </c>
      <c r="S98">
        <v>0</v>
      </c>
      <c r="T98">
        <v>1441</v>
      </c>
    </row>
    <row r="99" spans="9:20" x14ac:dyDescent="0.3">
      <c r="I99" s="1"/>
      <c r="J99" s="1"/>
      <c r="K99" s="1"/>
      <c r="L99" s="1"/>
      <c r="M99" s="1"/>
      <c r="O99">
        <v>98</v>
      </c>
      <c r="P99" t="s">
        <v>104</v>
      </c>
      <c r="Q99" t="s">
        <v>34</v>
      </c>
      <c r="R99">
        <v>0</v>
      </c>
      <c r="S99">
        <v>0</v>
      </c>
      <c r="T99">
        <v>1440</v>
      </c>
    </row>
    <row r="100" spans="9:20" x14ac:dyDescent="0.3">
      <c r="I100" s="1"/>
      <c r="J100" s="1"/>
      <c r="K100" s="1"/>
      <c r="L100" s="1"/>
      <c r="M100" s="1"/>
      <c r="O100">
        <v>99</v>
      </c>
      <c r="P100" t="s">
        <v>104</v>
      </c>
      <c r="Q100" t="s">
        <v>37</v>
      </c>
      <c r="R100">
        <v>0</v>
      </c>
      <c r="S100">
        <v>0</v>
      </c>
      <c r="T100">
        <v>1440</v>
      </c>
    </row>
    <row r="101" spans="9:20" x14ac:dyDescent="0.3">
      <c r="I101" s="1"/>
      <c r="J101" s="1"/>
      <c r="K101" s="1"/>
      <c r="L101" s="1"/>
      <c r="M101" s="1"/>
      <c r="O101">
        <v>100</v>
      </c>
      <c r="P101" t="s">
        <v>105</v>
      </c>
      <c r="Q101" t="s">
        <v>34</v>
      </c>
      <c r="R101">
        <v>0</v>
      </c>
      <c r="S101">
        <v>0</v>
      </c>
      <c r="T101">
        <v>1440</v>
      </c>
    </row>
    <row r="102" spans="9:20" x14ac:dyDescent="0.3">
      <c r="O102">
        <v>101</v>
      </c>
      <c r="P102" t="s">
        <v>105</v>
      </c>
      <c r="Q102" t="s">
        <v>37</v>
      </c>
      <c r="R102">
        <v>0</v>
      </c>
      <c r="S102">
        <v>0</v>
      </c>
      <c r="T102">
        <v>1440</v>
      </c>
    </row>
    <row r="103" spans="9:20" x14ac:dyDescent="0.3">
      <c r="O103">
        <v>102</v>
      </c>
      <c r="P103" t="s">
        <v>106</v>
      </c>
      <c r="Q103" t="s">
        <v>34</v>
      </c>
      <c r="R103">
        <v>0</v>
      </c>
      <c r="S103">
        <v>0</v>
      </c>
      <c r="T103">
        <v>1440</v>
      </c>
    </row>
    <row r="104" spans="9:20" x14ac:dyDescent="0.3">
      <c r="O104">
        <v>103</v>
      </c>
      <c r="P104" t="s">
        <v>106</v>
      </c>
      <c r="Q104" t="s">
        <v>37</v>
      </c>
      <c r="R104">
        <v>0</v>
      </c>
      <c r="S104">
        <v>0</v>
      </c>
      <c r="T104">
        <v>1440</v>
      </c>
    </row>
    <row r="105" spans="9:20" x14ac:dyDescent="0.3">
      <c r="O105">
        <v>104</v>
      </c>
      <c r="P105" t="s">
        <v>107</v>
      </c>
      <c r="Q105" t="s">
        <v>34</v>
      </c>
      <c r="R105">
        <v>0</v>
      </c>
      <c r="S105">
        <v>0</v>
      </c>
      <c r="T105">
        <v>1440</v>
      </c>
    </row>
    <row r="106" spans="9:20" x14ac:dyDescent="0.3">
      <c r="O106">
        <v>105</v>
      </c>
      <c r="P106" t="s">
        <v>107</v>
      </c>
      <c r="Q106" t="s">
        <v>37</v>
      </c>
      <c r="R106">
        <v>0</v>
      </c>
      <c r="S106">
        <v>0</v>
      </c>
      <c r="T106">
        <v>1441</v>
      </c>
    </row>
    <row r="107" spans="9:20" x14ac:dyDescent="0.3">
      <c r="O107">
        <v>106</v>
      </c>
      <c r="P107" t="s">
        <v>108</v>
      </c>
      <c r="Q107" t="s">
        <v>34</v>
      </c>
      <c r="R107">
        <v>420</v>
      </c>
      <c r="S107">
        <v>594</v>
      </c>
      <c r="T107">
        <v>422</v>
      </c>
    </row>
    <row r="108" spans="9:20" x14ac:dyDescent="0.3">
      <c r="O108">
        <v>107</v>
      </c>
      <c r="P108" t="s">
        <v>108</v>
      </c>
      <c r="Q108" t="s">
        <v>37</v>
      </c>
      <c r="R108">
        <v>170</v>
      </c>
      <c r="S108">
        <v>1108</v>
      </c>
      <c r="T108">
        <v>154</v>
      </c>
    </row>
    <row r="109" spans="9:20" x14ac:dyDescent="0.3">
      <c r="O109">
        <v>108</v>
      </c>
      <c r="P109" t="s">
        <v>109</v>
      </c>
      <c r="Q109" t="s">
        <v>34</v>
      </c>
      <c r="R109">
        <v>439</v>
      </c>
      <c r="S109">
        <v>787</v>
      </c>
      <c r="T109">
        <v>208</v>
      </c>
    </row>
    <row r="110" spans="9:20" x14ac:dyDescent="0.3">
      <c r="O110">
        <v>109</v>
      </c>
      <c r="P110" t="s">
        <v>109</v>
      </c>
      <c r="Q110" t="s">
        <v>37</v>
      </c>
      <c r="R110">
        <v>183</v>
      </c>
      <c r="S110">
        <v>1250</v>
      </c>
      <c r="T110">
        <v>0</v>
      </c>
    </row>
    <row r="111" spans="9:20" x14ac:dyDescent="0.3">
      <c r="O111">
        <v>110</v>
      </c>
      <c r="P111" t="s">
        <v>110</v>
      </c>
      <c r="Q111" t="s">
        <v>34</v>
      </c>
      <c r="R111">
        <v>342</v>
      </c>
      <c r="S111">
        <v>1092</v>
      </c>
      <c r="T111">
        <v>0</v>
      </c>
    </row>
    <row r="112" spans="9:20" x14ac:dyDescent="0.3">
      <c r="O112">
        <v>111</v>
      </c>
      <c r="P112" t="s">
        <v>110</v>
      </c>
      <c r="Q112" t="s">
        <v>37</v>
      </c>
      <c r="R112">
        <v>259</v>
      </c>
      <c r="S112">
        <v>1022</v>
      </c>
      <c r="T112">
        <v>153</v>
      </c>
    </row>
    <row r="113" spans="15:20" x14ac:dyDescent="0.3">
      <c r="O113">
        <v>112</v>
      </c>
      <c r="P113" t="s">
        <v>111</v>
      </c>
      <c r="Q113" t="s">
        <v>34</v>
      </c>
      <c r="R113">
        <v>373</v>
      </c>
      <c r="S113">
        <v>852</v>
      </c>
      <c r="T113">
        <v>208</v>
      </c>
    </row>
    <row r="114" spans="15:20" x14ac:dyDescent="0.3">
      <c r="O114">
        <v>113</v>
      </c>
      <c r="P114" t="s">
        <v>111</v>
      </c>
      <c r="Q114" t="s">
        <v>37</v>
      </c>
      <c r="R114">
        <v>227</v>
      </c>
      <c r="S114">
        <v>1207</v>
      </c>
      <c r="T114">
        <v>0</v>
      </c>
    </row>
    <row r="115" spans="15:20" x14ac:dyDescent="0.3">
      <c r="O115">
        <v>114</v>
      </c>
      <c r="P115" t="s">
        <v>112</v>
      </c>
      <c r="Q115" t="s">
        <v>34</v>
      </c>
      <c r="R115">
        <v>454</v>
      </c>
      <c r="S115">
        <v>978</v>
      </c>
      <c r="T115">
        <v>0</v>
      </c>
    </row>
    <row r="116" spans="15:20" x14ac:dyDescent="0.3">
      <c r="O116">
        <v>115</v>
      </c>
      <c r="P116" t="s">
        <v>112</v>
      </c>
      <c r="Q116" t="s">
        <v>37</v>
      </c>
      <c r="R116">
        <v>366</v>
      </c>
      <c r="S116">
        <v>856</v>
      </c>
      <c r="T116">
        <v>212</v>
      </c>
    </row>
    <row r="117" spans="15:20" x14ac:dyDescent="0.3">
      <c r="O117">
        <v>116</v>
      </c>
      <c r="P117" t="s">
        <v>113</v>
      </c>
      <c r="Q117" t="s">
        <v>34</v>
      </c>
      <c r="R117">
        <v>504</v>
      </c>
      <c r="S117">
        <v>696</v>
      </c>
      <c r="T117">
        <v>235</v>
      </c>
    </row>
    <row r="118" spans="15:20" x14ac:dyDescent="0.3">
      <c r="O118">
        <v>117</v>
      </c>
      <c r="P118" t="s">
        <v>113</v>
      </c>
      <c r="Q118" t="s">
        <v>37</v>
      </c>
      <c r="R118">
        <v>221</v>
      </c>
      <c r="S118">
        <v>729</v>
      </c>
      <c r="T118">
        <v>484</v>
      </c>
    </row>
    <row r="119" spans="15:20" x14ac:dyDescent="0.3">
      <c r="O119">
        <v>118</v>
      </c>
      <c r="P119" t="s">
        <v>114</v>
      </c>
      <c r="Q119" t="s">
        <v>34</v>
      </c>
      <c r="R119">
        <v>0</v>
      </c>
      <c r="S119">
        <v>0</v>
      </c>
      <c r="T119">
        <v>1154</v>
      </c>
    </row>
    <row r="120" spans="15:20" x14ac:dyDescent="0.3">
      <c r="O120">
        <v>119</v>
      </c>
      <c r="P120" t="s">
        <v>114</v>
      </c>
      <c r="Q120" t="s">
        <v>37</v>
      </c>
      <c r="R120">
        <v>0</v>
      </c>
      <c r="S120">
        <v>0</v>
      </c>
      <c r="T120">
        <v>1440</v>
      </c>
    </row>
    <row r="121" spans="15:20" x14ac:dyDescent="0.3">
      <c r="O121">
        <v>120</v>
      </c>
      <c r="P121" t="s">
        <v>115</v>
      </c>
      <c r="Q121" t="s">
        <v>34</v>
      </c>
      <c r="R121">
        <v>247</v>
      </c>
      <c r="S121">
        <v>783</v>
      </c>
      <c r="T121">
        <v>404</v>
      </c>
    </row>
    <row r="122" spans="15:20" x14ac:dyDescent="0.3">
      <c r="O122">
        <v>121</v>
      </c>
      <c r="P122" t="s">
        <v>115</v>
      </c>
      <c r="Q122" t="s">
        <v>37</v>
      </c>
      <c r="R122">
        <v>297</v>
      </c>
      <c r="S122">
        <v>981</v>
      </c>
      <c r="T122">
        <v>158</v>
      </c>
    </row>
    <row r="123" spans="15:20" x14ac:dyDescent="0.3">
      <c r="O123">
        <v>122</v>
      </c>
      <c r="P123" t="s">
        <v>116</v>
      </c>
      <c r="Q123" t="s">
        <v>34</v>
      </c>
      <c r="R123">
        <v>389</v>
      </c>
      <c r="S123">
        <v>842</v>
      </c>
      <c r="T123">
        <v>206</v>
      </c>
    </row>
    <row r="124" spans="15:20" x14ac:dyDescent="0.3">
      <c r="O124">
        <v>123</v>
      </c>
      <c r="P124" t="s">
        <v>116</v>
      </c>
      <c r="Q124" t="s">
        <v>37</v>
      </c>
      <c r="R124">
        <v>308</v>
      </c>
      <c r="S124">
        <v>970</v>
      </c>
      <c r="T124">
        <v>156</v>
      </c>
    </row>
    <row r="125" spans="15:20" x14ac:dyDescent="0.3">
      <c r="O125">
        <v>124</v>
      </c>
      <c r="P125" t="s">
        <v>117</v>
      </c>
      <c r="Q125" t="s">
        <v>34</v>
      </c>
      <c r="R125">
        <v>340</v>
      </c>
      <c r="S125">
        <v>889</v>
      </c>
      <c r="T125">
        <v>206</v>
      </c>
    </row>
    <row r="126" spans="15:20" x14ac:dyDescent="0.3">
      <c r="O126">
        <v>125</v>
      </c>
      <c r="P126" t="s">
        <v>117</v>
      </c>
      <c r="Q126" t="s">
        <v>37</v>
      </c>
      <c r="R126">
        <v>246</v>
      </c>
      <c r="S126">
        <v>1034</v>
      </c>
      <c r="T126">
        <v>156</v>
      </c>
    </row>
    <row r="127" spans="15:20" x14ac:dyDescent="0.3">
      <c r="O127">
        <v>126</v>
      </c>
      <c r="P127" t="s">
        <v>118</v>
      </c>
      <c r="Q127" t="s">
        <v>34</v>
      </c>
      <c r="R127">
        <v>404</v>
      </c>
      <c r="S127">
        <v>826</v>
      </c>
      <c r="T127">
        <v>205</v>
      </c>
    </row>
    <row r="128" spans="15:20" x14ac:dyDescent="0.3">
      <c r="O128">
        <v>127</v>
      </c>
      <c r="P128" t="s">
        <v>118</v>
      </c>
      <c r="Q128" t="s">
        <v>37</v>
      </c>
      <c r="R128">
        <v>221</v>
      </c>
      <c r="S128">
        <v>1058</v>
      </c>
      <c r="T128">
        <v>156</v>
      </c>
    </row>
    <row r="129" spans="15:20" x14ac:dyDescent="0.3">
      <c r="O129">
        <v>128</v>
      </c>
      <c r="P129" t="s">
        <v>119</v>
      </c>
      <c r="Q129" t="s">
        <v>34</v>
      </c>
      <c r="R129">
        <v>386</v>
      </c>
      <c r="S129">
        <v>842</v>
      </c>
      <c r="T129">
        <v>206</v>
      </c>
    </row>
    <row r="130" spans="15:20" x14ac:dyDescent="0.3">
      <c r="O130">
        <v>129</v>
      </c>
      <c r="P130" t="s">
        <v>119</v>
      </c>
      <c r="Q130" t="s">
        <v>37</v>
      </c>
      <c r="R130">
        <v>353</v>
      </c>
      <c r="S130">
        <v>926</v>
      </c>
      <c r="T130">
        <v>157</v>
      </c>
    </row>
    <row r="131" spans="15:20" x14ac:dyDescent="0.3">
      <c r="O131">
        <v>130</v>
      </c>
      <c r="P131" t="s">
        <v>120</v>
      </c>
      <c r="Q131" t="s">
        <v>34</v>
      </c>
      <c r="R131">
        <v>135</v>
      </c>
      <c r="S131">
        <v>1066</v>
      </c>
      <c r="T131">
        <v>236</v>
      </c>
    </row>
    <row r="132" spans="15:20" x14ac:dyDescent="0.3">
      <c r="O132">
        <v>131</v>
      </c>
      <c r="P132" t="s">
        <v>120</v>
      </c>
      <c r="Q132" t="s">
        <v>37</v>
      </c>
      <c r="R132">
        <v>388</v>
      </c>
      <c r="S132">
        <v>805</v>
      </c>
      <c r="T132">
        <v>242</v>
      </c>
    </row>
    <row r="133" spans="15:20" x14ac:dyDescent="0.3">
      <c r="O133">
        <v>132</v>
      </c>
      <c r="P133" t="s">
        <v>121</v>
      </c>
      <c r="Q133" t="s">
        <v>34</v>
      </c>
      <c r="R133">
        <v>391</v>
      </c>
      <c r="S133">
        <v>806</v>
      </c>
      <c r="T133">
        <v>240</v>
      </c>
    </row>
    <row r="134" spans="15:20" x14ac:dyDescent="0.3">
      <c r="O134">
        <v>133</v>
      </c>
      <c r="P134" t="s">
        <v>121</v>
      </c>
      <c r="Q134" t="s">
        <v>37</v>
      </c>
      <c r="R134">
        <v>0</v>
      </c>
      <c r="S134">
        <v>0</v>
      </c>
      <c r="T134">
        <v>1440</v>
      </c>
    </row>
    <row r="135" spans="15:20" x14ac:dyDescent="0.3">
      <c r="O135">
        <v>134</v>
      </c>
      <c r="P135" t="s">
        <v>122</v>
      </c>
      <c r="Q135" t="s">
        <v>34</v>
      </c>
      <c r="R135">
        <v>270</v>
      </c>
      <c r="S135">
        <v>756</v>
      </c>
      <c r="T135">
        <v>411</v>
      </c>
    </row>
    <row r="136" spans="15:20" x14ac:dyDescent="0.3">
      <c r="O136">
        <v>135</v>
      </c>
      <c r="P136" t="s">
        <v>122</v>
      </c>
      <c r="Q136" t="s">
        <v>37</v>
      </c>
      <c r="R136">
        <v>214</v>
      </c>
      <c r="S136">
        <v>1069</v>
      </c>
      <c r="T136">
        <v>153</v>
      </c>
    </row>
    <row r="137" spans="15:20" x14ac:dyDescent="0.3">
      <c r="O137">
        <v>136</v>
      </c>
      <c r="P137" t="s">
        <v>123</v>
      </c>
      <c r="Q137" t="s">
        <v>34</v>
      </c>
      <c r="R137">
        <v>423</v>
      </c>
      <c r="S137">
        <v>809</v>
      </c>
      <c r="T137">
        <v>204</v>
      </c>
    </row>
    <row r="138" spans="15:20" x14ac:dyDescent="0.3">
      <c r="O138">
        <v>137</v>
      </c>
      <c r="P138" t="s">
        <v>123</v>
      </c>
      <c r="Q138" t="s">
        <v>37</v>
      </c>
      <c r="R138">
        <v>190</v>
      </c>
      <c r="S138">
        <v>1092</v>
      </c>
      <c r="T138">
        <v>154</v>
      </c>
    </row>
    <row r="139" spans="15:20" x14ac:dyDescent="0.3">
      <c r="O139">
        <v>138</v>
      </c>
      <c r="P139" t="s">
        <v>124</v>
      </c>
      <c r="Q139" t="s">
        <v>34</v>
      </c>
      <c r="R139">
        <v>309</v>
      </c>
      <c r="S139">
        <v>922</v>
      </c>
      <c r="T139">
        <v>206</v>
      </c>
    </row>
    <row r="140" spans="15:20" x14ac:dyDescent="0.3">
      <c r="O140">
        <v>139</v>
      </c>
      <c r="P140" t="s">
        <v>124</v>
      </c>
      <c r="Q140" t="s">
        <v>37</v>
      </c>
      <c r="R140">
        <v>233</v>
      </c>
      <c r="S140">
        <v>1048</v>
      </c>
      <c r="T140">
        <v>154</v>
      </c>
    </row>
    <row r="141" spans="15:20" x14ac:dyDescent="0.3">
      <c r="O141">
        <v>140</v>
      </c>
      <c r="P141" t="s">
        <v>125</v>
      </c>
      <c r="Q141" t="s">
        <v>34</v>
      </c>
      <c r="R141">
        <v>483</v>
      </c>
      <c r="S141">
        <v>748</v>
      </c>
      <c r="T141">
        <v>205</v>
      </c>
    </row>
    <row r="142" spans="15:20" x14ac:dyDescent="0.3">
      <c r="O142">
        <v>141</v>
      </c>
      <c r="P142" t="s">
        <v>125</v>
      </c>
      <c r="Q142" t="s">
        <v>37</v>
      </c>
      <c r="R142">
        <v>331</v>
      </c>
      <c r="S142">
        <v>950</v>
      </c>
      <c r="T142">
        <v>155</v>
      </c>
    </row>
    <row r="143" spans="15:20" x14ac:dyDescent="0.3">
      <c r="O143">
        <v>142</v>
      </c>
      <c r="P143" t="s">
        <v>126</v>
      </c>
      <c r="Q143" t="s">
        <v>34</v>
      </c>
      <c r="R143">
        <v>451</v>
      </c>
      <c r="S143">
        <v>781</v>
      </c>
      <c r="T143">
        <v>204</v>
      </c>
    </row>
    <row r="144" spans="15:20" x14ac:dyDescent="0.3">
      <c r="O144">
        <v>143</v>
      </c>
      <c r="P144" t="s">
        <v>126</v>
      </c>
      <c r="Q144" t="s">
        <v>37</v>
      </c>
      <c r="R144">
        <v>219</v>
      </c>
      <c r="S144">
        <v>1061</v>
      </c>
      <c r="T144">
        <v>155</v>
      </c>
    </row>
    <row r="145" spans="15:20" x14ac:dyDescent="0.3">
      <c r="O145">
        <v>144</v>
      </c>
      <c r="P145" t="s">
        <v>127</v>
      </c>
      <c r="Q145" t="s">
        <v>34</v>
      </c>
      <c r="R145">
        <v>385</v>
      </c>
      <c r="S145">
        <v>816</v>
      </c>
      <c r="T145">
        <v>235</v>
      </c>
    </row>
    <row r="146" spans="15:20" x14ac:dyDescent="0.3">
      <c r="O146">
        <v>145</v>
      </c>
      <c r="P146" t="s">
        <v>127</v>
      </c>
      <c r="Q146" t="s">
        <v>37</v>
      </c>
      <c r="R146">
        <v>223</v>
      </c>
      <c r="S146">
        <v>727</v>
      </c>
      <c r="T146">
        <v>487</v>
      </c>
    </row>
    <row r="147" spans="15:20" x14ac:dyDescent="0.3">
      <c r="O147">
        <v>146</v>
      </c>
      <c r="P147" t="s">
        <v>128</v>
      </c>
      <c r="Q147" t="s">
        <v>34</v>
      </c>
      <c r="R147">
        <v>0</v>
      </c>
      <c r="S147">
        <v>0</v>
      </c>
      <c r="T147">
        <v>1440</v>
      </c>
    </row>
    <row r="148" spans="15:20" x14ac:dyDescent="0.3">
      <c r="O148">
        <v>147</v>
      </c>
      <c r="P148" t="s">
        <v>128</v>
      </c>
      <c r="Q148" t="s">
        <v>37</v>
      </c>
      <c r="R148">
        <v>0</v>
      </c>
      <c r="S148">
        <v>0</v>
      </c>
      <c r="T148">
        <v>1440</v>
      </c>
    </row>
    <row r="149" spans="15:20" x14ac:dyDescent="0.3">
      <c r="O149">
        <v>148</v>
      </c>
      <c r="P149" t="s">
        <v>129</v>
      </c>
      <c r="Q149" t="s">
        <v>34</v>
      </c>
      <c r="R149">
        <v>277</v>
      </c>
      <c r="S149">
        <v>745</v>
      </c>
      <c r="T149">
        <v>411</v>
      </c>
    </row>
    <row r="150" spans="15:20" x14ac:dyDescent="0.3">
      <c r="O150">
        <v>149</v>
      </c>
      <c r="P150" t="s">
        <v>129</v>
      </c>
      <c r="Q150" t="s">
        <v>37</v>
      </c>
      <c r="R150">
        <v>343</v>
      </c>
      <c r="S150">
        <v>935</v>
      </c>
      <c r="T150">
        <v>156</v>
      </c>
    </row>
    <row r="151" spans="15:20" x14ac:dyDescent="0.3">
      <c r="O151">
        <v>150</v>
      </c>
      <c r="P151" t="s">
        <v>130</v>
      </c>
      <c r="Q151" t="s">
        <v>34</v>
      </c>
      <c r="R151">
        <v>516</v>
      </c>
      <c r="S151">
        <v>714</v>
      </c>
      <c r="T151">
        <v>205</v>
      </c>
    </row>
    <row r="152" spans="15:20" x14ac:dyDescent="0.3">
      <c r="O152">
        <v>151</v>
      </c>
      <c r="P152" t="s">
        <v>130</v>
      </c>
      <c r="Q152" t="s">
        <v>37</v>
      </c>
      <c r="R152">
        <v>362</v>
      </c>
      <c r="S152">
        <v>915</v>
      </c>
      <c r="T152">
        <v>158</v>
      </c>
    </row>
    <row r="153" spans="15:20" x14ac:dyDescent="0.3">
      <c r="O153">
        <v>152</v>
      </c>
      <c r="P153" t="s">
        <v>131</v>
      </c>
      <c r="Q153" t="s">
        <v>34</v>
      </c>
      <c r="R153">
        <v>460</v>
      </c>
      <c r="S153">
        <v>765</v>
      </c>
      <c r="T153">
        <v>210</v>
      </c>
    </row>
    <row r="154" spans="15:20" x14ac:dyDescent="0.3">
      <c r="O154">
        <v>153</v>
      </c>
      <c r="P154" t="s">
        <v>131</v>
      </c>
      <c r="Q154" t="s">
        <v>37</v>
      </c>
      <c r="R154">
        <v>446</v>
      </c>
      <c r="S154">
        <v>835</v>
      </c>
      <c r="T154">
        <v>154</v>
      </c>
    </row>
    <row r="155" spans="15:20" x14ac:dyDescent="0.3">
      <c r="O155">
        <v>154</v>
      </c>
      <c r="P155" t="s">
        <v>132</v>
      </c>
      <c r="Q155" t="s">
        <v>34</v>
      </c>
      <c r="R155">
        <v>424</v>
      </c>
      <c r="S155">
        <v>806</v>
      </c>
      <c r="T155">
        <v>207</v>
      </c>
    </row>
    <row r="156" spans="15:20" x14ac:dyDescent="0.3">
      <c r="O156">
        <v>155</v>
      </c>
      <c r="P156" t="s">
        <v>132</v>
      </c>
      <c r="Q156" t="s">
        <v>37</v>
      </c>
      <c r="R156">
        <v>360</v>
      </c>
      <c r="S156">
        <v>921</v>
      </c>
      <c r="T156">
        <v>155</v>
      </c>
    </row>
    <row r="157" spans="15:20" x14ac:dyDescent="0.3">
      <c r="O157">
        <v>156</v>
      </c>
      <c r="P157" t="s">
        <v>133</v>
      </c>
      <c r="Q157" t="s">
        <v>34</v>
      </c>
      <c r="R157">
        <v>366</v>
      </c>
      <c r="S157">
        <v>866</v>
      </c>
      <c r="T157">
        <v>205</v>
      </c>
    </row>
    <row r="158" spans="15:20" x14ac:dyDescent="0.3">
      <c r="O158">
        <v>157</v>
      </c>
      <c r="P158" t="s">
        <v>133</v>
      </c>
      <c r="Q158" t="s">
        <v>37</v>
      </c>
      <c r="R158">
        <v>251</v>
      </c>
      <c r="S158">
        <v>1027</v>
      </c>
      <c r="T158">
        <v>157</v>
      </c>
    </row>
    <row r="159" spans="15:20" x14ac:dyDescent="0.3">
      <c r="O159">
        <v>158</v>
      </c>
      <c r="P159" t="s">
        <v>134</v>
      </c>
      <c r="Q159" t="s">
        <v>34</v>
      </c>
      <c r="R159">
        <v>243</v>
      </c>
      <c r="S159">
        <v>959</v>
      </c>
      <c r="T159">
        <v>235</v>
      </c>
    </row>
    <row r="160" spans="15:20" x14ac:dyDescent="0.3">
      <c r="O160">
        <v>159</v>
      </c>
      <c r="P160" t="s">
        <v>134</v>
      </c>
      <c r="Q160" t="s">
        <v>37</v>
      </c>
      <c r="R160">
        <v>182</v>
      </c>
      <c r="S160">
        <v>1006</v>
      </c>
      <c r="T160">
        <v>248</v>
      </c>
    </row>
    <row r="161" spans="15:20" x14ac:dyDescent="0.3">
      <c r="O161">
        <v>160</v>
      </c>
      <c r="P161" t="s">
        <v>135</v>
      </c>
      <c r="Q161" t="s">
        <v>37</v>
      </c>
      <c r="R161">
        <v>276</v>
      </c>
      <c r="S161">
        <v>85</v>
      </c>
      <c r="T161">
        <v>1465</v>
      </c>
    </row>
    <row r="162" spans="15:20" x14ac:dyDescent="0.3">
      <c r="O162">
        <v>161</v>
      </c>
      <c r="P162" t="s">
        <v>136</v>
      </c>
      <c r="Q162" t="s">
        <v>34</v>
      </c>
      <c r="R162">
        <v>215</v>
      </c>
      <c r="S162">
        <v>814</v>
      </c>
      <c r="T162">
        <v>408</v>
      </c>
    </row>
    <row r="163" spans="15:20" x14ac:dyDescent="0.3">
      <c r="O163">
        <v>162</v>
      </c>
      <c r="P163" t="s">
        <v>136</v>
      </c>
      <c r="Q163" t="s">
        <v>37</v>
      </c>
      <c r="R163">
        <v>258</v>
      </c>
      <c r="S163">
        <v>1024</v>
      </c>
      <c r="T163">
        <v>155</v>
      </c>
    </row>
    <row r="164" spans="15:20" x14ac:dyDescent="0.3">
      <c r="O164">
        <v>163</v>
      </c>
      <c r="P164" t="s">
        <v>137</v>
      </c>
      <c r="Q164" t="s">
        <v>34</v>
      </c>
      <c r="R164">
        <v>389</v>
      </c>
      <c r="S164">
        <v>844</v>
      </c>
      <c r="T164">
        <v>204</v>
      </c>
    </row>
    <row r="165" spans="15:20" x14ac:dyDescent="0.3">
      <c r="O165">
        <v>164</v>
      </c>
      <c r="P165" t="s">
        <v>137</v>
      </c>
      <c r="Q165" t="s">
        <v>37</v>
      </c>
      <c r="R165">
        <v>201</v>
      </c>
      <c r="S165">
        <v>1080</v>
      </c>
      <c r="T165">
        <v>154</v>
      </c>
    </row>
    <row r="166" spans="15:20" x14ac:dyDescent="0.3">
      <c r="O166">
        <v>165</v>
      </c>
      <c r="P166" t="s">
        <v>138</v>
      </c>
      <c r="Q166" t="s">
        <v>34</v>
      </c>
      <c r="R166">
        <v>396</v>
      </c>
      <c r="S166">
        <v>833</v>
      </c>
      <c r="T166">
        <v>205</v>
      </c>
    </row>
    <row r="167" spans="15:20" x14ac:dyDescent="0.3">
      <c r="O167">
        <v>166</v>
      </c>
      <c r="P167" t="s">
        <v>138</v>
      </c>
      <c r="Q167" t="s">
        <v>37</v>
      </c>
      <c r="R167">
        <v>265</v>
      </c>
      <c r="S167">
        <v>1011</v>
      </c>
      <c r="T167">
        <v>154</v>
      </c>
    </row>
    <row r="168" spans="15:20" x14ac:dyDescent="0.3">
      <c r="O168">
        <v>167</v>
      </c>
      <c r="P168" t="s">
        <v>139</v>
      </c>
      <c r="Q168" t="s">
        <v>34</v>
      </c>
      <c r="R168">
        <v>313</v>
      </c>
      <c r="S168">
        <v>917</v>
      </c>
      <c r="T168">
        <v>206</v>
      </c>
    </row>
    <row r="169" spans="15:20" x14ac:dyDescent="0.3">
      <c r="O169">
        <v>168</v>
      </c>
      <c r="P169" t="s">
        <v>139</v>
      </c>
      <c r="Q169" t="s">
        <v>37</v>
      </c>
      <c r="R169">
        <v>192</v>
      </c>
      <c r="S169">
        <v>1088</v>
      </c>
      <c r="T169">
        <v>155</v>
      </c>
    </row>
    <row r="170" spans="15:20" x14ac:dyDescent="0.3">
      <c r="O170">
        <v>169</v>
      </c>
      <c r="P170" t="s">
        <v>140</v>
      </c>
      <c r="Q170" t="s">
        <v>34</v>
      </c>
      <c r="R170">
        <v>402</v>
      </c>
      <c r="S170">
        <v>827</v>
      </c>
      <c r="T170">
        <v>206</v>
      </c>
    </row>
    <row r="171" spans="15:20" x14ac:dyDescent="0.3">
      <c r="O171">
        <v>170</v>
      </c>
      <c r="P171" t="s">
        <v>140</v>
      </c>
      <c r="Q171" t="s">
        <v>37</v>
      </c>
      <c r="R171">
        <v>184</v>
      </c>
      <c r="S171">
        <v>948</v>
      </c>
      <c r="T171">
        <v>304</v>
      </c>
    </row>
    <row r="172" spans="15:20" x14ac:dyDescent="0.3">
      <c r="O172">
        <v>171</v>
      </c>
      <c r="P172" t="s">
        <v>141</v>
      </c>
      <c r="Q172" t="s">
        <v>34</v>
      </c>
      <c r="R172">
        <v>434</v>
      </c>
      <c r="S172">
        <v>535</v>
      </c>
      <c r="T172">
        <v>466</v>
      </c>
    </row>
    <row r="173" spans="15:20" x14ac:dyDescent="0.3">
      <c r="O173">
        <v>172</v>
      </c>
      <c r="P173" t="s">
        <v>141</v>
      </c>
      <c r="Q173" t="s">
        <v>37</v>
      </c>
      <c r="R173">
        <v>132</v>
      </c>
      <c r="S173">
        <v>817</v>
      </c>
      <c r="T173">
        <v>488</v>
      </c>
    </row>
    <row r="174" spans="15:20" x14ac:dyDescent="0.3">
      <c r="O174">
        <v>173</v>
      </c>
      <c r="P174" t="s">
        <v>142</v>
      </c>
      <c r="Q174" t="s">
        <v>34</v>
      </c>
      <c r="R174">
        <v>176</v>
      </c>
      <c r="S174">
        <v>784</v>
      </c>
      <c r="T174">
        <v>474</v>
      </c>
    </row>
    <row r="175" spans="15:20" x14ac:dyDescent="0.3">
      <c r="O175">
        <v>174</v>
      </c>
      <c r="P175" t="s">
        <v>142</v>
      </c>
      <c r="Q175" t="s">
        <v>37</v>
      </c>
      <c r="R175">
        <v>0</v>
      </c>
      <c r="S175">
        <v>0</v>
      </c>
      <c r="T175">
        <v>1440</v>
      </c>
    </row>
    <row r="176" spans="15:20" x14ac:dyDescent="0.3">
      <c r="O176">
        <v>175</v>
      </c>
      <c r="P176" t="s">
        <v>143</v>
      </c>
      <c r="Q176" t="s">
        <v>34</v>
      </c>
      <c r="R176">
        <v>218</v>
      </c>
      <c r="S176">
        <v>807</v>
      </c>
      <c r="T176">
        <v>411</v>
      </c>
    </row>
    <row r="177" spans="15:20" x14ac:dyDescent="0.3">
      <c r="O177">
        <v>176</v>
      </c>
      <c r="P177" t="s">
        <v>143</v>
      </c>
      <c r="Q177" t="s">
        <v>37</v>
      </c>
      <c r="R177">
        <v>391</v>
      </c>
      <c r="S177">
        <v>733</v>
      </c>
      <c r="T177">
        <v>311</v>
      </c>
    </row>
    <row r="178" spans="15:20" x14ac:dyDescent="0.3">
      <c r="O178">
        <v>177</v>
      </c>
      <c r="P178" t="s">
        <v>144</v>
      </c>
      <c r="Q178" t="s">
        <v>34</v>
      </c>
      <c r="R178">
        <v>285</v>
      </c>
      <c r="S178">
        <v>738</v>
      </c>
      <c r="T178">
        <v>412</v>
      </c>
    </row>
    <row r="179" spans="15:20" x14ac:dyDescent="0.3">
      <c r="O179">
        <v>178</v>
      </c>
      <c r="P179" t="s">
        <v>144</v>
      </c>
      <c r="Q179" t="s">
        <v>37</v>
      </c>
      <c r="R179">
        <v>290</v>
      </c>
      <c r="S179">
        <v>990</v>
      </c>
      <c r="T179">
        <v>155</v>
      </c>
    </row>
    <row r="180" spans="15:20" x14ac:dyDescent="0.3">
      <c r="O180">
        <v>179</v>
      </c>
      <c r="P180" t="s">
        <v>33</v>
      </c>
      <c r="Q180" t="s">
        <v>34</v>
      </c>
      <c r="R180">
        <v>424</v>
      </c>
      <c r="S180">
        <v>807</v>
      </c>
      <c r="T180">
        <v>206</v>
      </c>
    </row>
    <row r="181" spans="15:20" x14ac:dyDescent="0.3">
      <c r="O181">
        <v>180</v>
      </c>
      <c r="P181" t="s">
        <v>33</v>
      </c>
      <c r="Q181" t="s">
        <v>37</v>
      </c>
      <c r="R181">
        <v>294</v>
      </c>
      <c r="S181">
        <v>985</v>
      </c>
      <c r="T181">
        <v>156</v>
      </c>
    </row>
    <row r="182" spans="15:20" x14ac:dyDescent="0.3">
      <c r="O182">
        <v>181</v>
      </c>
      <c r="P182" t="s">
        <v>39</v>
      </c>
      <c r="Q182" t="s">
        <v>34</v>
      </c>
      <c r="R182">
        <v>408</v>
      </c>
      <c r="S182">
        <v>824</v>
      </c>
      <c r="T182">
        <v>205</v>
      </c>
    </row>
    <row r="183" spans="15:20" x14ac:dyDescent="0.3">
      <c r="O183">
        <v>182</v>
      </c>
      <c r="P183" t="s">
        <v>39</v>
      </c>
      <c r="Q183" t="s">
        <v>37</v>
      </c>
      <c r="R183">
        <v>444</v>
      </c>
      <c r="S183">
        <v>834</v>
      </c>
      <c r="T183">
        <v>157</v>
      </c>
    </row>
    <row r="184" spans="15:20" x14ac:dyDescent="0.3">
      <c r="O184">
        <v>183</v>
      </c>
      <c r="P184" t="s">
        <v>43</v>
      </c>
      <c r="Q184" t="s">
        <v>34</v>
      </c>
      <c r="R184">
        <v>452</v>
      </c>
      <c r="S184">
        <v>777</v>
      </c>
      <c r="T184">
        <v>207</v>
      </c>
    </row>
    <row r="185" spans="15:20" x14ac:dyDescent="0.3">
      <c r="O185">
        <v>184</v>
      </c>
      <c r="P185" t="s">
        <v>43</v>
      </c>
      <c r="Q185" t="s">
        <v>37</v>
      </c>
      <c r="R185">
        <v>451</v>
      </c>
      <c r="S185">
        <v>826</v>
      </c>
      <c r="T185">
        <v>158</v>
      </c>
    </row>
    <row r="186" spans="15:20" x14ac:dyDescent="0.3">
      <c r="O186">
        <v>185</v>
      </c>
      <c r="P186" t="s">
        <v>48</v>
      </c>
      <c r="Q186" t="s">
        <v>34</v>
      </c>
      <c r="R186">
        <v>488</v>
      </c>
      <c r="S186">
        <v>712</v>
      </c>
      <c r="T186">
        <v>236</v>
      </c>
    </row>
    <row r="187" spans="15:20" x14ac:dyDescent="0.3">
      <c r="O187">
        <v>186</v>
      </c>
      <c r="P187" t="s">
        <v>48</v>
      </c>
      <c r="Q187" t="s">
        <v>37</v>
      </c>
      <c r="R187">
        <v>418</v>
      </c>
      <c r="S187">
        <v>771</v>
      </c>
      <c r="T187">
        <v>248</v>
      </c>
    </row>
    <row r="188" spans="15:20" x14ac:dyDescent="0.3">
      <c r="O188">
        <v>187</v>
      </c>
      <c r="P188" t="s">
        <v>52</v>
      </c>
      <c r="Q188" t="s">
        <v>34</v>
      </c>
      <c r="R188">
        <v>363</v>
      </c>
      <c r="S188">
        <v>833</v>
      </c>
      <c r="T188">
        <v>242</v>
      </c>
    </row>
    <row r="189" spans="15:20" x14ac:dyDescent="0.3">
      <c r="O189">
        <v>188</v>
      </c>
      <c r="P189" t="s">
        <v>52</v>
      </c>
      <c r="Q189" t="s">
        <v>37</v>
      </c>
      <c r="R189">
        <v>0</v>
      </c>
      <c r="S189">
        <v>0</v>
      </c>
      <c r="T189">
        <v>1440</v>
      </c>
    </row>
    <row r="190" spans="15:20" x14ac:dyDescent="0.3">
      <c r="O190">
        <v>189</v>
      </c>
      <c r="P190" t="s">
        <v>56</v>
      </c>
      <c r="Q190" t="s">
        <v>34</v>
      </c>
      <c r="R190">
        <v>330</v>
      </c>
      <c r="S190">
        <v>694</v>
      </c>
      <c r="T190">
        <v>412</v>
      </c>
    </row>
    <row r="191" spans="15:20" x14ac:dyDescent="0.3">
      <c r="O191">
        <v>190</v>
      </c>
      <c r="P191" t="s">
        <v>56</v>
      </c>
      <c r="Q191" t="s">
        <v>37</v>
      </c>
      <c r="R191">
        <v>348</v>
      </c>
      <c r="S191">
        <v>777</v>
      </c>
      <c r="T191">
        <v>309</v>
      </c>
    </row>
    <row r="192" spans="15:20" x14ac:dyDescent="0.3">
      <c r="O192">
        <v>191</v>
      </c>
      <c r="P192" t="s">
        <v>60</v>
      </c>
      <c r="Q192" t="s">
        <v>34</v>
      </c>
      <c r="R192">
        <v>239</v>
      </c>
      <c r="S192">
        <v>790</v>
      </c>
      <c r="T192">
        <v>407</v>
      </c>
    </row>
    <row r="193" spans="15:20" x14ac:dyDescent="0.3">
      <c r="O193">
        <v>192</v>
      </c>
      <c r="P193" t="s">
        <v>60</v>
      </c>
      <c r="Q193" t="s">
        <v>37</v>
      </c>
      <c r="R193">
        <v>314</v>
      </c>
      <c r="S193">
        <v>809</v>
      </c>
      <c r="T193">
        <v>308</v>
      </c>
    </row>
    <row r="194" spans="15:20" x14ac:dyDescent="0.3">
      <c r="O194">
        <v>193</v>
      </c>
      <c r="P194" t="s">
        <v>62</v>
      </c>
      <c r="Q194" t="s">
        <v>34</v>
      </c>
      <c r="R194">
        <v>294</v>
      </c>
      <c r="S194">
        <v>736</v>
      </c>
      <c r="T194">
        <v>406</v>
      </c>
    </row>
    <row r="195" spans="15:20" x14ac:dyDescent="0.3">
      <c r="O195">
        <v>194</v>
      </c>
      <c r="P195" t="s">
        <v>62</v>
      </c>
      <c r="Q195" t="s">
        <v>37</v>
      </c>
      <c r="R195">
        <v>118</v>
      </c>
      <c r="S195">
        <v>1010</v>
      </c>
      <c r="T195">
        <v>309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T195"/>
  <sheetViews>
    <sheetView topLeftCell="G1" workbookViewId="0">
      <selection activeCell="I2" sqref="I2:J75"/>
    </sheetView>
  </sheetViews>
  <sheetFormatPr defaultRowHeight="14.4" x14ac:dyDescent="0.3"/>
  <cols>
    <col min="1" max="1" width="3" bestFit="1" customWidth="1"/>
    <col min="2" max="3" width="10.88671875" bestFit="1" customWidth="1"/>
    <col min="4" max="4" width="34.109375" bestFit="1" customWidth="1"/>
    <col min="5" max="5" width="30.5546875" bestFit="1" customWidth="1"/>
    <col min="6" max="6" width="22.6640625" bestFit="1" customWidth="1"/>
    <col min="10" max="10" width="9.109375" bestFit="1" customWidth="1"/>
    <col min="11" max="11" width="8.33203125" bestFit="1" customWidth="1"/>
    <col min="12" max="12" width="11.5546875" bestFit="1" customWidth="1"/>
    <col min="13" max="13" width="10" bestFit="1" customWidth="1"/>
  </cols>
  <sheetData>
    <row r="1" spans="1:20" s="2" customFormat="1" x14ac:dyDescent="0.3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  <c r="L1" s="3" t="s">
        <v>31</v>
      </c>
      <c r="M1" s="3" t="s">
        <v>32</v>
      </c>
    </row>
    <row r="2" spans="1:20" x14ac:dyDescent="0.3">
      <c r="A2">
        <v>1</v>
      </c>
      <c r="B2" t="s">
        <v>33</v>
      </c>
      <c r="C2" t="s">
        <v>34</v>
      </c>
      <c r="D2">
        <v>796</v>
      </c>
      <c r="E2">
        <v>1147</v>
      </c>
      <c r="F2">
        <v>206</v>
      </c>
      <c r="H2" t="s">
        <v>35</v>
      </c>
      <c r="I2" s="1">
        <v>0.65</v>
      </c>
      <c r="J2" s="1">
        <v>0.8</v>
      </c>
      <c r="K2" s="1">
        <f>IFERROR(SUMIFS(S:S,P:P,"*/01/2026")/(SUMIFS(R:R,P:P,"*/01/2026")+SUMIFS(S:S,P:P,"*/01/2026")+SUMIFS(T:T,P:P,"*/01/2026")),"")</f>
        <v>0.42920864938299558</v>
      </c>
      <c r="L2" s="1">
        <f>IFERROR(SUMIFS(R:R,P:P,"*/01/2026")/(SUMIFS(R:R,P:P,"*/01/2026")+SUMIFS(S:S,P:P,"*/01/2026")+SUMIFS(T:T,P:P,"*/01/2026")),"")</f>
        <v>0.2728706743650704</v>
      </c>
      <c r="M2" s="1">
        <f>IFERROR(SUMIFS(T:T,P:P,"*/01/2026")/(SUMIFS(R:R,P:P,"*/01/2026")+SUMIFS(S:S,P:P,"*/01/2026")+SUMIFS(T:T,P:P,"*/01/2026")),"")</f>
        <v>0.29792067625193402</v>
      </c>
      <c r="O2">
        <v>1</v>
      </c>
      <c r="P2" t="s">
        <v>36</v>
      </c>
      <c r="Q2" t="s">
        <v>34</v>
      </c>
      <c r="R2">
        <v>0</v>
      </c>
      <c r="S2">
        <v>0</v>
      </c>
      <c r="T2">
        <v>2160</v>
      </c>
    </row>
    <row r="3" spans="1:20" x14ac:dyDescent="0.3">
      <c r="A3">
        <v>2</v>
      </c>
      <c r="B3" t="s">
        <v>33</v>
      </c>
      <c r="C3" t="s">
        <v>37</v>
      </c>
      <c r="D3">
        <v>517</v>
      </c>
      <c r="E3">
        <v>1481</v>
      </c>
      <c r="F3">
        <v>156</v>
      </c>
      <c r="H3" t="s">
        <v>38</v>
      </c>
      <c r="I3" s="1">
        <v>0.65</v>
      </c>
      <c r="J3" s="1">
        <v>0.8</v>
      </c>
      <c r="K3" s="1">
        <f>IFERROR(SUMIFS(S:S,P:P,"*/02/2026")/(SUMIFS(R:R,P:P,"*/02/2026")+SUMIFS(S:S,P:P,"*/02/2026")+SUMIFS(T:T,P:P,"*/02/2026")),"")</f>
        <v>0.35062080634325571</v>
      </c>
      <c r="L3" s="1">
        <f>IFERROR(SUMIFS(R:R,P:P,"*/02/2026")/(SUMIFS(R:R,P:P,"*/02/2026")+SUMIFS(S:S,P:P,"*/02/2026")+SUMIFS(T:T,P:P,"*/02/2026")),"")</f>
        <v>0.18498950808250877</v>
      </c>
      <c r="M3" s="1">
        <f>IFERROR(SUMIFS(T:T,P:P,"*/02/2026")/(SUMIFS(R:R,P:P,"*/02/2026")+SUMIFS(S:S,P:P,"*/02/2026")+SUMIFS(T:T,P:P,"*/02/2026")),"")</f>
        <v>0.46438968557423549</v>
      </c>
      <c r="O3">
        <v>2</v>
      </c>
      <c r="P3" t="s">
        <v>36</v>
      </c>
      <c r="Q3" t="s">
        <v>37</v>
      </c>
      <c r="R3">
        <v>60</v>
      </c>
      <c r="S3">
        <v>156</v>
      </c>
      <c r="T3">
        <v>1942</v>
      </c>
    </row>
    <row r="4" spans="1:20" x14ac:dyDescent="0.3">
      <c r="A4">
        <v>3</v>
      </c>
      <c r="B4" t="s">
        <v>39</v>
      </c>
      <c r="C4" t="s">
        <v>34</v>
      </c>
      <c r="D4">
        <v>964</v>
      </c>
      <c r="E4">
        <v>978</v>
      </c>
      <c r="F4">
        <v>207</v>
      </c>
      <c r="H4" t="s">
        <v>40</v>
      </c>
      <c r="I4" s="1">
        <v>0.65</v>
      </c>
      <c r="J4" s="1">
        <v>0.8</v>
      </c>
      <c r="K4" s="1">
        <f>IFERROR(SUMIFS(S:S,P:P,"*/03/2026")/(SUMIFS(R:R,P:P,"*/03/2026")+SUMIFS(S:S,P:P,"*/03/2026")+SUMIFS(T:T,P:P,"*/03/2026")),"")</f>
        <v>0.47774013020139339</v>
      </c>
      <c r="L4" s="1">
        <f>IFERROR(SUMIFS(R:R,P:P,"*/03/2026")/(SUMIFS(R:R,P:P,"*/03/2026")+SUMIFS(S:S,P:P,"*/03/2026")+SUMIFS(T:T,P:P,"*/03/2026")),"")</f>
        <v>0.31260516998515248</v>
      </c>
      <c r="M4" s="1">
        <f>IFERROR(SUMIFS(T:T,P:P,"*/03/2026")/(SUMIFS(R:R,P:P,"*/03/2026")+SUMIFS(S:S,P:P,"*/03/2026")+SUMIFS(T:T,P:P,"*/03/2026")),"")</f>
        <v>0.20965469981345414</v>
      </c>
      <c r="O4">
        <v>3</v>
      </c>
      <c r="P4" t="s">
        <v>41</v>
      </c>
      <c r="Q4" t="s">
        <v>34</v>
      </c>
      <c r="R4">
        <v>521</v>
      </c>
      <c r="S4">
        <v>1628</v>
      </c>
      <c r="T4">
        <v>0</v>
      </c>
    </row>
    <row r="5" spans="1:20" x14ac:dyDescent="0.3">
      <c r="A5">
        <v>4</v>
      </c>
      <c r="B5" t="s">
        <v>39</v>
      </c>
      <c r="C5" t="s">
        <v>37</v>
      </c>
      <c r="D5">
        <v>716</v>
      </c>
      <c r="E5">
        <v>1280</v>
      </c>
      <c r="F5">
        <v>155</v>
      </c>
      <c r="H5" t="s">
        <v>42</v>
      </c>
      <c r="I5" s="1">
        <v>0.65</v>
      </c>
      <c r="J5" s="1">
        <v>0.8</v>
      </c>
      <c r="K5" s="1">
        <f>IFERROR(SUMIFS(S:S,P:P,"*/04/2026")/(SUMIFS(R:R,P:P,"*/04/2026")+SUMIFS(S:S,P:P,"*/04/2026")+SUMIFS(T:T,P:P,"*/04/2026")),"")</f>
        <v>0.52614293603045892</v>
      </c>
      <c r="L5" s="1">
        <f>IFERROR(SUMIFS(R:R,P:P,"*/04/2026")/(SUMIFS(R:R,P:P,"*/04/2026")+SUMIFS(S:S,P:P,"*/04/2026")+SUMIFS(T:T,P:P,"*/04/2026")),"")</f>
        <v>0.31862702357078504</v>
      </c>
      <c r="M5" s="1">
        <f>IFERROR(SUMIFS(T:T,P:P,"*/04/2026")/(SUMIFS(R:R,P:P,"*/04/2026")+SUMIFS(S:S,P:P,"*/04/2026")+SUMIFS(T:T,P:P,"*/04/2026")),"")</f>
        <v>0.15523004039875607</v>
      </c>
      <c r="O5">
        <v>4</v>
      </c>
      <c r="P5" t="s">
        <v>41</v>
      </c>
      <c r="Q5" t="s">
        <v>37</v>
      </c>
      <c r="R5">
        <v>1152</v>
      </c>
      <c r="S5">
        <v>1000</v>
      </c>
      <c r="T5">
        <v>1</v>
      </c>
    </row>
    <row r="6" spans="1:20" x14ac:dyDescent="0.3">
      <c r="A6">
        <v>5</v>
      </c>
      <c r="B6" t="s">
        <v>43</v>
      </c>
      <c r="C6" t="s">
        <v>34</v>
      </c>
      <c r="D6">
        <v>739</v>
      </c>
      <c r="E6">
        <v>1202</v>
      </c>
      <c r="F6">
        <v>207</v>
      </c>
      <c r="H6" t="s">
        <v>44</v>
      </c>
      <c r="I6" s="1">
        <v>0.65</v>
      </c>
      <c r="J6" s="1">
        <v>0.8</v>
      </c>
      <c r="K6" s="1" t="str">
        <f>IFERROR(SUMIFS(S:S,P:P,"*/05/2026")/(SUMIFS(R:R,P:P,"*/05/2026")+SUMIFS(S:S,P:P,"*/05/2026")+SUMIFS(T:T,P:P,"*/05/2026")),"")</f>
        <v/>
      </c>
      <c r="L6" s="1" t="str">
        <f>IFERROR(SUMIFS(R:R,P:P,"*/05/2026")/(SUMIFS(R:R,P:P,"*/05/2026")+SUMIFS(S:S,P:P,"*/05/2026")+SUMIFS(T:T,P:P,"*/05/2026")),"")</f>
        <v/>
      </c>
      <c r="M6" s="1" t="str">
        <f>IFERROR(SUMIFS(T:T,P:P,"*/05/2026")/(SUMIFS(R:R,P:P,"*/05/2026")+SUMIFS(S:S,P:P,"*/05/2026")+SUMIFS(T:T,P:P,"*/05/2026")),"")</f>
        <v/>
      </c>
      <c r="O6">
        <v>5</v>
      </c>
      <c r="P6" t="s">
        <v>45</v>
      </c>
      <c r="Q6" t="s">
        <v>37</v>
      </c>
      <c r="R6">
        <v>763</v>
      </c>
      <c r="S6">
        <v>2271</v>
      </c>
      <c r="T6">
        <v>461</v>
      </c>
    </row>
    <row r="7" spans="1:20" x14ac:dyDescent="0.3">
      <c r="A7">
        <v>6</v>
      </c>
      <c r="B7" t="s">
        <v>43</v>
      </c>
      <c r="C7" t="s">
        <v>37</v>
      </c>
      <c r="D7">
        <v>650</v>
      </c>
      <c r="E7">
        <v>1341</v>
      </c>
      <c r="F7">
        <v>160</v>
      </c>
      <c r="H7" t="s">
        <v>46</v>
      </c>
      <c r="I7" s="1">
        <v>0.65</v>
      </c>
      <c r="J7" s="1">
        <v>0.8</v>
      </c>
      <c r="K7" s="1" t="str">
        <f>IFERROR(SUMIFS(S:S,P:P,"*/06/2026")/(SUMIFS(R:R,P:P,"*/06/2026")+SUMIFS(S:S,P:P,"*/06/2026")+SUMIFS(T:T,P:P,"*/06/2026")),"")</f>
        <v/>
      </c>
      <c r="L7" s="1" t="str">
        <f>IFERROR(SUMIFS(R:R,P:P,"*/06/2026")/(SUMIFS(R:R,P:P,"*/06/2026")+SUMIFS(S:S,P:P,"*/06/2026")+SUMIFS(T:T,P:P,"*/06/2026")),"")</f>
        <v/>
      </c>
      <c r="M7" s="1" t="str">
        <f>IFERROR(SUMIFS(T:T,P:P,"*/06/2026")/(SUMIFS(R:R,P:P,"*/06/2026")+SUMIFS(S:S,P:P,"*/06/2026")+SUMIFS(T:T,P:P,"*/06/2026")),"")</f>
        <v/>
      </c>
      <c r="O7">
        <v>6</v>
      </c>
      <c r="P7" t="s">
        <v>47</v>
      </c>
      <c r="Q7" t="s">
        <v>34</v>
      </c>
      <c r="R7">
        <v>0</v>
      </c>
      <c r="S7">
        <v>0</v>
      </c>
      <c r="T7">
        <v>2160</v>
      </c>
    </row>
    <row r="8" spans="1:20" x14ac:dyDescent="0.3">
      <c r="A8">
        <v>7</v>
      </c>
      <c r="B8" t="s">
        <v>48</v>
      </c>
      <c r="C8" t="s">
        <v>34</v>
      </c>
      <c r="D8">
        <v>893</v>
      </c>
      <c r="E8">
        <v>756</v>
      </c>
      <c r="F8">
        <v>506</v>
      </c>
      <c r="H8" t="s">
        <v>49</v>
      </c>
      <c r="I8" s="1">
        <v>0.65</v>
      </c>
      <c r="J8" s="1">
        <v>0.8</v>
      </c>
      <c r="K8" s="1" t="str">
        <f>IFERROR(SUMIFS(S:S,P:P,"*/07/2026")/(SUMIFS(R:R,P:P,"*/07/2026")+SUMIFS(S:S,P:P,"*/07/2026")+SUMIFS(T:T,P:P,"*/07/2026")),"")</f>
        <v/>
      </c>
      <c r="L8" s="1" t="str">
        <f>IFERROR(SUMIFS(R:R,P:P,"*/07/2026")/(SUMIFS(R:R,P:P,"*/07/2026")+SUMIFS(S:S,P:P,"*/07/2026")+SUMIFS(T:T,P:P,"*/07/2026")),"")</f>
        <v/>
      </c>
      <c r="M8" s="1" t="str">
        <f>IFERROR(SUMIFS(T:T,P:P,"*/07/2026")/(SUMIFS(R:R,P:P,"*/07/2026")+SUMIFS(S:S,P:P,"*/07/2026")+SUMIFS(T:T,P:P,"*/07/2026")),"")</f>
        <v/>
      </c>
      <c r="O8">
        <v>7</v>
      </c>
      <c r="P8" t="s">
        <v>47</v>
      </c>
      <c r="Q8" t="s">
        <v>37</v>
      </c>
      <c r="R8">
        <v>0</v>
      </c>
      <c r="S8">
        <v>0</v>
      </c>
      <c r="T8">
        <v>2160</v>
      </c>
    </row>
    <row r="9" spans="1:20" x14ac:dyDescent="0.3">
      <c r="A9">
        <v>8</v>
      </c>
      <c r="B9" t="s">
        <v>48</v>
      </c>
      <c r="C9" t="s">
        <v>37</v>
      </c>
      <c r="D9">
        <v>631</v>
      </c>
      <c r="E9">
        <v>1025</v>
      </c>
      <c r="F9">
        <v>498</v>
      </c>
      <c r="H9" t="s">
        <v>50</v>
      </c>
      <c r="I9" s="1">
        <v>0.65</v>
      </c>
      <c r="J9" s="1">
        <v>0.8</v>
      </c>
      <c r="K9" s="1" t="str">
        <f>IFERROR(SUMIFS(S:S,P:P,"*/08/2026")/(SUMIFS(R:R,P:P,"*/08/2026")+SUMIFS(S:S,P:P,"*/08/2026")+SUMIFS(T:T,P:P,"*/08/2026")),"")</f>
        <v/>
      </c>
      <c r="L9" s="1" t="str">
        <f>IFERROR(SUMIFS(R:R,P:P,"*/08/2026")/(SUMIFS(R:R,P:P,"*/08/2026")+SUMIFS(S:S,P:P,"*/08/2026")+SUMIFS(T:T,P:P,"*/08/2026")),"")</f>
        <v/>
      </c>
      <c r="M9" s="1" t="str">
        <f>IFERROR(SUMIFS(T:T,P:P,"*/08/2026")/(SUMIFS(R:R,P:P,"*/08/2026")+SUMIFS(S:S,P:P,"*/08/2026")+SUMIFS(T:T,P:P,"*/08/2026")),"")</f>
        <v/>
      </c>
      <c r="O9">
        <v>8</v>
      </c>
      <c r="P9" t="s">
        <v>51</v>
      </c>
      <c r="Q9" t="s">
        <v>34</v>
      </c>
      <c r="R9">
        <v>404</v>
      </c>
      <c r="S9">
        <v>1147</v>
      </c>
      <c r="T9">
        <v>596</v>
      </c>
    </row>
    <row r="10" spans="1:20" x14ac:dyDescent="0.3">
      <c r="A10">
        <v>9</v>
      </c>
      <c r="B10" t="s">
        <v>52</v>
      </c>
      <c r="C10" t="s">
        <v>34</v>
      </c>
      <c r="D10">
        <v>604</v>
      </c>
      <c r="E10">
        <v>1062</v>
      </c>
      <c r="F10">
        <v>482</v>
      </c>
      <c r="H10" t="s">
        <v>53</v>
      </c>
      <c r="I10" s="1">
        <v>0.65</v>
      </c>
      <c r="J10" s="1">
        <v>0.8</v>
      </c>
      <c r="K10" s="1" t="str">
        <f>IFERROR(SUMIFS(S:S,P:P,"*/09/2026")/(SUMIFS(R:R,P:P,"*/09/2026")+SUMIFS(S:S,P:P,"*/09/2026")+SUMIFS(T:T,P:P,"*/09/2026")),"")</f>
        <v/>
      </c>
      <c r="L10" s="1" t="str">
        <f>IFERROR(SUMIFS(R:R,P:P,"*/09/2026")/(SUMIFS(R:R,P:P,"*/09/2026")+SUMIFS(S:S,P:P,"*/09/2026")+SUMIFS(T:T,P:P,"*/09/2026")),"")</f>
        <v/>
      </c>
      <c r="M10" s="1" t="str">
        <f>IFERROR(SUMIFS(T:T,P:P,"*/09/2026")/(SUMIFS(R:R,P:P,"*/09/2026")+SUMIFS(S:S,P:P,"*/09/2026")+SUMIFS(T:T,P:P,"*/09/2026")),"")</f>
        <v/>
      </c>
      <c r="O10">
        <v>9</v>
      </c>
      <c r="P10" t="s">
        <v>51</v>
      </c>
      <c r="Q10" t="s">
        <v>37</v>
      </c>
      <c r="R10">
        <v>660</v>
      </c>
      <c r="S10">
        <v>1128</v>
      </c>
      <c r="T10">
        <v>338</v>
      </c>
    </row>
    <row r="11" spans="1:20" x14ac:dyDescent="0.3">
      <c r="A11">
        <v>10</v>
      </c>
      <c r="B11" t="s">
        <v>52</v>
      </c>
      <c r="C11" t="s">
        <v>37</v>
      </c>
      <c r="D11">
        <v>0</v>
      </c>
      <c r="E11">
        <v>0</v>
      </c>
      <c r="F11">
        <v>2160</v>
      </c>
      <c r="H11" t="s">
        <v>54</v>
      </c>
      <c r="I11" s="1">
        <v>0.65</v>
      </c>
      <c r="J11" s="1">
        <v>0.8</v>
      </c>
      <c r="K11" s="1" t="str">
        <f>IFERROR(SUMIFS(S:S,P:P,"*/10/2026")/(SUMIFS(R:R,P:P,"*/10/2026")+SUMIFS(S:S,P:P,"*/10/2026")+SUMIFS(T:T,P:P,"*/10/2026")),"")</f>
        <v/>
      </c>
      <c r="L11" s="1" t="str">
        <f>IFERROR(SUMIFS(R:R,P:P,"*/10/2026")/(SUMIFS(R:R,P:P,"*/10/2026")+SUMIFS(S:S,P:P,"*/10/2026")+SUMIFS(T:T,P:P,"*/10/2026")),"")</f>
        <v/>
      </c>
      <c r="M11" s="1" t="str">
        <f>IFERROR(SUMIFS(T:T,P:P,"*/10/2026")/(SUMIFS(R:R,P:P,"*/10/2026")+SUMIFS(S:S,P:P,"*/10/2026")+SUMIFS(T:T,P:P,"*/10/2026")),"")</f>
        <v/>
      </c>
      <c r="O11">
        <v>10</v>
      </c>
      <c r="P11" t="s">
        <v>55</v>
      </c>
      <c r="Q11" t="s">
        <v>34</v>
      </c>
      <c r="R11">
        <v>717</v>
      </c>
      <c r="S11">
        <v>836</v>
      </c>
      <c r="T11">
        <v>592</v>
      </c>
    </row>
    <row r="12" spans="1:20" x14ac:dyDescent="0.3">
      <c r="A12">
        <v>11</v>
      </c>
      <c r="B12" t="s">
        <v>56</v>
      </c>
      <c r="C12" t="s">
        <v>34</v>
      </c>
      <c r="D12">
        <v>503</v>
      </c>
      <c r="E12">
        <v>1044</v>
      </c>
      <c r="F12">
        <v>604</v>
      </c>
      <c r="H12" t="s">
        <v>57</v>
      </c>
      <c r="I12" s="1">
        <v>0.65</v>
      </c>
      <c r="J12" s="1">
        <v>0.8</v>
      </c>
      <c r="K12" s="1" t="str">
        <f>IFERROR(SUMIFS(S:S,P:P,"*/11/2026")/(SUMIFS(R:R,P:P,"*/11/2026")+SUMIFS(S:S,P:P,"*/11/2026")+SUMIFS(T:T,P:P,"*/11/2026")),"")</f>
        <v/>
      </c>
      <c r="L12" s="1" t="str">
        <f>IFERROR(SUMIFS(R:R,P:P,"*/11/2026")/(SUMIFS(R:R,P:P,"*/11/2026")+SUMIFS(S:S,P:P,"*/11/2026")+SUMIFS(T:T,P:P,"*/11/2026")),"")</f>
        <v/>
      </c>
      <c r="M12" s="1" t="str">
        <f>IFERROR(SUMIFS(T:T,P:P,"*/11/2026")/(SUMIFS(R:R,P:P,"*/11/2026")+SUMIFS(S:S,P:P,"*/11/2026")+SUMIFS(T:T,P:P,"*/11/2026")),"")</f>
        <v/>
      </c>
      <c r="O12">
        <v>11</v>
      </c>
      <c r="P12" t="s">
        <v>55</v>
      </c>
      <c r="Q12" t="s">
        <v>37</v>
      </c>
      <c r="R12">
        <v>753</v>
      </c>
      <c r="S12">
        <v>1246</v>
      </c>
      <c r="T12">
        <v>152</v>
      </c>
    </row>
    <row r="13" spans="1:20" x14ac:dyDescent="0.3">
      <c r="A13">
        <v>12</v>
      </c>
      <c r="B13" t="s">
        <v>56</v>
      </c>
      <c r="C13" t="s">
        <v>37</v>
      </c>
      <c r="D13">
        <v>623</v>
      </c>
      <c r="E13">
        <v>1522</v>
      </c>
      <c r="F13">
        <v>0</v>
      </c>
      <c r="H13" t="s">
        <v>58</v>
      </c>
      <c r="I13" s="1">
        <v>0.65</v>
      </c>
      <c r="J13" s="1">
        <v>0.8</v>
      </c>
      <c r="K13" s="1" t="str">
        <f>IFERROR(SUMIFS(S:S,P:P,"*/12/2026")/(SUMIFS(R:R,P:P,"*/12/2026")+SUMIFS(S:S,P:P,"*/12/2026")+SUMIFS(T:T,P:P,"*/12/2026")),"")</f>
        <v/>
      </c>
      <c r="L13" s="1" t="str">
        <f>IFERROR(SUMIFS(R:R,P:P,"*/12/2026")/(SUMIFS(R:R,P:P,"*/12/2026")+SUMIFS(S:S,P:P,"*/12/2026")+SUMIFS(T:T,P:P,"*/12/2026")),"")</f>
        <v/>
      </c>
      <c r="M13" s="1" t="str">
        <f>IFERROR(SUMIFS(T:T,P:P,"*/12/2026")/(SUMIFS(R:R,P:P,"*/12/2026")+SUMIFS(S:S,P:P,"*/12/2026")+SUMIFS(T:T,P:P,"*/12/2026")),"")</f>
        <v/>
      </c>
      <c r="O13">
        <v>12</v>
      </c>
      <c r="P13" t="s">
        <v>59</v>
      </c>
      <c r="Q13" t="s">
        <v>34</v>
      </c>
      <c r="R13">
        <v>513</v>
      </c>
      <c r="S13">
        <v>294</v>
      </c>
      <c r="T13">
        <v>1347</v>
      </c>
    </row>
    <row r="14" spans="1:20" x14ac:dyDescent="0.3">
      <c r="A14">
        <v>13</v>
      </c>
      <c r="B14" t="s">
        <v>60</v>
      </c>
      <c r="C14" t="s">
        <v>34</v>
      </c>
      <c r="D14">
        <v>1159</v>
      </c>
      <c r="E14">
        <v>993</v>
      </c>
      <c r="F14">
        <v>0</v>
      </c>
      <c r="H14" t="str">
        <f>IF(B2="","",TEXT(B2,"dd/mm")&amp; "-" &amp;IF(UPPER(TRIM(C2))="CN",1,IF(UPPER(TRIM(C2))="CD",2,"")))</f>
        <v>01/04-1</v>
      </c>
      <c r="I14" s="1">
        <v>0.65</v>
      </c>
      <c r="J14" s="1">
        <v>0.8</v>
      </c>
      <c r="K14" s="1">
        <f t="shared" ref="K14:K45" si="0">IFERROR($E2/SUM($D2:$F2),"")</f>
        <v>0.53373662168450442</v>
      </c>
      <c r="L14" s="1">
        <f t="shared" ref="L14:L45" si="1">IFERROR($D2/SUM($D2:$F2),"")</f>
        <v>0.37040483946021407</v>
      </c>
      <c r="M14" s="1">
        <f t="shared" ref="M14:M45" si="2">IFERROR($F2/SUM($D2:$F2),"")</f>
        <v>9.5858538855281533E-2</v>
      </c>
      <c r="O14">
        <v>13</v>
      </c>
      <c r="P14" t="s">
        <v>59</v>
      </c>
      <c r="Q14" t="s">
        <v>37</v>
      </c>
      <c r="R14">
        <v>0</v>
      </c>
      <c r="S14">
        <v>0</v>
      </c>
      <c r="T14">
        <v>2160</v>
      </c>
    </row>
    <row r="15" spans="1:20" x14ac:dyDescent="0.3">
      <c r="A15">
        <v>14</v>
      </c>
      <c r="B15" t="s">
        <v>60</v>
      </c>
      <c r="C15" t="s">
        <v>37</v>
      </c>
      <c r="D15">
        <v>548</v>
      </c>
      <c r="E15">
        <v>1600</v>
      </c>
      <c r="F15">
        <v>0</v>
      </c>
      <c r="H15" t="str">
        <f t="shared" ref="H15:H46" si="3">IF(B3="","",TEXT(B3,"dd/mm") &amp; "-" &amp; IF(UPPER(TRIM(C3))="CN",1,IF(UPPER(TRIM(C3))="CD",2,"")))</f>
        <v>01/04-2</v>
      </c>
      <c r="I15" s="1">
        <v>0.65</v>
      </c>
      <c r="J15" s="1">
        <v>0.8</v>
      </c>
      <c r="K15" s="1">
        <f t="shared" si="0"/>
        <v>0.68755803156917361</v>
      </c>
      <c r="L15" s="1">
        <f t="shared" si="1"/>
        <v>0.24001857010213556</v>
      </c>
      <c r="M15" s="1">
        <f t="shared" si="2"/>
        <v>7.2423398328690811E-2</v>
      </c>
      <c r="O15">
        <v>14</v>
      </c>
      <c r="P15" t="s">
        <v>61</v>
      </c>
      <c r="Q15" t="s">
        <v>34</v>
      </c>
      <c r="R15">
        <v>550</v>
      </c>
      <c r="S15">
        <v>964</v>
      </c>
      <c r="T15">
        <v>631</v>
      </c>
    </row>
    <row r="16" spans="1:20" x14ac:dyDescent="0.3">
      <c r="A16">
        <v>15</v>
      </c>
      <c r="B16" t="s">
        <v>62</v>
      </c>
      <c r="C16" t="s">
        <v>34</v>
      </c>
      <c r="D16">
        <v>1028</v>
      </c>
      <c r="E16">
        <v>1123</v>
      </c>
      <c r="F16">
        <v>0</v>
      </c>
      <c r="H16" t="str">
        <f t="shared" si="3"/>
        <v>02/04-1</v>
      </c>
      <c r="I16" s="1">
        <v>0.65</v>
      </c>
      <c r="J16" s="1">
        <v>0.8</v>
      </c>
      <c r="K16" s="1">
        <f t="shared" si="0"/>
        <v>0.4550953932061424</v>
      </c>
      <c r="L16" s="1">
        <f t="shared" si="1"/>
        <v>0.44858073522568637</v>
      </c>
      <c r="M16" s="1">
        <f t="shared" si="2"/>
        <v>9.6323871568171238E-2</v>
      </c>
      <c r="O16">
        <v>15</v>
      </c>
      <c r="P16" t="s">
        <v>61</v>
      </c>
      <c r="Q16" t="s">
        <v>37</v>
      </c>
      <c r="R16">
        <v>673</v>
      </c>
      <c r="S16">
        <v>1173</v>
      </c>
      <c r="T16">
        <v>305</v>
      </c>
    </row>
    <row r="17" spans="1:20" x14ac:dyDescent="0.3">
      <c r="A17">
        <v>16</v>
      </c>
      <c r="B17" t="s">
        <v>62</v>
      </c>
      <c r="C17" t="s">
        <v>37</v>
      </c>
      <c r="D17">
        <v>592</v>
      </c>
      <c r="E17">
        <v>1549</v>
      </c>
      <c r="F17">
        <v>0</v>
      </c>
      <c r="H17" t="str">
        <f t="shared" si="3"/>
        <v>02/04-2</v>
      </c>
      <c r="I17" s="1">
        <v>0.65</v>
      </c>
      <c r="J17" s="1">
        <v>0.8</v>
      </c>
      <c r="K17" s="1">
        <f t="shared" si="0"/>
        <v>0.59507205950720599</v>
      </c>
      <c r="L17" s="1">
        <f t="shared" si="1"/>
        <v>0.33286843328684335</v>
      </c>
      <c r="M17" s="1">
        <f t="shared" si="2"/>
        <v>7.2059507205950724E-2</v>
      </c>
      <c r="O17">
        <v>16</v>
      </c>
      <c r="P17" t="s">
        <v>63</v>
      </c>
      <c r="Q17" t="s">
        <v>34</v>
      </c>
      <c r="R17">
        <v>687</v>
      </c>
      <c r="S17">
        <v>1038</v>
      </c>
      <c r="T17">
        <v>416</v>
      </c>
    </row>
    <row r="18" spans="1:20" x14ac:dyDescent="0.3">
      <c r="H18" t="str">
        <f t="shared" si="3"/>
        <v>03/04-1</v>
      </c>
      <c r="I18" s="1">
        <v>0.65</v>
      </c>
      <c r="J18" s="1">
        <v>0.8</v>
      </c>
      <c r="K18" s="1">
        <f t="shared" si="0"/>
        <v>0.55959031657355685</v>
      </c>
      <c r="L18" s="1">
        <f t="shared" si="1"/>
        <v>0.3440409683426443</v>
      </c>
      <c r="M18" s="1">
        <f t="shared" si="2"/>
        <v>9.6368715083798878E-2</v>
      </c>
      <c r="O18">
        <v>17</v>
      </c>
      <c r="P18" t="s">
        <v>63</v>
      </c>
      <c r="Q18" t="s">
        <v>37</v>
      </c>
      <c r="R18">
        <v>396</v>
      </c>
      <c r="S18">
        <v>1300</v>
      </c>
      <c r="T18">
        <v>459</v>
      </c>
    </row>
    <row r="19" spans="1:20" x14ac:dyDescent="0.3">
      <c r="H19" t="str">
        <f t="shared" si="3"/>
        <v>03/04-2</v>
      </c>
      <c r="I19" s="1">
        <v>0.65</v>
      </c>
      <c r="J19" s="1">
        <v>0.8</v>
      </c>
      <c r="K19" s="1">
        <f t="shared" si="0"/>
        <v>0.62343096234309625</v>
      </c>
      <c r="L19" s="1">
        <f t="shared" si="1"/>
        <v>0.30218503021850301</v>
      </c>
      <c r="M19" s="1">
        <f t="shared" si="2"/>
        <v>7.4384007438400748E-2</v>
      </c>
      <c r="O19">
        <v>18</v>
      </c>
      <c r="P19" t="s">
        <v>64</v>
      </c>
      <c r="Q19" t="s">
        <v>34</v>
      </c>
      <c r="R19">
        <v>524</v>
      </c>
      <c r="S19">
        <v>918</v>
      </c>
      <c r="T19">
        <v>706</v>
      </c>
    </row>
    <row r="20" spans="1:20" x14ac:dyDescent="0.3">
      <c r="H20" t="str">
        <f t="shared" si="3"/>
        <v>04/04-1</v>
      </c>
      <c r="I20" s="1">
        <v>0.65</v>
      </c>
      <c r="J20" s="1">
        <v>0.8</v>
      </c>
      <c r="K20" s="1">
        <f t="shared" si="0"/>
        <v>0.35081206496519723</v>
      </c>
      <c r="L20" s="1">
        <f t="shared" si="1"/>
        <v>0.41438515081206495</v>
      </c>
      <c r="M20" s="1">
        <f t="shared" si="2"/>
        <v>0.23480278422273781</v>
      </c>
      <c r="O20">
        <v>19</v>
      </c>
      <c r="P20" t="s">
        <v>64</v>
      </c>
      <c r="Q20" t="s">
        <v>37</v>
      </c>
      <c r="R20">
        <v>2</v>
      </c>
      <c r="S20">
        <v>0</v>
      </c>
      <c r="T20">
        <v>2157</v>
      </c>
    </row>
    <row r="21" spans="1:20" x14ac:dyDescent="0.3">
      <c r="H21" t="str">
        <f t="shared" si="3"/>
        <v>04/04-2</v>
      </c>
      <c r="I21" s="1">
        <v>0.65</v>
      </c>
      <c r="J21" s="1">
        <v>0.8</v>
      </c>
      <c r="K21" s="1">
        <f t="shared" si="0"/>
        <v>0.47585886722376974</v>
      </c>
      <c r="L21" s="1">
        <f t="shared" si="1"/>
        <v>0.29294336118848652</v>
      </c>
      <c r="M21" s="1">
        <f t="shared" si="2"/>
        <v>0.23119777158774374</v>
      </c>
      <c r="O21">
        <v>20</v>
      </c>
      <c r="P21" t="s">
        <v>65</v>
      </c>
      <c r="Q21" t="s">
        <v>34</v>
      </c>
      <c r="R21">
        <v>0</v>
      </c>
      <c r="S21">
        <v>0</v>
      </c>
      <c r="T21">
        <v>2160</v>
      </c>
    </row>
    <row r="22" spans="1:20" x14ac:dyDescent="0.3">
      <c r="H22" t="str">
        <f t="shared" si="3"/>
        <v>05/04-1</v>
      </c>
      <c r="I22" s="1">
        <v>0.65</v>
      </c>
      <c r="J22" s="1">
        <v>0.8</v>
      </c>
      <c r="K22" s="1">
        <f t="shared" si="0"/>
        <v>0.49441340782122906</v>
      </c>
      <c r="L22" s="1">
        <f t="shared" si="1"/>
        <v>0.28119180633147112</v>
      </c>
      <c r="M22" s="1">
        <f t="shared" si="2"/>
        <v>0.22439478584729983</v>
      </c>
      <c r="O22">
        <v>21</v>
      </c>
      <c r="P22" t="s">
        <v>65</v>
      </c>
      <c r="Q22" t="s">
        <v>37</v>
      </c>
      <c r="R22">
        <v>0</v>
      </c>
      <c r="S22">
        <v>0</v>
      </c>
      <c r="T22">
        <v>2160</v>
      </c>
    </row>
    <row r="23" spans="1:20" x14ac:dyDescent="0.3">
      <c r="H23" t="str">
        <f t="shared" si="3"/>
        <v>05/04-2</v>
      </c>
      <c r="I23" s="1">
        <v>0.65</v>
      </c>
      <c r="J23" s="1">
        <v>0.8</v>
      </c>
      <c r="K23" s="1">
        <f t="shared" si="0"/>
        <v>0</v>
      </c>
      <c r="L23" s="1">
        <f t="shared" si="1"/>
        <v>0</v>
      </c>
      <c r="M23" s="1">
        <f t="shared" si="2"/>
        <v>1</v>
      </c>
      <c r="O23">
        <v>22</v>
      </c>
      <c r="P23" t="s">
        <v>66</v>
      </c>
      <c r="Q23" t="s">
        <v>34</v>
      </c>
      <c r="R23">
        <v>585</v>
      </c>
      <c r="S23">
        <v>947</v>
      </c>
      <c r="T23">
        <v>617</v>
      </c>
    </row>
    <row r="24" spans="1:20" x14ac:dyDescent="0.3">
      <c r="H24" t="str">
        <f t="shared" si="3"/>
        <v>06/04-1</v>
      </c>
      <c r="I24" s="1">
        <v>0.65</v>
      </c>
      <c r="J24" s="1">
        <v>0.8</v>
      </c>
      <c r="K24" s="1">
        <f t="shared" si="0"/>
        <v>0.48535564853556484</v>
      </c>
      <c r="L24" s="1">
        <f t="shared" si="1"/>
        <v>0.23384472338447235</v>
      </c>
      <c r="M24" s="1">
        <f t="shared" si="2"/>
        <v>0.28079962807996278</v>
      </c>
      <c r="O24">
        <v>23</v>
      </c>
      <c r="P24" t="s">
        <v>66</v>
      </c>
      <c r="Q24" t="s">
        <v>37</v>
      </c>
      <c r="R24">
        <v>636</v>
      </c>
      <c r="S24">
        <v>1061</v>
      </c>
      <c r="T24">
        <v>446</v>
      </c>
    </row>
    <row r="25" spans="1:20" x14ac:dyDescent="0.3">
      <c r="H25" t="str">
        <f t="shared" si="3"/>
        <v>06/04-2</v>
      </c>
      <c r="I25" s="1">
        <v>0.65</v>
      </c>
      <c r="J25" s="1">
        <v>0.8</v>
      </c>
      <c r="K25" s="1">
        <f t="shared" si="0"/>
        <v>0.7095571095571096</v>
      </c>
      <c r="L25" s="1">
        <f t="shared" si="1"/>
        <v>0.29044289044289046</v>
      </c>
      <c r="M25" s="1">
        <f t="shared" si="2"/>
        <v>0</v>
      </c>
      <c r="O25">
        <v>24</v>
      </c>
      <c r="P25" t="s">
        <v>67</v>
      </c>
      <c r="Q25" t="s">
        <v>34</v>
      </c>
      <c r="R25">
        <v>518</v>
      </c>
      <c r="S25">
        <v>1012</v>
      </c>
      <c r="T25">
        <v>618</v>
      </c>
    </row>
    <row r="26" spans="1:20" x14ac:dyDescent="0.3">
      <c r="H26" t="str">
        <f t="shared" si="3"/>
        <v>07/04-1</v>
      </c>
      <c r="I26" s="1">
        <v>0.65</v>
      </c>
      <c r="J26" s="1">
        <v>0.8</v>
      </c>
      <c r="K26" s="1">
        <f t="shared" si="0"/>
        <v>0.46143122676579923</v>
      </c>
      <c r="L26" s="1">
        <f t="shared" si="1"/>
        <v>0.53856877323420072</v>
      </c>
      <c r="M26" s="1">
        <f t="shared" si="2"/>
        <v>0</v>
      </c>
      <c r="O26">
        <v>25</v>
      </c>
      <c r="P26" t="s">
        <v>67</v>
      </c>
      <c r="Q26" t="s">
        <v>37</v>
      </c>
      <c r="R26">
        <v>602</v>
      </c>
      <c r="S26">
        <v>1392</v>
      </c>
      <c r="T26">
        <v>152</v>
      </c>
    </row>
    <row r="27" spans="1:20" x14ac:dyDescent="0.3">
      <c r="H27" t="str">
        <f t="shared" si="3"/>
        <v>07/04-2</v>
      </c>
      <c r="I27" s="1">
        <v>0.65</v>
      </c>
      <c r="J27" s="1">
        <v>0.8</v>
      </c>
      <c r="K27" s="1">
        <f t="shared" si="0"/>
        <v>0.74487895716945995</v>
      </c>
      <c r="L27" s="1">
        <f t="shared" si="1"/>
        <v>0.25512104283054005</v>
      </c>
      <c r="M27" s="1">
        <f t="shared" si="2"/>
        <v>0</v>
      </c>
      <c r="O27">
        <v>26</v>
      </c>
      <c r="P27" t="s">
        <v>68</v>
      </c>
      <c r="Q27" t="s">
        <v>34</v>
      </c>
      <c r="R27">
        <v>970</v>
      </c>
      <c r="S27">
        <v>967</v>
      </c>
      <c r="T27">
        <v>213</v>
      </c>
    </row>
    <row r="28" spans="1:20" x14ac:dyDescent="0.3">
      <c r="H28" t="str">
        <f t="shared" si="3"/>
        <v>08/04-1</v>
      </c>
      <c r="I28" s="1">
        <v>0.65</v>
      </c>
      <c r="J28" s="1">
        <v>0.8</v>
      </c>
      <c r="K28" s="1">
        <f t="shared" si="0"/>
        <v>0.52208275220827527</v>
      </c>
      <c r="L28" s="1">
        <f t="shared" si="1"/>
        <v>0.47791724779172479</v>
      </c>
      <c r="M28" s="1">
        <f t="shared" si="2"/>
        <v>0</v>
      </c>
      <c r="O28">
        <v>27</v>
      </c>
      <c r="P28" t="s">
        <v>68</v>
      </c>
      <c r="Q28" t="s">
        <v>37</v>
      </c>
      <c r="R28">
        <v>677</v>
      </c>
      <c r="S28">
        <v>1162</v>
      </c>
      <c r="T28">
        <v>302</v>
      </c>
    </row>
    <row r="29" spans="1:20" x14ac:dyDescent="0.3">
      <c r="H29" t="str">
        <f t="shared" si="3"/>
        <v>08/04-2</v>
      </c>
      <c r="I29" s="1">
        <v>0.65</v>
      </c>
      <c r="J29" s="1">
        <v>0.8</v>
      </c>
      <c r="K29" s="1">
        <f t="shared" si="0"/>
        <v>0.72349369453526391</v>
      </c>
      <c r="L29" s="1">
        <f t="shared" si="1"/>
        <v>0.27650630546473609</v>
      </c>
      <c r="M29" s="1">
        <f t="shared" si="2"/>
        <v>0</v>
      </c>
      <c r="O29">
        <v>28</v>
      </c>
      <c r="P29" t="s">
        <v>69</v>
      </c>
      <c r="Q29" t="s">
        <v>34</v>
      </c>
      <c r="R29">
        <v>912</v>
      </c>
      <c r="S29">
        <v>827</v>
      </c>
      <c r="T29">
        <v>413</v>
      </c>
    </row>
    <row r="30" spans="1:20" x14ac:dyDescent="0.3">
      <c r="H30" t="str">
        <f t="shared" si="3"/>
        <v/>
      </c>
      <c r="I30" s="1"/>
      <c r="J30" s="1"/>
      <c r="K30" s="1" t="str">
        <f t="shared" si="0"/>
        <v/>
      </c>
      <c r="L30" s="1" t="str">
        <f t="shared" si="1"/>
        <v/>
      </c>
      <c r="M30" s="1" t="str">
        <f t="shared" si="2"/>
        <v/>
      </c>
      <c r="O30">
        <v>29</v>
      </c>
      <c r="P30" t="s">
        <v>69</v>
      </c>
      <c r="Q30" t="s">
        <v>37</v>
      </c>
      <c r="R30">
        <v>755</v>
      </c>
      <c r="S30">
        <v>1387</v>
      </c>
      <c r="T30">
        <v>0</v>
      </c>
    </row>
    <row r="31" spans="1:20" x14ac:dyDescent="0.3">
      <c r="H31" t="str">
        <f t="shared" si="3"/>
        <v/>
      </c>
      <c r="I31" s="1"/>
      <c r="J31" s="1"/>
      <c r="K31" s="1" t="str">
        <f t="shared" si="0"/>
        <v/>
      </c>
      <c r="L31" s="1" t="str">
        <f t="shared" si="1"/>
        <v/>
      </c>
      <c r="M31" s="1" t="str">
        <f t="shared" si="2"/>
        <v/>
      </c>
      <c r="O31">
        <v>30</v>
      </c>
      <c r="P31" t="s">
        <v>70</v>
      </c>
      <c r="Q31" t="s">
        <v>34</v>
      </c>
      <c r="R31">
        <v>1141</v>
      </c>
      <c r="S31">
        <v>1010</v>
      </c>
      <c r="T31">
        <v>0</v>
      </c>
    </row>
    <row r="32" spans="1:20" x14ac:dyDescent="0.3">
      <c r="H32" t="str">
        <f t="shared" si="3"/>
        <v/>
      </c>
      <c r="I32" s="1"/>
      <c r="J32" s="1"/>
      <c r="K32" s="1" t="str">
        <f t="shared" si="0"/>
        <v/>
      </c>
      <c r="L32" s="1" t="str">
        <f t="shared" si="1"/>
        <v/>
      </c>
      <c r="M32" s="1" t="str">
        <f t="shared" si="2"/>
        <v/>
      </c>
      <c r="O32">
        <v>31</v>
      </c>
      <c r="P32" t="s">
        <v>70</v>
      </c>
      <c r="Q32" t="s">
        <v>37</v>
      </c>
      <c r="R32">
        <v>876</v>
      </c>
      <c r="S32">
        <v>1059</v>
      </c>
      <c r="T32">
        <v>211</v>
      </c>
    </row>
    <row r="33" spans="8:20" x14ac:dyDescent="0.3">
      <c r="H33" t="str">
        <f t="shared" si="3"/>
        <v/>
      </c>
      <c r="I33" s="1"/>
      <c r="J33" s="1"/>
      <c r="K33" s="1" t="str">
        <f t="shared" si="0"/>
        <v/>
      </c>
      <c r="L33" s="1" t="str">
        <f t="shared" si="1"/>
        <v/>
      </c>
      <c r="M33" s="1" t="str">
        <f t="shared" si="2"/>
        <v/>
      </c>
      <c r="O33">
        <v>32</v>
      </c>
      <c r="P33" t="s">
        <v>71</v>
      </c>
      <c r="Q33" t="s">
        <v>34</v>
      </c>
      <c r="R33">
        <v>1066</v>
      </c>
      <c r="S33">
        <v>868</v>
      </c>
      <c r="T33">
        <v>215</v>
      </c>
    </row>
    <row r="34" spans="8:20" x14ac:dyDescent="0.3">
      <c r="H34" t="str">
        <f t="shared" si="3"/>
        <v/>
      </c>
      <c r="I34" s="1"/>
      <c r="J34" s="1"/>
      <c r="K34" s="1" t="str">
        <f t="shared" si="0"/>
        <v/>
      </c>
      <c r="L34" s="1" t="str">
        <f t="shared" si="1"/>
        <v/>
      </c>
      <c r="M34" s="1" t="str">
        <f t="shared" si="2"/>
        <v/>
      </c>
      <c r="O34">
        <v>33</v>
      </c>
      <c r="P34" t="s">
        <v>71</v>
      </c>
      <c r="Q34" t="s">
        <v>37</v>
      </c>
      <c r="R34">
        <v>785</v>
      </c>
      <c r="S34">
        <v>1123</v>
      </c>
      <c r="T34">
        <v>241</v>
      </c>
    </row>
    <row r="35" spans="8:20" x14ac:dyDescent="0.3">
      <c r="H35" t="str">
        <f t="shared" si="3"/>
        <v/>
      </c>
      <c r="I35" s="1"/>
      <c r="J35" s="1"/>
      <c r="K35" s="1" t="str">
        <f t="shared" si="0"/>
        <v/>
      </c>
      <c r="L35" s="1" t="str">
        <f t="shared" si="1"/>
        <v/>
      </c>
      <c r="M35" s="1" t="str">
        <f t="shared" si="2"/>
        <v/>
      </c>
      <c r="O35">
        <v>34</v>
      </c>
      <c r="P35" t="s">
        <v>72</v>
      </c>
      <c r="Q35" t="s">
        <v>34</v>
      </c>
      <c r="R35">
        <v>979</v>
      </c>
      <c r="S35">
        <v>848</v>
      </c>
      <c r="T35">
        <v>327</v>
      </c>
    </row>
    <row r="36" spans="8:20" x14ac:dyDescent="0.3">
      <c r="H36" t="str">
        <f t="shared" si="3"/>
        <v/>
      </c>
      <c r="I36" s="1"/>
      <c r="J36" s="1"/>
      <c r="K36" s="1" t="str">
        <f t="shared" si="0"/>
        <v/>
      </c>
      <c r="L36" s="1" t="str">
        <f t="shared" si="1"/>
        <v/>
      </c>
      <c r="M36" s="1" t="str">
        <f t="shared" si="2"/>
        <v/>
      </c>
      <c r="O36">
        <v>35</v>
      </c>
      <c r="P36" t="s">
        <v>72</v>
      </c>
      <c r="Q36" t="s">
        <v>37</v>
      </c>
      <c r="R36">
        <v>76</v>
      </c>
      <c r="S36">
        <v>161</v>
      </c>
      <c r="T36">
        <v>1920</v>
      </c>
    </row>
    <row r="37" spans="8:20" x14ac:dyDescent="0.3">
      <c r="H37" t="str">
        <f t="shared" si="3"/>
        <v/>
      </c>
      <c r="I37" s="1"/>
      <c r="J37" s="1"/>
      <c r="K37" s="1" t="str">
        <f t="shared" si="0"/>
        <v/>
      </c>
      <c r="L37" s="1" t="str">
        <f t="shared" si="1"/>
        <v/>
      </c>
      <c r="M37" s="1" t="str">
        <f t="shared" si="2"/>
        <v/>
      </c>
      <c r="O37">
        <v>36</v>
      </c>
      <c r="P37" t="s">
        <v>73</v>
      </c>
      <c r="Q37" t="s">
        <v>34</v>
      </c>
      <c r="R37">
        <v>445</v>
      </c>
      <c r="S37">
        <v>1088</v>
      </c>
      <c r="T37">
        <v>612</v>
      </c>
    </row>
    <row r="38" spans="8:20" x14ac:dyDescent="0.3">
      <c r="H38" t="str">
        <f t="shared" si="3"/>
        <v/>
      </c>
      <c r="I38" s="1"/>
      <c r="J38" s="1"/>
      <c r="K38" s="1" t="str">
        <f t="shared" si="0"/>
        <v/>
      </c>
      <c r="L38" s="1" t="str">
        <f t="shared" si="1"/>
        <v/>
      </c>
      <c r="M38" s="1" t="str">
        <f t="shared" si="2"/>
        <v/>
      </c>
      <c r="O38">
        <v>37</v>
      </c>
      <c r="P38" t="s">
        <v>73</v>
      </c>
      <c r="Q38" t="s">
        <v>37</v>
      </c>
      <c r="R38">
        <v>600</v>
      </c>
      <c r="S38">
        <v>1249</v>
      </c>
      <c r="T38">
        <v>299</v>
      </c>
    </row>
    <row r="39" spans="8:20" x14ac:dyDescent="0.3">
      <c r="H39" t="str">
        <f t="shared" si="3"/>
        <v/>
      </c>
      <c r="I39" s="1"/>
      <c r="J39" s="1"/>
      <c r="K39" s="1" t="str">
        <f t="shared" si="0"/>
        <v/>
      </c>
      <c r="L39" s="1" t="str">
        <f t="shared" si="1"/>
        <v/>
      </c>
      <c r="M39" s="1" t="str">
        <f t="shared" si="2"/>
        <v/>
      </c>
      <c r="O39">
        <v>38</v>
      </c>
      <c r="P39" t="s">
        <v>74</v>
      </c>
      <c r="Q39" t="s">
        <v>34</v>
      </c>
      <c r="R39">
        <v>663</v>
      </c>
      <c r="S39">
        <v>1072</v>
      </c>
      <c r="T39">
        <v>412</v>
      </c>
    </row>
    <row r="40" spans="8:20" x14ac:dyDescent="0.3">
      <c r="H40" t="str">
        <f t="shared" si="3"/>
        <v/>
      </c>
      <c r="I40" s="1"/>
      <c r="J40" s="1"/>
      <c r="K40" s="1" t="str">
        <f t="shared" si="0"/>
        <v/>
      </c>
      <c r="L40" s="1" t="str">
        <f t="shared" si="1"/>
        <v/>
      </c>
      <c r="M40" s="1" t="str">
        <f t="shared" si="2"/>
        <v/>
      </c>
      <c r="O40">
        <v>39</v>
      </c>
      <c r="P40" t="s">
        <v>74</v>
      </c>
      <c r="Q40" t="s">
        <v>37</v>
      </c>
      <c r="R40">
        <v>927</v>
      </c>
      <c r="S40">
        <v>1012</v>
      </c>
      <c r="T40">
        <v>214</v>
      </c>
    </row>
    <row r="41" spans="8:20" x14ac:dyDescent="0.3">
      <c r="H41" t="str">
        <f t="shared" si="3"/>
        <v/>
      </c>
      <c r="I41" s="1"/>
      <c r="J41" s="1"/>
      <c r="K41" s="1" t="str">
        <f t="shared" si="0"/>
        <v/>
      </c>
      <c r="L41" s="1" t="str">
        <f t="shared" si="1"/>
        <v/>
      </c>
      <c r="M41" s="1" t="str">
        <f t="shared" si="2"/>
        <v/>
      </c>
      <c r="O41">
        <v>40</v>
      </c>
      <c r="P41" t="s">
        <v>75</v>
      </c>
      <c r="Q41" t="s">
        <v>34</v>
      </c>
      <c r="R41">
        <v>909</v>
      </c>
      <c r="S41">
        <v>1034</v>
      </c>
      <c r="T41">
        <v>204</v>
      </c>
    </row>
    <row r="42" spans="8:20" x14ac:dyDescent="0.3">
      <c r="H42" t="str">
        <f t="shared" si="3"/>
        <v/>
      </c>
      <c r="I42" s="1"/>
      <c r="J42" s="1"/>
      <c r="K42" s="1" t="str">
        <f t="shared" si="0"/>
        <v/>
      </c>
      <c r="L42" s="1" t="str">
        <f t="shared" si="1"/>
        <v/>
      </c>
      <c r="M42" s="1" t="str">
        <f t="shared" si="2"/>
        <v/>
      </c>
      <c r="O42">
        <v>41</v>
      </c>
      <c r="P42" t="s">
        <v>75</v>
      </c>
      <c r="Q42" t="s">
        <v>37</v>
      </c>
      <c r="R42">
        <v>752</v>
      </c>
      <c r="S42">
        <v>1095</v>
      </c>
      <c r="T42">
        <v>302</v>
      </c>
    </row>
    <row r="43" spans="8:20" x14ac:dyDescent="0.3">
      <c r="H43" t="str">
        <f t="shared" si="3"/>
        <v/>
      </c>
      <c r="I43" s="1"/>
      <c r="J43" s="1"/>
      <c r="K43" s="1" t="str">
        <f t="shared" si="0"/>
        <v/>
      </c>
      <c r="L43" s="1" t="str">
        <f t="shared" si="1"/>
        <v/>
      </c>
      <c r="M43" s="1" t="str">
        <f t="shared" si="2"/>
        <v/>
      </c>
      <c r="O43">
        <v>42</v>
      </c>
      <c r="P43" t="s">
        <v>76</v>
      </c>
      <c r="Q43" t="s">
        <v>34</v>
      </c>
      <c r="R43">
        <v>765</v>
      </c>
      <c r="S43">
        <v>967</v>
      </c>
      <c r="T43">
        <v>413</v>
      </c>
    </row>
    <row r="44" spans="8:20" x14ac:dyDescent="0.3">
      <c r="H44" t="str">
        <f t="shared" si="3"/>
        <v/>
      </c>
      <c r="I44" s="1"/>
      <c r="J44" s="1"/>
      <c r="K44" s="1" t="str">
        <f t="shared" si="0"/>
        <v/>
      </c>
      <c r="L44" s="1" t="str">
        <f t="shared" si="1"/>
        <v/>
      </c>
      <c r="M44" s="1" t="str">
        <f t="shared" si="2"/>
        <v/>
      </c>
      <c r="O44">
        <v>43</v>
      </c>
      <c r="P44" t="s">
        <v>76</v>
      </c>
      <c r="Q44" t="s">
        <v>37</v>
      </c>
      <c r="R44">
        <v>704</v>
      </c>
      <c r="S44">
        <v>1141</v>
      </c>
      <c r="T44">
        <v>305</v>
      </c>
    </row>
    <row r="45" spans="8:20" x14ac:dyDescent="0.3">
      <c r="H45" t="str">
        <f t="shared" si="3"/>
        <v/>
      </c>
      <c r="I45" s="1"/>
      <c r="J45" s="1"/>
      <c r="K45" s="1" t="str">
        <f t="shared" si="0"/>
        <v/>
      </c>
      <c r="L45" s="1" t="str">
        <f t="shared" si="1"/>
        <v/>
      </c>
      <c r="M45" s="1" t="str">
        <f t="shared" si="2"/>
        <v/>
      </c>
      <c r="O45">
        <v>44</v>
      </c>
      <c r="P45" t="s">
        <v>77</v>
      </c>
      <c r="Q45" t="s">
        <v>34</v>
      </c>
      <c r="R45">
        <v>699</v>
      </c>
      <c r="S45">
        <v>1027</v>
      </c>
      <c r="T45">
        <v>416</v>
      </c>
    </row>
    <row r="46" spans="8:20" x14ac:dyDescent="0.3">
      <c r="H46" t="str">
        <f t="shared" si="3"/>
        <v/>
      </c>
      <c r="I46" s="1"/>
      <c r="J46" s="1"/>
      <c r="K46" s="1" t="str">
        <f t="shared" ref="K46:K77" si="4">IFERROR($E34/SUM($D34:$F34),"")</f>
        <v/>
      </c>
      <c r="L46" s="1" t="str">
        <f t="shared" ref="L46:L77" si="5">IFERROR($D34/SUM($D34:$F34),"")</f>
        <v/>
      </c>
      <c r="M46" s="1" t="str">
        <f t="shared" ref="M46:M77" si="6">IFERROR($F34/SUM($D34:$F34),"")</f>
        <v/>
      </c>
      <c r="O46">
        <v>45</v>
      </c>
      <c r="P46" t="s">
        <v>77</v>
      </c>
      <c r="Q46" t="s">
        <v>37</v>
      </c>
      <c r="R46">
        <v>789</v>
      </c>
      <c r="S46">
        <v>1210</v>
      </c>
      <c r="T46">
        <v>151</v>
      </c>
    </row>
    <row r="47" spans="8:20" x14ac:dyDescent="0.3">
      <c r="H47" t="str">
        <f t="shared" ref="H47:H78" si="7">IF(B35="","",TEXT(B35,"dd/mm") &amp; "-" &amp; IF(UPPER(TRIM(C35))="CN",1,IF(UPPER(TRIM(C35))="CD",2,"")))</f>
        <v/>
      </c>
      <c r="I47" s="1"/>
      <c r="J47" s="1"/>
      <c r="K47" s="1" t="str">
        <f t="shared" si="4"/>
        <v/>
      </c>
      <c r="L47" s="1" t="str">
        <f t="shared" si="5"/>
        <v/>
      </c>
      <c r="M47" s="1" t="str">
        <f t="shared" si="6"/>
        <v/>
      </c>
      <c r="O47">
        <v>46</v>
      </c>
      <c r="P47" t="s">
        <v>78</v>
      </c>
      <c r="Q47" t="s">
        <v>34</v>
      </c>
      <c r="R47">
        <v>875</v>
      </c>
      <c r="S47">
        <v>799</v>
      </c>
      <c r="T47">
        <v>478</v>
      </c>
    </row>
    <row r="48" spans="8:20" x14ac:dyDescent="0.3">
      <c r="H48" t="str">
        <f t="shared" si="7"/>
        <v/>
      </c>
      <c r="I48" s="1"/>
      <c r="J48" s="1"/>
      <c r="K48" s="1" t="str">
        <f t="shared" si="4"/>
        <v/>
      </c>
      <c r="L48" s="1" t="str">
        <f t="shared" si="5"/>
        <v/>
      </c>
      <c r="M48" s="1" t="str">
        <f t="shared" si="6"/>
        <v/>
      </c>
      <c r="O48">
        <v>47</v>
      </c>
      <c r="P48" t="s">
        <v>78</v>
      </c>
      <c r="Q48" t="s">
        <v>37</v>
      </c>
      <c r="R48">
        <v>1072</v>
      </c>
      <c r="S48">
        <v>1081</v>
      </c>
      <c r="T48">
        <v>1</v>
      </c>
    </row>
    <row r="49" spans="8:20" x14ac:dyDescent="0.3">
      <c r="H49" t="str">
        <f t="shared" si="7"/>
        <v/>
      </c>
      <c r="I49" s="1"/>
      <c r="J49" s="1"/>
      <c r="K49" s="1" t="str">
        <f t="shared" si="4"/>
        <v/>
      </c>
      <c r="L49" s="1" t="str">
        <f t="shared" si="5"/>
        <v/>
      </c>
      <c r="M49" s="1" t="str">
        <f t="shared" si="6"/>
        <v/>
      </c>
      <c r="O49">
        <v>48</v>
      </c>
      <c r="P49" t="s">
        <v>79</v>
      </c>
      <c r="Q49" t="s">
        <v>34</v>
      </c>
      <c r="R49">
        <v>969</v>
      </c>
      <c r="S49">
        <v>828</v>
      </c>
      <c r="T49">
        <v>355</v>
      </c>
    </row>
    <row r="50" spans="8:20" x14ac:dyDescent="0.3">
      <c r="H50" t="str">
        <f t="shared" si="7"/>
        <v/>
      </c>
      <c r="I50" s="1"/>
      <c r="J50" s="1"/>
      <c r="K50" s="1" t="str">
        <f t="shared" si="4"/>
        <v/>
      </c>
      <c r="L50" s="1" t="str">
        <f t="shared" si="5"/>
        <v/>
      </c>
      <c r="M50" s="1" t="str">
        <f t="shared" si="6"/>
        <v/>
      </c>
      <c r="O50">
        <v>49</v>
      </c>
      <c r="P50" t="s">
        <v>79</v>
      </c>
      <c r="Q50" t="s">
        <v>37</v>
      </c>
      <c r="R50">
        <v>1</v>
      </c>
      <c r="S50">
        <v>0</v>
      </c>
      <c r="T50">
        <v>2159</v>
      </c>
    </row>
    <row r="51" spans="8:20" x14ac:dyDescent="0.3">
      <c r="H51" t="str">
        <f t="shared" si="7"/>
        <v/>
      </c>
      <c r="I51" s="1"/>
      <c r="J51" s="1"/>
      <c r="K51" s="1" t="str">
        <f t="shared" si="4"/>
        <v/>
      </c>
      <c r="L51" s="1" t="str">
        <f t="shared" si="5"/>
        <v/>
      </c>
      <c r="M51" s="1" t="str">
        <f t="shared" si="6"/>
        <v/>
      </c>
      <c r="O51">
        <v>50</v>
      </c>
      <c r="P51" t="s">
        <v>80</v>
      </c>
      <c r="Q51" t="s">
        <v>34</v>
      </c>
      <c r="R51">
        <v>539</v>
      </c>
      <c r="S51">
        <v>856</v>
      </c>
      <c r="T51">
        <v>758</v>
      </c>
    </row>
    <row r="52" spans="8:20" x14ac:dyDescent="0.3">
      <c r="H52" t="str">
        <f t="shared" si="7"/>
        <v/>
      </c>
      <c r="I52" s="1"/>
      <c r="J52" s="1"/>
      <c r="K52" s="1" t="str">
        <f t="shared" si="4"/>
        <v/>
      </c>
      <c r="L52" s="1" t="str">
        <f t="shared" si="5"/>
        <v/>
      </c>
      <c r="M52" s="1" t="str">
        <f t="shared" si="6"/>
        <v/>
      </c>
      <c r="O52">
        <v>51</v>
      </c>
      <c r="P52" t="s">
        <v>80</v>
      </c>
      <c r="Q52" t="s">
        <v>37</v>
      </c>
      <c r="R52">
        <v>664</v>
      </c>
      <c r="S52">
        <v>1186</v>
      </c>
      <c r="T52">
        <v>297</v>
      </c>
    </row>
    <row r="53" spans="8:20" x14ac:dyDescent="0.3">
      <c r="H53" t="str">
        <f t="shared" si="7"/>
        <v/>
      </c>
      <c r="I53" s="1"/>
      <c r="J53" s="1"/>
      <c r="K53" s="1" t="str">
        <f t="shared" si="4"/>
        <v/>
      </c>
      <c r="L53" s="1" t="str">
        <f t="shared" si="5"/>
        <v/>
      </c>
      <c r="M53" s="1" t="str">
        <f t="shared" si="6"/>
        <v/>
      </c>
      <c r="O53">
        <v>52</v>
      </c>
      <c r="P53" t="s">
        <v>81</v>
      </c>
      <c r="Q53" t="s">
        <v>34</v>
      </c>
      <c r="R53">
        <v>533</v>
      </c>
      <c r="S53">
        <v>1198</v>
      </c>
      <c r="T53">
        <v>423</v>
      </c>
    </row>
    <row r="54" spans="8:20" x14ac:dyDescent="0.3">
      <c r="H54" t="str">
        <f t="shared" si="7"/>
        <v/>
      </c>
      <c r="I54" s="1"/>
      <c r="J54" s="1"/>
      <c r="K54" s="1" t="str">
        <f t="shared" si="4"/>
        <v/>
      </c>
      <c r="L54" s="1" t="str">
        <f t="shared" si="5"/>
        <v/>
      </c>
      <c r="M54" s="1" t="str">
        <f t="shared" si="6"/>
        <v/>
      </c>
      <c r="O54">
        <v>53</v>
      </c>
      <c r="P54" t="s">
        <v>81</v>
      </c>
      <c r="Q54" t="s">
        <v>37</v>
      </c>
      <c r="R54">
        <v>502</v>
      </c>
      <c r="S54">
        <v>1652</v>
      </c>
      <c r="T54">
        <v>0</v>
      </c>
    </row>
    <row r="55" spans="8:20" x14ac:dyDescent="0.3">
      <c r="H55" t="str">
        <f t="shared" si="7"/>
        <v/>
      </c>
      <c r="I55" s="1"/>
      <c r="J55" s="1"/>
      <c r="K55" s="1" t="str">
        <f t="shared" si="4"/>
        <v/>
      </c>
      <c r="L55" s="1" t="str">
        <f t="shared" si="5"/>
        <v/>
      </c>
      <c r="M55" s="1" t="str">
        <f t="shared" si="6"/>
        <v/>
      </c>
      <c r="O55">
        <v>54</v>
      </c>
      <c r="P55" t="s">
        <v>82</v>
      </c>
      <c r="Q55" t="s">
        <v>34</v>
      </c>
      <c r="R55">
        <v>927</v>
      </c>
      <c r="S55">
        <v>1227</v>
      </c>
      <c r="T55">
        <v>0</v>
      </c>
    </row>
    <row r="56" spans="8:20" x14ac:dyDescent="0.3">
      <c r="H56" t="str">
        <f t="shared" si="7"/>
        <v/>
      </c>
      <c r="I56" s="1"/>
      <c r="J56" s="1"/>
      <c r="K56" s="1" t="str">
        <f t="shared" si="4"/>
        <v/>
      </c>
      <c r="L56" s="1" t="str">
        <f t="shared" si="5"/>
        <v/>
      </c>
      <c r="M56" s="1" t="str">
        <f t="shared" si="6"/>
        <v/>
      </c>
      <c r="O56">
        <v>55</v>
      </c>
      <c r="P56" t="s">
        <v>82</v>
      </c>
      <c r="Q56" t="s">
        <v>37</v>
      </c>
      <c r="R56">
        <v>411</v>
      </c>
      <c r="S56">
        <v>1430</v>
      </c>
      <c r="T56">
        <v>304</v>
      </c>
    </row>
    <row r="57" spans="8:20" x14ac:dyDescent="0.3">
      <c r="H57" t="str">
        <f t="shared" si="7"/>
        <v/>
      </c>
      <c r="I57" s="1"/>
      <c r="J57" s="1"/>
      <c r="K57" s="1" t="str">
        <f t="shared" si="4"/>
        <v/>
      </c>
      <c r="L57" s="1" t="str">
        <f t="shared" si="5"/>
        <v/>
      </c>
      <c r="M57" s="1" t="str">
        <f t="shared" si="6"/>
        <v/>
      </c>
      <c r="O57">
        <v>56</v>
      </c>
      <c r="P57" t="s">
        <v>83</v>
      </c>
      <c r="Q57" t="s">
        <v>34</v>
      </c>
      <c r="R57">
        <v>686</v>
      </c>
      <c r="S57">
        <v>1051</v>
      </c>
      <c r="T57">
        <v>412</v>
      </c>
    </row>
    <row r="58" spans="8:20" x14ac:dyDescent="0.3">
      <c r="H58" t="str">
        <f t="shared" si="7"/>
        <v/>
      </c>
      <c r="I58" s="1"/>
      <c r="J58" s="1"/>
      <c r="K58" s="1" t="str">
        <f t="shared" si="4"/>
        <v/>
      </c>
      <c r="L58" s="1" t="str">
        <f t="shared" si="5"/>
        <v/>
      </c>
      <c r="M58" s="1" t="str">
        <f t="shared" si="6"/>
        <v/>
      </c>
      <c r="O58">
        <v>57</v>
      </c>
      <c r="P58" t="s">
        <v>83</v>
      </c>
      <c r="Q58" t="s">
        <v>37</v>
      </c>
      <c r="R58">
        <v>583</v>
      </c>
      <c r="S58">
        <v>1250</v>
      </c>
      <c r="T58">
        <v>305</v>
      </c>
    </row>
    <row r="59" spans="8:20" x14ac:dyDescent="0.3">
      <c r="H59" t="str">
        <f t="shared" si="7"/>
        <v/>
      </c>
      <c r="I59" s="1"/>
      <c r="J59" s="1"/>
      <c r="K59" s="1" t="str">
        <f t="shared" si="4"/>
        <v/>
      </c>
      <c r="L59" s="1" t="str">
        <f t="shared" si="5"/>
        <v/>
      </c>
      <c r="M59" s="1" t="str">
        <f t="shared" si="6"/>
        <v/>
      </c>
      <c r="O59">
        <v>58</v>
      </c>
      <c r="P59" t="s">
        <v>84</v>
      </c>
      <c r="Q59" t="s">
        <v>34</v>
      </c>
      <c r="R59">
        <v>746</v>
      </c>
      <c r="S59">
        <v>989</v>
      </c>
      <c r="T59">
        <v>416</v>
      </c>
    </row>
    <row r="60" spans="8:20" x14ac:dyDescent="0.3">
      <c r="H60" t="str">
        <f t="shared" si="7"/>
        <v/>
      </c>
      <c r="I60" s="1"/>
      <c r="J60" s="1"/>
      <c r="K60" s="1" t="str">
        <f t="shared" si="4"/>
        <v/>
      </c>
      <c r="L60" s="1" t="str">
        <f t="shared" si="5"/>
        <v/>
      </c>
      <c r="M60" s="1" t="str">
        <f t="shared" si="6"/>
        <v/>
      </c>
      <c r="O60">
        <v>59</v>
      </c>
      <c r="P60" t="s">
        <v>84</v>
      </c>
      <c r="Q60" t="s">
        <v>37</v>
      </c>
      <c r="R60">
        <v>452</v>
      </c>
      <c r="S60">
        <v>1387</v>
      </c>
      <c r="T60">
        <v>303</v>
      </c>
    </row>
    <row r="61" spans="8:20" x14ac:dyDescent="0.3">
      <c r="H61" t="str">
        <f t="shared" si="7"/>
        <v/>
      </c>
      <c r="I61" s="1"/>
      <c r="J61" s="1"/>
      <c r="K61" s="1" t="str">
        <f t="shared" si="4"/>
        <v/>
      </c>
      <c r="L61" s="1" t="str">
        <f t="shared" si="5"/>
        <v/>
      </c>
      <c r="M61" s="1" t="str">
        <f t="shared" si="6"/>
        <v/>
      </c>
      <c r="O61">
        <v>60</v>
      </c>
      <c r="P61" t="s">
        <v>85</v>
      </c>
      <c r="Q61" t="s">
        <v>34</v>
      </c>
      <c r="R61">
        <v>654</v>
      </c>
      <c r="S61">
        <v>1025</v>
      </c>
      <c r="T61">
        <v>474</v>
      </c>
    </row>
    <row r="62" spans="8:20" x14ac:dyDescent="0.3">
      <c r="H62" t="str">
        <f t="shared" si="7"/>
        <v/>
      </c>
      <c r="I62" s="1"/>
      <c r="J62" s="1"/>
      <c r="K62" s="1" t="str">
        <f t="shared" si="4"/>
        <v/>
      </c>
      <c r="L62" s="1" t="str">
        <f t="shared" si="5"/>
        <v/>
      </c>
      <c r="M62" s="1" t="str">
        <f t="shared" si="6"/>
        <v/>
      </c>
      <c r="O62">
        <v>61</v>
      </c>
      <c r="P62" t="s">
        <v>85</v>
      </c>
      <c r="Q62" t="s">
        <v>37</v>
      </c>
      <c r="R62">
        <v>334</v>
      </c>
      <c r="S62">
        <v>1091</v>
      </c>
      <c r="T62">
        <v>722</v>
      </c>
    </row>
    <row r="63" spans="8:20" x14ac:dyDescent="0.3">
      <c r="H63" t="str">
        <f t="shared" si="7"/>
        <v/>
      </c>
      <c r="I63" s="1"/>
      <c r="J63" s="1"/>
      <c r="K63" s="1" t="str">
        <f t="shared" si="4"/>
        <v/>
      </c>
      <c r="L63" s="1" t="str">
        <f t="shared" si="5"/>
        <v/>
      </c>
      <c r="M63" s="1" t="str">
        <f t="shared" si="6"/>
        <v/>
      </c>
      <c r="O63">
        <v>62</v>
      </c>
      <c r="P63" t="s">
        <v>86</v>
      </c>
      <c r="Q63" t="s">
        <v>34</v>
      </c>
      <c r="R63">
        <v>0</v>
      </c>
      <c r="S63">
        <v>0</v>
      </c>
      <c r="T63">
        <v>2160</v>
      </c>
    </row>
    <row r="64" spans="8:20" x14ac:dyDescent="0.3">
      <c r="H64" t="str">
        <f t="shared" si="7"/>
        <v/>
      </c>
      <c r="I64" s="1"/>
      <c r="J64" s="1"/>
      <c r="K64" s="1" t="str">
        <f t="shared" si="4"/>
        <v/>
      </c>
      <c r="L64" s="1" t="str">
        <f t="shared" si="5"/>
        <v/>
      </c>
      <c r="M64" s="1" t="str">
        <f t="shared" si="6"/>
        <v/>
      </c>
      <c r="O64">
        <v>63</v>
      </c>
      <c r="P64" t="s">
        <v>86</v>
      </c>
      <c r="Q64" t="s">
        <v>37</v>
      </c>
      <c r="R64">
        <v>0</v>
      </c>
      <c r="S64">
        <v>0</v>
      </c>
      <c r="T64">
        <v>2160</v>
      </c>
    </row>
    <row r="65" spans="8:20" x14ac:dyDescent="0.3">
      <c r="H65" t="str">
        <f t="shared" si="7"/>
        <v/>
      </c>
      <c r="I65" s="1"/>
      <c r="J65" s="1"/>
      <c r="K65" s="1" t="str">
        <f t="shared" si="4"/>
        <v/>
      </c>
      <c r="L65" s="1" t="str">
        <f t="shared" si="5"/>
        <v/>
      </c>
      <c r="M65" s="1" t="str">
        <f t="shared" si="6"/>
        <v/>
      </c>
      <c r="O65">
        <v>64</v>
      </c>
      <c r="P65" t="s">
        <v>87</v>
      </c>
      <c r="Q65" t="s">
        <v>34</v>
      </c>
      <c r="R65">
        <v>469</v>
      </c>
      <c r="S65">
        <v>1061</v>
      </c>
      <c r="T65">
        <v>612</v>
      </c>
    </row>
    <row r="66" spans="8:20" x14ac:dyDescent="0.3">
      <c r="H66" t="str">
        <f t="shared" si="7"/>
        <v/>
      </c>
      <c r="I66" s="1"/>
      <c r="J66" s="1"/>
      <c r="K66" s="1" t="str">
        <f t="shared" si="4"/>
        <v/>
      </c>
      <c r="L66" s="1" t="str">
        <f t="shared" si="5"/>
        <v/>
      </c>
      <c r="M66" s="1" t="str">
        <f t="shared" si="6"/>
        <v/>
      </c>
      <c r="O66">
        <v>65</v>
      </c>
      <c r="P66" t="s">
        <v>87</v>
      </c>
      <c r="Q66" t="s">
        <v>37</v>
      </c>
      <c r="R66">
        <v>775</v>
      </c>
      <c r="S66">
        <v>1377</v>
      </c>
      <c r="T66">
        <v>0</v>
      </c>
    </row>
    <row r="67" spans="8:20" x14ac:dyDescent="0.3">
      <c r="H67" t="str">
        <f t="shared" si="7"/>
        <v/>
      </c>
      <c r="I67" s="1"/>
      <c r="J67" s="1"/>
      <c r="K67" s="1" t="str">
        <f t="shared" si="4"/>
        <v/>
      </c>
      <c r="L67" s="1" t="str">
        <f t="shared" si="5"/>
        <v/>
      </c>
      <c r="M67" s="1" t="str">
        <f t="shared" si="6"/>
        <v/>
      </c>
      <c r="O67">
        <v>66</v>
      </c>
      <c r="P67" t="s">
        <v>88</v>
      </c>
      <c r="Q67" t="s">
        <v>34</v>
      </c>
      <c r="R67">
        <v>1056</v>
      </c>
      <c r="S67">
        <v>1092</v>
      </c>
      <c r="T67">
        <v>0</v>
      </c>
    </row>
    <row r="68" spans="8:20" x14ac:dyDescent="0.3">
      <c r="H68" t="str">
        <f t="shared" si="7"/>
        <v/>
      </c>
      <c r="I68" s="1"/>
      <c r="J68" s="1"/>
      <c r="K68" s="1" t="str">
        <f t="shared" si="4"/>
        <v/>
      </c>
      <c r="L68" s="1" t="str">
        <f t="shared" si="5"/>
        <v/>
      </c>
      <c r="M68" s="1" t="str">
        <f t="shared" si="6"/>
        <v/>
      </c>
      <c r="O68">
        <v>67</v>
      </c>
      <c r="P68" t="s">
        <v>88</v>
      </c>
      <c r="Q68" t="s">
        <v>37</v>
      </c>
      <c r="R68">
        <v>546</v>
      </c>
      <c r="S68">
        <v>1299</v>
      </c>
      <c r="T68">
        <v>306</v>
      </c>
    </row>
    <row r="69" spans="8:20" x14ac:dyDescent="0.3">
      <c r="H69" t="str">
        <f t="shared" si="7"/>
        <v/>
      </c>
      <c r="I69" s="1"/>
      <c r="J69" s="1"/>
      <c r="K69" s="1" t="str">
        <f t="shared" si="4"/>
        <v/>
      </c>
      <c r="L69" s="1" t="str">
        <f t="shared" si="5"/>
        <v/>
      </c>
      <c r="M69" s="1" t="str">
        <f t="shared" si="6"/>
        <v/>
      </c>
      <c r="O69">
        <v>68</v>
      </c>
      <c r="P69" t="s">
        <v>89</v>
      </c>
      <c r="Q69" t="s">
        <v>34</v>
      </c>
      <c r="R69">
        <v>643</v>
      </c>
      <c r="S69">
        <v>1091</v>
      </c>
      <c r="T69">
        <v>411</v>
      </c>
    </row>
    <row r="70" spans="8:20" x14ac:dyDescent="0.3">
      <c r="H70" t="str">
        <f t="shared" si="7"/>
        <v/>
      </c>
      <c r="I70" s="1"/>
      <c r="J70" s="1"/>
      <c r="K70" s="1" t="str">
        <f t="shared" si="4"/>
        <v/>
      </c>
      <c r="L70" s="1" t="str">
        <f t="shared" si="5"/>
        <v/>
      </c>
      <c r="M70" s="1" t="str">
        <f t="shared" si="6"/>
        <v/>
      </c>
      <c r="O70">
        <v>69</v>
      </c>
      <c r="P70" t="s">
        <v>89</v>
      </c>
      <c r="Q70" t="s">
        <v>37</v>
      </c>
      <c r="R70">
        <v>553</v>
      </c>
      <c r="S70">
        <v>1292</v>
      </c>
      <c r="T70">
        <v>306</v>
      </c>
    </row>
    <row r="71" spans="8:20" x14ac:dyDescent="0.3">
      <c r="H71" t="str">
        <f t="shared" si="7"/>
        <v/>
      </c>
      <c r="I71" s="1"/>
      <c r="J71" s="1"/>
      <c r="K71" s="1" t="str">
        <f t="shared" si="4"/>
        <v/>
      </c>
      <c r="L71" s="1" t="str">
        <f t="shared" si="5"/>
        <v/>
      </c>
      <c r="M71" s="1" t="str">
        <f t="shared" si="6"/>
        <v/>
      </c>
      <c r="O71">
        <v>70</v>
      </c>
      <c r="P71" t="s">
        <v>90</v>
      </c>
      <c r="Q71" t="s">
        <v>34</v>
      </c>
      <c r="R71">
        <v>746</v>
      </c>
      <c r="S71">
        <v>988</v>
      </c>
      <c r="T71">
        <v>407</v>
      </c>
    </row>
    <row r="72" spans="8:20" x14ac:dyDescent="0.3">
      <c r="H72" t="str">
        <f t="shared" si="7"/>
        <v/>
      </c>
      <c r="I72" s="1"/>
      <c r="J72" s="1"/>
      <c r="K72" s="1" t="str">
        <f t="shared" si="4"/>
        <v/>
      </c>
      <c r="L72" s="1" t="str">
        <f t="shared" si="5"/>
        <v/>
      </c>
      <c r="M72" s="1" t="str">
        <f t="shared" si="6"/>
        <v/>
      </c>
      <c r="O72">
        <v>71</v>
      </c>
      <c r="P72" t="s">
        <v>90</v>
      </c>
      <c r="Q72" t="s">
        <v>37</v>
      </c>
      <c r="R72">
        <v>685</v>
      </c>
      <c r="S72">
        <v>1313</v>
      </c>
      <c r="T72">
        <v>153</v>
      </c>
    </row>
    <row r="73" spans="8:20" x14ac:dyDescent="0.3">
      <c r="H73" t="str">
        <f t="shared" si="7"/>
        <v/>
      </c>
      <c r="I73" s="1"/>
      <c r="J73" s="1"/>
      <c r="K73" s="1" t="str">
        <f t="shared" si="4"/>
        <v/>
      </c>
      <c r="L73" s="1" t="str">
        <f t="shared" si="5"/>
        <v/>
      </c>
      <c r="M73" s="1" t="str">
        <f t="shared" si="6"/>
        <v/>
      </c>
      <c r="O73">
        <v>72</v>
      </c>
      <c r="P73" t="s">
        <v>91</v>
      </c>
      <c r="Q73" t="s">
        <v>34</v>
      </c>
      <c r="R73">
        <v>833</v>
      </c>
      <c r="S73">
        <v>1109</v>
      </c>
      <c r="T73">
        <v>204</v>
      </c>
    </row>
    <row r="74" spans="8:20" x14ac:dyDescent="0.3">
      <c r="H74" t="str">
        <f t="shared" si="7"/>
        <v/>
      </c>
      <c r="I74" s="1"/>
      <c r="J74" s="1"/>
      <c r="K74" s="1" t="str">
        <f t="shared" si="4"/>
        <v/>
      </c>
      <c r="L74" s="1" t="str">
        <f t="shared" si="5"/>
        <v/>
      </c>
      <c r="M74" s="1" t="str">
        <f t="shared" si="6"/>
        <v/>
      </c>
      <c r="O74">
        <v>73</v>
      </c>
      <c r="P74" t="s">
        <v>91</v>
      </c>
      <c r="Q74" t="s">
        <v>37</v>
      </c>
      <c r="R74">
        <v>530</v>
      </c>
      <c r="S74">
        <v>1620</v>
      </c>
      <c r="T74">
        <v>5</v>
      </c>
    </row>
    <row r="75" spans="8:20" x14ac:dyDescent="0.3">
      <c r="H75" t="str">
        <f t="shared" si="7"/>
        <v/>
      </c>
      <c r="I75" s="1"/>
      <c r="J75" s="1"/>
      <c r="K75" s="1" t="str">
        <f t="shared" si="4"/>
        <v/>
      </c>
      <c r="L75" s="1" t="str">
        <f t="shared" si="5"/>
        <v/>
      </c>
      <c r="M75" s="1" t="str">
        <f t="shared" si="6"/>
        <v/>
      </c>
      <c r="O75">
        <v>74</v>
      </c>
      <c r="P75" t="s">
        <v>92</v>
      </c>
      <c r="Q75" t="s">
        <v>34</v>
      </c>
      <c r="R75">
        <v>1004</v>
      </c>
      <c r="S75">
        <v>1147</v>
      </c>
      <c r="T75">
        <v>0</v>
      </c>
    </row>
    <row r="76" spans="8:20" x14ac:dyDescent="0.3">
      <c r="I76" s="1"/>
      <c r="J76" s="1"/>
      <c r="K76" s="1"/>
      <c r="L76" s="1"/>
      <c r="M76" s="1"/>
      <c r="O76">
        <v>75</v>
      </c>
      <c r="P76" t="s">
        <v>92</v>
      </c>
      <c r="Q76" t="s">
        <v>37</v>
      </c>
      <c r="R76">
        <v>686</v>
      </c>
      <c r="S76">
        <v>1226</v>
      </c>
      <c r="T76">
        <v>242</v>
      </c>
    </row>
    <row r="77" spans="8:20" x14ac:dyDescent="0.3">
      <c r="I77" s="1"/>
      <c r="J77" s="1"/>
      <c r="K77" s="1"/>
      <c r="L77" s="1"/>
      <c r="M77" s="1"/>
      <c r="O77">
        <v>76</v>
      </c>
      <c r="P77" t="s">
        <v>93</v>
      </c>
      <c r="Q77" t="s">
        <v>34</v>
      </c>
      <c r="R77">
        <v>765</v>
      </c>
      <c r="S77">
        <v>1145</v>
      </c>
      <c r="T77">
        <v>239</v>
      </c>
    </row>
    <row r="78" spans="8:20" x14ac:dyDescent="0.3">
      <c r="I78" s="1"/>
      <c r="J78" s="1"/>
      <c r="K78" s="1"/>
      <c r="L78" s="1"/>
      <c r="M78" s="1"/>
      <c r="O78">
        <v>77</v>
      </c>
      <c r="P78" t="s">
        <v>93</v>
      </c>
      <c r="Q78" t="s">
        <v>37</v>
      </c>
      <c r="R78">
        <v>1</v>
      </c>
      <c r="S78">
        <v>4</v>
      </c>
      <c r="T78">
        <v>2155</v>
      </c>
    </row>
    <row r="79" spans="8:20" x14ac:dyDescent="0.3">
      <c r="I79" s="1"/>
      <c r="J79" s="1"/>
      <c r="K79" s="1"/>
      <c r="L79" s="1"/>
      <c r="M79" s="1"/>
      <c r="O79">
        <v>78</v>
      </c>
      <c r="P79" t="s">
        <v>94</v>
      </c>
      <c r="Q79" t="s">
        <v>34</v>
      </c>
      <c r="R79">
        <v>573</v>
      </c>
      <c r="S79">
        <v>962</v>
      </c>
      <c r="T79">
        <v>614</v>
      </c>
    </row>
    <row r="80" spans="8:20" x14ac:dyDescent="0.3">
      <c r="I80" s="1"/>
      <c r="J80" s="1"/>
      <c r="K80" s="1"/>
      <c r="L80" s="1"/>
      <c r="M80" s="1"/>
      <c r="O80">
        <v>79</v>
      </c>
      <c r="P80" t="s">
        <v>94</v>
      </c>
      <c r="Q80" t="s">
        <v>37</v>
      </c>
      <c r="R80">
        <v>631</v>
      </c>
      <c r="S80">
        <v>1352</v>
      </c>
      <c r="T80">
        <v>166</v>
      </c>
    </row>
    <row r="81" spans="9:20" x14ac:dyDescent="0.3">
      <c r="I81" s="1"/>
      <c r="J81" s="1"/>
      <c r="K81" s="1"/>
      <c r="L81" s="1"/>
      <c r="M81" s="1"/>
      <c r="O81">
        <v>80</v>
      </c>
      <c r="P81" t="s">
        <v>95</v>
      </c>
      <c r="Q81" t="s">
        <v>34</v>
      </c>
      <c r="R81">
        <v>782</v>
      </c>
      <c r="S81">
        <v>1154</v>
      </c>
      <c r="T81">
        <v>218</v>
      </c>
    </row>
    <row r="82" spans="9:20" x14ac:dyDescent="0.3">
      <c r="I82" s="1"/>
      <c r="J82" s="1"/>
      <c r="K82" s="1"/>
      <c r="L82" s="1"/>
      <c r="M82" s="1"/>
      <c r="O82">
        <v>81</v>
      </c>
      <c r="P82" t="s">
        <v>95</v>
      </c>
      <c r="Q82" t="s">
        <v>37</v>
      </c>
      <c r="R82">
        <v>548</v>
      </c>
      <c r="S82">
        <v>1295</v>
      </c>
      <c r="T82">
        <v>305</v>
      </c>
    </row>
    <row r="83" spans="9:20" x14ac:dyDescent="0.3">
      <c r="I83" s="1"/>
      <c r="J83" s="1"/>
      <c r="K83" s="1"/>
      <c r="L83" s="1"/>
      <c r="M83" s="1"/>
      <c r="O83">
        <v>82</v>
      </c>
      <c r="P83" t="s">
        <v>96</v>
      </c>
      <c r="Q83" t="s">
        <v>34</v>
      </c>
      <c r="R83">
        <v>524</v>
      </c>
      <c r="S83">
        <v>949</v>
      </c>
      <c r="T83">
        <v>684</v>
      </c>
    </row>
    <row r="84" spans="9:20" x14ac:dyDescent="0.3">
      <c r="I84" s="1"/>
      <c r="J84" s="1"/>
      <c r="K84" s="1"/>
      <c r="L84" s="1"/>
      <c r="M84" s="1"/>
      <c r="O84">
        <v>83</v>
      </c>
      <c r="P84" t="s">
        <v>96</v>
      </c>
      <c r="Q84" t="s">
        <v>37</v>
      </c>
      <c r="R84">
        <v>582</v>
      </c>
      <c r="S84">
        <v>1259</v>
      </c>
      <c r="T84">
        <v>304</v>
      </c>
    </row>
    <row r="85" spans="9:20" x14ac:dyDescent="0.3">
      <c r="I85" s="1"/>
      <c r="J85" s="1"/>
      <c r="K85" s="1"/>
      <c r="L85" s="1"/>
      <c r="M85" s="1"/>
      <c r="O85">
        <v>84</v>
      </c>
      <c r="P85" t="s">
        <v>97</v>
      </c>
      <c r="Q85" t="s">
        <v>34</v>
      </c>
      <c r="R85">
        <v>719</v>
      </c>
      <c r="S85">
        <v>770</v>
      </c>
      <c r="T85">
        <v>663</v>
      </c>
    </row>
    <row r="86" spans="9:20" x14ac:dyDescent="0.3">
      <c r="I86" s="1"/>
      <c r="J86" s="1"/>
      <c r="K86" s="1"/>
      <c r="L86" s="1"/>
      <c r="M86" s="1"/>
      <c r="O86">
        <v>85</v>
      </c>
      <c r="P86" t="s">
        <v>97</v>
      </c>
      <c r="Q86" t="s">
        <v>37</v>
      </c>
      <c r="R86">
        <v>534</v>
      </c>
      <c r="S86">
        <v>1458</v>
      </c>
      <c r="T86">
        <v>155</v>
      </c>
    </row>
    <row r="87" spans="9:20" x14ac:dyDescent="0.3">
      <c r="I87" s="1"/>
      <c r="J87" s="1"/>
      <c r="K87" s="1"/>
      <c r="L87" s="1"/>
      <c r="M87" s="1"/>
      <c r="O87">
        <v>86</v>
      </c>
      <c r="P87" t="s">
        <v>98</v>
      </c>
      <c r="Q87" t="s">
        <v>34</v>
      </c>
      <c r="R87">
        <v>791</v>
      </c>
      <c r="S87">
        <v>1107</v>
      </c>
      <c r="T87">
        <v>253</v>
      </c>
    </row>
    <row r="88" spans="9:20" x14ac:dyDescent="0.3">
      <c r="I88" s="1"/>
      <c r="J88" s="1"/>
      <c r="K88" s="1"/>
      <c r="L88" s="1"/>
      <c r="M88" s="1"/>
      <c r="O88">
        <v>87</v>
      </c>
      <c r="P88" t="s">
        <v>98</v>
      </c>
      <c r="Q88" t="s">
        <v>37</v>
      </c>
      <c r="R88">
        <v>476</v>
      </c>
      <c r="S88">
        <v>948</v>
      </c>
      <c r="T88">
        <v>728</v>
      </c>
    </row>
    <row r="89" spans="9:20" x14ac:dyDescent="0.3">
      <c r="I89" s="1"/>
      <c r="J89" s="1"/>
      <c r="K89" s="1"/>
      <c r="L89" s="1"/>
      <c r="M89" s="1"/>
      <c r="O89">
        <v>88</v>
      </c>
      <c r="P89" t="s">
        <v>99</v>
      </c>
      <c r="Q89" t="s">
        <v>34</v>
      </c>
      <c r="R89">
        <v>0</v>
      </c>
      <c r="S89">
        <v>0</v>
      </c>
      <c r="T89">
        <v>2160</v>
      </c>
    </row>
    <row r="90" spans="9:20" x14ac:dyDescent="0.3">
      <c r="I90" s="1"/>
      <c r="J90" s="1"/>
      <c r="K90" s="1"/>
      <c r="L90" s="1"/>
      <c r="M90" s="1"/>
      <c r="O90">
        <v>89</v>
      </c>
      <c r="P90" t="s">
        <v>99</v>
      </c>
      <c r="Q90" t="s">
        <v>37</v>
      </c>
      <c r="R90">
        <v>0</v>
      </c>
      <c r="S90">
        <v>0</v>
      </c>
      <c r="T90">
        <v>2160</v>
      </c>
    </row>
    <row r="91" spans="9:20" x14ac:dyDescent="0.3">
      <c r="I91" s="1"/>
      <c r="J91" s="1"/>
      <c r="K91" s="1"/>
      <c r="L91" s="1"/>
      <c r="M91" s="1"/>
      <c r="O91">
        <v>90</v>
      </c>
      <c r="P91" t="s">
        <v>100</v>
      </c>
      <c r="Q91" t="s">
        <v>34</v>
      </c>
      <c r="R91">
        <v>0</v>
      </c>
      <c r="S91">
        <v>0</v>
      </c>
      <c r="T91">
        <v>2160</v>
      </c>
    </row>
    <row r="92" spans="9:20" x14ac:dyDescent="0.3">
      <c r="I92" s="1"/>
      <c r="J92" s="1"/>
      <c r="K92" s="1"/>
      <c r="L92" s="1"/>
      <c r="M92" s="1"/>
      <c r="O92">
        <v>91</v>
      </c>
      <c r="P92" t="s">
        <v>100</v>
      </c>
      <c r="Q92" t="s">
        <v>37</v>
      </c>
      <c r="R92">
        <v>0</v>
      </c>
      <c r="S92">
        <v>0</v>
      </c>
      <c r="T92">
        <v>2160</v>
      </c>
    </row>
    <row r="93" spans="9:20" x14ac:dyDescent="0.3">
      <c r="I93" s="1"/>
      <c r="J93" s="1"/>
      <c r="K93" s="1"/>
      <c r="L93" s="1"/>
      <c r="M93" s="1"/>
      <c r="O93">
        <v>92</v>
      </c>
      <c r="P93" t="s">
        <v>101</v>
      </c>
      <c r="Q93" t="s">
        <v>34</v>
      </c>
      <c r="R93">
        <v>0</v>
      </c>
      <c r="S93">
        <v>0</v>
      </c>
      <c r="T93">
        <v>2160</v>
      </c>
    </row>
    <row r="94" spans="9:20" x14ac:dyDescent="0.3">
      <c r="I94" s="1"/>
      <c r="J94" s="1"/>
      <c r="K94" s="1"/>
      <c r="L94" s="1"/>
      <c r="M94" s="1"/>
      <c r="O94">
        <v>93</v>
      </c>
      <c r="P94" t="s">
        <v>101</v>
      </c>
      <c r="Q94" t="s">
        <v>37</v>
      </c>
      <c r="R94">
        <v>0</v>
      </c>
      <c r="S94">
        <v>0</v>
      </c>
      <c r="T94">
        <v>2160</v>
      </c>
    </row>
    <row r="95" spans="9:20" x14ac:dyDescent="0.3">
      <c r="I95" s="1"/>
      <c r="J95" s="1"/>
      <c r="K95" s="1"/>
      <c r="L95" s="1"/>
      <c r="M95" s="1"/>
      <c r="O95">
        <v>94</v>
      </c>
      <c r="P95" t="s">
        <v>102</v>
      </c>
      <c r="Q95" t="s">
        <v>34</v>
      </c>
      <c r="R95">
        <v>0</v>
      </c>
      <c r="S95">
        <v>0</v>
      </c>
      <c r="T95">
        <v>2160</v>
      </c>
    </row>
    <row r="96" spans="9:20" x14ac:dyDescent="0.3">
      <c r="I96" s="1"/>
      <c r="J96" s="1"/>
      <c r="K96" s="1"/>
      <c r="L96" s="1"/>
      <c r="M96" s="1"/>
      <c r="O96">
        <v>95</v>
      </c>
      <c r="P96" t="s">
        <v>102</v>
      </c>
      <c r="Q96" t="s">
        <v>37</v>
      </c>
      <c r="R96">
        <v>0</v>
      </c>
      <c r="S96">
        <v>0</v>
      </c>
      <c r="T96">
        <v>2160</v>
      </c>
    </row>
    <row r="97" spans="9:20" x14ac:dyDescent="0.3">
      <c r="I97" s="1"/>
      <c r="J97" s="1"/>
      <c r="K97" s="1"/>
      <c r="L97" s="1"/>
      <c r="M97" s="1"/>
      <c r="O97">
        <v>96</v>
      </c>
      <c r="P97" t="s">
        <v>103</v>
      </c>
      <c r="Q97" t="s">
        <v>34</v>
      </c>
      <c r="R97">
        <v>0</v>
      </c>
      <c r="S97">
        <v>0</v>
      </c>
      <c r="T97">
        <v>2160</v>
      </c>
    </row>
    <row r="98" spans="9:20" x14ac:dyDescent="0.3">
      <c r="I98" s="1"/>
      <c r="J98" s="1"/>
      <c r="K98" s="1"/>
      <c r="L98" s="1"/>
      <c r="M98" s="1"/>
      <c r="O98">
        <v>97</v>
      </c>
      <c r="P98" t="s">
        <v>103</v>
      </c>
      <c r="Q98" t="s">
        <v>37</v>
      </c>
      <c r="R98">
        <v>0</v>
      </c>
      <c r="S98">
        <v>0</v>
      </c>
      <c r="T98">
        <v>2160</v>
      </c>
    </row>
    <row r="99" spans="9:20" x14ac:dyDescent="0.3">
      <c r="I99" s="1"/>
      <c r="J99" s="1"/>
      <c r="K99" s="1"/>
      <c r="L99" s="1"/>
      <c r="M99" s="1"/>
      <c r="O99">
        <v>98</v>
      </c>
      <c r="P99" t="s">
        <v>104</v>
      </c>
      <c r="Q99" t="s">
        <v>34</v>
      </c>
      <c r="R99">
        <v>0</v>
      </c>
      <c r="S99">
        <v>0</v>
      </c>
      <c r="T99">
        <v>2160</v>
      </c>
    </row>
    <row r="100" spans="9:20" x14ac:dyDescent="0.3">
      <c r="I100" s="1"/>
      <c r="J100" s="1"/>
      <c r="K100" s="1"/>
      <c r="L100" s="1"/>
      <c r="M100" s="1"/>
      <c r="O100">
        <v>99</v>
      </c>
      <c r="P100" t="s">
        <v>104</v>
      </c>
      <c r="Q100" t="s">
        <v>37</v>
      </c>
      <c r="R100">
        <v>0</v>
      </c>
      <c r="S100">
        <v>0</v>
      </c>
      <c r="T100">
        <v>2160</v>
      </c>
    </row>
    <row r="101" spans="9:20" x14ac:dyDescent="0.3">
      <c r="I101" s="1"/>
      <c r="J101" s="1"/>
      <c r="K101" s="1"/>
      <c r="L101" s="1"/>
      <c r="M101" s="1"/>
      <c r="O101">
        <v>100</v>
      </c>
      <c r="P101" t="s">
        <v>105</v>
      </c>
      <c r="Q101" t="s">
        <v>34</v>
      </c>
      <c r="R101">
        <v>0</v>
      </c>
      <c r="S101">
        <v>0</v>
      </c>
      <c r="T101">
        <v>2160</v>
      </c>
    </row>
    <row r="102" spans="9:20" x14ac:dyDescent="0.3">
      <c r="O102">
        <v>101</v>
      </c>
      <c r="P102" t="s">
        <v>105</v>
      </c>
      <c r="Q102" t="s">
        <v>37</v>
      </c>
      <c r="R102">
        <v>0</v>
      </c>
      <c r="S102">
        <v>0</v>
      </c>
      <c r="T102">
        <v>2160</v>
      </c>
    </row>
    <row r="103" spans="9:20" x14ac:dyDescent="0.3">
      <c r="O103">
        <v>102</v>
      </c>
      <c r="P103" t="s">
        <v>106</v>
      </c>
      <c r="Q103" t="s">
        <v>34</v>
      </c>
      <c r="R103">
        <v>0</v>
      </c>
      <c r="S103">
        <v>0</v>
      </c>
      <c r="T103">
        <v>2160</v>
      </c>
    </row>
    <row r="104" spans="9:20" x14ac:dyDescent="0.3">
      <c r="O104">
        <v>103</v>
      </c>
      <c r="P104" t="s">
        <v>106</v>
      </c>
      <c r="Q104" t="s">
        <v>37</v>
      </c>
      <c r="R104">
        <v>0</v>
      </c>
      <c r="S104">
        <v>0</v>
      </c>
      <c r="T104">
        <v>2160</v>
      </c>
    </row>
    <row r="105" spans="9:20" x14ac:dyDescent="0.3">
      <c r="O105">
        <v>104</v>
      </c>
      <c r="P105" t="s">
        <v>107</v>
      </c>
      <c r="Q105" t="s">
        <v>34</v>
      </c>
      <c r="R105">
        <v>0</v>
      </c>
      <c r="S105">
        <v>0</v>
      </c>
      <c r="T105">
        <v>2160</v>
      </c>
    </row>
    <row r="106" spans="9:20" x14ac:dyDescent="0.3">
      <c r="O106">
        <v>105</v>
      </c>
      <c r="P106" t="s">
        <v>107</v>
      </c>
      <c r="Q106" t="s">
        <v>37</v>
      </c>
      <c r="R106">
        <v>0</v>
      </c>
      <c r="S106">
        <v>0</v>
      </c>
      <c r="T106">
        <v>2160</v>
      </c>
    </row>
    <row r="107" spans="9:20" x14ac:dyDescent="0.3">
      <c r="O107">
        <v>106</v>
      </c>
      <c r="P107" t="s">
        <v>108</v>
      </c>
      <c r="Q107" t="s">
        <v>34</v>
      </c>
      <c r="R107">
        <v>500</v>
      </c>
      <c r="S107">
        <v>1018</v>
      </c>
      <c r="T107">
        <v>633</v>
      </c>
    </row>
    <row r="108" spans="9:20" x14ac:dyDescent="0.3">
      <c r="O108">
        <v>107</v>
      </c>
      <c r="P108" t="s">
        <v>108</v>
      </c>
      <c r="Q108" t="s">
        <v>37</v>
      </c>
      <c r="R108">
        <v>502</v>
      </c>
      <c r="S108">
        <v>1331</v>
      </c>
      <c r="T108">
        <v>308</v>
      </c>
    </row>
    <row r="109" spans="9:20" x14ac:dyDescent="0.3">
      <c r="O109">
        <v>108</v>
      </c>
      <c r="P109" t="s">
        <v>109</v>
      </c>
      <c r="Q109" t="s">
        <v>34</v>
      </c>
      <c r="R109">
        <v>745</v>
      </c>
      <c r="S109">
        <v>992</v>
      </c>
      <c r="T109">
        <v>411</v>
      </c>
    </row>
    <row r="110" spans="9:20" x14ac:dyDescent="0.3">
      <c r="O110">
        <v>109</v>
      </c>
      <c r="P110" t="s">
        <v>109</v>
      </c>
      <c r="Q110" t="s">
        <v>37</v>
      </c>
      <c r="R110">
        <v>315</v>
      </c>
      <c r="S110">
        <v>1678</v>
      </c>
      <c r="T110">
        <v>154</v>
      </c>
    </row>
    <row r="111" spans="9:20" x14ac:dyDescent="0.3">
      <c r="O111">
        <v>110</v>
      </c>
      <c r="P111" t="s">
        <v>110</v>
      </c>
      <c r="Q111" t="s">
        <v>34</v>
      </c>
      <c r="R111">
        <v>685</v>
      </c>
      <c r="S111">
        <v>1258</v>
      </c>
      <c r="T111">
        <v>208</v>
      </c>
    </row>
    <row r="112" spans="9:20" x14ac:dyDescent="0.3">
      <c r="O112">
        <v>111</v>
      </c>
      <c r="P112" t="s">
        <v>110</v>
      </c>
      <c r="Q112" t="s">
        <v>37</v>
      </c>
      <c r="R112">
        <v>433</v>
      </c>
      <c r="S112">
        <v>1553</v>
      </c>
      <c r="T112">
        <v>160</v>
      </c>
    </row>
    <row r="113" spans="15:20" x14ac:dyDescent="0.3">
      <c r="O113">
        <v>112</v>
      </c>
      <c r="P113" t="s">
        <v>111</v>
      </c>
      <c r="Q113" t="s">
        <v>34</v>
      </c>
      <c r="R113">
        <v>618</v>
      </c>
      <c r="S113">
        <v>1275</v>
      </c>
      <c r="T113">
        <v>255</v>
      </c>
    </row>
    <row r="114" spans="15:20" x14ac:dyDescent="0.3">
      <c r="O114">
        <v>113</v>
      </c>
      <c r="P114" t="s">
        <v>111</v>
      </c>
      <c r="Q114" t="s">
        <v>37</v>
      </c>
      <c r="R114">
        <v>627</v>
      </c>
      <c r="S114">
        <v>1360</v>
      </c>
      <c r="T114">
        <v>153</v>
      </c>
    </row>
    <row r="115" spans="15:20" x14ac:dyDescent="0.3">
      <c r="O115">
        <v>114</v>
      </c>
      <c r="P115" t="s">
        <v>112</v>
      </c>
      <c r="Q115" t="s">
        <v>34</v>
      </c>
      <c r="R115">
        <v>563</v>
      </c>
      <c r="S115">
        <v>1375</v>
      </c>
      <c r="T115">
        <v>214</v>
      </c>
    </row>
    <row r="116" spans="15:20" x14ac:dyDescent="0.3">
      <c r="O116">
        <v>115</v>
      </c>
      <c r="P116" t="s">
        <v>112</v>
      </c>
      <c r="Q116" t="s">
        <v>37</v>
      </c>
      <c r="R116">
        <v>628</v>
      </c>
      <c r="S116">
        <v>1302</v>
      </c>
      <c r="T116">
        <v>214</v>
      </c>
    </row>
    <row r="117" spans="15:20" x14ac:dyDescent="0.3">
      <c r="O117">
        <v>116</v>
      </c>
      <c r="P117" t="s">
        <v>113</v>
      </c>
      <c r="Q117" t="s">
        <v>34</v>
      </c>
      <c r="R117">
        <v>821</v>
      </c>
      <c r="S117">
        <v>1097</v>
      </c>
      <c r="T117">
        <v>237</v>
      </c>
    </row>
    <row r="118" spans="15:20" x14ac:dyDescent="0.3">
      <c r="O118">
        <v>117</v>
      </c>
      <c r="P118" t="s">
        <v>113</v>
      </c>
      <c r="Q118" t="s">
        <v>37</v>
      </c>
      <c r="R118">
        <v>415</v>
      </c>
      <c r="S118">
        <v>1017</v>
      </c>
      <c r="T118">
        <v>714</v>
      </c>
    </row>
    <row r="119" spans="15:20" x14ac:dyDescent="0.3">
      <c r="O119">
        <v>118</v>
      </c>
      <c r="P119" t="s">
        <v>114</v>
      </c>
      <c r="Q119" t="s">
        <v>34</v>
      </c>
      <c r="R119">
        <v>0</v>
      </c>
      <c r="S119">
        <v>0</v>
      </c>
      <c r="T119">
        <v>1731</v>
      </c>
    </row>
    <row r="120" spans="15:20" x14ac:dyDescent="0.3">
      <c r="O120">
        <v>119</v>
      </c>
      <c r="P120" t="s">
        <v>114</v>
      </c>
      <c r="Q120" t="s">
        <v>37</v>
      </c>
      <c r="R120">
        <v>0</v>
      </c>
      <c r="S120">
        <v>0</v>
      </c>
      <c r="T120">
        <v>2160</v>
      </c>
    </row>
    <row r="121" spans="15:20" x14ac:dyDescent="0.3">
      <c r="O121">
        <v>120</v>
      </c>
      <c r="P121" t="s">
        <v>115</v>
      </c>
      <c r="Q121" t="s">
        <v>34</v>
      </c>
      <c r="R121">
        <v>755</v>
      </c>
      <c r="S121">
        <v>788</v>
      </c>
      <c r="T121">
        <v>603</v>
      </c>
    </row>
    <row r="122" spans="15:20" x14ac:dyDescent="0.3">
      <c r="O122">
        <v>121</v>
      </c>
      <c r="P122" t="s">
        <v>115</v>
      </c>
      <c r="Q122" t="s">
        <v>37</v>
      </c>
      <c r="R122">
        <v>782</v>
      </c>
      <c r="S122">
        <v>1212</v>
      </c>
      <c r="T122">
        <v>154</v>
      </c>
    </row>
    <row r="123" spans="15:20" x14ac:dyDescent="0.3">
      <c r="O123">
        <v>122</v>
      </c>
      <c r="P123" t="s">
        <v>116</v>
      </c>
      <c r="Q123" t="s">
        <v>34</v>
      </c>
      <c r="R123">
        <v>757</v>
      </c>
      <c r="S123">
        <v>1185</v>
      </c>
      <c r="T123">
        <v>207</v>
      </c>
    </row>
    <row r="124" spans="15:20" x14ac:dyDescent="0.3">
      <c r="O124">
        <v>123</v>
      </c>
      <c r="P124" t="s">
        <v>116</v>
      </c>
      <c r="Q124" t="s">
        <v>37</v>
      </c>
      <c r="R124">
        <v>797</v>
      </c>
      <c r="S124">
        <v>1199</v>
      </c>
      <c r="T124">
        <v>154</v>
      </c>
    </row>
    <row r="125" spans="15:20" x14ac:dyDescent="0.3">
      <c r="O125">
        <v>124</v>
      </c>
      <c r="P125" t="s">
        <v>117</v>
      </c>
      <c r="Q125" t="s">
        <v>34</v>
      </c>
      <c r="R125">
        <v>901</v>
      </c>
      <c r="S125">
        <v>1039</v>
      </c>
      <c r="T125">
        <v>206</v>
      </c>
    </row>
    <row r="126" spans="15:20" x14ac:dyDescent="0.3">
      <c r="O126">
        <v>125</v>
      </c>
      <c r="P126" t="s">
        <v>117</v>
      </c>
      <c r="Q126" t="s">
        <v>37</v>
      </c>
      <c r="R126">
        <v>653</v>
      </c>
      <c r="S126">
        <v>1359</v>
      </c>
      <c r="T126">
        <v>141</v>
      </c>
    </row>
    <row r="127" spans="15:20" x14ac:dyDescent="0.3">
      <c r="O127">
        <v>126</v>
      </c>
      <c r="P127" t="s">
        <v>118</v>
      </c>
      <c r="Q127" t="s">
        <v>34</v>
      </c>
      <c r="R127">
        <v>853</v>
      </c>
      <c r="S127">
        <v>1089</v>
      </c>
      <c r="T127">
        <v>208</v>
      </c>
    </row>
    <row r="128" spans="15:20" x14ac:dyDescent="0.3">
      <c r="O128">
        <v>127</v>
      </c>
      <c r="P128" t="s">
        <v>118</v>
      </c>
      <c r="Q128" t="s">
        <v>37</v>
      </c>
      <c r="R128">
        <v>739</v>
      </c>
      <c r="S128">
        <v>1255</v>
      </c>
      <c r="T128">
        <v>157</v>
      </c>
    </row>
    <row r="129" spans="15:20" x14ac:dyDescent="0.3">
      <c r="O129">
        <v>128</v>
      </c>
      <c r="P129" t="s">
        <v>119</v>
      </c>
      <c r="Q129" t="s">
        <v>34</v>
      </c>
      <c r="R129">
        <v>779</v>
      </c>
      <c r="S129">
        <v>1163</v>
      </c>
      <c r="T129">
        <v>205</v>
      </c>
    </row>
    <row r="130" spans="15:20" x14ac:dyDescent="0.3">
      <c r="O130">
        <v>129</v>
      </c>
      <c r="P130" t="s">
        <v>119</v>
      </c>
      <c r="Q130" t="s">
        <v>37</v>
      </c>
      <c r="R130">
        <v>481</v>
      </c>
      <c r="S130">
        <v>1520</v>
      </c>
      <c r="T130">
        <v>154</v>
      </c>
    </row>
    <row r="131" spans="15:20" x14ac:dyDescent="0.3">
      <c r="O131">
        <v>130</v>
      </c>
      <c r="P131" t="s">
        <v>120</v>
      </c>
      <c r="Q131" t="s">
        <v>34</v>
      </c>
      <c r="R131">
        <v>850</v>
      </c>
      <c r="S131">
        <v>1065</v>
      </c>
      <c r="T131">
        <v>237</v>
      </c>
    </row>
    <row r="132" spans="15:20" x14ac:dyDescent="0.3">
      <c r="O132">
        <v>131</v>
      </c>
      <c r="P132" t="s">
        <v>120</v>
      </c>
      <c r="Q132" t="s">
        <v>37</v>
      </c>
      <c r="R132">
        <v>781</v>
      </c>
      <c r="S132">
        <v>1128</v>
      </c>
      <c r="T132">
        <v>244</v>
      </c>
    </row>
    <row r="133" spans="15:20" x14ac:dyDescent="0.3">
      <c r="O133">
        <v>132</v>
      </c>
      <c r="P133" t="s">
        <v>121</v>
      </c>
      <c r="Q133" t="s">
        <v>34</v>
      </c>
      <c r="R133">
        <v>1009</v>
      </c>
      <c r="S133">
        <v>900</v>
      </c>
      <c r="T133">
        <v>241</v>
      </c>
    </row>
    <row r="134" spans="15:20" x14ac:dyDescent="0.3">
      <c r="O134">
        <v>133</v>
      </c>
      <c r="P134" t="s">
        <v>121</v>
      </c>
      <c r="Q134" t="s">
        <v>37</v>
      </c>
      <c r="R134">
        <v>0</v>
      </c>
      <c r="S134">
        <v>0</v>
      </c>
      <c r="T134">
        <v>2160</v>
      </c>
    </row>
    <row r="135" spans="15:20" x14ac:dyDescent="0.3">
      <c r="O135">
        <v>134</v>
      </c>
      <c r="P135" t="s">
        <v>122</v>
      </c>
      <c r="Q135" t="s">
        <v>34</v>
      </c>
      <c r="R135">
        <v>556</v>
      </c>
      <c r="S135">
        <v>974</v>
      </c>
      <c r="T135">
        <v>623</v>
      </c>
    </row>
    <row r="136" spans="15:20" x14ac:dyDescent="0.3">
      <c r="O136">
        <v>135</v>
      </c>
      <c r="P136" t="s">
        <v>122</v>
      </c>
      <c r="Q136" t="s">
        <v>37</v>
      </c>
      <c r="R136">
        <v>838</v>
      </c>
      <c r="S136">
        <v>1003</v>
      </c>
      <c r="T136">
        <v>302</v>
      </c>
    </row>
    <row r="137" spans="15:20" x14ac:dyDescent="0.3">
      <c r="O137">
        <v>136</v>
      </c>
      <c r="P137" t="s">
        <v>123</v>
      </c>
      <c r="Q137" t="s">
        <v>34</v>
      </c>
      <c r="R137">
        <v>847</v>
      </c>
      <c r="S137">
        <v>869</v>
      </c>
      <c r="T137">
        <v>432</v>
      </c>
    </row>
    <row r="138" spans="15:20" x14ac:dyDescent="0.3">
      <c r="O138">
        <v>137</v>
      </c>
      <c r="P138" t="s">
        <v>123</v>
      </c>
      <c r="Q138" t="s">
        <v>37</v>
      </c>
      <c r="R138">
        <v>731</v>
      </c>
      <c r="S138">
        <v>1021</v>
      </c>
      <c r="T138">
        <v>394</v>
      </c>
    </row>
    <row r="139" spans="15:20" x14ac:dyDescent="0.3">
      <c r="O139">
        <v>138</v>
      </c>
      <c r="P139" t="s">
        <v>124</v>
      </c>
      <c r="Q139" t="s">
        <v>34</v>
      </c>
      <c r="R139">
        <v>610</v>
      </c>
      <c r="S139">
        <v>1124</v>
      </c>
      <c r="T139">
        <v>417</v>
      </c>
    </row>
    <row r="140" spans="15:20" x14ac:dyDescent="0.3">
      <c r="O140">
        <v>139</v>
      </c>
      <c r="P140" t="s">
        <v>124</v>
      </c>
      <c r="Q140" t="s">
        <v>37</v>
      </c>
      <c r="R140">
        <v>944</v>
      </c>
      <c r="S140">
        <v>1048</v>
      </c>
      <c r="T140">
        <v>155</v>
      </c>
    </row>
    <row r="141" spans="15:20" x14ac:dyDescent="0.3">
      <c r="O141">
        <v>140</v>
      </c>
      <c r="P141" t="s">
        <v>125</v>
      </c>
      <c r="Q141" t="s">
        <v>34</v>
      </c>
      <c r="R141">
        <v>1041</v>
      </c>
      <c r="S141">
        <v>642</v>
      </c>
      <c r="T141">
        <v>468</v>
      </c>
    </row>
    <row r="142" spans="15:20" x14ac:dyDescent="0.3">
      <c r="O142">
        <v>141</v>
      </c>
      <c r="P142" t="s">
        <v>125</v>
      </c>
      <c r="Q142" t="s">
        <v>37</v>
      </c>
      <c r="R142">
        <v>631</v>
      </c>
      <c r="S142">
        <v>1285</v>
      </c>
      <c r="T142">
        <v>234</v>
      </c>
    </row>
    <row r="143" spans="15:20" x14ac:dyDescent="0.3">
      <c r="O143">
        <v>142</v>
      </c>
      <c r="P143" t="s">
        <v>126</v>
      </c>
      <c r="Q143" t="s">
        <v>34</v>
      </c>
      <c r="R143">
        <v>758</v>
      </c>
      <c r="S143">
        <v>1183</v>
      </c>
      <c r="T143">
        <v>208</v>
      </c>
    </row>
    <row r="144" spans="15:20" x14ac:dyDescent="0.3">
      <c r="O144">
        <v>143</v>
      </c>
      <c r="P144" t="s">
        <v>126</v>
      </c>
      <c r="Q144" t="s">
        <v>37</v>
      </c>
      <c r="R144">
        <v>635</v>
      </c>
      <c r="S144">
        <v>1353</v>
      </c>
      <c r="T144">
        <v>155</v>
      </c>
    </row>
    <row r="145" spans="15:20" x14ac:dyDescent="0.3">
      <c r="O145">
        <v>144</v>
      </c>
      <c r="P145" t="s">
        <v>127</v>
      </c>
      <c r="Q145" t="s">
        <v>34</v>
      </c>
      <c r="R145">
        <v>861</v>
      </c>
      <c r="S145">
        <v>1054</v>
      </c>
      <c r="T145">
        <v>236</v>
      </c>
    </row>
    <row r="146" spans="15:20" x14ac:dyDescent="0.3">
      <c r="O146">
        <v>145</v>
      </c>
      <c r="P146" t="s">
        <v>127</v>
      </c>
      <c r="Q146" t="s">
        <v>37</v>
      </c>
      <c r="R146">
        <v>440</v>
      </c>
      <c r="S146">
        <v>982</v>
      </c>
      <c r="T146">
        <v>729</v>
      </c>
    </row>
    <row r="147" spans="15:20" x14ac:dyDescent="0.3">
      <c r="O147">
        <v>146</v>
      </c>
      <c r="P147" t="s">
        <v>128</v>
      </c>
      <c r="Q147" t="s">
        <v>34</v>
      </c>
      <c r="R147">
        <v>0</v>
      </c>
      <c r="S147">
        <v>0</v>
      </c>
      <c r="T147">
        <v>2160</v>
      </c>
    </row>
    <row r="148" spans="15:20" x14ac:dyDescent="0.3">
      <c r="O148">
        <v>147</v>
      </c>
      <c r="P148" t="s">
        <v>128</v>
      </c>
      <c r="Q148" t="s">
        <v>37</v>
      </c>
      <c r="R148">
        <v>0</v>
      </c>
      <c r="S148">
        <v>0</v>
      </c>
      <c r="T148">
        <v>2160</v>
      </c>
    </row>
    <row r="149" spans="15:20" x14ac:dyDescent="0.3">
      <c r="O149">
        <v>148</v>
      </c>
      <c r="P149" t="s">
        <v>129</v>
      </c>
      <c r="Q149" t="s">
        <v>34</v>
      </c>
      <c r="R149">
        <v>387</v>
      </c>
      <c r="S149">
        <v>1152</v>
      </c>
      <c r="T149">
        <v>612</v>
      </c>
    </row>
    <row r="150" spans="15:20" x14ac:dyDescent="0.3">
      <c r="O150">
        <v>149</v>
      </c>
      <c r="P150" t="s">
        <v>129</v>
      </c>
      <c r="Q150" t="s">
        <v>37</v>
      </c>
      <c r="R150">
        <v>1006</v>
      </c>
      <c r="S150">
        <v>1144</v>
      </c>
      <c r="T150">
        <v>0</v>
      </c>
    </row>
    <row r="151" spans="15:20" x14ac:dyDescent="0.3">
      <c r="O151">
        <v>150</v>
      </c>
      <c r="P151" t="s">
        <v>130</v>
      </c>
      <c r="Q151" t="s">
        <v>34</v>
      </c>
      <c r="R151">
        <v>1069</v>
      </c>
      <c r="S151">
        <v>1079</v>
      </c>
      <c r="T151">
        <v>0</v>
      </c>
    </row>
    <row r="152" spans="15:20" x14ac:dyDescent="0.3">
      <c r="O152">
        <v>151</v>
      </c>
      <c r="P152" t="s">
        <v>130</v>
      </c>
      <c r="Q152" t="s">
        <v>37</v>
      </c>
      <c r="R152">
        <v>624</v>
      </c>
      <c r="S152">
        <v>1372</v>
      </c>
      <c r="T152">
        <v>156</v>
      </c>
    </row>
    <row r="153" spans="15:20" x14ac:dyDescent="0.3">
      <c r="O153">
        <v>152</v>
      </c>
      <c r="P153" t="s">
        <v>131</v>
      </c>
      <c r="Q153" t="s">
        <v>34</v>
      </c>
      <c r="R153">
        <v>919</v>
      </c>
      <c r="S153">
        <v>1019</v>
      </c>
      <c r="T153">
        <v>208</v>
      </c>
    </row>
    <row r="154" spans="15:20" x14ac:dyDescent="0.3">
      <c r="O154">
        <v>153</v>
      </c>
      <c r="P154" t="s">
        <v>131</v>
      </c>
      <c r="Q154" t="s">
        <v>37</v>
      </c>
      <c r="R154">
        <v>718</v>
      </c>
      <c r="S154">
        <v>1277</v>
      </c>
      <c r="T154">
        <v>155</v>
      </c>
    </row>
    <row r="155" spans="15:20" x14ac:dyDescent="0.3">
      <c r="O155">
        <v>154</v>
      </c>
      <c r="P155" t="s">
        <v>132</v>
      </c>
      <c r="Q155" t="s">
        <v>34</v>
      </c>
      <c r="R155">
        <v>827</v>
      </c>
      <c r="S155">
        <v>1111</v>
      </c>
      <c r="T155">
        <v>208</v>
      </c>
    </row>
    <row r="156" spans="15:20" x14ac:dyDescent="0.3">
      <c r="O156">
        <v>155</v>
      </c>
      <c r="P156" t="s">
        <v>132</v>
      </c>
      <c r="Q156" t="s">
        <v>37</v>
      </c>
      <c r="R156">
        <v>767</v>
      </c>
      <c r="S156">
        <v>1235</v>
      </c>
      <c r="T156">
        <v>145</v>
      </c>
    </row>
    <row r="157" spans="15:20" x14ac:dyDescent="0.3">
      <c r="O157">
        <v>156</v>
      </c>
      <c r="P157" t="s">
        <v>133</v>
      </c>
      <c r="Q157" t="s">
        <v>34</v>
      </c>
      <c r="R157">
        <v>936</v>
      </c>
      <c r="S157">
        <v>1003</v>
      </c>
      <c r="T157">
        <v>206</v>
      </c>
    </row>
    <row r="158" spans="15:20" x14ac:dyDescent="0.3">
      <c r="O158">
        <v>157</v>
      </c>
      <c r="P158" t="s">
        <v>133</v>
      </c>
      <c r="Q158" t="s">
        <v>37</v>
      </c>
      <c r="R158">
        <v>789</v>
      </c>
      <c r="S158">
        <v>1208</v>
      </c>
      <c r="T158">
        <v>155</v>
      </c>
    </row>
    <row r="159" spans="15:20" x14ac:dyDescent="0.3">
      <c r="O159">
        <v>158</v>
      </c>
      <c r="P159" t="s">
        <v>134</v>
      </c>
      <c r="Q159" t="s">
        <v>34</v>
      </c>
      <c r="R159">
        <v>921</v>
      </c>
      <c r="S159">
        <v>984</v>
      </c>
      <c r="T159">
        <v>239</v>
      </c>
    </row>
    <row r="160" spans="15:20" x14ac:dyDescent="0.3">
      <c r="O160">
        <v>159</v>
      </c>
      <c r="P160" t="s">
        <v>134</v>
      </c>
      <c r="Q160" t="s">
        <v>37</v>
      </c>
      <c r="R160">
        <v>738</v>
      </c>
      <c r="S160">
        <v>1167</v>
      </c>
      <c r="T160">
        <v>246</v>
      </c>
    </row>
    <row r="161" spans="15:20" x14ac:dyDescent="0.3">
      <c r="O161">
        <v>160</v>
      </c>
      <c r="P161" t="s">
        <v>135</v>
      </c>
      <c r="Q161" t="s">
        <v>37</v>
      </c>
      <c r="R161">
        <v>528</v>
      </c>
      <c r="S161">
        <v>125</v>
      </c>
      <c r="T161">
        <v>2087</v>
      </c>
    </row>
    <row r="162" spans="15:20" x14ac:dyDescent="0.3">
      <c r="O162">
        <v>161</v>
      </c>
      <c r="P162" t="s">
        <v>136</v>
      </c>
      <c r="Q162" t="s">
        <v>34</v>
      </c>
      <c r="R162">
        <v>520</v>
      </c>
      <c r="S162">
        <v>1019</v>
      </c>
      <c r="T162">
        <v>611</v>
      </c>
    </row>
    <row r="163" spans="15:20" x14ac:dyDescent="0.3">
      <c r="O163">
        <v>162</v>
      </c>
      <c r="P163" t="s">
        <v>136</v>
      </c>
      <c r="Q163" t="s">
        <v>37</v>
      </c>
      <c r="R163">
        <v>589</v>
      </c>
      <c r="S163">
        <v>1406</v>
      </c>
      <c r="T163">
        <v>151</v>
      </c>
    </row>
    <row r="164" spans="15:20" x14ac:dyDescent="0.3">
      <c r="O164">
        <v>163</v>
      </c>
      <c r="P164" t="s">
        <v>137</v>
      </c>
      <c r="Q164" t="s">
        <v>34</v>
      </c>
      <c r="R164">
        <v>820</v>
      </c>
      <c r="S164">
        <v>1124</v>
      </c>
      <c r="T164">
        <v>206</v>
      </c>
    </row>
    <row r="165" spans="15:20" x14ac:dyDescent="0.3">
      <c r="O165">
        <v>164</v>
      </c>
      <c r="P165" t="s">
        <v>137</v>
      </c>
      <c r="Q165" t="s">
        <v>37</v>
      </c>
      <c r="R165">
        <v>519</v>
      </c>
      <c r="S165">
        <v>1476</v>
      </c>
      <c r="T165">
        <v>154</v>
      </c>
    </row>
    <row r="166" spans="15:20" x14ac:dyDescent="0.3">
      <c r="O166">
        <v>165</v>
      </c>
      <c r="P166" t="s">
        <v>138</v>
      </c>
      <c r="Q166" t="s">
        <v>34</v>
      </c>
      <c r="R166">
        <v>899</v>
      </c>
      <c r="S166">
        <v>1048</v>
      </c>
      <c r="T166">
        <v>205</v>
      </c>
    </row>
    <row r="167" spans="15:20" x14ac:dyDescent="0.3">
      <c r="O167">
        <v>166</v>
      </c>
      <c r="P167" t="s">
        <v>138</v>
      </c>
      <c r="Q167" t="s">
        <v>37</v>
      </c>
      <c r="R167">
        <v>530</v>
      </c>
      <c r="S167">
        <v>1612</v>
      </c>
      <c r="T167">
        <v>4</v>
      </c>
    </row>
    <row r="168" spans="15:20" x14ac:dyDescent="0.3">
      <c r="O168">
        <v>167</v>
      </c>
      <c r="P168" t="s">
        <v>139</v>
      </c>
      <c r="Q168" t="s">
        <v>34</v>
      </c>
      <c r="R168">
        <v>936</v>
      </c>
      <c r="S168">
        <v>1218</v>
      </c>
      <c r="T168">
        <v>0</v>
      </c>
    </row>
    <row r="169" spans="15:20" x14ac:dyDescent="0.3">
      <c r="O169">
        <v>168</v>
      </c>
      <c r="P169" t="s">
        <v>139</v>
      </c>
      <c r="Q169" t="s">
        <v>37</v>
      </c>
      <c r="R169">
        <v>602</v>
      </c>
      <c r="S169">
        <v>1387</v>
      </c>
      <c r="T169">
        <v>157</v>
      </c>
    </row>
    <row r="170" spans="15:20" x14ac:dyDescent="0.3">
      <c r="O170">
        <v>169</v>
      </c>
      <c r="P170" t="s">
        <v>140</v>
      </c>
      <c r="Q170" t="s">
        <v>34</v>
      </c>
      <c r="R170">
        <v>978</v>
      </c>
      <c r="S170">
        <v>969</v>
      </c>
      <c r="T170">
        <v>205</v>
      </c>
    </row>
    <row r="171" spans="15:20" x14ac:dyDescent="0.3">
      <c r="O171">
        <v>170</v>
      </c>
      <c r="P171" t="s">
        <v>140</v>
      </c>
      <c r="Q171" t="s">
        <v>37</v>
      </c>
      <c r="R171">
        <v>653</v>
      </c>
      <c r="S171">
        <v>1496</v>
      </c>
      <c r="T171">
        <v>0</v>
      </c>
    </row>
    <row r="172" spans="15:20" x14ac:dyDescent="0.3">
      <c r="O172">
        <v>171</v>
      </c>
      <c r="P172" t="s">
        <v>141</v>
      </c>
      <c r="Q172" t="s">
        <v>34</v>
      </c>
      <c r="R172">
        <v>1033</v>
      </c>
      <c r="S172">
        <v>1120</v>
      </c>
      <c r="T172">
        <v>0</v>
      </c>
    </row>
    <row r="173" spans="15:20" x14ac:dyDescent="0.3">
      <c r="O173">
        <v>172</v>
      </c>
      <c r="P173" t="s">
        <v>141</v>
      </c>
      <c r="Q173" t="s">
        <v>37</v>
      </c>
      <c r="R173">
        <v>453</v>
      </c>
      <c r="S173">
        <v>1450</v>
      </c>
      <c r="T173">
        <v>247</v>
      </c>
    </row>
    <row r="174" spans="15:20" x14ac:dyDescent="0.3">
      <c r="O174">
        <v>173</v>
      </c>
      <c r="P174" t="s">
        <v>142</v>
      </c>
      <c r="Q174" t="s">
        <v>34</v>
      </c>
      <c r="R174">
        <v>857</v>
      </c>
      <c r="S174">
        <v>1047</v>
      </c>
      <c r="T174">
        <v>250</v>
      </c>
    </row>
    <row r="175" spans="15:20" x14ac:dyDescent="0.3">
      <c r="O175">
        <v>174</v>
      </c>
      <c r="P175" t="s">
        <v>142</v>
      </c>
      <c r="Q175" t="s">
        <v>37</v>
      </c>
      <c r="R175">
        <v>0</v>
      </c>
      <c r="S175">
        <v>0</v>
      </c>
      <c r="T175">
        <v>2160</v>
      </c>
    </row>
    <row r="176" spans="15:20" x14ac:dyDescent="0.3">
      <c r="O176">
        <v>175</v>
      </c>
      <c r="P176" t="s">
        <v>143</v>
      </c>
      <c r="Q176" t="s">
        <v>34</v>
      </c>
      <c r="R176">
        <v>421</v>
      </c>
      <c r="S176">
        <v>1111</v>
      </c>
      <c r="T176">
        <v>616</v>
      </c>
    </row>
    <row r="177" spans="15:20" x14ac:dyDescent="0.3">
      <c r="O177">
        <v>176</v>
      </c>
      <c r="P177" t="s">
        <v>143</v>
      </c>
      <c r="Q177" t="s">
        <v>37</v>
      </c>
      <c r="R177">
        <v>552</v>
      </c>
      <c r="S177">
        <v>1445</v>
      </c>
      <c r="T177">
        <v>154</v>
      </c>
    </row>
    <row r="178" spans="15:20" x14ac:dyDescent="0.3">
      <c r="O178">
        <v>177</v>
      </c>
      <c r="P178" t="s">
        <v>144</v>
      </c>
      <c r="Q178" t="s">
        <v>34</v>
      </c>
      <c r="R178">
        <v>906</v>
      </c>
      <c r="S178">
        <v>1033</v>
      </c>
      <c r="T178">
        <v>207</v>
      </c>
    </row>
    <row r="179" spans="15:20" x14ac:dyDescent="0.3">
      <c r="O179">
        <v>178</v>
      </c>
      <c r="P179" t="s">
        <v>144</v>
      </c>
      <c r="Q179" t="s">
        <v>37</v>
      </c>
      <c r="R179">
        <v>530</v>
      </c>
      <c r="S179">
        <v>1467</v>
      </c>
      <c r="T179">
        <v>156</v>
      </c>
    </row>
    <row r="180" spans="15:20" x14ac:dyDescent="0.3">
      <c r="O180">
        <v>179</v>
      </c>
      <c r="P180" t="s">
        <v>33</v>
      </c>
      <c r="Q180" t="s">
        <v>34</v>
      </c>
      <c r="R180">
        <v>796</v>
      </c>
      <c r="S180">
        <v>1147</v>
      </c>
      <c r="T180">
        <v>206</v>
      </c>
    </row>
    <row r="181" spans="15:20" x14ac:dyDescent="0.3">
      <c r="O181">
        <v>180</v>
      </c>
      <c r="P181" t="s">
        <v>33</v>
      </c>
      <c r="Q181" t="s">
        <v>37</v>
      </c>
      <c r="R181">
        <v>517</v>
      </c>
      <c r="S181">
        <v>1481</v>
      </c>
      <c r="T181">
        <v>156</v>
      </c>
    </row>
    <row r="182" spans="15:20" x14ac:dyDescent="0.3">
      <c r="O182">
        <v>181</v>
      </c>
      <c r="P182" t="s">
        <v>39</v>
      </c>
      <c r="Q182" t="s">
        <v>34</v>
      </c>
      <c r="R182">
        <v>964</v>
      </c>
      <c r="S182">
        <v>978</v>
      </c>
      <c r="T182">
        <v>207</v>
      </c>
    </row>
    <row r="183" spans="15:20" x14ac:dyDescent="0.3">
      <c r="O183">
        <v>182</v>
      </c>
      <c r="P183" t="s">
        <v>39</v>
      </c>
      <c r="Q183" t="s">
        <v>37</v>
      </c>
      <c r="R183">
        <v>716</v>
      </c>
      <c r="S183">
        <v>1280</v>
      </c>
      <c r="T183">
        <v>155</v>
      </c>
    </row>
    <row r="184" spans="15:20" x14ac:dyDescent="0.3">
      <c r="O184">
        <v>183</v>
      </c>
      <c r="P184" t="s">
        <v>43</v>
      </c>
      <c r="Q184" t="s">
        <v>34</v>
      </c>
      <c r="R184">
        <v>739</v>
      </c>
      <c r="S184">
        <v>1202</v>
      </c>
      <c r="T184">
        <v>207</v>
      </c>
    </row>
    <row r="185" spans="15:20" x14ac:dyDescent="0.3">
      <c r="O185">
        <v>184</v>
      </c>
      <c r="P185" t="s">
        <v>43</v>
      </c>
      <c r="Q185" t="s">
        <v>37</v>
      </c>
      <c r="R185">
        <v>650</v>
      </c>
      <c r="S185">
        <v>1341</v>
      </c>
      <c r="T185">
        <v>160</v>
      </c>
    </row>
    <row r="186" spans="15:20" x14ac:dyDescent="0.3">
      <c r="O186">
        <v>185</v>
      </c>
      <c r="P186" t="s">
        <v>48</v>
      </c>
      <c r="Q186" t="s">
        <v>34</v>
      </c>
      <c r="R186">
        <v>893</v>
      </c>
      <c r="S186">
        <v>756</v>
      </c>
      <c r="T186">
        <v>506</v>
      </c>
    </row>
    <row r="187" spans="15:20" x14ac:dyDescent="0.3">
      <c r="O187">
        <v>186</v>
      </c>
      <c r="P187" t="s">
        <v>48</v>
      </c>
      <c r="Q187" t="s">
        <v>37</v>
      </c>
      <c r="R187">
        <v>631</v>
      </c>
      <c r="S187">
        <v>1025</v>
      </c>
      <c r="T187">
        <v>498</v>
      </c>
    </row>
    <row r="188" spans="15:20" x14ac:dyDescent="0.3">
      <c r="O188">
        <v>187</v>
      </c>
      <c r="P188" t="s">
        <v>52</v>
      </c>
      <c r="Q188" t="s">
        <v>34</v>
      </c>
      <c r="R188">
        <v>604</v>
      </c>
      <c r="S188">
        <v>1062</v>
      </c>
      <c r="T188">
        <v>482</v>
      </c>
    </row>
    <row r="189" spans="15:20" x14ac:dyDescent="0.3">
      <c r="O189">
        <v>188</v>
      </c>
      <c r="P189" t="s">
        <v>52</v>
      </c>
      <c r="Q189" t="s">
        <v>37</v>
      </c>
      <c r="R189">
        <v>0</v>
      </c>
      <c r="S189">
        <v>0</v>
      </c>
      <c r="T189">
        <v>2160</v>
      </c>
    </row>
    <row r="190" spans="15:20" x14ac:dyDescent="0.3">
      <c r="O190">
        <v>189</v>
      </c>
      <c r="P190" t="s">
        <v>56</v>
      </c>
      <c r="Q190" t="s">
        <v>34</v>
      </c>
      <c r="R190">
        <v>503</v>
      </c>
      <c r="S190">
        <v>1044</v>
      </c>
      <c r="T190">
        <v>604</v>
      </c>
    </row>
    <row r="191" spans="15:20" x14ac:dyDescent="0.3">
      <c r="O191">
        <v>190</v>
      </c>
      <c r="P191" t="s">
        <v>56</v>
      </c>
      <c r="Q191" t="s">
        <v>37</v>
      </c>
      <c r="R191">
        <v>623</v>
      </c>
      <c r="S191">
        <v>1522</v>
      </c>
      <c r="T191">
        <v>0</v>
      </c>
    </row>
    <row r="192" spans="15:20" x14ac:dyDescent="0.3">
      <c r="O192">
        <v>191</v>
      </c>
      <c r="P192" t="s">
        <v>60</v>
      </c>
      <c r="Q192" t="s">
        <v>34</v>
      </c>
      <c r="R192">
        <v>1159</v>
      </c>
      <c r="S192">
        <v>993</v>
      </c>
      <c r="T192">
        <v>0</v>
      </c>
    </row>
    <row r="193" spans="15:20" x14ac:dyDescent="0.3">
      <c r="O193">
        <v>192</v>
      </c>
      <c r="P193" t="s">
        <v>60</v>
      </c>
      <c r="Q193" t="s">
        <v>37</v>
      </c>
      <c r="R193">
        <v>548</v>
      </c>
      <c r="S193">
        <v>1600</v>
      </c>
      <c r="T193">
        <v>0</v>
      </c>
    </row>
    <row r="194" spans="15:20" x14ac:dyDescent="0.3">
      <c r="O194">
        <v>193</v>
      </c>
      <c r="P194" t="s">
        <v>62</v>
      </c>
      <c r="Q194" t="s">
        <v>34</v>
      </c>
      <c r="R194">
        <v>1028</v>
      </c>
      <c r="S194">
        <v>1123</v>
      </c>
      <c r="T194">
        <v>0</v>
      </c>
    </row>
    <row r="195" spans="15:20" x14ac:dyDescent="0.3">
      <c r="O195">
        <v>194</v>
      </c>
      <c r="P195" t="s">
        <v>62</v>
      </c>
      <c r="Q195" t="s">
        <v>37</v>
      </c>
      <c r="R195">
        <v>592</v>
      </c>
      <c r="S195">
        <v>1549</v>
      </c>
      <c r="T195">
        <v>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T195"/>
  <sheetViews>
    <sheetView topLeftCell="E1" zoomScale="115" zoomScaleNormal="115" workbookViewId="0">
      <selection activeCell="Q24" sqref="Q24"/>
    </sheetView>
  </sheetViews>
  <sheetFormatPr defaultRowHeight="14.4" x14ac:dyDescent="0.3"/>
  <cols>
    <col min="1" max="1" width="3" bestFit="1" customWidth="1"/>
    <col min="2" max="2" width="11.88671875" bestFit="1" customWidth="1"/>
    <col min="3" max="3" width="10.88671875" bestFit="1" customWidth="1"/>
    <col min="4" max="4" width="34.109375" bestFit="1" customWidth="1"/>
    <col min="5" max="5" width="30.5546875" bestFit="1" customWidth="1"/>
    <col min="6" max="6" width="22.6640625" bestFit="1" customWidth="1"/>
    <col min="11" max="11" width="8.33203125" bestFit="1" customWidth="1"/>
    <col min="12" max="12" width="11.5546875" bestFit="1" customWidth="1"/>
    <col min="13" max="13" width="10" bestFit="1" customWidth="1"/>
  </cols>
  <sheetData>
    <row r="1" spans="1:20" s="2" customFormat="1" x14ac:dyDescent="0.3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  <c r="L1" s="3" t="s">
        <v>31</v>
      </c>
      <c r="M1" s="3" t="s">
        <v>32</v>
      </c>
    </row>
    <row r="2" spans="1:20" x14ac:dyDescent="0.3">
      <c r="A2">
        <v>1</v>
      </c>
      <c r="B2" t="s">
        <v>33</v>
      </c>
      <c r="C2" t="s">
        <v>34</v>
      </c>
      <c r="D2">
        <v>465</v>
      </c>
      <c r="E2">
        <v>694</v>
      </c>
      <c r="F2">
        <v>997</v>
      </c>
      <c r="H2" t="s">
        <v>35</v>
      </c>
      <c r="I2" s="1">
        <v>0.3</v>
      </c>
      <c r="J2" s="1">
        <v>0.42352941176470588</v>
      </c>
      <c r="K2" s="1">
        <f>IFERROR(SUMIFS(S:S,P:P,"*/01/2026")/(SUMIFS(R:R,P:P,"*/01/2026")+SUMIFS(S:S,P:P,"*/01/2026")+SUMIFS(T:T,P:P,"*/01/2026")),"")</f>
        <v>0.28675966844589662</v>
      </c>
      <c r="L2" s="1">
        <f>IFERROR(SUMIFS(R:R,P:P,"*/01/2026")/(SUMIFS(R:R,P:P,"*/01/2026")+SUMIFS(S:S,P:P,"*/01/2026")+SUMIFS(T:T,P:P,"*/01/2026")),"")</f>
        <v>0.26251044576109134</v>
      </c>
      <c r="M2" s="1">
        <f>IFERROR(SUMIFS(T:T,P:P,"*/01/2026")/(SUMIFS(R:R,P:P,"*/01/2026")+SUMIFS(S:S,P:P,"*/01/2026")+SUMIFS(T:T,P:P,"*/01/2026")),"")</f>
        <v>0.45072988579301204</v>
      </c>
      <c r="O2">
        <v>1</v>
      </c>
      <c r="P2" t="s">
        <v>36</v>
      </c>
      <c r="Q2" t="s">
        <v>34</v>
      </c>
      <c r="R2">
        <v>0</v>
      </c>
      <c r="S2">
        <v>0</v>
      </c>
      <c r="T2">
        <v>2160</v>
      </c>
    </row>
    <row r="3" spans="1:20" x14ac:dyDescent="0.3">
      <c r="A3">
        <v>2</v>
      </c>
      <c r="B3" t="s">
        <v>33</v>
      </c>
      <c r="C3" t="s">
        <v>37</v>
      </c>
      <c r="D3">
        <v>723</v>
      </c>
      <c r="E3">
        <v>934</v>
      </c>
      <c r="F3">
        <v>496</v>
      </c>
      <c r="H3" t="s">
        <v>38</v>
      </c>
      <c r="I3" s="1">
        <v>0.3</v>
      </c>
      <c r="J3" s="1">
        <v>0.42352941176470588</v>
      </c>
      <c r="K3" s="1">
        <f>IFERROR(SUMIFS(S:S,P:P,"*/02/2026")/(SUMIFS(R:R,P:P,"*/02/2026")+SUMIFS(S:S,P:P,"*/02/2026")+SUMIFS(T:T,P:P,"*/02/2026")),"")</f>
        <v>0.20448487657897788</v>
      </c>
      <c r="L3" s="1">
        <f>IFERROR(SUMIFS(R:R,P:P,"*/02/2026")/(SUMIFS(R:R,P:P,"*/02/2026")+SUMIFS(S:S,P:P,"*/02/2026")+SUMIFS(T:T,P:P,"*/02/2026")),"")</f>
        <v>0.19157161068158865</v>
      </c>
      <c r="M3" s="1">
        <f>IFERROR(SUMIFS(T:T,P:P,"*/02/2026")/(SUMIFS(R:R,P:P,"*/02/2026")+SUMIFS(S:S,P:P,"*/02/2026")+SUMIFS(T:T,P:P,"*/02/2026")),"")</f>
        <v>0.60394351273943347</v>
      </c>
      <c r="O3">
        <v>2</v>
      </c>
      <c r="P3" t="s">
        <v>36</v>
      </c>
      <c r="Q3" t="s">
        <v>37</v>
      </c>
      <c r="R3">
        <v>82</v>
      </c>
      <c r="S3">
        <v>114</v>
      </c>
      <c r="T3">
        <v>1961</v>
      </c>
    </row>
    <row r="4" spans="1:20" x14ac:dyDescent="0.3">
      <c r="A4">
        <v>3</v>
      </c>
      <c r="B4" t="s">
        <v>39</v>
      </c>
      <c r="C4" t="s">
        <v>34</v>
      </c>
      <c r="D4">
        <v>384</v>
      </c>
      <c r="E4">
        <v>641</v>
      </c>
      <c r="F4">
        <v>1132</v>
      </c>
      <c r="H4" t="s">
        <v>40</v>
      </c>
      <c r="I4" s="1">
        <v>0.3</v>
      </c>
      <c r="J4" s="1">
        <v>0.42352941176470588</v>
      </c>
      <c r="K4" s="1">
        <f>IFERROR(SUMIFS(S:S,P:P,"*/03/2026")/(SUMIFS(R:R,P:P,"*/03/2026")+SUMIFS(S:S,P:P,"*/03/2026")+SUMIFS(T:T,P:P,"*/03/2026")),"")</f>
        <v>0.3069794997607419</v>
      </c>
      <c r="L4" s="1">
        <f>IFERROR(SUMIFS(R:R,P:P,"*/03/2026")/(SUMIFS(R:R,P:P,"*/03/2026")+SUMIFS(S:S,P:P,"*/03/2026")+SUMIFS(T:T,P:P,"*/03/2026")),"")</f>
        <v>0.26010010861556926</v>
      </c>
      <c r="M4" s="1">
        <f>IFERROR(SUMIFS(T:T,P:P,"*/03/2026")/(SUMIFS(R:R,P:P,"*/03/2026")+SUMIFS(S:S,P:P,"*/03/2026")+SUMIFS(T:T,P:P,"*/03/2026")),"")</f>
        <v>0.43292039162368884</v>
      </c>
      <c r="O4">
        <v>3</v>
      </c>
      <c r="P4" t="s">
        <v>41</v>
      </c>
      <c r="Q4" t="s">
        <v>34</v>
      </c>
      <c r="R4">
        <v>890</v>
      </c>
      <c r="S4">
        <v>950</v>
      </c>
      <c r="T4">
        <v>313</v>
      </c>
    </row>
    <row r="5" spans="1:20" x14ac:dyDescent="0.3">
      <c r="A5">
        <v>4</v>
      </c>
      <c r="B5" t="s">
        <v>39</v>
      </c>
      <c r="C5" t="s">
        <v>37</v>
      </c>
      <c r="D5">
        <v>666</v>
      </c>
      <c r="E5">
        <v>921</v>
      </c>
      <c r="F5">
        <v>566</v>
      </c>
      <c r="H5" t="s">
        <v>42</v>
      </c>
      <c r="I5" s="1">
        <v>0.3</v>
      </c>
      <c r="J5" s="1">
        <v>0.42352941176470588</v>
      </c>
      <c r="K5" s="1">
        <f>IFERROR(SUMIFS(S:S,P:P,"*/04/2026")/(SUMIFS(R:R,P:P,"*/04/2026")+SUMIFS(S:S,P:P,"*/04/2026")+SUMIFS(T:T,P:P,"*/04/2026")),"")</f>
        <v>0.29953329275009422</v>
      </c>
      <c r="L5" s="1">
        <f>IFERROR(SUMIFS(R:R,P:P,"*/04/2026")/(SUMIFS(R:R,P:P,"*/04/2026")+SUMIFS(S:S,P:P,"*/04/2026")+SUMIFS(T:T,P:P,"*/04/2026")),"")</f>
        <v>0.24616633330434531</v>
      </c>
      <c r="M5" s="1">
        <f>IFERROR(SUMIFS(T:T,P:P,"*/04/2026")/(SUMIFS(R:R,P:P,"*/04/2026")+SUMIFS(S:S,P:P,"*/04/2026")+SUMIFS(T:T,P:P,"*/04/2026")),"")</f>
        <v>0.4543003739455605</v>
      </c>
      <c r="O5">
        <v>4</v>
      </c>
      <c r="P5" t="s">
        <v>41</v>
      </c>
      <c r="Q5" t="s">
        <v>37</v>
      </c>
      <c r="R5">
        <v>303</v>
      </c>
      <c r="S5">
        <v>485</v>
      </c>
      <c r="T5">
        <v>1369</v>
      </c>
    </row>
    <row r="6" spans="1:20" x14ac:dyDescent="0.3">
      <c r="A6">
        <v>5</v>
      </c>
      <c r="B6" t="s">
        <v>43</v>
      </c>
      <c r="C6" t="s">
        <v>34</v>
      </c>
      <c r="D6">
        <v>427</v>
      </c>
      <c r="E6">
        <v>594</v>
      </c>
      <c r="F6">
        <v>1137</v>
      </c>
      <c r="H6" t="s">
        <v>44</v>
      </c>
      <c r="I6" s="1">
        <v>0.3</v>
      </c>
      <c r="J6" s="1">
        <v>0.42352941176470588</v>
      </c>
      <c r="K6" s="1" t="str">
        <f>IFERROR(SUMIFS(S:S,P:P,"*/05/2026")/(SUMIFS(R:R,P:P,"*/05/2026")+SUMIFS(S:S,P:P,"*/05/2026")+SUMIFS(T:T,P:P,"*/05/2026")),"")</f>
        <v/>
      </c>
      <c r="L6" s="1" t="str">
        <f>IFERROR(SUMIFS(R:R,P:P,"*/05/2026")/(SUMIFS(R:R,P:P,"*/05/2026")+SUMIFS(S:S,P:P,"*/05/2026")+SUMIFS(T:T,P:P,"*/05/2026")),"")</f>
        <v/>
      </c>
      <c r="M6" s="1" t="str">
        <f>IFERROR(SUMIFS(T:T,P:P,"*/05/2026")/(SUMIFS(R:R,P:P,"*/05/2026")+SUMIFS(S:S,P:P,"*/05/2026")+SUMIFS(T:T,P:P,"*/05/2026")),"")</f>
        <v/>
      </c>
      <c r="O6">
        <v>5</v>
      </c>
      <c r="P6" t="s">
        <v>45</v>
      </c>
      <c r="Q6" t="s">
        <v>37</v>
      </c>
      <c r="R6">
        <v>1709</v>
      </c>
      <c r="S6">
        <v>1241</v>
      </c>
      <c r="T6">
        <v>552</v>
      </c>
    </row>
    <row r="7" spans="1:20" x14ac:dyDescent="0.3">
      <c r="A7">
        <v>6</v>
      </c>
      <c r="B7" t="s">
        <v>43</v>
      </c>
      <c r="C7" t="s">
        <v>37</v>
      </c>
      <c r="D7">
        <v>596</v>
      </c>
      <c r="E7">
        <v>992</v>
      </c>
      <c r="F7">
        <v>568</v>
      </c>
      <c r="H7" t="s">
        <v>46</v>
      </c>
      <c r="I7" s="1">
        <v>0.3</v>
      </c>
      <c r="J7" s="1">
        <v>0.42352941176470588</v>
      </c>
      <c r="K7" s="1" t="str">
        <f>IFERROR(SUMIFS(S:S,P:P,"*/06/2026")/(SUMIFS(R:R,P:P,"*/06/2026")+SUMIFS(S:S,P:P,"*/06/2026")+SUMIFS(T:T,P:P,"*/06/2026")),"")</f>
        <v/>
      </c>
      <c r="L7" s="1" t="str">
        <f>IFERROR(SUMIFS(R:R,P:P,"*/06/2026")/(SUMIFS(R:R,P:P,"*/06/2026")+SUMIFS(S:S,P:P,"*/06/2026")+SUMIFS(T:T,P:P,"*/06/2026")),"")</f>
        <v/>
      </c>
      <c r="M7" s="1" t="str">
        <f>IFERROR(SUMIFS(T:T,P:P,"*/06/2026")/(SUMIFS(R:R,P:P,"*/06/2026")+SUMIFS(S:S,P:P,"*/06/2026")+SUMIFS(T:T,P:P,"*/06/2026")),"")</f>
        <v/>
      </c>
      <c r="O7">
        <v>6</v>
      </c>
      <c r="P7" t="s">
        <v>47</v>
      </c>
      <c r="Q7" t="s">
        <v>34</v>
      </c>
      <c r="R7">
        <v>0</v>
      </c>
      <c r="S7">
        <v>0</v>
      </c>
      <c r="T7">
        <v>2160</v>
      </c>
    </row>
    <row r="8" spans="1:20" x14ac:dyDescent="0.3">
      <c r="A8">
        <v>7</v>
      </c>
      <c r="B8" t="s">
        <v>48</v>
      </c>
      <c r="C8" t="s">
        <v>34</v>
      </c>
      <c r="D8">
        <v>782</v>
      </c>
      <c r="E8">
        <v>602</v>
      </c>
      <c r="F8">
        <v>773</v>
      </c>
      <c r="H8" t="s">
        <v>49</v>
      </c>
      <c r="I8" s="1">
        <v>0.3</v>
      </c>
      <c r="J8" s="1">
        <v>0.42352941176470588</v>
      </c>
      <c r="K8" s="1" t="str">
        <f>IFERROR(SUMIFS(S:S,P:P,"*/07/2026")/(SUMIFS(R:R,P:P,"*/07/2026")+SUMIFS(S:S,P:P,"*/07/2026")+SUMIFS(T:T,P:P,"*/07/2026")),"")</f>
        <v/>
      </c>
      <c r="L8" s="1" t="str">
        <f>IFERROR(SUMIFS(R:R,P:P,"*/07/2026")/(SUMIFS(R:R,P:P,"*/07/2026")+SUMIFS(S:S,P:P,"*/07/2026")+SUMIFS(T:T,P:P,"*/07/2026")),"")</f>
        <v/>
      </c>
      <c r="M8" s="1" t="str">
        <f>IFERROR(SUMIFS(T:T,P:P,"*/07/2026")/(SUMIFS(R:R,P:P,"*/07/2026")+SUMIFS(S:S,P:P,"*/07/2026")+SUMIFS(T:T,P:P,"*/07/2026")),"")</f>
        <v/>
      </c>
      <c r="O8">
        <v>7</v>
      </c>
      <c r="P8" t="s">
        <v>47</v>
      </c>
      <c r="Q8" t="s">
        <v>37</v>
      </c>
      <c r="R8">
        <v>0</v>
      </c>
      <c r="S8">
        <v>0</v>
      </c>
      <c r="T8">
        <v>2160</v>
      </c>
    </row>
    <row r="9" spans="1:20" x14ac:dyDescent="0.3">
      <c r="A9">
        <v>8</v>
      </c>
      <c r="B9" t="s">
        <v>48</v>
      </c>
      <c r="C9" t="s">
        <v>37</v>
      </c>
      <c r="D9">
        <v>775</v>
      </c>
      <c r="E9">
        <v>619</v>
      </c>
      <c r="F9">
        <v>762</v>
      </c>
      <c r="H9" t="s">
        <v>50</v>
      </c>
      <c r="I9" s="1">
        <v>0.3</v>
      </c>
      <c r="J9" s="1">
        <v>0.42352941176470588</v>
      </c>
      <c r="K9" s="1" t="str">
        <f>IFERROR(SUMIFS(S:S,P:P,"*/08/2026")/(SUMIFS(R:R,P:P,"*/08/2026")+SUMIFS(S:S,P:P,"*/08/2026")+SUMIFS(T:T,P:P,"*/08/2026")),"")</f>
        <v/>
      </c>
      <c r="L9" s="1" t="str">
        <f>IFERROR(SUMIFS(R:R,P:P,"*/08/2026")/(SUMIFS(R:R,P:P,"*/08/2026")+SUMIFS(S:S,P:P,"*/08/2026")+SUMIFS(T:T,P:P,"*/08/2026")),"")</f>
        <v/>
      </c>
      <c r="M9" s="1" t="str">
        <f>IFERROR(SUMIFS(T:T,P:P,"*/08/2026")/(SUMIFS(R:R,P:P,"*/08/2026")+SUMIFS(S:S,P:P,"*/08/2026")+SUMIFS(T:T,P:P,"*/08/2026")),"")</f>
        <v/>
      </c>
      <c r="O9">
        <v>8</v>
      </c>
      <c r="P9" t="s">
        <v>51</v>
      </c>
      <c r="Q9" t="s">
        <v>34</v>
      </c>
      <c r="R9">
        <v>400</v>
      </c>
      <c r="S9">
        <v>633</v>
      </c>
      <c r="T9">
        <v>1123</v>
      </c>
    </row>
    <row r="10" spans="1:20" x14ac:dyDescent="0.3">
      <c r="A10">
        <v>9</v>
      </c>
      <c r="B10" t="s">
        <v>52</v>
      </c>
      <c r="C10" t="s">
        <v>34</v>
      </c>
      <c r="D10">
        <v>0</v>
      </c>
      <c r="E10">
        <v>0</v>
      </c>
      <c r="F10">
        <v>2160</v>
      </c>
      <c r="H10" t="s">
        <v>53</v>
      </c>
      <c r="I10" s="1">
        <v>0.3</v>
      </c>
      <c r="J10" s="1">
        <v>0.42352941176470588</v>
      </c>
      <c r="K10" s="1" t="str">
        <f>IFERROR(SUMIFS(S:S,P:P,"*/09/2026")/(SUMIFS(R:R,P:P,"*/09/2026")+SUMIFS(S:S,P:P,"*/09/2026")+SUMIFS(T:T,P:P,"*/09/2026")),"")</f>
        <v/>
      </c>
      <c r="L10" s="1" t="str">
        <f>IFERROR(SUMIFS(R:R,P:P,"*/09/2026")/(SUMIFS(R:R,P:P,"*/09/2026")+SUMIFS(S:S,P:P,"*/09/2026")+SUMIFS(T:T,P:P,"*/09/2026")),"")</f>
        <v/>
      </c>
      <c r="M10" s="1" t="str">
        <f>IFERROR(SUMIFS(T:T,P:P,"*/09/2026")/(SUMIFS(R:R,P:P,"*/09/2026")+SUMIFS(S:S,P:P,"*/09/2026")+SUMIFS(T:T,P:P,"*/09/2026")),"")</f>
        <v/>
      </c>
      <c r="O10">
        <v>9</v>
      </c>
      <c r="P10" t="s">
        <v>51</v>
      </c>
      <c r="Q10" t="s">
        <v>37</v>
      </c>
      <c r="R10">
        <v>957</v>
      </c>
      <c r="S10">
        <v>692</v>
      </c>
      <c r="T10">
        <v>480</v>
      </c>
    </row>
    <row r="11" spans="1:20" x14ac:dyDescent="0.3">
      <c r="A11">
        <v>10</v>
      </c>
      <c r="B11" t="s">
        <v>52</v>
      </c>
      <c r="C11" t="s">
        <v>37</v>
      </c>
      <c r="D11">
        <v>0</v>
      </c>
      <c r="E11">
        <v>0</v>
      </c>
      <c r="F11">
        <v>2160</v>
      </c>
      <c r="H11" t="s">
        <v>54</v>
      </c>
      <c r="I11" s="1">
        <v>0.3</v>
      </c>
      <c r="J11" s="1">
        <v>0.42352941176470588</v>
      </c>
      <c r="K11" s="1" t="str">
        <f>IFERROR(SUMIFS(S:S,P:P,"*/10/2026")/(SUMIFS(R:R,P:P,"*/10/2026")+SUMIFS(S:S,P:P,"*/10/2026")+SUMIFS(T:T,P:P,"*/10/2026")),"")</f>
        <v/>
      </c>
      <c r="L11" s="1" t="str">
        <f>IFERROR(SUMIFS(R:R,P:P,"*/10/2026")/(SUMIFS(R:R,P:P,"*/10/2026")+SUMIFS(S:S,P:P,"*/10/2026")+SUMIFS(T:T,P:P,"*/10/2026")),"")</f>
        <v/>
      </c>
      <c r="M11" s="1" t="str">
        <f>IFERROR(SUMIFS(T:T,P:P,"*/10/2026")/(SUMIFS(R:R,P:P,"*/10/2026")+SUMIFS(S:S,P:P,"*/10/2026")+SUMIFS(T:T,P:P,"*/10/2026")),"")</f>
        <v/>
      </c>
      <c r="O11">
        <v>10</v>
      </c>
      <c r="P11" t="s">
        <v>55</v>
      </c>
      <c r="Q11" t="s">
        <v>34</v>
      </c>
      <c r="R11">
        <v>373</v>
      </c>
      <c r="S11">
        <v>644</v>
      </c>
      <c r="T11">
        <v>1140</v>
      </c>
    </row>
    <row r="12" spans="1:20" x14ac:dyDescent="0.3">
      <c r="A12">
        <v>11</v>
      </c>
      <c r="B12" t="s">
        <v>56</v>
      </c>
      <c r="C12" t="s">
        <v>34</v>
      </c>
      <c r="D12">
        <v>733</v>
      </c>
      <c r="E12">
        <v>791</v>
      </c>
      <c r="F12">
        <v>630</v>
      </c>
      <c r="H12" t="s">
        <v>57</v>
      </c>
      <c r="I12" s="1">
        <v>0.3</v>
      </c>
      <c r="J12" s="1">
        <v>0.42352941176470588</v>
      </c>
      <c r="K12" s="1" t="str">
        <f>IFERROR(SUMIFS(S:S,P:P,"*/11/2026")/(SUMIFS(R:R,P:P,"*/11/2026")+SUMIFS(S:S,P:P,"*/11/2026")+SUMIFS(T:T,P:P,"*/11/2026")),"")</f>
        <v/>
      </c>
      <c r="L12" s="1" t="str">
        <f>IFERROR(SUMIFS(R:R,P:P,"*/11/2026")/(SUMIFS(R:R,P:P,"*/11/2026")+SUMIFS(S:S,P:P,"*/11/2026")+SUMIFS(T:T,P:P,"*/11/2026")),"")</f>
        <v/>
      </c>
      <c r="M12" s="1" t="str">
        <f>IFERROR(SUMIFS(T:T,P:P,"*/11/2026")/(SUMIFS(R:R,P:P,"*/11/2026")+SUMIFS(S:S,P:P,"*/11/2026")+SUMIFS(T:T,P:P,"*/11/2026")),"")</f>
        <v/>
      </c>
      <c r="O12">
        <v>11</v>
      </c>
      <c r="P12" t="s">
        <v>55</v>
      </c>
      <c r="Q12" t="s">
        <v>37</v>
      </c>
      <c r="R12">
        <v>863</v>
      </c>
      <c r="S12">
        <v>799</v>
      </c>
      <c r="T12">
        <v>492</v>
      </c>
    </row>
    <row r="13" spans="1:20" x14ac:dyDescent="0.3">
      <c r="A13">
        <v>12</v>
      </c>
      <c r="B13" t="s">
        <v>56</v>
      </c>
      <c r="C13" t="s">
        <v>37</v>
      </c>
      <c r="D13">
        <v>381</v>
      </c>
      <c r="E13">
        <v>678</v>
      </c>
      <c r="F13">
        <v>1097</v>
      </c>
      <c r="H13" t="s">
        <v>58</v>
      </c>
      <c r="I13" s="1">
        <v>0.3</v>
      </c>
      <c r="J13" s="1">
        <v>0.42352941176470588</v>
      </c>
      <c r="K13" s="1" t="str">
        <f>IFERROR(SUMIFS(S:S,P:P,"*/12/2026")/(SUMIFS(R:R,P:P,"*/12/2026")+SUMIFS(S:S,P:P,"*/12/2026")+SUMIFS(T:T,P:P,"*/12/2026")),"")</f>
        <v/>
      </c>
      <c r="L13" s="1" t="str">
        <f>IFERROR(SUMIFS(R:R,P:P,"*/12/2026")/(SUMIFS(R:R,P:P,"*/12/2026")+SUMIFS(S:S,P:P,"*/12/2026")+SUMIFS(T:T,P:P,"*/12/2026")),"")</f>
        <v/>
      </c>
      <c r="M13" s="1" t="str">
        <f>IFERROR(SUMIFS(T:T,P:P,"*/12/2026")/(SUMIFS(R:R,P:P,"*/12/2026")+SUMIFS(S:S,P:P,"*/12/2026")+SUMIFS(T:T,P:P,"*/12/2026")),"")</f>
        <v/>
      </c>
      <c r="O13">
        <v>12</v>
      </c>
      <c r="P13" t="s">
        <v>59</v>
      </c>
      <c r="Q13" t="s">
        <v>34</v>
      </c>
      <c r="R13">
        <v>169</v>
      </c>
      <c r="S13">
        <v>199</v>
      </c>
      <c r="T13">
        <v>1789</v>
      </c>
    </row>
    <row r="14" spans="1:20" x14ac:dyDescent="0.3">
      <c r="A14">
        <v>13</v>
      </c>
      <c r="B14" t="s">
        <v>60</v>
      </c>
      <c r="C14" t="s">
        <v>34</v>
      </c>
      <c r="D14">
        <v>799</v>
      </c>
      <c r="E14">
        <v>725</v>
      </c>
      <c r="F14">
        <v>630</v>
      </c>
      <c r="H14" t="str">
        <f>IF(B2="","",TEXT(B2,"dd/mm")&amp; "-" &amp;IF(UPPER(TRIM(C2))="CN",1,IF(UPPER(TRIM(C2))="CD",2,"")))</f>
        <v>01/04-1</v>
      </c>
      <c r="I14" s="1">
        <v>0.3</v>
      </c>
      <c r="J14" s="1">
        <v>0.42352941176470588</v>
      </c>
      <c r="K14" s="1">
        <f t="shared" ref="K14:K45" si="0">IFERROR($E2/SUM($D2:$F2),"")</f>
        <v>0.32189239332096475</v>
      </c>
      <c r="L14" s="1">
        <f t="shared" ref="L14:L45" si="1">IFERROR($D2/SUM($D2:$F2),"")</f>
        <v>0.21567717996289426</v>
      </c>
      <c r="M14" s="1">
        <f t="shared" ref="M14:M45" si="2">IFERROR($F2/SUM($D2:$F2),"")</f>
        <v>0.46243042671614099</v>
      </c>
      <c r="O14">
        <v>13</v>
      </c>
      <c r="P14" t="s">
        <v>59</v>
      </c>
      <c r="Q14" t="s">
        <v>37</v>
      </c>
      <c r="R14">
        <v>0</v>
      </c>
      <c r="S14">
        <v>0</v>
      </c>
      <c r="T14">
        <v>2160</v>
      </c>
    </row>
    <row r="15" spans="1:20" x14ac:dyDescent="0.3">
      <c r="A15">
        <v>14</v>
      </c>
      <c r="B15" t="s">
        <v>60</v>
      </c>
      <c r="C15" t="s">
        <v>37</v>
      </c>
      <c r="D15">
        <v>595</v>
      </c>
      <c r="E15">
        <v>665</v>
      </c>
      <c r="F15">
        <v>898</v>
      </c>
      <c r="H15" t="str">
        <f t="shared" ref="H15:H46" si="3">IF(B3="","",TEXT(B3,"dd/mm") &amp; "-" &amp; IF(UPPER(TRIM(C3))="CN",1,IF(UPPER(TRIM(C3))="CD",2,"")))</f>
        <v>01/04-2</v>
      </c>
      <c r="I15" s="1">
        <v>0.3</v>
      </c>
      <c r="J15" s="1">
        <v>0.42352941176470588</v>
      </c>
      <c r="K15" s="1">
        <f t="shared" si="0"/>
        <v>0.4338132837900604</v>
      </c>
      <c r="L15" s="1">
        <f t="shared" si="1"/>
        <v>0.33581049698095683</v>
      </c>
      <c r="M15" s="1">
        <f t="shared" si="2"/>
        <v>0.23037621922898283</v>
      </c>
      <c r="O15">
        <v>14</v>
      </c>
      <c r="P15" t="s">
        <v>61</v>
      </c>
      <c r="Q15" t="s">
        <v>34</v>
      </c>
      <c r="R15">
        <v>640</v>
      </c>
      <c r="S15">
        <v>879</v>
      </c>
      <c r="T15">
        <v>635</v>
      </c>
    </row>
    <row r="16" spans="1:20" x14ac:dyDescent="0.3">
      <c r="A16">
        <v>15</v>
      </c>
      <c r="B16" t="s">
        <v>62</v>
      </c>
      <c r="C16" t="s">
        <v>34</v>
      </c>
      <c r="D16">
        <v>807</v>
      </c>
      <c r="E16">
        <v>713</v>
      </c>
      <c r="F16">
        <v>633</v>
      </c>
      <c r="H16" t="str">
        <f t="shared" si="3"/>
        <v>02/04-1</v>
      </c>
      <c r="I16" s="1">
        <v>0.3</v>
      </c>
      <c r="J16" s="1">
        <v>0.42352941176470588</v>
      </c>
      <c r="K16" s="1">
        <f t="shared" si="0"/>
        <v>0.29717199814557255</v>
      </c>
      <c r="L16" s="1">
        <f t="shared" si="1"/>
        <v>0.1780250347705146</v>
      </c>
      <c r="M16" s="1">
        <f t="shared" si="2"/>
        <v>0.52480296708391283</v>
      </c>
      <c r="O16">
        <v>15</v>
      </c>
      <c r="P16" t="s">
        <v>61</v>
      </c>
      <c r="Q16" t="s">
        <v>37</v>
      </c>
      <c r="R16">
        <v>879</v>
      </c>
      <c r="S16">
        <v>800</v>
      </c>
      <c r="T16">
        <v>474</v>
      </c>
    </row>
    <row r="17" spans="1:20" x14ac:dyDescent="0.3">
      <c r="A17">
        <v>16</v>
      </c>
      <c r="B17" t="s">
        <v>62</v>
      </c>
      <c r="C17" t="s">
        <v>37</v>
      </c>
      <c r="D17">
        <v>359</v>
      </c>
      <c r="E17">
        <v>764</v>
      </c>
      <c r="F17">
        <v>1033</v>
      </c>
      <c r="H17" t="str">
        <f t="shared" si="3"/>
        <v>02/04-2</v>
      </c>
      <c r="I17" s="1">
        <v>0.3</v>
      </c>
      <c r="J17" s="1">
        <v>0.42352941176470588</v>
      </c>
      <c r="K17" s="1">
        <f t="shared" si="0"/>
        <v>0.42777519739897818</v>
      </c>
      <c r="L17" s="1">
        <f t="shared" si="1"/>
        <v>0.30933581049698095</v>
      </c>
      <c r="M17" s="1">
        <f t="shared" si="2"/>
        <v>0.26288899210404088</v>
      </c>
      <c r="O17">
        <v>16</v>
      </c>
      <c r="P17" t="s">
        <v>63</v>
      </c>
      <c r="Q17" t="s">
        <v>34</v>
      </c>
      <c r="R17">
        <v>720</v>
      </c>
      <c r="S17">
        <v>800</v>
      </c>
      <c r="T17">
        <v>637</v>
      </c>
    </row>
    <row r="18" spans="1:20" x14ac:dyDescent="0.3">
      <c r="H18" t="str">
        <f t="shared" si="3"/>
        <v>03/04-1</v>
      </c>
      <c r="I18" s="1">
        <v>0.3</v>
      </c>
      <c r="J18" s="1">
        <v>0.42352941176470588</v>
      </c>
      <c r="K18" s="1">
        <f t="shared" si="0"/>
        <v>0.27525486561631141</v>
      </c>
      <c r="L18" s="1">
        <f t="shared" si="1"/>
        <v>0.19786839666357739</v>
      </c>
      <c r="M18" s="1">
        <f t="shared" si="2"/>
        <v>0.52687673772011123</v>
      </c>
      <c r="O18">
        <v>17</v>
      </c>
      <c r="P18" t="s">
        <v>63</v>
      </c>
      <c r="Q18" t="s">
        <v>37</v>
      </c>
      <c r="R18">
        <v>833</v>
      </c>
      <c r="S18">
        <v>831</v>
      </c>
      <c r="T18">
        <v>488</v>
      </c>
    </row>
    <row r="19" spans="1:20" x14ac:dyDescent="0.3">
      <c r="H19" t="str">
        <f t="shared" si="3"/>
        <v>03/04-2</v>
      </c>
      <c r="I19" s="1">
        <v>0.3</v>
      </c>
      <c r="J19" s="1">
        <v>0.42352941176470588</v>
      </c>
      <c r="K19" s="1">
        <f t="shared" si="0"/>
        <v>0.46011131725417442</v>
      </c>
      <c r="L19" s="1">
        <f t="shared" si="1"/>
        <v>0.27643784786641928</v>
      </c>
      <c r="M19" s="1">
        <f t="shared" si="2"/>
        <v>0.26345083487940629</v>
      </c>
      <c r="O19">
        <v>18</v>
      </c>
      <c r="P19" t="s">
        <v>64</v>
      </c>
      <c r="Q19" t="s">
        <v>34</v>
      </c>
      <c r="R19">
        <v>429</v>
      </c>
      <c r="S19">
        <v>524</v>
      </c>
      <c r="T19">
        <v>1202</v>
      </c>
    </row>
    <row r="20" spans="1:20" x14ac:dyDescent="0.3">
      <c r="H20" t="str">
        <f t="shared" si="3"/>
        <v>04/04-1</v>
      </c>
      <c r="I20" s="1">
        <v>0.3</v>
      </c>
      <c r="J20" s="1">
        <v>0.42352941176470588</v>
      </c>
      <c r="K20" s="1">
        <f t="shared" si="0"/>
        <v>0.27909133055169216</v>
      </c>
      <c r="L20" s="1">
        <f t="shared" si="1"/>
        <v>0.3625405656003709</v>
      </c>
      <c r="M20" s="1">
        <f t="shared" si="2"/>
        <v>0.35836810384793694</v>
      </c>
      <c r="O20">
        <v>19</v>
      </c>
      <c r="P20" t="s">
        <v>64</v>
      </c>
      <c r="Q20" t="s">
        <v>37</v>
      </c>
      <c r="R20">
        <v>0</v>
      </c>
      <c r="S20">
        <v>0</v>
      </c>
      <c r="T20">
        <v>2160</v>
      </c>
    </row>
    <row r="21" spans="1:20" x14ac:dyDescent="0.3">
      <c r="H21" t="str">
        <f t="shared" si="3"/>
        <v>04/04-2</v>
      </c>
      <c r="I21" s="1">
        <v>0.3</v>
      </c>
      <c r="J21" s="1">
        <v>0.42352941176470588</v>
      </c>
      <c r="K21" s="1">
        <f t="shared" si="0"/>
        <v>0.28710575139146566</v>
      </c>
      <c r="L21" s="1">
        <f t="shared" si="1"/>
        <v>0.35946196660482377</v>
      </c>
      <c r="M21" s="1">
        <f t="shared" si="2"/>
        <v>0.35343228200371057</v>
      </c>
      <c r="O21">
        <v>20</v>
      </c>
      <c r="P21" t="s">
        <v>65</v>
      </c>
      <c r="Q21" t="s">
        <v>34</v>
      </c>
      <c r="R21">
        <v>0</v>
      </c>
      <c r="S21">
        <v>0</v>
      </c>
      <c r="T21">
        <v>2160</v>
      </c>
    </row>
    <row r="22" spans="1:20" x14ac:dyDescent="0.3">
      <c r="H22" t="str">
        <f t="shared" si="3"/>
        <v>05/04-1</v>
      </c>
      <c r="I22" s="1">
        <v>0.3</v>
      </c>
      <c r="J22" s="1">
        <v>0.42352941176470588</v>
      </c>
      <c r="K22" s="1">
        <f t="shared" si="0"/>
        <v>0</v>
      </c>
      <c r="L22" s="1">
        <f t="shared" si="1"/>
        <v>0</v>
      </c>
      <c r="M22" s="1">
        <f t="shared" si="2"/>
        <v>1</v>
      </c>
      <c r="O22">
        <v>21</v>
      </c>
      <c r="P22" t="s">
        <v>65</v>
      </c>
      <c r="Q22" t="s">
        <v>37</v>
      </c>
      <c r="R22">
        <v>0</v>
      </c>
      <c r="S22">
        <v>0</v>
      </c>
      <c r="T22">
        <v>2161</v>
      </c>
    </row>
    <row r="23" spans="1:20" x14ac:dyDescent="0.3">
      <c r="H23" t="str">
        <f t="shared" si="3"/>
        <v>05/04-2</v>
      </c>
      <c r="I23" s="1">
        <v>0.3</v>
      </c>
      <c r="J23" s="1">
        <v>0.42352941176470588</v>
      </c>
      <c r="K23" s="1">
        <f t="shared" si="0"/>
        <v>0</v>
      </c>
      <c r="L23" s="1">
        <f t="shared" si="1"/>
        <v>0</v>
      </c>
      <c r="M23" s="1">
        <f t="shared" si="2"/>
        <v>1</v>
      </c>
      <c r="O23">
        <v>22</v>
      </c>
      <c r="P23" t="s">
        <v>66</v>
      </c>
      <c r="Q23" t="s">
        <v>34</v>
      </c>
      <c r="R23">
        <v>787</v>
      </c>
      <c r="S23">
        <v>740</v>
      </c>
      <c r="T23">
        <v>627</v>
      </c>
    </row>
    <row r="24" spans="1:20" x14ac:dyDescent="0.3">
      <c r="H24" t="str">
        <f t="shared" si="3"/>
        <v>06/04-1</v>
      </c>
      <c r="I24" s="1">
        <v>0.3</v>
      </c>
      <c r="J24" s="1">
        <v>0.42352941176470588</v>
      </c>
      <c r="K24" s="1">
        <f t="shared" si="0"/>
        <v>0.36722376973073351</v>
      </c>
      <c r="L24" s="1">
        <f t="shared" si="1"/>
        <v>0.34029712163416898</v>
      </c>
      <c r="M24" s="1">
        <f t="shared" si="2"/>
        <v>0.29247910863509752</v>
      </c>
      <c r="O24">
        <v>23</v>
      </c>
      <c r="P24" t="s">
        <v>66</v>
      </c>
      <c r="Q24" t="s">
        <v>37</v>
      </c>
      <c r="R24">
        <v>679</v>
      </c>
      <c r="S24">
        <v>974</v>
      </c>
      <c r="T24">
        <v>501</v>
      </c>
    </row>
    <row r="25" spans="1:20" x14ac:dyDescent="0.3">
      <c r="H25" t="str">
        <f t="shared" si="3"/>
        <v>06/04-2</v>
      </c>
      <c r="I25" s="1">
        <v>0.3</v>
      </c>
      <c r="J25" s="1">
        <v>0.42352941176470588</v>
      </c>
      <c r="K25" s="1">
        <f t="shared" si="0"/>
        <v>0.3144712430426716</v>
      </c>
      <c r="L25" s="1">
        <f t="shared" si="1"/>
        <v>0.17671614100185529</v>
      </c>
      <c r="M25" s="1">
        <f t="shared" si="2"/>
        <v>0.50881261595547311</v>
      </c>
      <c r="O25">
        <v>24</v>
      </c>
      <c r="P25" t="s">
        <v>67</v>
      </c>
      <c r="Q25" t="s">
        <v>34</v>
      </c>
      <c r="R25">
        <v>885</v>
      </c>
      <c r="S25">
        <v>642</v>
      </c>
      <c r="T25">
        <v>626</v>
      </c>
    </row>
    <row r="26" spans="1:20" x14ac:dyDescent="0.3">
      <c r="H26" t="str">
        <f t="shared" si="3"/>
        <v>07/04-1</v>
      </c>
      <c r="I26" s="1">
        <v>0.3</v>
      </c>
      <c r="J26" s="1">
        <v>0.42352941176470588</v>
      </c>
      <c r="K26" s="1">
        <f t="shared" si="0"/>
        <v>0.33658310120705665</v>
      </c>
      <c r="L26" s="1">
        <f t="shared" si="1"/>
        <v>0.37093779015784589</v>
      </c>
      <c r="M26" s="1">
        <f t="shared" si="2"/>
        <v>0.29247910863509752</v>
      </c>
      <c r="O26">
        <v>25</v>
      </c>
      <c r="P26" t="s">
        <v>67</v>
      </c>
      <c r="Q26" t="s">
        <v>37</v>
      </c>
      <c r="R26">
        <v>550</v>
      </c>
      <c r="S26">
        <v>1085</v>
      </c>
      <c r="T26">
        <v>520</v>
      </c>
    </row>
    <row r="27" spans="1:20" x14ac:dyDescent="0.3">
      <c r="H27" t="str">
        <f t="shared" si="3"/>
        <v>07/04-2</v>
      </c>
      <c r="I27" s="1">
        <v>0.3</v>
      </c>
      <c r="J27" s="1">
        <v>0.42352941176470588</v>
      </c>
      <c r="K27" s="1">
        <f t="shared" si="0"/>
        <v>0.30815569972196477</v>
      </c>
      <c r="L27" s="1">
        <f t="shared" si="1"/>
        <v>0.27571825764596847</v>
      </c>
      <c r="M27" s="1">
        <f t="shared" si="2"/>
        <v>0.41612604263206671</v>
      </c>
      <c r="O27">
        <v>26</v>
      </c>
      <c r="P27" t="s">
        <v>68</v>
      </c>
      <c r="Q27" t="s">
        <v>34</v>
      </c>
      <c r="R27">
        <v>810</v>
      </c>
      <c r="S27">
        <v>712</v>
      </c>
      <c r="T27">
        <v>631</v>
      </c>
    </row>
    <row r="28" spans="1:20" x14ac:dyDescent="0.3">
      <c r="H28" t="str">
        <f t="shared" si="3"/>
        <v>08/04-1</v>
      </c>
      <c r="I28" s="1">
        <v>0.3</v>
      </c>
      <c r="J28" s="1">
        <v>0.42352941176470588</v>
      </c>
      <c r="K28" s="1">
        <f t="shared" si="0"/>
        <v>0.33116581514166282</v>
      </c>
      <c r="L28" s="1">
        <f t="shared" si="1"/>
        <v>0.37482582443102647</v>
      </c>
      <c r="M28" s="1">
        <f t="shared" si="2"/>
        <v>0.29400836042731071</v>
      </c>
      <c r="O28">
        <v>27</v>
      </c>
      <c r="P28" t="s">
        <v>68</v>
      </c>
      <c r="Q28" t="s">
        <v>37</v>
      </c>
      <c r="R28">
        <v>651</v>
      </c>
      <c r="S28">
        <v>993</v>
      </c>
      <c r="T28">
        <v>511</v>
      </c>
    </row>
    <row r="29" spans="1:20" x14ac:dyDescent="0.3">
      <c r="H29" t="str">
        <f t="shared" si="3"/>
        <v>08/04-2</v>
      </c>
      <c r="I29" s="1">
        <v>0.3</v>
      </c>
      <c r="J29" s="1">
        <v>0.42352941176470588</v>
      </c>
      <c r="K29" s="1">
        <f t="shared" si="0"/>
        <v>0.35435992578849723</v>
      </c>
      <c r="L29" s="1">
        <f t="shared" si="1"/>
        <v>0.16651205936920221</v>
      </c>
      <c r="M29" s="1">
        <f t="shared" si="2"/>
        <v>0.47912801484230055</v>
      </c>
      <c r="O29">
        <v>28</v>
      </c>
      <c r="P29" t="s">
        <v>69</v>
      </c>
      <c r="Q29" t="s">
        <v>34</v>
      </c>
      <c r="R29">
        <v>968</v>
      </c>
      <c r="S29">
        <v>561</v>
      </c>
      <c r="T29">
        <v>625</v>
      </c>
    </row>
    <row r="30" spans="1:20" x14ac:dyDescent="0.3">
      <c r="H30" t="str">
        <f t="shared" si="3"/>
        <v/>
      </c>
      <c r="I30" s="1"/>
      <c r="J30" s="1"/>
      <c r="K30" s="1" t="str">
        <f t="shared" si="0"/>
        <v/>
      </c>
      <c r="L30" s="1" t="str">
        <f t="shared" si="1"/>
        <v/>
      </c>
      <c r="M30" s="1" t="str">
        <f t="shared" si="2"/>
        <v/>
      </c>
      <c r="O30">
        <v>29</v>
      </c>
      <c r="P30" t="s">
        <v>69</v>
      </c>
      <c r="Q30" t="s">
        <v>37</v>
      </c>
      <c r="R30">
        <v>568</v>
      </c>
      <c r="S30">
        <v>1076</v>
      </c>
      <c r="T30">
        <v>510</v>
      </c>
    </row>
    <row r="31" spans="1:20" x14ac:dyDescent="0.3">
      <c r="H31" t="str">
        <f t="shared" si="3"/>
        <v/>
      </c>
      <c r="I31" s="1"/>
      <c r="J31" s="1"/>
      <c r="K31" s="1" t="str">
        <f t="shared" si="0"/>
        <v/>
      </c>
      <c r="L31" s="1" t="str">
        <f t="shared" si="1"/>
        <v/>
      </c>
      <c r="M31" s="1" t="str">
        <f t="shared" si="2"/>
        <v/>
      </c>
      <c r="O31">
        <v>30</v>
      </c>
      <c r="P31" t="s">
        <v>70</v>
      </c>
      <c r="Q31" t="s">
        <v>34</v>
      </c>
      <c r="R31">
        <v>912</v>
      </c>
      <c r="S31">
        <v>618</v>
      </c>
      <c r="T31">
        <v>625</v>
      </c>
    </row>
    <row r="32" spans="1:20" x14ac:dyDescent="0.3">
      <c r="H32" t="str">
        <f t="shared" si="3"/>
        <v/>
      </c>
      <c r="I32" s="1"/>
      <c r="J32" s="1"/>
      <c r="K32" s="1" t="str">
        <f t="shared" si="0"/>
        <v/>
      </c>
      <c r="L32" s="1" t="str">
        <f t="shared" si="1"/>
        <v/>
      </c>
      <c r="M32" s="1" t="str">
        <f t="shared" si="2"/>
        <v/>
      </c>
      <c r="O32">
        <v>31</v>
      </c>
      <c r="P32" t="s">
        <v>70</v>
      </c>
      <c r="Q32" t="s">
        <v>37</v>
      </c>
      <c r="R32">
        <v>633</v>
      </c>
      <c r="S32">
        <v>884</v>
      </c>
      <c r="T32">
        <v>638</v>
      </c>
    </row>
    <row r="33" spans="8:20" x14ac:dyDescent="0.3">
      <c r="H33" t="str">
        <f t="shared" si="3"/>
        <v/>
      </c>
      <c r="I33" s="1"/>
      <c r="J33" s="1"/>
      <c r="K33" s="1" t="str">
        <f t="shared" si="0"/>
        <v/>
      </c>
      <c r="L33" s="1" t="str">
        <f t="shared" si="1"/>
        <v/>
      </c>
      <c r="M33" s="1" t="str">
        <f t="shared" si="2"/>
        <v/>
      </c>
      <c r="O33">
        <v>32</v>
      </c>
      <c r="P33" t="s">
        <v>71</v>
      </c>
      <c r="Q33" t="s">
        <v>34</v>
      </c>
      <c r="R33">
        <v>881</v>
      </c>
      <c r="S33">
        <v>646</v>
      </c>
      <c r="T33">
        <v>629</v>
      </c>
    </row>
    <row r="34" spans="8:20" x14ac:dyDescent="0.3">
      <c r="H34" t="str">
        <f t="shared" si="3"/>
        <v/>
      </c>
      <c r="I34" s="1"/>
      <c r="J34" s="1"/>
      <c r="K34" s="1" t="str">
        <f t="shared" si="0"/>
        <v/>
      </c>
      <c r="L34" s="1" t="str">
        <f t="shared" si="1"/>
        <v/>
      </c>
      <c r="M34" s="1" t="str">
        <f t="shared" si="2"/>
        <v/>
      </c>
      <c r="O34">
        <v>33</v>
      </c>
      <c r="P34" t="s">
        <v>71</v>
      </c>
      <c r="Q34" t="s">
        <v>37</v>
      </c>
      <c r="R34">
        <v>532</v>
      </c>
      <c r="S34">
        <v>880</v>
      </c>
      <c r="T34">
        <v>743</v>
      </c>
    </row>
    <row r="35" spans="8:20" x14ac:dyDescent="0.3">
      <c r="H35" t="str">
        <f t="shared" si="3"/>
        <v/>
      </c>
      <c r="I35" s="1"/>
      <c r="J35" s="1"/>
      <c r="K35" s="1" t="str">
        <f t="shared" si="0"/>
        <v/>
      </c>
      <c r="L35" s="1" t="str">
        <f t="shared" si="1"/>
        <v/>
      </c>
      <c r="M35" s="1" t="str">
        <f t="shared" si="2"/>
        <v/>
      </c>
      <c r="O35">
        <v>34</v>
      </c>
      <c r="P35" t="s">
        <v>72</v>
      </c>
      <c r="Q35" t="s">
        <v>34</v>
      </c>
      <c r="R35">
        <v>0</v>
      </c>
      <c r="S35">
        <v>0</v>
      </c>
      <c r="T35">
        <v>2160</v>
      </c>
    </row>
    <row r="36" spans="8:20" x14ac:dyDescent="0.3">
      <c r="H36" t="str">
        <f t="shared" si="3"/>
        <v/>
      </c>
      <c r="I36" s="1"/>
      <c r="J36" s="1"/>
      <c r="K36" s="1" t="str">
        <f t="shared" si="0"/>
        <v/>
      </c>
      <c r="L36" s="1" t="str">
        <f t="shared" si="1"/>
        <v/>
      </c>
      <c r="M36" s="1" t="str">
        <f t="shared" si="2"/>
        <v/>
      </c>
      <c r="O36">
        <v>35</v>
      </c>
      <c r="P36" t="s">
        <v>72</v>
      </c>
      <c r="Q36" t="s">
        <v>37</v>
      </c>
      <c r="R36">
        <v>0</v>
      </c>
      <c r="S36">
        <v>0</v>
      </c>
      <c r="T36">
        <v>2160</v>
      </c>
    </row>
    <row r="37" spans="8:20" x14ac:dyDescent="0.3">
      <c r="H37" t="str">
        <f t="shared" si="3"/>
        <v/>
      </c>
      <c r="I37" s="1"/>
      <c r="J37" s="1"/>
      <c r="K37" s="1" t="str">
        <f t="shared" si="0"/>
        <v/>
      </c>
      <c r="L37" s="1" t="str">
        <f t="shared" si="1"/>
        <v/>
      </c>
      <c r="M37" s="1" t="str">
        <f t="shared" si="2"/>
        <v/>
      </c>
      <c r="O37">
        <v>36</v>
      </c>
      <c r="P37" t="s">
        <v>73</v>
      </c>
      <c r="Q37" t="s">
        <v>34</v>
      </c>
      <c r="R37">
        <v>513</v>
      </c>
      <c r="S37">
        <v>990</v>
      </c>
      <c r="T37">
        <v>652</v>
      </c>
    </row>
    <row r="38" spans="8:20" x14ac:dyDescent="0.3">
      <c r="H38" t="str">
        <f t="shared" si="3"/>
        <v/>
      </c>
      <c r="I38" s="1"/>
      <c r="J38" s="1"/>
      <c r="K38" s="1" t="str">
        <f t="shared" si="0"/>
        <v/>
      </c>
      <c r="L38" s="1" t="str">
        <f t="shared" si="1"/>
        <v/>
      </c>
      <c r="M38" s="1" t="str">
        <f t="shared" si="2"/>
        <v/>
      </c>
      <c r="O38">
        <v>37</v>
      </c>
      <c r="P38" t="s">
        <v>73</v>
      </c>
      <c r="Q38" t="s">
        <v>37</v>
      </c>
      <c r="R38">
        <v>1030</v>
      </c>
      <c r="S38">
        <v>639</v>
      </c>
      <c r="T38">
        <v>485</v>
      </c>
    </row>
    <row r="39" spans="8:20" x14ac:dyDescent="0.3">
      <c r="H39" t="str">
        <f t="shared" si="3"/>
        <v/>
      </c>
      <c r="I39" s="1"/>
      <c r="J39" s="1"/>
      <c r="K39" s="1" t="str">
        <f t="shared" si="0"/>
        <v/>
      </c>
      <c r="L39" s="1" t="str">
        <f t="shared" si="1"/>
        <v/>
      </c>
      <c r="M39" s="1" t="str">
        <f t="shared" si="2"/>
        <v/>
      </c>
      <c r="O39">
        <v>38</v>
      </c>
      <c r="P39" t="s">
        <v>74</v>
      </c>
      <c r="Q39" t="s">
        <v>34</v>
      </c>
      <c r="R39">
        <v>519</v>
      </c>
      <c r="S39">
        <v>998</v>
      </c>
      <c r="T39">
        <v>640</v>
      </c>
    </row>
    <row r="40" spans="8:20" x14ac:dyDescent="0.3">
      <c r="H40" t="str">
        <f t="shared" si="3"/>
        <v/>
      </c>
      <c r="I40" s="1"/>
      <c r="J40" s="1"/>
      <c r="K40" s="1" t="str">
        <f t="shared" si="0"/>
        <v/>
      </c>
      <c r="L40" s="1" t="str">
        <f t="shared" si="1"/>
        <v/>
      </c>
      <c r="M40" s="1" t="str">
        <f t="shared" si="2"/>
        <v/>
      </c>
      <c r="O40">
        <v>39</v>
      </c>
      <c r="P40" t="s">
        <v>74</v>
      </c>
      <c r="Q40" t="s">
        <v>37</v>
      </c>
      <c r="R40">
        <v>1033</v>
      </c>
      <c r="S40">
        <v>477</v>
      </c>
      <c r="T40">
        <v>644</v>
      </c>
    </row>
    <row r="41" spans="8:20" x14ac:dyDescent="0.3">
      <c r="H41" t="str">
        <f t="shared" si="3"/>
        <v/>
      </c>
      <c r="I41" s="1"/>
      <c r="J41" s="1"/>
      <c r="K41" s="1" t="str">
        <f t="shared" si="0"/>
        <v/>
      </c>
      <c r="L41" s="1" t="str">
        <f t="shared" si="1"/>
        <v/>
      </c>
      <c r="M41" s="1" t="str">
        <f t="shared" si="2"/>
        <v/>
      </c>
      <c r="O41">
        <v>40</v>
      </c>
      <c r="P41" t="s">
        <v>75</v>
      </c>
      <c r="Q41" t="s">
        <v>34</v>
      </c>
      <c r="R41">
        <v>464</v>
      </c>
      <c r="S41">
        <v>1053</v>
      </c>
      <c r="T41">
        <v>637</v>
      </c>
    </row>
    <row r="42" spans="8:20" x14ac:dyDescent="0.3">
      <c r="H42" t="str">
        <f t="shared" si="3"/>
        <v/>
      </c>
      <c r="I42" s="1"/>
      <c r="J42" s="1"/>
      <c r="K42" s="1" t="str">
        <f t="shared" si="0"/>
        <v/>
      </c>
      <c r="L42" s="1" t="str">
        <f t="shared" si="1"/>
        <v/>
      </c>
      <c r="M42" s="1" t="str">
        <f t="shared" si="2"/>
        <v/>
      </c>
      <c r="O42">
        <v>41</v>
      </c>
      <c r="P42" t="s">
        <v>75</v>
      </c>
      <c r="Q42" t="s">
        <v>37</v>
      </c>
      <c r="R42">
        <v>994</v>
      </c>
      <c r="S42">
        <v>696</v>
      </c>
      <c r="T42">
        <v>465</v>
      </c>
    </row>
    <row r="43" spans="8:20" x14ac:dyDescent="0.3">
      <c r="H43" t="str">
        <f t="shared" si="3"/>
        <v/>
      </c>
      <c r="I43" s="1"/>
      <c r="J43" s="1"/>
      <c r="K43" s="1" t="str">
        <f t="shared" si="0"/>
        <v/>
      </c>
      <c r="L43" s="1" t="str">
        <f t="shared" si="1"/>
        <v/>
      </c>
      <c r="M43" s="1" t="str">
        <f t="shared" si="2"/>
        <v/>
      </c>
      <c r="O43">
        <v>42</v>
      </c>
      <c r="P43" t="s">
        <v>76</v>
      </c>
      <c r="Q43" t="s">
        <v>34</v>
      </c>
      <c r="R43">
        <v>336</v>
      </c>
      <c r="S43">
        <v>662</v>
      </c>
      <c r="T43">
        <v>1160</v>
      </c>
    </row>
    <row r="44" spans="8:20" x14ac:dyDescent="0.3">
      <c r="H44" t="str">
        <f t="shared" si="3"/>
        <v/>
      </c>
      <c r="I44" s="1"/>
      <c r="J44" s="1"/>
      <c r="K44" s="1" t="str">
        <f t="shared" si="0"/>
        <v/>
      </c>
      <c r="L44" s="1" t="str">
        <f t="shared" si="1"/>
        <v/>
      </c>
      <c r="M44" s="1" t="str">
        <f t="shared" si="2"/>
        <v/>
      </c>
      <c r="O44">
        <v>43</v>
      </c>
      <c r="P44" t="s">
        <v>76</v>
      </c>
      <c r="Q44" t="s">
        <v>37</v>
      </c>
      <c r="R44">
        <v>1033</v>
      </c>
      <c r="S44">
        <v>639</v>
      </c>
      <c r="T44">
        <v>483</v>
      </c>
    </row>
    <row r="45" spans="8:20" x14ac:dyDescent="0.3">
      <c r="H45" t="str">
        <f t="shared" si="3"/>
        <v/>
      </c>
      <c r="I45" s="1"/>
      <c r="J45" s="1"/>
      <c r="K45" s="1" t="str">
        <f t="shared" si="0"/>
        <v/>
      </c>
      <c r="L45" s="1" t="str">
        <f t="shared" si="1"/>
        <v/>
      </c>
      <c r="M45" s="1" t="str">
        <f t="shared" si="2"/>
        <v/>
      </c>
      <c r="O45">
        <v>44</v>
      </c>
      <c r="P45" t="s">
        <v>77</v>
      </c>
      <c r="Q45" t="s">
        <v>34</v>
      </c>
      <c r="R45">
        <v>445</v>
      </c>
      <c r="S45">
        <v>1052</v>
      </c>
      <c r="T45">
        <v>659</v>
      </c>
    </row>
    <row r="46" spans="8:20" x14ac:dyDescent="0.3">
      <c r="H46" t="str">
        <f t="shared" si="3"/>
        <v/>
      </c>
      <c r="I46" s="1"/>
      <c r="J46" s="1"/>
      <c r="K46" s="1" t="str">
        <f t="shared" ref="K46:K77" si="4">IFERROR($E34/SUM($D34:$F34),"")</f>
        <v/>
      </c>
      <c r="L46" s="1" t="str">
        <f t="shared" ref="L46:L77" si="5">IFERROR($D34/SUM($D34:$F34),"")</f>
        <v/>
      </c>
      <c r="M46" s="1" t="str">
        <f t="shared" ref="M46:M77" si="6">IFERROR($F34/SUM($D34:$F34),"")</f>
        <v/>
      </c>
      <c r="O46">
        <v>45</v>
      </c>
      <c r="P46" t="s">
        <v>77</v>
      </c>
      <c r="Q46" t="s">
        <v>37</v>
      </c>
      <c r="R46">
        <v>806</v>
      </c>
      <c r="S46">
        <v>566</v>
      </c>
      <c r="T46">
        <v>783</v>
      </c>
    </row>
    <row r="47" spans="8:20" x14ac:dyDescent="0.3">
      <c r="H47" t="str">
        <f t="shared" ref="H47:H78" si="7">IF(B35="","",TEXT(B35,"dd/mm") &amp; "-" &amp; IF(UPPER(TRIM(C35))="CN",1,IF(UPPER(TRIM(C35))="CD",2,"")))</f>
        <v/>
      </c>
      <c r="I47" s="1"/>
      <c r="J47" s="1"/>
      <c r="K47" s="1" t="str">
        <f t="shared" si="4"/>
        <v/>
      </c>
      <c r="L47" s="1" t="str">
        <f t="shared" si="5"/>
        <v/>
      </c>
      <c r="M47" s="1" t="str">
        <f t="shared" si="6"/>
        <v/>
      </c>
      <c r="O47">
        <v>46</v>
      </c>
      <c r="P47" t="s">
        <v>78</v>
      </c>
      <c r="Q47" t="s">
        <v>34</v>
      </c>
      <c r="R47">
        <v>380</v>
      </c>
      <c r="S47">
        <v>1053</v>
      </c>
      <c r="T47">
        <v>722</v>
      </c>
    </row>
    <row r="48" spans="8:20" x14ac:dyDescent="0.3">
      <c r="H48" t="str">
        <f t="shared" si="7"/>
        <v/>
      </c>
      <c r="I48" s="1"/>
      <c r="J48" s="1"/>
      <c r="K48" s="1" t="str">
        <f t="shared" si="4"/>
        <v/>
      </c>
      <c r="L48" s="1" t="str">
        <f t="shared" si="5"/>
        <v/>
      </c>
      <c r="M48" s="1" t="str">
        <f t="shared" si="6"/>
        <v/>
      </c>
      <c r="O48">
        <v>47</v>
      </c>
      <c r="P48" t="s">
        <v>78</v>
      </c>
      <c r="Q48" t="s">
        <v>37</v>
      </c>
      <c r="R48">
        <v>443</v>
      </c>
      <c r="S48">
        <v>512</v>
      </c>
      <c r="T48">
        <v>1200</v>
      </c>
    </row>
    <row r="49" spans="8:20" x14ac:dyDescent="0.3">
      <c r="H49" t="str">
        <f t="shared" si="7"/>
        <v/>
      </c>
      <c r="I49" s="1"/>
      <c r="J49" s="1"/>
      <c r="K49" s="1" t="str">
        <f t="shared" si="4"/>
        <v/>
      </c>
      <c r="L49" s="1" t="str">
        <f t="shared" si="5"/>
        <v/>
      </c>
      <c r="M49" s="1" t="str">
        <f t="shared" si="6"/>
        <v/>
      </c>
      <c r="O49">
        <v>48</v>
      </c>
      <c r="P49" t="s">
        <v>79</v>
      </c>
      <c r="Q49" t="s">
        <v>34</v>
      </c>
      <c r="R49">
        <v>0</v>
      </c>
      <c r="S49">
        <v>0</v>
      </c>
      <c r="T49">
        <v>2160</v>
      </c>
    </row>
    <row r="50" spans="8:20" x14ac:dyDescent="0.3">
      <c r="H50" t="str">
        <f t="shared" si="7"/>
        <v/>
      </c>
      <c r="I50" s="1"/>
      <c r="J50" s="1"/>
      <c r="K50" s="1" t="str">
        <f t="shared" si="4"/>
        <v/>
      </c>
      <c r="L50" s="1" t="str">
        <f t="shared" si="5"/>
        <v/>
      </c>
      <c r="M50" s="1" t="str">
        <f t="shared" si="6"/>
        <v/>
      </c>
      <c r="O50">
        <v>49</v>
      </c>
      <c r="P50" t="s">
        <v>79</v>
      </c>
      <c r="Q50" t="s">
        <v>37</v>
      </c>
      <c r="R50">
        <v>0</v>
      </c>
      <c r="S50">
        <v>0</v>
      </c>
      <c r="T50">
        <v>2160</v>
      </c>
    </row>
    <row r="51" spans="8:20" x14ac:dyDescent="0.3">
      <c r="H51" t="str">
        <f t="shared" si="7"/>
        <v/>
      </c>
      <c r="I51" s="1"/>
      <c r="J51" s="1"/>
      <c r="K51" s="1" t="str">
        <f t="shared" si="4"/>
        <v/>
      </c>
      <c r="L51" s="1" t="str">
        <f t="shared" si="5"/>
        <v/>
      </c>
      <c r="M51" s="1" t="str">
        <f t="shared" si="6"/>
        <v/>
      </c>
      <c r="O51">
        <v>50</v>
      </c>
      <c r="P51" t="s">
        <v>80</v>
      </c>
      <c r="Q51" t="s">
        <v>34</v>
      </c>
      <c r="R51">
        <v>793</v>
      </c>
      <c r="S51">
        <v>733</v>
      </c>
      <c r="T51">
        <v>628</v>
      </c>
    </row>
    <row r="52" spans="8:20" x14ac:dyDescent="0.3">
      <c r="H52" t="str">
        <f t="shared" si="7"/>
        <v/>
      </c>
      <c r="I52" s="1"/>
      <c r="J52" s="1"/>
      <c r="K52" s="1" t="str">
        <f t="shared" si="4"/>
        <v/>
      </c>
      <c r="L52" s="1" t="str">
        <f t="shared" si="5"/>
        <v/>
      </c>
      <c r="M52" s="1" t="str">
        <f t="shared" si="6"/>
        <v/>
      </c>
      <c r="O52">
        <v>51</v>
      </c>
      <c r="P52" t="s">
        <v>80</v>
      </c>
      <c r="Q52" t="s">
        <v>37</v>
      </c>
      <c r="R52">
        <v>938</v>
      </c>
      <c r="S52">
        <v>825</v>
      </c>
      <c r="T52">
        <v>393</v>
      </c>
    </row>
    <row r="53" spans="8:20" x14ac:dyDescent="0.3">
      <c r="H53" t="str">
        <f t="shared" si="7"/>
        <v/>
      </c>
      <c r="I53" s="1"/>
      <c r="J53" s="1"/>
      <c r="K53" s="1" t="str">
        <f t="shared" si="4"/>
        <v/>
      </c>
      <c r="L53" s="1" t="str">
        <f t="shared" si="5"/>
        <v/>
      </c>
      <c r="M53" s="1" t="str">
        <f t="shared" si="6"/>
        <v/>
      </c>
      <c r="O53">
        <v>52</v>
      </c>
      <c r="P53" t="s">
        <v>81</v>
      </c>
      <c r="Q53" t="s">
        <v>34</v>
      </c>
      <c r="R53">
        <v>847</v>
      </c>
      <c r="S53">
        <v>676</v>
      </c>
      <c r="T53">
        <v>630</v>
      </c>
    </row>
    <row r="54" spans="8:20" x14ac:dyDescent="0.3">
      <c r="H54" t="str">
        <f t="shared" si="7"/>
        <v/>
      </c>
      <c r="I54" s="1"/>
      <c r="J54" s="1"/>
      <c r="K54" s="1" t="str">
        <f t="shared" si="4"/>
        <v/>
      </c>
      <c r="L54" s="1" t="str">
        <f t="shared" si="5"/>
        <v/>
      </c>
      <c r="M54" s="1" t="str">
        <f t="shared" si="6"/>
        <v/>
      </c>
      <c r="O54">
        <v>53</v>
      </c>
      <c r="P54" t="s">
        <v>81</v>
      </c>
      <c r="Q54" t="s">
        <v>37</v>
      </c>
      <c r="R54">
        <v>535</v>
      </c>
      <c r="S54">
        <v>1092</v>
      </c>
      <c r="T54">
        <v>528</v>
      </c>
    </row>
    <row r="55" spans="8:20" x14ac:dyDescent="0.3">
      <c r="H55" t="str">
        <f t="shared" si="7"/>
        <v/>
      </c>
      <c r="I55" s="1"/>
      <c r="J55" s="1"/>
      <c r="K55" s="1" t="str">
        <f t="shared" si="4"/>
        <v/>
      </c>
      <c r="L55" s="1" t="str">
        <f t="shared" si="5"/>
        <v/>
      </c>
      <c r="M55" s="1" t="str">
        <f t="shared" si="6"/>
        <v/>
      </c>
      <c r="O55">
        <v>54</v>
      </c>
      <c r="P55" t="s">
        <v>82</v>
      </c>
      <c r="Q55" t="s">
        <v>34</v>
      </c>
      <c r="R55">
        <v>522</v>
      </c>
      <c r="S55">
        <v>497</v>
      </c>
      <c r="T55">
        <v>1137</v>
      </c>
    </row>
    <row r="56" spans="8:20" x14ac:dyDescent="0.3">
      <c r="H56" t="str">
        <f t="shared" si="7"/>
        <v/>
      </c>
      <c r="I56" s="1"/>
      <c r="J56" s="1"/>
      <c r="K56" s="1" t="str">
        <f t="shared" si="4"/>
        <v/>
      </c>
      <c r="L56" s="1" t="str">
        <f t="shared" si="5"/>
        <v/>
      </c>
      <c r="M56" s="1" t="str">
        <f t="shared" si="6"/>
        <v/>
      </c>
      <c r="O56">
        <v>55</v>
      </c>
      <c r="P56" t="s">
        <v>82</v>
      </c>
      <c r="Q56" t="s">
        <v>37</v>
      </c>
      <c r="R56">
        <v>529</v>
      </c>
      <c r="S56">
        <v>1055</v>
      </c>
      <c r="T56">
        <v>572</v>
      </c>
    </row>
    <row r="57" spans="8:20" x14ac:dyDescent="0.3">
      <c r="H57" t="str">
        <f t="shared" si="7"/>
        <v/>
      </c>
      <c r="I57" s="1"/>
      <c r="J57" s="1"/>
      <c r="K57" s="1" t="str">
        <f t="shared" si="4"/>
        <v/>
      </c>
      <c r="L57" s="1" t="str">
        <f t="shared" si="5"/>
        <v/>
      </c>
      <c r="M57" s="1" t="str">
        <f t="shared" si="6"/>
        <v/>
      </c>
      <c r="O57">
        <v>56</v>
      </c>
      <c r="P57" t="s">
        <v>83</v>
      </c>
      <c r="Q57" t="s">
        <v>34</v>
      </c>
      <c r="R57">
        <v>842</v>
      </c>
      <c r="S57">
        <v>673</v>
      </c>
      <c r="T57">
        <v>639</v>
      </c>
    </row>
    <row r="58" spans="8:20" x14ac:dyDescent="0.3">
      <c r="H58" t="str">
        <f t="shared" si="7"/>
        <v/>
      </c>
      <c r="I58" s="1"/>
      <c r="J58" s="1"/>
      <c r="K58" s="1" t="str">
        <f t="shared" si="4"/>
        <v/>
      </c>
      <c r="L58" s="1" t="str">
        <f t="shared" si="5"/>
        <v/>
      </c>
      <c r="M58" s="1" t="str">
        <f t="shared" si="6"/>
        <v/>
      </c>
      <c r="O58">
        <v>57</v>
      </c>
      <c r="P58" t="s">
        <v>83</v>
      </c>
      <c r="Q58" t="s">
        <v>37</v>
      </c>
      <c r="R58">
        <v>582</v>
      </c>
      <c r="S58">
        <v>1051</v>
      </c>
      <c r="T58">
        <v>522</v>
      </c>
    </row>
    <row r="59" spans="8:20" x14ac:dyDescent="0.3">
      <c r="H59" t="str">
        <f t="shared" si="7"/>
        <v/>
      </c>
      <c r="I59" s="1"/>
      <c r="J59" s="1"/>
      <c r="K59" s="1" t="str">
        <f t="shared" si="4"/>
        <v/>
      </c>
      <c r="L59" s="1" t="str">
        <f t="shared" si="5"/>
        <v/>
      </c>
      <c r="M59" s="1" t="str">
        <f t="shared" si="6"/>
        <v/>
      </c>
      <c r="O59">
        <v>58</v>
      </c>
      <c r="P59" t="s">
        <v>84</v>
      </c>
      <c r="Q59" t="s">
        <v>34</v>
      </c>
      <c r="R59">
        <v>920</v>
      </c>
      <c r="S59">
        <v>605</v>
      </c>
      <c r="T59">
        <v>629</v>
      </c>
    </row>
    <row r="60" spans="8:20" x14ac:dyDescent="0.3">
      <c r="H60" t="str">
        <f t="shared" si="7"/>
        <v/>
      </c>
      <c r="I60" s="1"/>
      <c r="J60" s="1"/>
      <c r="K60" s="1" t="str">
        <f t="shared" si="4"/>
        <v/>
      </c>
      <c r="L60" s="1" t="str">
        <f t="shared" si="5"/>
        <v/>
      </c>
      <c r="M60" s="1" t="str">
        <f t="shared" si="6"/>
        <v/>
      </c>
      <c r="O60">
        <v>59</v>
      </c>
      <c r="P60" t="s">
        <v>84</v>
      </c>
      <c r="Q60" t="s">
        <v>37</v>
      </c>
      <c r="R60">
        <v>979</v>
      </c>
      <c r="S60">
        <v>708</v>
      </c>
      <c r="T60">
        <v>469</v>
      </c>
    </row>
    <row r="61" spans="8:20" x14ac:dyDescent="0.3">
      <c r="H61" t="str">
        <f t="shared" si="7"/>
        <v/>
      </c>
      <c r="I61" s="1"/>
      <c r="J61" s="1"/>
      <c r="K61" s="1" t="str">
        <f t="shared" si="4"/>
        <v/>
      </c>
      <c r="L61" s="1" t="str">
        <f t="shared" si="5"/>
        <v/>
      </c>
      <c r="M61" s="1" t="str">
        <f t="shared" si="6"/>
        <v/>
      </c>
      <c r="O61">
        <v>60</v>
      </c>
      <c r="P61" t="s">
        <v>85</v>
      </c>
      <c r="Q61" t="s">
        <v>34</v>
      </c>
      <c r="R61">
        <v>598</v>
      </c>
      <c r="S61">
        <v>827</v>
      </c>
      <c r="T61">
        <v>730</v>
      </c>
    </row>
    <row r="62" spans="8:20" x14ac:dyDescent="0.3">
      <c r="H62" t="str">
        <f t="shared" si="7"/>
        <v/>
      </c>
      <c r="I62" s="1"/>
      <c r="J62" s="1"/>
      <c r="K62" s="1" t="str">
        <f t="shared" si="4"/>
        <v/>
      </c>
      <c r="L62" s="1" t="str">
        <f t="shared" si="5"/>
        <v/>
      </c>
      <c r="M62" s="1" t="str">
        <f t="shared" si="6"/>
        <v/>
      </c>
      <c r="O62">
        <v>61</v>
      </c>
      <c r="P62" t="s">
        <v>85</v>
      </c>
      <c r="Q62" t="s">
        <v>37</v>
      </c>
      <c r="R62">
        <v>685</v>
      </c>
      <c r="S62">
        <v>609</v>
      </c>
      <c r="T62">
        <v>861</v>
      </c>
    </row>
    <row r="63" spans="8:20" x14ac:dyDescent="0.3">
      <c r="H63" t="str">
        <f t="shared" si="7"/>
        <v/>
      </c>
      <c r="I63" s="1"/>
      <c r="J63" s="1"/>
      <c r="K63" s="1" t="str">
        <f t="shared" si="4"/>
        <v/>
      </c>
      <c r="L63" s="1" t="str">
        <f t="shared" si="5"/>
        <v/>
      </c>
      <c r="M63" s="1" t="str">
        <f t="shared" si="6"/>
        <v/>
      </c>
      <c r="O63">
        <v>62</v>
      </c>
      <c r="P63" t="s">
        <v>86</v>
      </c>
      <c r="Q63" t="s">
        <v>34</v>
      </c>
      <c r="R63">
        <v>0</v>
      </c>
      <c r="S63">
        <v>0</v>
      </c>
      <c r="T63">
        <v>2160</v>
      </c>
    </row>
    <row r="64" spans="8:20" x14ac:dyDescent="0.3">
      <c r="H64" t="str">
        <f t="shared" si="7"/>
        <v/>
      </c>
      <c r="I64" s="1"/>
      <c r="J64" s="1"/>
      <c r="K64" s="1" t="str">
        <f t="shared" si="4"/>
        <v/>
      </c>
      <c r="L64" s="1" t="str">
        <f t="shared" si="5"/>
        <v/>
      </c>
      <c r="M64" s="1" t="str">
        <f t="shared" si="6"/>
        <v/>
      </c>
      <c r="O64">
        <v>63</v>
      </c>
      <c r="P64" t="s">
        <v>86</v>
      </c>
      <c r="Q64" t="s">
        <v>37</v>
      </c>
      <c r="R64">
        <v>0</v>
      </c>
      <c r="S64">
        <v>0</v>
      </c>
      <c r="T64">
        <v>2160</v>
      </c>
    </row>
    <row r="65" spans="8:20" x14ac:dyDescent="0.3">
      <c r="H65" t="str">
        <f t="shared" si="7"/>
        <v/>
      </c>
      <c r="I65" s="1"/>
      <c r="J65" s="1"/>
      <c r="K65" s="1" t="str">
        <f t="shared" si="4"/>
        <v/>
      </c>
      <c r="L65" s="1" t="str">
        <f t="shared" si="5"/>
        <v/>
      </c>
      <c r="M65" s="1" t="str">
        <f t="shared" si="6"/>
        <v/>
      </c>
      <c r="O65">
        <v>64</v>
      </c>
      <c r="P65" t="s">
        <v>87</v>
      </c>
      <c r="Q65" t="s">
        <v>34</v>
      </c>
      <c r="R65">
        <v>440</v>
      </c>
      <c r="S65">
        <v>1081</v>
      </c>
      <c r="T65">
        <v>637</v>
      </c>
    </row>
    <row r="66" spans="8:20" x14ac:dyDescent="0.3">
      <c r="H66" t="str">
        <f t="shared" si="7"/>
        <v/>
      </c>
      <c r="I66" s="1"/>
      <c r="J66" s="1"/>
      <c r="K66" s="1" t="str">
        <f t="shared" si="4"/>
        <v/>
      </c>
      <c r="L66" s="1" t="str">
        <f t="shared" si="5"/>
        <v/>
      </c>
      <c r="M66" s="1" t="str">
        <f t="shared" si="6"/>
        <v/>
      </c>
      <c r="O66">
        <v>65</v>
      </c>
      <c r="P66" t="s">
        <v>87</v>
      </c>
      <c r="Q66" t="s">
        <v>37</v>
      </c>
      <c r="R66">
        <v>783</v>
      </c>
      <c r="S66">
        <v>897</v>
      </c>
      <c r="T66">
        <v>472</v>
      </c>
    </row>
    <row r="67" spans="8:20" x14ac:dyDescent="0.3">
      <c r="H67" t="str">
        <f t="shared" si="7"/>
        <v/>
      </c>
      <c r="I67" s="1"/>
      <c r="J67" s="1"/>
      <c r="K67" s="1" t="str">
        <f t="shared" si="4"/>
        <v/>
      </c>
      <c r="L67" s="1" t="str">
        <f t="shared" si="5"/>
        <v/>
      </c>
      <c r="M67" s="1" t="str">
        <f t="shared" si="6"/>
        <v/>
      </c>
      <c r="O67">
        <v>66</v>
      </c>
      <c r="P67" t="s">
        <v>88</v>
      </c>
      <c r="Q67" t="s">
        <v>34</v>
      </c>
      <c r="R67">
        <v>456</v>
      </c>
      <c r="S67">
        <v>1073</v>
      </c>
      <c r="T67">
        <v>626</v>
      </c>
    </row>
    <row r="68" spans="8:20" x14ac:dyDescent="0.3">
      <c r="H68" t="str">
        <f t="shared" si="7"/>
        <v/>
      </c>
      <c r="I68" s="1"/>
      <c r="J68" s="1"/>
      <c r="K68" s="1" t="str">
        <f t="shared" si="4"/>
        <v/>
      </c>
      <c r="L68" s="1" t="str">
        <f t="shared" si="5"/>
        <v/>
      </c>
      <c r="M68" s="1" t="str">
        <f t="shared" si="6"/>
        <v/>
      </c>
      <c r="O68">
        <v>67</v>
      </c>
      <c r="P68" t="s">
        <v>88</v>
      </c>
      <c r="Q68" t="s">
        <v>37</v>
      </c>
      <c r="R68">
        <v>1033</v>
      </c>
      <c r="S68">
        <v>637</v>
      </c>
      <c r="T68">
        <v>485</v>
      </c>
    </row>
    <row r="69" spans="8:20" x14ac:dyDescent="0.3">
      <c r="H69" t="str">
        <f t="shared" si="7"/>
        <v/>
      </c>
      <c r="I69" s="1"/>
      <c r="J69" s="1"/>
      <c r="K69" s="1" t="str">
        <f t="shared" si="4"/>
        <v/>
      </c>
      <c r="L69" s="1" t="str">
        <f t="shared" si="5"/>
        <v/>
      </c>
      <c r="M69" s="1" t="str">
        <f t="shared" si="6"/>
        <v/>
      </c>
      <c r="O69">
        <v>68</v>
      </c>
      <c r="P69" t="s">
        <v>89</v>
      </c>
      <c r="Q69" t="s">
        <v>34</v>
      </c>
      <c r="R69">
        <v>437</v>
      </c>
      <c r="S69">
        <v>1092</v>
      </c>
      <c r="T69">
        <v>627</v>
      </c>
    </row>
    <row r="70" spans="8:20" x14ac:dyDescent="0.3">
      <c r="H70" t="str">
        <f t="shared" si="7"/>
        <v/>
      </c>
      <c r="I70" s="1"/>
      <c r="J70" s="1"/>
      <c r="K70" s="1" t="str">
        <f t="shared" si="4"/>
        <v/>
      </c>
      <c r="L70" s="1" t="str">
        <f t="shared" si="5"/>
        <v/>
      </c>
      <c r="M70" s="1" t="str">
        <f t="shared" si="6"/>
        <v/>
      </c>
      <c r="O70">
        <v>69</v>
      </c>
      <c r="P70" t="s">
        <v>89</v>
      </c>
      <c r="Q70" t="s">
        <v>37</v>
      </c>
      <c r="R70">
        <v>806</v>
      </c>
      <c r="S70">
        <v>869</v>
      </c>
      <c r="T70">
        <v>478</v>
      </c>
    </row>
    <row r="71" spans="8:20" x14ac:dyDescent="0.3">
      <c r="H71" t="str">
        <f t="shared" si="7"/>
        <v/>
      </c>
      <c r="I71" s="1"/>
      <c r="J71" s="1"/>
      <c r="K71" s="1" t="str">
        <f t="shared" si="4"/>
        <v/>
      </c>
      <c r="L71" s="1" t="str">
        <f t="shared" si="5"/>
        <v/>
      </c>
      <c r="M71" s="1" t="str">
        <f t="shared" si="6"/>
        <v/>
      </c>
      <c r="O71">
        <v>70</v>
      </c>
      <c r="P71" t="s">
        <v>90</v>
      </c>
      <c r="Q71" t="s">
        <v>34</v>
      </c>
      <c r="R71">
        <v>422</v>
      </c>
      <c r="S71">
        <v>1101</v>
      </c>
      <c r="T71">
        <v>634</v>
      </c>
    </row>
    <row r="72" spans="8:20" x14ac:dyDescent="0.3">
      <c r="H72" t="str">
        <f t="shared" si="7"/>
        <v/>
      </c>
      <c r="I72" s="1"/>
      <c r="J72" s="1"/>
      <c r="K72" s="1" t="str">
        <f t="shared" si="4"/>
        <v/>
      </c>
      <c r="L72" s="1" t="str">
        <f t="shared" si="5"/>
        <v/>
      </c>
      <c r="M72" s="1" t="str">
        <f t="shared" si="6"/>
        <v/>
      </c>
      <c r="O72">
        <v>71</v>
      </c>
      <c r="P72" t="s">
        <v>90</v>
      </c>
      <c r="Q72" t="s">
        <v>37</v>
      </c>
      <c r="R72">
        <v>884</v>
      </c>
      <c r="S72">
        <v>769</v>
      </c>
      <c r="T72">
        <v>499</v>
      </c>
    </row>
    <row r="73" spans="8:20" x14ac:dyDescent="0.3">
      <c r="H73" t="str">
        <f t="shared" si="7"/>
        <v/>
      </c>
      <c r="I73" s="1"/>
      <c r="J73" s="1"/>
      <c r="K73" s="1" t="str">
        <f t="shared" si="4"/>
        <v/>
      </c>
      <c r="L73" s="1" t="str">
        <f t="shared" si="5"/>
        <v/>
      </c>
      <c r="M73" s="1" t="str">
        <f t="shared" si="6"/>
        <v/>
      </c>
      <c r="O73">
        <v>72</v>
      </c>
      <c r="P73" t="s">
        <v>91</v>
      </c>
      <c r="Q73" t="s">
        <v>34</v>
      </c>
      <c r="R73">
        <v>652</v>
      </c>
      <c r="S73">
        <v>875</v>
      </c>
      <c r="T73">
        <v>628</v>
      </c>
    </row>
    <row r="74" spans="8:20" x14ac:dyDescent="0.3">
      <c r="H74" t="str">
        <f t="shared" si="7"/>
        <v/>
      </c>
      <c r="I74" s="1"/>
      <c r="J74" s="1"/>
      <c r="K74" s="1" t="str">
        <f t="shared" si="4"/>
        <v/>
      </c>
      <c r="L74" s="1" t="str">
        <f t="shared" si="5"/>
        <v/>
      </c>
      <c r="M74" s="1" t="str">
        <f t="shared" si="6"/>
        <v/>
      </c>
      <c r="O74">
        <v>73</v>
      </c>
      <c r="P74" t="s">
        <v>91</v>
      </c>
      <c r="Q74" t="s">
        <v>37</v>
      </c>
      <c r="R74">
        <v>969</v>
      </c>
      <c r="S74">
        <v>694</v>
      </c>
      <c r="T74">
        <v>491</v>
      </c>
    </row>
    <row r="75" spans="8:20" x14ac:dyDescent="0.3">
      <c r="H75" t="str">
        <f t="shared" si="7"/>
        <v/>
      </c>
      <c r="I75" s="1"/>
      <c r="J75" s="1"/>
      <c r="K75" s="1" t="str">
        <f t="shared" si="4"/>
        <v/>
      </c>
      <c r="L75" s="1" t="str">
        <f t="shared" si="5"/>
        <v/>
      </c>
      <c r="M75" s="1" t="str">
        <f t="shared" si="6"/>
        <v/>
      </c>
      <c r="O75">
        <v>74</v>
      </c>
      <c r="P75" t="s">
        <v>92</v>
      </c>
      <c r="Q75" t="s">
        <v>34</v>
      </c>
      <c r="R75">
        <v>617</v>
      </c>
      <c r="S75">
        <v>826</v>
      </c>
      <c r="T75">
        <v>714</v>
      </c>
    </row>
    <row r="76" spans="8:20" x14ac:dyDescent="0.3">
      <c r="I76" s="1"/>
      <c r="J76" s="1"/>
      <c r="K76" s="1"/>
      <c r="L76" s="1"/>
      <c r="M76" s="1"/>
      <c r="O76">
        <v>75</v>
      </c>
      <c r="P76" t="s">
        <v>92</v>
      </c>
      <c r="Q76" t="s">
        <v>37</v>
      </c>
      <c r="R76">
        <v>676</v>
      </c>
      <c r="S76">
        <v>710</v>
      </c>
      <c r="T76">
        <v>769</v>
      </c>
    </row>
    <row r="77" spans="8:20" x14ac:dyDescent="0.3">
      <c r="I77" s="1"/>
      <c r="J77" s="1"/>
      <c r="K77" s="1"/>
      <c r="L77" s="1"/>
      <c r="M77" s="1"/>
      <c r="O77">
        <v>76</v>
      </c>
      <c r="P77" t="s">
        <v>93</v>
      </c>
      <c r="Q77" t="s">
        <v>34</v>
      </c>
      <c r="R77">
        <v>0</v>
      </c>
      <c r="S77">
        <v>0</v>
      </c>
      <c r="T77">
        <v>2160</v>
      </c>
    </row>
    <row r="78" spans="8:20" x14ac:dyDescent="0.3">
      <c r="I78" s="1"/>
      <c r="J78" s="1"/>
      <c r="K78" s="1"/>
      <c r="L78" s="1"/>
      <c r="M78" s="1"/>
      <c r="O78">
        <v>77</v>
      </c>
      <c r="P78" t="s">
        <v>93</v>
      </c>
      <c r="Q78" t="s">
        <v>37</v>
      </c>
      <c r="R78">
        <v>0</v>
      </c>
      <c r="S78">
        <v>0</v>
      </c>
      <c r="T78">
        <v>2160</v>
      </c>
    </row>
    <row r="79" spans="8:20" x14ac:dyDescent="0.3">
      <c r="I79" s="1"/>
      <c r="J79" s="1"/>
      <c r="K79" s="1"/>
      <c r="L79" s="1"/>
      <c r="M79" s="1"/>
      <c r="O79">
        <v>78</v>
      </c>
      <c r="P79" t="s">
        <v>94</v>
      </c>
      <c r="Q79" t="s">
        <v>34</v>
      </c>
      <c r="R79">
        <v>798</v>
      </c>
      <c r="S79">
        <v>672</v>
      </c>
      <c r="T79">
        <v>684</v>
      </c>
    </row>
    <row r="80" spans="8:20" x14ac:dyDescent="0.3">
      <c r="I80" s="1"/>
      <c r="J80" s="1"/>
      <c r="K80" s="1"/>
      <c r="L80" s="1"/>
      <c r="M80" s="1"/>
      <c r="O80">
        <v>79</v>
      </c>
      <c r="P80" t="s">
        <v>94</v>
      </c>
      <c r="Q80" t="s">
        <v>37</v>
      </c>
      <c r="R80">
        <v>611</v>
      </c>
      <c r="S80">
        <v>1014</v>
      </c>
      <c r="T80">
        <v>533</v>
      </c>
    </row>
    <row r="81" spans="9:20" x14ac:dyDescent="0.3">
      <c r="I81" s="1"/>
      <c r="J81" s="1"/>
      <c r="K81" s="1"/>
      <c r="L81" s="1"/>
      <c r="M81" s="1"/>
      <c r="O81">
        <v>80</v>
      </c>
      <c r="P81" t="s">
        <v>95</v>
      </c>
      <c r="Q81" t="s">
        <v>34</v>
      </c>
      <c r="R81">
        <v>491</v>
      </c>
      <c r="S81">
        <v>525</v>
      </c>
      <c r="T81">
        <v>1141</v>
      </c>
    </row>
    <row r="82" spans="9:20" x14ac:dyDescent="0.3">
      <c r="I82" s="1"/>
      <c r="J82" s="1"/>
      <c r="K82" s="1"/>
      <c r="L82" s="1"/>
      <c r="M82" s="1"/>
      <c r="O82">
        <v>81</v>
      </c>
      <c r="P82" t="s">
        <v>95</v>
      </c>
      <c r="Q82" t="s">
        <v>37</v>
      </c>
      <c r="R82">
        <v>860</v>
      </c>
      <c r="S82">
        <v>745</v>
      </c>
      <c r="T82">
        <v>549</v>
      </c>
    </row>
    <row r="83" spans="9:20" x14ac:dyDescent="0.3">
      <c r="I83" s="1"/>
      <c r="J83" s="1"/>
      <c r="K83" s="1"/>
      <c r="L83" s="1"/>
      <c r="M83" s="1"/>
      <c r="O83">
        <v>82</v>
      </c>
      <c r="P83" t="s">
        <v>96</v>
      </c>
      <c r="Q83" t="s">
        <v>34</v>
      </c>
      <c r="R83">
        <v>509</v>
      </c>
      <c r="S83">
        <v>514</v>
      </c>
      <c r="T83">
        <v>1134</v>
      </c>
    </row>
    <row r="84" spans="9:20" x14ac:dyDescent="0.3">
      <c r="I84" s="1"/>
      <c r="J84" s="1"/>
      <c r="K84" s="1"/>
      <c r="L84" s="1"/>
      <c r="M84" s="1"/>
      <c r="O84">
        <v>83</v>
      </c>
      <c r="P84" t="s">
        <v>96</v>
      </c>
      <c r="Q84" t="s">
        <v>37</v>
      </c>
      <c r="R84">
        <v>890</v>
      </c>
      <c r="S84">
        <v>732</v>
      </c>
      <c r="T84">
        <v>533</v>
      </c>
    </row>
    <row r="85" spans="9:20" x14ac:dyDescent="0.3">
      <c r="I85" s="1"/>
      <c r="J85" s="1"/>
      <c r="K85" s="1"/>
      <c r="L85" s="1"/>
      <c r="M85" s="1"/>
      <c r="O85">
        <v>84</v>
      </c>
      <c r="P85" t="s">
        <v>97</v>
      </c>
      <c r="Q85" t="s">
        <v>34</v>
      </c>
      <c r="R85">
        <v>844</v>
      </c>
      <c r="S85">
        <v>685</v>
      </c>
      <c r="T85">
        <v>625</v>
      </c>
    </row>
    <row r="86" spans="9:20" x14ac:dyDescent="0.3">
      <c r="I86" s="1"/>
      <c r="J86" s="1"/>
      <c r="K86" s="1"/>
      <c r="L86" s="1"/>
      <c r="M86" s="1"/>
      <c r="O86">
        <v>85</v>
      </c>
      <c r="P86" t="s">
        <v>97</v>
      </c>
      <c r="Q86" t="s">
        <v>37</v>
      </c>
      <c r="R86">
        <v>831</v>
      </c>
      <c r="S86">
        <v>792</v>
      </c>
      <c r="T86">
        <v>533</v>
      </c>
    </row>
    <row r="87" spans="9:20" x14ac:dyDescent="0.3">
      <c r="I87" s="1"/>
      <c r="J87" s="1"/>
      <c r="K87" s="1"/>
      <c r="L87" s="1"/>
      <c r="M87" s="1"/>
      <c r="O87">
        <v>86</v>
      </c>
      <c r="P87" t="s">
        <v>98</v>
      </c>
      <c r="Q87" t="s">
        <v>34</v>
      </c>
      <c r="R87">
        <v>600</v>
      </c>
      <c r="S87">
        <v>362</v>
      </c>
      <c r="T87">
        <v>1195</v>
      </c>
    </row>
    <row r="88" spans="9:20" x14ac:dyDescent="0.3">
      <c r="I88" s="1"/>
      <c r="J88" s="1"/>
      <c r="K88" s="1"/>
      <c r="L88" s="1"/>
      <c r="M88" s="1"/>
      <c r="O88">
        <v>87</v>
      </c>
      <c r="P88" t="s">
        <v>98</v>
      </c>
      <c r="Q88" t="s">
        <v>37</v>
      </c>
      <c r="R88">
        <v>230</v>
      </c>
      <c r="S88">
        <v>188</v>
      </c>
      <c r="T88">
        <v>1740</v>
      </c>
    </row>
    <row r="89" spans="9:20" x14ac:dyDescent="0.3">
      <c r="I89" s="1"/>
      <c r="J89" s="1"/>
      <c r="K89" s="1"/>
      <c r="L89" s="1"/>
      <c r="M89" s="1"/>
      <c r="O89">
        <v>88</v>
      </c>
      <c r="P89" t="s">
        <v>99</v>
      </c>
      <c r="Q89" t="s">
        <v>34</v>
      </c>
      <c r="R89">
        <v>0</v>
      </c>
      <c r="S89">
        <v>0</v>
      </c>
      <c r="T89">
        <v>2160</v>
      </c>
    </row>
    <row r="90" spans="9:20" x14ac:dyDescent="0.3">
      <c r="I90" s="1"/>
      <c r="J90" s="1"/>
      <c r="K90" s="1"/>
      <c r="L90" s="1"/>
      <c r="M90" s="1"/>
      <c r="O90">
        <v>89</v>
      </c>
      <c r="P90" t="s">
        <v>99</v>
      </c>
      <c r="Q90" t="s">
        <v>37</v>
      </c>
      <c r="R90">
        <v>0</v>
      </c>
      <c r="S90">
        <v>0</v>
      </c>
      <c r="T90">
        <v>2160</v>
      </c>
    </row>
    <row r="91" spans="9:20" x14ac:dyDescent="0.3">
      <c r="I91" s="1"/>
      <c r="J91" s="1"/>
      <c r="K91" s="1"/>
      <c r="L91" s="1"/>
      <c r="M91" s="1"/>
      <c r="O91">
        <v>90</v>
      </c>
      <c r="P91" t="s">
        <v>100</v>
      </c>
      <c r="Q91" t="s">
        <v>34</v>
      </c>
      <c r="R91">
        <v>0</v>
      </c>
      <c r="S91">
        <v>0</v>
      </c>
      <c r="T91">
        <v>2160</v>
      </c>
    </row>
    <row r="92" spans="9:20" x14ac:dyDescent="0.3">
      <c r="I92" s="1"/>
      <c r="J92" s="1"/>
      <c r="K92" s="1"/>
      <c r="L92" s="1"/>
      <c r="M92" s="1"/>
      <c r="O92">
        <v>91</v>
      </c>
      <c r="P92" t="s">
        <v>100</v>
      </c>
      <c r="Q92" t="s">
        <v>37</v>
      </c>
      <c r="R92">
        <v>0</v>
      </c>
      <c r="S92">
        <v>0</v>
      </c>
      <c r="T92">
        <v>2160</v>
      </c>
    </row>
    <row r="93" spans="9:20" x14ac:dyDescent="0.3">
      <c r="I93" s="1"/>
      <c r="J93" s="1"/>
      <c r="K93" s="1"/>
      <c r="L93" s="1"/>
      <c r="M93" s="1"/>
      <c r="O93">
        <v>92</v>
      </c>
      <c r="P93" t="s">
        <v>101</v>
      </c>
      <c r="Q93" t="s">
        <v>34</v>
      </c>
      <c r="R93">
        <v>0</v>
      </c>
      <c r="S93">
        <v>0</v>
      </c>
      <c r="T93">
        <v>2160</v>
      </c>
    </row>
    <row r="94" spans="9:20" x14ac:dyDescent="0.3">
      <c r="I94" s="1"/>
      <c r="J94" s="1"/>
      <c r="K94" s="1"/>
      <c r="L94" s="1"/>
      <c r="M94" s="1"/>
      <c r="O94">
        <v>93</v>
      </c>
      <c r="P94" t="s">
        <v>101</v>
      </c>
      <c r="Q94" t="s">
        <v>37</v>
      </c>
      <c r="R94">
        <v>0</v>
      </c>
      <c r="S94">
        <v>0</v>
      </c>
      <c r="T94">
        <v>2160</v>
      </c>
    </row>
    <row r="95" spans="9:20" x14ac:dyDescent="0.3">
      <c r="I95" s="1"/>
      <c r="J95" s="1"/>
      <c r="K95" s="1"/>
      <c r="L95" s="1"/>
      <c r="M95" s="1"/>
      <c r="O95">
        <v>94</v>
      </c>
      <c r="P95" t="s">
        <v>102</v>
      </c>
      <c r="Q95" t="s">
        <v>34</v>
      </c>
      <c r="R95">
        <v>0</v>
      </c>
      <c r="S95">
        <v>0</v>
      </c>
      <c r="T95">
        <v>2160</v>
      </c>
    </row>
    <row r="96" spans="9:20" x14ac:dyDescent="0.3">
      <c r="I96" s="1"/>
      <c r="J96" s="1"/>
      <c r="K96" s="1"/>
      <c r="L96" s="1"/>
      <c r="M96" s="1"/>
      <c r="O96">
        <v>95</v>
      </c>
      <c r="P96" t="s">
        <v>102</v>
      </c>
      <c r="Q96" t="s">
        <v>37</v>
      </c>
      <c r="R96">
        <v>0</v>
      </c>
      <c r="S96">
        <v>0</v>
      </c>
      <c r="T96">
        <v>2160</v>
      </c>
    </row>
    <row r="97" spans="9:20" x14ac:dyDescent="0.3">
      <c r="I97" s="1"/>
      <c r="J97" s="1"/>
      <c r="K97" s="1"/>
      <c r="L97" s="1"/>
      <c r="M97" s="1"/>
      <c r="O97">
        <v>96</v>
      </c>
      <c r="P97" t="s">
        <v>103</v>
      </c>
      <c r="Q97" t="s">
        <v>34</v>
      </c>
      <c r="R97">
        <v>0</v>
      </c>
      <c r="S97">
        <v>0</v>
      </c>
      <c r="T97">
        <v>2160</v>
      </c>
    </row>
    <row r="98" spans="9:20" x14ac:dyDescent="0.3">
      <c r="I98" s="1"/>
      <c r="J98" s="1"/>
      <c r="K98" s="1"/>
      <c r="L98" s="1"/>
      <c r="M98" s="1"/>
      <c r="O98">
        <v>97</v>
      </c>
      <c r="P98" t="s">
        <v>103</v>
      </c>
      <c r="Q98" t="s">
        <v>37</v>
      </c>
      <c r="R98">
        <v>0</v>
      </c>
      <c r="S98">
        <v>0</v>
      </c>
      <c r="T98">
        <v>2160</v>
      </c>
    </row>
    <row r="99" spans="9:20" x14ac:dyDescent="0.3">
      <c r="I99" s="1"/>
      <c r="J99" s="1"/>
      <c r="K99" s="1"/>
      <c r="L99" s="1"/>
      <c r="M99" s="1"/>
      <c r="O99">
        <v>98</v>
      </c>
      <c r="P99" t="s">
        <v>104</v>
      </c>
      <c r="Q99" t="s">
        <v>34</v>
      </c>
      <c r="R99">
        <v>0</v>
      </c>
      <c r="S99">
        <v>0</v>
      </c>
      <c r="T99">
        <v>2160</v>
      </c>
    </row>
    <row r="100" spans="9:20" x14ac:dyDescent="0.3">
      <c r="I100" s="1"/>
      <c r="J100" s="1"/>
      <c r="K100" s="1"/>
      <c r="L100" s="1"/>
      <c r="M100" s="1"/>
      <c r="O100">
        <v>99</v>
      </c>
      <c r="P100" t="s">
        <v>104</v>
      </c>
      <c r="Q100" t="s">
        <v>37</v>
      </c>
      <c r="R100">
        <v>0</v>
      </c>
      <c r="S100">
        <v>0</v>
      </c>
      <c r="T100">
        <v>2160</v>
      </c>
    </row>
    <row r="101" spans="9:20" x14ac:dyDescent="0.3">
      <c r="I101" s="1"/>
      <c r="J101" s="1"/>
      <c r="K101" s="1"/>
      <c r="L101" s="1"/>
      <c r="M101" s="1"/>
      <c r="O101">
        <v>100</v>
      </c>
      <c r="P101" t="s">
        <v>105</v>
      </c>
      <c r="Q101" t="s">
        <v>34</v>
      </c>
      <c r="R101">
        <v>0</v>
      </c>
      <c r="S101">
        <v>0</v>
      </c>
      <c r="T101">
        <v>2160</v>
      </c>
    </row>
    <row r="102" spans="9:20" x14ac:dyDescent="0.3">
      <c r="O102">
        <v>101</v>
      </c>
      <c r="P102" t="s">
        <v>105</v>
      </c>
      <c r="Q102" t="s">
        <v>37</v>
      </c>
      <c r="R102">
        <v>0</v>
      </c>
      <c r="S102">
        <v>0</v>
      </c>
      <c r="T102">
        <v>2161</v>
      </c>
    </row>
    <row r="103" spans="9:20" x14ac:dyDescent="0.3">
      <c r="O103">
        <v>102</v>
      </c>
      <c r="P103" t="s">
        <v>106</v>
      </c>
      <c r="Q103" t="s">
        <v>34</v>
      </c>
      <c r="R103">
        <v>0</v>
      </c>
      <c r="S103">
        <v>0</v>
      </c>
      <c r="T103">
        <v>2160</v>
      </c>
    </row>
    <row r="104" spans="9:20" x14ac:dyDescent="0.3">
      <c r="O104">
        <v>103</v>
      </c>
      <c r="P104" t="s">
        <v>106</v>
      </c>
      <c r="Q104" t="s">
        <v>37</v>
      </c>
      <c r="R104">
        <v>0</v>
      </c>
      <c r="S104">
        <v>0</v>
      </c>
      <c r="T104">
        <v>2160</v>
      </c>
    </row>
    <row r="105" spans="9:20" x14ac:dyDescent="0.3">
      <c r="O105">
        <v>104</v>
      </c>
      <c r="P105" t="s">
        <v>107</v>
      </c>
      <c r="Q105" t="s">
        <v>34</v>
      </c>
      <c r="R105">
        <v>0</v>
      </c>
      <c r="S105">
        <v>0</v>
      </c>
      <c r="T105">
        <v>2160</v>
      </c>
    </row>
    <row r="106" spans="9:20" x14ac:dyDescent="0.3">
      <c r="O106">
        <v>105</v>
      </c>
      <c r="P106" t="s">
        <v>107</v>
      </c>
      <c r="Q106" t="s">
        <v>37</v>
      </c>
      <c r="R106">
        <v>0</v>
      </c>
      <c r="S106">
        <v>0</v>
      </c>
      <c r="T106">
        <v>2160</v>
      </c>
    </row>
    <row r="107" spans="9:20" x14ac:dyDescent="0.3">
      <c r="O107">
        <v>106</v>
      </c>
      <c r="P107" t="s">
        <v>108</v>
      </c>
      <c r="Q107" t="s">
        <v>34</v>
      </c>
      <c r="R107">
        <v>684</v>
      </c>
      <c r="S107">
        <v>828</v>
      </c>
      <c r="T107">
        <v>643</v>
      </c>
    </row>
    <row r="108" spans="9:20" x14ac:dyDescent="0.3">
      <c r="O108">
        <v>107</v>
      </c>
      <c r="P108" t="s">
        <v>108</v>
      </c>
      <c r="Q108" t="s">
        <v>37</v>
      </c>
      <c r="R108">
        <v>963</v>
      </c>
      <c r="S108">
        <v>662</v>
      </c>
      <c r="T108">
        <v>531</v>
      </c>
    </row>
    <row r="109" spans="9:20" x14ac:dyDescent="0.3">
      <c r="O109">
        <v>108</v>
      </c>
      <c r="P109" t="s">
        <v>109</v>
      </c>
      <c r="Q109" t="s">
        <v>34</v>
      </c>
      <c r="R109">
        <v>778</v>
      </c>
      <c r="S109">
        <v>755</v>
      </c>
      <c r="T109">
        <v>621</v>
      </c>
    </row>
    <row r="110" spans="9:20" x14ac:dyDescent="0.3">
      <c r="O110">
        <v>109</v>
      </c>
      <c r="P110" t="s">
        <v>109</v>
      </c>
      <c r="Q110" t="s">
        <v>37</v>
      </c>
      <c r="R110">
        <v>923</v>
      </c>
      <c r="S110">
        <v>765</v>
      </c>
      <c r="T110">
        <v>468</v>
      </c>
    </row>
    <row r="111" spans="9:20" x14ac:dyDescent="0.3">
      <c r="O111">
        <v>110</v>
      </c>
      <c r="P111" t="s">
        <v>110</v>
      </c>
      <c r="Q111" t="s">
        <v>34</v>
      </c>
      <c r="R111">
        <v>838</v>
      </c>
      <c r="S111">
        <v>696</v>
      </c>
      <c r="T111">
        <v>621</v>
      </c>
    </row>
    <row r="112" spans="9:20" x14ac:dyDescent="0.3">
      <c r="O112">
        <v>111</v>
      </c>
      <c r="P112" t="s">
        <v>110</v>
      </c>
      <c r="Q112" t="s">
        <v>37</v>
      </c>
      <c r="R112">
        <v>955</v>
      </c>
      <c r="S112">
        <v>676</v>
      </c>
      <c r="T112">
        <v>524</v>
      </c>
    </row>
    <row r="113" spans="15:20" x14ac:dyDescent="0.3">
      <c r="O113">
        <v>112</v>
      </c>
      <c r="P113" t="s">
        <v>111</v>
      </c>
      <c r="Q113" t="s">
        <v>34</v>
      </c>
      <c r="R113">
        <v>614</v>
      </c>
      <c r="S113">
        <v>495</v>
      </c>
      <c r="T113">
        <v>1043</v>
      </c>
    </row>
    <row r="114" spans="15:20" x14ac:dyDescent="0.3">
      <c r="O114">
        <v>113</v>
      </c>
      <c r="P114" t="s">
        <v>111</v>
      </c>
      <c r="Q114" t="s">
        <v>37</v>
      </c>
      <c r="R114">
        <v>830</v>
      </c>
      <c r="S114">
        <v>666</v>
      </c>
      <c r="T114">
        <v>660</v>
      </c>
    </row>
    <row r="115" spans="15:20" x14ac:dyDescent="0.3">
      <c r="O115">
        <v>114</v>
      </c>
      <c r="P115" t="s">
        <v>112</v>
      </c>
      <c r="Q115" t="s">
        <v>34</v>
      </c>
      <c r="R115">
        <v>598</v>
      </c>
      <c r="S115">
        <v>512</v>
      </c>
      <c r="T115">
        <v>1046</v>
      </c>
    </row>
    <row r="116" spans="15:20" x14ac:dyDescent="0.3">
      <c r="O116">
        <v>115</v>
      </c>
      <c r="P116" t="s">
        <v>112</v>
      </c>
      <c r="Q116" t="s">
        <v>37</v>
      </c>
      <c r="R116">
        <v>308</v>
      </c>
      <c r="S116">
        <v>703</v>
      </c>
      <c r="T116">
        <v>1148</v>
      </c>
    </row>
    <row r="117" spans="15:20" x14ac:dyDescent="0.3">
      <c r="O117">
        <v>116</v>
      </c>
      <c r="P117" t="s">
        <v>113</v>
      </c>
      <c r="Q117" t="s">
        <v>34</v>
      </c>
      <c r="R117">
        <v>436</v>
      </c>
      <c r="S117">
        <v>527</v>
      </c>
      <c r="T117">
        <v>1194</v>
      </c>
    </row>
    <row r="118" spans="15:20" x14ac:dyDescent="0.3">
      <c r="O118">
        <v>117</v>
      </c>
      <c r="P118" t="s">
        <v>113</v>
      </c>
      <c r="Q118" t="s">
        <v>37</v>
      </c>
      <c r="R118">
        <v>377</v>
      </c>
      <c r="S118">
        <v>565</v>
      </c>
      <c r="T118">
        <v>1213</v>
      </c>
    </row>
    <row r="119" spans="15:20" x14ac:dyDescent="0.3">
      <c r="O119">
        <v>118</v>
      </c>
      <c r="P119" t="s">
        <v>114</v>
      </c>
      <c r="Q119" t="s">
        <v>34</v>
      </c>
      <c r="R119">
        <v>0</v>
      </c>
      <c r="S119">
        <v>0</v>
      </c>
      <c r="T119">
        <v>1730</v>
      </c>
    </row>
    <row r="120" spans="15:20" x14ac:dyDescent="0.3">
      <c r="O120">
        <v>119</v>
      </c>
      <c r="P120" t="s">
        <v>114</v>
      </c>
      <c r="Q120" t="s">
        <v>37</v>
      </c>
      <c r="R120">
        <v>0</v>
      </c>
      <c r="S120">
        <v>0</v>
      </c>
      <c r="T120">
        <v>2160</v>
      </c>
    </row>
    <row r="121" spans="15:20" x14ac:dyDescent="0.3">
      <c r="O121">
        <v>120</v>
      </c>
      <c r="P121" t="s">
        <v>115</v>
      </c>
      <c r="Q121" t="s">
        <v>34</v>
      </c>
      <c r="R121">
        <v>391</v>
      </c>
      <c r="S121">
        <v>629</v>
      </c>
      <c r="T121">
        <v>1136</v>
      </c>
    </row>
    <row r="122" spans="15:20" x14ac:dyDescent="0.3">
      <c r="O122">
        <v>121</v>
      </c>
      <c r="P122" t="s">
        <v>115</v>
      </c>
      <c r="Q122" t="s">
        <v>37</v>
      </c>
      <c r="R122">
        <v>805</v>
      </c>
      <c r="S122">
        <v>860</v>
      </c>
      <c r="T122">
        <v>490</v>
      </c>
    </row>
    <row r="123" spans="15:20" x14ac:dyDescent="0.3">
      <c r="O123">
        <v>122</v>
      </c>
      <c r="P123" t="s">
        <v>116</v>
      </c>
      <c r="Q123" t="s">
        <v>34</v>
      </c>
      <c r="R123">
        <v>431</v>
      </c>
      <c r="S123">
        <v>1020</v>
      </c>
      <c r="T123">
        <v>702</v>
      </c>
    </row>
    <row r="124" spans="15:20" x14ac:dyDescent="0.3">
      <c r="O124">
        <v>123</v>
      </c>
      <c r="P124" t="s">
        <v>116</v>
      </c>
      <c r="Q124" t="s">
        <v>37</v>
      </c>
      <c r="R124">
        <v>891</v>
      </c>
      <c r="S124">
        <v>766</v>
      </c>
      <c r="T124">
        <v>496</v>
      </c>
    </row>
    <row r="125" spans="15:20" x14ac:dyDescent="0.3">
      <c r="O125">
        <v>124</v>
      </c>
      <c r="P125" t="s">
        <v>117</v>
      </c>
      <c r="Q125" t="s">
        <v>34</v>
      </c>
      <c r="R125">
        <v>535</v>
      </c>
      <c r="S125">
        <v>949</v>
      </c>
      <c r="T125">
        <v>672</v>
      </c>
    </row>
    <row r="126" spans="15:20" x14ac:dyDescent="0.3">
      <c r="O126">
        <v>125</v>
      </c>
      <c r="P126" t="s">
        <v>117</v>
      </c>
      <c r="Q126" t="s">
        <v>37</v>
      </c>
      <c r="R126">
        <v>841</v>
      </c>
      <c r="S126">
        <v>826</v>
      </c>
      <c r="T126">
        <v>487</v>
      </c>
    </row>
    <row r="127" spans="15:20" x14ac:dyDescent="0.3">
      <c r="O127">
        <v>126</v>
      </c>
      <c r="P127" t="s">
        <v>118</v>
      </c>
      <c r="Q127" t="s">
        <v>34</v>
      </c>
      <c r="R127">
        <v>626</v>
      </c>
      <c r="S127">
        <v>890</v>
      </c>
      <c r="T127">
        <v>640</v>
      </c>
    </row>
    <row r="128" spans="15:20" x14ac:dyDescent="0.3">
      <c r="O128">
        <v>127</v>
      </c>
      <c r="P128" t="s">
        <v>118</v>
      </c>
      <c r="Q128" t="s">
        <v>37</v>
      </c>
      <c r="R128">
        <v>828</v>
      </c>
      <c r="S128">
        <v>834</v>
      </c>
      <c r="T128">
        <v>491</v>
      </c>
    </row>
    <row r="129" spans="15:20" x14ac:dyDescent="0.3">
      <c r="O129">
        <v>128</v>
      </c>
      <c r="P129" t="s">
        <v>119</v>
      </c>
      <c r="Q129" t="s">
        <v>34</v>
      </c>
      <c r="R129">
        <v>691</v>
      </c>
      <c r="S129">
        <v>832</v>
      </c>
      <c r="T129">
        <v>632</v>
      </c>
    </row>
    <row r="130" spans="15:20" x14ac:dyDescent="0.3">
      <c r="O130">
        <v>129</v>
      </c>
      <c r="P130" t="s">
        <v>119</v>
      </c>
      <c r="Q130" t="s">
        <v>37</v>
      </c>
      <c r="R130">
        <v>780</v>
      </c>
      <c r="S130">
        <v>821</v>
      </c>
      <c r="T130">
        <v>553</v>
      </c>
    </row>
    <row r="131" spans="15:20" x14ac:dyDescent="0.3">
      <c r="O131">
        <v>130</v>
      </c>
      <c r="P131" t="s">
        <v>120</v>
      </c>
      <c r="Q131" t="s">
        <v>34</v>
      </c>
      <c r="R131">
        <v>350</v>
      </c>
      <c r="S131">
        <v>600</v>
      </c>
      <c r="T131">
        <v>1203</v>
      </c>
    </row>
    <row r="132" spans="15:20" x14ac:dyDescent="0.3">
      <c r="O132">
        <v>131</v>
      </c>
      <c r="P132" t="s">
        <v>120</v>
      </c>
      <c r="Q132" t="s">
        <v>37</v>
      </c>
      <c r="R132">
        <v>703</v>
      </c>
      <c r="S132">
        <v>660</v>
      </c>
      <c r="T132">
        <v>792</v>
      </c>
    </row>
    <row r="133" spans="15:20" x14ac:dyDescent="0.3">
      <c r="O133">
        <v>132</v>
      </c>
      <c r="P133" t="s">
        <v>121</v>
      </c>
      <c r="Q133" t="s">
        <v>34</v>
      </c>
      <c r="R133">
        <v>0</v>
      </c>
      <c r="S133">
        <v>0</v>
      </c>
      <c r="T133">
        <v>2160</v>
      </c>
    </row>
    <row r="134" spans="15:20" x14ac:dyDescent="0.3">
      <c r="O134">
        <v>133</v>
      </c>
      <c r="P134" t="s">
        <v>121</v>
      </c>
      <c r="Q134" t="s">
        <v>37</v>
      </c>
      <c r="R134">
        <v>0</v>
      </c>
      <c r="S134">
        <v>0</v>
      </c>
      <c r="T134">
        <v>2160</v>
      </c>
    </row>
    <row r="135" spans="15:20" x14ac:dyDescent="0.3">
      <c r="O135">
        <v>134</v>
      </c>
      <c r="P135" t="s">
        <v>122</v>
      </c>
      <c r="Q135" t="s">
        <v>34</v>
      </c>
      <c r="R135">
        <v>740</v>
      </c>
      <c r="S135">
        <v>757</v>
      </c>
      <c r="T135">
        <v>658</v>
      </c>
    </row>
    <row r="136" spans="15:20" x14ac:dyDescent="0.3">
      <c r="O136">
        <v>135</v>
      </c>
      <c r="P136" t="s">
        <v>122</v>
      </c>
      <c r="Q136" t="s">
        <v>37</v>
      </c>
      <c r="R136">
        <v>630</v>
      </c>
      <c r="S136">
        <v>985</v>
      </c>
      <c r="T136">
        <v>539</v>
      </c>
    </row>
    <row r="137" spans="15:20" x14ac:dyDescent="0.3">
      <c r="O137">
        <v>136</v>
      </c>
      <c r="P137" t="s">
        <v>123</v>
      </c>
      <c r="Q137" t="s">
        <v>34</v>
      </c>
      <c r="R137">
        <v>774</v>
      </c>
      <c r="S137">
        <v>733</v>
      </c>
      <c r="T137">
        <v>649</v>
      </c>
    </row>
    <row r="138" spans="15:20" x14ac:dyDescent="0.3">
      <c r="O138">
        <v>137</v>
      </c>
      <c r="P138" t="s">
        <v>123</v>
      </c>
      <c r="Q138" t="s">
        <v>37</v>
      </c>
      <c r="R138">
        <v>488</v>
      </c>
      <c r="S138">
        <v>999</v>
      </c>
      <c r="T138">
        <v>668</v>
      </c>
    </row>
    <row r="139" spans="15:20" x14ac:dyDescent="0.3">
      <c r="O139">
        <v>138</v>
      </c>
      <c r="P139" t="s">
        <v>124</v>
      </c>
      <c r="Q139" t="s">
        <v>34</v>
      </c>
      <c r="R139">
        <v>839</v>
      </c>
      <c r="S139">
        <v>665</v>
      </c>
      <c r="T139">
        <v>650</v>
      </c>
    </row>
    <row r="140" spans="15:20" x14ac:dyDescent="0.3">
      <c r="O140">
        <v>139</v>
      </c>
      <c r="P140" t="s">
        <v>124</v>
      </c>
      <c r="Q140" t="s">
        <v>37</v>
      </c>
      <c r="R140">
        <v>615</v>
      </c>
      <c r="S140">
        <v>1050</v>
      </c>
      <c r="T140">
        <v>490</v>
      </c>
    </row>
    <row r="141" spans="15:20" x14ac:dyDescent="0.3">
      <c r="O141">
        <v>140</v>
      </c>
      <c r="P141" t="s">
        <v>125</v>
      </c>
      <c r="Q141" t="s">
        <v>34</v>
      </c>
      <c r="R141">
        <v>925</v>
      </c>
      <c r="S141">
        <v>608</v>
      </c>
      <c r="T141">
        <v>622</v>
      </c>
    </row>
    <row r="142" spans="15:20" x14ac:dyDescent="0.3">
      <c r="O142">
        <v>141</v>
      </c>
      <c r="P142" t="s">
        <v>125</v>
      </c>
      <c r="Q142" t="s">
        <v>37</v>
      </c>
      <c r="R142">
        <v>563</v>
      </c>
      <c r="S142">
        <v>1158</v>
      </c>
      <c r="T142">
        <v>435</v>
      </c>
    </row>
    <row r="143" spans="15:20" x14ac:dyDescent="0.3">
      <c r="O143">
        <v>142</v>
      </c>
      <c r="P143" t="s">
        <v>126</v>
      </c>
      <c r="Q143" t="s">
        <v>34</v>
      </c>
      <c r="R143">
        <v>674</v>
      </c>
      <c r="S143">
        <v>797</v>
      </c>
      <c r="T143">
        <v>684</v>
      </c>
    </row>
    <row r="144" spans="15:20" x14ac:dyDescent="0.3">
      <c r="O144">
        <v>143</v>
      </c>
      <c r="P144" t="s">
        <v>126</v>
      </c>
      <c r="Q144" t="s">
        <v>37</v>
      </c>
      <c r="R144">
        <v>414</v>
      </c>
      <c r="S144">
        <v>653</v>
      </c>
      <c r="T144">
        <v>1090</v>
      </c>
    </row>
    <row r="145" spans="15:20" x14ac:dyDescent="0.3">
      <c r="O145">
        <v>144</v>
      </c>
      <c r="P145" t="s">
        <v>127</v>
      </c>
      <c r="Q145" t="s">
        <v>34</v>
      </c>
      <c r="R145">
        <v>646</v>
      </c>
      <c r="S145">
        <v>777</v>
      </c>
      <c r="T145">
        <v>732</v>
      </c>
    </row>
    <row r="146" spans="15:20" x14ac:dyDescent="0.3">
      <c r="O146">
        <v>145</v>
      </c>
      <c r="P146" t="s">
        <v>127</v>
      </c>
      <c r="Q146" t="s">
        <v>37</v>
      </c>
      <c r="R146">
        <v>572</v>
      </c>
      <c r="S146">
        <v>841</v>
      </c>
      <c r="T146">
        <v>742</v>
      </c>
    </row>
    <row r="147" spans="15:20" x14ac:dyDescent="0.3">
      <c r="O147">
        <v>146</v>
      </c>
      <c r="P147" t="s">
        <v>128</v>
      </c>
      <c r="Q147" t="s">
        <v>34</v>
      </c>
      <c r="R147">
        <v>0</v>
      </c>
      <c r="S147">
        <v>0</v>
      </c>
      <c r="T147">
        <v>2160</v>
      </c>
    </row>
    <row r="148" spans="15:20" x14ac:dyDescent="0.3">
      <c r="O148">
        <v>147</v>
      </c>
      <c r="P148" t="s">
        <v>128</v>
      </c>
      <c r="Q148" t="s">
        <v>37</v>
      </c>
      <c r="R148">
        <v>0</v>
      </c>
      <c r="S148">
        <v>0</v>
      </c>
      <c r="T148">
        <v>2160</v>
      </c>
    </row>
    <row r="149" spans="15:20" x14ac:dyDescent="0.3">
      <c r="O149">
        <v>148</v>
      </c>
      <c r="P149" t="s">
        <v>129</v>
      </c>
      <c r="Q149" t="s">
        <v>34</v>
      </c>
      <c r="R149">
        <v>779</v>
      </c>
      <c r="S149">
        <v>742</v>
      </c>
      <c r="T149">
        <v>635</v>
      </c>
    </row>
    <row r="150" spans="15:20" x14ac:dyDescent="0.3">
      <c r="O150">
        <v>149</v>
      </c>
      <c r="P150" t="s">
        <v>129</v>
      </c>
      <c r="Q150" t="s">
        <v>37</v>
      </c>
      <c r="R150">
        <v>885</v>
      </c>
      <c r="S150">
        <v>759</v>
      </c>
      <c r="T150">
        <v>509</v>
      </c>
    </row>
    <row r="151" spans="15:20" x14ac:dyDescent="0.3">
      <c r="O151">
        <v>150</v>
      </c>
      <c r="P151" t="s">
        <v>130</v>
      </c>
      <c r="Q151" t="s">
        <v>34</v>
      </c>
      <c r="R151">
        <v>551</v>
      </c>
      <c r="S151">
        <v>974</v>
      </c>
      <c r="T151">
        <v>633</v>
      </c>
    </row>
    <row r="152" spans="15:20" x14ac:dyDescent="0.3">
      <c r="O152">
        <v>151</v>
      </c>
      <c r="P152" t="s">
        <v>130</v>
      </c>
      <c r="Q152" t="s">
        <v>37</v>
      </c>
      <c r="R152">
        <v>455</v>
      </c>
      <c r="S152">
        <v>660</v>
      </c>
      <c r="T152">
        <v>1041</v>
      </c>
    </row>
    <row r="153" spans="15:20" x14ac:dyDescent="0.3">
      <c r="O153">
        <v>152</v>
      </c>
      <c r="P153" t="s">
        <v>131</v>
      </c>
      <c r="Q153" t="s">
        <v>34</v>
      </c>
      <c r="R153">
        <v>508</v>
      </c>
      <c r="S153">
        <v>981</v>
      </c>
      <c r="T153">
        <v>668</v>
      </c>
    </row>
    <row r="154" spans="15:20" x14ac:dyDescent="0.3">
      <c r="O154">
        <v>153</v>
      </c>
      <c r="P154" t="s">
        <v>131</v>
      </c>
      <c r="Q154" t="s">
        <v>37</v>
      </c>
      <c r="R154">
        <v>854</v>
      </c>
      <c r="S154">
        <v>807</v>
      </c>
      <c r="T154">
        <v>493</v>
      </c>
    </row>
    <row r="155" spans="15:20" x14ac:dyDescent="0.3">
      <c r="O155">
        <v>154</v>
      </c>
      <c r="P155" t="s">
        <v>132</v>
      </c>
      <c r="Q155" t="s">
        <v>34</v>
      </c>
      <c r="R155">
        <v>524</v>
      </c>
      <c r="S155">
        <v>1008</v>
      </c>
      <c r="T155">
        <v>623</v>
      </c>
    </row>
    <row r="156" spans="15:20" x14ac:dyDescent="0.3">
      <c r="O156">
        <v>155</v>
      </c>
      <c r="P156" t="s">
        <v>132</v>
      </c>
      <c r="Q156" t="s">
        <v>37</v>
      </c>
      <c r="R156">
        <v>763</v>
      </c>
      <c r="S156">
        <v>898</v>
      </c>
      <c r="T156">
        <v>490</v>
      </c>
    </row>
    <row r="157" spans="15:20" x14ac:dyDescent="0.3">
      <c r="O157">
        <v>156</v>
      </c>
      <c r="P157" t="s">
        <v>133</v>
      </c>
      <c r="Q157" t="s">
        <v>34</v>
      </c>
      <c r="R157">
        <v>777</v>
      </c>
      <c r="S157">
        <v>755</v>
      </c>
      <c r="T157">
        <v>624</v>
      </c>
    </row>
    <row r="158" spans="15:20" x14ac:dyDescent="0.3">
      <c r="O158">
        <v>157</v>
      </c>
      <c r="P158" t="s">
        <v>133</v>
      </c>
      <c r="Q158" t="s">
        <v>37</v>
      </c>
      <c r="R158">
        <v>854</v>
      </c>
      <c r="S158">
        <v>811</v>
      </c>
      <c r="T158">
        <v>488</v>
      </c>
    </row>
    <row r="159" spans="15:20" x14ac:dyDescent="0.3">
      <c r="O159">
        <v>158</v>
      </c>
      <c r="P159" t="s">
        <v>134</v>
      </c>
      <c r="Q159" t="s">
        <v>34</v>
      </c>
      <c r="R159">
        <v>500</v>
      </c>
      <c r="S159">
        <v>961</v>
      </c>
      <c r="T159">
        <v>695</v>
      </c>
    </row>
    <row r="160" spans="15:20" x14ac:dyDescent="0.3">
      <c r="O160">
        <v>159</v>
      </c>
      <c r="P160" t="s">
        <v>134</v>
      </c>
      <c r="Q160" t="s">
        <v>37</v>
      </c>
      <c r="R160">
        <v>710</v>
      </c>
      <c r="S160">
        <v>670</v>
      </c>
      <c r="T160">
        <v>774</v>
      </c>
    </row>
    <row r="161" spans="15:20" x14ac:dyDescent="0.3">
      <c r="O161">
        <v>160</v>
      </c>
      <c r="P161" t="s">
        <v>135</v>
      </c>
      <c r="Q161" t="s">
        <v>37</v>
      </c>
      <c r="R161">
        <v>0</v>
      </c>
      <c r="S161">
        <v>0</v>
      </c>
      <c r="T161">
        <v>2745</v>
      </c>
    </row>
    <row r="162" spans="15:20" x14ac:dyDescent="0.3">
      <c r="O162">
        <v>161</v>
      </c>
      <c r="P162" t="s">
        <v>136</v>
      </c>
      <c r="Q162" t="s">
        <v>34</v>
      </c>
      <c r="R162">
        <v>772</v>
      </c>
      <c r="S162">
        <v>757</v>
      </c>
      <c r="T162">
        <v>622</v>
      </c>
    </row>
    <row r="163" spans="15:20" x14ac:dyDescent="0.3">
      <c r="O163">
        <v>162</v>
      </c>
      <c r="P163" t="s">
        <v>136</v>
      </c>
      <c r="Q163" t="s">
        <v>37</v>
      </c>
      <c r="R163">
        <v>926</v>
      </c>
      <c r="S163">
        <v>645</v>
      </c>
      <c r="T163">
        <v>586</v>
      </c>
    </row>
    <row r="164" spans="15:20" x14ac:dyDescent="0.3">
      <c r="O164">
        <v>163</v>
      </c>
      <c r="P164" t="s">
        <v>137</v>
      </c>
      <c r="Q164" t="s">
        <v>34</v>
      </c>
      <c r="R164">
        <v>840</v>
      </c>
      <c r="S164">
        <v>690</v>
      </c>
      <c r="T164">
        <v>624</v>
      </c>
    </row>
    <row r="165" spans="15:20" x14ac:dyDescent="0.3">
      <c r="O165">
        <v>164</v>
      </c>
      <c r="P165" t="s">
        <v>137</v>
      </c>
      <c r="Q165" t="s">
        <v>37</v>
      </c>
      <c r="R165">
        <v>655</v>
      </c>
      <c r="S165">
        <v>1063</v>
      </c>
      <c r="T165">
        <v>436</v>
      </c>
    </row>
    <row r="166" spans="15:20" x14ac:dyDescent="0.3">
      <c r="O166">
        <v>165</v>
      </c>
      <c r="P166" t="s">
        <v>138</v>
      </c>
      <c r="Q166" t="s">
        <v>34</v>
      </c>
      <c r="R166">
        <v>643</v>
      </c>
      <c r="S166">
        <v>891</v>
      </c>
      <c r="T166">
        <v>620</v>
      </c>
    </row>
    <row r="167" spans="15:20" x14ac:dyDescent="0.3">
      <c r="O167">
        <v>166</v>
      </c>
      <c r="P167" t="s">
        <v>138</v>
      </c>
      <c r="Q167" t="s">
        <v>37</v>
      </c>
      <c r="R167">
        <v>916</v>
      </c>
      <c r="S167">
        <v>769</v>
      </c>
      <c r="T167">
        <v>472</v>
      </c>
    </row>
    <row r="168" spans="15:20" x14ac:dyDescent="0.3">
      <c r="O168">
        <v>167</v>
      </c>
      <c r="P168" t="s">
        <v>139</v>
      </c>
      <c r="Q168" t="s">
        <v>34</v>
      </c>
      <c r="R168">
        <v>782</v>
      </c>
      <c r="S168">
        <v>754</v>
      </c>
      <c r="T168">
        <v>617</v>
      </c>
    </row>
    <row r="169" spans="15:20" x14ac:dyDescent="0.3">
      <c r="O169">
        <v>168</v>
      </c>
      <c r="P169" t="s">
        <v>139</v>
      </c>
      <c r="Q169" t="s">
        <v>37</v>
      </c>
      <c r="R169">
        <v>918</v>
      </c>
      <c r="S169">
        <v>771</v>
      </c>
      <c r="T169">
        <v>468</v>
      </c>
    </row>
    <row r="170" spans="15:20" x14ac:dyDescent="0.3">
      <c r="O170">
        <v>169</v>
      </c>
      <c r="P170" t="s">
        <v>140</v>
      </c>
      <c r="Q170" t="s">
        <v>34</v>
      </c>
      <c r="R170">
        <v>728</v>
      </c>
      <c r="S170">
        <v>793</v>
      </c>
      <c r="T170">
        <v>633</v>
      </c>
    </row>
    <row r="171" spans="15:20" x14ac:dyDescent="0.3">
      <c r="O171">
        <v>170</v>
      </c>
      <c r="P171" t="s">
        <v>140</v>
      </c>
      <c r="Q171" t="s">
        <v>37</v>
      </c>
      <c r="R171">
        <v>416</v>
      </c>
      <c r="S171">
        <v>587</v>
      </c>
      <c r="T171">
        <v>1155</v>
      </c>
    </row>
    <row r="172" spans="15:20" x14ac:dyDescent="0.3">
      <c r="O172">
        <v>171</v>
      </c>
      <c r="P172" t="s">
        <v>141</v>
      </c>
      <c r="Q172" t="s">
        <v>34</v>
      </c>
      <c r="R172">
        <v>313</v>
      </c>
      <c r="S172">
        <v>103</v>
      </c>
      <c r="T172">
        <v>1742</v>
      </c>
    </row>
    <row r="173" spans="15:20" x14ac:dyDescent="0.3">
      <c r="O173">
        <v>172</v>
      </c>
      <c r="P173" t="s">
        <v>141</v>
      </c>
      <c r="Q173" t="s">
        <v>37</v>
      </c>
      <c r="R173">
        <v>0</v>
      </c>
      <c r="S173">
        <v>0</v>
      </c>
      <c r="T173">
        <v>2160</v>
      </c>
    </row>
    <row r="174" spans="15:20" x14ac:dyDescent="0.3">
      <c r="O174">
        <v>173</v>
      </c>
      <c r="P174" t="s">
        <v>142</v>
      </c>
      <c r="Q174" t="s">
        <v>34</v>
      </c>
      <c r="R174">
        <v>0</v>
      </c>
      <c r="S174">
        <v>0</v>
      </c>
      <c r="T174">
        <v>2160</v>
      </c>
    </row>
    <row r="175" spans="15:20" x14ac:dyDescent="0.3">
      <c r="O175">
        <v>174</v>
      </c>
      <c r="P175" t="s">
        <v>142</v>
      </c>
      <c r="Q175" t="s">
        <v>37</v>
      </c>
      <c r="R175">
        <v>0</v>
      </c>
      <c r="S175">
        <v>0</v>
      </c>
      <c r="T175">
        <v>2160</v>
      </c>
    </row>
    <row r="176" spans="15:20" x14ac:dyDescent="0.3">
      <c r="O176">
        <v>175</v>
      </c>
      <c r="P176" t="s">
        <v>143</v>
      </c>
      <c r="Q176" t="s">
        <v>34</v>
      </c>
      <c r="R176">
        <v>457</v>
      </c>
      <c r="S176">
        <v>554</v>
      </c>
      <c r="T176">
        <v>1146</v>
      </c>
    </row>
    <row r="177" spans="15:20" x14ac:dyDescent="0.3">
      <c r="O177">
        <v>176</v>
      </c>
      <c r="P177" t="s">
        <v>143</v>
      </c>
      <c r="Q177" t="s">
        <v>37</v>
      </c>
      <c r="R177">
        <v>738</v>
      </c>
      <c r="S177">
        <v>910</v>
      </c>
      <c r="T177">
        <v>506</v>
      </c>
    </row>
    <row r="178" spans="15:20" x14ac:dyDescent="0.3">
      <c r="O178">
        <v>177</v>
      </c>
      <c r="P178" t="s">
        <v>144</v>
      </c>
      <c r="Q178" t="s">
        <v>34</v>
      </c>
      <c r="R178">
        <v>445</v>
      </c>
      <c r="S178">
        <v>578</v>
      </c>
      <c r="T178">
        <v>1134</v>
      </c>
    </row>
    <row r="179" spans="15:20" x14ac:dyDescent="0.3">
      <c r="O179">
        <v>178</v>
      </c>
      <c r="P179" t="s">
        <v>144</v>
      </c>
      <c r="Q179" t="s">
        <v>37</v>
      </c>
      <c r="R179">
        <v>783</v>
      </c>
      <c r="S179">
        <v>815</v>
      </c>
      <c r="T179">
        <v>555</v>
      </c>
    </row>
    <row r="180" spans="15:20" x14ac:dyDescent="0.3">
      <c r="O180">
        <v>179</v>
      </c>
      <c r="P180" t="s">
        <v>33</v>
      </c>
      <c r="Q180" t="s">
        <v>34</v>
      </c>
      <c r="R180">
        <v>465</v>
      </c>
      <c r="S180">
        <v>694</v>
      </c>
      <c r="T180">
        <v>997</v>
      </c>
    </row>
    <row r="181" spans="15:20" x14ac:dyDescent="0.3">
      <c r="O181">
        <v>180</v>
      </c>
      <c r="P181" t="s">
        <v>33</v>
      </c>
      <c r="Q181" t="s">
        <v>37</v>
      </c>
      <c r="R181">
        <v>723</v>
      </c>
      <c r="S181">
        <v>934</v>
      </c>
      <c r="T181">
        <v>496</v>
      </c>
    </row>
    <row r="182" spans="15:20" x14ac:dyDescent="0.3">
      <c r="O182">
        <v>181</v>
      </c>
      <c r="P182" t="s">
        <v>39</v>
      </c>
      <c r="Q182" t="s">
        <v>34</v>
      </c>
      <c r="R182">
        <v>384</v>
      </c>
      <c r="S182">
        <v>641</v>
      </c>
      <c r="T182">
        <v>1132</v>
      </c>
    </row>
    <row r="183" spans="15:20" x14ac:dyDescent="0.3">
      <c r="O183">
        <v>182</v>
      </c>
      <c r="P183" t="s">
        <v>39</v>
      </c>
      <c r="Q183" t="s">
        <v>37</v>
      </c>
      <c r="R183">
        <v>666</v>
      </c>
      <c r="S183">
        <v>921</v>
      </c>
      <c r="T183">
        <v>566</v>
      </c>
    </row>
    <row r="184" spans="15:20" x14ac:dyDescent="0.3">
      <c r="O184">
        <v>183</v>
      </c>
      <c r="P184" t="s">
        <v>43</v>
      </c>
      <c r="Q184" t="s">
        <v>34</v>
      </c>
      <c r="R184">
        <v>427</v>
      </c>
      <c r="S184">
        <v>594</v>
      </c>
      <c r="T184">
        <v>1137</v>
      </c>
    </row>
    <row r="185" spans="15:20" x14ac:dyDescent="0.3">
      <c r="O185">
        <v>184</v>
      </c>
      <c r="P185" t="s">
        <v>43</v>
      </c>
      <c r="Q185" t="s">
        <v>37</v>
      </c>
      <c r="R185">
        <v>596</v>
      </c>
      <c r="S185">
        <v>992</v>
      </c>
      <c r="T185">
        <v>568</v>
      </c>
    </row>
    <row r="186" spans="15:20" x14ac:dyDescent="0.3">
      <c r="O186">
        <v>185</v>
      </c>
      <c r="P186" t="s">
        <v>48</v>
      </c>
      <c r="Q186" t="s">
        <v>34</v>
      </c>
      <c r="R186">
        <v>782</v>
      </c>
      <c r="S186">
        <v>602</v>
      </c>
      <c r="T186">
        <v>773</v>
      </c>
    </row>
    <row r="187" spans="15:20" x14ac:dyDescent="0.3">
      <c r="O187">
        <v>186</v>
      </c>
      <c r="P187" t="s">
        <v>48</v>
      </c>
      <c r="Q187" t="s">
        <v>37</v>
      </c>
      <c r="R187">
        <v>775</v>
      </c>
      <c r="S187">
        <v>619</v>
      </c>
      <c r="T187">
        <v>762</v>
      </c>
    </row>
    <row r="188" spans="15:20" x14ac:dyDescent="0.3">
      <c r="O188">
        <v>187</v>
      </c>
      <c r="P188" t="s">
        <v>52</v>
      </c>
      <c r="Q188" t="s">
        <v>34</v>
      </c>
      <c r="R188">
        <v>0</v>
      </c>
      <c r="S188">
        <v>0</v>
      </c>
      <c r="T188">
        <v>2160</v>
      </c>
    </row>
    <row r="189" spans="15:20" x14ac:dyDescent="0.3">
      <c r="O189">
        <v>188</v>
      </c>
      <c r="P189" t="s">
        <v>52</v>
      </c>
      <c r="Q189" t="s">
        <v>37</v>
      </c>
      <c r="R189">
        <v>0</v>
      </c>
      <c r="S189">
        <v>0</v>
      </c>
      <c r="T189">
        <v>2160</v>
      </c>
    </row>
    <row r="190" spans="15:20" x14ac:dyDescent="0.3">
      <c r="O190">
        <v>189</v>
      </c>
      <c r="P190" t="s">
        <v>56</v>
      </c>
      <c r="Q190" t="s">
        <v>34</v>
      </c>
      <c r="R190">
        <v>733</v>
      </c>
      <c r="S190">
        <v>791</v>
      </c>
      <c r="T190">
        <v>630</v>
      </c>
    </row>
    <row r="191" spans="15:20" x14ac:dyDescent="0.3">
      <c r="O191">
        <v>190</v>
      </c>
      <c r="P191" t="s">
        <v>56</v>
      </c>
      <c r="Q191" t="s">
        <v>37</v>
      </c>
      <c r="R191">
        <v>381</v>
      </c>
      <c r="S191">
        <v>678</v>
      </c>
      <c r="T191">
        <v>1097</v>
      </c>
    </row>
    <row r="192" spans="15:20" x14ac:dyDescent="0.3">
      <c r="O192">
        <v>191</v>
      </c>
      <c r="P192" t="s">
        <v>60</v>
      </c>
      <c r="Q192" t="s">
        <v>34</v>
      </c>
      <c r="R192">
        <v>799</v>
      </c>
      <c r="S192">
        <v>725</v>
      </c>
      <c r="T192">
        <v>630</v>
      </c>
    </row>
    <row r="193" spans="15:20" x14ac:dyDescent="0.3">
      <c r="O193">
        <v>192</v>
      </c>
      <c r="P193" t="s">
        <v>60</v>
      </c>
      <c r="Q193" t="s">
        <v>37</v>
      </c>
      <c r="R193">
        <v>595</v>
      </c>
      <c r="S193">
        <v>665</v>
      </c>
      <c r="T193">
        <v>898</v>
      </c>
    </row>
    <row r="194" spans="15:20" x14ac:dyDescent="0.3">
      <c r="O194">
        <v>193</v>
      </c>
      <c r="P194" t="s">
        <v>62</v>
      </c>
      <c r="Q194" t="s">
        <v>34</v>
      </c>
      <c r="R194">
        <v>807</v>
      </c>
      <c r="S194">
        <v>713</v>
      </c>
      <c r="T194">
        <v>633</v>
      </c>
    </row>
    <row r="195" spans="15:20" x14ac:dyDescent="0.3">
      <c r="O195">
        <v>194</v>
      </c>
      <c r="P195" t="s">
        <v>62</v>
      </c>
      <c r="Q195" t="s">
        <v>37</v>
      </c>
      <c r="R195">
        <v>359</v>
      </c>
      <c r="S195">
        <v>764</v>
      </c>
      <c r="T195">
        <v>1033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T195"/>
  <sheetViews>
    <sheetView topLeftCell="E52" workbookViewId="0">
      <selection activeCell="I2" sqref="I2:J75"/>
    </sheetView>
  </sheetViews>
  <sheetFormatPr defaultRowHeight="14.4" x14ac:dyDescent="0.3"/>
  <cols>
    <col min="1" max="1" width="3" bestFit="1" customWidth="1"/>
    <col min="2" max="3" width="10.88671875" bestFit="1" customWidth="1"/>
    <col min="4" max="4" width="34.109375" bestFit="1" customWidth="1"/>
    <col min="5" max="5" width="30.5546875" bestFit="1" customWidth="1"/>
    <col min="6" max="6" width="22.6640625" bestFit="1" customWidth="1"/>
    <col min="9" max="10" width="11.6640625" bestFit="1" customWidth="1"/>
    <col min="11" max="11" width="8.33203125" bestFit="1" customWidth="1"/>
    <col min="12" max="12" width="11.5546875" bestFit="1" customWidth="1"/>
    <col min="13" max="13" width="10" bestFit="1" customWidth="1"/>
  </cols>
  <sheetData>
    <row r="1" spans="1:20" s="2" customFormat="1" x14ac:dyDescent="0.3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  <c r="L1" s="3" t="s">
        <v>31</v>
      </c>
      <c r="M1" s="3" t="s">
        <v>32</v>
      </c>
    </row>
    <row r="2" spans="1:20" x14ac:dyDescent="0.3">
      <c r="A2">
        <v>1</v>
      </c>
      <c r="B2" t="s">
        <v>33</v>
      </c>
      <c r="C2" t="s">
        <v>34</v>
      </c>
      <c r="D2">
        <v>1189</v>
      </c>
      <c r="E2">
        <v>892</v>
      </c>
      <c r="F2">
        <v>1521</v>
      </c>
      <c r="H2" t="s">
        <v>35</v>
      </c>
      <c r="I2" s="1">
        <v>0.3</v>
      </c>
      <c r="J2" s="1">
        <v>0.42352941176470588</v>
      </c>
      <c r="K2" s="1">
        <f>IFERROR(SUMIFS(S:S,P:P,"*/01/2026")/(SUMIFS(R:R,P:P,"*/01/2026")+SUMIFS(S:S,P:P,"*/01/2026")+SUMIFS(T:T,P:P,"*/01/2026")),"")</f>
        <v>0.19962145963362701</v>
      </c>
      <c r="L2" s="1">
        <f>IFERROR(SUMIFS(R:R,P:P,"*/01/2026")/(SUMIFS(R:R,P:P,"*/01/2026")+SUMIFS(S:S,P:P,"*/01/2026")+SUMIFS(T:T,P:P,"*/01/2026")),"")</f>
        <v>0.31799643991798293</v>
      </c>
      <c r="M2" s="1">
        <f>IFERROR(SUMIFS(T:T,P:P,"*/01/2026")/(SUMIFS(R:R,P:P,"*/01/2026")+SUMIFS(S:S,P:P,"*/01/2026")+SUMIFS(T:T,P:P,"*/01/2026")),"")</f>
        <v>0.48238210044839008</v>
      </c>
      <c r="O2">
        <v>1</v>
      </c>
      <c r="P2" t="s">
        <v>36</v>
      </c>
      <c r="Q2" t="s">
        <v>34</v>
      </c>
      <c r="R2">
        <v>0</v>
      </c>
      <c r="S2">
        <v>0</v>
      </c>
      <c r="T2">
        <v>3600</v>
      </c>
    </row>
    <row r="3" spans="1:20" x14ac:dyDescent="0.3">
      <c r="A3">
        <v>2</v>
      </c>
      <c r="B3" t="s">
        <v>33</v>
      </c>
      <c r="C3" t="s">
        <v>37</v>
      </c>
      <c r="D3">
        <v>1217</v>
      </c>
      <c r="E3">
        <v>1173</v>
      </c>
      <c r="F3">
        <v>1213</v>
      </c>
      <c r="H3" t="s">
        <v>38</v>
      </c>
      <c r="I3" s="1">
        <v>0.3</v>
      </c>
      <c r="J3" s="1">
        <v>0.42352941176470588</v>
      </c>
      <c r="K3" s="1">
        <f>IFERROR(SUMIFS(S:S,P:P,"*/02/2026")/(SUMIFS(R:R,P:P,"*/02/2026")+SUMIFS(S:S,P:P,"*/02/2026")+SUMIFS(T:T,P:P,"*/02/2026")),"")</f>
        <v>0.17090660239816716</v>
      </c>
      <c r="L3" s="1">
        <f>IFERROR(SUMIFS(R:R,P:P,"*/02/2026")/(SUMIFS(R:R,P:P,"*/02/2026")+SUMIFS(S:S,P:P,"*/02/2026")+SUMIFS(T:T,P:P,"*/02/2026")),"")</f>
        <v>0.22880280083707738</v>
      </c>
      <c r="M3" s="1">
        <f>IFERROR(SUMIFS(T:T,P:P,"*/02/2026")/(SUMIFS(R:R,P:P,"*/02/2026")+SUMIFS(S:S,P:P,"*/02/2026")+SUMIFS(T:T,P:P,"*/02/2026")),"")</f>
        <v>0.60029059676475549</v>
      </c>
      <c r="O3">
        <v>2</v>
      </c>
      <c r="P3" t="s">
        <v>36</v>
      </c>
      <c r="Q3" t="s">
        <v>37</v>
      </c>
      <c r="R3">
        <v>174</v>
      </c>
      <c r="S3">
        <v>85</v>
      </c>
      <c r="T3">
        <v>3336</v>
      </c>
    </row>
    <row r="4" spans="1:20" x14ac:dyDescent="0.3">
      <c r="A4">
        <v>3</v>
      </c>
      <c r="B4" t="s">
        <v>39</v>
      </c>
      <c r="C4" t="s">
        <v>34</v>
      </c>
      <c r="D4">
        <v>1425</v>
      </c>
      <c r="E4">
        <v>863</v>
      </c>
      <c r="F4">
        <v>1317</v>
      </c>
      <c r="H4" t="s">
        <v>40</v>
      </c>
      <c r="I4" s="1">
        <v>0.3</v>
      </c>
      <c r="J4" s="1">
        <v>0.42352941176470588</v>
      </c>
      <c r="K4" s="1">
        <f>IFERROR(SUMIFS(S:S,P:P,"*/03/2026")/(SUMIFS(R:R,P:P,"*/03/2026")+SUMIFS(S:S,P:P,"*/03/2026")+SUMIFS(T:T,P:P,"*/03/2026")),"")</f>
        <v>0.22044461981329197</v>
      </c>
      <c r="L4" s="1">
        <f>IFERROR(SUMIFS(R:R,P:P,"*/03/2026")/(SUMIFS(R:R,P:P,"*/03/2026")+SUMIFS(S:S,P:P,"*/03/2026")+SUMIFS(T:T,P:P,"*/03/2026")),"")</f>
        <v>0.30642268475755757</v>
      </c>
      <c r="M4" s="1">
        <f>IFERROR(SUMIFS(T:T,P:P,"*/03/2026")/(SUMIFS(R:R,P:P,"*/03/2026")+SUMIFS(S:S,P:P,"*/03/2026")+SUMIFS(T:T,P:P,"*/03/2026")),"")</f>
        <v>0.47313269542915048</v>
      </c>
      <c r="O4">
        <v>3</v>
      </c>
      <c r="P4" t="s">
        <v>41</v>
      </c>
      <c r="Q4" t="s">
        <v>34</v>
      </c>
      <c r="R4">
        <v>1706</v>
      </c>
      <c r="S4">
        <v>998</v>
      </c>
      <c r="T4">
        <v>899</v>
      </c>
    </row>
    <row r="5" spans="1:20" x14ac:dyDescent="0.3">
      <c r="A5">
        <v>4</v>
      </c>
      <c r="B5" t="s">
        <v>39</v>
      </c>
      <c r="C5" t="s">
        <v>37</v>
      </c>
      <c r="D5">
        <v>1144</v>
      </c>
      <c r="E5">
        <v>1079</v>
      </c>
      <c r="F5">
        <v>1379</v>
      </c>
      <c r="H5" t="s">
        <v>42</v>
      </c>
      <c r="I5" s="1">
        <v>0.3</v>
      </c>
      <c r="J5" s="1">
        <v>0.42352941176470588</v>
      </c>
      <c r="K5" s="1">
        <f>IFERROR(SUMIFS(S:S,P:P,"*/04/2026")/(SUMIFS(R:R,P:P,"*/04/2026")+SUMIFS(S:S,P:P,"*/04/2026")+SUMIFS(T:T,P:P,"*/04/2026")),"")</f>
        <v>0.23656081901787263</v>
      </c>
      <c r="L5" s="1">
        <f>IFERROR(SUMIFS(R:R,P:P,"*/04/2026")/(SUMIFS(R:R,P:P,"*/04/2026")+SUMIFS(S:S,P:P,"*/04/2026")+SUMIFS(T:T,P:P,"*/04/2026")),"")</f>
        <v>0.27688703800104114</v>
      </c>
      <c r="M5" s="1">
        <f>IFERROR(SUMIFS(T:T,P:P,"*/04/2026")/(SUMIFS(R:R,P:P,"*/04/2026")+SUMIFS(S:S,P:P,"*/04/2026")+SUMIFS(T:T,P:P,"*/04/2026")),"")</f>
        <v>0.48655214298108623</v>
      </c>
      <c r="O5">
        <v>4</v>
      </c>
      <c r="P5" t="s">
        <v>41</v>
      </c>
      <c r="Q5" t="s">
        <v>37</v>
      </c>
      <c r="R5">
        <v>1120</v>
      </c>
      <c r="S5">
        <v>497</v>
      </c>
      <c r="T5">
        <v>1983</v>
      </c>
    </row>
    <row r="6" spans="1:20" x14ac:dyDescent="0.3">
      <c r="A6">
        <v>5</v>
      </c>
      <c r="B6" t="s">
        <v>43</v>
      </c>
      <c r="C6" t="s">
        <v>34</v>
      </c>
      <c r="D6">
        <v>1086</v>
      </c>
      <c r="E6">
        <v>1002</v>
      </c>
      <c r="F6">
        <v>1515</v>
      </c>
      <c r="H6" t="s">
        <v>44</v>
      </c>
      <c r="I6" s="1">
        <v>0.3</v>
      </c>
      <c r="J6" s="1">
        <v>0.42352941176470588</v>
      </c>
      <c r="K6" s="1" t="str">
        <f>IFERROR(SUMIFS(S:S,P:P,"*/05/2026")/(SUMIFS(R:R,P:P,"*/05/2026")+SUMIFS(S:S,P:P,"*/05/2026")+SUMIFS(T:T,P:P,"*/05/2026")),"")</f>
        <v/>
      </c>
      <c r="L6" s="1" t="str">
        <f>IFERROR(SUMIFS(R:R,P:P,"*/05/2026")/(SUMIFS(R:R,P:P,"*/05/2026")+SUMIFS(S:S,P:P,"*/05/2026")+SUMIFS(T:T,P:P,"*/05/2026")),"")</f>
        <v/>
      </c>
      <c r="M6" s="1" t="str">
        <f>IFERROR(SUMIFS(T:T,P:P,"*/05/2026")/(SUMIFS(R:R,P:P,"*/05/2026")+SUMIFS(S:S,P:P,"*/05/2026")+SUMIFS(T:T,P:P,"*/05/2026")),"")</f>
        <v/>
      </c>
      <c r="O6">
        <v>5</v>
      </c>
      <c r="P6" t="s">
        <v>45</v>
      </c>
      <c r="Q6" t="s">
        <v>37</v>
      </c>
      <c r="R6">
        <v>2636</v>
      </c>
      <c r="S6">
        <v>1529</v>
      </c>
      <c r="T6">
        <v>1694</v>
      </c>
    </row>
    <row r="7" spans="1:20" x14ac:dyDescent="0.3">
      <c r="A7">
        <v>6</v>
      </c>
      <c r="B7" t="s">
        <v>43</v>
      </c>
      <c r="C7" t="s">
        <v>37</v>
      </c>
      <c r="D7">
        <v>1197</v>
      </c>
      <c r="E7">
        <v>1045</v>
      </c>
      <c r="F7">
        <v>1360</v>
      </c>
      <c r="H7" t="s">
        <v>46</v>
      </c>
      <c r="I7" s="1">
        <v>0.3</v>
      </c>
      <c r="J7" s="1">
        <v>0.42352941176470588</v>
      </c>
      <c r="K7" s="1" t="str">
        <f>IFERROR(SUMIFS(S:S,P:P,"*/06/2026")/(SUMIFS(R:R,P:P,"*/06/2026")+SUMIFS(S:S,P:P,"*/06/2026")+SUMIFS(T:T,P:P,"*/06/2026")),"")</f>
        <v/>
      </c>
      <c r="L7" s="1" t="str">
        <f>IFERROR(SUMIFS(R:R,P:P,"*/06/2026")/(SUMIFS(R:R,P:P,"*/06/2026")+SUMIFS(S:S,P:P,"*/06/2026")+SUMIFS(T:T,P:P,"*/06/2026")),"")</f>
        <v/>
      </c>
      <c r="M7" s="1" t="str">
        <f>IFERROR(SUMIFS(T:T,P:P,"*/06/2026")/(SUMIFS(R:R,P:P,"*/06/2026")+SUMIFS(S:S,P:P,"*/06/2026")+SUMIFS(T:T,P:P,"*/06/2026")),"")</f>
        <v/>
      </c>
      <c r="O7">
        <v>6</v>
      </c>
      <c r="P7" t="s">
        <v>47</v>
      </c>
      <c r="Q7" t="s">
        <v>34</v>
      </c>
      <c r="R7">
        <v>0</v>
      </c>
      <c r="S7">
        <v>0</v>
      </c>
      <c r="T7">
        <v>3600</v>
      </c>
    </row>
    <row r="8" spans="1:20" x14ac:dyDescent="0.3">
      <c r="A8">
        <v>7</v>
      </c>
      <c r="B8" t="s">
        <v>48</v>
      </c>
      <c r="C8" t="s">
        <v>34</v>
      </c>
      <c r="D8">
        <v>839</v>
      </c>
      <c r="E8">
        <v>630</v>
      </c>
      <c r="F8">
        <v>2134</v>
      </c>
      <c r="H8" t="s">
        <v>49</v>
      </c>
      <c r="I8" s="1">
        <v>0.3</v>
      </c>
      <c r="J8" s="1">
        <v>0.42352941176470588</v>
      </c>
      <c r="K8" s="1" t="str">
        <f>IFERROR(SUMIFS(S:S,P:P,"*/07/2026")/(SUMIFS(R:R,P:P,"*/07/2026")+SUMIFS(S:S,P:P,"*/07/2026")+SUMIFS(T:T,P:P,"*/07/2026")),"")</f>
        <v/>
      </c>
      <c r="L8" s="1" t="str">
        <f>IFERROR(SUMIFS(R:R,P:P,"*/07/2026")/(SUMIFS(R:R,P:P,"*/07/2026")+SUMIFS(S:S,P:P,"*/07/2026")+SUMIFS(T:T,P:P,"*/07/2026")),"")</f>
        <v/>
      </c>
      <c r="M8" s="1" t="str">
        <f>IFERROR(SUMIFS(T:T,P:P,"*/07/2026")/(SUMIFS(R:R,P:P,"*/07/2026")+SUMIFS(S:S,P:P,"*/07/2026")+SUMIFS(T:T,P:P,"*/07/2026")),"")</f>
        <v/>
      </c>
      <c r="O8">
        <v>7</v>
      </c>
      <c r="P8" t="s">
        <v>47</v>
      </c>
      <c r="Q8" t="s">
        <v>37</v>
      </c>
      <c r="R8">
        <v>0</v>
      </c>
      <c r="S8">
        <v>0</v>
      </c>
      <c r="T8">
        <v>3600</v>
      </c>
    </row>
    <row r="9" spans="1:20" x14ac:dyDescent="0.3">
      <c r="A9">
        <v>8</v>
      </c>
      <c r="B9" t="s">
        <v>48</v>
      </c>
      <c r="C9" t="s">
        <v>37</v>
      </c>
      <c r="D9">
        <v>968</v>
      </c>
      <c r="E9">
        <v>829</v>
      </c>
      <c r="F9">
        <v>1804</v>
      </c>
      <c r="H9" t="s">
        <v>50</v>
      </c>
      <c r="I9" s="1">
        <v>0.3</v>
      </c>
      <c r="J9" s="1">
        <v>0.42352941176470588</v>
      </c>
      <c r="K9" s="1" t="str">
        <f>IFERROR(SUMIFS(S:S,P:P,"*/08/2026")/(SUMIFS(R:R,P:P,"*/08/2026")+SUMIFS(S:S,P:P,"*/08/2026")+SUMIFS(T:T,P:P,"*/08/2026")),"")</f>
        <v/>
      </c>
      <c r="L9" s="1" t="str">
        <f>IFERROR(SUMIFS(R:R,P:P,"*/08/2026")/(SUMIFS(R:R,P:P,"*/08/2026")+SUMIFS(S:S,P:P,"*/08/2026")+SUMIFS(T:T,P:P,"*/08/2026")),"")</f>
        <v/>
      </c>
      <c r="M9" s="1" t="str">
        <f>IFERROR(SUMIFS(T:T,P:P,"*/08/2026")/(SUMIFS(R:R,P:P,"*/08/2026")+SUMIFS(S:S,P:P,"*/08/2026")+SUMIFS(T:T,P:P,"*/08/2026")),"")</f>
        <v/>
      </c>
      <c r="O9">
        <v>8</v>
      </c>
      <c r="P9" t="s">
        <v>51</v>
      </c>
      <c r="Q9" t="s">
        <v>34</v>
      </c>
      <c r="R9">
        <v>1703</v>
      </c>
      <c r="S9">
        <v>908</v>
      </c>
      <c r="T9">
        <v>993</v>
      </c>
    </row>
    <row r="10" spans="1:20" x14ac:dyDescent="0.3">
      <c r="A10">
        <v>9</v>
      </c>
      <c r="B10" t="s">
        <v>52</v>
      </c>
      <c r="C10" t="s">
        <v>34</v>
      </c>
      <c r="D10">
        <v>0</v>
      </c>
      <c r="E10">
        <v>0</v>
      </c>
      <c r="F10">
        <v>3600</v>
      </c>
      <c r="H10" t="s">
        <v>53</v>
      </c>
      <c r="I10" s="1">
        <v>0.3</v>
      </c>
      <c r="J10" s="1">
        <v>0.42352941176470588</v>
      </c>
      <c r="K10" s="1" t="str">
        <f>IFERROR(SUMIFS(S:S,P:P,"*/09/2026")/(SUMIFS(R:R,P:P,"*/09/2026")+SUMIFS(S:S,P:P,"*/09/2026")+SUMIFS(T:T,P:P,"*/09/2026")),"")</f>
        <v/>
      </c>
      <c r="L10" s="1" t="str">
        <f>IFERROR(SUMIFS(R:R,P:P,"*/09/2026")/(SUMIFS(R:R,P:P,"*/09/2026")+SUMIFS(S:S,P:P,"*/09/2026")+SUMIFS(T:T,P:P,"*/09/2026")),"")</f>
        <v/>
      </c>
      <c r="M10" s="1" t="str">
        <f>IFERROR(SUMIFS(T:T,P:P,"*/09/2026")/(SUMIFS(R:R,P:P,"*/09/2026")+SUMIFS(S:S,P:P,"*/09/2026")+SUMIFS(T:T,P:P,"*/09/2026")),"")</f>
        <v/>
      </c>
      <c r="O10">
        <v>9</v>
      </c>
      <c r="P10" t="s">
        <v>51</v>
      </c>
      <c r="Q10" t="s">
        <v>37</v>
      </c>
      <c r="R10">
        <v>2461</v>
      </c>
      <c r="S10">
        <v>622</v>
      </c>
      <c r="T10">
        <v>478</v>
      </c>
    </row>
    <row r="11" spans="1:20" x14ac:dyDescent="0.3">
      <c r="A11">
        <v>10</v>
      </c>
      <c r="B11" t="s">
        <v>52</v>
      </c>
      <c r="C11" t="s">
        <v>37</v>
      </c>
      <c r="D11">
        <v>0</v>
      </c>
      <c r="E11">
        <v>0</v>
      </c>
      <c r="F11">
        <v>3600</v>
      </c>
      <c r="H11" t="s">
        <v>54</v>
      </c>
      <c r="I11" s="1">
        <v>0.3</v>
      </c>
      <c r="J11" s="1">
        <v>0.42352941176470588</v>
      </c>
      <c r="K11" s="1" t="str">
        <f>IFERROR(SUMIFS(S:S,P:P,"*/10/2026")/(SUMIFS(R:R,P:P,"*/10/2026")+SUMIFS(S:S,P:P,"*/10/2026")+SUMIFS(T:T,P:P,"*/10/2026")),"")</f>
        <v/>
      </c>
      <c r="L11" s="1" t="str">
        <f>IFERROR(SUMIFS(R:R,P:P,"*/10/2026")/(SUMIFS(R:R,P:P,"*/10/2026")+SUMIFS(S:S,P:P,"*/10/2026")+SUMIFS(T:T,P:P,"*/10/2026")),"")</f>
        <v/>
      </c>
      <c r="M11" s="1" t="str">
        <f>IFERROR(SUMIFS(T:T,P:P,"*/10/2026")/(SUMIFS(R:R,P:P,"*/10/2026")+SUMIFS(S:S,P:P,"*/10/2026")+SUMIFS(T:T,P:P,"*/10/2026")),"")</f>
        <v/>
      </c>
      <c r="O11">
        <v>10</v>
      </c>
      <c r="P11" t="s">
        <v>55</v>
      </c>
      <c r="Q11" t="s">
        <v>34</v>
      </c>
      <c r="R11">
        <v>1886</v>
      </c>
      <c r="S11">
        <v>1099</v>
      </c>
      <c r="T11">
        <v>618</v>
      </c>
    </row>
    <row r="12" spans="1:20" x14ac:dyDescent="0.3">
      <c r="A12">
        <v>11</v>
      </c>
      <c r="B12" t="s">
        <v>56</v>
      </c>
      <c r="C12" t="s">
        <v>34</v>
      </c>
      <c r="D12">
        <v>1143</v>
      </c>
      <c r="E12">
        <v>1034</v>
      </c>
      <c r="F12">
        <v>1422</v>
      </c>
      <c r="H12" t="s">
        <v>57</v>
      </c>
      <c r="I12" s="1">
        <v>0.3</v>
      </c>
      <c r="J12" s="1">
        <v>0.42352941176470588</v>
      </c>
      <c r="K12" s="1" t="str">
        <f>IFERROR(SUMIFS(S:S,P:P,"*/11/2026")/(SUMIFS(R:R,P:P,"*/11/2026")+SUMIFS(S:S,P:P,"*/11/2026")+SUMIFS(T:T,P:P,"*/11/2026")),"")</f>
        <v/>
      </c>
      <c r="L12" s="1" t="str">
        <f>IFERROR(SUMIFS(R:R,P:P,"*/11/2026")/(SUMIFS(R:R,P:P,"*/11/2026")+SUMIFS(S:S,P:P,"*/11/2026")+SUMIFS(T:T,P:P,"*/11/2026")),"")</f>
        <v/>
      </c>
      <c r="M12" s="1" t="str">
        <f>IFERROR(SUMIFS(T:T,P:P,"*/11/2026")/(SUMIFS(R:R,P:P,"*/11/2026")+SUMIFS(S:S,P:P,"*/11/2026")+SUMIFS(T:T,P:P,"*/11/2026")),"")</f>
        <v/>
      </c>
      <c r="O12">
        <v>11</v>
      </c>
      <c r="P12" t="s">
        <v>55</v>
      </c>
      <c r="Q12" t="s">
        <v>37</v>
      </c>
      <c r="R12">
        <v>1582</v>
      </c>
      <c r="S12">
        <v>679</v>
      </c>
      <c r="T12">
        <v>1341</v>
      </c>
    </row>
    <row r="13" spans="1:20" x14ac:dyDescent="0.3">
      <c r="A13">
        <v>12</v>
      </c>
      <c r="B13" t="s">
        <v>56</v>
      </c>
      <c r="C13" t="s">
        <v>37</v>
      </c>
      <c r="D13">
        <v>1059</v>
      </c>
      <c r="E13">
        <v>1162</v>
      </c>
      <c r="F13">
        <v>1381</v>
      </c>
      <c r="H13" t="s">
        <v>58</v>
      </c>
      <c r="I13" s="1">
        <v>0.3</v>
      </c>
      <c r="J13" s="1">
        <v>0.42352941176470588</v>
      </c>
      <c r="K13" s="1" t="str">
        <f>IFERROR(SUMIFS(S:S,P:P,"*/12/2026")/(SUMIFS(R:R,P:P,"*/12/2026")+SUMIFS(S:S,P:P,"*/12/2026")+SUMIFS(T:T,P:P,"*/12/2026")),"")</f>
        <v/>
      </c>
      <c r="L13" s="1" t="str">
        <f>IFERROR(SUMIFS(R:R,P:P,"*/12/2026")/(SUMIFS(R:R,P:P,"*/12/2026")+SUMIFS(S:S,P:P,"*/12/2026")+SUMIFS(T:T,P:P,"*/12/2026")),"")</f>
        <v/>
      </c>
      <c r="M13" s="1" t="str">
        <f>IFERROR(SUMIFS(T:T,P:P,"*/12/2026")/(SUMIFS(R:R,P:P,"*/12/2026")+SUMIFS(S:S,P:P,"*/12/2026")+SUMIFS(T:T,P:P,"*/12/2026")),"")</f>
        <v/>
      </c>
      <c r="O13">
        <v>12</v>
      </c>
      <c r="P13" t="s">
        <v>59</v>
      </c>
      <c r="Q13" t="s">
        <v>34</v>
      </c>
      <c r="R13">
        <v>378</v>
      </c>
      <c r="S13">
        <v>282</v>
      </c>
      <c r="T13">
        <v>2935</v>
      </c>
    </row>
    <row r="14" spans="1:20" x14ac:dyDescent="0.3">
      <c r="A14">
        <v>13</v>
      </c>
      <c r="B14" t="s">
        <v>60</v>
      </c>
      <c r="C14" t="s">
        <v>34</v>
      </c>
      <c r="D14">
        <v>1096</v>
      </c>
      <c r="E14">
        <v>964</v>
      </c>
      <c r="F14">
        <v>1540</v>
      </c>
      <c r="H14" t="str">
        <f>IF(B2="","",TEXT(B2,"dd/mm")&amp; "-" &amp;IF(UPPER(TRIM(C2))="CN",1,IF(UPPER(TRIM(C2))="CD",2,"")))</f>
        <v>01/04-1</v>
      </c>
      <c r="I14" s="1">
        <v>0.3</v>
      </c>
      <c r="J14" s="1">
        <v>0.42352941176470588</v>
      </c>
      <c r="K14" s="1">
        <f t="shared" ref="K14:K45" si="0">IFERROR($E2/SUM($D2:$F2),"")</f>
        <v>0.24764019988895059</v>
      </c>
      <c r="L14" s="1">
        <f t="shared" ref="L14:L45" si="1">IFERROR($D2/SUM($D2:$F2),"")</f>
        <v>0.33009439200444196</v>
      </c>
      <c r="M14" s="1">
        <f t="shared" ref="M14:M45" si="2">IFERROR($F2/SUM($D2:$F2),"")</f>
        <v>0.42226540810660745</v>
      </c>
      <c r="O14">
        <v>13</v>
      </c>
      <c r="P14" t="s">
        <v>59</v>
      </c>
      <c r="Q14" t="s">
        <v>37</v>
      </c>
      <c r="R14">
        <v>0</v>
      </c>
      <c r="S14">
        <v>0</v>
      </c>
      <c r="T14">
        <v>3600</v>
      </c>
    </row>
    <row r="15" spans="1:20" x14ac:dyDescent="0.3">
      <c r="A15">
        <v>14</v>
      </c>
      <c r="B15" t="s">
        <v>60</v>
      </c>
      <c r="C15" t="s">
        <v>37</v>
      </c>
      <c r="D15">
        <v>1278</v>
      </c>
      <c r="E15">
        <v>964</v>
      </c>
      <c r="F15">
        <v>1364</v>
      </c>
      <c r="H15" t="str">
        <f t="shared" ref="H15:H46" si="3">IF(B3="","",TEXT(B3,"dd/mm") &amp; "-" &amp; IF(UPPER(TRIM(C3))="CN",1,IF(UPPER(TRIM(C3))="CD",2,"")))</f>
        <v>01/04-2</v>
      </c>
      <c r="I15" s="1">
        <v>0.3</v>
      </c>
      <c r="J15" s="1">
        <v>0.42352941176470588</v>
      </c>
      <c r="K15" s="1">
        <f t="shared" si="0"/>
        <v>0.32556203164029973</v>
      </c>
      <c r="L15" s="1">
        <f t="shared" si="1"/>
        <v>0.33777407715792396</v>
      </c>
      <c r="M15" s="1">
        <f t="shared" si="2"/>
        <v>0.33666389120177631</v>
      </c>
      <c r="O15">
        <v>14</v>
      </c>
      <c r="P15" t="s">
        <v>61</v>
      </c>
      <c r="Q15" t="s">
        <v>34</v>
      </c>
      <c r="R15">
        <v>1640</v>
      </c>
      <c r="S15">
        <v>929</v>
      </c>
      <c r="T15">
        <v>1035</v>
      </c>
    </row>
    <row r="16" spans="1:20" x14ac:dyDescent="0.3">
      <c r="A16">
        <v>15</v>
      </c>
      <c r="B16" t="s">
        <v>62</v>
      </c>
      <c r="C16" t="s">
        <v>34</v>
      </c>
      <c r="D16">
        <v>1151</v>
      </c>
      <c r="E16">
        <v>913</v>
      </c>
      <c r="F16">
        <v>1537</v>
      </c>
      <c r="H16" t="str">
        <f t="shared" si="3"/>
        <v>02/04-1</v>
      </c>
      <c r="I16" s="1">
        <v>0.3</v>
      </c>
      <c r="J16" s="1">
        <v>0.42352941176470588</v>
      </c>
      <c r="K16" s="1">
        <f t="shared" si="0"/>
        <v>0.23938973647711512</v>
      </c>
      <c r="L16" s="1">
        <f t="shared" si="1"/>
        <v>0.39528432732316227</v>
      </c>
      <c r="M16" s="1">
        <f t="shared" si="2"/>
        <v>0.36532593619972259</v>
      </c>
      <c r="O16">
        <v>15</v>
      </c>
      <c r="P16" t="s">
        <v>61</v>
      </c>
      <c r="Q16" t="s">
        <v>37</v>
      </c>
      <c r="R16">
        <v>1002</v>
      </c>
      <c r="S16">
        <v>682</v>
      </c>
      <c r="T16">
        <v>1918</v>
      </c>
    </row>
    <row r="17" spans="1:20" x14ac:dyDescent="0.3">
      <c r="A17">
        <v>16</v>
      </c>
      <c r="B17" t="s">
        <v>62</v>
      </c>
      <c r="C17" t="s">
        <v>37</v>
      </c>
      <c r="D17">
        <v>1165</v>
      </c>
      <c r="E17">
        <v>1083</v>
      </c>
      <c r="F17">
        <v>1353</v>
      </c>
      <c r="H17" t="str">
        <f t="shared" si="3"/>
        <v>02/04-2</v>
      </c>
      <c r="I17" s="1">
        <v>0.3</v>
      </c>
      <c r="J17" s="1">
        <v>0.42352941176470588</v>
      </c>
      <c r="K17" s="1">
        <f t="shared" si="0"/>
        <v>0.29955580233203777</v>
      </c>
      <c r="L17" s="1">
        <f t="shared" si="1"/>
        <v>0.31760133259300388</v>
      </c>
      <c r="M17" s="1">
        <f t="shared" si="2"/>
        <v>0.38284286507495835</v>
      </c>
      <c r="O17">
        <v>16</v>
      </c>
      <c r="P17" t="s">
        <v>63</v>
      </c>
      <c r="Q17" t="s">
        <v>34</v>
      </c>
      <c r="R17">
        <v>1728</v>
      </c>
      <c r="S17">
        <v>843</v>
      </c>
      <c r="T17">
        <v>1033</v>
      </c>
    </row>
    <row r="18" spans="1:20" x14ac:dyDescent="0.3">
      <c r="H18" t="str">
        <f t="shared" si="3"/>
        <v>03/04-1</v>
      </c>
      <c r="I18" s="1">
        <v>0.3</v>
      </c>
      <c r="J18" s="1">
        <v>0.42352941176470588</v>
      </c>
      <c r="K18" s="1">
        <f t="shared" si="0"/>
        <v>0.27810158201498753</v>
      </c>
      <c r="L18" s="1">
        <f t="shared" si="1"/>
        <v>0.30141548709408827</v>
      </c>
      <c r="M18" s="1">
        <f t="shared" si="2"/>
        <v>0.42048293089092426</v>
      </c>
      <c r="O18">
        <v>17</v>
      </c>
      <c r="P18" t="s">
        <v>63</v>
      </c>
      <c r="Q18" t="s">
        <v>37</v>
      </c>
      <c r="R18">
        <v>1108</v>
      </c>
      <c r="S18">
        <v>720</v>
      </c>
      <c r="T18">
        <v>1774</v>
      </c>
    </row>
    <row r="19" spans="1:20" x14ac:dyDescent="0.3">
      <c r="H19" t="str">
        <f t="shared" si="3"/>
        <v>03/04-2</v>
      </c>
      <c r="I19" s="1">
        <v>0.3</v>
      </c>
      <c r="J19" s="1">
        <v>0.42352941176470588</v>
      </c>
      <c r="K19" s="1">
        <f t="shared" si="0"/>
        <v>0.29011660188784011</v>
      </c>
      <c r="L19" s="1">
        <f t="shared" si="1"/>
        <v>0.33231538034425318</v>
      </c>
      <c r="M19" s="1">
        <f t="shared" si="2"/>
        <v>0.37756801776790672</v>
      </c>
      <c r="O19">
        <v>18</v>
      </c>
      <c r="P19" t="s">
        <v>64</v>
      </c>
      <c r="Q19" t="s">
        <v>34</v>
      </c>
      <c r="R19">
        <v>1580</v>
      </c>
      <c r="S19">
        <v>828</v>
      </c>
      <c r="T19">
        <v>1194</v>
      </c>
    </row>
    <row r="20" spans="1:20" x14ac:dyDescent="0.3">
      <c r="H20" t="str">
        <f t="shared" si="3"/>
        <v>04/04-1</v>
      </c>
      <c r="I20" s="1">
        <v>0.3</v>
      </c>
      <c r="J20" s="1">
        <v>0.42352941176470588</v>
      </c>
      <c r="K20" s="1">
        <f t="shared" si="0"/>
        <v>0.17485428809325562</v>
      </c>
      <c r="L20" s="1">
        <f t="shared" si="1"/>
        <v>0.23286150430197058</v>
      </c>
      <c r="M20" s="1">
        <f t="shared" si="2"/>
        <v>0.59228420760477385</v>
      </c>
      <c r="O20">
        <v>19</v>
      </c>
      <c r="P20" t="s">
        <v>64</v>
      </c>
      <c r="Q20" t="s">
        <v>37</v>
      </c>
      <c r="R20">
        <v>14</v>
      </c>
      <c r="S20">
        <v>0</v>
      </c>
      <c r="T20">
        <v>3585</v>
      </c>
    </row>
    <row r="21" spans="1:20" x14ac:dyDescent="0.3">
      <c r="H21" t="str">
        <f t="shared" si="3"/>
        <v>04/04-2</v>
      </c>
      <c r="I21" s="1">
        <v>0.3</v>
      </c>
      <c r="J21" s="1">
        <v>0.42352941176470588</v>
      </c>
      <c r="K21" s="1">
        <f t="shared" si="0"/>
        <v>0.23021382949180783</v>
      </c>
      <c r="L21" s="1">
        <f t="shared" si="1"/>
        <v>0.26881421827270202</v>
      </c>
      <c r="M21" s="1">
        <f t="shared" si="2"/>
        <v>0.50097195223549018</v>
      </c>
      <c r="O21">
        <v>20</v>
      </c>
      <c r="P21" t="s">
        <v>65</v>
      </c>
      <c r="Q21" t="s">
        <v>34</v>
      </c>
      <c r="R21">
        <v>0</v>
      </c>
      <c r="S21">
        <v>0</v>
      </c>
      <c r="T21">
        <v>3600</v>
      </c>
    </row>
    <row r="22" spans="1:20" x14ac:dyDescent="0.3">
      <c r="H22" t="str">
        <f t="shared" si="3"/>
        <v>05/04-1</v>
      </c>
      <c r="I22" s="1">
        <v>0.3</v>
      </c>
      <c r="J22" s="1">
        <v>0.42352941176470588</v>
      </c>
      <c r="K22" s="1">
        <f t="shared" si="0"/>
        <v>0</v>
      </c>
      <c r="L22" s="1">
        <f t="shared" si="1"/>
        <v>0</v>
      </c>
      <c r="M22" s="1">
        <f t="shared" si="2"/>
        <v>1</v>
      </c>
      <c r="O22">
        <v>21</v>
      </c>
      <c r="P22" t="s">
        <v>65</v>
      </c>
      <c r="Q22" t="s">
        <v>37</v>
      </c>
      <c r="R22">
        <v>0</v>
      </c>
      <c r="S22">
        <v>0</v>
      </c>
      <c r="T22">
        <v>3600</v>
      </c>
    </row>
    <row r="23" spans="1:20" x14ac:dyDescent="0.3">
      <c r="H23" t="str">
        <f t="shared" si="3"/>
        <v>05/04-2</v>
      </c>
      <c r="I23" s="1">
        <v>0.3</v>
      </c>
      <c r="J23" s="1">
        <v>0.42352941176470588</v>
      </c>
      <c r="K23" s="1">
        <f t="shared" si="0"/>
        <v>0</v>
      </c>
      <c r="L23" s="1">
        <f t="shared" si="1"/>
        <v>0</v>
      </c>
      <c r="M23" s="1">
        <f t="shared" si="2"/>
        <v>1</v>
      </c>
      <c r="O23">
        <v>22</v>
      </c>
      <c r="P23" t="s">
        <v>66</v>
      </c>
      <c r="Q23" t="s">
        <v>34</v>
      </c>
      <c r="R23">
        <v>938</v>
      </c>
      <c r="S23">
        <v>591</v>
      </c>
      <c r="T23">
        <v>2072</v>
      </c>
    </row>
    <row r="24" spans="1:20" x14ac:dyDescent="0.3">
      <c r="H24" t="str">
        <f t="shared" si="3"/>
        <v>06/04-1</v>
      </c>
      <c r="I24" s="1">
        <v>0.3</v>
      </c>
      <c r="J24" s="1">
        <v>0.42352941176470588</v>
      </c>
      <c r="K24" s="1">
        <f t="shared" si="0"/>
        <v>0.28730202834120588</v>
      </c>
      <c r="L24" s="1">
        <f t="shared" si="1"/>
        <v>0.31758821894970823</v>
      </c>
      <c r="M24" s="1">
        <f t="shared" si="2"/>
        <v>0.39510975270908588</v>
      </c>
      <c r="O24">
        <v>23</v>
      </c>
      <c r="P24" t="s">
        <v>66</v>
      </c>
      <c r="Q24" t="s">
        <v>37</v>
      </c>
      <c r="R24">
        <v>1739</v>
      </c>
      <c r="S24">
        <v>1100</v>
      </c>
      <c r="T24">
        <v>768</v>
      </c>
    </row>
    <row r="25" spans="1:20" x14ac:dyDescent="0.3">
      <c r="H25" t="str">
        <f t="shared" si="3"/>
        <v>06/04-2</v>
      </c>
      <c r="I25" s="1">
        <v>0.3</v>
      </c>
      <c r="J25" s="1">
        <v>0.42352941176470588</v>
      </c>
      <c r="K25" s="1">
        <f t="shared" si="0"/>
        <v>0.32259855635757911</v>
      </c>
      <c r="L25" s="1">
        <f t="shared" si="1"/>
        <v>0.29400333148250973</v>
      </c>
      <c r="M25" s="1">
        <f t="shared" si="2"/>
        <v>0.38339811215991115</v>
      </c>
      <c r="O25">
        <v>24</v>
      </c>
      <c r="P25" t="s">
        <v>67</v>
      </c>
      <c r="Q25" t="s">
        <v>34</v>
      </c>
      <c r="R25">
        <v>856</v>
      </c>
      <c r="S25">
        <v>691</v>
      </c>
      <c r="T25">
        <v>2053</v>
      </c>
    </row>
    <row r="26" spans="1:20" x14ac:dyDescent="0.3">
      <c r="H26" t="str">
        <f t="shared" si="3"/>
        <v>07/04-1</v>
      </c>
      <c r="I26" s="1">
        <v>0.3</v>
      </c>
      <c r="J26" s="1">
        <v>0.42352941176470588</v>
      </c>
      <c r="K26" s="1">
        <f t="shared" si="0"/>
        <v>0.26777777777777778</v>
      </c>
      <c r="L26" s="1">
        <f t="shared" si="1"/>
        <v>0.30444444444444446</v>
      </c>
      <c r="M26" s="1">
        <f t="shared" si="2"/>
        <v>0.42777777777777776</v>
      </c>
      <c r="O26">
        <v>25</v>
      </c>
      <c r="P26" t="s">
        <v>67</v>
      </c>
      <c r="Q26" t="s">
        <v>37</v>
      </c>
      <c r="R26">
        <v>1709</v>
      </c>
      <c r="S26">
        <v>1113</v>
      </c>
      <c r="T26">
        <v>782</v>
      </c>
    </row>
    <row r="27" spans="1:20" x14ac:dyDescent="0.3">
      <c r="H27" t="str">
        <f t="shared" si="3"/>
        <v>07/04-2</v>
      </c>
      <c r="I27" s="1">
        <v>0.3</v>
      </c>
      <c r="J27" s="1">
        <v>0.42352941176470588</v>
      </c>
      <c r="K27" s="1">
        <f t="shared" si="0"/>
        <v>0.26733222407099277</v>
      </c>
      <c r="L27" s="1">
        <f t="shared" si="1"/>
        <v>0.35440931780366058</v>
      </c>
      <c r="M27" s="1">
        <f t="shared" si="2"/>
        <v>0.37825845812534664</v>
      </c>
      <c r="O27">
        <v>26</v>
      </c>
      <c r="P27" t="s">
        <v>68</v>
      </c>
      <c r="Q27" t="s">
        <v>34</v>
      </c>
      <c r="R27">
        <v>940</v>
      </c>
      <c r="S27">
        <v>608</v>
      </c>
      <c r="T27">
        <v>2050</v>
      </c>
    </row>
    <row r="28" spans="1:20" x14ac:dyDescent="0.3">
      <c r="H28" t="str">
        <f t="shared" si="3"/>
        <v>08/04-1</v>
      </c>
      <c r="I28" s="1">
        <v>0.3</v>
      </c>
      <c r="J28" s="1">
        <v>0.42352941176470588</v>
      </c>
      <c r="K28" s="1">
        <f t="shared" si="0"/>
        <v>0.25354068314357125</v>
      </c>
      <c r="L28" s="1">
        <f t="shared" si="1"/>
        <v>0.31963343515690085</v>
      </c>
      <c r="M28" s="1">
        <f t="shared" si="2"/>
        <v>0.4268258816995279</v>
      </c>
      <c r="O28">
        <v>27</v>
      </c>
      <c r="P28" t="s">
        <v>68</v>
      </c>
      <c r="Q28" t="s">
        <v>37</v>
      </c>
      <c r="R28">
        <v>1547</v>
      </c>
      <c r="S28">
        <v>1266</v>
      </c>
      <c r="T28">
        <v>789</v>
      </c>
    </row>
    <row r="29" spans="1:20" x14ac:dyDescent="0.3">
      <c r="H29" t="str">
        <f t="shared" si="3"/>
        <v>08/04-2</v>
      </c>
      <c r="I29" s="1">
        <v>0.3</v>
      </c>
      <c r="J29" s="1">
        <v>0.42352941176470588</v>
      </c>
      <c r="K29" s="1">
        <f t="shared" si="0"/>
        <v>0.30074979172452099</v>
      </c>
      <c r="L29" s="1">
        <f t="shared" si="1"/>
        <v>0.3235212440988614</v>
      </c>
      <c r="M29" s="1">
        <f t="shared" si="2"/>
        <v>0.37572896417661761</v>
      </c>
      <c r="O29">
        <v>28</v>
      </c>
      <c r="P29" t="s">
        <v>69</v>
      </c>
      <c r="Q29" t="s">
        <v>34</v>
      </c>
      <c r="R29">
        <v>1415</v>
      </c>
      <c r="S29">
        <v>615</v>
      </c>
      <c r="T29">
        <v>1571</v>
      </c>
    </row>
    <row r="30" spans="1:20" x14ac:dyDescent="0.3">
      <c r="H30" t="str">
        <f t="shared" si="3"/>
        <v/>
      </c>
      <c r="I30" s="1"/>
      <c r="J30" s="1"/>
      <c r="K30" s="1" t="str">
        <f t="shared" si="0"/>
        <v/>
      </c>
      <c r="L30" s="1" t="str">
        <f t="shared" si="1"/>
        <v/>
      </c>
      <c r="M30" s="1" t="str">
        <f t="shared" si="2"/>
        <v/>
      </c>
      <c r="O30">
        <v>29</v>
      </c>
      <c r="P30" t="s">
        <v>69</v>
      </c>
      <c r="Q30" t="s">
        <v>37</v>
      </c>
      <c r="R30">
        <v>1755</v>
      </c>
      <c r="S30">
        <v>1053</v>
      </c>
      <c r="T30">
        <v>797</v>
      </c>
    </row>
    <row r="31" spans="1:20" x14ac:dyDescent="0.3">
      <c r="H31" t="str">
        <f t="shared" si="3"/>
        <v/>
      </c>
      <c r="I31" s="1"/>
      <c r="J31" s="1"/>
      <c r="K31" s="1" t="str">
        <f t="shared" si="0"/>
        <v/>
      </c>
      <c r="L31" s="1" t="str">
        <f t="shared" si="1"/>
        <v/>
      </c>
      <c r="M31" s="1" t="str">
        <f t="shared" si="2"/>
        <v/>
      </c>
      <c r="O31">
        <v>30</v>
      </c>
      <c r="P31" t="s">
        <v>70</v>
      </c>
      <c r="Q31" t="s">
        <v>34</v>
      </c>
      <c r="R31">
        <v>1490</v>
      </c>
      <c r="S31">
        <v>568</v>
      </c>
      <c r="T31">
        <v>1542</v>
      </c>
    </row>
    <row r="32" spans="1:20" x14ac:dyDescent="0.3">
      <c r="H32" t="str">
        <f t="shared" si="3"/>
        <v/>
      </c>
      <c r="I32" s="1"/>
      <c r="J32" s="1"/>
      <c r="K32" s="1" t="str">
        <f t="shared" si="0"/>
        <v/>
      </c>
      <c r="L32" s="1" t="str">
        <f t="shared" si="1"/>
        <v/>
      </c>
      <c r="M32" s="1" t="str">
        <f t="shared" si="2"/>
        <v/>
      </c>
      <c r="O32">
        <v>31</v>
      </c>
      <c r="P32" t="s">
        <v>70</v>
      </c>
      <c r="Q32" t="s">
        <v>37</v>
      </c>
      <c r="R32">
        <v>1754</v>
      </c>
      <c r="S32">
        <v>999</v>
      </c>
      <c r="T32">
        <v>851</v>
      </c>
    </row>
    <row r="33" spans="8:20" x14ac:dyDescent="0.3">
      <c r="H33" t="str">
        <f t="shared" si="3"/>
        <v/>
      </c>
      <c r="I33" s="1"/>
      <c r="J33" s="1"/>
      <c r="K33" s="1" t="str">
        <f t="shared" si="0"/>
        <v/>
      </c>
      <c r="L33" s="1" t="str">
        <f t="shared" si="1"/>
        <v/>
      </c>
      <c r="M33" s="1" t="str">
        <f t="shared" si="2"/>
        <v/>
      </c>
      <c r="O33">
        <v>32</v>
      </c>
      <c r="P33" t="s">
        <v>71</v>
      </c>
      <c r="Q33" t="s">
        <v>34</v>
      </c>
      <c r="R33">
        <v>1201</v>
      </c>
      <c r="S33">
        <v>556</v>
      </c>
      <c r="T33">
        <v>1845</v>
      </c>
    </row>
    <row r="34" spans="8:20" x14ac:dyDescent="0.3">
      <c r="H34" t="str">
        <f t="shared" si="3"/>
        <v/>
      </c>
      <c r="I34" s="1"/>
      <c r="J34" s="1"/>
      <c r="K34" s="1" t="str">
        <f t="shared" si="0"/>
        <v/>
      </c>
      <c r="L34" s="1" t="str">
        <f t="shared" si="1"/>
        <v/>
      </c>
      <c r="M34" s="1" t="str">
        <f t="shared" si="2"/>
        <v/>
      </c>
      <c r="O34">
        <v>33</v>
      </c>
      <c r="P34" t="s">
        <v>71</v>
      </c>
      <c r="Q34" t="s">
        <v>37</v>
      </c>
      <c r="R34">
        <v>1116</v>
      </c>
      <c r="S34">
        <v>780</v>
      </c>
      <c r="T34">
        <v>1709</v>
      </c>
    </row>
    <row r="35" spans="8:20" x14ac:dyDescent="0.3">
      <c r="H35" t="str">
        <f t="shared" si="3"/>
        <v/>
      </c>
      <c r="I35" s="1"/>
      <c r="J35" s="1"/>
      <c r="K35" s="1" t="str">
        <f t="shared" si="0"/>
        <v/>
      </c>
      <c r="L35" s="1" t="str">
        <f t="shared" si="1"/>
        <v/>
      </c>
      <c r="M35" s="1" t="str">
        <f t="shared" si="2"/>
        <v/>
      </c>
      <c r="O35">
        <v>34</v>
      </c>
      <c r="P35" t="s">
        <v>72</v>
      </c>
      <c r="Q35" t="s">
        <v>34</v>
      </c>
      <c r="R35">
        <v>0</v>
      </c>
      <c r="S35">
        <v>0</v>
      </c>
      <c r="T35">
        <v>3600</v>
      </c>
    </row>
    <row r="36" spans="8:20" x14ac:dyDescent="0.3">
      <c r="H36" t="str">
        <f t="shared" si="3"/>
        <v/>
      </c>
      <c r="I36" s="1"/>
      <c r="J36" s="1"/>
      <c r="K36" s="1" t="str">
        <f t="shared" si="0"/>
        <v/>
      </c>
      <c r="L36" s="1" t="str">
        <f t="shared" si="1"/>
        <v/>
      </c>
      <c r="M36" s="1" t="str">
        <f t="shared" si="2"/>
        <v/>
      </c>
      <c r="O36">
        <v>35</v>
      </c>
      <c r="P36" t="s">
        <v>72</v>
      </c>
      <c r="Q36" t="s">
        <v>37</v>
      </c>
      <c r="R36">
        <v>0</v>
      </c>
      <c r="S36">
        <v>0</v>
      </c>
      <c r="T36">
        <v>3600</v>
      </c>
    </row>
    <row r="37" spans="8:20" x14ac:dyDescent="0.3">
      <c r="H37" t="str">
        <f t="shared" si="3"/>
        <v/>
      </c>
      <c r="I37" s="1"/>
      <c r="J37" s="1"/>
      <c r="K37" s="1" t="str">
        <f t="shared" si="0"/>
        <v/>
      </c>
      <c r="L37" s="1" t="str">
        <f t="shared" si="1"/>
        <v/>
      </c>
      <c r="M37" s="1" t="str">
        <f t="shared" si="2"/>
        <v/>
      </c>
      <c r="O37">
        <v>36</v>
      </c>
      <c r="P37" t="s">
        <v>73</v>
      </c>
      <c r="Q37" t="s">
        <v>34</v>
      </c>
      <c r="R37">
        <v>1791</v>
      </c>
      <c r="S37">
        <v>774</v>
      </c>
      <c r="T37">
        <v>1038</v>
      </c>
    </row>
    <row r="38" spans="8:20" x14ac:dyDescent="0.3">
      <c r="H38" t="str">
        <f t="shared" si="3"/>
        <v/>
      </c>
      <c r="I38" s="1"/>
      <c r="J38" s="1"/>
      <c r="K38" s="1" t="str">
        <f t="shared" si="0"/>
        <v/>
      </c>
      <c r="L38" s="1" t="str">
        <f t="shared" si="1"/>
        <v/>
      </c>
      <c r="M38" s="1" t="str">
        <f t="shared" si="2"/>
        <v/>
      </c>
      <c r="O38">
        <v>37</v>
      </c>
      <c r="P38" t="s">
        <v>73</v>
      </c>
      <c r="Q38" t="s">
        <v>37</v>
      </c>
      <c r="R38">
        <v>1954</v>
      </c>
      <c r="S38">
        <v>866</v>
      </c>
      <c r="T38">
        <v>783</v>
      </c>
    </row>
    <row r="39" spans="8:20" x14ac:dyDescent="0.3">
      <c r="H39" t="str">
        <f t="shared" si="3"/>
        <v/>
      </c>
      <c r="I39" s="1"/>
      <c r="J39" s="1"/>
      <c r="K39" s="1" t="str">
        <f t="shared" si="0"/>
        <v/>
      </c>
      <c r="L39" s="1" t="str">
        <f t="shared" si="1"/>
        <v/>
      </c>
      <c r="M39" s="1" t="str">
        <f t="shared" si="2"/>
        <v/>
      </c>
      <c r="O39">
        <v>38</v>
      </c>
      <c r="P39" t="s">
        <v>74</v>
      </c>
      <c r="Q39" t="s">
        <v>34</v>
      </c>
      <c r="R39">
        <v>1364</v>
      </c>
      <c r="S39">
        <v>698</v>
      </c>
      <c r="T39">
        <v>1542</v>
      </c>
    </row>
    <row r="40" spans="8:20" x14ac:dyDescent="0.3">
      <c r="H40" t="str">
        <f t="shared" si="3"/>
        <v/>
      </c>
      <c r="I40" s="1"/>
      <c r="J40" s="1"/>
      <c r="K40" s="1" t="str">
        <f t="shared" si="0"/>
        <v/>
      </c>
      <c r="L40" s="1" t="str">
        <f t="shared" si="1"/>
        <v/>
      </c>
      <c r="M40" s="1" t="str">
        <f t="shared" si="2"/>
        <v/>
      </c>
      <c r="O40">
        <v>39</v>
      </c>
      <c r="P40" t="s">
        <v>74</v>
      </c>
      <c r="Q40" t="s">
        <v>37</v>
      </c>
      <c r="R40">
        <v>1147</v>
      </c>
      <c r="S40">
        <v>849</v>
      </c>
      <c r="T40">
        <v>1604</v>
      </c>
    </row>
    <row r="41" spans="8:20" x14ac:dyDescent="0.3">
      <c r="H41" t="str">
        <f t="shared" si="3"/>
        <v/>
      </c>
      <c r="I41" s="1"/>
      <c r="J41" s="1"/>
      <c r="K41" s="1" t="str">
        <f t="shared" si="0"/>
        <v/>
      </c>
      <c r="L41" s="1" t="str">
        <f t="shared" si="1"/>
        <v/>
      </c>
      <c r="M41" s="1" t="str">
        <f t="shared" si="2"/>
        <v/>
      </c>
      <c r="O41">
        <v>40</v>
      </c>
      <c r="P41" t="s">
        <v>75</v>
      </c>
      <c r="Q41" t="s">
        <v>34</v>
      </c>
      <c r="R41">
        <v>1390</v>
      </c>
      <c r="S41">
        <v>786</v>
      </c>
      <c r="T41">
        <v>1425</v>
      </c>
    </row>
    <row r="42" spans="8:20" x14ac:dyDescent="0.3">
      <c r="H42" t="str">
        <f t="shared" si="3"/>
        <v/>
      </c>
      <c r="I42" s="1"/>
      <c r="J42" s="1"/>
      <c r="K42" s="1" t="str">
        <f t="shared" si="0"/>
        <v/>
      </c>
      <c r="L42" s="1" t="str">
        <f t="shared" si="1"/>
        <v/>
      </c>
      <c r="M42" s="1" t="str">
        <f t="shared" si="2"/>
        <v/>
      </c>
      <c r="O42">
        <v>41</v>
      </c>
      <c r="P42" t="s">
        <v>75</v>
      </c>
      <c r="Q42" t="s">
        <v>37</v>
      </c>
      <c r="R42">
        <v>1466</v>
      </c>
      <c r="S42">
        <v>1069</v>
      </c>
      <c r="T42">
        <v>1065</v>
      </c>
    </row>
    <row r="43" spans="8:20" x14ac:dyDescent="0.3">
      <c r="H43" t="str">
        <f t="shared" si="3"/>
        <v/>
      </c>
      <c r="I43" s="1"/>
      <c r="J43" s="1"/>
      <c r="K43" s="1" t="str">
        <f t="shared" si="0"/>
        <v/>
      </c>
      <c r="L43" s="1" t="str">
        <f t="shared" si="1"/>
        <v/>
      </c>
      <c r="M43" s="1" t="str">
        <f t="shared" si="2"/>
        <v/>
      </c>
      <c r="O43">
        <v>42</v>
      </c>
      <c r="P43" t="s">
        <v>76</v>
      </c>
      <c r="Q43" t="s">
        <v>34</v>
      </c>
      <c r="R43">
        <v>1220</v>
      </c>
      <c r="S43">
        <v>963</v>
      </c>
      <c r="T43">
        <v>1421</v>
      </c>
    </row>
    <row r="44" spans="8:20" x14ac:dyDescent="0.3">
      <c r="H44" t="str">
        <f t="shared" si="3"/>
        <v/>
      </c>
      <c r="I44" s="1"/>
      <c r="J44" s="1"/>
      <c r="K44" s="1" t="str">
        <f t="shared" si="0"/>
        <v/>
      </c>
      <c r="L44" s="1" t="str">
        <f t="shared" si="1"/>
        <v/>
      </c>
      <c r="M44" s="1" t="str">
        <f t="shared" si="2"/>
        <v/>
      </c>
      <c r="O44">
        <v>43</v>
      </c>
      <c r="P44" t="s">
        <v>76</v>
      </c>
      <c r="Q44" t="s">
        <v>37</v>
      </c>
      <c r="R44">
        <v>1784</v>
      </c>
      <c r="S44">
        <v>1010</v>
      </c>
      <c r="T44">
        <v>806</v>
      </c>
    </row>
    <row r="45" spans="8:20" x14ac:dyDescent="0.3">
      <c r="H45" t="str">
        <f t="shared" si="3"/>
        <v/>
      </c>
      <c r="I45" s="1"/>
      <c r="J45" s="1"/>
      <c r="K45" s="1" t="str">
        <f t="shared" si="0"/>
        <v/>
      </c>
      <c r="L45" s="1" t="str">
        <f t="shared" si="1"/>
        <v/>
      </c>
      <c r="M45" s="1" t="str">
        <f t="shared" si="2"/>
        <v/>
      </c>
      <c r="O45">
        <v>44</v>
      </c>
      <c r="P45" t="s">
        <v>77</v>
      </c>
      <c r="Q45" t="s">
        <v>34</v>
      </c>
      <c r="R45">
        <v>1169</v>
      </c>
      <c r="S45">
        <v>892</v>
      </c>
      <c r="T45">
        <v>1543</v>
      </c>
    </row>
    <row r="46" spans="8:20" x14ac:dyDescent="0.3">
      <c r="H46" t="str">
        <f t="shared" si="3"/>
        <v/>
      </c>
      <c r="I46" s="1"/>
      <c r="J46" s="1"/>
      <c r="K46" s="1" t="str">
        <f t="shared" ref="K46:K77" si="4">IFERROR($E34/SUM($D34:$F34),"")</f>
        <v/>
      </c>
      <c r="L46" s="1" t="str">
        <f t="shared" ref="L46:L77" si="5">IFERROR($D34/SUM($D34:$F34),"")</f>
        <v/>
      </c>
      <c r="M46" s="1" t="str">
        <f t="shared" ref="M46:M77" si="6">IFERROR($F34/SUM($D34:$F34),"")</f>
        <v/>
      </c>
      <c r="O46">
        <v>45</v>
      </c>
      <c r="P46" t="s">
        <v>77</v>
      </c>
      <c r="Q46" t="s">
        <v>37</v>
      </c>
      <c r="R46">
        <v>1336</v>
      </c>
      <c r="S46">
        <v>907</v>
      </c>
      <c r="T46">
        <v>1361</v>
      </c>
    </row>
    <row r="47" spans="8:20" x14ac:dyDescent="0.3">
      <c r="H47" t="str">
        <f t="shared" ref="H47:H78" si="7">IF(B35="","",TEXT(B35,"dd/mm") &amp; "-" &amp; IF(UPPER(TRIM(C35))="CN",1,IF(UPPER(TRIM(C35))="CD",2,"")))</f>
        <v/>
      </c>
      <c r="I47" s="1"/>
      <c r="J47" s="1"/>
      <c r="K47" s="1" t="str">
        <f t="shared" si="4"/>
        <v/>
      </c>
      <c r="L47" s="1" t="str">
        <f t="shared" si="5"/>
        <v/>
      </c>
      <c r="M47" s="1" t="str">
        <f t="shared" si="6"/>
        <v/>
      </c>
      <c r="O47">
        <v>46</v>
      </c>
      <c r="P47" t="s">
        <v>78</v>
      </c>
      <c r="Q47" t="s">
        <v>34</v>
      </c>
      <c r="R47">
        <v>1269</v>
      </c>
      <c r="S47">
        <v>1161</v>
      </c>
      <c r="T47">
        <v>1170</v>
      </c>
    </row>
    <row r="48" spans="8:20" x14ac:dyDescent="0.3">
      <c r="H48" t="str">
        <f t="shared" si="7"/>
        <v/>
      </c>
      <c r="I48" s="1"/>
      <c r="J48" s="1"/>
      <c r="K48" s="1" t="str">
        <f t="shared" si="4"/>
        <v/>
      </c>
      <c r="L48" s="1" t="str">
        <f t="shared" si="5"/>
        <v/>
      </c>
      <c r="M48" s="1" t="str">
        <f t="shared" si="6"/>
        <v/>
      </c>
      <c r="O48">
        <v>47</v>
      </c>
      <c r="P48" t="s">
        <v>78</v>
      </c>
      <c r="Q48" t="s">
        <v>37</v>
      </c>
      <c r="R48">
        <v>1021</v>
      </c>
      <c r="S48">
        <v>847</v>
      </c>
      <c r="T48">
        <v>1730</v>
      </c>
    </row>
    <row r="49" spans="8:20" x14ac:dyDescent="0.3">
      <c r="H49" t="str">
        <f t="shared" si="7"/>
        <v/>
      </c>
      <c r="I49" s="1"/>
      <c r="J49" s="1"/>
      <c r="K49" s="1" t="str">
        <f t="shared" si="4"/>
        <v/>
      </c>
      <c r="L49" s="1" t="str">
        <f t="shared" si="5"/>
        <v/>
      </c>
      <c r="M49" s="1" t="str">
        <f t="shared" si="6"/>
        <v/>
      </c>
      <c r="O49">
        <v>48</v>
      </c>
      <c r="P49" t="s">
        <v>79</v>
      </c>
      <c r="Q49" t="s">
        <v>34</v>
      </c>
      <c r="R49">
        <v>469</v>
      </c>
      <c r="S49">
        <v>493</v>
      </c>
      <c r="T49">
        <v>2640</v>
      </c>
    </row>
    <row r="50" spans="8:20" x14ac:dyDescent="0.3">
      <c r="H50" t="str">
        <f t="shared" si="7"/>
        <v/>
      </c>
      <c r="I50" s="1"/>
      <c r="J50" s="1"/>
      <c r="K50" s="1" t="str">
        <f t="shared" si="4"/>
        <v/>
      </c>
      <c r="L50" s="1" t="str">
        <f t="shared" si="5"/>
        <v/>
      </c>
      <c r="M50" s="1" t="str">
        <f t="shared" si="6"/>
        <v/>
      </c>
      <c r="O50">
        <v>49</v>
      </c>
      <c r="P50" t="s">
        <v>79</v>
      </c>
      <c r="Q50" t="s">
        <v>37</v>
      </c>
      <c r="R50">
        <v>0</v>
      </c>
      <c r="S50">
        <v>0</v>
      </c>
      <c r="T50">
        <v>3600</v>
      </c>
    </row>
    <row r="51" spans="8:20" x14ac:dyDescent="0.3">
      <c r="H51" t="str">
        <f t="shared" si="7"/>
        <v/>
      </c>
      <c r="I51" s="1"/>
      <c r="J51" s="1"/>
      <c r="K51" s="1" t="str">
        <f t="shared" si="4"/>
        <v/>
      </c>
      <c r="L51" s="1" t="str">
        <f t="shared" si="5"/>
        <v/>
      </c>
      <c r="M51" s="1" t="str">
        <f t="shared" si="6"/>
        <v/>
      </c>
      <c r="O51">
        <v>50</v>
      </c>
      <c r="P51" t="s">
        <v>80</v>
      </c>
      <c r="Q51" t="s">
        <v>34</v>
      </c>
      <c r="R51">
        <v>1357</v>
      </c>
      <c r="S51">
        <v>1208</v>
      </c>
      <c r="T51">
        <v>1034</v>
      </c>
    </row>
    <row r="52" spans="8:20" x14ac:dyDescent="0.3">
      <c r="H52" t="str">
        <f t="shared" si="7"/>
        <v/>
      </c>
      <c r="I52" s="1"/>
      <c r="J52" s="1"/>
      <c r="K52" s="1" t="str">
        <f t="shared" si="4"/>
        <v/>
      </c>
      <c r="L52" s="1" t="str">
        <f t="shared" si="5"/>
        <v/>
      </c>
      <c r="M52" s="1" t="str">
        <f t="shared" si="6"/>
        <v/>
      </c>
      <c r="O52">
        <v>51</v>
      </c>
      <c r="P52" t="s">
        <v>80</v>
      </c>
      <c r="Q52" t="s">
        <v>37</v>
      </c>
      <c r="R52">
        <v>1808</v>
      </c>
      <c r="S52">
        <v>1031</v>
      </c>
      <c r="T52">
        <v>762</v>
      </c>
    </row>
    <row r="53" spans="8:20" x14ac:dyDescent="0.3">
      <c r="H53" t="str">
        <f t="shared" si="7"/>
        <v/>
      </c>
      <c r="I53" s="1"/>
      <c r="J53" s="1"/>
      <c r="K53" s="1" t="str">
        <f t="shared" si="4"/>
        <v/>
      </c>
      <c r="L53" s="1" t="str">
        <f t="shared" si="5"/>
        <v/>
      </c>
      <c r="M53" s="1" t="str">
        <f t="shared" si="6"/>
        <v/>
      </c>
      <c r="O53">
        <v>52</v>
      </c>
      <c r="P53" t="s">
        <v>81</v>
      </c>
      <c r="Q53" t="s">
        <v>34</v>
      </c>
      <c r="R53">
        <v>1358</v>
      </c>
      <c r="S53">
        <v>1211</v>
      </c>
      <c r="T53">
        <v>1031</v>
      </c>
    </row>
    <row r="54" spans="8:20" x14ac:dyDescent="0.3">
      <c r="H54" t="str">
        <f t="shared" si="7"/>
        <v/>
      </c>
      <c r="I54" s="1"/>
      <c r="J54" s="1"/>
      <c r="K54" s="1" t="str">
        <f t="shared" si="4"/>
        <v/>
      </c>
      <c r="L54" s="1" t="str">
        <f t="shared" si="5"/>
        <v/>
      </c>
      <c r="M54" s="1" t="str">
        <f t="shared" si="6"/>
        <v/>
      </c>
      <c r="O54">
        <v>53</v>
      </c>
      <c r="P54" t="s">
        <v>81</v>
      </c>
      <c r="Q54" t="s">
        <v>37</v>
      </c>
      <c r="R54">
        <v>1219</v>
      </c>
      <c r="S54">
        <v>1156</v>
      </c>
      <c r="T54">
        <v>1229</v>
      </c>
    </row>
    <row r="55" spans="8:20" x14ac:dyDescent="0.3">
      <c r="H55" t="str">
        <f t="shared" si="7"/>
        <v/>
      </c>
      <c r="I55" s="1"/>
      <c r="J55" s="1"/>
      <c r="K55" s="1" t="str">
        <f t="shared" si="4"/>
        <v/>
      </c>
      <c r="L55" s="1" t="str">
        <f t="shared" si="5"/>
        <v/>
      </c>
      <c r="M55" s="1" t="str">
        <f t="shared" si="6"/>
        <v/>
      </c>
      <c r="O55">
        <v>54</v>
      </c>
      <c r="P55" t="s">
        <v>82</v>
      </c>
      <c r="Q55" t="s">
        <v>34</v>
      </c>
      <c r="R55">
        <v>1103</v>
      </c>
      <c r="S55">
        <v>951</v>
      </c>
      <c r="T55">
        <v>1549</v>
      </c>
    </row>
    <row r="56" spans="8:20" x14ac:dyDescent="0.3">
      <c r="H56" t="str">
        <f t="shared" si="7"/>
        <v/>
      </c>
      <c r="I56" s="1"/>
      <c r="J56" s="1"/>
      <c r="K56" s="1" t="str">
        <f t="shared" si="4"/>
        <v/>
      </c>
      <c r="L56" s="1" t="str">
        <f t="shared" si="5"/>
        <v/>
      </c>
      <c r="M56" s="1" t="str">
        <f t="shared" si="6"/>
        <v/>
      </c>
      <c r="O56">
        <v>55</v>
      </c>
      <c r="P56" t="s">
        <v>82</v>
      </c>
      <c r="Q56" t="s">
        <v>37</v>
      </c>
      <c r="R56">
        <v>1245</v>
      </c>
      <c r="S56">
        <v>1027</v>
      </c>
      <c r="T56">
        <v>1334</v>
      </c>
    </row>
    <row r="57" spans="8:20" x14ac:dyDescent="0.3">
      <c r="H57" t="str">
        <f t="shared" si="7"/>
        <v/>
      </c>
      <c r="I57" s="1"/>
      <c r="J57" s="1"/>
      <c r="K57" s="1" t="str">
        <f t="shared" si="4"/>
        <v/>
      </c>
      <c r="L57" s="1" t="str">
        <f t="shared" si="5"/>
        <v/>
      </c>
      <c r="M57" s="1" t="str">
        <f t="shared" si="6"/>
        <v/>
      </c>
      <c r="O57">
        <v>56</v>
      </c>
      <c r="P57" t="s">
        <v>83</v>
      </c>
      <c r="Q57" t="s">
        <v>34</v>
      </c>
      <c r="R57">
        <v>1325</v>
      </c>
      <c r="S57">
        <v>789</v>
      </c>
      <c r="T57">
        <v>1483</v>
      </c>
    </row>
    <row r="58" spans="8:20" x14ac:dyDescent="0.3">
      <c r="H58" t="str">
        <f t="shared" si="7"/>
        <v/>
      </c>
      <c r="I58" s="1"/>
      <c r="J58" s="1"/>
      <c r="K58" s="1" t="str">
        <f t="shared" si="4"/>
        <v/>
      </c>
      <c r="L58" s="1" t="str">
        <f t="shared" si="5"/>
        <v/>
      </c>
      <c r="M58" s="1" t="str">
        <f t="shared" si="6"/>
        <v/>
      </c>
      <c r="O58">
        <v>57</v>
      </c>
      <c r="P58" t="s">
        <v>83</v>
      </c>
      <c r="Q58" t="s">
        <v>37</v>
      </c>
      <c r="R58">
        <v>1791</v>
      </c>
      <c r="S58">
        <v>1037</v>
      </c>
      <c r="T58">
        <v>776</v>
      </c>
    </row>
    <row r="59" spans="8:20" x14ac:dyDescent="0.3">
      <c r="H59" t="str">
        <f t="shared" si="7"/>
        <v/>
      </c>
      <c r="I59" s="1"/>
      <c r="J59" s="1"/>
      <c r="K59" s="1" t="str">
        <f t="shared" si="4"/>
        <v/>
      </c>
      <c r="L59" s="1" t="str">
        <f t="shared" si="5"/>
        <v/>
      </c>
      <c r="M59" s="1" t="str">
        <f t="shared" si="6"/>
        <v/>
      </c>
      <c r="O59">
        <v>58</v>
      </c>
      <c r="P59" t="s">
        <v>84</v>
      </c>
      <c r="Q59" t="s">
        <v>34</v>
      </c>
      <c r="R59">
        <v>1328</v>
      </c>
      <c r="S59">
        <v>729</v>
      </c>
      <c r="T59">
        <v>1544</v>
      </c>
    </row>
    <row r="60" spans="8:20" x14ac:dyDescent="0.3">
      <c r="H60" t="str">
        <f t="shared" si="7"/>
        <v/>
      </c>
      <c r="I60" s="1"/>
      <c r="J60" s="1"/>
      <c r="K60" s="1" t="str">
        <f t="shared" si="4"/>
        <v/>
      </c>
      <c r="L60" s="1" t="str">
        <f t="shared" si="5"/>
        <v/>
      </c>
      <c r="M60" s="1" t="str">
        <f t="shared" si="6"/>
        <v/>
      </c>
      <c r="O60">
        <v>59</v>
      </c>
      <c r="P60" t="s">
        <v>84</v>
      </c>
      <c r="Q60" t="s">
        <v>37</v>
      </c>
      <c r="R60">
        <v>1238</v>
      </c>
      <c r="S60">
        <v>1125</v>
      </c>
      <c r="T60">
        <v>1238</v>
      </c>
    </row>
    <row r="61" spans="8:20" x14ac:dyDescent="0.3">
      <c r="H61" t="str">
        <f t="shared" si="7"/>
        <v/>
      </c>
      <c r="I61" s="1"/>
      <c r="J61" s="1"/>
      <c r="K61" s="1" t="str">
        <f t="shared" si="4"/>
        <v/>
      </c>
      <c r="L61" s="1" t="str">
        <f t="shared" si="5"/>
        <v/>
      </c>
      <c r="M61" s="1" t="str">
        <f t="shared" si="6"/>
        <v/>
      </c>
      <c r="O61">
        <v>60</v>
      </c>
      <c r="P61" t="s">
        <v>85</v>
      </c>
      <c r="Q61" t="s">
        <v>34</v>
      </c>
      <c r="R61">
        <v>1360</v>
      </c>
      <c r="S61">
        <v>1051</v>
      </c>
      <c r="T61">
        <v>1190</v>
      </c>
    </row>
    <row r="62" spans="8:20" x14ac:dyDescent="0.3">
      <c r="H62" t="str">
        <f t="shared" si="7"/>
        <v/>
      </c>
      <c r="I62" s="1"/>
      <c r="J62" s="1"/>
      <c r="K62" s="1" t="str">
        <f t="shared" si="4"/>
        <v/>
      </c>
      <c r="L62" s="1" t="str">
        <f t="shared" si="5"/>
        <v/>
      </c>
      <c r="M62" s="1" t="str">
        <f t="shared" si="6"/>
        <v/>
      </c>
      <c r="O62">
        <v>61</v>
      </c>
      <c r="P62" t="s">
        <v>85</v>
      </c>
      <c r="Q62" t="s">
        <v>37</v>
      </c>
      <c r="R62">
        <v>875</v>
      </c>
      <c r="S62">
        <v>1026</v>
      </c>
      <c r="T62">
        <v>1700</v>
      </c>
    </row>
    <row r="63" spans="8:20" x14ac:dyDescent="0.3">
      <c r="H63" t="str">
        <f t="shared" si="7"/>
        <v/>
      </c>
      <c r="I63" s="1"/>
      <c r="J63" s="1"/>
      <c r="K63" s="1" t="str">
        <f t="shared" si="4"/>
        <v/>
      </c>
      <c r="L63" s="1" t="str">
        <f t="shared" si="5"/>
        <v/>
      </c>
      <c r="M63" s="1" t="str">
        <f t="shared" si="6"/>
        <v/>
      </c>
      <c r="O63">
        <v>62</v>
      </c>
      <c r="P63" t="s">
        <v>86</v>
      </c>
      <c r="Q63" t="s">
        <v>34</v>
      </c>
      <c r="R63">
        <v>0</v>
      </c>
      <c r="S63">
        <v>0</v>
      </c>
      <c r="T63">
        <v>3600</v>
      </c>
    </row>
    <row r="64" spans="8:20" x14ac:dyDescent="0.3">
      <c r="H64" t="str">
        <f t="shared" si="7"/>
        <v/>
      </c>
      <c r="I64" s="1"/>
      <c r="J64" s="1"/>
      <c r="K64" s="1" t="str">
        <f t="shared" si="4"/>
        <v/>
      </c>
      <c r="L64" s="1" t="str">
        <f t="shared" si="5"/>
        <v/>
      </c>
      <c r="M64" s="1" t="str">
        <f t="shared" si="6"/>
        <v/>
      </c>
      <c r="O64">
        <v>63</v>
      </c>
      <c r="P64" t="s">
        <v>86</v>
      </c>
      <c r="Q64" t="s">
        <v>37</v>
      </c>
      <c r="R64">
        <v>0</v>
      </c>
      <c r="S64">
        <v>0</v>
      </c>
      <c r="T64">
        <v>3600</v>
      </c>
    </row>
    <row r="65" spans="8:20" x14ac:dyDescent="0.3">
      <c r="H65" t="str">
        <f t="shared" si="7"/>
        <v/>
      </c>
      <c r="I65" s="1"/>
      <c r="J65" s="1"/>
      <c r="K65" s="1" t="str">
        <f t="shared" si="4"/>
        <v/>
      </c>
      <c r="L65" s="1" t="str">
        <f t="shared" si="5"/>
        <v/>
      </c>
      <c r="M65" s="1" t="str">
        <f t="shared" si="6"/>
        <v/>
      </c>
      <c r="O65">
        <v>64</v>
      </c>
      <c r="P65" t="s">
        <v>87</v>
      </c>
      <c r="Q65" t="s">
        <v>34</v>
      </c>
      <c r="R65">
        <v>1589</v>
      </c>
      <c r="S65">
        <v>987</v>
      </c>
      <c r="T65">
        <v>1026</v>
      </c>
    </row>
    <row r="66" spans="8:20" x14ac:dyDescent="0.3">
      <c r="H66" t="str">
        <f t="shared" si="7"/>
        <v/>
      </c>
      <c r="I66" s="1"/>
      <c r="J66" s="1"/>
      <c r="K66" s="1" t="str">
        <f t="shared" si="4"/>
        <v/>
      </c>
      <c r="L66" s="1" t="str">
        <f t="shared" si="5"/>
        <v/>
      </c>
      <c r="M66" s="1" t="str">
        <f t="shared" si="6"/>
        <v/>
      </c>
      <c r="O66">
        <v>65</v>
      </c>
      <c r="P66" t="s">
        <v>87</v>
      </c>
      <c r="Q66" t="s">
        <v>37</v>
      </c>
      <c r="R66">
        <v>1445</v>
      </c>
      <c r="S66">
        <v>1298</v>
      </c>
      <c r="T66">
        <v>857</v>
      </c>
    </row>
    <row r="67" spans="8:20" x14ac:dyDescent="0.3">
      <c r="H67" t="str">
        <f t="shared" si="7"/>
        <v/>
      </c>
      <c r="I67" s="1"/>
      <c r="J67" s="1"/>
      <c r="K67" s="1" t="str">
        <f t="shared" si="4"/>
        <v/>
      </c>
      <c r="L67" s="1" t="str">
        <f t="shared" si="5"/>
        <v/>
      </c>
      <c r="M67" s="1" t="str">
        <f t="shared" si="6"/>
        <v/>
      </c>
      <c r="O67">
        <v>66</v>
      </c>
      <c r="P67" t="s">
        <v>88</v>
      </c>
      <c r="Q67" t="s">
        <v>34</v>
      </c>
      <c r="R67">
        <v>1490</v>
      </c>
      <c r="S67">
        <v>890</v>
      </c>
      <c r="T67">
        <v>1223</v>
      </c>
    </row>
    <row r="68" spans="8:20" x14ac:dyDescent="0.3">
      <c r="H68" t="str">
        <f t="shared" si="7"/>
        <v/>
      </c>
      <c r="I68" s="1"/>
      <c r="J68" s="1"/>
      <c r="K68" s="1" t="str">
        <f t="shared" si="4"/>
        <v/>
      </c>
      <c r="L68" s="1" t="str">
        <f t="shared" si="5"/>
        <v/>
      </c>
      <c r="M68" s="1" t="str">
        <f t="shared" si="6"/>
        <v/>
      </c>
      <c r="O68">
        <v>67</v>
      </c>
      <c r="P68" t="s">
        <v>88</v>
      </c>
      <c r="Q68" t="s">
        <v>37</v>
      </c>
      <c r="R68">
        <v>1858</v>
      </c>
      <c r="S68">
        <v>953</v>
      </c>
      <c r="T68">
        <v>793</v>
      </c>
    </row>
    <row r="69" spans="8:20" x14ac:dyDescent="0.3">
      <c r="H69" t="str">
        <f t="shared" si="7"/>
        <v/>
      </c>
      <c r="I69" s="1"/>
      <c r="J69" s="1"/>
      <c r="K69" s="1" t="str">
        <f t="shared" si="4"/>
        <v/>
      </c>
      <c r="L69" s="1" t="str">
        <f t="shared" si="5"/>
        <v/>
      </c>
      <c r="M69" s="1" t="str">
        <f t="shared" si="6"/>
        <v/>
      </c>
      <c r="O69">
        <v>68</v>
      </c>
      <c r="P69" t="s">
        <v>89</v>
      </c>
      <c r="Q69" t="s">
        <v>34</v>
      </c>
      <c r="R69">
        <v>1154</v>
      </c>
      <c r="S69">
        <v>928</v>
      </c>
      <c r="T69">
        <v>1520</v>
      </c>
    </row>
    <row r="70" spans="8:20" x14ac:dyDescent="0.3">
      <c r="H70" t="str">
        <f t="shared" si="7"/>
        <v/>
      </c>
      <c r="I70" s="1"/>
      <c r="J70" s="1"/>
      <c r="K70" s="1" t="str">
        <f t="shared" si="4"/>
        <v/>
      </c>
      <c r="L70" s="1" t="str">
        <f t="shared" si="5"/>
        <v/>
      </c>
      <c r="M70" s="1" t="str">
        <f t="shared" si="6"/>
        <v/>
      </c>
      <c r="O70">
        <v>69</v>
      </c>
      <c r="P70" t="s">
        <v>89</v>
      </c>
      <c r="Q70" t="s">
        <v>37</v>
      </c>
      <c r="R70">
        <v>1648</v>
      </c>
      <c r="S70">
        <v>1124</v>
      </c>
      <c r="T70">
        <v>832</v>
      </c>
    </row>
    <row r="71" spans="8:20" x14ac:dyDescent="0.3">
      <c r="H71" t="str">
        <f t="shared" si="7"/>
        <v/>
      </c>
      <c r="I71" s="1"/>
      <c r="J71" s="1"/>
      <c r="K71" s="1" t="str">
        <f t="shared" si="4"/>
        <v/>
      </c>
      <c r="L71" s="1" t="str">
        <f t="shared" si="5"/>
        <v/>
      </c>
      <c r="M71" s="1" t="str">
        <f t="shared" si="6"/>
        <v/>
      </c>
      <c r="O71">
        <v>70</v>
      </c>
      <c r="P71" t="s">
        <v>90</v>
      </c>
      <c r="Q71" t="s">
        <v>34</v>
      </c>
      <c r="R71">
        <v>1136</v>
      </c>
      <c r="S71">
        <v>962</v>
      </c>
      <c r="T71">
        <v>1504</v>
      </c>
    </row>
    <row r="72" spans="8:20" x14ac:dyDescent="0.3">
      <c r="H72" t="str">
        <f t="shared" si="7"/>
        <v/>
      </c>
      <c r="I72" s="1"/>
      <c r="J72" s="1"/>
      <c r="K72" s="1" t="str">
        <f t="shared" si="4"/>
        <v/>
      </c>
      <c r="L72" s="1" t="str">
        <f t="shared" si="5"/>
        <v/>
      </c>
      <c r="M72" s="1" t="str">
        <f t="shared" si="6"/>
        <v/>
      </c>
      <c r="O72">
        <v>71</v>
      </c>
      <c r="P72" t="s">
        <v>90</v>
      </c>
      <c r="Q72" t="s">
        <v>37</v>
      </c>
      <c r="R72">
        <v>1606</v>
      </c>
      <c r="S72">
        <v>1130</v>
      </c>
      <c r="T72">
        <v>863</v>
      </c>
    </row>
    <row r="73" spans="8:20" x14ac:dyDescent="0.3">
      <c r="H73" t="str">
        <f t="shared" si="7"/>
        <v/>
      </c>
      <c r="I73" s="1"/>
      <c r="J73" s="1"/>
      <c r="K73" s="1" t="str">
        <f t="shared" si="4"/>
        <v/>
      </c>
      <c r="L73" s="1" t="str">
        <f t="shared" si="5"/>
        <v/>
      </c>
      <c r="M73" s="1" t="str">
        <f t="shared" si="6"/>
        <v/>
      </c>
      <c r="O73">
        <v>72</v>
      </c>
      <c r="P73" t="s">
        <v>91</v>
      </c>
      <c r="Q73" t="s">
        <v>34</v>
      </c>
      <c r="R73">
        <v>1137</v>
      </c>
      <c r="S73">
        <v>940</v>
      </c>
      <c r="T73">
        <v>1526</v>
      </c>
    </row>
    <row r="74" spans="8:20" x14ac:dyDescent="0.3">
      <c r="H74" t="str">
        <f t="shared" si="7"/>
        <v/>
      </c>
      <c r="I74" s="1"/>
      <c r="J74" s="1"/>
      <c r="K74" s="1" t="str">
        <f t="shared" si="4"/>
        <v/>
      </c>
      <c r="L74" s="1" t="str">
        <f t="shared" si="5"/>
        <v/>
      </c>
      <c r="M74" s="1" t="str">
        <f t="shared" si="6"/>
        <v/>
      </c>
      <c r="O74">
        <v>73</v>
      </c>
      <c r="P74" t="s">
        <v>91</v>
      </c>
      <c r="Q74" t="s">
        <v>37</v>
      </c>
      <c r="R74">
        <v>1486</v>
      </c>
      <c r="S74">
        <v>1238</v>
      </c>
      <c r="T74">
        <v>875</v>
      </c>
    </row>
    <row r="75" spans="8:20" x14ac:dyDescent="0.3">
      <c r="H75" t="str">
        <f t="shared" si="7"/>
        <v/>
      </c>
      <c r="I75" s="1"/>
      <c r="J75" s="1"/>
      <c r="K75" s="1" t="str">
        <f t="shared" si="4"/>
        <v/>
      </c>
      <c r="L75" s="1" t="str">
        <f t="shared" si="5"/>
        <v/>
      </c>
      <c r="M75" s="1" t="str">
        <f t="shared" si="6"/>
        <v/>
      </c>
      <c r="O75">
        <v>74</v>
      </c>
      <c r="P75" t="s">
        <v>92</v>
      </c>
      <c r="Q75" t="s">
        <v>34</v>
      </c>
      <c r="R75">
        <v>1253</v>
      </c>
      <c r="S75">
        <v>1181</v>
      </c>
      <c r="T75">
        <v>1167</v>
      </c>
    </row>
    <row r="76" spans="8:20" x14ac:dyDescent="0.3">
      <c r="I76" s="1"/>
      <c r="J76" s="1"/>
      <c r="K76" s="1"/>
      <c r="L76" s="1"/>
      <c r="M76" s="1"/>
      <c r="O76">
        <v>75</v>
      </c>
      <c r="P76" t="s">
        <v>92</v>
      </c>
      <c r="Q76" t="s">
        <v>37</v>
      </c>
      <c r="R76">
        <v>1342</v>
      </c>
      <c r="S76">
        <v>995</v>
      </c>
      <c r="T76">
        <v>1265</v>
      </c>
    </row>
    <row r="77" spans="8:20" x14ac:dyDescent="0.3">
      <c r="I77" s="1"/>
      <c r="J77" s="1"/>
      <c r="K77" s="1"/>
      <c r="L77" s="1"/>
      <c r="M77" s="1"/>
      <c r="O77">
        <v>76</v>
      </c>
      <c r="P77" t="s">
        <v>93</v>
      </c>
      <c r="Q77" t="s">
        <v>34</v>
      </c>
      <c r="R77">
        <v>0</v>
      </c>
      <c r="S77">
        <v>0</v>
      </c>
      <c r="T77">
        <v>3600</v>
      </c>
    </row>
    <row r="78" spans="8:20" x14ac:dyDescent="0.3">
      <c r="I78" s="1"/>
      <c r="J78" s="1"/>
      <c r="K78" s="1"/>
      <c r="L78" s="1"/>
      <c r="M78" s="1"/>
      <c r="O78">
        <v>77</v>
      </c>
      <c r="P78" t="s">
        <v>93</v>
      </c>
      <c r="Q78" t="s">
        <v>37</v>
      </c>
      <c r="R78">
        <v>0</v>
      </c>
      <c r="S78">
        <v>0</v>
      </c>
      <c r="T78">
        <v>3600</v>
      </c>
    </row>
    <row r="79" spans="8:20" x14ac:dyDescent="0.3">
      <c r="I79" s="1"/>
      <c r="J79" s="1"/>
      <c r="K79" s="1"/>
      <c r="L79" s="1"/>
      <c r="M79" s="1"/>
      <c r="O79">
        <v>78</v>
      </c>
      <c r="P79" t="s">
        <v>94</v>
      </c>
      <c r="Q79" t="s">
        <v>34</v>
      </c>
      <c r="R79">
        <v>1453</v>
      </c>
      <c r="S79">
        <v>1099</v>
      </c>
      <c r="T79">
        <v>1050</v>
      </c>
    </row>
    <row r="80" spans="8:20" x14ac:dyDescent="0.3">
      <c r="I80" s="1"/>
      <c r="J80" s="1"/>
      <c r="K80" s="1"/>
      <c r="L80" s="1"/>
      <c r="M80" s="1"/>
      <c r="O80">
        <v>79</v>
      </c>
      <c r="P80" t="s">
        <v>94</v>
      </c>
      <c r="Q80" t="s">
        <v>37</v>
      </c>
      <c r="R80">
        <v>1567</v>
      </c>
      <c r="S80">
        <v>1235</v>
      </c>
      <c r="T80">
        <v>802</v>
      </c>
    </row>
    <row r="81" spans="9:20" x14ac:dyDescent="0.3">
      <c r="I81" s="1"/>
      <c r="J81" s="1"/>
      <c r="K81" s="1"/>
      <c r="L81" s="1"/>
      <c r="M81" s="1"/>
      <c r="O81">
        <v>80</v>
      </c>
      <c r="P81" t="s">
        <v>95</v>
      </c>
      <c r="Q81" t="s">
        <v>34</v>
      </c>
      <c r="R81">
        <v>1662</v>
      </c>
      <c r="S81">
        <v>905</v>
      </c>
      <c r="T81">
        <v>1034</v>
      </c>
    </row>
    <row r="82" spans="9:20" x14ac:dyDescent="0.3">
      <c r="I82" s="1"/>
      <c r="J82" s="1"/>
      <c r="K82" s="1"/>
      <c r="L82" s="1"/>
      <c r="M82" s="1"/>
      <c r="O82">
        <v>81</v>
      </c>
      <c r="P82" t="s">
        <v>95</v>
      </c>
      <c r="Q82" t="s">
        <v>37</v>
      </c>
      <c r="R82">
        <v>1339</v>
      </c>
      <c r="S82">
        <v>1092</v>
      </c>
      <c r="T82">
        <v>1171</v>
      </c>
    </row>
    <row r="83" spans="9:20" x14ac:dyDescent="0.3">
      <c r="I83" s="1"/>
      <c r="J83" s="1"/>
      <c r="K83" s="1"/>
      <c r="L83" s="1"/>
      <c r="M83" s="1"/>
      <c r="O83">
        <v>82</v>
      </c>
      <c r="P83" t="s">
        <v>96</v>
      </c>
      <c r="Q83" t="s">
        <v>34</v>
      </c>
      <c r="R83">
        <v>1610</v>
      </c>
      <c r="S83">
        <v>967</v>
      </c>
      <c r="T83">
        <v>1023</v>
      </c>
    </row>
    <row r="84" spans="9:20" x14ac:dyDescent="0.3">
      <c r="I84" s="1"/>
      <c r="J84" s="1"/>
      <c r="K84" s="1"/>
      <c r="L84" s="1"/>
      <c r="M84" s="1"/>
      <c r="O84">
        <v>83</v>
      </c>
      <c r="P84" t="s">
        <v>96</v>
      </c>
      <c r="Q84" t="s">
        <v>37</v>
      </c>
      <c r="R84">
        <v>1403</v>
      </c>
      <c r="S84">
        <v>1057</v>
      </c>
      <c r="T84">
        <v>1141</v>
      </c>
    </row>
    <row r="85" spans="9:20" x14ac:dyDescent="0.3">
      <c r="I85" s="1"/>
      <c r="J85" s="1"/>
      <c r="K85" s="1"/>
      <c r="L85" s="1"/>
      <c r="M85" s="1"/>
      <c r="O85">
        <v>84</v>
      </c>
      <c r="P85" t="s">
        <v>97</v>
      </c>
      <c r="Q85" t="s">
        <v>34</v>
      </c>
      <c r="R85">
        <v>1241</v>
      </c>
      <c r="S85">
        <v>820</v>
      </c>
      <c r="T85">
        <v>1541</v>
      </c>
    </row>
    <row r="86" spans="9:20" x14ac:dyDescent="0.3">
      <c r="I86" s="1"/>
      <c r="J86" s="1"/>
      <c r="K86" s="1"/>
      <c r="L86" s="1"/>
      <c r="M86" s="1"/>
      <c r="O86">
        <v>85</v>
      </c>
      <c r="P86" t="s">
        <v>97</v>
      </c>
      <c r="Q86" t="s">
        <v>37</v>
      </c>
      <c r="R86">
        <v>1311</v>
      </c>
      <c r="S86">
        <v>956</v>
      </c>
      <c r="T86">
        <v>1336</v>
      </c>
    </row>
    <row r="87" spans="9:20" x14ac:dyDescent="0.3">
      <c r="I87" s="1"/>
      <c r="J87" s="1"/>
      <c r="K87" s="1"/>
      <c r="L87" s="1"/>
      <c r="M87" s="1"/>
      <c r="O87">
        <v>86</v>
      </c>
      <c r="P87" t="s">
        <v>98</v>
      </c>
      <c r="Q87" t="s">
        <v>34</v>
      </c>
      <c r="R87">
        <v>1387</v>
      </c>
      <c r="S87">
        <v>1085</v>
      </c>
      <c r="T87">
        <v>1129</v>
      </c>
    </row>
    <row r="88" spans="9:20" x14ac:dyDescent="0.3">
      <c r="I88" s="1"/>
      <c r="J88" s="1"/>
      <c r="K88" s="1"/>
      <c r="L88" s="1"/>
      <c r="M88" s="1"/>
      <c r="O88">
        <v>87</v>
      </c>
      <c r="P88" t="s">
        <v>98</v>
      </c>
      <c r="Q88" t="s">
        <v>37</v>
      </c>
      <c r="R88">
        <v>1019</v>
      </c>
      <c r="S88">
        <v>568</v>
      </c>
      <c r="T88">
        <v>2012</v>
      </c>
    </row>
    <row r="89" spans="9:20" x14ac:dyDescent="0.3">
      <c r="I89" s="1"/>
      <c r="J89" s="1"/>
      <c r="K89" s="1"/>
      <c r="L89" s="1"/>
      <c r="M89" s="1"/>
      <c r="O89">
        <v>88</v>
      </c>
      <c r="P89" t="s">
        <v>99</v>
      </c>
      <c r="Q89" t="s">
        <v>34</v>
      </c>
      <c r="R89">
        <v>0</v>
      </c>
      <c r="S89">
        <v>0</v>
      </c>
      <c r="T89">
        <v>3600</v>
      </c>
    </row>
    <row r="90" spans="9:20" x14ac:dyDescent="0.3">
      <c r="I90" s="1"/>
      <c r="J90" s="1"/>
      <c r="K90" s="1"/>
      <c r="L90" s="1"/>
      <c r="M90" s="1"/>
      <c r="O90">
        <v>89</v>
      </c>
      <c r="P90" t="s">
        <v>99</v>
      </c>
      <c r="Q90" t="s">
        <v>37</v>
      </c>
      <c r="R90">
        <v>0</v>
      </c>
      <c r="S90">
        <v>0</v>
      </c>
      <c r="T90">
        <v>3600</v>
      </c>
    </row>
    <row r="91" spans="9:20" x14ac:dyDescent="0.3">
      <c r="I91" s="1"/>
      <c r="J91" s="1"/>
      <c r="K91" s="1"/>
      <c r="L91" s="1"/>
      <c r="M91" s="1"/>
      <c r="O91">
        <v>90</v>
      </c>
      <c r="P91" t="s">
        <v>100</v>
      </c>
      <c r="Q91" t="s">
        <v>34</v>
      </c>
      <c r="R91">
        <v>0</v>
      </c>
      <c r="S91">
        <v>0</v>
      </c>
      <c r="T91">
        <v>3600</v>
      </c>
    </row>
    <row r="92" spans="9:20" x14ac:dyDescent="0.3">
      <c r="I92" s="1"/>
      <c r="J92" s="1"/>
      <c r="K92" s="1"/>
      <c r="L92" s="1"/>
      <c r="M92" s="1"/>
      <c r="O92">
        <v>91</v>
      </c>
      <c r="P92" t="s">
        <v>100</v>
      </c>
      <c r="Q92" t="s">
        <v>37</v>
      </c>
      <c r="R92">
        <v>0</v>
      </c>
      <c r="S92">
        <v>0</v>
      </c>
      <c r="T92">
        <v>3600</v>
      </c>
    </row>
    <row r="93" spans="9:20" x14ac:dyDescent="0.3">
      <c r="I93" s="1"/>
      <c r="J93" s="1"/>
      <c r="K93" s="1"/>
      <c r="L93" s="1"/>
      <c r="M93" s="1"/>
      <c r="O93">
        <v>92</v>
      </c>
      <c r="P93" t="s">
        <v>101</v>
      </c>
      <c r="Q93" t="s">
        <v>34</v>
      </c>
      <c r="R93">
        <v>0</v>
      </c>
      <c r="S93">
        <v>0</v>
      </c>
      <c r="T93">
        <v>3600</v>
      </c>
    </row>
    <row r="94" spans="9:20" x14ac:dyDescent="0.3">
      <c r="I94" s="1"/>
      <c r="J94" s="1"/>
      <c r="K94" s="1"/>
      <c r="L94" s="1"/>
      <c r="M94" s="1"/>
      <c r="O94">
        <v>93</v>
      </c>
      <c r="P94" t="s">
        <v>101</v>
      </c>
      <c r="Q94" t="s">
        <v>37</v>
      </c>
      <c r="R94">
        <v>0</v>
      </c>
      <c r="S94">
        <v>0</v>
      </c>
      <c r="T94">
        <v>3600</v>
      </c>
    </row>
    <row r="95" spans="9:20" x14ac:dyDescent="0.3">
      <c r="I95" s="1"/>
      <c r="J95" s="1"/>
      <c r="K95" s="1"/>
      <c r="L95" s="1"/>
      <c r="M95" s="1"/>
      <c r="O95">
        <v>94</v>
      </c>
      <c r="P95" t="s">
        <v>102</v>
      </c>
      <c r="Q95" t="s">
        <v>34</v>
      </c>
      <c r="R95">
        <v>0</v>
      </c>
      <c r="S95">
        <v>0</v>
      </c>
      <c r="T95">
        <v>3600</v>
      </c>
    </row>
    <row r="96" spans="9:20" x14ac:dyDescent="0.3">
      <c r="I96" s="1"/>
      <c r="J96" s="1"/>
      <c r="K96" s="1"/>
      <c r="L96" s="1"/>
      <c r="M96" s="1"/>
      <c r="O96">
        <v>95</v>
      </c>
      <c r="P96" t="s">
        <v>102</v>
      </c>
      <c r="Q96" t="s">
        <v>37</v>
      </c>
      <c r="R96">
        <v>0</v>
      </c>
      <c r="S96">
        <v>0</v>
      </c>
      <c r="T96">
        <v>3600</v>
      </c>
    </row>
    <row r="97" spans="9:20" x14ac:dyDescent="0.3">
      <c r="I97" s="1"/>
      <c r="J97" s="1"/>
      <c r="K97" s="1"/>
      <c r="L97" s="1"/>
      <c r="M97" s="1"/>
      <c r="O97">
        <v>96</v>
      </c>
      <c r="P97" t="s">
        <v>103</v>
      </c>
      <c r="Q97" t="s">
        <v>34</v>
      </c>
      <c r="R97">
        <v>0</v>
      </c>
      <c r="S97">
        <v>0</v>
      </c>
      <c r="T97">
        <v>3600</v>
      </c>
    </row>
    <row r="98" spans="9:20" x14ac:dyDescent="0.3">
      <c r="I98" s="1"/>
      <c r="J98" s="1"/>
      <c r="K98" s="1"/>
      <c r="L98" s="1"/>
      <c r="M98" s="1"/>
      <c r="O98">
        <v>97</v>
      </c>
      <c r="P98" t="s">
        <v>103</v>
      </c>
      <c r="Q98" t="s">
        <v>37</v>
      </c>
      <c r="R98">
        <v>0</v>
      </c>
      <c r="S98">
        <v>0</v>
      </c>
      <c r="T98">
        <v>3600</v>
      </c>
    </row>
    <row r="99" spans="9:20" x14ac:dyDescent="0.3">
      <c r="I99" s="1"/>
      <c r="J99" s="1"/>
      <c r="K99" s="1"/>
      <c r="L99" s="1"/>
      <c r="M99" s="1"/>
      <c r="O99">
        <v>98</v>
      </c>
      <c r="P99" t="s">
        <v>104</v>
      </c>
      <c r="Q99" t="s">
        <v>34</v>
      </c>
      <c r="R99">
        <v>0</v>
      </c>
      <c r="S99">
        <v>0</v>
      </c>
      <c r="T99">
        <v>3600</v>
      </c>
    </row>
    <row r="100" spans="9:20" x14ac:dyDescent="0.3">
      <c r="I100" s="1"/>
      <c r="J100" s="1"/>
      <c r="K100" s="1"/>
      <c r="L100" s="1"/>
      <c r="M100" s="1"/>
      <c r="O100">
        <v>99</v>
      </c>
      <c r="P100" t="s">
        <v>104</v>
      </c>
      <c r="Q100" t="s">
        <v>37</v>
      </c>
      <c r="R100">
        <v>0</v>
      </c>
      <c r="S100">
        <v>0</v>
      </c>
      <c r="T100">
        <v>3600</v>
      </c>
    </row>
    <row r="101" spans="9:20" x14ac:dyDescent="0.3">
      <c r="I101" s="1"/>
      <c r="J101" s="1"/>
      <c r="K101" s="1"/>
      <c r="L101" s="1"/>
      <c r="M101" s="1"/>
      <c r="O101">
        <v>100</v>
      </c>
      <c r="P101" t="s">
        <v>105</v>
      </c>
      <c r="Q101" t="s">
        <v>34</v>
      </c>
      <c r="R101">
        <v>0</v>
      </c>
      <c r="S101">
        <v>0</v>
      </c>
      <c r="T101">
        <v>3600</v>
      </c>
    </row>
    <row r="102" spans="9:20" x14ac:dyDescent="0.3">
      <c r="O102">
        <v>101</v>
      </c>
      <c r="P102" t="s">
        <v>105</v>
      </c>
      <c r="Q102" t="s">
        <v>37</v>
      </c>
      <c r="R102">
        <v>0</v>
      </c>
      <c r="S102">
        <v>0</v>
      </c>
      <c r="T102">
        <v>3600</v>
      </c>
    </row>
    <row r="103" spans="9:20" x14ac:dyDescent="0.3">
      <c r="O103">
        <v>102</v>
      </c>
      <c r="P103" t="s">
        <v>106</v>
      </c>
      <c r="Q103" t="s">
        <v>34</v>
      </c>
      <c r="R103">
        <v>0</v>
      </c>
      <c r="S103">
        <v>0</v>
      </c>
      <c r="T103">
        <v>3600</v>
      </c>
    </row>
    <row r="104" spans="9:20" x14ac:dyDescent="0.3">
      <c r="O104">
        <v>103</v>
      </c>
      <c r="P104" t="s">
        <v>106</v>
      </c>
      <c r="Q104" t="s">
        <v>37</v>
      </c>
      <c r="R104">
        <v>0</v>
      </c>
      <c r="S104">
        <v>0</v>
      </c>
      <c r="T104">
        <v>3600</v>
      </c>
    </row>
    <row r="105" spans="9:20" x14ac:dyDescent="0.3">
      <c r="O105">
        <v>104</v>
      </c>
      <c r="P105" t="s">
        <v>107</v>
      </c>
      <c r="Q105" t="s">
        <v>34</v>
      </c>
      <c r="R105">
        <v>0</v>
      </c>
      <c r="S105">
        <v>0</v>
      </c>
      <c r="T105">
        <v>3600</v>
      </c>
    </row>
    <row r="106" spans="9:20" x14ac:dyDescent="0.3">
      <c r="O106">
        <v>105</v>
      </c>
      <c r="P106" t="s">
        <v>107</v>
      </c>
      <c r="Q106" t="s">
        <v>37</v>
      </c>
      <c r="R106">
        <v>0</v>
      </c>
      <c r="S106">
        <v>0</v>
      </c>
      <c r="T106">
        <v>3600</v>
      </c>
    </row>
    <row r="107" spans="9:20" x14ac:dyDescent="0.3">
      <c r="O107">
        <v>106</v>
      </c>
      <c r="P107" t="s">
        <v>108</v>
      </c>
      <c r="Q107" t="s">
        <v>34</v>
      </c>
      <c r="R107">
        <v>956</v>
      </c>
      <c r="S107">
        <v>1103</v>
      </c>
      <c r="T107">
        <v>1540</v>
      </c>
    </row>
    <row r="108" spans="9:20" x14ac:dyDescent="0.3">
      <c r="O108">
        <v>107</v>
      </c>
      <c r="P108" t="s">
        <v>108</v>
      </c>
      <c r="Q108" t="s">
        <v>37</v>
      </c>
      <c r="R108">
        <v>1208</v>
      </c>
      <c r="S108">
        <v>943</v>
      </c>
      <c r="T108">
        <v>1452</v>
      </c>
    </row>
    <row r="109" spans="9:20" x14ac:dyDescent="0.3">
      <c r="O109">
        <v>108</v>
      </c>
      <c r="P109" t="s">
        <v>109</v>
      </c>
      <c r="Q109" t="s">
        <v>34</v>
      </c>
      <c r="R109">
        <v>1561</v>
      </c>
      <c r="S109">
        <v>1009</v>
      </c>
      <c r="T109">
        <v>1031</v>
      </c>
    </row>
    <row r="110" spans="9:20" x14ac:dyDescent="0.3">
      <c r="O110">
        <v>109</v>
      </c>
      <c r="P110" t="s">
        <v>109</v>
      </c>
      <c r="Q110" t="s">
        <v>37</v>
      </c>
      <c r="R110">
        <v>1322</v>
      </c>
      <c r="S110">
        <v>879</v>
      </c>
      <c r="T110">
        <v>1401</v>
      </c>
    </row>
    <row r="111" spans="9:20" x14ac:dyDescent="0.3">
      <c r="O111">
        <v>110</v>
      </c>
      <c r="P111" t="s">
        <v>110</v>
      </c>
      <c r="Q111" t="s">
        <v>34</v>
      </c>
      <c r="R111">
        <v>1256</v>
      </c>
      <c r="S111">
        <v>1309</v>
      </c>
      <c r="T111">
        <v>1037</v>
      </c>
    </row>
    <row r="112" spans="9:20" x14ac:dyDescent="0.3">
      <c r="O112">
        <v>111</v>
      </c>
      <c r="P112" t="s">
        <v>111</v>
      </c>
      <c r="Q112" t="s">
        <v>34</v>
      </c>
      <c r="R112">
        <v>2538</v>
      </c>
      <c r="S112">
        <v>2277</v>
      </c>
      <c r="T112">
        <v>2384</v>
      </c>
    </row>
    <row r="113" spans="15:20" x14ac:dyDescent="0.3">
      <c r="O113">
        <v>112</v>
      </c>
      <c r="P113" t="s">
        <v>111</v>
      </c>
      <c r="Q113" t="s">
        <v>37</v>
      </c>
      <c r="R113">
        <v>1172</v>
      </c>
      <c r="S113">
        <v>1083</v>
      </c>
      <c r="T113">
        <v>1348</v>
      </c>
    </row>
    <row r="114" spans="15:20" x14ac:dyDescent="0.3">
      <c r="O114">
        <v>113</v>
      </c>
      <c r="P114" t="s">
        <v>112</v>
      </c>
      <c r="Q114" t="s">
        <v>34</v>
      </c>
      <c r="R114">
        <v>1396</v>
      </c>
      <c r="S114">
        <v>1161</v>
      </c>
      <c r="T114">
        <v>1046</v>
      </c>
    </row>
    <row r="115" spans="15:20" x14ac:dyDescent="0.3">
      <c r="O115">
        <v>114</v>
      </c>
      <c r="P115" t="s">
        <v>112</v>
      </c>
      <c r="Q115" t="s">
        <v>37</v>
      </c>
      <c r="R115">
        <v>1072</v>
      </c>
      <c r="S115">
        <v>965</v>
      </c>
      <c r="T115">
        <v>1563</v>
      </c>
    </row>
    <row r="116" spans="15:20" x14ac:dyDescent="0.3">
      <c r="O116">
        <v>115</v>
      </c>
      <c r="P116" t="s">
        <v>113</v>
      </c>
      <c r="Q116" t="s">
        <v>34</v>
      </c>
      <c r="R116">
        <v>1238</v>
      </c>
      <c r="S116">
        <v>709</v>
      </c>
      <c r="T116">
        <v>1657</v>
      </c>
    </row>
    <row r="117" spans="15:20" x14ac:dyDescent="0.3">
      <c r="O117">
        <v>116</v>
      </c>
      <c r="P117" t="s">
        <v>113</v>
      </c>
      <c r="Q117" t="s">
        <v>37</v>
      </c>
      <c r="R117">
        <v>1284</v>
      </c>
      <c r="S117">
        <v>616</v>
      </c>
      <c r="T117">
        <v>1702</v>
      </c>
    </row>
    <row r="118" spans="15:20" x14ac:dyDescent="0.3">
      <c r="O118">
        <v>117</v>
      </c>
      <c r="P118" t="s">
        <v>114</v>
      </c>
      <c r="Q118" t="s">
        <v>34</v>
      </c>
      <c r="R118">
        <v>0</v>
      </c>
      <c r="S118">
        <v>0</v>
      </c>
      <c r="T118">
        <v>3275</v>
      </c>
    </row>
    <row r="119" spans="15:20" x14ac:dyDescent="0.3">
      <c r="O119">
        <v>118</v>
      </c>
      <c r="P119" t="s">
        <v>114</v>
      </c>
      <c r="Q119" t="s">
        <v>37</v>
      </c>
      <c r="R119">
        <v>0</v>
      </c>
      <c r="S119">
        <v>0</v>
      </c>
      <c r="T119">
        <v>3600</v>
      </c>
    </row>
    <row r="120" spans="15:20" x14ac:dyDescent="0.3">
      <c r="O120">
        <v>119</v>
      </c>
      <c r="P120" t="s">
        <v>115</v>
      </c>
      <c r="Q120" t="s">
        <v>34</v>
      </c>
      <c r="R120">
        <v>1176</v>
      </c>
      <c r="S120">
        <v>893</v>
      </c>
      <c r="T120">
        <v>1535</v>
      </c>
    </row>
    <row r="121" spans="15:20" x14ac:dyDescent="0.3">
      <c r="O121">
        <v>120</v>
      </c>
      <c r="P121" t="s">
        <v>115</v>
      </c>
      <c r="Q121" t="s">
        <v>37</v>
      </c>
      <c r="R121">
        <v>1467</v>
      </c>
      <c r="S121">
        <v>1347</v>
      </c>
      <c r="T121">
        <v>786</v>
      </c>
    </row>
    <row r="122" spans="15:20" x14ac:dyDescent="0.3">
      <c r="O122">
        <v>121</v>
      </c>
      <c r="P122" t="s">
        <v>116</v>
      </c>
      <c r="Q122" t="s">
        <v>34</v>
      </c>
      <c r="R122">
        <v>1190</v>
      </c>
      <c r="S122">
        <v>887</v>
      </c>
      <c r="T122">
        <v>1528</v>
      </c>
    </row>
    <row r="123" spans="15:20" x14ac:dyDescent="0.3">
      <c r="O123">
        <v>122</v>
      </c>
      <c r="P123" t="s">
        <v>116</v>
      </c>
      <c r="Q123" t="s">
        <v>37</v>
      </c>
      <c r="R123">
        <v>1529</v>
      </c>
      <c r="S123">
        <v>886</v>
      </c>
      <c r="T123">
        <v>1183</v>
      </c>
    </row>
    <row r="124" spans="15:20" x14ac:dyDescent="0.3">
      <c r="O124">
        <v>123</v>
      </c>
      <c r="P124" t="s">
        <v>117</v>
      </c>
      <c r="Q124" t="s">
        <v>34</v>
      </c>
      <c r="R124">
        <v>1291</v>
      </c>
      <c r="S124">
        <v>797</v>
      </c>
      <c r="T124">
        <v>1517</v>
      </c>
    </row>
    <row r="125" spans="15:20" x14ac:dyDescent="0.3">
      <c r="O125">
        <v>124</v>
      </c>
      <c r="P125" t="s">
        <v>117</v>
      </c>
      <c r="Q125" t="s">
        <v>37</v>
      </c>
      <c r="R125">
        <v>1083</v>
      </c>
      <c r="S125">
        <v>1151</v>
      </c>
      <c r="T125">
        <v>1372</v>
      </c>
    </row>
    <row r="126" spans="15:20" x14ac:dyDescent="0.3">
      <c r="O126">
        <v>125</v>
      </c>
      <c r="P126" t="s">
        <v>118</v>
      </c>
      <c r="Q126" t="s">
        <v>34</v>
      </c>
      <c r="R126">
        <v>1333</v>
      </c>
      <c r="S126">
        <v>756</v>
      </c>
      <c r="T126">
        <v>1516</v>
      </c>
    </row>
    <row r="127" spans="15:20" x14ac:dyDescent="0.3">
      <c r="O127">
        <v>126</v>
      </c>
      <c r="P127" t="s">
        <v>118</v>
      </c>
      <c r="Q127" t="s">
        <v>37</v>
      </c>
      <c r="R127">
        <v>1396</v>
      </c>
      <c r="S127">
        <v>1344</v>
      </c>
      <c r="T127">
        <v>862</v>
      </c>
    </row>
    <row r="128" spans="15:20" x14ac:dyDescent="0.3">
      <c r="O128">
        <v>127</v>
      </c>
      <c r="P128" t="s">
        <v>119</v>
      </c>
      <c r="Q128" t="s">
        <v>34</v>
      </c>
      <c r="R128">
        <v>1196</v>
      </c>
      <c r="S128">
        <v>893</v>
      </c>
      <c r="T128">
        <v>1515</v>
      </c>
    </row>
    <row r="129" spans="15:20" x14ac:dyDescent="0.3">
      <c r="O129">
        <v>128</v>
      </c>
      <c r="P129" t="s">
        <v>119</v>
      </c>
      <c r="Q129" t="s">
        <v>37</v>
      </c>
      <c r="R129">
        <v>1472</v>
      </c>
      <c r="S129">
        <v>1186</v>
      </c>
      <c r="T129">
        <v>944</v>
      </c>
    </row>
    <row r="130" spans="15:20" x14ac:dyDescent="0.3">
      <c r="O130">
        <v>129</v>
      </c>
      <c r="P130" t="s">
        <v>120</v>
      </c>
      <c r="Q130" t="s">
        <v>34</v>
      </c>
      <c r="R130">
        <v>1318</v>
      </c>
      <c r="S130">
        <v>1105</v>
      </c>
      <c r="T130">
        <v>1180</v>
      </c>
    </row>
    <row r="131" spans="15:20" x14ac:dyDescent="0.3">
      <c r="O131">
        <v>130</v>
      </c>
      <c r="P131" t="s">
        <v>120</v>
      </c>
      <c r="Q131" t="s">
        <v>37</v>
      </c>
      <c r="R131">
        <v>1313</v>
      </c>
      <c r="S131">
        <v>1028</v>
      </c>
      <c r="T131">
        <v>1259</v>
      </c>
    </row>
    <row r="132" spans="15:20" x14ac:dyDescent="0.3">
      <c r="O132">
        <v>131</v>
      </c>
      <c r="P132" t="s">
        <v>121</v>
      </c>
      <c r="Q132" t="s">
        <v>34</v>
      </c>
      <c r="R132">
        <v>0</v>
      </c>
      <c r="S132">
        <v>0</v>
      </c>
      <c r="T132">
        <v>3600</v>
      </c>
    </row>
    <row r="133" spans="15:20" x14ac:dyDescent="0.3">
      <c r="O133">
        <v>132</v>
      </c>
      <c r="P133" t="s">
        <v>121</v>
      </c>
      <c r="Q133" t="s">
        <v>37</v>
      </c>
      <c r="R133">
        <v>0</v>
      </c>
      <c r="S133">
        <v>0</v>
      </c>
      <c r="T133">
        <v>3600</v>
      </c>
    </row>
    <row r="134" spans="15:20" x14ac:dyDescent="0.3">
      <c r="O134">
        <v>133</v>
      </c>
      <c r="P134" t="s">
        <v>122</v>
      </c>
      <c r="Q134" t="s">
        <v>34</v>
      </c>
      <c r="R134">
        <v>1527</v>
      </c>
      <c r="S134">
        <v>1048</v>
      </c>
      <c r="T134">
        <v>1029</v>
      </c>
    </row>
    <row r="135" spans="15:20" x14ac:dyDescent="0.3">
      <c r="O135">
        <v>134</v>
      </c>
      <c r="P135" t="s">
        <v>122</v>
      </c>
      <c r="Q135" t="s">
        <v>37</v>
      </c>
      <c r="R135">
        <v>1564</v>
      </c>
      <c r="S135">
        <v>884</v>
      </c>
      <c r="T135">
        <v>1156</v>
      </c>
    </row>
    <row r="136" spans="15:20" x14ac:dyDescent="0.3">
      <c r="O136">
        <v>135</v>
      </c>
      <c r="P136" t="s">
        <v>123</v>
      </c>
      <c r="Q136" t="s">
        <v>34</v>
      </c>
      <c r="R136">
        <v>1443</v>
      </c>
      <c r="S136">
        <v>1128</v>
      </c>
      <c r="T136">
        <v>1029</v>
      </c>
    </row>
    <row r="137" spans="15:20" x14ac:dyDescent="0.3">
      <c r="O137">
        <v>136</v>
      </c>
      <c r="P137" t="s">
        <v>123</v>
      </c>
      <c r="Q137" t="s">
        <v>37</v>
      </c>
      <c r="R137">
        <v>1290</v>
      </c>
      <c r="S137">
        <v>963</v>
      </c>
      <c r="T137">
        <v>1351</v>
      </c>
    </row>
    <row r="138" spans="15:20" x14ac:dyDescent="0.3">
      <c r="O138">
        <v>137</v>
      </c>
      <c r="P138" t="s">
        <v>124</v>
      </c>
      <c r="Q138" t="s">
        <v>34</v>
      </c>
      <c r="R138">
        <v>1410</v>
      </c>
      <c r="S138">
        <v>1165</v>
      </c>
      <c r="T138">
        <v>1028</v>
      </c>
    </row>
    <row r="139" spans="15:20" x14ac:dyDescent="0.3">
      <c r="O139">
        <v>138</v>
      </c>
      <c r="P139" t="s">
        <v>124</v>
      </c>
      <c r="Q139" t="s">
        <v>37</v>
      </c>
      <c r="R139">
        <v>1404</v>
      </c>
      <c r="S139">
        <v>855</v>
      </c>
      <c r="T139">
        <v>1345</v>
      </c>
    </row>
    <row r="140" spans="15:20" x14ac:dyDescent="0.3">
      <c r="O140">
        <v>139</v>
      </c>
      <c r="P140" t="s">
        <v>125</v>
      </c>
      <c r="Q140" t="s">
        <v>34</v>
      </c>
      <c r="R140">
        <v>1390</v>
      </c>
      <c r="S140">
        <v>1185</v>
      </c>
      <c r="T140">
        <v>1029</v>
      </c>
    </row>
    <row r="141" spans="15:20" x14ac:dyDescent="0.3">
      <c r="O141">
        <v>140</v>
      </c>
      <c r="P141" t="s">
        <v>125</v>
      </c>
      <c r="Q141" t="s">
        <v>37</v>
      </c>
      <c r="R141">
        <v>1270</v>
      </c>
      <c r="S141">
        <v>988</v>
      </c>
      <c r="T141">
        <v>1349</v>
      </c>
    </row>
    <row r="142" spans="15:20" x14ac:dyDescent="0.3">
      <c r="O142">
        <v>141</v>
      </c>
      <c r="P142" t="s">
        <v>126</v>
      </c>
      <c r="Q142" t="s">
        <v>34</v>
      </c>
      <c r="R142">
        <v>1470</v>
      </c>
      <c r="S142">
        <v>1115</v>
      </c>
      <c r="T142">
        <v>1021</v>
      </c>
    </row>
    <row r="143" spans="15:20" x14ac:dyDescent="0.3">
      <c r="O143">
        <v>142</v>
      </c>
      <c r="P143" t="s">
        <v>126</v>
      </c>
      <c r="Q143" t="s">
        <v>37</v>
      </c>
      <c r="R143">
        <v>1127</v>
      </c>
      <c r="S143">
        <v>1062</v>
      </c>
      <c r="T143">
        <v>1411</v>
      </c>
    </row>
    <row r="144" spans="15:20" x14ac:dyDescent="0.3">
      <c r="O144">
        <v>143</v>
      </c>
      <c r="P144" t="s">
        <v>127</v>
      </c>
      <c r="Q144" t="s">
        <v>34</v>
      </c>
      <c r="R144">
        <v>1035</v>
      </c>
      <c r="S144">
        <v>917</v>
      </c>
      <c r="T144">
        <v>1650</v>
      </c>
    </row>
    <row r="145" spans="15:20" x14ac:dyDescent="0.3">
      <c r="O145">
        <v>144</v>
      </c>
      <c r="P145" t="s">
        <v>127</v>
      </c>
      <c r="Q145" t="s">
        <v>37</v>
      </c>
      <c r="R145">
        <v>1377</v>
      </c>
      <c r="S145">
        <v>993</v>
      </c>
      <c r="T145">
        <v>1231</v>
      </c>
    </row>
    <row r="146" spans="15:20" x14ac:dyDescent="0.3">
      <c r="O146">
        <v>145</v>
      </c>
      <c r="P146" t="s">
        <v>128</v>
      </c>
      <c r="Q146" t="s">
        <v>34</v>
      </c>
      <c r="R146">
        <v>0</v>
      </c>
      <c r="S146">
        <v>0</v>
      </c>
      <c r="T146">
        <v>3600</v>
      </c>
    </row>
    <row r="147" spans="15:20" x14ac:dyDescent="0.3">
      <c r="O147">
        <v>146</v>
      </c>
      <c r="P147" t="s">
        <v>128</v>
      </c>
      <c r="Q147" t="s">
        <v>37</v>
      </c>
      <c r="R147">
        <v>0</v>
      </c>
      <c r="S147">
        <v>0</v>
      </c>
      <c r="T147">
        <v>3600</v>
      </c>
    </row>
    <row r="148" spans="15:20" x14ac:dyDescent="0.3">
      <c r="O148">
        <v>147</v>
      </c>
      <c r="P148" t="s">
        <v>129</v>
      </c>
      <c r="Q148" t="s">
        <v>34</v>
      </c>
      <c r="R148">
        <v>1264</v>
      </c>
      <c r="S148">
        <v>803</v>
      </c>
      <c r="T148">
        <v>1537</v>
      </c>
    </row>
    <row r="149" spans="15:20" x14ac:dyDescent="0.3">
      <c r="O149">
        <v>148</v>
      </c>
      <c r="P149" t="s">
        <v>129</v>
      </c>
      <c r="Q149" t="s">
        <v>37</v>
      </c>
      <c r="R149">
        <v>1248</v>
      </c>
      <c r="S149">
        <v>972</v>
      </c>
      <c r="T149">
        <v>1382</v>
      </c>
    </row>
    <row r="150" spans="15:20" x14ac:dyDescent="0.3">
      <c r="O150">
        <v>149</v>
      </c>
      <c r="P150" t="s">
        <v>130</v>
      </c>
      <c r="Q150" t="s">
        <v>34</v>
      </c>
      <c r="R150">
        <v>1270</v>
      </c>
      <c r="S150">
        <v>816</v>
      </c>
      <c r="T150">
        <v>1520</v>
      </c>
    </row>
    <row r="151" spans="15:20" x14ac:dyDescent="0.3">
      <c r="O151">
        <v>150</v>
      </c>
      <c r="P151" t="s">
        <v>130</v>
      </c>
      <c r="Q151" t="s">
        <v>37</v>
      </c>
      <c r="R151">
        <v>1396</v>
      </c>
      <c r="S151">
        <v>1135</v>
      </c>
      <c r="T151">
        <v>1073</v>
      </c>
    </row>
    <row r="152" spans="15:20" x14ac:dyDescent="0.3">
      <c r="O152">
        <v>151</v>
      </c>
      <c r="P152" t="s">
        <v>131</v>
      </c>
      <c r="Q152" t="s">
        <v>34</v>
      </c>
      <c r="R152">
        <v>1515</v>
      </c>
      <c r="S152">
        <v>829</v>
      </c>
      <c r="T152">
        <v>1258</v>
      </c>
    </row>
    <row r="153" spans="15:20" x14ac:dyDescent="0.3">
      <c r="O153">
        <v>152</v>
      </c>
      <c r="P153" t="s">
        <v>131</v>
      </c>
      <c r="Q153" t="s">
        <v>37</v>
      </c>
      <c r="R153">
        <v>1921</v>
      </c>
      <c r="S153">
        <v>866</v>
      </c>
      <c r="T153">
        <v>817</v>
      </c>
    </row>
    <row r="154" spans="15:20" x14ac:dyDescent="0.3">
      <c r="O154">
        <v>153</v>
      </c>
      <c r="P154" t="s">
        <v>132</v>
      </c>
      <c r="Q154" t="s">
        <v>34</v>
      </c>
      <c r="R154">
        <v>1235</v>
      </c>
      <c r="S154">
        <v>833</v>
      </c>
      <c r="T154">
        <v>1538</v>
      </c>
    </row>
    <row r="155" spans="15:20" x14ac:dyDescent="0.3">
      <c r="O155">
        <v>154</v>
      </c>
      <c r="P155" t="s">
        <v>132</v>
      </c>
      <c r="Q155" t="s">
        <v>37</v>
      </c>
      <c r="R155">
        <v>1042</v>
      </c>
      <c r="S155">
        <v>1172</v>
      </c>
      <c r="T155">
        <v>1387</v>
      </c>
    </row>
    <row r="156" spans="15:20" x14ac:dyDescent="0.3">
      <c r="O156">
        <v>155</v>
      </c>
      <c r="P156" t="s">
        <v>133</v>
      </c>
      <c r="Q156" t="s">
        <v>34</v>
      </c>
      <c r="R156">
        <v>1289</v>
      </c>
      <c r="S156">
        <v>790</v>
      </c>
      <c r="T156">
        <v>1525</v>
      </c>
    </row>
    <row r="157" spans="15:20" x14ac:dyDescent="0.3">
      <c r="O157">
        <v>156</v>
      </c>
      <c r="P157" t="s">
        <v>133</v>
      </c>
      <c r="Q157" t="s">
        <v>37</v>
      </c>
      <c r="R157">
        <v>1191</v>
      </c>
      <c r="S157">
        <v>1038</v>
      </c>
      <c r="T157">
        <v>1373</v>
      </c>
    </row>
    <row r="158" spans="15:20" x14ac:dyDescent="0.3">
      <c r="O158">
        <v>157</v>
      </c>
      <c r="P158" t="s">
        <v>134</v>
      </c>
      <c r="Q158" t="s">
        <v>34</v>
      </c>
      <c r="R158">
        <v>1123</v>
      </c>
      <c r="S158">
        <v>827</v>
      </c>
      <c r="T158">
        <v>1654</v>
      </c>
    </row>
    <row r="159" spans="15:20" x14ac:dyDescent="0.3">
      <c r="O159">
        <v>158</v>
      </c>
      <c r="P159" t="s">
        <v>134</v>
      </c>
      <c r="Q159" t="s">
        <v>37</v>
      </c>
      <c r="R159">
        <v>1133</v>
      </c>
      <c r="S159">
        <v>734</v>
      </c>
      <c r="T159">
        <v>1733</v>
      </c>
    </row>
    <row r="160" spans="15:20" x14ac:dyDescent="0.3">
      <c r="O160">
        <v>159</v>
      </c>
      <c r="P160" t="s">
        <v>135</v>
      </c>
      <c r="Q160" t="s">
        <v>34</v>
      </c>
      <c r="R160">
        <v>0</v>
      </c>
      <c r="S160">
        <v>0</v>
      </c>
      <c r="T160">
        <v>3600</v>
      </c>
    </row>
    <row r="161" spans="15:20" x14ac:dyDescent="0.3">
      <c r="O161">
        <v>160</v>
      </c>
      <c r="P161" t="s">
        <v>135</v>
      </c>
      <c r="Q161" t="s">
        <v>37</v>
      </c>
      <c r="R161">
        <v>0</v>
      </c>
      <c r="S161">
        <v>0</v>
      </c>
      <c r="T161">
        <v>3600</v>
      </c>
    </row>
    <row r="162" spans="15:20" x14ac:dyDescent="0.3">
      <c r="O162">
        <v>161</v>
      </c>
      <c r="P162" t="s">
        <v>136</v>
      </c>
      <c r="Q162" t="s">
        <v>34</v>
      </c>
      <c r="R162">
        <v>1294</v>
      </c>
      <c r="S162">
        <v>741</v>
      </c>
      <c r="T162">
        <v>1566</v>
      </c>
    </row>
    <row r="163" spans="15:20" x14ac:dyDescent="0.3">
      <c r="O163">
        <v>162</v>
      </c>
      <c r="P163" t="s">
        <v>136</v>
      </c>
      <c r="Q163" t="s">
        <v>37</v>
      </c>
      <c r="R163">
        <v>1178</v>
      </c>
      <c r="S163">
        <v>1013</v>
      </c>
      <c r="T163">
        <v>1413</v>
      </c>
    </row>
    <row r="164" spans="15:20" x14ac:dyDescent="0.3">
      <c r="O164">
        <v>163</v>
      </c>
      <c r="P164" t="s">
        <v>137</v>
      </c>
      <c r="Q164" t="s">
        <v>34</v>
      </c>
      <c r="R164">
        <v>1451</v>
      </c>
      <c r="S164">
        <v>1069</v>
      </c>
      <c r="T164">
        <v>1081</v>
      </c>
    </row>
    <row r="165" spans="15:20" x14ac:dyDescent="0.3">
      <c r="O165">
        <v>164</v>
      </c>
      <c r="P165" t="s">
        <v>137</v>
      </c>
      <c r="Q165" t="s">
        <v>37</v>
      </c>
      <c r="R165">
        <v>1207</v>
      </c>
      <c r="S165">
        <v>1052</v>
      </c>
      <c r="T165">
        <v>1345</v>
      </c>
    </row>
    <row r="166" spans="15:20" x14ac:dyDescent="0.3">
      <c r="O166">
        <v>165</v>
      </c>
      <c r="P166" t="s">
        <v>138</v>
      </c>
      <c r="Q166" t="s">
        <v>34</v>
      </c>
      <c r="R166">
        <v>1561</v>
      </c>
      <c r="S166">
        <v>1012</v>
      </c>
      <c r="T166">
        <v>1027</v>
      </c>
    </row>
    <row r="167" spans="15:20" x14ac:dyDescent="0.3">
      <c r="O167">
        <v>166</v>
      </c>
      <c r="P167" t="s">
        <v>138</v>
      </c>
      <c r="Q167" t="s">
        <v>37</v>
      </c>
      <c r="R167">
        <v>1269</v>
      </c>
      <c r="S167">
        <v>983</v>
      </c>
      <c r="T167">
        <v>1352</v>
      </c>
    </row>
    <row r="168" spans="15:20" x14ac:dyDescent="0.3">
      <c r="O168">
        <v>167</v>
      </c>
      <c r="P168" t="s">
        <v>139</v>
      </c>
      <c r="Q168" t="s">
        <v>34</v>
      </c>
      <c r="R168">
        <v>1266</v>
      </c>
      <c r="S168">
        <v>802</v>
      </c>
      <c r="T168">
        <v>1535</v>
      </c>
    </row>
    <row r="169" spans="15:20" x14ac:dyDescent="0.3">
      <c r="O169">
        <v>168</v>
      </c>
      <c r="P169" t="s">
        <v>139</v>
      </c>
      <c r="Q169" t="s">
        <v>37</v>
      </c>
      <c r="R169">
        <v>1294</v>
      </c>
      <c r="S169">
        <v>960</v>
      </c>
      <c r="T169">
        <v>1350</v>
      </c>
    </row>
    <row r="170" spans="15:20" x14ac:dyDescent="0.3">
      <c r="O170">
        <v>169</v>
      </c>
      <c r="P170" t="s">
        <v>140</v>
      </c>
      <c r="Q170" t="s">
        <v>34</v>
      </c>
      <c r="R170">
        <v>1562</v>
      </c>
      <c r="S170">
        <v>999</v>
      </c>
      <c r="T170">
        <v>1041</v>
      </c>
    </row>
    <row r="171" spans="15:20" x14ac:dyDescent="0.3">
      <c r="O171">
        <v>170</v>
      </c>
      <c r="P171" t="s">
        <v>140</v>
      </c>
      <c r="Q171" t="s">
        <v>37</v>
      </c>
      <c r="R171">
        <v>1296</v>
      </c>
      <c r="S171">
        <v>890</v>
      </c>
      <c r="T171">
        <v>1419</v>
      </c>
    </row>
    <row r="172" spans="15:20" x14ac:dyDescent="0.3">
      <c r="O172">
        <v>171</v>
      </c>
      <c r="P172" t="s">
        <v>141</v>
      </c>
      <c r="Q172" t="s">
        <v>34</v>
      </c>
      <c r="R172">
        <v>1322</v>
      </c>
      <c r="S172">
        <v>503</v>
      </c>
      <c r="T172">
        <v>1772</v>
      </c>
    </row>
    <row r="173" spans="15:20" x14ac:dyDescent="0.3">
      <c r="O173">
        <v>172</v>
      </c>
      <c r="P173" t="s">
        <v>141</v>
      </c>
      <c r="Q173" t="s">
        <v>37</v>
      </c>
      <c r="R173">
        <v>0</v>
      </c>
      <c r="S173">
        <v>0</v>
      </c>
      <c r="T173">
        <v>3600</v>
      </c>
    </row>
    <row r="174" spans="15:20" x14ac:dyDescent="0.3">
      <c r="O174">
        <v>173</v>
      </c>
      <c r="P174" t="s">
        <v>142</v>
      </c>
      <c r="Q174" t="s">
        <v>34</v>
      </c>
      <c r="R174">
        <v>0</v>
      </c>
      <c r="S174">
        <v>0</v>
      </c>
      <c r="T174">
        <v>3600</v>
      </c>
    </row>
    <row r="175" spans="15:20" x14ac:dyDescent="0.3">
      <c r="O175">
        <v>174</v>
      </c>
      <c r="P175" t="s">
        <v>142</v>
      </c>
      <c r="Q175" t="s">
        <v>37</v>
      </c>
      <c r="R175">
        <v>0</v>
      </c>
      <c r="S175">
        <v>0</v>
      </c>
      <c r="T175">
        <v>3600</v>
      </c>
    </row>
    <row r="176" spans="15:20" x14ac:dyDescent="0.3">
      <c r="O176">
        <v>175</v>
      </c>
      <c r="P176" t="s">
        <v>143</v>
      </c>
      <c r="Q176" t="s">
        <v>34</v>
      </c>
      <c r="R176">
        <v>1409</v>
      </c>
      <c r="S176">
        <v>833</v>
      </c>
      <c r="T176">
        <v>1360</v>
      </c>
    </row>
    <row r="177" spans="15:20" x14ac:dyDescent="0.3">
      <c r="O177">
        <v>176</v>
      </c>
      <c r="P177" t="s">
        <v>143</v>
      </c>
      <c r="Q177" t="s">
        <v>37</v>
      </c>
      <c r="R177">
        <v>1729</v>
      </c>
      <c r="S177">
        <v>1051</v>
      </c>
      <c r="T177">
        <v>821</v>
      </c>
    </row>
    <row r="178" spans="15:20" x14ac:dyDescent="0.3">
      <c r="O178">
        <v>177</v>
      </c>
      <c r="P178" t="s">
        <v>144</v>
      </c>
      <c r="Q178" t="s">
        <v>34</v>
      </c>
      <c r="R178">
        <v>1348</v>
      </c>
      <c r="S178">
        <v>742</v>
      </c>
      <c r="T178">
        <v>1515</v>
      </c>
    </row>
    <row r="179" spans="15:20" x14ac:dyDescent="0.3">
      <c r="O179">
        <v>178</v>
      </c>
      <c r="P179" t="s">
        <v>144</v>
      </c>
      <c r="Q179" t="s">
        <v>37</v>
      </c>
      <c r="R179">
        <v>1455</v>
      </c>
      <c r="S179">
        <v>1123</v>
      </c>
      <c r="T179">
        <v>1024</v>
      </c>
    </row>
    <row r="180" spans="15:20" x14ac:dyDescent="0.3">
      <c r="O180">
        <v>179</v>
      </c>
      <c r="P180" t="s">
        <v>33</v>
      </c>
      <c r="Q180" t="s">
        <v>34</v>
      </c>
      <c r="R180">
        <v>1189</v>
      </c>
      <c r="S180">
        <v>892</v>
      </c>
      <c r="T180">
        <v>1521</v>
      </c>
    </row>
    <row r="181" spans="15:20" x14ac:dyDescent="0.3">
      <c r="O181">
        <v>180</v>
      </c>
      <c r="P181" t="s">
        <v>33</v>
      </c>
      <c r="Q181" t="s">
        <v>37</v>
      </c>
      <c r="R181">
        <v>1217</v>
      </c>
      <c r="S181">
        <v>1173</v>
      </c>
      <c r="T181">
        <v>1213</v>
      </c>
    </row>
    <row r="182" spans="15:20" x14ac:dyDescent="0.3">
      <c r="O182">
        <v>181</v>
      </c>
      <c r="P182" t="s">
        <v>39</v>
      </c>
      <c r="Q182" t="s">
        <v>34</v>
      </c>
      <c r="R182">
        <v>1425</v>
      </c>
      <c r="S182">
        <v>863</v>
      </c>
      <c r="T182">
        <v>1317</v>
      </c>
    </row>
    <row r="183" spans="15:20" x14ac:dyDescent="0.3">
      <c r="O183">
        <v>182</v>
      </c>
      <c r="P183" t="s">
        <v>39</v>
      </c>
      <c r="Q183" t="s">
        <v>37</v>
      </c>
      <c r="R183">
        <v>1144</v>
      </c>
      <c r="S183">
        <v>1079</v>
      </c>
      <c r="T183">
        <v>1379</v>
      </c>
    </row>
    <row r="184" spans="15:20" x14ac:dyDescent="0.3">
      <c r="O184">
        <v>183</v>
      </c>
      <c r="P184" t="s">
        <v>43</v>
      </c>
      <c r="Q184" t="s">
        <v>34</v>
      </c>
      <c r="R184">
        <v>1086</v>
      </c>
      <c r="S184">
        <v>1002</v>
      </c>
      <c r="T184">
        <v>1515</v>
      </c>
    </row>
    <row r="185" spans="15:20" x14ac:dyDescent="0.3">
      <c r="O185">
        <v>184</v>
      </c>
      <c r="P185" t="s">
        <v>43</v>
      </c>
      <c r="Q185" t="s">
        <v>37</v>
      </c>
      <c r="R185">
        <v>1197</v>
      </c>
      <c r="S185">
        <v>1045</v>
      </c>
      <c r="T185">
        <v>1360</v>
      </c>
    </row>
    <row r="186" spans="15:20" x14ac:dyDescent="0.3">
      <c r="O186">
        <v>185</v>
      </c>
      <c r="P186" t="s">
        <v>48</v>
      </c>
      <c r="Q186" t="s">
        <v>34</v>
      </c>
      <c r="R186">
        <v>839</v>
      </c>
      <c r="S186">
        <v>630</v>
      </c>
      <c r="T186">
        <v>2134</v>
      </c>
    </row>
    <row r="187" spans="15:20" x14ac:dyDescent="0.3">
      <c r="O187">
        <v>186</v>
      </c>
      <c r="P187" t="s">
        <v>48</v>
      </c>
      <c r="Q187" t="s">
        <v>37</v>
      </c>
      <c r="R187">
        <v>968</v>
      </c>
      <c r="S187">
        <v>829</v>
      </c>
      <c r="T187">
        <v>1804</v>
      </c>
    </row>
    <row r="188" spans="15:20" x14ac:dyDescent="0.3">
      <c r="O188">
        <v>187</v>
      </c>
      <c r="P188" t="s">
        <v>52</v>
      </c>
      <c r="Q188" t="s">
        <v>34</v>
      </c>
      <c r="R188">
        <v>0</v>
      </c>
      <c r="S188">
        <v>0</v>
      </c>
      <c r="T188">
        <v>3600</v>
      </c>
    </row>
    <row r="189" spans="15:20" x14ac:dyDescent="0.3">
      <c r="O189">
        <v>188</v>
      </c>
      <c r="P189" t="s">
        <v>52</v>
      </c>
      <c r="Q189" t="s">
        <v>37</v>
      </c>
      <c r="R189">
        <v>0</v>
      </c>
      <c r="S189">
        <v>0</v>
      </c>
      <c r="T189">
        <v>3600</v>
      </c>
    </row>
    <row r="190" spans="15:20" x14ac:dyDescent="0.3">
      <c r="O190">
        <v>189</v>
      </c>
      <c r="P190" t="s">
        <v>56</v>
      </c>
      <c r="Q190" t="s">
        <v>34</v>
      </c>
      <c r="R190">
        <v>1143</v>
      </c>
      <c r="S190">
        <v>1034</v>
      </c>
      <c r="T190">
        <v>1422</v>
      </c>
    </row>
    <row r="191" spans="15:20" x14ac:dyDescent="0.3">
      <c r="O191">
        <v>190</v>
      </c>
      <c r="P191" t="s">
        <v>56</v>
      </c>
      <c r="Q191" t="s">
        <v>37</v>
      </c>
      <c r="R191">
        <v>1059</v>
      </c>
      <c r="S191">
        <v>1162</v>
      </c>
      <c r="T191">
        <v>1381</v>
      </c>
    </row>
    <row r="192" spans="15:20" x14ac:dyDescent="0.3">
      <c r="O192">
        <v>191</v>
      </c>
      <c r="P192" t="s">
        <v>60</v>
      </c>
      <c r="Q192" t="s">
        <v>34</v>
      </c>
      <c r="R192">
        <v>1096</v>
      </c>
      <c r="S192">
        <v>964</v>
      </c>
      <c r="T192">
        <v>1540</v>
      </c>
    </row>
    <row r="193" spans="15:20" x14ac:dyDescent="0.3">
      <c r="O193">
        <v>192</v>
      </c>
      <c r="P193" t="s">
        <v>60</v>
      </c>
      <c r="Q193" t="s">
        <v>37</v>
      </c>
      <c r="R193">
        <v>1278</v>
      </c>
      <c r="S193">
        <v>964</v>
      </c>
      <c r="T193">
        <v>1364</v>
      </c>
    </row>
    <row r="194" spans="15:20" x14ac:dyDescent="0.3">
      <c r="O194">
        <v>193</v>
      </c>
      <c r="P194" t="s">
        <v>62</v>
      </c>
      <c r="Q194" t="s">
        <v>34</v>
      </c>
      <c r="R194">
        <v>1151</v>
      </c>
      <c r="S194">
        <v>913</v>
      </c>
      <c r="T194">
        <v>1537</v>
      </c>
    </row>
    <row r="195" spans="15:20" x14ac:dyDescent="0.3">
      <c r="O195">
        <v>194</v>
      </c>
      <c r="P195" t="s">
        <v>62</v>
      </c>
      <c r="Q195" t="s">
        <v>37</v>
      </c>
      <c r="R195">
        <v>1165</v>
      </c>
      <c r="S195">
        <v>1083</v>
      </c>
      <c r="T195">
        <v>1353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T195"/>
  <sheetViews>
    <sheetView tabSelected="1" topLeftCell="F28" zoomScaleNormal="100" workbookViewId="0">
      <selection activeCell="L59" sqref="L59"/>
    </sheetView>
  </sheetViews>
  <sheetFormatPr defaultRowHeight="14.4" x14ac:dyDescent="0.3"/>
  <cols>
    <col min="1" max="1" width="3" bestFit="1" customWidth="1"/>
    <col min="2" max="3" width="10.88671875" bestFit="1" customWidth="1"/>
    <col min="4" max="4" width="34.109375" bestFit="1" customWidth="1"/>
    <col min="5" max="5" width="30.5546875" bestFit="1" customWidth="1"/>
    <col min="6" max="6" width="22.6640625" bestFit="1" customWidth="1"/>
    <col min="9" max="10" width="11.6640625" bestFit="1" customWidth="1"/>
    <col min="11" max="11" width="8.33203125" bestFit="1" customWidth="1"/>
    <col min="12" max="12" width="11.5546875" bestFit="1" customWidth="1"/>
    <col min="13" max="13" width="10" bestFit="1" customWidth="1"/>
  </cols>
  <sheetData>
    <row r="1" spans="1:20" s="2" customFormat="1" x14ac:dyDescent="0.3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  <c r="L1" s="3" t="s">
        <v>31</v>
      </c>
      <c r="M1" s="3" t="s">
        <v>32</v>
      </c>
    </row>
    <row r="2" spans="1:20" x14ac:dyDescent="0.3">
      <c r="A2">
        <v>1</v>
      </c>
      <c r="B2" t="s">
        <v>33</v>
      </c>
      <c r="C2" t="s">
        <v>34</v>
      </c>
      <c r="D2">
        <v>524</v>
      </c>
      <c r="E2">
        <v>460</v>
      </c>
      <c r="F2">
        <v>1183</v>
      </c>
      <c r="H2" t="s">
        <v>35</v>
      </c>
      <c r="I2" s="1">
        <v>0.21</v>
      </c>
      <c r="J2" s="1">
        <v>0.29647058823529399</v>
      </c>
      <c r="K2" s="1">
        <f>IFERROR(SUMIFS(S:S,P:P,"*/01/2026")/(SUMIFS(R:R,P:P,"*/01/2026")+SUMIFS(S:S,P:P,"*/01/2026")+SUMIFS(T:T,P:P,"*/01/2026")),"")</f>
        <v>0.15115834887535673</v>
      </c>
      <c r="L2" s="1">
        <f>IFERROR(SUMIFS(R:R,P:P,"*/01/2026")/(SUMIFS(R:R,P:P,"*/01/2026")+SUMIFS(S:S,P:P,"*/01/2026")+SUMIFS(T:T,P:P,"*/01/2026")),"")</f>
        <v>0.20187403096420467</v>
      </c>
      <c r="M2" s="1">
        <f>IFERROR(SUMIFS(T:T,P:P,"*/01/2026")/(SUMIFS(R:R,P:P,"*/01/2026")+SUMIFS(S:S,P:P,"*/01/2026")+SUMIFS(T:T,P:P,"*/01/2026")),"")</f>
        <v>0.64696762016043863</v>
      </c>
      <c r="O2">
        <v>1</v>
      </c>
      <c r="P2" t="s">
        <v>36</v>
      </c>
      <c r="Q2" t="s">
        <v>34</v>
      </c>
      <c r="R2">
        <v>0</v>
      </c>
      <c r="S2">
        <v>0</v>
      </c>
      <c r="T2">
        <v>2160</v>
      </c>
    </row>
    <row r="3" spans="1:20" x14ac:dyDescent="0.3">
      <c r="A3">
        <v>2</v>
      </c>
      <c r="B3" t="s">
        <v>33</v>
      </c>
      <c r="C3" t="s">
        <v>37</v>
      </c>
      <c r="D3">
        <v>331</v>
      </c>
      <c r="E3">
        <v>436</v>
      </c>
      <c r="F3">
        <v>1401</v>
      </c>
      <c r="H3" t="s">
        <v>38</v>
      </c>
      <c r="I3" s="1">
        <v>0.21</v>
      </c>
      <c r="J3" s="1">
        <v>0.29647058823529399</v>
      </c>
      <c r="K3" s="1">
        <f>IFERROR(SUMIFS(S:S,P:P,"*/02/2026")/(SUMIFS(R:R,P:P,"*/02/2026")+SUMIFS(S:S,P:P,"*/02/2026")+SUMIFS(T:T,P:P,"*/02/2026")),"")</f>
        <v>0.12992551410117875</v>
      </c>
      <c r="L3" s="1">
        <f>IFERROR(SUMIFS(R:R,P:P,"*/02/2026")/(SUMIFS(R:R,P:P,"*/02/2026")+SUMIFS(S:S,P:P,"*/02/2026")+SUMIFS(T:T,P:P,"*/02/2026")),"")</f>
        <v>0.14813867740099479</v>
      </c>
      <c r="M3" s="1">
        <f>IFERROR(SUMIFS(T:T,P:P,"*/02/2026")/(SUMIFS(R:R,P:P,"*/02/2026")+SUMIFS(S:S,P:P,"*/02/2026")+SUMIFS(T:T,P:P,"*/02/2026")),"")</f>
        <v>0.72193580849782646</v>
      </c>
      <c r="O3">
        <v>2</v>
      </c>
      <c r="P3" t="s">
        <v>36</v>
      </c>
      <c r="Q3" t="s">
        <v>37</v>
      </c>
      <c r="R3">
        <v>44</v>
      </c>
      <c r="S3">
        <v>62</v>
      </c>
      <c r="T3">
        <v>2052</v>
      </c>
    </row>
    <row r="4" spans="1:20" x14ac:dyDescent="0.3">
      <c r="A4">
        <v>3</v>
      </c>
      <c r="B4" t="s">
        <v>39</v>
      </c>
      <c r="C4" t="s">
        <v>34</v>
      </c>
      <c r="D4">
        <v>499</v>
      </c>
      <c r="E4">
        <v>411</v>
      </c>
      <c r="F4">
        <v>1258</v>
      </c>
      <c r="H4" t="s">
        <v>40</v>
      </c>
      <c r="I4" s="1">
        <v>0.21</v>
      </c>
      <c r="J4" s="1">
        <v>0.29647058823529399</v>
      </c>
      <c r="K4" s="1">
        <f>IFERROR(SUMIFS(S:S,P:P,"*/03/2026")/(SUMIFS(R:R,P:P,"*/03/2026")+SUMIFS(S:S,P:P,"*/03/2026")+SUMIFS(T:T,P:P,"*/03/2026")),"")</f>
        <v>0.16912482579241164</v>
      </c>
      <c r="L4" s="1">
        <f>IFERROR(SUMIFS(R:R,P:P,"*/03/2026")/(SUMIFS(R:R,P:P,"*/03/2026")+SUMIFS(S:S,P:P,"*/03/2026")+SUMIFS(T:T,P:P,"*/03/2026")),"")</f>
        <v>0.18562517234440562</v>
      </c>
      <c r="M4" s="1">
        <f>IFERROR(SUMIFS(T:T,P:P,"*/03/2026")/(SUMIFS(R:R,P:P,"*/03/2026")+SUMIFS(S:S,P:P,"*/03/2026")+SUMIFS(T:T,P:P,"*/03/2026")),"")</f>
        <v>0.64525000186318271</v>
      </c>
      <c r="O4">
        <v>3</v>
      </c>
      <c r="P4" t="s">
        <v>41</v>
      </c>
      <c r="Q4" t="s">
        <v>34</v>
      </c>
      <c r="R4">
        <v>632</v>
      </c>
      <c r="S4">
        <v>497</v>
      </c>
      <c r="T4">
        <v>1047</v>
      </c>
    </row>
    <row r="5" spans="1:20" x14ac:dyDescent="0.3">
      <c r="A5">
        <v>4</v>
      </c>
      <c r="B5" t="s">
        <v>39</v>
      </c>
      <c r="C5" t="s">
        <v>37</v>
      </c>
      <c r="D5">
        <v>309</v>
      </c>
      <c r="E5">
        <v>452</v>
      </c>
      <c r="F5">
        <v>1405</v>
      </c>
      <c r="H5" t="s">
        <v>42</v>
      </c>
      <c r="I5" s="1">
        <v>0.21</v>
      </c>
      <c r="J5" s="1">
        <v>0.29647058823529399</v>
      </c>
      <c r="K5" s="1">
        <f>IFERROR(SUMIFS(S:S,P:P,"*/04/2026")/(SUMIFS(R:R,P:P,"*/04/2026")+SUMIFS(S:S,P:P,"*/04/2026")+SUMIFS(T:T,P:P,"*/04/2026")),"")</f>
        <v>0.16231031100340432</v>
      </c>
      <c r="L5" s="1">
        <f>IFERROR(SUMIFS(R:R,P:P,"*/04/2026")/(SUMIFS(R:R,P:P,"*/04/2026")+SUMIFS(S:S,P:P,"*/04/2026")+SUMIFS(T:T,P:P,"*/04/2026")),"")</f>
        <v>0.19730540649702843</v>
      </c>
      <c r="M5" s="1">
        <f>IFERROR(SUMIFS(T:T,P:P,"*/04/2026")/(SUMIFS(R:R,P:P,"*/04/2026")+SUMIFS(S:S,P:P,"*/04/2026")+SUMIFS(T:T,P:P,"*/04/2026")),"")</f>
        <v>0.64038428249956725</v>
      </c>
      <c r="O5">
        <v>4</v>
      </c>
      <c r="P5" t="s">
        <v>41</v>
      </c>
      <c r="Q5" t="s">
        <v>37</v>
      </c>
      <c r="R5">
        <v>392</v>
      </c>
      <c r="S5">
        <v>255</v>
      </c>
      <c r="T5">
        <v>1516</v>
      </c>
    </row>
    <row r="6" spans="1:20" x14ac:dyDescent="0.3">
      <c r="A6">
        <v>5</v>
      </c>
      <c r="B6" t="s">
        <v>43</v>
      </c>
      <c r="C6" t="s">
        <v>34</v>
      </c>
      <c r="D6">
        <v>540</v>
      </c>
      <c r="E6">
        <v>433</v>
      </c>
      <c r="F6">
        <v>1199</v>
      </c>
      <c r="H6" t="s">
        <v>44</v>
      </c>
      <c r="I6" s="1">
        <v>0.21</v>
      </c>
      <c r="J6" s="1">
        <v>0.29647058823529399</v>
      </c>
      <c r="K6" s="1" t="str">
        <f>IFERROR(SUMIFS(S:S,P:P,"*/05/2026")/(SUMIFS(R:R,P:P,"*/05/2026")+SUMIFS(S:S,P:P,"*/05/2026")+SUMIFS(T:T,P:P,"*/05/2026")),"")</f>
        <v/>
      </c>
      <c r="L6" s="1" t="str">
        <f>IFERROR(SUMIFS(R:R,P:P,"*/05/2026")/(SUMIFS(R:R,P:P,"*/05/2026")+SUMIFS(S:S,P:P,"*/05/2026")+SUMIFS(T:T,P:P,"*/05/2026")),"")</f>
        <v/>
      </c>
      <c r="M6" s="1" t="str">
        <f>IFERROR(SUMIFS(T:T,P:P,"*/05/2026")/(SUMIFS(R:R,P:P,"*/05/2026")+SUMIFS(S:S,P:P,"*/05/2026")+SUMIFS(T:T,P:P,"*/05/2026")),"")</f>
        <v/>
      </c>
      <c r="O6">
        <v>5</v>
      </c>
      <c r="P6" t="s">
        <v>45</v>
      </c>
      <c r="Q6" t="s">
        <v>37</v>
      </c>
      <c r="R6">
        <v>940</v>
      </c>
      <c r="S6">
        <v>742</v>
      </c>
      <c r="T6">
        <v>1847</v>
      </c>
    </row>
    <row r="7" spans="1:20" x14ac:dyDescent="0.3">
      <c r="A7">
        <v>6</v>
      </c>
      <c r="B7" t="s">
        <v>43</v>
      </c>
      <c r="C7" t="s">
        <v>37</v>
      </c>
      <c r="D7">
        <v>372</v>
      </c>
      <c r="E7">
        <v>506</v>
      </c>
      <c r="F7">
        <v>1291</v>
      </c>
      <c r="H7" t="s">
        <v>46</v>
      </c>
      <c r="I7" s="1">
        <v>0.21</v>
      </c>
      <c r="J7" s="1">
        <v>0.29647058823529399</v>
      </c>
      <c r="K7" s="1" t="str">
        <f>IFERROR(SUMIFS(S:S,P:P,"*/06/2026")/(SUMIFS(R:R,P:P,"*/06/2026")+SUMIFS(S:S,P:P,"*/06/2026")+SUMIFS(T:T,P:P,"*/06/2026")),"")</f>
        <v/>
      </c>
      <c r="L7" s="1" t="str">
        <f>IFERROR(SUMIFS(R:R,P:P,"*/06/2026")/(SUMIFS(R:R,P:P,"*/06/2026")+SUMIFS(S:S,P:P,"*/06/2026")+SUMIFS(T:T,P:P,"*/06/2026")),"")</f>
        <v/>
      </c>
      <c r="M7" s="1" t="str">
        <f>IFERROR(SUMIFS(T:T,P:P,"*/06/2026")/(SUMIFS(R:R,P:P,"*/06/2026")+SUMIFS(S:S,P:P,"*/06/2026")+SUMIFS(T:T,P:P,"*/06/2026")),"")</f>
        <v/>
      </c>
      <c r="O7">
        <v>6</v>
      </c>
      <c r="P7" t="s">
        <v>47</v>
      </c>
      <c r="Q7" t="s">
        <v>34</v>
      </c>
      <c r="R7">
        <v>0</v>
      </c>
      <c r="S7">
        <v>0</v>
      </c>
      <c r="T7">
        <v>2160</v>
      </c>
    </row>
    <row r="8" spans="1:20" x14ac:dyDescent="0.3">
      <c r="A8">
        <v>7</v>
      </c>
      <c r="B8" t="s">
        <v>48</v>
      </c>
      <c r="C8" t="s">
        <v>34</v>
      </c>
      <c r="D8">
        <v>725</v>
      </c>
      <c r="E8">
        <v>281</v>
      </c>
      <c r="F8">
        <v>1163</v>
      </c>
      <c r="H8" t="s">
        <v>49</v>
      </c>
      <c r="I8" s="1">
        <v>0.21</v>
      </c>
      <c r="J8" s="1">
        <v>0.29647058823529399</v>
      </c>
      <c r="K8" s="1" t="str">
        <f>IFERROR(SUMIFS(S:S,P:P,"*/07/2026")/(SUMIFS(R:R,P:P,"*/07/2026")+SUMIFS(S:S,P:P,"*/07/2026")+SUMIFS(T:T,P:P,"*/07/2026")),"")</f>
        <v/>
      </c>
      <c r="L8" s="1" t="str">
        <f>IFERROR(SUMIFS(R:R,P:P,"*/07/2026")/(SUMIFS(R:R,P:P,"*/07/2026")+SUMIFS(S:S,P:P,"*/07/2026")+SUMIFS(T:T,P:P,"*/07/2026")),"")</f>
        <v/>
      </c>
      <c r="M8" s="1" t="str">
        <f>IFERROR(SUMIFS(T:T,P:P,"*/07/2026")/(SUMIFS(R:R,P:P,"*/07/2026")+SUMIFS(S:S,P:P,"*/07/2026")+SUMIFS(T:T,P:P,"*/07/2026")),"")</f>
        <v/>
      </c>
      <c r="O8">
        <v>7</v>
      </c>
      <c r="P8" t="s">
        <v>47</v>
      </c>
      <c r="Q8" t="s">
        <v>37</v>
      </c>
      <c r="R8">
        <v>0</v>
      </c>
      <c r="S8">
        <v>0</v>
      </c>
      <c r="T8">
        <v>2160</v>
      </c>
    </row>
    <row r="9" spans="1:20" x14ac:dyDescent="0.3">
      <c r="A9">
        <v>8</v>
      </c>
      <c r="B9" t="s">
        <v>48</v>
      </c>
      <c r="C9" t="s">
        <v>37</v>
      </c>
      <c r="D9">
        <v>243</v>
      </c>
      <c r="E9">
        <v>386</v>
      </c>
      <c r="F9">
        <v>1535</v>
      </c>
      <c r="H9" t="s">
        <v>50</v>
      </c>
      <c r="I9" s="1">
        <v>0.21</v>
      </c>
      <c r="J9" s="1">
        <v>0.29647058823529399</v>
      </c>
      <c r="K9" s="1" t="str">
        <f>IFERROR(SUMIFS(S:S,P:P,"*/08/2026")/(SUMIFS(R:R,P:P,"*/08/2026")+SUMIFS(S:S,P:P,"*/08/2026")+SUMIFS(T:T,P:P,"*/08/2026")),"")</f>
        <v/>
      </c>
      <c r="L9" s="1" t="str">
        <f>IFERROR(SUMIFS(R:R,P:P,"*/08/2026")/(SUMIFS(R:R,P:P,"*/08/2026")+SUMIFS(S:S,P:P,"*/08/2026")+SUMIFS(T:T,P:P,"*/08/2026")),"")</f>
        <v/>
      </c>
      <c r="M9" s="1" t="str">
        <f>IFERROR(SUMIFS(T:T,P:P,"*/08/2026")/(SUMIFS(R:R,P:P,"*/08/2026")+SUMIFS(S:S,P:P,"*/08/2026")+SUMIFS(T:T,P:P,"*/08/2026")),"")</f>
        <v/>
      </c>
      <c r="O9">
        <v>8</v>
      </c>
      <c r="P9" t="s">
        <v>51</v>
      </c>
      <c r="Q9" t="s">
        <v>34</v>
      </c>
      <c r="R9">
        <v>735</v>
      </c>
      <c r="S9">
        <v>308</v>
      </c>
      <c r="T9">
        <v>1124</v>
      </c>
    </row>
    <row r="10" spans="1:20" x14ac:dyDescent="0.3">
      <c r="A10">
        <v>9</v>
      </c>
      <c r="B10" t="s">
        <v>52</v>
      </c>
      <c r="C10" t="s">
        <v>34</v>
      </c>
      <c r="D10">
        <v>72</v>
      </c>
      <c r="E10">
        <v>1</v>
      </c>
      <c r="F10">
        <v>2086</v>
      </c>
      <c r="H10" t="s">
        <v>53</v>
      </c>
      <c r="I10" s="1">
        <v>0.21</v>
      </c>
      <c r="J10" s="1">
        <v>0.29647058823529399</v>
      </c>
      <c r="K10" s="1" t="str">
        <f>IFERROR(SUMIFS(S:S,P:P,"*/09/2026")/(SUMIFS(R:R,P:P,"*/09/2026")+SUMIFS(S:S,P:P,"*/09/2026")+SUMIFS(T:T,P:P,"*/09/2026")),"")</f>
        <v/>
      </c>
      <c r="L10" s="1" t="str">
        <f>IFERROR(SUMIFS(R:R,P:P,"*/09/2026")/(SUMIFS(R:R,P:P,"*/09/2026")+SUMIFS(S:S,P:P,"*/09/2026")+SUMIFS(T:T,P:P,"*/09/2026")),"")</f>
        <v/>
      </c>
      <c r="M10" s="1" t="str">
        <f>IFERROR(SUMIFS(T:T,P:P,"*/09/2026")/(SUMIFS(R:R,P:P,"*/09/2026")+SUMIFS(S:S,P:P,"*/09/2026")+SUMIFS(T:T,P:P,"*/09/2026")),"")</f>
        <v/>
      </c>
      <c r="O10">
        <v>9</v>
      </c>
      <c r="P10" t="s">
        <v>51</v>
      </c>
      <c r="Q10" t="s">
        <v>37</v>
      </c>
      <c r="R10">
        <v>357</v>
      </c>
      <c r="S10">
        <v>398</v>
      </c>
      <c r="T10">
        <v>1387</v>
      </c>
    </row>
    <row r="11" spans="1:20" x14ac:dyDescent="0.3">
      <c r="A11">
        <v>10</v>
      </c>
      <c r="B11" t="s">
        <v>52</v>
      </c>
      <c r="C11" t="s">
        <v>37</v>
      </c>
      <c r="D11">
        <v>720</v>
      </c>
      <c r="E11">
        <v>0</v>
      </c>
      <c r="F11">
        <v>1440</v>
      </c>
      <c r="H11" t="s">
        <v>54</v>
      </c>
      <c r="I11" s="1">
        <v>0.21</v>
      </c>
      <c r="J11" s="1">
        <v>0.29647058823529399</v>
      </c>
      <c r="K11" s="1" t="str">
        <f>IFERROR(SUMIFS(S:S,P:P,"*/10/2026")/(SUMIFS(R:R,P:P,"*/10/2026")+SUMIFS(S:S,P:P,"*/10/2026")+SUMIFS(T:T,P:P,"*/10/2026")),"")</f>
        <v/>
      </c>
      <c r="L11" s="1" t="str">
        <f>IFERROR(SUMIFS(R:R,P:P,"*/10/2026")/(SUMIFS(R:R,P:P,"*/10/2026")+SUMIFS(S:S,P:P,"*/10/2026")+SUMIFS(T:T,P:P,"*/10/2026")),"")</f>
        <v/>
      </c>
      <c r="M11" s="1" t="str">
        <f>IFERROR(SUMIFS(T:T,P:P,"*/10/2026")/(SUMIFS(R:R,P:P,"*/10/2026")+SUMIFS(S:S,P:P,"*/10/2026")+SUMIFS(T:T,P:P,"*/10/2026")),"")</f>
        <v/>
      </c>
      <c r="O11">
        <v>10</v>
      </c>
      <c r="P11" t="s">
        <v>55</v>
      </c>
      <c r="Q11" t="s">
        <v>34</v>
      </c>
      <c r="R11">
        <v>616</v>
      </c>
      <c r="S11">
        <v>394</v>
      </c>
      <c r="T11">
        <v>1159</v>
      </c>
    </row>
    <row r="12" spans="1:20" x14ac:dyDescent="0.3">
      <c r="A12">
        <v>11</v>
      </c>
      <c r="B12" t="s">
        <v>56</v>
      </c>
      <c r="C12" t="s">
        <v>34</v>
      </c>
      <c r="D12">
        <v>424</v>
      </c>
      <c r="E12">
        <v>459</v>
      </c>
      <c r="F12">
        <v>1282</v>
      </c>
      <c r="H12" t="s">
        <v>57</v>
      </c>
      <c r="I12" s="1">
        <v>0.21</v>
      </c>
      <c r="J12" s="1">
        <v>0.29647058823529399</v>
      </c>
      <c r="K12" s="1" t="str">
        <f>IFERROR(SUMIFS(S:S,P:P,"*/11/2026")/(SUMIFS(R:R,P:P,"*/11/2026")+SUMIFS(S:S,P:P,"*/11/2026")+SUMIFS(T:T,P:P,"*/11/2026")),"")</f>
        <v/>
      </c>
      <c r="L12" s="1" t="str">
        <f>IFERROR(SUMIFS(R:R,P:P,"*/11/2026")/(SUMIFS(R:R,P:P,"*/11/2026")+SUMIFS(S:S,P:P,"*/11/2026")+SUMIFS(T:T,P:P,"*/11/2026")),"")</f>
        <v/>
      </c>
      <c r="M12" s="1" t="str">
        <f>IFERROR(SUMIFS(T:T,P:P,"*/11/2026")/(SUMIFS(R:R,P:P,"*/11/2026")+SUMIFS(S:S,P:P,"*/11/2026")+SUMIFS(T:T,P:P,"*/11/2026")),"")</f>
        <v/>
      </c>
      <c r="O12">
        <v>11</v>
      </c>
      <c r="P12" t="s">
        <v>55</v>
      </c>
      <c r="Q12" t="s">
        <v>37</v>
      </c>
      <c r="R12">
        <v>359</v>
      </c>
      <c r="S12">
        <v>380</v>
      </c>
      <c r="T12">
        <v>1429</v>
      </c>
    </row>
    <row r="13" spans="1:20" x14ac:dyDescent="0.3">
      <c r="A13">
        <v>12</v>
      </c>
      <c r="B13" t="s">
        <v>56</v>
      </c>
      <c r="C13" t="s">
        <v>37</v>
      </c>
      <c r="D13">
        <v>328</v>
      </c>
      <c r="E13">
        <v>224</v>
      </c>
      <c r="F13">
        <v>1616</v>
      </c>
      <c r="H13" t="s">
        <v>58</v>
      </c>
      <c r="I13" s="1">
        <v>0.21</v>
      </c>
      <c r="J13" s="1">
        <v>0.29647058823529399</v>
      </c>
      <c r="K13" s="1" t="str">
        <f>IFERROR(SUMIFS(S:S,P:P,"*/12/2026")/(SUMIFS(R:R,P:P,"*/12/2026")+SUMIFS(S:S,P:P,"*/12/2026")+SUMIFS(T:T,P:P,"*/12/2026")),"")</f>
        <v/>
      </c>
      <c r="L13" s="1" t="str">
        <f>IFERROR(SUMIFS(R:R,P:P,"*/12/2026")/(SUMIFS(R:R,P:P,"*/12/2026")+SUMIFS(S:S,P:P,"*/12/2026")+SUMIFS(T:T,P:P,"*/12/2026")),"")</f>
        <v/>
      </c>
      <c r="M13" s="1" t="str">
        <f>IFERROR(SUMIFS(T:T,P:P,"*/12/2026")/(SUMIFS(R:R,P:P,"*/12/2026")+SUMIFS(S:S,P:P,"*/12/2026")+SUMIFS(T:T,P:P,"*/12/2026")),"")</f>
        <v/>
      </c>
      <c r="O13">
        <v>12</v>
      </c>
      <c r="P13" t="s">
        <v>59</v>
      </c>
      <c r="Q13" t="s">
        <v>34</v>
      </c>
      <c r="R13">
        <v>179</v>
      </c>
      <c r="S13">
        <v>181</v>
      </c>
      <c r="T13">
        <v>1800</v>
      </c>
    </row>
    <row r="14" spans="1:20" x14ac:dyDescent="0.3">
      <c r="A14">
        <v>13</v>
      </c>
      <c r="B14" t="s">
        <v>60</v>
      </c>
      <c r="C14" t="s">
        <v>34</v>
      </c>
      <c r="D14">
        <v>581</v>
      </c>
      <c r="E14">
        <v>413</v>
      </c>
      <c r="F14">
        <v>1171</v>
      </c>
      <c r="H14" t="str">
        <f>IF(B2="","",TEXT(B2,"dd/mm")&amp; "-" &amp;IF(UPPER(TRIM(C2))="CN",1,IF(UPPER(TRIM(C2))="CD",2,"")))</f>
        <v>01/04-1</v>
      </c>
      <c r="I14" s="1">
        <v>0.21</v>
      </c>
      <c r="J14" s="1">
        <v>0.29647058823529399</v>
      </c>
      <c r="K14" s="1">
        <f t="shared" ref="K14:K45" si="0">IFERROR($E2/SUM($D2:$F2),"")</f>
        <v>0.21227503461006</v>
      </c>
      <c r="L14" s="1">
        <f t="shared" ref="L14:L45" si="1">IFERROR($D2/SUM($D2:$F2),"")</f>
        <v>0.24180895246885095</v>
      </c>
      <c r="M14" s="1">
        <f t="shared" ref="M14:M45" si="2">IFERROR($F2/SUM($D2:$F2),"")</f>
        <v>0.54591601292108904</v>
      </c>
      <c r="O14">
        <v>13</v>
      </c>
      <c r="P14" t="s">
        <v>59</v>
      </c>
      <c r="Q14" t="s">
        <v>37</v>
      </c>
      <c r="R14">
        <v>0</v>
      </c>
      <c r="S14">
        <v>0</v>
      </c>
      <c r="T14">
        <v>2160</v>
      </c>
    </row>
    <row r="15" spans="1:20" x14ac:dyDescent="0.3">
      <c r="A15">
        <v>14</v>
      </c>
      <c r="B15" t="s">
        <v>60</v>
      </c>
      <c r="C15" t="s">
        <v>37</v>
      </c>
      <c r="D15">
        <v>389</v>
      </c>
      <c r="E15">
        <v>223</v>
      </c>
      <c r="F15">
        <v>1554</v>
      </c>
      <c r="H15" t="str">
        <f t="shared" ref="H15:H46" si="3">IF(B3="","",TEXT(B3,"dd/mm") &amp; "-" &amp; IF(UPPER(TRIM(C3))="CN",1,IF(UPPER(TRIM(C3))="CD",2,"")))</f>
        <v>01/04-2</v>
      </c>
      <c r="I15" s="1">
        <v>0.21</v>
      </c>
      <c r="J15" s="1">
        <v>0.29647058823529399</v>
      </c>
      <c r="K15" s="1">
        <f t="shared" si="0"/>
        <v>0.2011070110701107</v>
      </c>
      <c r="L15" s="1">
        <f t="shared" si="1"/>
        <v>0.15267527675276754</v>
      </c>
      <c r="M15" s="1">
        <f t="shared" si="2"/>
        <v>0.64621771217712176</v>
      </c>
      <c r="O15">
        <v>14</v>
      </c>
      <c r="P15" t="s">
        <v>61</v>
      </c>
      <c r="Q15" t="s">
        <v>34</v>
      </c>
      <c r="R15">
        <v>1056</v>
      </c>
      <c r="S15">
        <v>378</v>
      </c>
      <c r="T15">
        <v>747</v>
      </c>
    </row>
    <row r="16" spans="1:20" x14ac:dyDescent="0.3">
      <c r="A16">
        <v>15</v>
      </c>
      <c r="B16" t="s">
        <v>62</v>
      </c>
      <c r="C16" t="s">
        <v>34</v>
      </c>
      <c r="D16">
        <v>303</v>
      </c>
      <c r="E16">
        <v>372</v>
      </c>
      <c r="F16">
        <v>1490</v>
      </c>
      <c r="H16" t="str">
        <f t="shared" si="3"/>
        <v>02/04-1</v>
      </c>
      <c r="I16" s="1">
        <v>0.21</v>
      </c>
      <c r="J16" s="1">
        <v>0.29647058823529399</v>
      </c>
      <c r="K16" s="1">
        <f t="shared" si="0"/>
        <v>0.18957564575645758</v>
      </c>
      <c r="L16" s="1">
        <f t="shared" si="1"/>
        <v>0.2301660516605166</v>
      </c>
      <c r="M16" s="1">
        <f t="shared" si="2"/>
        <v>0.5802583025830258</v>
      </c>
      <c r="O16">
        <v>15</v>
      </c>
      <c r="P16" t="s">
        <v>61</v>
      </c>
      <c r="Q16" t="s">
        <v>37</v>
      </c>
      <c r="R16">
        <v>599</v>
      </c>
      <c r="S16">
        <v>449</v>
      </c>
      <c r="T16">
        <v>1117</v>
      </c>
    </row>
    <row r="17" spans="1:20" x14ac:dyDescent="0.3">
      <c r="A17">
        <v>16</v>
      </c>
      <c r="B17" t="s">
        <v>62</v>
      </c>
      <c r="C17" t="s">
        <v>37</v>
      </c>
      <c r="D17">
        <v>479</v>
      </c>
      <c r="E17">
        <v>569</v>
      </c>
      <c r="F17">
        <v>1123</v>
      </c>
      <c r="H17" t="str">
        <f t="shared" si="3"/>
        <v>02/04-2</v>
      </c>
      <c r="I17" s="1">
        <v>0.21</v>
      </c>
      <c r="J17" s="1">
        <v>0.29647058823529399</v>
      </c>
      <c r="K17" s="1">
        <f t="shared" si="0"/>
        <v>0.20867959372114497</v>
      </c>
      <c r="L17" s="1">
        <f t="shared" si="1"/>
        <v>0.14265927977839335</v>
      </c>
      <c r="M17" s="1">
        <f t="shared" si="2"/>
        <v>0.6486611265004617</v>
      </c>
      <c r="O17">
        <v>16</v>
      </c>
      <c r="P17" t="s">
        <v>63</v>
      </c>
      <c r="Q17" t="s">
        <v>34</v>
      </c>
      <c r="R17">
        <v>574</v>
      </c>
      <c r="S17">
        <v>323</v>
      </c>
      <c r="T17">
        <v>1276</v>
      </c>
    </row>
    <row r="18" spans="1:20" x14ac:dyDescent="0.3">
      <c r="H18" t="str">
        <f t="shared" si="3"/>
        <v>03/04-1</v>
      </c>
      <c r="I18" s="1">
        <v>0.21</v>
      </c>
      <c r="J18" s="1">
        <v>0.29647058823529399</v>
      </c>
      <c r="K18" s="1">
        <f t="shared" si="0"/>
        <v>0.19935543278084714</v>
      </c>
      <c r="L18" s="1">
        <f t="shared" si="1"/>
        <v>0.24861878453038674</v>
      </c>
      <c r="M18" s="1">
        <f t="shared" si="2"/>
        <v>0.55202578268876612</v>
      </c>
      <c r="O18">
        <v>17</v>
      </c>
      <c r="P18" t="s">
        <v>63</v>
      </c>
      <c r="Q18" t="s">
        <v>37</v>
      </c>
      <c r="R18">
        <v>312</v>
      </c>
      <c r="S18">
        <v>422</v>
      </c>
      <c r="T18">
        <v>1434</v>
      </c>
    </row>
    <row r="19" spans="1:20" x14ac:dyDescent="0.3">
      <c r="H19" t="str">
        <f t="shared" si="3"/>
        <v>03/04-2</v>
      </c>
      <c r="I19" s="1">
        <v>0.21</v>
      </c>
      <c r="J19" s="1">
        <v>0.29647058823529399</v>
      </c>
      <c r="K19" s="1">
        <f t="shared" si="0"/>
        <v>0.23328722913785155</v>
      </c>
      <c r="L19" s="1">
        <f t="shared" si="1"/>
        <v>0.1715076071922545</v>
      </c>
      <c r="M19" s="1">
        <f t="shared" si="2"/>
        <v>0.59520516366989396</v>
      </c>
      <c r="O19">
        <v>18</v>
      </c>
      <c r="P19" t="s">
        <v>64</v>
      </c>
      <c r="Q19" t="s">
        <v>34</v>
      </c>
      <c r="R19">
        <v>676</v>
      </c>
      <c r="S19">
        <v>311</v>
      </c>
      <c r="T19">
        <v>1181</v>
      </c>
    </row>
    <row r="20" spans="1:20" x14ac:dyDescent="0.3">
      <c r="H20" t="str">
        <f t="shared" si="3"/>
        <v>04/04-1</v>
      </c>
      <c r="I20" s="1">
        <v>0.21</v>
      </c>
      <c r="J20" s="1">
        <v>0.29647058823529399</v>
      </c>
      <c r="K20" s="1">
        <f t="shared" si="0"/>
        <v>0.12955278930382666</v>
      </c>
      <c r="L20" s="1">
        <f t="shared" si="1"/>
        <v>0.33425541724296909</v>
      </c>
      <c r="M20" s="1">
        <f t="shared" si="2"/>
        <v>0.53619179345320422</v>
      </c>
      <c r="O20">
        <v>19</v>
      </c>
      <c r="P20" t="s">
        <v>64</v>
      </c>
      <c r="Q20" t="s">
        <v>37</v>
      </c>
      <c r="R20">
        <v>0</v>
      </c>
      <c r="S20">
        <v>0</v>
      </c>
      <c r="T20">
        <v>2160</v>
      </c>
    </row>
    <row r="21" spans="1:20" x14ac:dyDescent="0.3">
      <c r="H21" t="str">
        <f t="shared" si="3"/>
        <v>04/04-2</v>
      </c>
      <c r="I21" s="1">
        <v>0.21</v>
      </c>
      <c r="J21" s="1">
        <v>0.29647058823529399</v>
      </c>
      <c r="K21" s="1">
        <f t="shared" si="0"/>
        <v>0.17837338262476896</v>
      </c>
      <c r="L21" s="1">
        <f t="shared" si="1"/>
        <v>0.1122920517560074</v>
      </c>
      <c r="M21" s="1">
        <f t="shared" si="2"/>
        <v>0.7093345656192237</v>
      </c>
      <c r="O21">
        <v>20</v>
      </c>
      <c r="P21" t="s">
        <v>65</v>
      </c>
      <c r="Q21" t="s">
        <v>34</v>
      </c>
      <c r="R21">
        <v>0</v>
      </c>
      <c r="S21">
        <v>0</v>
      </c>
      <c r="T21">
        <v>2160</v>
      </c>
    </row>
    <row r="22" spans="1:20" x14ac:dyDescent="0.3">
      <c r="H22" t="str">
        <f t="shared" si="3"/>
        <v>05/04-1</v>
      </c>
      <c r="I22" s="1">
        <v>0.21</v>
      </c>
      <c r="J22" s="1">
        <v>0.29647058823529399</v>
      </c>
      <c r="K22" s="1">
        <f t="shared" si="0"/>
        <v>4.6317739694302917E-4</v>
      </c>
      <c r="L22" s="1">
        <f t="shared" si="1"/>
        <v>3.3348772579898101E-2</v>
      </c>
      <c r="M22" s="1">
        <f t="shared" si="2"/>
        <v>0.96618805002315888</v>
      </c>
      <c r="O22">
        <v>21</v>
      </c>
      <c r="P22" t="s">
        <v>65</v>
      </c>
      <c r="Q22" t="s">
        <v>37</v>
      </c>
      <c r="R22">
        <v>0</v>
      </c>
      <c r="S22">
        <v>0</v>
      </c>
      <c r="T22">
        <v>2160</v>
      </c>
    </row>
    <row r="23" spans="1:20" x14ac:dyDescent="0.3">
      <c r="H23" t="str">
        <f t="shared" si="3"/>
        <v>05/04-2</v>
      </c>
      <c r="I23" s="1">
        <v>0.21</v>
      </c>
      <c r="J23" s="1">
        <v>0.29647058823529399</v>
      </c>
      <c r="K23" s="1">
        <f t="shared" si="0"/>
        <v>0</v>
      </c>
      <c r="L23" s="1">
        <f t="shared" si="1"/>
        <v>0.33333333333333331</v>
      </c>
      <c r="M23" s="1">
        <f t="shared" si="2"/>
        <v>0.66666666666666663</v>
      </c>
      <c r="O23">
        <v>22</v>
      </c>
      <c r="P23" t="s">
        <v>66</v>
      </c>
      <c r="Q23" t="s">
        <v>34</v>
      </c>
      <c r="R23">
        <v>325</v>
      </c>
      <c r="S23">
        <v>364</v>
      </c>
      <c r="T23">
        <v>1475</v>
      </c>
    </row>
    <row r="24" spans="1:20" x14ac:dyDescent="0.3">
      <c r="H24" t="str">
        <f t="shared" si="3"/>
        <v>06/04-1</v>
      </c>
      <c r="I24" s="1">
        <v>0.21</v>
      </c>
      <c r="J24" s="1">
        <v>0.29647058823529399</v>
      </c>
      <c r="K24" s="1">
        <f t="shared" si="0"/>
        <v>0.21200923787528869</v>
      </c>
      <c r="L24" s="1">
        <f t="shared" si="1"/>
        <v>0.19584295612009237</v>
      </c>
      <c r="M24" s="1">
        <f t="shared" si="2"/>
        <v>0.59214780600461892</v>
      </c>
      <c r="O24">
        <v>23</v>
      </c>
      <c r="P24" t="s">
        <v>66</v>
      </c>
      <c r="Q24" t="s">
        <v>37</v>
      </c>
      <c r="R24">
        <v>692</v>
      </c>
      <c r="S24">
        <v>396</v>
      </c>
      <c r="T24">
        <v>1086</v>
      </c>
    </row>
    <row r="25" spans="1:20" x14ac:dyDescent="0.3">
      <c r="H25" t="str">
        <f t="shared" si="3"/>
        <v>06/04-2</v>
      </c>
      <c r="I25" s="1">
        <v>0.21</v>
      </c>
      <c r="J25" s="1">
        <v>0.29647058823529399</v>
      </c>
      <c r="K25" s="1">
        <f t="shared" si="0"/>
        <v>0.10332103321033211</v>
      </c>
      <c r="L25" s="1">
        <f t="shared" si="1"/>
        <v>0.15129151291512916</v>
      </c>
      <c r="M25" s="1">
        <f t="shared" si="2"/>
        <v>0.74538745387453875</v>
      </c>
      <c r="O25">
        <v>24</v>
      </c>
      <c r="P25" t="s">
        <v>67</v>
      </c>
      <c r="Q25" t="s">
        <v>34</v>
      </c>
      <c r="R25">
        <v>298</v>
      </c>
      <c r="S25">
        <v>356</v>
      </c>
      <c r="T25">
        <v>1512</v>
      </c>
    </row>
    <row r="26" spans="1:20" x14ac:dyDescent="0.3">
      <c r="H26" t="str">
        <f t="shared" si="3"/>
        <v>07/04-1</v>
      </c>
      <c r="I26" s="1">
        <v>0.21</v>
      </c>
      <c r="J26" s="1">
        <v>0.29647058823529399</v>
      </c>
      <c r="K26" s="1">
        <f t="shared" si="0"/>
        <v>0.1907621247113164</v>
      </c>
      <c r="L26" s="1">
        <f t="shared" si="1"/>
        <v>0.26836027713625865</v>
      </c>
      <c r="M26" s="1">
        <f t="shared" si="2"/>
        <v>0.54087759815242498</v>
      </c>
      <c r="O26">
        <v>25</v>
      </c>
      <c r="P26" t="s">
        <v>67</v>
      </c>
      <c r="Q26" t="s">
        <v>37</v>
      </c>
      <c r="R26">
        <v>737</v>
      </c>
      <c r="S26">
        <v>392</v>
      </c>
      <c r="T26">
        <v>1047</v>
      </c>
    </row>
    <row r="27" spans="1:20" x14ac:dyDescent="0.3">
      <c r="H27" t="str">
        <f t="shared" si="3"/>
        <v>07/04-2</v>
      </c>
      <c r="I27" s="1">
        <v>0.21</v>
      </c>
      <c r="J27" s="1">
        <v>0.29647058823529399</v>
      </c>
      <c r="K27" s="1">
        <f t="shared" si="0"/>
        <v>0.10295475530932595</v>
      </c>
      <c r="L27" s="1">
        <f t="shared" si="1"/>
        <v>0.17959372114496769</v>
      </c>
      <c r="M27" s="1">
        <f t="shared" si="2"/>
        <v>0.7174515235457064</v>
      </c>
      <c r="O27">
        <v>26</v>
      </c>
      <c r="P27" t="s">
        <v>68</v>
      </c>
      <c r="Q27" t="s">
        <v>34</v>
      </c>
      <c r="R27">
        <v>313</v>
      </c>
      <c r="S27">
        <v>399</v>
      </c>
      <c r="T27">
        <v>1455</v>
      </c>
    </row>
    <row r="28" spans="1:20" x14ac:dyDescent="0.3">
      <c r="H28" t="str">
        <f t="shared" si="3"/>
        <v>08/04-1</v>
      </c>
      <c r="I28" s="1">
        <v>0.21</v>
      </c>
      <c r="J28" s="1">
        <v>0.29647058823529399</v>
      </c>
      <c r="K28" s="1">
        <f t="shared" si="0"/>
        <v>0.171824480369515</v>
      </c>
      <c r="L28" s="1">
        <f t="shared" si="1"/>
        <v>0.13995381062355658</v>
      </c>
      <c r="M28" s="1">
        <f t="shared" si="2"/>
        <v>0.68822170900692836</v>
      </c>
      <c r="O28">
        <v>27</v>
      </c>
      <c r="P28" t="s">
        <v>68</v>
      </c>
      <c r="Q28" t="s">
        <v>37</v>
      </c>
      <c r="R28">
        <v>781</v>
      </c>
      <c r="S28">
        <v>389</v>
      </c>
      <c r="T28">
        <v>1001</v>
      </c>
    </row>
    <row r="29" spans="1:20" x14ac:dyDescent="0.3">
      <c r="H29" t="str">
        <f t="shared" si="3"/>
        <v>08/04-2</v>
      </c>
      <c r="I29" s="1">
        <v>0.21</v>
      </c>
      <c r="J29" s="1">
        <v>0.29647058823529399</v>
      </c>
      <c r="K29" s="1">
        <f t="shared" si="0"/>
        <v>0.26209120221096271</v>
      </c>
      <c r="L29" s="1">
        <f t="shared" si="1"/>
        <v>0.22063565177337632</v>
      </c>
      <c r="M29" s="1">
        <f t="shared" si="2"/>
        <v>0.51727314601566099</v>
      </c>
      <c r="O29">
        <v>28</v>
      </c>
      <c r="P29" t="s">
        <v>69</v>
      </c>
      <c r="Q29" t="s">
        <v>34</v>
      </c>
      <c r="R29">
        <v>293</v>
      </c>
      <c r="S29">
        <v>398</v>
      </c>
      <c r="T29">
        <v>1475</v>
      </c>
    </row>
    <row r="30" spans="1:20" x14ac:dyDescent="0.3">
      <c r="H30" t="str">
        <f t="shared" si="3"/>
        <v/>
      </c>
      <c r="I30" s="1"/>
      <c r="J30" s="1"/>
      <c r="K30" s="1" t="str">
        <f t="shared" si="0"/>
        <v/>
      </c>
      <c r="L30" s="1" t="str">
        <f t="shared" si="1"/>
        <v/>
      </c>
      <c r="M30" s="1" t="str">
        <f t="shared" si="2"/>
        <v/>
      </c>
      <c r="O30">
        <v>29</v>
      </c>
      <c r="P30" t="s">
        <v>69</v>
      </c>
      <c r="Q30" t="s">
        <v>37</v>
      </c>
      <c r="R30">
        <v>667</v>
      </c>
      <c r="S30">
        <v>432</v>
      </c>
      <c r="T30">
        <v>1071</v>
      </c>
    </row>
    <row r="31" spans="1:20" x14ac:dyDescent="0.3">
      <c r="H31" t="str">
        <f t="shared" si="3"/>
        <v/>
      </c>
      <c r="I31" s="1"/>
      <c r="J31" s="1"/>
      <c r="K31" s="1" t="str">
        <f t="shared" si="0"/>
        <v/>
      </c>
      <c r="L31" s="1" t="str">
        <f t="shared" si="1"/>
        <v/>
      </c>
      <c r="M31" s="1" t="str">
        <f t="shared" si="2"/>
        <v/>
      </c>
      <c r="O31">
        <v>30</v>
      </c>
      <c r="P31" t="s">
        <v>70</v>
      </c>
      <c r="Q31" t="s">
        <v>34</v>
      </c>
      <c r="R31">
        <v>308</v>
      </c>
      <c r="S31">
        <v>384</v>
      </c>
      <c r="T31">
        <v>1474</v>
      </c>
    </row>
    <row r="32" spans="1:20" x14ac:dyDescent="0.3">
      <c r="H32" t="str">
        <f t="shared" si="3"/>
        <v/>
      </c>
      <c r="I32" s="1"/>
      <c r="J32" s="1"/>
      <c r="K32" s="1" t="str">
        <f t="shared" si="0"/>
        <v/>
      </c>
      <c r="L32" s="1" t="str">
        <f t="shared" si="1"/>
        <v/>
      </c>
      <c r="M32" s="1" t="str">
        <f t="shared" si="2"/>
        <v/>
      </c>
      <c r="O32">
        <v>31</v>
      </c>
      <c r="P32" t="s">
        <v>70</v>
      </c>
      <c r="Q32" t="s">
        <v>37</v>
      </c>
      <c r="R32">
        <v>589</v>
      </c>
      <c r="S32">
        <v>361</v>
      </c>
      <c r="T32">
        <v>1216</v>
      </c>
    </row>
    <row r="33" spans="8:20" x14ac:dyDescent="0.3">
      <c r="H33" t="str">
        <f t="shared" si="3"/>
        <v/>
      </c>
      <c r="I33" s="1"/>
      <c r="J33" s="1"/>
      <c r="K33" s="1" t="str">
        <f t="shared" si="0"/>
        <v/>
      </c>
      <c r="L33" s="1" t="str">
        <f t="shared" si="1"/>
        <v/>
      </c>
      <c r="M33" s="1" t="str">
        <f t="shared" si="2"/>
        <v/>
      </c>
      <c r="O33">
        <v>32</v>
      </c>
      <c r="P33" t="s">
        <v>71</v>
      </c>
      <c r="Q33" t="s">
        <v>34</v>
      </c>
      <c r="R33">
        <v>571</v>
      </c>
      <c r="S33">
        <v>400</v>
      </c>
      <c r="T33">
        <v>1193</v>
      </c>
    </row>
    <row r="34" spans="8:20" x14ac:dyDescent="0.3">
      <c r="H34" t="str">
        <f t="shared" si="3"/>
        <v/>
      </c>
      <c r="I34" s="1"/>
      <c r="J34" s="1"/>
      <c r="K34" s="1" t="str">
        <f t="shared" si="0"/>
        <v/>
      </c>
      <c r="L34" s="1" t="str">
        <f t="shared" si="1"/>
        <v/>
      </c>
      <c r="M34" s="1" t="str">
        <f t="shared" si="2"/>
        <v/>
      </c>
      <c r="O34">
        <v>33</v>
      </c>
      <c r="P34" t="s">
        <v>71</v>
      </c>
      <c r="Q34" t="s">
        <v>37</v>
      </c>
      <c r="R34">
        <v>529</v>
      </c>
      <c r="S34">
        <v>351</v>
      </c>
      <c r="T34">
        <v>1289</v>
      </c>
    </row>
    <row r="35" spans="8:20" x14ac:dyDescent="0.3">
      <c r="H35" t="str">
        <f t="shared" si="3"/>
        <v/>
      </c>
      <c r="I35" s="1"/>
      <c r="J35" s="1"/>
      <c r="K35" s="1" t="str">
        <f t="shared" si="0"/>
        <v/>
      </c>
      <c r="L35" s="1" t="str">
        <f t="shared" si="1"/>
        <v/>
      </c>
      <c r="M35" s="1" t="str">
        <f t="shared" si="2"/>
        <v/>
      </c>
      <c r="O35">
        <v>34</v>
      </c>
      <c r="P35" t="s">
        <v>72</v>
      </c>
      <c r="Q35" t="s">
        <v>34</v>
      </c>
      <c r="R35">
        <v>0</v>
      </c>
      <c r="S35">
        <v>0</v>
      </c>
      <c r="T35">
        <v>2160</v>
      </c>
    </row>
    <row r="36" spans="8:20" x14ac:dyDescent="0.3">
      <c r="H36" t="str">
        <f t="shared" si="3"/>
        <v/>
      </c>
      <c r="I36" s="1"/>
      <c r="J36" s="1"/>
      <c r="K36" s="1" t="str">
        <f t="shared" si="0"/>
        <v/>
      </c>
      <c r="L36" s="1" t="str">
        <f t="shared" si="1"/>
        <v/>
      </c>
      <c r="M36" s="1" t="str">
        <f t="shared" si="2"/>
        <v/>
      </c>
      <c r="O36">
        <v>35</v>
      </c>
      <c r="P36" t="s">
        <v>72</v>
      </c>
      <c r="Q36" t="s">
        <v>37</v>
      </c>
      <c r="R36">
        <v>1</v>
      </c>
      <c r="S36">
        <v>2</v>
      </c>
      <c r="T36">
        <v>2156</v>
      </c>
    </row>
    <row r="37" spans="8:20" x14ac:dyDescent="0.3">
      <c r="H37" t="str">
        <f t="shared" si="3"/>
        <v/>
      </c>
      <c r="I37" s="1"/>
      <c r="J37" s="1"/>
      <c r="K37" s="1" t="str">
        <f t="shared" si="0"/>
        <v/>
      </c>
      <c r="L37" s="1" t="str">
        <f t="shared" si="1"/>
        <v/>
      </c>
      <c r="M37" s="1" t="str">
        <f t="shared" si="2"/>
        <v/>
      </c>
      <c r="O37">
        <v>36</v>
      </c>
      <c r="P37" t="s">
        <v>73</v>
      </c>
      <c r="Q37" t="s">
        <v>34</v>
      </c>
      <c r="R37">
        <v>550</v>
      </c>
      <c r="S37">
        <v>379</v>
      </c>
      <c r="T37">
        <v>1240</v>
      </c>
    </row>
    <row r="38" spans="8:20" x14ac:dyDescent="0.3">
      <c r="H38" t="str">
        <f t="shared" si="3"/>
        <v/>
      </c>
      <c r="I38" s="1"/>
      <c r="J38" s="1"/>
      <c r="K38" s="1" t="str">
        <f t="shared" si="0"/>
        <v/>
      </c>
      <c r="L38" s="1" t="str">
        <f t="shared" si="1"/>
        <v/>
      </c>
      <c r="M38" s="1" t="str">
        <f t="shared" si="2"/>
        <v/>
      </c>
      <c r="O38">
        <v>37</v>
      </c>
      <c r="P38" t="s">
        <v>73</v>
      </c>
      <c r="Q38" t="s">
        <v>37</v>
      </c>
      <c r="R38">
        <v>354</v>
      </c>
      <c r="S38">
        <v>372</v>
      </c>
      <c r="T38">
        <v>1444</v>
      </c>
    </row>
    <row r="39" spans="8:20" x14ac:dyDescent="0.3">
      <c r="H39" t="str">
        <f t="shared" si="3"/>
        <v/>
      </c>
      <c r="I39" s="1"/>
      <c r="J39" s="1"/>
      <c r="K39" s="1" t="str">
        <f t="shared" si="0"/>
        <v/>
      </c>
      <c r="L39" s="1" t="str">
        <f t="shared" si="1"/>
        <v/>
      </c>
      <c r="M39" s="1" t="str">
        <f t="shared" si="2"/>
        <v/>
      </c>
      <c r="O39">
        <v>38</v>
      </c>
      <c r="P39" t="s">
        <v>74</v>
      </c>
      <c r="Q39" t="s">
        <v>34</v>
      </c>
      <c r="R39">
        <v>550</v>
      </c>
      <c r="S39">
        <v>344</v>
      </c>
      <c r="T39">
        <v>1275</v>
      </c>
    </row>
    <row r="40" spans="8:20" x14ac:dyDescent="0.3">
      <c r="H40" t="str">
        <f t="shared" si="3"/>
        <v/>
      </c>
      <c r="I40" s="1"/>
      <c r="J40" s="1"/>
      <c r="K40" s="1" t="str">
        <f t="shared" si="0"/>
        <v/>
      </c>
      <c r="L40" s="1" t="str">
        <f t="shared" si="1"/>
        <v/>
      </c>
      <c r="M40" s="1" t="str">
        <f t="shared" si="2"/>
        <v/>
      </c>
      <c r="O40">
        <v>39</v>
      </c>
      <c r="P40" t="s">
        <v>74</v>
      </c>
      <c r="Q40" t="s">
        <v>37</v>
      </c>
      <c r="R40">
        <v>693</v>
      </c>
      <c r="S40">
        <v>316</v>
      </c>
      <c r="T40">
        <v>1156</v>
      </c>
    </row>
    <row r="41" spans="8:20" x14ac:dyDescent="0.3">
      <c r="H41" t="str">
        <f t="shared" si="3"/>
        <v/>
      </c>
      <c r="I41" s="1"/>
      <c r="J41" s="1"/>
      <c r="K41" s="1" t="str">
        <f t="shared" si="0"/>
        <v/>
      </c>
      <c r="L41" s="1" t="str">
        <f t="shared" si="1"/>
        <v/>
      </c>
      <c r="M41" s="1" t="str">
        <f t="shared" si="2"/>
        <v/>
      </c>
      <c r="O41">
        <v>40</v>
      </c>
      <c r="P41" t="s">
        <v>75</v>
      </c>
      <c r="Q41" t="s">
        <v>34</v>
      </c>
      <c r="R41">
        <v>671</v>
      </c>
      <c r="S41">
        <v>410</v>
      </c>
      <c r="T41">
        <v>1091</v>
      </c>
    </row>
    <row r="42" spans="8:20" x14ac:dyDescent="0.3">
      <c r="H42" t="str">
        <f t="shared" si="3"/>
        <v/>
      </c>
      <c r="I42" s="1"/>
      <c r="J42" s="1"/>
      <c r="K42" s="1" t="str">
        <f t="shared" si="0"/>
        <v/>
      </c>
      <c r="L42" s="1" t="str">
        <f t="shared" si="1"/>
        <v/>
      </c>
      <c r="M42" s="1" t="str">
        <f t="shared" si="2"/>
        <v/>
      </c>
      <c r="O42">
        <v>41</v>
      </c>
      <c r="P42" t="s">
        <v>75</v>
      </c>
      <c r="Q42" t="s">
        <v>37</v>
      </c>
      <c r="R42">
        <v>709</v>
      </c>
      <c r="S42">
        <v>328</v>
      </c>
      <c r="T42">
        <v>1129</v>
      </c>
    </row>
    <row r="43" spans="8:20" x14ac:dyDescent="0.3">
      <c r="H43" t="str">
        <f t="shared" si="3"/>
        <v/>
      </c>
      <c r="I43" s="1"/>
      <c r="J43" s="1"/>
      <c r="K43" s="1" t="str">
        <f t="shared" si="0"/>
        <v/>
      </c>
      <c r="L43" s="1" t="str">
        <f t="shared" si="1"/>
        <v/>
      </c>
      <c r="M43" s="1" t="str">
        <f t="shared" si="2"/>
        <v/>
      </c>
      <c r="O43">
        <v>42</v>
      </c>
      <c r="P43" t="s">
        <v>76</v>
      </c>
      <c r="Q43" t="s">
        <v>34</v>
      </c>
      <c r="R43">
        <v>632</v>
      </c>
      <c r="S43">
        <v>411</v>
      </c>
      <c r="T43">
        <v>1126</v>
      </c>
    </row>
    <row r="44" spans="8:20" x14ac:dyDescent="0.3">
      <c r="H44" t="str">
        <f t="shared" si="3"/>
        <v/>
      </c>
      <c r="I44" s="1"/>
      <c r="J44" s="1"/>
      <c r="K44" s="1" t="str">
        <f t="shared" si="0"/>
        <v/>
      </c>
      <c r="L44" s="1" t="str">
        <f t="shared" si="1"/>
        <v/>
      </c>
      <c r="M44" s="1" t="str">
        <f t="shared" si="2"/>
        <v/>
      </c>
      <c r="O44">
        <v>43</v>
      </c>
      <c r="P44" t="s">
        <v>76</v>
      </c>
      <c r="Q44" t="s">
        <v>37</v>
      </c>
      <c r="R44">
        <v>739</v>
      </c>
      <c r="S44">
        <v>382</v>
      </c>
      <c r="T44">
        <v>1045</v>
      </c>
    </row>
    <row r="45" spans="8:20" x14ac:dyDescent="0.3">
      <c r="H45" t="str">
        <f t="shared" si="3"/>
        <v/>
      </c>
      <c r="I45" s="1"/>
      <c r="J45" s="1"/>
      <c r="K45" s="1" t="str">
        <f t="shared" si="0"/>
        <v/>
      </c>
      <c r="L45" s="1" t="str">
        <f t="shared" si="1"/>
        <v/>
      </c>
      <c r="M45" s="1" t="str">
        <f t="shared" si="2"/>
        <v/>
      </c>
      <c r="O45">
        <v>44</v>
      </c>
      <c r="P45" t="s">
        <v>77</v>
      </c>
      <c r="Q45" t="s">
        <v>34</v>
      </c>
      <c r="R45">
        <v>453</v>
      </c>
      <c r="S45">
        <v>543</v>
      </c>
      <c r="T45">
        <v>1174</v>
      </c>
    </row>
    <row r="46" spans="8:20" x14ac:dyDescent="0.3">
      <c r="H46" t="str">
        <f t="shared" si="3"/>
        <v/>
      </c>
      <c r="I46" s="1"/>
      <c r="J46" s="1"/>
      <c r="K46" s="1" t="str">
        <f t="shared" ref="K46:K77" si="4">IFERROR($E34/SUM($D34:$F34),"")</f>
        <v/>
      </c>
      <c r="L46" s="1" t="str">
        <f t="shared" ref="L46:L77" si="5">IFERROR($D34/SUM($D34:$F34),"")</f>
        <v/>
      </c>
      <c r="M46" s="1" t="str">
        <f t="shared" ref="M46:M77" si="6">IFERROR($F34/SUM($D34:$F34),"")</f>
        <v/>
      </c>
      <c r="O46">
        <v>45</v>
      </c>
      <c r="P46" t="s">
        <v>77</v>
      </c>
      <c r="Q46" t="s">
        <v>37</v>
      </c>
      <c r="R46">
        <v>753</v>
      </c>
      <c r="S46">
        <v>485</v>
      </c>
      <c r="T46">
        <v>930</v>
      </c>
    </row>
    <row r="47" spans="8:20" x14ac:dyDescent="0.3">
      <c r="H47" t="str">
        <f t="shared" ref="H47:H78" si="7">IF(B35="","",TEXT(B35,"dd/mm") &amp; "-" &amp; IF(UPPER(TRIM(C35))="CN",1,IF(UPPER(TRIM(C35))="CD",2,"")))</f>
        <v/>
      </c>
      <c r="I47" s="1"/>
      <c r="J47" s="1"/>
      <c r="K47" s="1" t="str">
        <f t="shared" si="4"/>
        <v/>
      </c>
      <c r="L47" s="1" t="str">
        <f t="shared" si="5"/>
        <v/>
      </c>
      <c r="M47" s="1" t="str">
        <f t="shared" si="6"/>
        <v/>
      </c>
      <c r="O47">
        <v>46</v>
      </c>
      <c r="P47" t="s">
        <v>78</v>
      </c>
      <c r="Q47" t="s">
        <v>34</v>
      </c>
      <c r="R47">
        <v>409</v>
      </c>
      <c r="S47">
        <v>499</v>
      </c>
      <c r="T47">
        <v>1266</v>
      </c>
    </row>
    <row r="48" spans="8:20" x14ac:dyDescent="0.3">
      <c r="H48" t="str">
        <f t="shared" si="7"/>
        <v/>
      </c>
      <c r="I48" s="1"/>
      <c r="J48" s="1"/>
      <c r="K48" s="1" t="str">
        <f t="shared" si="4"/>
        <v/>
      </c>
      <c r="L48" s="1" t="str">
        <f t="shared" si="5"/>
        <v/>
      </c>
      <c r="M48" s="1" t="str">
        <f t="shared" si="6"/>
        <v/>
      </c>
      <c r="O48">
        <v>47</v>
      </c>
      <c r="P48" t="s">
        <v>78</v>
      </c>
      <c r="Q48" t="s">
        <v>37</v>
      </c>
      <c r="R48">
        <v>276</v>
      </c>
      <c r="S48">
        <v>391</v>
      </c>
      <c r="T48">
        <v>1497</v>
      </c>
    </row>
    <row r="49" spans="8:20" x14ac:dyDescent="0.3">
      <c r="H49" t="str">
        <f t="shared" si="7"/>
        <v/>
      </c>
      <c r="I49" s="1"/>
      <c r="J49" s="1"/>
      <c r="K49" s="1" t="str">
        <f t="shared" si="4"/>
        <v/>
      </c>
      <c r="L49" s="1" t="str">
        <f t="shared" si="5"/>
        <v/>
      </c>
      <c r="M49" s="1" t="str">
        <f t="shared" si="6"/>
        <v/>
      </c>
      <c r="O49">
        <v>48</v>
      </c>
      <c r="P49" t="s">
        <v>79</v>
      </c>
      <c r="Q49" t="s">
        <v>34</v>
      </c>
      <c r="R49">
        <v>0</v>
      </c>
      <c r="S49">
        <v>0</v>
      </c>
      <c r="T49">
        <v>2160</v>
      </c>
    </row>
    <row r="50" spans="8:20" x14ac:dyDescent="0.3">
      <c r="H50" t="str">
        <f t="shared" si="7"/>
        <v/>
      </c>
      <c r="I50" s="1"/>
      <c r="J50" s="1"/>
      <c r="K50" s="1" t="str">
        <f t="shared" si="4"/>
        <v/>
      </c>
      <c r="L50" s="1" t="str">
        <f t="shared" si="5"/>
        <v/>
      </c>
      <c r="M50" s="1" t="str">
        <f t="shared" si="6"/>
        <v/>
      </c>
      <c r="O50">
        <v>49</v>
      </c>
      <c r="P50" t="s">
        <v>79</v>
      </c>
      <c r="Q50" t="s">
        <v>37</v>
      </c>
      <c r="R50">
        <v>0</v>
      </c>
      <c r="S50">
        <v>0</v>
      </c>
      <c r="T50">
        <v>2160</v>
      </c>
    </row>
    <row r="51" spans="8:20" x14ac:dyDescent="0.3">
      <c r="H51" t="str">
        <f t="shared" si="7"/>
        <v/>
      </c>
      <c r="I51" s="1"/>
      <c r="J51" s="1"/>
      <c r="K51" s="1" t="str">
        <f t="shared" si="4"/>
        <v/>
      </c>
      <c r="L51" s="1" t="str">
        <f t="shared" si="5"/>
        <v/>
      </c>
      <c r="M51" s="1" t="str">
        <f t="shared" si="6"/>
        <v/>
      </c>
      <c r="O51">
        <v>50</v>
      </c>
      <c r="P51" t="s">
        <v>80</v>
      </c>
      <c r="Q51" t="s">
        <v>34</v>
      </c>
      <c r="R51">
        <v>289</v>
      </c>
      <c r="S51">
        <v>390</v>
      </c>
      <c r="T51">
        <v>1486</v>
      </c>
    </row>
    <row r="52" spans="8:20" x14ac:dyDescent="0.3">
      <c r="H52" t="str">
        <f t="shared" si="7"/>
        <v/>
      </c>
      <c r="I52" s="1"/>
      <c r="J52" s="1"/>
      <c r="K52" s="1" t="str">
        <f t="shared" si="4"/>
        <v/>
      </c>
      <c r="L52" s="1" t="str">
        <f t="shared" si="5"/>
        <v/>
      </c>
      <c r="M52" s="1" t="str">
        <f t="shared" si="6"/>
        <v/>
      </c>
      <c r="O52">
        <v>51</v>
      </c>
      <c r="P52" t="s">
        <v>80</v>
      </c>
      <c r="Q52" t="s">
        <v>37</v>
      </c>
      <c r="R52">
        <v>682</v>
      </c>
      <c r="S52">
        <v>422</v>
      </c>
      <c r="T52">
        <v>1064</v>
      </c>
    </row>
    <row r="53" spans="8:20" x14ac:dyDescent="0.3">
      <c r="H53" t="str">
        <f t="shared" si="7"/>
        <v/>
      </c>
      <c r="I53" s="1"/>
      <c r="J53" s="1"/>
      <c r="K53" s="1" t="str">
        <f t="shared" si="4"/>
        <v/>
      </c>
      <c r="L53" s="1" t="str">
        <f t="shared" si="5"/>
        <v/>
      </c>
      <c r="M53" s="1" t="str">
        <f t="shared" si="6"/>
        <v/>
      </c>
      <c r="O53">
        <v>52</v>
      </c>
      <c r="P53" t="s">
        <v>81</v>
      </c>
      <c r="Q53" t="s">
        <v>34</v>
      </c>
      <c r="R53">
        <v>542</v>
      </c>
      <c r="S53">
        <v>433</v>
      </c>
      <c r="T53">
        <v>1190</v>
      </c>
    </row>
    <row r="54" spans="8:20" x14ac:dyDescent="0.3">
      <c r="H54" t="str">
        <f t="shared" si="7"/>
        <v/>
      </c>
      <c r="I54" s="1"/>
      <c r="J54" s="1"/>
      <c r="K54" s="1" t="str">
        <f t="shared" si="4"/>
        <v/>
      </c>
      <c r="L54" s="1" t="str">
        <f t="shared" si="5"/>
        <v/>
      </c>
      <c r="M54" s="1" t="str">
        <f t="shared" si="6"/>
        <v/>
      </c>
      <c r="O54">
        <v>53</v>
      </c>
      <c r="P54" t="s">
        <v>81</v>
      </c>
      <c r="Q54" t="s">
        <v>37</v>
      </c>
      <c r="R54">
        <v>951</v>
      </c>
      <c r="S54">
        <v>652</v>
      </c>
      <c r="T54">
        <v>582</v>
      </c>
    </row>
    <row r="55" spans="8:20" x14ac:dyDescent="0.3">
      <c r="H55" t="str">
        <f t="shared" si="7"/>
        <v/>
      </c>
      <c r="I55" s="1"/>
      <c r="J55" s="1"/>
      <c r="K55" s="1" t="str">
        <f t="shared" si="4"/>
        <v/>
      </c>
      <c r="L55" s="1" t="str">
        <f t="shared" si="5"/>
        <v/>
      </c>
      <c r="M55" s="1" t="str">
        <f t="shared" si="6"/>
        <v/>
      </c>
      <c r="O55">
        <v>54</v>
      </c>
      <c r="P55" t="s">
        <v>82</v>
      </c>
      <c r="Q55" t="s">
        <v>34</v>
      </c>
      <c r="R55">
        <v>499</v>
      </c>
      <c r="S55">
        <v>361</v>
      </c>
      <c r="T55">
        <v>1304</v>
      </c>
    </row>
    <row r="56" spans="8:20" x14ac:dyDescent="0.3">
      <c r="H56" t="str">
        <f t="shared" si="7"/>
        <v/>
      </c>
      <c r="I56" s="1"/>
      <c r="J56" s="1"/>
      <c r="K56" s="1" t="str">
        <f t="shared" si="4"/>
        <v/>
      </c>
      <c r="L56" s="1" t="str">
        <f t="shared" si="5"/>
        <v/>
      </c>
      <c r="M56" s="1" t="str">
        <f t="shared" si="6"/>
        <v/>
      </c>
      <c r="O56">
        <v>55</v>
      </c>
      <c r="P56" t="s">
        <v>82</v>
      </c>
      <c r="Q56" t="s">
        <v>37</v>
      </c>
      <c r="R56">
        <v>642</v>
      </c>
      <c r="S56">
        <v>574</v>
      </c>
      <c r="T56">
        <v>955</v>
      </c>
    </row>
    <row r="57" spans="8:20" x14ac:dyDescent="0.3">
      <c r="H57" t="str">
        <f t="shared" si="7"/>
        <v/>
      </c>
      <c r="I57" s="1"/>
      <c r="J57" s="1"/>
      <c r="K57" s="1" t="str">
        <f t="shared" si="4"/>
        <v/>
      </c>
      <c r="L57" s="1" t="str">
        <f t="shared" si="5"/>
        <v/>
      </c>
      <c r="M57" s="1" t="str">
        <f t="shared" si="6"/>
        <v/>
      </c>
      <c r="O57">
        <v>56</v>
      </c>
      <c r="P57" t="s">
        <v>83</v>
      </c>
      <c r="Q57" t="s">
        <v>34</v>
      </c>
      <c r="R57">
        <v>583</v>
      </c>
      <c r="S57">
        <v>611</v>
      </c>
      <c r="T57">
        <v>975</v>
      </c>
    </row>
    <row r="58" spans="8:20" x14ac:dyDescent="0.3">
      <c r="H58" t="str">
        <f t="shared" si="7"/>
        <v/>
      </c>
      <c r="I58" s="1"/>
      <c r="J58" s="1"/>
      <c r="K58" s="1" t="str">
        <f t="shared" si="4"/>
        <v/>
      </c>
      <c r="L58" s="1" t="str">
        <f t="shared" si="5"/>
        <v/>
      </c>
      <c r="M58" s="1" t="str">
        <f t="shared" si="6"/>
        <v/>
      </c>
      <c r="O58">
        <v>57</v>
      </c>
      <c r="P58" t="s">
        <v>83</v>
      </c>
      <c r="Q58" t="s">
        <v>37</v>
      </c>
      <c r="R58">
        <v>541</v>
      </c>
      <c r="S58">
        <v>620</v>
      </c>
      <c r="T58">
        <v>1010</v>
      </c>
    </row>
    <row r="59" spans="8:20" x14ac:dyDescent="0.3">
      <c r="H59" t="str">
        <f t="shared" si="7"/>
        <v/>
      </c>
      <c r="I59" s="1"/>
      <c r="J59" s="1"/>
      <c r="K59" s="1" t="str">
        <f t="shared" si="4"/>
        <v/>
      </c>
      <c r="L59" s="1" t="str">
        <f t="shared" si="5"/>
        <v/>
      </c>
      <c r="M59" s="1" t="str">
        <f t="shared" si="6"/>
        <v/>
      </c>
      <c r="O59">
        <v>58</v>
      </c>
      <c r="P59" t="s">
        <v>84</v>
      </c>
      <c r="Q59" t="s">
        <v>34</v>
      </c>
      <c r="R59">
        <v>300</v>
      </c>
      <c r="S59">
        <v>376</v>
      </c>
      <c r="T59">
        <v>1488</v>
      </c>
    </row>
    <row r="60" spans="8:20" x14ac:dyDescent="0.3">
      <c r="H60" t="str">
        <f t="shared" si="7"/>
        <v/>
      </c>
      <c r="I60" s="1"/>
      <c r="J60" s="1"/>
      <c r="K60" s="1" t="str">
        <f t="shared" si="4"/>
        <v/>
      </c>
      <c r="L60" s="1" t="str">
        <f t="shared" si="5"/>
        <v/>
      </c>
      <c r="M60" s="1" t="str">
        <f t="shared" si="6"/>
        <v/>
      </c>
      <c r="O60">
        <v>59</v>
      </c>
      <c r="P60" t="s">
        <v>84</v>
      </c>
      <c r="Q60" t="s">
        <v>37</v>
      </c>
      <c r="R60">
        <v>615</v>
      </c>
      <c r="S60">
        <v>434</v>
      </c>
      <c r="T60">
        <v>1121</v>
      </c>
    </row>
    <row r="61" spans="8:20" x14ac:dyDescent="0.3">
      <c r="H61" t="str">
        <f t="shared" si="7"/>
        <v/>
      </c>
      <c r="I61" s="1"/>
      <c r="J61" s="1"/>
      <c r="K61" s="1" t="str">
        <f t="shared" si="4"/>
        <v/>
      </c>
      <c r="L61" s="1" t="str">
        <f t="shared" si="5"/>
        <v/>
      </c>
      <c r="M61" s="1" t="str">
        <f t="shared" si="6"/>
        <v/>
      </c>
      <c r="O61">
        <v>60</v>
      </c>
      <c r="P61" t="s">
        <v>85</v>
      </c>
      <c r="Q61" t="s">
        <v>34</v>
      </c>
      <c r="R61">
        <v>349</v>
      </c>
      <c r="S61">
        <v>368</v>
      </c>
      <c r="T61">
        <v>1447</v>
      </c>
    </row>
    <row r="62" spans="8:20" x14ac:dyDescent="0.3">
      <c r="H62" t="str">
        <f t="shared" si="7"/>
        <v/>
      </c>
      <c r="I62" s="1"/>
      <c r="J62" s="1"/>
      <c r="K62" s="1" t="str">
        <f t="shared" si="4"/>
        <v/>
      </c>
      <c r="L62" s="1" t="str">
        <f t="shared" si="5"/>
        <v/>
      </c>
      <c r="M62" s="1" t="str">
        <f t="shared" si="6"/>
        <v/>
      </c>
      <c r="O62">
        <v>61</v>
      </c>
      <c r="P62" t="s">
        <v>85</v>
      </c>
      <c r="Q62" t="s">
        <v>37</v>
      </c>
      <c r="R62">
        <v>595</v>
      </c>
      <c r="S62">
        <v>356</v>
      </c>
      <c r="T62">
        <v>1215</v>
      </c>
    </row>
    <row r="63" spans="8:20" x14ac:dyDescent="0.3">
      <c r="H63" t="str">
        <f t="shared" si="7"/>
        <v/>
      </c>
      <c r="I63" s="1"/>
      <c r="J63" s="1"/>
      <c r="K63" s="1" t="str">
        <f t="shared" si="4"/>
        <v/>
      </c>
      <c r="L63" s="1" t="str">
        <f t="shared" si="5"/>
        <v/>
      </c>
      <c r="M63" s="1" t="str">
        <f t="shared" si="6"/>
        <v/>
      </c>
      <c r="O63">
        <v>62</v>
      </c>
      <c r="P63" t="s">
        <v>86</v>
      </c>
      <c r="Q63" t="s">
        <v>34</v>
      </c>
      <c r="R63">
        <v>0</v>
      </c>
      <c r="S63">
        <v>0</v>
      </c>
      <c r="T63">
        <v>2160</v>
      </c>
    </row>
    <row r="64" spans="8:20" x14ac:dyDescent="0.3">
      <c r="H64" t="str">
        <f t="shared" si="7"/>
        <v/>
      </c>
      <c r="I64" s="1"/>
      <c r="J64" s="1"/>
      <c r="K64" s="1" t="str">
        <f t="shared" si="4"/>
        <v/>
      </c>
      <c r="L64" s="1" t="str">
        <f t="shared" si="5"/>
        <v/>
      </c>
      <c r="M64" s="1" t="str">
        <f t="shared" si="6"/>
        <v/>
      </c>
      <c r="O64">
        <v>63</v>
      </c>
      <c r="P64" t="s">
        <v>86</v>
      </c>
      <c r="Q64" t="s">
        <v>37</v>
      </c>
      <c r="R64">
        <v>0</v>
      </c>
      <c r="S64">
        <v>0</v>
      </c>
      <c r="T64">
        <v>2160</v>
      </c>
    </row>
    <row r="65" spans="8:20" x14ac:dyDescent="0.3">
      <c r="H65" t="str">
        <f t="shared" si="7"/>
        <v/>
      </c>
      <c r="I65" s="1"/>
      <c r="J65" s="1"/>
      <c r="K65" s="1" t="str">
        <f t="shared" si="4"/>
        <v/>
      </c>
      <c r="L65" s="1" t="str">
        <f t="shared" si="5"/>
        <v/>
      </c>
      <c r="M65" s="1" t="str">
        <f t="shared" si="6"/>
        <v/>
      </c>
      <c r="O65">
        <v>64</v>
      </c>
      <c r="P65" t="s">
        <v>87</v>
      </c>
      <c r="Q65" t="s">
        <v>34</v>
      </c>
      <c r="R65">
        <v>553</v>
      </c>
      <c r="S65">
        <v>419</v>
      </c>
      <c r="T65">
        <v>1198</v>
      </c>
    </row>
    <row r="66" spans="8:20" x14ac:dyDescent="0.3">
      <c r="H66" t="str">
        <f t="shared" si="7"/>
        <v/>
      </c>
      <c r="I66" s="1"/>
      <c r="J66" s="1"/>
      <c r="K66" s="1" t="str">
        <f t="shared" si="4"/>
        <v/>
      </c>
      <c r="L66" s="1" t="str">
        <f t="shared" si="5"/>
        <v/>
      </c>
      <c r="M66" s="1" t="str">
        <f t="shared" si="6"/>
        <v/>
      </c>
      <c r="O66">
        <v>65</v>
      </c>
      <c r="P66" t="s">
        <v>87</v>
      </c>
      <c r="Q66" t="s">
        <v>37</v>
      </c>
      <c r="R66">
        <v>338</v>
      </c>
      <c r="S66">
        <v>447</v>
      </c>
      <c r="T66">
        <v>1384</v>
      </c>
    </row>
    <row r="67" spans="8:20" x14ac:dyDescent="0.3">
      <c r="H67" t="str">
        <f t="shared" si="7"/>
        <v/>
      </c>
      <c r="I67" s="1"/>
      <c r="J67" s="1"/>
      <c r="K67" s="1" t="str">
        <f t="shared" si="4"/>
        <v/>
      </c>
      <c r="L67" s="1" t="str">
        <f t="shared" si="5"/>
        <v/>
      </c>
      <c r="M67" s="1" t="str">
        <f t="shared" si="6"/>
        <v/>
      </c>
      <c r="O67">
        <v>66</v>
      </c>
      <c r="P67" t="s">
        <v>88</v>
      </c>
      <c r="Q67" t="s">
        <v>34</v>
      </c>
      <c r="R67">
        <v>516</v>
      </c>
      <c r="S67">
        <v>429</v>
      </c>
      <c r="T67">
        <v>1225</v>
      </c>
    </row>
    <row r="68" spans="8:20" x14ac:dyDescent="0.3">
      <c r="H68" t="str">
        <f t="shared" si="7"/>
        <v/>
      </c>
      <c r="I68" s="1"/>
      <c r="J68" s="1"/>
      <c r="K68" s="1" t="str">
        <f t="shared" si="4"/>
        <v/>
      </c>
      <c r="L68" s="1" t="str">
        <f t="shared" si="5"/>
        <v/>
      </c>
      <c r="M68" s="1" t="str">
        <f t="shared" si="6"/>
        <v/>
      </c>
      <c r="O68">
        <v>67</v>
      </c>
      <c r="P68" t="s">
        <v>88</v>
      </c>
      <c r="Q68" t="s">
        <v>37</v>
      </c>
      <c r="R68">
        <v>335</v>
      </c>
      <c r="S68">
        <v>425</v>
      </c>
      <c r="T68">
        <v>1405</v>
      </c>
    </row>
    <row r="69" spans="8:20" x14ac:dyDescent="0.3">
      <c r="H69" t="str">
        <f t="shared" si="7"/>
        <v/>
      </c>
      <c r="I69" s="1"/>
      <c r="J69" s="1"/>
      <c r="K69" s="1" t="str">
        <f t="shared" si="4"/>
        <v/>
      </c>
      <c r="L69" s="1" t="str">
        <f t="shared" si="5"/>
        <v/>
      </c>
      <c r="M69" s="1" t="str">
        <f t="shared" si="6"/>
        <v/>
      </c>
      <c r="O69">
        <v>68</v>
      </c>
      <c r="P69" t="s">
        <v>89</v>
      </c>
      <c r="Q69" t="s">
        <v>34</v>
      </c>
      <c r="R69">
        <v>510</v>
      </c>
      <c r="S69">
        <v>437</v>
      </c>
      <c r="T69">
        <v>1224</v>
      </c>
    </row>
    <row r="70" spans="8:20" x14ac:dyDescent="0.3">
      <c r="H70" t="str">
        <f t="shared" si="7"/>
        <v/>
      </c>
      <c r="I70" s="1"/>
      <c r="J70" s="1"/>
      <c r="K70" s="1" t="str">
        <f t="shared" si="4"/>
        <v/>
      </c>
      <c r="L70" s="1" t="str">
        <f t="shared" si="5"/>
        <v/>
      </c>
      <c r="M70" s="1" t="str">
        <f t="shared" si="6"/>
        <v/>
      </c>
      <c r="O70">
        <v>69</v>
      </c>
      <c r="P70" t="s">
        <v>89</v>
      </c>
      <c r="Q70" t="s">
        <v>37</v>
      </c>
      <c r="R70">
        <v>316</v>
      </c>
      <c r="S70">
        <v>384</v>
      </c>
      <c r="T70">
        <v>1466</v>
      </c>
    </row>
    <row r="71" spans="8:20" x14ac:dyDescent="0.3">
      <c r="H71" t="str">
        <f t="shared" si="7"/>
        <v/>
      </c>
      <c r="I71" s="1"/>
      <c r="J71" s="1"/>
      <c r="K71" s="1" t="str">
        <f t="shared" si="4"/>
        <v/>
      </c>
      <c r="L71" s="1" t="str">
        <f t="shared" si="5"/>
        <v/>
      </c>
      <c r="M71" s="1" t="str">
        <f t="shared" si="6"/>
        <v/>
      </c>
      <c r="O71">
        <v>70</v>
      </c>
      <c r="P71" t="s">
        <v>90</v>
      </c>
      <c r="Q71" t="s">
        <v>34</v>
      </c>
      <c r="R71">
        <v>596</v>
      </c>
      <c r="S71">
        <v>365</v>
      </c>
      <c r="T71">
        <v>1208</v>
      </c>
    </row>
    <row r="72" spans="8:20" x14ac:dyDescent="0.3">
      <c r="H72" t="str">
        <f t="shared" si="7"/>
        <v/>
      </c>
      <c r="I72" s="1"/>
      <c r="J72" s="1"/>
      <c r="K72" s="1" t="str">
        <f t="shared" si="4"/>
        <v/>
      </c>
      <c r="L72" s="1" t="str">
        <f t="shared" si="5"/>
        <v/>
      </c>
      <c r="M72" s="1" t="str">
        <f t="shared" si="6"/>
        <v/>
      </c>
      <c r="O72">
        <v>71</v>
      </c>
      <c r="P72" t="s">
        <v>90</v>
      </c>
      <c r="Q72" t="s">
        <v>37</v>
      </c>
      <c r="R72">
        <v>307</v>
      </c>
      <c r="S72">
        <v>475</v>
      </c>
      <c r="T72">
        <v>1385</v>
      </c>
    </row>
    <row r="73" spans="8:20" x14ac:dyDescent="0.3">
      <c r="H73" t="str">
        <f t="shared" si="7"/>
        <v/>
      </c>
      <c r="I73" s="1"/>
      <c r="J73" s="1"/>
      <c r="K73" s="1" t="str">
        <f t="shared" si="4"/>
        <v/>
      </c>
      <c r="L73" s="1" t="str">
        <f t="shared" si="5"/>
        <v/>
      </c>
      <c r="M73" s="1" t="str">
        <f t="shared" si="6"/>
        <v/>
      </c>
      <c r="O73">
        <v>72</v>
      </c>
      <c r="P73" t="s">
        <v>91</v>
      </c>
      <c r="Q73" t="s">
        <v>34</v>
      </c>
      <c r="R73">
        <v>428</v>
      </c>
      <c r="S73">
        <v>471</v>
      </c>
      <c r="T73">
        <v>1269</v>
      </c>
    </row>
    <row r="74" spans="8:20" x14ac:dyDescent="0.3">
      <c r="H74" t="str">
        <f t="shared" si="7"/>
        <v/>
      </c>
      <c r="I74" s="1"/>
      <c r="J74" s="1"/>
      <c r="K74" s="1" t="str">
        <f t="shared" si="4"/>
        <v/>
      </c>
      <c r="L74" s="1" t="str">
        <f t="shared" si="5"/>
        <v/>
      </c>
      <c r="M74" s="1" t="str">
        <f t="shared" si="6"/>
        <v/>
      </c>
      <c r="O74">
        <v>73</v>
      </c>
      <c r="P74" t="s">
        <v>91</v>
      </c>
      <c r="Q74" t="s">
        <v>37</v>
      </c>
      <c r="R74">
        <v>387</v>
      </c>
      <c r="S74">
        <v>411</v>
      </c>
      <c r="T74">
        <v>1369</v>
      </c>
    </row>
    <row r="75" spans="8:20" x14ac:dyDescent="0.3">
      <c r="H75" t="str">
        <f t="shared" si="7"/>
        <v/>
      </c>
      <c r="I75" s="1"/>
      <c r="J75" s="1"/>
      <c r="K75" s="1" t="str">
        <f t="shared" si="4"/>
        <v/>
      </c>
      <c r="L75" s="1" t="str">
        <f t="shared" si="5"/>
        <v/>
      </c>
      <c r="M75" s="1" t="str">
        <f t="shared" si="6"/>
        <v/>
      </c>
      <c r="O75">
        <v>74</v>
      </c>
      <c r="P75" t="s">
        <v>92</v>
      </c>
      <c r="Q75" t="s">
        <v>34</v>
      </c>
      <c r="R75">
        <v>506</v>
      </c>
      <c r="S75">
        <v>381</v>
      </c>
      <c r="T75">
        <v>1283</v>
      </c>
    </row>
    <row r="76" spans="8:20" x14ac:dyDescent="0.3">
      <c r="I76" s="1"/>
      <c r="J76" s="1"/>
      <c r="K76" s="1"/>
      <c r="L76" s="1"/>
      <c r="M76" s="1"/>
      <c r="O76">
        <v>75</v>
      </c>
      <c r="P76" t="s">
        <v>92</v>
      </c>
      <c r="Q76" t="s">
        <v>37</v>
      </c>
      <c r="R76">
        <v>259</v>
      </c>
      <c r="S76">
        <v>350</v>
      </c>
      <c r="T76">
        <v>1555</v>
      </c>
    </row>
    <row r="77" spans="8:20" x14ac:dyDescent="0.3">
      <c r="I77" s="1"/>
      <c r="J77" s="1"/>
      <c r="K77" s="1"/>
      <c r="L77" s="1"/>
      <c r="M77" s="1"/>
      <c r="O77">
        <v>76</v>
      </c>
      <c r="P77" t="s">
        <v>93</v>
      </c>
      <c r="Q77" t="s">
        <v>34</v>
      </c>
      <c r="R77">
        <v>0</v>
      </c>
      <c r="S77">
        <v>0</v>
      </c>
      <c r="T77">
        <v>2160</v>
      </c>
    </row>
    <row r="78" spans="8:20" x14ac:dyDescent="0.3">
      <c r="I78" s="1"/>
      <c r="J78" s="1"/>
      <c r="K78" s="1"/>
      <c r="L78" s="1"/>
      <c r="M78" s="1"/>
      <c r="O78">
        <v>77</v>
      </c>
      <c r="P78" t="s">
        <v>93</v>
      </c>
      <c r="Q78" t="s">
        <v>37</v>
      </c>
      <c r="R78">
        <v>0</v>
      </c>
      <c r="S78">
        <v>0</v>
      </c>
      <c r="T78">
        <v>2160</v>
      </c>
    </row>
    <row r="79" spans="8:20" x14ac:dyDescent="0.3">
      <c r="I79" s="1"/>
      <c r="J79" s="1"/>
      <c r="K79" s="1"/>
      <c r="L79" s="1"/>
      <c r="M79" s="1"/>
      <c r="O79">
        <v>78</v>
      </c>
      <c r="P79" t="s">
        <v>94</v>
      </c>
      <c r="Q79" t="s">
        <v>34</v>
      </c>
      <c r="R79">
        <v>343</v>
      </c>
      <c r="S79">
        <v>403</v>
      </c>
      <c r="T79">
        <v>1417</v>
      </c>
    </row>
    <row r="80" spans="8:20" x14ac:dyDescent="0.3">
      <c r="I80" s="1"/>
      <c r="J80" s="1"/>
      <c r="K80" s="1"/>
      <c r="L80" s="1"/>
      <c r="M80" s="1"/>
      <c r="O80">
        <v>79</v>
      </c>
      <c r="P80" t="s">
        <v>94</v>
      </c>
      <c r="Q80" t="s">
        <v>37</v>
      </c>
      <c r="R80">
        <v>551</v>
      </c>
      <c r="S80">
        <v>495</v>
      </c>
      <c r="T80">
        <v>1123</v>
      </c>
    </row>
    <row r="81" spans="9:20" x14ac:dyDescent="0.3">
      <c r="I81" s="1"/>
      <c r="J81" s="1"/>
      <c r="K81" s="1"/>
      <c r="L81" s="1"/>
      <c r="M81" s="1"/>
      <c r="O81">
        <v>80</v>
      </c>
      <c r="P81" t="s">
        <v>95</v>
      </c>
      <c r="Q81" t="s">
        <v>34</v>
      </c>
      <c r="R81">
        <v>362</v>
      </c>
      <c r="S81">
        <v>302</v>
      </c>
      <c r="T81">
        <v>1500</v>
      </c>
    </row>
    <row r="82" spans="9:20" x14ac:dyDescent="0.3">
      <c r="I82" s="1"/>
      <c r="J82" s="1"/>
      <c r="K82" s="1"/>
      <c r="L82" s="1"/>
      <c r="M82" s="1"/>
      <c r="O82">
        <v>81</v>
      </c>
      <c r="P82" t="s">
        <v>95</v>
      </c>
      <c r="Q82" t="s">
        <v>37</v>
      </c>
      <c r="R82">
        <v>1255</v>
      </c>
      <c r="S82">
        <v>337</v>
      </c>
      <c r="T82">
        <v>577</v>
      </c>
    </row>
    <row r="83" spans="9:20" x14ac:dyDescent="0.3">
      <c r="I83" s="1"/>
      <c r="J83" s="1"/>
      <c r="K83" s="1"/>
      <c r="L83" s="1"/>
      <c r="M83" s="1"/>
      <c r="O83">
        <v>82</v>
      </c>
      <c r="P83" t="s">
        <v>96</v>
      </c>
      <c r="Q83" t="s">
        <v>34</v>
      </c>
      <c r="R83">
        <v>571</v>
      </c>
      <c r="S83">
        <v>354</v>
      </c>
      <c r="T83">
        <v>1247</v>
      </c>
    </row>
    <row r="84" spans="9:20" x14ac:dyDescent="0.3">
      <c r="I84" s="1"/>
      <c r="J84" s="1"/>
      <c r="K84" s="1"/>
      <c r="L84" s="1"/>
      <c r="M84" s="1"/>
      <c r="O84">
        <v>83</v>
      </c>
      <c r="P84" t="s">
        <v>96</v>
      </c>
      <c r="Q84" t="s">
        <v>37</v>
      </c>
      <c r="R84">
        <v>932</v>
      </c>
      <c r="S84">
        <v>737</v>
      </c>
      <c r="T84">
        <v>510</v>
      </c>
    </row>
    <row r="85" spans="9:20" x14ac:dyDescent="0.3">
      <c r="I85" s="1"/>
      <c r="J85" s="1"/>
      <c r="K85" s="1"/>
      <c r="L85" s="1"/>
      <c r="M85" s="1"/>
      <c r="O85">
        <v>84</v>
      </c>
      <c r="P85" t="s">
        <v>97</v>
      </c>
      <c r="Q85" t="s">
        <v>34</v>
      </c>
      <c r="R85">
        <v>303</v>
      </c>
      <c r="S85">
        <v>426</v>
      </c>
      <c r="T85">
        <v>1439</v>
      </c>
    </row>
    <row r="86" spans="9:20" x14ac:dyDescent="0.3">
      <c r="I86" s="1"/>
      <c r="J86" s="1"/>
      <c r="K86" s="1"/>
      <c r="L86" s="1"/>
      <c r="M86" s="1"/>
      <c r="O86">
        <v>85</v>
      </c>
      <c r="P86" t="s">
        <v>97</v>
      </c>
      <c r="Q86" t="s">
        <v>37</v>
      </c>
      <c r="R86">
        <v>732</v>
      </c>
      <c r="S86">
        <v>458</v>
      </c>
      <c r="T86">
        <v>976</v>
      </c>
    </row>
    <row r="87" spans="9:20" x14ac:dyDescent="0.3">
      <c r="I87" s="1"/>
      <c r="J87" s="1"/>
      <c r="K87" s="1"/>
      <c r="L87" s="1"/>
      <c r="M87" s="1"/>
      <c r="O87">
        <v>86</v>
      </c>
      <c r="P87" t="s">
        <v>98</v>
      </c>
      <c r="Q87" t="s">
        <v>34</v>
      </c>
      <c r="R87">
        <v>421</v>
      </c>
      <c r="S87">
        <v>335</v>
      </c>
      <c r="T87">
        <v>1406</v>
      </c>
    </row>
    <row r="88" spans="9:20" x14ac:dyDescent="0.3">
      <c r="I88" s="1"/>
      <c r="J88" s="1"/>
      <c r="K88" s="1"/>
      <c r="L88" s="1"/>
      <c r="M88" s="1"/>
      <c r="O88">
        <v>87</v>
      </c>
      <c r="P88" t="s">
        <v>98</v>
      </c>
      <c r="Q88" t="s">
        <v>37</v>
      </c>
      <c r="R88">
        <v>672</v>
      </c>
      <c r="S88">
        <v>229</v>
      </c>
      <c r="T88">
        <v>1261</v>
      </c>
    </row>
    <row r="89" spans="9:20" x14ac:dyDescent="0.3">
      <c r="I89" s="1"/>
      <c r="J89" s="1"/>
      <c r="K89" s="1"/>
      <c r="L89" s="1"/>
      <c r="M89" s="1"/>
      <c r="O89">
        <v>88</v>
      </c>
      <c r="P89" t="s">
        <v>99</v>
      </c>
      <c r="Q89" t="s">
        <v>34</v>
      </c>
      <c r="R89">
        <v>0</v>
      </c>
      <c r="S89">
        <v>0</v>
      </c>
      <c r="T89">
        <v>2160</v>
      </c>
    </row>
    <row r="90" spans="9:20" x14ac:dyDescent="0.3">
      <c r="I90" s="1"/>
      <c r="J90" s="1"/>
      <c r="K90" s="1"/>
      <c r="L90" s="1"/>
      <c r="M90" s="1"/>
      <c r="O90">
        <v>89</v>
      </c>
      <c r="P90" t="s">
        <v>99</v>
      </c>
      <c r="Q90" t="s">
        <v>37</v>
      </c>
      <c r="R90">
        <v>0</v>
      </c>
      <c r="S90">
        <v>0</v>
      </c>
      <c r="T90">
        <v>2160</v>
      </c>
    </row>
    <row r="91" spans="9:20" x14ac:dyDescent="0.3">
      <c r="I91" s="1"/>
      <c r="J91" s="1"/>
      <c r="K91" s="1"/>
      <c r="L91" s="1"/>
      <c r="M91" s="1"/>
      <c r="O91">
        <v>90</v>
      </c>
      <c r="P91" t="s">
        <v>100</v>
      </c>
      <c r="Q91" t="s">
        <v>34</v>
      </c>
      <c r="R91">
        <v>0</v>
      </c>
      <c r="S91">
        <v>0</v>
      </c>
      <c r="T91">
        <v>2160</v>
      </c>
    </row>
    <row r="92" spans="9:20" x14ac:dyDescent="0.3">
      <c r="I92" s="1"/>
      <c r="J92" s="1"/>
      <c r="K92" s="1"/>
      <c r="L92" s="1"/>
      <c r="M92" s="1"/>
      <c r="O92">
        <v>91</v>
      </c>
      <c r="P92" t="s">
        <v>100</v>
      </c>
      <c r="Q92" t="s">
        <v>37</v>
      </c>
      <c r="R92">
        <v>0</v>
      </c>
      <c r="S92">
        <v>0</v>
      </c>
      <c r="T92">
        <v>2160</v>
      </c>
    </row>
    <row r="93" spans="9:20" x14ac:dyDescent="0.3">
      <c r="I93" s="1"/>
      <c r="J93" s="1"/>
      <c r="K93" s="1"/>
      <c r="L93" s="1"/>
      <c r="M93" s="1"/>
      <c r="O93">
        <v>92</v>
      </c>
      <c r="P93" t="s">
        <v>101</v>
      </c>
      <c r="Q93" t="s">
        <v>34</v>
      </c>
      <c r="R93">
        <v>0</v>
      </c>
      <c r="S93">
        <v>0</v>
      </c>
      <c r="T93">
        <v>2160</v>
      </c>
    </row>
    <row r="94" spans="9:20" x14ac:dyDescent="0.3">
      <c r="I94" s="1"/>
      <c r="J94" s="1"/>
      <c r="K94" s="1"/>
      <c r="L94" s="1"/>
      <c r="M94" s="1"/>
      <c r="O94">
        <v>93</v>
      </c>
      <c r="P94" t="s">
        <v>101</v>
      </c>
      <c r="Q94" t="s">
        <v>37</v>
      </c>
      <c r="R94">
        <v>0</v>
      </c>
      <c r="S94">
        <v>0</v>
      </c>
      <c r="T94">
        <v>2160</v>
      </c>
    </row>
    <row r="95" spans="9:20" x14ac:dyDescent="0.3">
      <c r="I95" s="1"/>
      <c r="J95" s="1"/>
      <c r="K95" s="1"/>
      <c r="L95" s="1"/>
      <c r="M95" s="1"/>
      <c r="O95">
        <v>94</v>
      </c>
      <c r="P95" t="s">
        <v>102</v>
      </c>
      <c r="Q95" t="s">
        <v>34</v>
      </c>
      <c r="R95">
        <v>0</v>
      </c>
      <c r="S95">
        <v>0</v>
      </c>
      <c r="T95">
        <v>2160</v>
      </c>
    </row>
    <row r="96" spans="9:20" x14ac:dyDescent="0.3">
      <c r="I96" s="1"/>
      <c r="J96" s="1"/>
      <c r="K96" s="1"/>
      <c r="L96" s="1"/>
      <c r="M96" s="1"/>
      <c r="O96">
        <v>95</v>
      </c>
      <c r="P96" t="s">
        <v>102</v>
      </c>
      <c r="Q96" t="s">
        <v>37</v>
      </c>
      <c r="R96">
        <v>0</v>
      </c>
      <c r="S96">
        <v>0</v>
      </c>
      <c r="T96">
        <v>2160</v>
      </c>
    </row>
    <row r="97" spans="9:20" x14ac:dyDescent="0.3">
      <c r="I97" s="1"/>
      <c r="J97" s="1"/>
      <c r="K97" s="1"/>
      <c r="L97" s="1"/>
      <c r="M97" s="1"/>
      <c r="O97">
        <v>96</v>
      </c>
      <c r="P97" t="s">
        <v>103</v>
      </c>
      <c r="Q97" t="s">
        <v>34</v>
      </c>
      <c r="R97">
        <v>0</v>
      </c>
      <c r="S97">
        <v>0</v>
      </c>
      <c r="T97">
        <v>2160</v>
      </c>
    </row>
    <row r="98" spans="9:20" x14ac:dyDescent="0.3">
      <c r="I98" s="1"/>
      <c r="J98" s="1"/>
      <c r="K98" s="1"/>
      <c r="L98" s="1"/>
      <c r="M98" s="1"/>
      <c r="O98">
        <v>97</v>
      </c>
      <c r="P98" t="s">
        <v>103</v>
      </c>
      <c r="Q98" t="s">
        <v>37</v>
      </c>
      <c r="R98">
        <v>0</v>
      </c>
      <c r="S98">
        <v>0</v>
      </c>
      <c r="T98">
        <v>2160</v>
      </c>
    </row>
    <row r="99" spans="9:20" x14ac:dyDescent="0.3">
      <c r="I99" s="1"/>
      <c r="J99" s="1"/>
      <c r="K99" s="1"/>
      <c r="L99" s="1"/>
      <c r="M99" s="1"/>
      <c r="O99">
        <v>98</v>
      </c>
      <c r="P99" t="s">
        <v>104</v>
      </c>
      <c r="Q99" t="s">
        <v>34</v>
      </c>
      <c r="R99">
        <v>0</v>
      </c>
      <c r="S99">
        <v>0</v>
      </c>
      <c r="T99">
        <v>2160</v>
      </c>
    </row>
    <row r="100" spans="9:20" x14ac:dyDescent="0.3">
      <c r="I100" s="1"/>
      <c r="J100" s="1"/>
      <c r="K100" s="1"/>
      <c r="L100" s="1"/>
      <c r="M100" s="1"/>
      <c r="O100">
        <v>99</v>
      </c>
      <c r="P100" t="s">
        <v>104</v>
      </c>
      <c r="Q100" t="s">
        <v>37</v>
      </c>
      <c r="R100">
        <v>0</v>
      </c>
      <c r="S100">
        <v>0</v>
      </c>
      <c r="T100">
        <v>2160</v>
      </c>
    </row>
    <row r="101" spans="9:20" x14ac:dyDescent="0.3">
      <c r="I101" s="1"/>
      <c r="J101" s="1"/>
      <c r="K101" s="1"/>
      <c r="L101" s="1"/>
      <c r="M101" s="1"/>
      <c r="O101">
        <v>100</v>
      </c>
      <c r="P101" t="s">
        <v>105</v>
      </c>
      <c r="Q101" t="s">
        <v>34</v>
      </c>
      <c r="R101">
        <v>0</v>
      </c>
      <c r="S101">
        <v>0</v>
      </c>
      <c r="T101">
        <v>2160</v>
      </c>
    </row>
    <row r="102" spans="9:20" x14ac:dyDescent="0.3">
      <c r="O102">
        <v>101</v>
      </c>
      <c r="P102" t="s">
        <v>105</v>
      </c>
      <c r="Q102" t="s">
        <v>37</v>
      </c>
      <c r="R102">
        <v>0</v>
      </c>
      <c r="S102">
        <v>0</v>
      </c>
      <c r="T102">
        <v>2160</v>
      </c>
    </row>
    <row r="103" spans="9:20" x14ac:dyDescent="0.3">
      <c r="O103">
        <v>102</v>
      </c>
      <c r="P103" t="s">
        <v>106</v>
      </c>
      <c r="Q103" t="s">
        <v>34</v>
      </c>
      <c r="R103">
        <v>0</v>
      </c>
      <c r="S103">
        <v>0</v>
      </c>
      <c r="T103">
        <v>2160</v>
      </c>
    </row>
    <row r="104" spans="9:20" x14ac:dyDescent="0.3">
      <c r="O104">
        <v>103</v>
      </c>
      <c r="P104" t="s">
        <v>106</v>
      </c>
      <c r="Q104" t="s">
        <v>37</v>
      </c>
      <c r="R104">
        <v>0</v>
      </c>
      <c r="S104">
        <v>0</v>
      </c>
      <c r="T104">
        <v>2160</v>
      </c>
    </row>
    <row r="105" spans="9:20" x14ac:dyDescent="0.3">
      <c r="O105">
        <v>104</v>
      </c>
      <c r="P105" t="s">
        <v>107</v>
      </c>
      <c r="Q105" t="s">
        <v>34</v>
      </c>
      <c r="R105">
        <v>0</v>
      </c>
      <c r="S105">
        <v>0</v>
      </c>
      <c r="T105">
        <v>2160</v>
      </c>
    </row>
    <row r="106" spans="9:20" x14ac:dyDescent="0.3">
      <c r="O106">
        <v>105</v>
      </c>
      <c r="P106" t="s">
        <v>107</v>
      </c>
      <c r="Q106" t="s">
        <v>37</v>
      </c>
      <c r="R106">
        <v>0</v>
      </c>
      <c r="S106">
        <v>0</v>
      </c>
      <c r="T106">
        <v>2160</v>
      </c>
    </row>
    <row r="107" spans="9:20" x14ac:dyDescent="0.3">
      <c r="O107">
        <v>106</v>
      </c>
      <c r="P107" t="s">
        <v>108</v>
      </c>
      <c r="Q107" t="s">
        <v>34</v>
      </c>
      <c r="R107">
        <v>418</v>
      </c>
      <c r="S107">
        <v>592</v>
      </c>
      <c r="T107">
        <v>1153</v>
      </c>
    </row>
    <row r="108" spans="9:20" x14ac:dyDescent="0.3">
      <c r="O108">
        <v>107</v>
      </c>
      <c r="P108" t="s">
        <v>108</v>
      </c>
      <c r="Q108" t="s">
        <v>37</v>
      </c>
      <c r="R108">
        <v>568</v>
      </c>
      <c r="S108">
        <v>451</v>
      </c>
      <c r="T108">
        <v>1151</v>
      </c>
    </row>
    <row r="109" spans="9:20" x14ac:dyDescent="0.3">
      <c r="O109">
        <v>108</v>
      </c>
      <c r="P109" t="s">
        <v>109</v>
      </c>
      <c r="Q109" t="s">
        <v>34</v>
      </c>
      <c r="R109">
        <v>316</v>
      </c>
      <c r="S109">
        <v>389</v>
      </c>
      <c r="T109">
        <v>1461</v>
      </c>
    </row>
    <row r="110" spans="9:20" x14ac:dyDescent="0.3">
      <c r="O110">
        <v>109</v>
      </c>
      <c r="P110" t="s">
        <v>109</v>
      </c>
      <c r="Q110" t="s">
        <v>37</v>
      </c>
      <c r="R110">
        <v>666</v>
      </c>
      <c r="S110">
        <v>480</v>
      </c>
      <c r="T110">
        <v>1024</v>
      </c>
    </row>
    <row r="111" spans="9:20" x14ac:dyDescent="0.3">
      <c r="O111">
        <v>110</v>
      </c>
      <c r="P111" t="s">
        <v>110</v>
      </c>
      <c r="Q111" t="s">
        <v>34</v>
      </c>
      <c r="R111">
        <v>290</v>
      </c>
      <c r="S111">
        <v>471</v>
      </c>
      <c r="T111">
        <v>1403</v>
      </c>
    </row>
    <row r="112" spans="9:20" x14ac:dyDescent="0.3">
      <c r="O112">
        <v>111</v>
      </c>
      <c r="P112" t="s">
        <v>111</v>
      </c>
      <c r="Q112" t="s">
        <v>34</v>
      </c>
      <c r="R112">
        <v>1317</v>
      </c>
      <c r="S112">
        <v>1613</v>
      </c>
      <c r="T112">
        <v>1402</v>
      </c>
    </row>
    <row r="113" spans="15:20" x14ac:dyDescent="0.3">
      <c r="O113">
        <v>112</v>
      </c>
      <c r="P113" t="s">
        <v>111</v>
      </c>
      <c r="Q113" t="s">
        <v>37</v>
      </c>
      <c r="R113">
        <v>905</v>
      </c>
      <c r="S113">
        <v>673</v>
      </c>
      <c r="T113">
        <v>595</v>
      </c>
    </row>
    <row r="114" spans="15:20" x14ac:dyDescent="0.3">
      <c r="O114">
        <v>113</v>
      </c>
      <c r="P114" t="s">
        <v>112</v>
      </c>
      <c r="Q114" t="s">
        <v>34</v>
      </c>
      <c r="R114">
        <v>669</v>
      </c>
      <c r="S114">
        <v>569</v>
      </c>
      <c r="T114">
        <v>937</v>
      </c>
    </row>
    <row r="115" spans="15:20" x14ac:dyDescent="0.3">
      <c r="O115">
        <v>114</v>
      </c>
      <c r="P115" t="s">
        <v>112</v>
      </c>
      <c r="Q115" t="s">
        <v>37</v>
      </c>
      <c r="R115">
        <v>808</v>
      </c>
      <c r="S115">
        <v>570</v>
      </c>
      <c r="T115">
        <v>798</v>
      </c>
    </row>
    <row r="116" spans="15:20" x14ac:dyDescent="0.3">
      <c r="O116">
        <v>115</v>
      </c>
      <c r="P116" t="s">
        <v>113</v>
      </c>
      <c r="Q116" t="s">
        <v>34</v>
      </c>
      <c r="R116">
        <v>292</v>
      </c>
      <c r="S116">
        <v>489</v>
      </c>
      <c r="T116">
        <v>1383</v>
      </c>
    </row>
    <row r="117" spans="15:20" x14ac:dyDescent="0.3">
      <c r="O117">
        <v>116</v>
      </c>
      <c r="P117" t="s">
        <v>113</v>
      </c>
      <c r="Q117" t="s">
        <v>37</v>
      </c>
      <c r="R117">
        <v>517</v>
      </c>
      <c r="S117">
        <v>384</v>
      </c>
      <c r="T117">
        <v>1267</v>
      </c>
    </row>
    <row r="118" spans="15:20" x14ac:dyDescent="0.3">
      <c r="O118">
        <v>117</v>
      </c>
      <c r="P118" t="s">
        <v>114</v>
      </c>
      <c r="Q118" t="s">
        <v>34</v>
      </c>
      <c r="R118">
        <v>0</v>
      </c>
      <c r="S118">
        <v>0</v>
      </c>
      <c r="T118">
        <v>1965</v>
      </c>
    </row>
    <row r="119" spans="15:20" x14ac:dyDescent="0.3">
      <c r="O119">
        <v>118</v>
      </c>
      <c r="P119" t="s">
        <v>114</v>
      </c>
      <c r="Q119" t="s">
        <v>37</v>
      </c>
      <c r="R119">
        <v>0</v>
      </c>
      <c r="S119">
        <v>0</v>
      </c>
      <c r="T119">
        <v>2160</v>
      </c>
    </row>
    <row r="120" spans="15:20" x14ac:dyDescent="0.3">
      <c r="O120">
        <v>119</v>
      </c>
      <c r="P120" t="s">
        <v>115</v>
      </c>
      <c r="Q120" t="s">
        <v>34</v>
      </c>
      <c r="R120">
        <v>582</v>
      </c>
      <c r="S120">
        <v>355</v>
      </c>
      <c r="T120">
        <v>1234</v>
      </c>
    </row>
    <row r="121" spans="15:20" x14ac:dyDescent="0.3">
      <c r="O121">
        <v>120</v>
      </c>
      <c r="P121" t="s">
        <v>115</v>
      </c>
      <c r="Q121" t="s">
        <v>37</v>
      </c>
      <c r="R121">
        <v>565</v>
      </c>
      <c r="S121">
        <v>586</v>
      </c>
      <c r="T121">
        <v>1013</v>
      </c>
    </row>
    <row r="122" spans="15:20" x14ac:dyDescent="0.3">
      <c r="O122">
        <v>121</v>
      </c>
      <c r="P122" t="s">
        <v>116</v>
      </c>
      <c r="Q122" t="s">
        <v>34</v>
      </c>
      <c r="R122">
        <v>425</v>
      </c>
      <c r="S122">
        <v>447</v>
      </c>
      <c r="T122">
        <v>1298</v>
      </c>
    </row>
    <row r="123" spans="15:20" x14ac:dyDescent="0.3">
      <c r="O123">
        <v>122</v>
      </c>
      <c r="P123" t="s">
        <v>116</v>
      </c>
      <c r="Q123" t="s">
        <v>37</v>
      </c>
      <c r="R123">
        <v>588</v>
      </c>
      <c r="S123">
        <v>648</v>
      </c>
      <c r="T123">
        <v>931</v>
      </c>
    </row>
    <row r="124" spans="15:20" x14ac:dyDescent="0.3">
      <c r="O124">
        <v>123</v>
      </c>
      <c r="P124" t="s">
        <v>117</v>
      </c>
      <c r="Q124" t="s">
        <v>34</v>
      </c>
      <c r="R124">
        <v>562</v>
      </c>
      <c r="S124">
        <v>414</v>
      </c>
      <c r="T124">
        <v>1194</v>
      </c>
    </row>
    <row r="125" spans="15:20" x14ac:dyDescent="0.3">
      <c r="O125">
        <v>124</v>
      </c>
      <c r="P125" t="s">
        <v>117</v>
      </c>
      <c r="Q125" t="s">
        <v>37</v>
      </c>
      <c r="R125">
        <v>244</v>
      </c>
      <c r="S125">
        <v>596</v>
      </c>
      <c r="T125">
        <v>1328</v>
      </c>
    </row>
    <row r="126" spans="15:20" x14ac:dyDescent="0.3">
      <c r="O126">
        <v>125</v>
      </c>
      <c r="P126" t="s">
        <v>118</v>
      </c>
      <c r="Q126" t="s">
        <v>34</v>
      </c>
      <c r="R126">
        <v>477</v>
      </c>
      <c r="S126">
        <v>513</v>
      </c>
      <c r="T126">
        <v>1183</v>
      </c>
    </row>
    <row r="127" spans="15:20" x14ac:dyDescent="0.3">
      <c r="O127">
        <v>126</v>
      </c>
      <c r="P127" t="s">
        <v>118</v>
      </c>
      <c r="Q127" t="s">
        <v>37</v>
      </c>
      <c r="R127">
        <v>376</v>
      </c>
      <c r="S127">
        <v>685</v>
      </c>
      <c r="T127">
        <v>1102</v>
      </c>
    </row>
    <row r="128" spans="15:20" x14ac:dyDescent="0.3">
      <c r="O128">
        <v>127</v>
      </c>
      <c r="P128" t="s">
        <v>119</v>
      </c>
      <c r="Q128" t="s">
        <v>34</v>
      </c>
      <c r="R128">
        <v>548</v>
      </c>
      <c r="S128">
        <v>388</v>
      </c>
      <c r="T128">
        <v>1234</v>
      </c>
    </row>
    <row r="129" spans="15:20" x14ac:dyDescent="0.3">
      <c r="O129">
        <v>128</v>
      </c>
      <c r="P129" t="s">
        <v>119</v>
      </c>
      <c r="Q129" t="s">
        <v>37</v>
      </c>
      <c r="R129">
        <v>273</v>
      </c>
      <c r="S129">
        <v>701</v>
      </c>
      <c r="T129">
        <v>1190</v>
      </c>
    </row>
    <row r="130" spans="15:20" x14ac:dyDescent="0.3">
      <c r="O130">
        <v>129</v>
      </c>
      <c r="P130" t="s">
        <v>120</v>
      </c>
      <c r="Q130" t="s">
        <v>34</v>
      </c>
      <c r="R130">
        <v>761</v>
      </c>
      <c r="S130">
        <v>274</v>
      </c>
      <c r="T130">
        <v>1131</v>
      </c>
    </row>
    <row r="131" spans="15:20" x14ac:dyDescent="0.3">
      <c r="O131">
        <v>130</v>
      </c>
      <c r="P131" t="s">
        <v>120</v>
      </c>
      <c r="Q131" t="s">
        <v>37</v>
      </c>
      <c r="R131">
        <v>264</v>
      </c>
      <c r="S131">
        <v>403</v>
      </c>
      <c r="T131">
        <v>1511</v>
      </c>
    </row>
    <row r="132" spans="15:20" x14ac:dyDescent="0.3">
      <c r="O132">
        <v>131</v>
      </c>
      <c r="P132" t="s">
        <v>121</v>
      </c>
      <c r="Q132" t="s">
        <v>34</v>
      </c>
      <c r="R132">
        <v>110</v>
      </c>
      <c r="S132">
        <v>6</v>
      </c>
      <c r="T132">
        <v>2044</v>
      </c>
    </row>
    <row r="133" spans="15:20" x14ac:dyDescent="0.3">
      <c r="O133">
        <v>132</v>
      </c>
      <c r="P133" t="s">
        <v>121</v>
      </c>
      <c r="Q133" t="s">
        <v>37</v>
      </c>
      <c r="R133">
        <v>0</v>
      </c>
      <c r="S133">
        <v>0</v>
      </c>
      <c r="T133">
        <v>2160</v>
      </c>
    </row>
    <row r="134" spans="15:20" x14ac:dyDescent="0.3">
      <c r="O134">
        <v>133</v>
      </c>
      <c r="P134" t="s">
        <v>122</v>
      </c>
      <c r="Q134" t="s">
        <v>34</v>
      </c>
      <c r="R134">
        <v>544</v>
      </c>
      <c r="S134">
        <v>474</v>
      </c>
      <c r="T134">
        <v>1153</v>
      </c>
    </row>
    <row r="135" spans="15:20" x14ac:dyDescent="0.3">
      <c r="O135">
        <v>134</v>
      </c>
      <c r="P135" t="s">
        <v>122</v>
      </c>
      <c r="Q135" t="s">
        <v>37</v>
      </c>
      <c r="R135">
        <v>594</v>
      </c>
      <c r="S135">
        <v>488</v>
      </c>
      <c r="T135">
        <v>1091</v>
      </c>
    </row>
    <row r="136" spans="15:20" x14ac:dyDescent="0.3">
      <c r="O136">
        <v>135</v>
      </c>
      <c r="P136" t="s">
        <v>123</v>
      </c>
      <c r="Q136" t="s">
        <v>34</v>
      </c>
      <c r="R136">
        <v>725</v>
      </c>
      <c r="S136">
        <v>396</v>
      </c>
      <c r="T136">
        <v>1043</v>
      </c>
    </row>
    <row r="137" spans="15:20" x14ac:dyDescent="0.3">
      <c r="O137">
        <v>136</v>
      </c>
      <c r="P137" t="s">
        <v>123</v>
      </c>
      <c r="Q137" t="s">
        <v>37</v>
      </c>
      <c r="R137">
        <v>480</v>
      </c>
      <c r="S137">
        <v>513</v>
      </c>
      <c r="T137">
        <v>1180</v>
      </c>
    </row>
    <row r="138" spans="15:20" x14ac:dyDescent="0.3">
      <c r="O138">
        <v>137</v>
      </c>
      <c r="P138" t="s">
        <v>124</v>
      </c>
      <c r="Q138" t="s">
        <v>34</v>
      </c>
      <c r="R138">
        <v>440</v>
      </c>
      <c r="S138">
        <v>535</v>
      </c>
      <c r="T138">
        <v>1188</v>
      </c>
    </row>
    <row r="139" spans="15:20" x14ac:dyDescent="0.3">
      <c r="O139">
        <v>138</v>
      </c>
      <c r="P139" t="s">
        <v>124</v>
      </c>
      <c r="Q139" t="s">
        <v>37</v>
      </c>
      <c r="R139">
        <v>605</v>
      </c>
      <c r="S139">
        <v>486</v>
      </c>
      <c r="T139">
        <v>1085</v>
      </c>
    </row>
    <row r="140" spans="15:20" x14ac:dyDescent="0.3">
      <c r="O140">
        <v>139</v>
      </c>
      <c r="P140" t="s">
        <v>125</v>
      </c>
      <c r="Q140" t="s">
        <v>34</v>
      </c>
      <c r="R140">
        <v>539</v>
      </c>
      <c r="S140">
        <v>652</v>
      </c>
      <c r="T140">
        <v>979</v>
      </c>
    </row>
    <row r="141" spans="15:20" x14ac:dyDescent="0.3">
      <c r="O141">
        <v>140</v>
      </c>
      <c r="P141" t="s">
        <v>125</v>
      </c>
      <c r="Q141" t="s">
        <v>37</v>
      </c>
      <c r="R141">
        <v>958</v>
      </c>
      <c r="S141">
        <v>672</v>
      </c>
      <c r="T141">
        <v>550</v>
      </c>
    </row>
    <row r="142" spans="15:20" x14ac:dyDescent="0.3">
      <c r="O142">
        <v>141</v>
      </c>
      <c r="P142" t="s">
        <v>126</v>
      </c>
      <c r="Q142" t="s">
        <v>34</v>
      </c>
      <c r="R142">
        <v>351</v>
      </c>
      <c r="S142">
        <v>375</v>
      </c>
      <c r="T142">
        <v>1437</v>
      </c>
    </row>
    <row r="143" spans="15:20" x14ac:dyDescent="0.3">
      <c r="O143">
        <v>142</v>
      </c>
      <c r="P143" t="s">
        <v>126</v>
      </c>
      <c r="Q143" t="s">
        <v>37</v>
      </c>
      <c r="R143">
        <v>607</v>
      </c>
      <c r="S143">
        <v>488</v>
      </c>
      <c r="T143">
        <v>1081</v>
      </c>
    </row>
    <row r="144" spans="15:20" x14ac:dyDescent="0.3">
      <c r="O144">
        <v>143</v>
      </c>
      <c r="P144" t="s">
        <v>127</v>
      </c>
      <c r="Q144" t="s">
        <v>34</v>
      </c>
      <c r="R144">
        <v>748</v>
      </c>
      <c r="S144">
        <v>402</v>
      </c>
      <c r="T144">
        <v>1015</v>
      </c>
    </row>
    <row r="145" spans="15:20" x14ac:dyDescent="0.3">
      <c r="O145">
        <v>144</v>
      </c>
      <c r="P145" t="s">
        <v>127</v>
      </c>
      <c r="Q145" t="s">
        <v>37</v>
      </c>
      <c r="R145">
        <v>444</v>
      </c>
      <c r="S145">
        <v>417</v>
      </c>
      <c r="T145">
        <v>1310</v>
      </c>
    </row>
    <row r="146" spans="15:20" x14ac:dyDescent="0.3">
      <c r="O146">
        <v>145</v>
      </c>
      <c r="P146" t="s">
        <v>128</v>
      </c>
      <c r="Q146" t="s">
        <v>34</v>
      </c>
      <c r="R146">
        <v>0</v>
      </c>
      <c r="S146">
        <v>0</v>
      </c>
      <c r="T146">
        <v>2160</v>
      </c>
    </row>
    <row r="147" spans="15:20" x14ac:dyDescent="0.3">
      <c r="O147">
        <v>146</v>
      </c>
      <c r="P147" t="s">
        <v>128</v>
      </c>
      <c r="Q147" t="s">
        <v>37</v>
      </c>
      <c r="R147">
        <v>0</v>
      </c>
      <c r="S147">
        <v>0</v>
      </c>
      <c r="T147">
        <v>2160</v>
      </c>
    </row>
    <row r="148" spans="15:20" x14ac:dyDescent="0.3">
      <c r="O148">
        <v>147</v>
      </c>
      <c r="P148" t="s">
        <v>129</v>
      </c>
      <c r="Q148" t="s">
        <v>34</v>
      </c>
      <c r="R148">
        <v>486</v>
      </c>
      <c r="S148">
        <v>404</v>
      </c>
      <c r="T148">
        <v>1282</v>
      </c>
    </row>
    <row r="149" spans="15:20" x14ac:dyDescent="0.3">
      <c r="O149">
        <v>148</v>
      </c>
      <c r="P149" t="s">
        <v>129</v>
      </c>
      <c r="Q149" t="s">
        <v>37</v>
      </c>
      <c r="R149">
        <v>297</v>
      </c>
      <c r="S149">
        <v>474</v>
      </c>
      <c r="T149">
        <v>1398</v>
      </c>
    </row>
    <row r="150" spans="15:20" x14ac:dyDescent="0.3">
      <c r="O150">
        <v>149</v>
      </c>
      <c r="P150" t="s">
        <v>130</v>
      </c>
      <c r="Q150" t="s">
        <v>34</v>
      </c>
      <c r="R150">
        <v>530</v>
      </c>
      <c r="S150">
        <v>431</v>
      </c>
      <c r="T150">
        <v>1211</v>
      </c>
    </row>
    <row r="151" spans="15:20" x14ac:dyDescent="0.3">
      <c r="O151">
        <v>150</v>
      </c>
      <c r="P151" t="s">
        <v>130</v>
      </c>
      <c r="Q151" t="s">
        <v>37</v>
      </c>
      <c r="R151">
        <v>350</v>
      </c>
      <c r="S151">
        <v>465</v>
      </c>
      <c r="T151">
        <v>1352</v>
      </c>
    </row>
    <row r="152" spans="15:20" x14ac:dyDescent="0.3">
      <c r="O152">
        <v>151</v>
      </c>
      <c r="P152" t="s">
        <v>131</v>
      </c>
      <c r="Q152" t="s">
        <v>34</v>
      </c>
      <c r="R152">
        <v>561</v>
      </c>
      <c r="S152">
        <v>471</v>
      </c>
      <c r="T152">
        <v>1140</v>
      </c>
    </row>
    <row r="153" spans="15:20" x14ac:dyDescent="0.3">
      <c r="O153">
        <v>152</v>
      </c>
      <c r="P153" t="s">
        <v>131</v>
      </c>
      <c r="Q153" t="s">
        <v>37</v>
      </c>
      <c r="R153">
        <v>410</v>
      </c>
      <c r="S153">
        <v>431</v>
      </c>
      <c r="T153">
        <v>1324</v>
      </c>
    </row>
    <row r="154" spans="15:20" x14ac:dyDescent="0.3">
      <c r="O154">
        <v>153</v>
      </c>
      <c r="P154" t="s">
        <v>132</v>
      </c>
      <c r="Q154" t="s">
        <v>34</v>
      </c>
      <c r="R154">
        <v>516</v>
      </c>
      <c r="S154">
        <v>431</v>
      </c>
      <c r="T154">
        <v>1229</v>
      </c>
    </row>
    <row r="155" spans="15:20" x14ac:dyDescent="0.3">
      <c r="O155">
        <v>154</v>
      </c>
      <c r="P155" t="s">
        <v>132</v>
      </c>
      <c r="Q155" t="s">
        <v>37</v>
      </c>
      <c r="R155">
        <v>335</v>
      </c>
      <c r="S155">
        <v>474</v>
      </c>
      <c r="T155">
        <v>1356</v>
      </c>
    </row>
    <row r="156" spans="15:20" x14ac:dyDescent="0.3">
      <c r="O156">
        <v>155</v>
      </c>
      <c r="P156" t="s">
        <v>133</v>
      </c>
      <c r="Q156" t="s">
        <v>34</v>
      </c>
      <c r="R156">
        <v>521</v>
      </c>
      <c r="S156">
        <v>415</v>
      </c>
      <c r="T156">
        <v>1238</v>
      </c>
    </row>
    <row r="157" spans="15:20" x14ac:dyDescent="0.3">
      <c r="O157">
        <v>156</v>
      </c>
      <c r="P157" t="s">
        <v>133</v>
      </c>
      <c r="Q157" t="s">
        <v>37</v>
      </c>
      <c r="R157">
        <v>748</v>
      </c>
      <c r="S157">
        <v>453</v>
      </c>
      <c r="T157">
        <v>967</v>
      </c>
    </row>
    <row r="158" spans="15:20" x14ac:dyDescent="0.3">
      <c r="O158">
        <v>157</v>
      </c>
      <c r="P158" t="s">
        <v>134</v>
      </c>
      <c r="Q158" t="s">
        <v>34</v>
      </c>
      <c r="R158">
        <v>491</v>
      </c>
      <c r="S158">
        <v>420</v>
      </c>
      <c r="T158">
        <v>1258</v>
      </c>
    </row>
    <row r="159" spans="15:20" x14ac:dyDescent="0.3">
      <c r="O159">
        <v>158</v>
      </c>
      <c r="P159" t="s">
        <v>134</v>
      </c>
      <c r="Q159" t="s">
        <v>37</v>
      </c>
      <c r="R159">
        <v>497</v>
      </c>
      <c r="S159">
        <v>393</v>
      </c>
      <c r="T159">
        <v>1274</v>
      </c>
    </row>
    <row r="160" spans="15:20" x14ac:dyDescent="0.3">
      <c r="O160">
        <v>159</v>
      </c>
      <c r="P160" t="s">
        <v>135</v>
      </c>
      <c r="Q160" t="s">
        <v>34</v>
      </c>
      <c r="R160">
        <v>0</v>
      </c>
      <c r="S160">
        <v>0</v>
      </c>
      <c r="T160">
        <v>2160</v>
      </c>
    </row>
    <row r="161" spans="15:20" x14ac:dyDescent="0.3">
      <c r="O161">
        <v>160</v>
      </c>
      <c r="P161" t="s">
        <v>135</v>
      </c>
      <c r="Q161" t="s">
        <v>37</v>
      </c>
      <c r="R161">
        <v>0</v>
      </c>
      <c r="S161">
        <v>0</v>
      </c>
      <c r="T161">
        <v>2160</v>
      </c>
    </row>
    <row r="162" spans="15:20" x14ac:dyDescent="0.3">
      <c r="O162">
        <v>161</v>
      </c>
      <c r="P162" t="s">
        <v>136</v>
      </c>
      <c r="Q162" t="s">
        <v>34</v>
      </c>
      <c r="R162">
        <v>388</v>
      </c>
      <c r="S162">
        <v>350</v>
      </c>
      <c r="T162">
        <v>1427</v>
      </c>
    </row>
    <row r="163" spans="15:20" x14ac:dyDescent="0.3">
      <c r="O163">
        <v>162</v>
      </c>
      <c r="P163" t="s">
        <v>136</v>
      </c>
      <c r="Q163" t="s">
        <v>37</v>
      </c>
      <c r="R163">
        <v>562</v>
      </c>
      <c r="S163">
        <v>528</v>
      </c>
      <c r="T163">
        <v>1084</v>
      </c>
    </row>
    <row r="164" spans="15:20" x14ac:dyDescent="0.3">
      <c r="O164">
        <v>163</v>
      </c>
      <c r="P164" t="s">
        <v>137</v>
      </c>
      <c r="Q164" t="s">
        <v>34</v>
      </c>
      <c r="R164">
        <v>322</v>
      </c>
      <c r="S164">
        <v>366</v>
      </c>
      <c r="T164">
        <v>1478</v>
      </c>
    </row>
    <row r="165" spans="15:20" x14ac:dyDescent="0.3">
      <c r="O165">
        <v>164</v>
      </c>
      <c r="P165" t="s">
        <v>137</v>
      </c>
      <c r="Q165" t="s">
        <v>37</v>
      </c>
      <c r="R165">
        <v>728</v>
      </c>
      <c r="S165">
        <v>404</v>
      </c>
      <c r="T165">
        <v>1040</v>
      </c>
    </row>
    <row r="166" spans="15:20" x14ac:dyDescent="0.3">
      <c r="O166">
        <v>165</v>
      </c>
      <c r="P166" t="s">
        <v>138</v>
      </c>
      <c r="Q166" t="s">
        <v>34</v>
      </c>
      <c r="R166">
        <v>380</v>
      </c>
      <c r="S166">
        <v>378</v>
      </c>
      <c r="T166">
        <v>1410</v>
      </c>
    </row>
    <row r="167" spans="15:20" x14ac:dyDescent="0.3">
      <c r="O167">
        <v>166</v>
      </c>
      <c r="P167" t="s">
        <v>138</v>
      </c>
      <c r="Q167" t="s">
        <v>37</v>
      </c>
      <c r="R167">
        <v>353</v>
      </c>
      <c r="S167">
        <v>246</v>
      </c>
      <c r="T167">
        <v>1567</v>
      </c>
    </row>
    <row r="168" spans="15:20" x14ac:dyDescent="0.3">
      <c r="O168">
        <v>167</v>
      </c>
      <c r="P168" t="s">
        <v>139</v>
      </c>
      <c r="Q168" t="s">
        <v>34</v>
      </c>
      <c r="R168">
        <v>307</v>
      </c>
      <c r="S168">
        <v>358</v>
      </c>
      <c r="T168">
        <v>1500</v>
      </c>
    </row>
    <row r="169" spans="15:20" x14ac:dyDescent="0.3">
      <c r="O169">
        <v>168</v>
      </c>
      <c r="P169" t="s">
        <v>139</v>
      </c>
      <c r="Q169" t="s">
        <v>37</v>
      </c>
      <c r="R169">
        <v>541</v>
      </c>
      <c r="S169">
        <v>492</v>
      </c>
      <c r="T169">
        <v>1139</v>
      </c>
    </row>
    <row r="170" spans="15:20" x14ac:dyDescent="0.3">
      <c r="O170">
        <v>169</v>
      </c>
      <c r="P170" t="s">
        <v>140</v>
      </c>
      <c r="Q170" t="s">
        <v>34</v>
      </c>
      <c r="R170">
        <v>341</v>
      </c>
      <c r="S170">
        <v>351</v>
      </c>
      <c r="T170">
        <v>1475</v>
      </c>
    </row>
    <row r="171" spans="15:20" x14ac:dyDescent="0.3">
      <c r="O171">
        <v>170</v>
      </c>
      <c r="P171" t="s">
        <v>140</v>
      </c>
      <c r="Q171" t="s">
        <v>37</v>
      </c>
      <c r="R171">
        <v>608</v>
      </c>
      <c r="S171">
        <v>447</v>
      </c>
      <c r="T171">
        <v>1117</v>
      </c>
    </row>
    <row r="172" spans="15:20" x14ac:dyDescent="0.3">
      <c r="O172">
        <v>171</v>
      </c>
      <c r="P172" t="s">
        <v>141</v>
      </c>
      <c r="Q172" t="s">
        <v>34</v>
      </c>
      <c r="R172">
        <v>0</v>
      </c>
      <c r="S172">
        <v>0</v>
      </c>
      <c r="T172">
        <v>2159</v>
      </c>
    </row>
    <row r="173" spans="15:20" x14ac:dyDescent="0.3">
      <c r="O173">
        <v>172</v>
      </c>
      <c r="P173" t="s">
        <v>141</v>
      </c>
      <c r="Q173" t="s">
        <v>37</v>
      </c>
      <c r="R173">
        <v>9</v>
      </c>
      <c r="S173">
        <v>5</v>
      </c>
      <c r="T173">
        <v>2145</v>
      </c>
    </row>
    <row r="174" spans="15:20" x14ac:dyDescent="0.3">
      <c r="O174">
        <v>173</v>
      </c>
      <c r="P174" t="s">
        <v>142</v>
      </c>
      <c r="Q174" t="s">
        <v>34</v>
      </c>
      <c r="R174">
        <v>0</v>
      </c>
      <c r="S174">
        <v>0</v>
      </c>
      <c r="T174">
        <v>2160</v>
      </c>
    </row>
    <row r="175" spans="15:20" x14ac:dyDescent="0.3">
      <c r="O175">
        <v>174</v>
      </c>
      <c r="P175" t="s">
        <v>142</v>
      </c>
      <c r="Q175" t="s">
        <v>37</v>
      </c>
      <c r="R175">
        <v>0</v>
      </c>
      <c r="S175">
        <v>0</v>
      </c>
      <c r="T175">
        <v>2160</v>
      </c>
    </row>
    <row r="176" spans="15:20" x14ac:dyDescent="0.3">
      <c r="O176">
        <v>175</v>
      </c>
      <c r="P176" t="s">
        <v>143</v>
      </c>
      <c r="Q176" t="s">
        <v>34</v>
      </c>
      <c r="R176">
        <v>514</v>
      </c>
      <c r="S176">
        <v>383</v>
      </c>
      <c r="T176">
        <v>1270</v>
      </c>
    </row>
    <row r="177" spans="15:20" x14ac:dyDescent="0.3">
      <c r="O177">
        <v>176</v>
      </c>
      <c r="P177" t="s">
        <v>143</v>
      </c>
      <c r="Q177" t="s">
        <v>37</v>
      </c>
      <c r="R177">
        <v>373</v>
      </c>
      <c r="S177">
        <v>395</v>
      </c>
      <c r="T177">
        <v>1398</v>
      </c>
    </row>
    <row r="178" spans="15:20" x14ac:dyDescent="0.3">
      <c r="O178">
        <v>177</v>
      </c>
      <c r="P178" t="s">
        <v>144</v>
      </c>
      <c r="Q178" t="s">
        <v>34</v>
      </c>
      <c r="R178">
        <v>584</v>
      </c>
      <c r="S178">
        <v>395</v>
      </c>
      <c r="T178">
        <v>1187</v>
      </c>
    </row>
    <row r="179" spans="15:20" x14ac:dyDescent="0.3">
      <c r="O179">
        <v>178</v>
      </c>
      <c r="P179" t="s">
        <v>144</v>
      </c>
      <c r="Q179" t="s">
        <v>37</v>
      </c>
      <c r="R179">
        <v>345</v>
      </c>
      <c r="S179">
        <v>419</v>
      </c>
      <c r="T179">
        <v>1404</v>
      </c>
    </row>
    <row r="180" spans="15:20" x14ac:dyDescent="0.3">
      <c r="O180">
        <v>179</v>
      </c>
      <c r="P180" t="s">
        <v>33</v>
      </c>
      <c r="Q180" t="s">
        <v>34</v>
      </c>
      <c r="R180">
        <v>524</v>
      </c>
      <c r="S180">
        <v>460</v>
      </c>
      <c r="T180">
        <v>1183</v>
      </c>
    </row>
    <row r="181" spans="15:20" x14ac:dyDescent="0.3">
      <c r="O181">
        <v>180</v>
      </c>
      <c r="P181" t="s">
        <v>33</v>
      </c>
      <c r="Q181" t="s">
        <v>37</v>
      </c>
      <c r="R181">
        <v>331</v>
      </c>
      <c r="S181">
        <v>436</v>
      </c>
      <c r="T181">
        <v>1401</v>
      </c>
    </row>
    <row r="182" spans="15:20" x14ac:dyDescent="0.3">
      <c r="O182">
        <v>181</v>
      </c>
      <c r="P182" t="s">
        <v>39</v>
      </c>
      <c r="Q182" t="s">
        <v>34</v>
      </c>
      <c r="R182">
        <v>499</v>
      </c>
      <c r="S182">
        <v>411</v>
      </c>
      <c r="T182">
        <v>1258</v>
      </c>
    </row>
    <row r="183" spans="15:20" x14ac:dyDescent="0.3">
      <c r="O183">
        <v>182</v>
      </c>
      <c r="P183" t="s">
        <v>39</v>
      </c>
      <c r="Q183" t="s">
        <v>37</v>
      </c>
      <c r="R183">
        <v>309</v>
      </c>
      <c r="S183">
        <v>452</v>
      </c>
      <c r="T183">
        <v>1405</v>
      </c>
    </row>
    <row r="184" spans="15:20" x14ac:dyDescent="0.3">
      <c r="O184">
        <v>183</v>
      </c>
      <c r="P184" t="s">
        <v>43</v>
      </c>
      <c r="Q184" t="s">
        <v>34</v>
      </c>
      <c r="R184">
        <v>540</v>
      </c>
      <c r="S184">
        <v>433</v>
      </c>
      <c r="T184">
        <v>1199</v>
      </c>
    </row>
    <row r="185" spans="15:20" x14ac:dyDescent="0.3">
      <c r="O185">
        <v>184</v>
      </c>
      <c r="P185" t="s">
        <v>43</v>
      </c>
      <c r="Q185" t="s">
        <v>37</v>
      </c>
      <c r="R185">
        <v>372</v>
      </c>
      <c r="S185">
        <v>506</v>
      </c>
      <c r="T185">
        <v>1291</v>
      </c>
    </row>
    <row r="186" spans="15:20" x14ac:dyDescent="0.3">
      <c r="O186">
        <v>185</v>
      </c>
      <c r="P186" t="s">
        <v>48</v>
      </c>
      <c r="Q186" t="s">
        <v>34</v>
      </c>
      <c r="R186">
        <v>725</v>
      </c>
      <c r="S186">
        <v>281</v>
      </c>
      <c r="T186">
        <v>1163</v>
      </c>
    </row>
    <row r="187" spans="15:20" x14ac:dyDescent="0.3">
      <c r="O187">
        <v>186</v>
      </c>
      <c r="P187" t="s">
        <v>48</v>
      </c>
      <c r="Q187" t="s">
        <v>37</v>
      </c>
      <c r="R187">
        <v>243</v>
      </c>
      <c r="S187">
        <v>386</v>
      </c>
      <c r="T187">
        <v>1535</v>
      </c>
    </row>
    <row r="188" spans="15:20" x14ac:dyDescent="0.3">
      <c r="O188">
        <v>187</v>
      </c>
      <c r="P188" t="s">
        <v>52</v>
      </c>
      <c r="Q188" t="s">
        <v>34</v>
      </c>
      <c r="R188">
        <v>72</v>
      </c>
      <c r="S188">
        <v>1</v>
      </c>
      <c r="T188">
        <v>2086</v>
      </c>
    </row>
    <row r="189" spans="15:20" x14ac:dyDescent="0.3">
      <c r="O189">
        <v>188</v>
      </c>
      <c r="P189" t="s">
        <v>52</v>
      </c>
      <c r="Q189" t="s">
        <v>37</v>
      </c>
      <c r="R189">
        <v>720</v>
      </c>
      <c r="S189">
        <v>0</v>
      </c>
      <c r="T189">
        <v>1440</v>
      </c>
    </row>
    <row r="190" spans="15:20" x14ac:dyDescent="0.3">
      <c r="O190">
        <v>189</v>
      </c>
      <c r="P190" t="s">
        <v>56</v>
      </c>
      <c r="Q190" t="s">
        <v>34</v>
      </c>
      <c r="R190">
        <v>424</v>
      </c>
      <c r="S190">
        <v>459</v>
      </c>
      <c r="T190">
        <v>1282</v>
      </c>
    </row>
    <row r="191" spans="15:20" x14ac:dyDescent="0.3">
      <c r="O191">
        <v>190</v>
      </c>
      <c r="P191" t="s">
        <v>56</v>
      </c>
      <c r="Q191" t="s">
        <v>37</v>
      </c>
      <c r="R191">
        <v>328</v>
      </c>
      <c r="S191">
        <v>224</v>
      </c>
      <c r="T191">
        <v>1616</v>
      </c>
    </row>
    <row r="192" spans="15:20" x14ac:dyDescent="0.3">
      <c r="O192">
        <v>191</v>
      </c>
      <c r="P192" t="s">
        <v>60</v>
      </c>
      <c r="Q192" t="s">
        <v>34</v>
      </c>
      <c r="R192">
        <v>581</v>
      </c>
      <c r="S192">
        <v>413</v>
      </c>
      <c r="T192">
        <v>1171</v>
      </c>
    </row>
    <row r="193" spans="15:20" x14ac:dyDescent="0.3">
      <c r="O193">
        <v>192</v>
      </c>
      <c r="P193" t="s">
        <v>60</v>
      </c>
      <c r="Q193" t="s">
        <v>37</v>
      </c>
      <c r="R193">
        <v>389</v>
      </c>
      <c r="S193">
        <v>223</v>
      </c>
      <c r="T193">
        <v>1554</v>
      </c>
    </row>
    <row r="194" spans="15:20" x14ac:dyDescent="0.3">
      <c r="O194">
        <v>193</v>
      </c>
      <c r="P194" t="s">
        <v>62</v>
      </c>
      <c r="Q194" t="s">
        <v>34</v>
      </c>
      <c r="R194">
        <v>303</v>
      </c>
      <c r="S194">
        <v>372</v>
      </c>
      <c r="T194">
        <v>1490</v>
      </c>
    </row>
    <row r="195" spans="15:20" x14ac:dyDescent="0.3">
      <c r="O195">
        <v>194</v>
      </c>
      <c r="P195" t="s">
        <v>62</v>
      </c>
      <c r="Q195" t="s">
        <v>37</v>
      </c>
      <c r="R195">
        <v>479</v>
      </c>
      <c r="S195">
        <v>569</v>
      </c>
      <c r="T195">
        <v>1123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Tong_Hop</vt:lpstr>
      <vt:lpstr>EN</vt:lpstr>
      <vt:lpstr>EW</vt:lpstr>
      <vt:lpstr>GJ</vt:lpstr>
      <vt:lpstr>GS</vt:lpstr>
      <vt:lpstr>GP</vt:lpstr>
      <vt:lpstr>GR</vt:lpstr>
      <vt:lpstr>GC</vt:lpstr>
      <vt:lpstr>LN</vt:lpstr>
      <vt:lpstr>MC</vt:lpstr>
      <vt:lpstr>MA</vt:lpstr>
      <vt:lpstr>BJ</vt:lpstr>
      <vt:lpstr>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Vu.</dc:creator>
  <cp:lastModifiedBy>VDM/HOANG LE PHUOC</cp:lastModifiedBy>
  <dcterms:created xsi:type="dcterms:W3CDTF">2015-06-05T18:17:20Z</dcterms:created>
  <dcterms:modified xsi:type="dcterms:W3CDTF">2026-04-10T01:23:53Z</dcterms:modified>
</cp:coreProperties>
</file>