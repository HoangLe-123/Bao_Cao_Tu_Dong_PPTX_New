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_cokhi\Bao_Cao_Tu_Dong_PPTX_New\Excel\"/>
    </mc:Choice>
  </mc:AlternateContent>
  <xr:revisionPtr revIDLastSave="0" documentId="13_ncr:1_{4CB2582E-8AD3-4770-8CD6-F4F103246815}" xr6:coauthVersionLast="47" xr6:coauthVersionMax="47" xr10:uidLastSave="{00000000-0000-0000-0000-000000000000}"/>
  <bookViews>
    <workbookView xWindow="22932" yWindow="-1584" windowWidth="23256" windowHeight="13896" xr2:uid="{00000000-000D-0000-FFFF-FFFF00000000}"/>
  </bookViews>
  <sheets>
    <sheet name="Quản lý MT năm" sheetId="28" r:id="rId1"/>
    <sheet name="So sánh MT 2025" sheetId="11" r:id="rId2"/>
    <sheet name="1.Nội tác linh kiện tòn kho " sheetId="24" r:id="rId3"/>
    <sheet name="2.Nội tác LK thành hình" sheetId="25" r:id="rId4"/>
    <sheet name="3.Nội tác LK khuôn dập" sheetId="26" r:id="rId5"/>
    <sheet name="THỰC TẾ GIA CÔNG " sheetId="18" r:id="rId6"/>
    <sheet name="BV CẦN GIA CÔNG TRONG THÁNG " sheetId="12" r:id="rId7"/>
    <sheet name="Thực sách mục tiêu" sheetId="16" r:id="rId8"/>
    <sheet name="S.NO cần chế tạo ĐC &amp; ĐG" sheetId="27" r:id="rId9"/>
    <sheet name="Gía gia công CK hiện tại" sheetId="17" r:id="rId10"/>
    <sheet name="Gía gia công điện cực" sheetId="19" r:id="rId11"/>
    <sheet name="Tiền điện cực TB 2025" sheetId="2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2" hidden="1">'1.Nội tác linh kiện tòn kho '!$A$4:$AM$103</definedName>
    <definedName name="_xlnm._FilterDatabase" localSheetId="3" hidden="1">'2.Nội tác LK thành hình'!$A$3:$BO$31</definedName>
    <definedName name="_xlnm._FilterDatabase" localSheetId="4" hidden="1">'3.Nội tác LK khuôn dập'!$A$4:$BK$93</definedName>
    <definedName name="_xlnm._FilterDatabase" localSheetId="6" hidden="1">'BV CẦN GIA CÔNG TRONG THÁNG '!$A$3:$Q$98</definedName>
    <definedName name="_xlnm._FilterDatabase" localSheetId="0" hidden="1">'Quản lý MT năm'!$B$3:$J$28</definedName>
    <definedName name="_xlnm._FilterDatabase" localSheetId="8" hidden="1">'S.NO cần chế tạo ĐC &amp; ĐG'!$A$2:$J$121</definedName>
    <definedName name="_xlnm._FilterDatabase" localSheetId="1" hidden="1">'So sánh MT 2025'!#REF!</definedName>
    <definedName name="_xlnm._FilterDatabase" localSheetId="5" hidden="1">'THỰC TẾ GIA CÔNG '!$B$4:$O$224</definedName>
    <definedName name="_xlnm._FilterDatabase" localSheetId="11" hidden="1">'Tiền điện cực TB 2025'!$A$2:$K$171</definedName>
    <definedName name="a">[1]設定!$B$11</definedName>
    <definedName name="averagerate">[2]設定!$B$15</definedName>
    <definedName name="currency">[2]設定!$B$11</definedName>
    <definedName name="currencycodeYEN">[3]設定!$C$10</definedName>
    <definedName name="factory">[2]設定!$B$8</definedName>
    <definedName name="lastyear">[2]設定!$B$3</definedName>
    <definedName name="lastyeardays">[2]設定!$C$24</definedName>
    <definedName name="lastyearpastdays">[2]設定!$B$24</definedName>
    <definedName name="month">[2]設定!$B$4</definedName>
    <definedName name="planningaveragerate">[2]設定!$B$17</definedName>
    <definedName name="planningtax">[2]設定!$B$21</definedName>
    <definedName name="previousaveragerate">[2]設定!$B$16</definedName>
    <definedName name="previoustax">[2]設定!$B$20</definedName>
    <definedName name="RECOM">[4]DEF!$B$4</definedName>
    <definedName name="RECOMNAME">[4]DEF!$C$4</definedName>
    <definedName name="RECUR">[4]DEF!$B$5</definedName>
    <definedName name="REMAE_DL">[4]DEF!$C$11</definedName>
    <definedName name="REMAE_MET">[4]DEF!$D$11</definedName>
    <definedName name="REMAE_UL">[4]DEF!$B$11</definedName>
    <definedName name="REPERNAME">[4]DEF!$C$2</definedName>
    <definedName name="representative">[2]設定!$B$34</definedName>
    <definedName name="RETDF_DL">[4]DEF!$C$12</definedName>
    <definedName name="RETDF_MET">[4]DEF!$D$12</definedName>
    <definedName name="RETDF_UL">[4]DEF!$B$12</definedName>
    <definedName name="REVER">[4]DEF!$B$1</definedName>
    <definedName name="ta">[5]TABLE!$A$2:$D$1683</definedName>
    <definedName name="TABLE">[4]TABLE!$A$2:$D$1714</definedName>
    <definedName name="tax">[2]設定!$B$19</definedName>
    <definedName name="thisyear">[2]設定!$B$2</definedName>
    <definedName name="thisyeardays">[2]設定!$C$23</definedName>
    <definedName name="thisyearpastdays">[2]設定!$B$23</definedName>
    <definedName name="unit">[2]設定!$C$11</definedName>
    <definedName name="unitname">[2]設定!$D$11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2" l="1"/>
  <c r="D6" i="12"/>
  <c r="I28" i="18" l="1"/>
  <c r="L28" i="18" s="1"/>
  <c r="I29" i="18"/>
  <c r="D97" i="12" l="1"/>
  <c r="D98" i="12"/>
  <c r="M97" i="12"/>
  <c r="N97" i="12" s="1"/>
  <c r="M98" i="12"/>
  <c r="N98" i="12" s="1"/>
  <c r="H19" i="18" l="1"/>
  <c r="I19" i="18" s="1"/>
  <c r="L19" i="18" s="1"/>
  <c r="I34" i="18"/>
  <c r="L34" i="18" s="1"/>
  <c r="I30" i="18"/>
  <c r="L30" i="18" s="1"/>
  <c r="L29" i="18"/>
  <c r="V9" i="18" s="1"/>
  <c r="E9" i="28" s="1"/>
  <c r="I33" i="18"/>
  <c r="L33" i="18" s="1"/>
  <c r="B7" i="25"/>
  <c r="I27" i="18" l="1"/>
  <c r="L27" i="18" s="1"/>
  <c r="V8" i="18" s="1"/>
  <c r="D9" i="28" l="1"/>
  <c r="D96" i="12"/>
  <c r="M96" i="12"/>
  <c r="N96" i="12" s="1"/>
  <c r="D95" i="12" l="1"/>
  <c r="M95" i="12"/>
  <c r="N95" i="12" s="1"/>
  <c r="M85" i="12" l="1"/>
  <c r="N85" i="12" s="1"/>
  <c r="M86" i="12"/>
  <c r="N86" i="12" s="1"/>
  <c r="M87" i="12"/>
  <c r="N87" i="12" s="1"/>
  <c r="M88" i="12"/>
  <c r="N88" i="12" s="1"/>
  <c r="M89" i="12"/>
  <c r="N89" i="12" s="1"/>
  <c r="M90" i="12"/>
  <c r="N90" i="12" s="1"/>
  <c r="M91" i="12"/>
  <c r="N91" i="12" s="1"/>
  <c r="M92" i="12"/>
  <c r="N92" i="12" s="1"/>
  <c r="M93" i="12"/>
  <c r="N93" i="12" s="1"/>
  <c r="M94" i="12"/>
  <c r="N94" i="12" s="1"/>
  <c r="D92" i="12"/>
  <c r="D93" i="12"/>
  <c r="D94" i="12"/>
  <c r="D91" i="12"/>
  <c r="D85" i="12"/>
  <c r="D86" i="12"/>
  <c r="D87" i="12"/>
  <c r="D88" i="12"/>
  <c r="D89" i="12"/>
  <c r="D90" i="12"/>
  <c r="D84" i="12"/>
  <c r="D7" i="28" l="1"/>
  <c r="B44" i="24"/>
  <c r="B99" i="24"/>
  <c r="M82" i="12" l="1"/>
  <c r="N82" i="12" s="1"/>
  <c r="M83" i="12"/>
  <c r="N83" i="12" s="1"/>
  <c r="M84" i="12"/>
  <c r="N84" i="12" s="1"/>
  <c r="D83" i="12"/>
  <c r="D82" i="12"/>
  <c r="B26" i="25" l="1"/>
  <c r="AL11" i="18" l="1"/>
  <c r="AH11" i="18"/>
  <c r="H9" i="18"/>
  <c r="H7" i="18"/>
  <c r="H10" i="18"/>
  <c r="H8" i="18"/>
  <c r="AD11" i="18" l="1"/>
  <c r="AF11" i="18"/>
  <c r="AJ11" i="18"/>
  <c r="Z11" i="18"/>
  <c r="AN11" i="18"/>
  <c r="AB11" i="18"/>
  <c r="X11" i="18"/>
  <c r="M58" i="12" l="1"/>
  <c r="N58" i="12" s="1"/>
  <c r="M59" i="12"/>
  <c r="N59" i="12" s="1"/>
  <c r="M60" i="12"/>
  <c r="N60" i="12" s="1"/>
  <c r="M61" i="12"/>
  <c r="N61" i="12" s="1"/>
  <c r="M62" i="12"/>
  <c r="N62" i="12" s="1"/>
  <c r="M63" i="12"/>
  <c r="N63" i="12" s="1"/>
  <c r="M64" i="12"/>
  <c r="N64" i="12" s="1"/>
  <c r="M65" i="12"/>
  <c r="N65" i="12" s="1"/>
  <c r="M66" i="12"/>
  <c r="N66" i="12" s="1"/>
  <c r="M67" i="12"/>
  <c r="N67" i="12" s="1"/>
  <c r="M68" i="12"/>
  <c r="N68" i="12" s="1"/>
  <c r="M69" i="12"/>
  <c r="N69" i="12" s="1"/>
  <c r="M70" i="12"/>
  <c r="N70" i="12" s="1"/>
  <c r="M71" i="12"/>
  <c r="N71" i="12" s="1"/>
  <c r="M72" i="12"/>
  <c r="N72" i="12" s="1"/>
  <c r="M73" i="12"/>
  <c r="N73" i="12" s="1"/>
  <c r="M74" i="12"/>
  <c r="N74" i="12" s="1"/>
  <c r="M75" i="12"/>
  <c r="N75" i="12" s="1"/>
  <c r="M76" i="12"/>
  <c r="N76" i="12" s="1"/>
  <c r="M77" i="12"/>
  <c r="N77" i="12" s="1"/>
  <c r="M78" i="12"/>
  <c r="N78" i="12" s="1"/>
  <c r="M79" i="12"/>
  <c r="N79" i="12" s="1"/>
  <c r="M80" i="12"/>
  <c r="N80" i="12" s="1"/>
  <c r="M81" i="12"/>
  <c r="N81" i="12" s="1"/>
  <c r="D81" i="12"/>
  <c r="I36" i="18" l="1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5" i="18"/>
  <c r="L5" i="18" s="1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6" i="18"/>
  <c r="L6" i="18" s="1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7" i="18"/>
  <c r="L7" i="18" s="1"/>
  <c r="I171" i="18"/>
  <c r="I8" i="18"/>
  <c r="L8" i="18" s="1"/>
  <c r="I172" i="18"/>
  <c r="I9" i="18"/>
  <c r="L9" i="18" s="1"/>
  <c r="I173" i="18"/>
  <c r="I174" i="18"/>
  <c r="I175" i="18"/>
  <c r="I176" i="18"/>
  <c r="I177" i="18"/>
  <c r="I178" i="18"/>
  <c r="I179" i="18"/>
  <c r="I180" i="18"/>
  <c r="I181" i="18"/>
  <c r="I182" i="18"/>
  <c r="I23" i="18"/>
  <c r="L23" i="18" s="1"/>
  <c r="I183" i="18"/>
  <c r="I184" i="18"/>
  <c r="I185" i="18"/>
  <c r="I186" i="18"/>
  <c r="I187" i="18"/>
  <c r="I24" i="18"/>
  <c r="L24" i="18" s="1"/>
  <c r="I188" i="18"/>
  <c r="I189" i="18"/>
  <c r="I190" i="18"/>
  <c r="I191" i="18"/>
  <c r="I192" i="18"/>
  <c r="I193" i="18"/>
  <c r="I194" i="18"/>
  <c r="I195" i="18"/>
  <c r="I196" i="18"/>
  <c r="I25" i="18"/>
  <c r="L25" i="18" s="1"/>
  <c r="I26" i="18"/>
  <c r="L26" i="18" s="1"/>
  <c r="I197" i="18"/>
  <c r="I198" i="18"/>
  <c r="I199" i="18"/>
  <c r="I10" i="18"/>
  <c r="L10" i="18" s="1"/>
  <c r="I200" i="18"/>
  <c r="I201" i="18"/>
  <c r="I202" i="18"/>
  <c r="I203" i="18"/>
  <c r="I204" i="18"/>
  <c r="I205" i="18"/>
  <c r="I206" i="18"/>
  <c r="I207" i="18"/>
  <c r="I208" i="18"/>
  <c r="I22" i="18"/>
  <c r="L22" i="18" s="1"/>
  <c r="I11" i="18"/>
  <c r="L11" i="18" s="1"/>
  <c r="I209" i="18"/>
  <c r="I210" i="18"/>
  <c r="I211" i="18"/>
  <c r="I31" i="18"/>
  <c r="L31" i="18" s="1"/>
  <c r="I212" i="18"/>
  <c r="I213" i="18"/>
  <c r="I20" i="18"/>
  <c r="L20" i="18" s="1"/>
  <c r="I214" i="18"/>
  <c r="I215" i="18"/>
  <c r="I12" i="18"/>
  <c r="L12" i="18" s="1"/>
  <c r="I13" i="18"/>
  <c r="L13" i="18" s="1"/>
  <c r="I21" i="18"/>
  <c r="L21" i="18" s="1"/>
  <c r="I16" i="18"/>
  <c r="L16" i="18" s="1"/>
  <c r="I216" i="18"/>
  <c r="I14" i="18"/>
  <c r="L14" i="18" s="1"/>
  <c r="I217" i="18"/>
  <c r="I218" i="18"/>
  <c r="I219" i="18"/>
  <c r="I220" i="18"/>
  <c r="I221" i="18"/>
  <c r="I15" i="18"/>
  <c r="L15" i="18" s="1"/>
  <c r="I222" i="18"/>
  <c r="I17" i="18"/>
  <c r="L17" i="18" s="1"/>
  <c r="I32" i="18"/>
  <c r="L32" i="18" s="1"/>
  <c r="I18" i="18"/>
  <c r="L18" i="18" s="1"/>
  <c r="I223" i="18"/>
  <c r="I224" i="18"/>
  <c r="I35" i="18"/>
  <c r="N22" i="18" l="1"/>
  <c r="V10" i="18"/>
  <c r="T9" i="18"/>
  <c r="N16" i="18"/>
  <c r="T10" i="18"/>
  <c r="F7" i="28" s="1"/>
  <c r="E7" i="28"/>
  <c r="Q170" i="18"/>
  <c r="R10" i="18"/>
  <c r="R9" i="18"/>
  <c r="R8" i="18"/>
  <c r="N5" i="18"/>
  <c r="D71" i="12"/>
  <c r="D72" i="12"/>
  <c r="D73" i="12"/>
  <c r="D74" i="12"/>
  <c r="D75" i="12"/>
  <c r="D76" i="12"/>
  <c r="D77" i="12"/>
  <c r="D78" i="12"/>
  <c r="D79" i="12"/>
  <c r="D80" i="12"/>
  <c r="AO7" i="18"/>
  <c r="AP7" i="18"/>
  <c r="AP6" i="18"/>
  <c r="AO6" i="18"/>
  <c r="F9" i="28" l="1"/>
  <c r="V11" i="18"/>
  <c r="T11" i="18"/>
  <c r="AP8" i="18"/>
  <c r="AQ7" i="18"/>
  <c r="R11" i="18"/>
  <c r="D5" i="28"/>
  <c r="AP9" i="18"/>
  <c r="E5" i="28"/>
  <c r="AP10" i="18"/>
  <c r="F5" i="28"/>
  <c r="AQ6" i="18"/>
  <c r="D30" i="12"/>
  <c r="D31" i="12"/>
  <c r="D32" i="12"/>
  <c r="D33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29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4" i="12"/>
  <c r="J4" i="11"/>
  <c r="G4" i="11"/>
  <c r="D4" i="11"/>
  <c r="AP11" i="18" l="1"/>
  <c r="D121" i="27"/>
  <c r="D120" i="27"/>
  <c r="D119" i="27"/>
  <c r="D118" i="27"/>
  <c r="D117" i="27"/>
  <c r="D116" i="27"/>
  <c r="D115" i="27"/>
  <c r="D114" i="27"/>
  <c r="D113" i="27"/>
  <c r="D112" i="27"/>
  <c r="D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E7" i="24" l="1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3" i="24"/>
  <c r="E25" i="24"/>
  <c r="E26" i="24"/>
  <c r="E27" i="24"/>
  <c r="E28" i="24"/>
  <c r="E29" i="24"/>
  <c r="E30" i="24"/>
  <c r="E31" i="24"/>
  <c r="E33" i="24"/>
  <c r="E34" i="24"/>
  <c r="E35" i="24"/>
  <c r="E36" i="24"/>
  <c r="E37" i="24"/>
  <c r="E38" i="24"/>
  <c r="E39" i="24"/>
  <c r="E40" i="24"/>
  <c r="E43" i="24"/>
  <c r="E44" i="24"/>
  <c r="E45" i="24"/>
  <c r="E46" i="24"/>
  <c r="E49" i="24"/>
  <c r="E57" i="24"/>
  <c r="E68" i="24"/>
  <c r="E69" i="24"/>
  <c r="E70" i="24"/>
  <c r="E72" i="24"/>
  <c r="E74" i="24"/>
  <c r="E77" i="24"/>
  <c r="E78" i="24"/>
  <c r="E79" i="24"/>
  <c r="E81" i="24"/>
  <c r="E83" i="24"/>
  <c r="E86" i="24"/>
  <c r="E87" i="24"/>
  <c r="E88" i="24"/>
  <c r="E89" i="24"/>
  <c r="E91" i="24"/>
  <c r="E94" i="24"/>
  <c r="E95" i="24"/>
  <c r="E96" i="24"/>
  <c r="E97" i="24"/>
  <c r="E98" i="24"/>
  <c r="E99" i="24"/>
  <c r="E100" i="24"/>
  <c r="E101" i="24"/>
  <c r="E102" i="24"/>
  <c r="H5" i="11"/>
  <c r="E5" i="11"/>
  <c r="B5" i="11"/>
  <c r="Q93" i="26" l="1"/>
  <c r="P93" i="26"/>
  <c r="O93" i="26"/>
  <c r="N93" i="26"/>
  <c r="M93" i="26"/>
  <c r="L93" i="26"/>
  <c r="K93" i="26"/>
  <c r="J93" i="26"/>
  <c r="I93" i="26"/>
  <c r="H93" i="26"/>
  <c r="G93" i="26"/>
  <c r="F93" i="26"/>
  <c r="R92" i="26"/>
  <c r="D92" i="26"/>
  <c r="B92" i="26"/>
  <c r="C92" i="26" s="1"/>
  <c r="R91" i="26"/>
  <c r="D91" i="26"/>
  <c r="B91" i="26"/>
  <c r="C91" i="26" s="1"/>
  <c r="R90" i="26"/>
  <c r="D90" i="26"/>
  <c r="B90" i="26"/>
  <c r="C90" i="26" s="1"/>
  <c r="R89" i="26"/>
  <c r="E89" i="26"/>
  <c r="D89" i="26"/>
  <c r="B89" i="26"/>
  <c r="C89" i="26" s="1"/>
  <c r="R88" i="26"/>
  <c r="D88" i="26"/>
  <c r="B88" i="26"/>
  <c r="C88" i="26" s="1"/>
  <c r="R87" i="26"/>
  <c r="E87" i="26"/>
  <c r="BA87" i="26" s="1"/>
  <c r="D87" i="26"/>
  <c r="B87" i="26"/>
  <c r="C87" i="26" s="1"/>
  <c r="R86" i="26"/>
  <c r="E86" i="26"/>
  <c r="AY86" i="26" s="1"/>
  <c r="D86" i="26"/>
  <c r="B86" i="26"/>
  <c r="C86" i="26" s="1"/>
  <c r="R85" i="26"/>
  <c r="E85" i="26"/>
  <c r="D85" i="26"/>
  <c r="B85" i="26"/>
  <c r="C85" i="26" s="1"/>
  <c r="R84" i="26"/>
  <c r="E84" i="26"/>
  <c r="BC84" i="26" s="1"/>
  <c r="D84" i="26"/>
  <c r="B84" i="26"/>
  <c r="C84" i="26" s="1"/>
  <c r="R83" i="26"/>
  <c r="E83" i="26"/>
  <c r="BA83" i="26" s="1"/>
  <c r="D83" i="26"/>
  <c r="B83" i="26"/>
  <c r="C83" i="26" s="1"/>
  <c r="R82" i="26"/>
  <c r="E82" i="26"/>
  <c r="D82" i="26"/>
  <c r="B82" i="26"/>
  <c r="C82" i="26" s="1"/>
  <c r="R81" i="26"/>
  <c r="D81" i="26"/>
  <c r="B81" i="26"/>
  <c r="C81" i="26" s="1"/>
  <c r="R80" i="26"/>
  <c r="E80" i="26"/>
  <c r="BG80" i="26" s="1"/>
  <c r="D80" i="26"/>
  <c r="B80" i="26"/>
  <c r="C80" i="26" s="1"/>
  <c r="R79" i="26"/>
  <c r="D79" i="26"/>
  <c r="B79" i="26"/>
  <c r="C79" i="26" s="1"/>
  <c r="R78" i="26"/>
  <c r="E78" i="26"/>
  <c r="BC78" i="26" s="1"/>
  <c r="D78" i="26"/>
  <c r="B78" i="26"/>
  <c r="C78" i="26" s="1"/>
  <c r="R77" i="26"/>
  <c r="E77" i="26"/>
  <c r="D77" i="26"/>
  <c r="B77" i="26"/>
  <c r="C77" i="26" s="1"/>
  <c r="R76" i="26"/>
  <c r="E76" i="26"/>
  <c r="AD76" i="26" s="1"/>
  <c r="D76" i="26"/>
  <c r="B76" i="26"/>
  <c r="C76" i="26" s="1"/>
  <c r="R75" i="26"/>
  <c r="E75" i="26"/>
  <c r="AE75" i="26" s="1"/>
  <c r="D75" i="26"/>
  <c r="B75" i="26"/>
  <c r="C75" i="26" s="1"/>
  <c r="R74" i="26"/>
  <c r="E74" i="26"/>
  <c r="D74" i="26"/>
  <c r="B74" i="26"/>
  <c r="C74" i="26" s="1"/>
  <c r="R73" i="26"/>
  <c r="E73" i="26"/>
  <c r="D73" i="26"/>
  <c r="B73" i="26"/>
  <c r="C73" i="26" s="1"/>
  <c r="R72" i="26"/>
  <c r="E72" i="26"/>
  <c r="AU72" i="26" s="1"/>
  <c r="D72" i="26"/>
  <c r="B72" i="26"/>
  <c r="C72" i="26" s="1"/>
  <c r="R71" i="26"/>
  <c r="E71" i="26"/>
  <c r="BI71" i="26" s="1"/>
  <c r="D71" i="26"/>
  <c r="B71" i="26"/>
  <c r="C71" i="26" s="1"/>
  <c r="R70" i="26"/>
  <c r="E70" i="26"/>
  <c r="BI70" i="26" s="1"/>
  <c r="D70" i="26"/>
  <c r="B70" i="26"/>
  <c r="C70" i="26" s="1"/>
  <c r="R69" i="26"/>
  <c r="E69" i="26"/>
  <c r="D69" i="26"/>
  <c r="B69" i="26"/>
  <c r="C69" i="26" s="1"/>
  <c r="R68" i="26"/>
  <c r="E68" i="26"/>
  <c r="D68" i="26"/>
  <c r="B68" i="26"/>
  <c r="C68" i="26" s="1"/>
  <c r="R67" i="26"/>
  <c r="E67" i="26"/>
  <c r="BA67" i="26" s="1"/>
  <c r="D67" i="26"/>
  <c r="B67" i="26"/>
  <c r="C67" i="26" s="1"/>
  <c r="R66" i="26"/>
  <c r="E66" i="26"/>
  <c r="D66" i="26"/>
  <c r="B66" i="26"/>
  <c r="C66" i="26" s="1"/>
  <c r="R65" i="26"/>
  <c r="E65" i="26"/>
  <c r="T65" i="26" s="1"/>
  <c r="D65" i="26"/>
  <c r="B65" i="26"/>
  <c r="C65" i="26" s="1"/>
  <c r="R64" i="26"/>
  <c r="D64" i="26"/>
  <c r="B64" i="26"/>
  <c r="C64" i="26" s="1"/>
  <c r="R63" i="26"/>
  <c r="E63" i="26"/>
  <c r="D63" i="26"/>
  <c r="B63" i="26"/>
  <c r="C63" i="26" s="1"/>
  <c r="R62" i="26"/>
  <c r="E62" i="26"/>
  <c r="AO62" i="26" s="1"/>
  <c r="D62" i="26"/>
  <c r="B62" i="26"/>
  <c r="C62" i="26" s="1"/>
  <c r="R61" i="26"/>
  <c r="E61" i="26"/>
  <c r="BI61" i="26" s="1"/>
  <c r="D61" i="26"/>
  <c r="B61" i="26"/>
  <c r="C61" i="26" s="1"/>
  <c r="R60" i="26"/>
  <c r="E60" i="26"/>
  <c r="Z60" i="26" s="1"/>
  <c r="D60" i="26"/>
  <c r="B60" i="26"/>
  <c r="C60" i="26" s="1"/>
  <c r="R59" i="26"/>
  <c r="E59" i="26"/>
  <c r="BC59" i="26" s="1"/>
  <c r="D59" i="26"/>
  <c r="B59" i="26"/>
  <c r="C59" i="26" s="1"/>
  <c r="R58" i="26"/>
  <c r="E58" i="26"/>
  <c r="D58" i="26"/>
  <c r="B58" i="26"/>
  <c r="C58" i="26" s="1"/>
  <c r="R57" i="26"/>
  <c r="D57" i="26"/>
  <c r="B57" i="26"/>
  <c r="C57" i="26" s="1"/>
  <c r="R56" i="26"/>
  <c r="D56" i="26"/>
  <c r="B56" i="26"/>
  <c r="C56" i="26" s="1"/>
  <c r="R55" i="26"/>
  <c r="E55" i="26"/>
  <c r="BC55" i="26" s="1"/>
  <c r="D55" i="26"/>
  <c r="B55" i="26"/>
  <c r="C55" i="26" s="1"/>
  <c r="R54" i="26"/>
  <c r="D54" i="26"/>
  <c r="B54" i="26"/>
  <c r="C54" i="26" s="1"/>
  <c r="R53" i="26"/>
  <c r="D53" i="26"/>
  <c r="B53" i="26"/>
  <c r="C53" i="26" s="1"/>
  <c r="R52" i="26"/>
  <c r="D52" i="26"/>
  <c r="B52" i="26"/>
  <c r="C52" i="26" s="1"/>
  <c r="R51" i="26"/>
  <c r="E51" i="26"/>
  <c r="D51" i="26"/>
  <c r="B51" i="26"/>
  <c r="C51" i="26" s="1"/>
  <c r="R50" i="26"/>
  <c r="D50" i="26"/>
  <c r="B50" i="26"/>
  <c r="C50" i="26" s="1"/>
  <c r="R49" i="26"/>
  <c r="D49" i="26"/>
  <c r="B49" i="26"/>
  <c r="C49" i="26" s="1"/>
  <c r="R48" i="26"/>
  <c r="D48" i="26"/>
  <c r="B48" i="26"/>
  <c r="C48" i="26" s="1"/>
  <c r="R47" i="26"/>
  <c r="D47" i="26"/>
  <c r="B47" i="26"/>
  <c r="C47" i="26" s="1"/>
  <c r="R46" i="26"/>
  <c r="D46" i="26"/>
  <c r="B46" i="26"/>
  <c r="C46" i="26" s="1"/>
  <c r="R45" i="26"/>
  <c r="E45" i="26"/>
  <c r="D45" i="26"/>
  <c r="B45" i="26"/>
  <c r="C45" i="26" s="1"/>
  <c r="R44" i="26"/>
  <c r="D44" i="26"/>
  <c r="B44" i="26"/>
  <c r="C44" i="26" s="1"/>
  <c r="R43" i="26"/>
  <c r="D43" i="26"/>
  <c r="B43" i="26"/>
  <c r="C43" i="26" s="1"/>
  <c r="R42" i="26"/>
  <c r="E42" i="26"/>
  <c r="BK42" i="26" s="1"/>
  <c r="D42" i="26"/>
  <c r="B42" i="26"/>
  <c r="C42" i="26" s="1"/>
  <c r="R41" i="26"/>
  <c r="D41" i="26"/>
  <c r="B41" i="26"/>
  <c r="C41" i="26" s="1"/>
  <c r="R40" i="26"/>
  <c r="D40" i="26"/>
  <c r="B40" i="26"/>
  <c r="C40" i="26" s="1"/>
  <c r="R39" i="26"/>
  <c r="D39" i="26"/>
  <c r="B39" i="26"/>
  <c r="C39" i="26" s="1"/>
  <c r="R38" i="26"/>
  <c r="D38" i="26"/>
  <c r="B38" i="26"/>
  <c r="C38" i="26" s="1"/>
  <c r="R37" i="26"/>
  <c r="D37" i="26"/>
  <c r="B37" i="26"/>
  <c r="C37" i="26" s="1"/>
  <c r="R36" i="26"/>
  <c r="E36" i="26"/>
  <c r="D36" i="26"/>
  <c r="B36" i="26"/>
  <c r="C36" i="26" s="1"/>
  <c r="R35" i="26"/>
  <c r="E35" i="26"/>
  <c r="D35" i="26"/>
  <c r="B35" i="26"/>
  <c r="C35" i="26" s="1"/>
  <c r="R34" i="26"/>
  <c r="D34" i="26"/>
  <c r="B34" i="26"/>
  <c r="C34" i="26" s="1"/>
  <c r="R33" i="26"/>
  <c r="D33" i="26"/>
  <c r="B33" i="26"/>
  <c r="C33" i="26" s="1"/>
  <c r="R32" i="26"/>
  <c r="E32" i="26"/>
  <c r="BG32" i="26" s="1"/>
  <c r="D32" i="26"/>
  <c r="B32" i="26"/>
  <c r="C32" i="26" s="1"/>
  <c r="R31" i="26"/>
  <c r="D31" i="26"/>
  <c r="B31" i="26"/>
  <c r="C31" i="26" s="1"/>
  <c r="R30" i="26"/>
  <c r="D30" i="26"/>
  <c r="B30" i="26"/>
  <c r="C30" i="26" s="1"/>
  <c r="R29" i="26"/>
  <c r="E29" i="26"/>
  <c r="V29" i="26" s="1"/>
  <c r="D29" i="26"/>
  <c r="B29" i="26"/>
  <c r="C29" i="26" s="1"/>
  <c r="R28" i="26"/>
  <c r="E28" i="26"/>
  <c r="BE28" i="26" s="1"/>
  <c r="D28" i="26"/>
  <c r="B28" i="26"/>
  <c r="C28" i="26" s="1"/>
  <c r="R27" i="26"/>
  <c r="D27" i="26"/>
  <c r="B27" i="26"/>
  <c r="C27" i="26" s="1"/>
  <c r="R26" i="26"/>
  <c r="D26" i="26"/>
  <c r="B26" i="26"/>
  <c r="C26" i="26" s="1"/>
  <c r="R25" i="26"/>
  <c r="D25" i="26"/>
  <c r="B25" i="26"/>
  <c r="C25" i="26" s="1"/>
  <c r="R24" i="26"/>
  <c r="E24" i="26"/>
  <c r="V24" i="26" s="1"/>
  <c r="D24" i="26"/>
  <c r="B24" i="26"/>
  <c r="C24" i="26" s="1"/>
  <c r="R23" i="26"/>
  <c r="E23" i="26"/>
  <c r="AS23" i="26" s="1"/>
  <c r="D23" i="26"/>
  <c r="B23" i="26"/>
  <c r="C23" i="26" s="1"/>
  <c r="R22" i="26"/>
  <c r="D22" i="26"/>
  <c r="B22" i="26"/>
  <c r="C22" i="26" s="1"/>
  <c r="R21" i="26"/>
  <c r="E21" i="26"/>
  <c r="AS21" i="26" s="1"/>
  <c r="D21" i="26"/>
  <c r="B21" i="26"/>
  <c r="C21" i="26" s="1"/>
  <c r="R20" i="26"/>
  <c r="E20" i="26"/>
  <c r="AE20" i="26" s="1"/>
  <c r="D20" i="26"/>
  <c r="B20" i="26"/>
  <c r="C20" i="26" s="1"/>
  <c r="R19" i="26"/>
  <c r="E19" i="26"/>
  <c r="BK19" i="26" s="1"/>
  <c r="D19" i="26"/>
  <c r="B19" i="26"/>
  <c r="C19" i="26" s="1"/>
  <c r="R18" i="26"/>
  <c r="E18" i="26"/>
  <c r="AE18" i="26" s="1"/>
  <c r="D18" i="26"/>
  <c r="B18" i="26"/>
  <c r="C18" i="26" s="1"/>
  <c r="R17" i="26"/>
  <c r="E17" i="26"/>
  <c r="BC17" i="26" s="1"/>
  <c r="D17" i="26"/>
  <c r="B17" i="26"/>
  <c r="C17" i="26" s="1"/>
  <c r="R16" i="26"/>
  <c r="E16" i="26"/>
  <c r="BC16" i="26" s="1"/>
  <c r="D16" i="26"/>
  <c r="B16" i="26"/>
  <c r="C16" i="26" s="1"/>
  <c r="R15" i="26"/>
  <c r="E15" i="26"/>
  <c r="AE15" i="26" s="1"/>
  <c r="D15" i="26"/>
  <c r="B15" i="26"/>
  <c r="C15" i="26" s="1"/>
  <c r="R14" i="26"/>
  <c r="E14" i="26"/>
  <c r="BK14" i="26" s="1"/>
  <c r="D14" i="26"/>
  <c r="B14" i="26"/>
  <c r="C14" i="26" s="1"/>
  <c r="R13" i="26"/>
  <c r="E13" i="26"/>
  <c r="AQ13" i="26" s="1"/>
  <c r="D13" i="26"/>
  <c r="B13" i="26"/>
  <c r="C13" i="26" s="1"/>
  <c r="R12" i="26"/>
  <c r="E12" i="26"/>
  <c r="AB12" i="26" s="1"/>
  <c r="D12" i="26"/>
  <c r="B12" i="26"/>
  <c r="C12" i="26" s="1"/>
  <c r="R11" i="26"/>
  <c r="E11" i="26"/>
  <c r="BE11" i="26" s="1"/>
  <c r="D11" i="26"/>
  <c r="B11" i="26"/>
  <c r="C11" i="26" s="1"/>
  <c r="R10" i="26"/>
  <c r="E10" i="26"/>
  <c r="D10" i="26"/>
  <c r="B10" i="26"/>
  <c r="C10" i="26" s="1"/>
  <c r="R9" i="26"/>
  <c r="E9" i="26"/>
  <c r="BA9" i="26" s="1"/>
  <c r="D9" i="26"/>
  <c r="B9" i="26"/>
  <c r="C9" i="26" s="1"/>
  <c r="R8" i="26"/>
  <c r="E8" i="26"/>
  <c r="BK8" i="26" s="1"/>
  <c r="D8" i="26"/>
  <c r="B8" i="26"/>
  <c r="C8" i="26" s="1"/>
  <c r="R7" i="26"/>
  <c r="E7" i="26"/>
  <c r="D7" i="26"/>
  <c r="B7" i="26"/>
  <c r="C7" i="26" s="1"/>
  <c r="R6" i="26"/>
  <c r="E6" i="26"/>
  <c r="AO6" i="26" s="1"/>
  <c r="D6" i="26"/>
  <c r="B6" i="26"/>
  <c r="C6" i="26" s="1"/>
  <c r="R5" i="26"/>
  <c r="E5" i="26"/>
  <c r="D5" i="26"/>
  <c r="B5" i="26"/>
  <c r="C5" i="26" s="1"/>
  <c r="P30" i="25"/>
  <c r="B30" i="25"/>
  <c r="C30" i="25" s="1"/>
  <c r="P29" i="25"/>
  <c r="B29" i="25"/>
  <c r="C29" i="25" s="1"/>
  <c r="P28" i="25"/>
  <c r="B28" i="25"/>
  <c r="C28" i="25" s="1"/>
  <c r="P27" i="25"/>
  <c r="B27" i="25"/>
  <c r="C27" i="25" s="1"/>
  <c r="P26" i="25"/>
  <c r="C26" i="25"/>
  <c r="P25" i="25"/>
  <c r="B25" i="25"/>
  <c r="C25" i="25" s="1"/>
  <c r="P24" i="25"/>
  <c r="B24" i="25"/>
  <c r="C24" i="25" s="1"/>
  <c r="P23" i="25"/>
  <c r="B23" i="25"/>
  <c r="C23" i="25" s="1"/>
  <c r="P22" i="25"/>
  <c r="B22" i="25"/>
  <c r="C22" i="25" s="1"/>
  <c r="P21" i="25"/>
  <c r="B21" i="25"/>
  <c r="C21" i="25" s="1"/>
  <c r="P20" i="25"/>
  <c r="B20" i="25"/>
  <c r="C20" i="25" s="1"/>
  <c r="P19" i="25"/>
  <c r="B19" i="25"/>
  <c r="C19" i="25" s="1"/>
  <c r="P18" i="25"/>
  <c r="B18" i="25"/>
  <c r="C18" i="25" s="1"/>
  <c r="P17" i="25"/>
  <c r="B17" i="25"/>
  <c r="C17" i="25" s="1"/>
  <c r="P16" i="25"/>
  <c r="B16" i="25"/>
  <c r="C16" i="25" s="1"/>
  <c r="P15" i="25"/>
  <c r="B15" i="25"/>
  <c r="C15" i="25" s="1"/>
  <c r="P14" i="25"/>
  <c r="B14" i="25"/>
  <c r="C14" i="25" s="1"/>
  <c r="P13" i="25"/>
  <c r="B13" i="25"/>
  <c r="C13" i="25" s="1"/>
  <c r="P12" i="25"/>
  <c r="B12" i="25"/>
  <c r="C12" i="25" s="1"/>
  <c r="P11" i="25"/>
  <c r="B11" i="25"/>
  <c r="C11" i="25" s="1"/>
  <c r="P10" i="25"/>
  <c r="B10" i="25"/>
  <c r="C10" i="25" s="1"/>
  <c r="P9" i="25"/>
  <c r="B9" i="25"/>
  <c r="C9" i="25" s="1"/>
  <c r="P8" i="25"/>
  <c r="B8" i="25"/>
  <c r="C8" i="25" s="1"/>
  <c r="P7" i="25"/>
  <c r="C7" i="25"/>
  <c r="P6" i="25"/>
  <c r="B6" i="25"/>
  <c r="C6" i="25" s="1"/>
  <c r="P5" i="25"/>
  <c r="B5" i="25"/>
  <c r="C5" i="25" s="1"/>
  <c r="P4" i="25"/>
  <c r="B4" i="25"/>
  <c r="C4" i="25" s="1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Y102" i="24"/>
  <c r="R102" i="24"/>
  <c r="D102" i="24"/>
  <c r="B102" i="24"/>
  <c r="C102" i="24" s="1"/>
  <c r="AZ101" i="24"/>
  <c r="AX101" i="24"/>
  <c r="AV101" i="24"/>
  <c r="AT101" i="24"/>
  <c r="AA101" i="24"/>
  <c r="Z101" i="24"/>
  <c r="Y101" i="24"/>
  <c r="X101" i="24"/>
  <c r="R101" i="24"/>
  <c r="BJ101" i="24"/>
  <c r="D101" i="24"/>
  <c r="B101" i="24"/>
  <c r="C101" i="24" s="1"/>
  <c r="BL100" i="24"/>
  <c r="AZ100" i="24"/>
  <c r="AX100" i="24"/>
  <c r="AV100" i="24"/>
  <c r="AT100" i="24"/>
  <c r="AR100" i="24"/>
  <c r="AP100" i="24"/>
  <c r="AA100" i="24"/>
  <c r="Z100" i="24"/>
  <c r="Y100" i="24"/>
  <c r="X100" i="24"/>
  <c r="W100" i="24"/>
  <c r="V100" i="24"/>
  <c r="R100" i="24"/>
  <c r="BH100" i="24"/>
  <c r="D100" i="24"/>
  <c r="B100" i="24"/>
  <c r="C100" i="24" s="1"/>
  <c r="BL99" i="24"/>
  <c r="BJ99" i="24"/>
  <c r="AX99" i="24"/>
  <c r="AV99" i="24"/>
  <c r="AT99" i="24"/>
  <c r="AR99" i="24"/>
  <c r="AP99" i="24"/>
  <c r="Z99" i="24"/>
  <c r="Y99" i="24"/>
  <c r="X99" i="24"/>
  <c r="W99" i="24"/>
  <c r="V99" i="24"/>
  <c r="U99" i="24"/>
  <c r="R99" i="24"/>
  <c r="BF99" i="24"/>
  <c r="D99" i="24"/>
  <c r="C99" i="24"/>
  <c r="BL98" i="24"/>
  <c r="BJ98" i="24"/>
  <c r="BH98" i="24"/>
  <c r="BF98" i="24"/>
  <c r="AZ98" i="24"/>
  <c r="AX98" i="24"/>
  <c r="AV98" i="24"/>
  <c r="AT98" i="24"/>
  <c r="AR98" i="24"/>
  <c r="AP98" i="24"/>
  <c r="AE98" i="24"/>
  <c r="AD98" i="24"/>
  <c r="AA98" i="24"/>
  <c r="Z98" i="24"/>
  <c r="Y98" i="24"/>
  <c r="X98" i="24"/>
  <c r="W98" i="24"/>
  <c r="V98" i="24"/>
  <c r="U98" i="24"/>
  <c r="T98" i="24"/>
  <c r="R98" i="24"/>
  <c r="BD98" i="24"/>
  <c r="D98" i="24"/>
  <c r="B98" i="24"/>
  <c r="C98" i="24" s="1"/>
  <c r="BL97" i="24"/>
  <c r="BJ97" i="24"/>
  <c r="BH97" i="24"/>
  <c r="BF97" i="24"/>
  <c r="BD97" i="24"/>
  <c r="AZ97" i="24"/>
  <c r="AX97" i="24"/>
  <c r="AV97" i="24"/>
  <c r="AT97" i="24"/>
  <c r="AR97" i="24"/>
  <c r="AP97" i="24"/>
  <c r="AE97" i="24"/>
  <c r="AD97" i="24"/>
  <c r="AC97" i="24"/>
  <c r="AA97" i="24"/>
  <c r="Z97" i="24"/>
  <c r="Y97" i="24"/>
  <c r="X97" i="24"/>
  <c r="W97" i="24"/>
  <c r="V97" i="24"/>
  <c r="U97" i="24"/>
  <c r="T97" i="24"/>
  <c r="R97" i="24"/>
  <c r="BB97" i="24"/>
  <c r="D97" i="24"/>
  <c r="B97" i="24"/>
  <c r="C97" i="24" s="1"/>
  <c r="BL96" i="24"/>
  <c r="BJ96" i="24"/>
  <c r="BH96" i="24"/>
  <c r="BF96" i="24"/>
  <c r="BD96" i="24"/>
  <c r="AV96" i="24"/>
  <c r="AT96" i="24"/>
  <c r="AR96" i="24"/>
  <c r="AP96" i="24"/>
  <c r="AE96" i="24"/>
  <c r="AD96" i="24"/>
  <c r="AC96" i="24"/>
  <c r="Y96" i="24"/>
  <c r="X96" i="24"/>
  <c r="W96" i="24"/>
  <c r="V96" i="24"/>
  <c r="U96" i="24"/>
  <c r="T96" i="24"/>
  <c r="R96" i="24"/>
  <c r="AZ96" i="24"/>
  <c r="D96" i="24"/>
  <c r="B96" i="24"/>
  <c r="C96" i="24" s="1"/>
  <c r="BH95" i="24"/>
  <c r="U95" i="24"/>
  <c r="R95" i="24"/>
  <c r="D95" i="24"/>
  <c r="B95" i="24"/>
  <c r="C95" i="24" s="1"/>
  <c r="BF94" i="24"/>
  <c r="BD94" i="24"/>
  <c r="AZ94" i="24"/>
  <c r="AD94" i="24"/>
  <c r="AC94" i="24"/>
  <c r="AA94" i="24"/>
  <c r="T94" i="24"/>
  <c r="R94" i="24"/>
  <c r="AV94" i="24"/>
  <c r="D94" i="24"/>
  <c r="B94" i="24"/>
  <c r="C94" i="24" s="1"/>
  <c r="R93" i="24"/>
  <c r="D93" i="24"/>
  <c r="B93" i="24"/>
  <c r="C93" i="24" s="1"/>
  <c r="R92" i="24"/>
  <c r="D92" i="24"/>
  <c r="B92" i="24"/>
  <c r="C92" i="24" s="1"/>
  <c r="BL91" i="24"/>
  <c r="AZ91" i="24"/>
  <c r="AX91" i="24"/>
  <c r="AV91" i="24"/>
  <c r="AT91" i="24"/>
  <c r="AR91" i="24"/>
  <c r="AA91" i="24"/>
  <c r="Z91" i="24"/>
  <c r="Y91" i="24"/>
  <c r="X91" i="24"/>
  <c r="W91" i="24"/>
  <c r="T91" i="24"/>
  <c r="R91" i="24"/>
  <c r="BJ91" i="24"/>
  <c r="D91" i="24"/>
  <c r="B91" i="24"/>
  <c r="C91" i="24" s="1"/>
  <c r="R90" i="24"/>
  <c r="D90" i="24"/>
  <c r="B90" i="24"/>
  <c r="C90" i="24" s="1"/>
  <c r="BJ89" i="24"/>
  <c r="AV89" i="24"/>
  <c r="AT89" i="24"/>
  <c r="AR89" i="24"/>
  <c r="AP89" i="24"/>
  <c r="Y89" i="24"/>
  <c r="X89" i="24"/>
  <c r="W89" i="24"/>
  <c r="V89" i="24"/>
  <c r="R89" i="24"/>
  <c r="BF89" i="24"/>
  <c r="D89" i="24"/>
  <c r="B89" i="24"/>
  <c r="C89" i="24" s="1"/>
  <c r="BL88" i="24"/>
  <c r="BJ88" i="24"/>
  <c r="BH88" i="24"/>
  <c r="BF88" i="24"/>
  <c r="AZ88" i="24"/>
  <c r="AX88" i="24"/>
  <c r="AV88" i="24"/>
  <c r="AT88" i="24"/>
  <c r="AR88" i="24"/>
  <c r="AP88" i="24"/>
  <c r="AE88" i="24"/>
  <c r="AD88" i="24"/>
  <c r="AA88" i="24"/>
  <c r="Z88" i="24"/>
  <c r="Y88" i="24"/>
  <c r="X88" i="24"/>
  <c r="W88" i="24"/>
  <c r="V88" i="24"/>
  <c r="U88" i="24"/>
  <c r="T88" i="24"/>
  <c r="R88" i="24"/>
  <c r="BD88" i="24"/>
  <c r="D88" i="24"/>
  <c r="B88" i="24"/>
  <c r="C88" i="24" s="1"/>
  <c r="BL87" i="24"/>
  <c r="BJ87" i="24"/>
  <c r="BH87" i="24"/>
  <c r="BF87" i="24"/>
  <c r="BD87" i="24"/>
  <c r="AX87" i="24"/>
  <c r="AV87" i="24"/>
  <c r="AT87" i="24"/>
  <c r="AR87" i="24"/>
  <c r="AP87" i="24"/>
  <c r="AE87" i="24"/>
  <c r="AD87" i="24"/>
  <c r="AC87" i="24"/>
  <c r="Z87" i="24"/>
  <c r="Y87" i="24"/>
  <c r="X87" i="24"/>
  <c r="W87" i="24"/>
  <c r="V87" i="24"/>
  <c r="U87" i="24"/>
  <c r="T87" i="24"/>
  <c r="R87" i="24"/>
  <c r="BB87" i="24"/>
  <c r="D87" i="24"/>
  <c r="B87" i="24"/>
  <c r="C87" i="24" s="1"/>
  <c r="BH86" i="24"/>
  <c r="BB86" i="24"/>
  <c r="AV86" i="24"/>
  <c r="AP86" i="24"/>
  <c r="R86" i="24"/>
  <c r="D86" i="24"/>
  <c r="B86" i="24"/>
  <c r="C86" i="24" s="1"/>
  <c r="R85" i="24"/>
  <c r="D85" i="24"/>
  <c r="B85" i="24"/>
  <c r="C85" i="24" s="1"/>
  <c r="R84" i="24"/>
  <c r="D84" i="24"/>
  <c r="B84" i="24"/>
  <c r="C84" i="24" s="1"/>
  <c r="BB83" i="24"/>
  <c r="AV83" i="24"/>
  <c r="AP83" i="24"/>
  <c r="AC83" i="24"/>
  <c r="R83" i="24"/>
  <c r="D83" i="24"/>
  <c r="B83" i="24"/>
  <c r="C83" i="24" s="1"/>
  <c r="R82" i="24"/>
  <c r="D82" i="24"/>
  <c r="B82" i="24"/>
  <c r="C82" i="24" s="1"/>
  <c r="BL81" i="24"/>
  <c r="BF81" i="24"/>
  <c r="AZ81" i="24"/>
  <c r="AX81" i="24"/>
  <c r="AV81" i="24"/>
  <c r="AT81" i="24"/>
  <c r="AR81" i="24"/>
  <c r="AD81" i="24"/>
  <c r="AA81" i="24"/>
  <c r="Z81" i="24"/>
  <c r="Y81" i="24"/>
  <c r="X81" i="24"/>
  <c r="W81" i="24"/>
  <c r="T81" i="24"/>
  <c r="R81" i="24"/>
  <c r="BJ81" i="24"/>
  <c r="D81" i="24"/>
  <c r="B81" i="24"/>
  <c r="C81" i="24" s="1"/>
  <c r="R80" i="24"/>
  <c r="D80" i="24"/>
  <c r="B80" i="24"/>
  <c r="C80" i="24" s="1"/>
  <c r="BJ79" i="24"/>
  <c r="BH79" i="24"/>
  <c r="BB79" i="24"/>
  <c r="AP79" i="24"/>
  <c r="AE79" i="24"/>
  <c r="Z79" i="24"/>
  <c r="R79" i="24"/>
  <c r="D79" i="24"/>
  <c r="B79" i="24"/>
  <c r="C79" i="24" s="1"/>
  <c r="BL78" i="24"/>
  <c r="BJ78" i="24"/>
  <c r="BH78" i="24"/>
  <c r="BF78" i="24"/>
  <c r="AZ78" i="24"/>
  <c r="AX78" i="24"/>
  <c r="AV78" i="24"/>
  <c r="AT78" i="24"/>
  <c r="AR78" i="24"/>
  <c r="AP78" i="24"/>
  <c r="AE78" i="24"/>
  <c r="AD78" i="24"/>
  <c r="AA78" i="24"/>
  <c r="Z78" i="24"/>
  <c r="Y78" i="24"/>
  <c r="X78" i="24"/>
  <c r="W78" i="24"/>
  <c r="V78" i="24"/>
  <c r="U78" i="24"/>
  <c r="T78" i="24"/>
  <c r="R78" i="24"/>
  <c r="BD78" i="24"/>
  <c r="D78" i="24"/>
  <c r="B78" i="24"/>
  <c r="C78" i="24" s="1"/>
  <c r="BL77" i="24"/>
  <c r="BJ77" i="24"/>
  <c r="BH77" i="24"/>
  <c r="BF77" i="24"/>
  <c r="BD77" i="24"/>
  <c r="AX77" i="24"/>
  <c r="AV77" i="24"/>
  <c r="AT77" i="24"/>
  <c r="AR77" i="24"/>
  <c r="AP77" i="24"/>
  <c r="AE77" i="24"/>
  <c r="AD77" i="24"/>
  <c r="AC77" i="24"/>
  <c r="Z77" i="24"/>
  <c r="Y77" i="24"/>
  <c r="X77" i="24"/>
  <c r="W77" i="24"/>
  <c r="V77" i="24"/>
  <c r="U77" i="24"/>
  <c r="T77" i="24"/>
  <c r="R77" i="24"/>
  <c r="BB77" i="24"/>
  <c r="D77" i="24"/>
  <c r="B77" i="24"/>
  <c r="C77" i="24" s="1"/>
  <c r="R76" i="24"/>
  <c r="D76" i="24"/>
  <c r="B76" i="24"/>
  <c r="C76" i="24" s="1"/>
  <c r="R75" i="24"/>
  <c r="D75" i="24"/>
  <c r="B75" i="24"/>
  <c r="C75" i="24" s="1"/>
  <c r="BB74" i="24"/>
  <c r="AZ74" i="24"/>
  <c r="AR74" i="24"/>
  <c r="AE74" i="24"/>
  <c r="AD74" i="24"/>
  <c r="W74" i="24"/>
  <c r="V74" i="24"/>
  <c r="T74" i="24"/>
  <c r="R74" i="24"/>
  <c r="D74" i="24"/>
  <c r="B74" i="24"/>
  <c r="C74" i="24" s="1"/>
  <c r="R73" i="24"/>
  <c r="D73" i="24"/>
  <c r="B73" i="24"/>
  <c r="C73" i="24" s="1"/>
  <c r="BH72" i="24"/>
  <c r="BF72" i="24"/>
  <c r="BD72" i="24"/>
  <c r="AX72" i="24"/>
  <c r="AT72" i="24"/>
  <c r="AE72" i="24"/>
  <c r="AC72" i="24"/>
  <c r="AB72" i="24"/>
  <c r="AA72" i="24"/>
  <c r="X72" i="24"/>
  <c r="T72" i="24"/>
  <c r="R72" i="24"/>
  <c r="D72" i="24"/>
  <c r="B72" i="24"/>
  <c r="C72" i="24" s="1"/>
  <c r="R71" i="24"/>
  <c r="D71" i="24"/>
  <c r="B71" i="24"/>
  <c r="C71" i="24" s="1"/>
  <c r="R70" i="24"/>
  <c r="AX70" i="24"/>
  <c r="D70" i="24"/>
  <c r="B70" i="24"/>
  <c r="C70" i="24" s="1"/>
  <c r="AR69" i="24"/>
  <c r="AB69" i="24"/>
  <c r="AA69" i="24"/>
  <c r="Y69" i="24"/>
  <c r="X69" i="24"/>
  <c r="R69" i="24"/>
  <c r="AV69" i="24"/>
  <c r="D69" i="24"/>
  <c r="B69" i="24"/>
  <c r="C69" i="24" s="1"/>
  <c r="BL68" i="24"/>
  <c r="BJ68" i="24"/>
  <c r="BH68" i="24"/>
  <c r="BD68" i="24"/>
  <c r="AZ68" i="24"/>
  <c r="AX68" i="24"/>
  <c r="AV68" i="24"/>
  <c r="AT68" i="24"/>
  <c r="AR68" i="24"/>
  <c r="AP68" i="24"/>
  <c r="AE68" i="24"/>
  <c r="AC68" i="24"/>
  <c r="AA68" i="24"/>
  <c r="Z68" i="24"/>
  <c r="Y68" i="24"/>
  <c r="X68" i="24"/>
  <c r="W68" i="24"/>
  <c r="V68" i="24"/>
  <c r="U68" i="24"/>
  <c r="R68" i="24"/>
  <c r="BF68" i="24"/>
  <c r="D68" i="24"/>
  <c r="B68" i="24"/>
  <c r="C68" i="24" s="1"/>
  <c r="R67" i="24"/>
  <c r="D67" i="24"/>
  <c r="B67" i="24"/>
  <c r="C67" i="24" s="1"/>
  <c r="R66" i="24"/>
  <c r="D66" i="24"/>
  <c r="B66" i="24"/>
  <c r="C66" i="24" s="1"/>
  <c r="R65" i="24"/>
  <c r="D65" i="24"/>
  <c r="B65" i="24"/>
  <c r="C65" i="24" s="1"/>
  <c r="R64" i="24"/>
  <c r="D64" i="24"/>
  <c r="B64" i="24"/>
  <c r="C64" i="24" s="1"/>
  <c r="R63" i="24"/>
  <c r="D63" i="24"/>
  <c r="B63" i="24"/>
  <c r="C63" i="24" s="1"/>
  <c r="R62" i="24"/>
  <c r="D62" i="24"/>
  <c r="B62" i="24"/>
  <c r="C62" i="24" s="1"/>
  <c r="R61" i="24"/>
  <c r="D61" i="24"/>
  <c r="B61" i="24"/>
  <c r="C61" i="24" s="1"/>
  <c r="R60" i="24"/>
  <c r="D60" i="24"/>
  <c r="B60" i="24"/>
  <c r="C60" i="24" s="1"/>
  <c r="R59" i="24"/>
  <c r="D59" i="24"/>
  <c r="B59" i="24"/>
  <c r="C59" i="24" s="1"/>
  <c r="R58" i="24"/>
  <c r="D58" i="24"/>
  <c r="B58" i="24"/>
  <c r="C58" i="24" s="1"/>
  <c r="BH57" i="24"/>
  <c r="BF57" i="24"/>
  <c r="BB57" i="24"/>
  <c r="AX57" i="24"/>
  <c r="AB57" i="24"/>
  <c r="Z57" i="24"/>
  <c r="Y57" i="24"/>
  <c r="X57" i="24"/>
  <c r="R57" i="24"/>
  <c r="AV57" i="24"/>
  <c r="D57" i="24"/>
  <c r="B57" i="24"/>
  <c r="C57" i="24" s="1"/>
  <c r="R56" i="24"/>
  <c r="D56" i="24"/>
  <c r="B56" i="24"/>
  <c r="C56" i="24" s="1"/>
  <c r="R55" i="24"/>
  <c r="D55" i="24"/>
  <c r="B55" i="24"/>
  <c r="C55" i="24" s="1"/>
  <c r="R54" i="24"/>
  <c r="D54" i="24"/>
  <c r="B54" i="24"/>
  <c r="C54" i="24" s="1"/>
  <c r="R53" i="24"/>
  <c r="D53" i="24"/>
  <c r="B53" i="24"/>
  <c r="C53" i="24" s="1"/>
  <c r="R52" i="24"/>
  <c r="D52" i="24"/>
  <c r="B52" i="24"/>
  <c r="C52" i="24" s="1"/>
  <c r="R51" i="24"/>
  <c r="D51" i="24"/>
  <c r="B51" i="24"/>
  <c r="C51" i="24" s="1"/>
  <c r="R50" i="24"/>
  <c r="D50" i="24"/>
  <c r="B50" i="24"/>
  <c r="C50" i="24" s="1"/>
  <c r="BL49" i="24"/>
  <c r="R49" i="24"/>
  <c r="BB49" i="24"/>
  <c r="D49" i="24"/>
  <c r="B49" i="24"/>
  <c r="C49" i="24" s="1"/>
  <c r="R48" i="24"/>
  <c r="D48" i="24"/>
  <c r="B48" i="24"/>
  <c r="C48" i="24" s="1"/>
  <c r="R47" i="24"/>
  <c r="D47" i="24"/>
  <c r="B47" i="24"/>
  <c r="C47" i="24" s="1"/>
  <c r="BL46" i="24"/>
  <c r="BJ46" i="24"/>
  <c r="BH46" i="24"/>
  <c r="BF46" i="24"/>
  <c r="BD46" i="24"/>
  <c r="AZ46" i="24"/>
  <c r="AV46" i="24"/>
  <c r="AT46" i="24"/>
  <c r="AR46" i="24"/>
  <c r="AP46" i="24"/>
  <c r="AE46" i="24"/>
  <c r="AD46" i="24"/>
  <c r="AC46" i="24"/>
  <c r="AA46" i="24"/>
  <c r="Y46" i="24"/>
  <c r="X46" i="24"/>
  <c r="W46" i="24"/>
  <c r="V46" i="24"/>
  <c r="U46" i="24"/>
  <c r="T46" i="24"/>
  <c r="R46" i="24"/>
  <c r="BB46" i="24"/>
  <c r="D46" i="24"/>
  <c r="B46" i="24"/>
  <c r="C46" i="24" s="1"/>
  <c r="AT45" i="24"/>
  <c r="AE45" i="24"/>
  <c r="R45" i="24"/>
  <c r="BH45" i="24"/>
  <c r="D45" i="24"/>
  <c r="B45" i="24"/>
  <c r="C45" i="24" s="1"/>
  <c r="AZ44" i="24"/>
  <c r="AR44" i="24"/>
  <c r="AD44" i="24"/>
  <c r="AC44" i="24"/>
  <c r="AB44" i="24"/>
  <c r="AA44" i="24"/>
  <c r="R44" i="24"/>
  <c r="D44" i="24"/>
  <c r="C44" i="24"/>
  <c r="BJ43" i="24"/>
  <c r="BD43" i="24"/>
  <c r="BB43" i="24"/>
  <c r="AD43" i="24"/>
  <c r="AC43" i="24"/>
  <c r="AB43" i="24"/>
  <c r="AA43" i="24"/>
  <c r="Z43" i="24"/>
  <c r="V43" i="24"/>
  <c r="T43" i="24"/>
  <c r="R43" i="24"/>
  <c r="AP43" i="24"/>
  <c r="D43" i="24"/>
  <c r="B43" i="24"/>
  <c r="C43" i="24" s="1"/>
  <c r="R42" i="24"/>
  <c r="D42" i="24"/>
  <c r="B42" i="24"/>
  <c r="C42" i="24" s="1"/>
  <c r="R41" i="24"/>
  <c r="D41" i="24"/>
  <c r="B41" i="24"/>
  <c r="C41" i="24" s="1"/>
  <c r="BL40" i="24"/>
  <c r="BJ40" i="24"/>
  <c r="BD40" i="24"/>
  <c r="AZ40" i="24"/>
  <c r="AX40" i="24"/>
  <c r="AV40" i="24"/>
  <c r="AT40" i="24"/>
  <c r="AR40" i="24"/>
  <c r="AP40" i="24"/>
  <c r="AC40" i="24"/>
  <c r="AA40" i="24"/>
  <c r="Z40" i="24"/>
  <c r="Y40" i="24"/>
  <c r="X40" i="24"/>
  <c r="W40" i="24"/>
  <c r="V40" i="24"/>
  <c r="R40" i="24"/>
  <c r="BH40" i="24"/>
  <c r="D40" i="24"/>
  <c r="B40" i="24"/>
  <c r="C40" i="24" s="1"/>
  <c r="AT39" i="24"/>
  <c r="AR39" i="24"/>
  <c r="AP39" i="24"/>
  <c r="R39" i="24"/>
  <c r="AX39" i="24"/>
  <c r="D39" i="24"/>
  <c r="B39" i="24"/>
  <c r="C39" i="24" s="1"/>
  <c r="BL38" i="24"/>
  <c r="BJ38" i="24"/>
  <c r="BH38" i="24"/>
  <c r="BF38" i="24"/>
  <c r="AZ38" i="24"/>
  <c r="AX38" i="24"/>
  <c r="AV38" i="24"/>
  <c r="AT38" i="24"/>
  <c r="AR38" i="24"/>
  <c r="AP38" i="24"/>
  <c r="AE38" i="24"/>
  <c r="AD38" i="24"/>
  <c r="AA38" i="24"/>
  <c r="Z38" i="24"/>
  <c r="Y38" i="24"/>
  <c r="X38" i="24"/>
  <c r="W38" i="24"/>
  <c r="V38" i="24"/>
  <c r="U38" i="24"/>
  <c r="T38" i="24"/>
  <c r="R38" i="24"/>
  <c r="BD38" i="24"/>
  <c r="D38" i="24"/>
  <c r="B38" i="24"/>
  <c r="C38" i="24" s="1"/>
  <c r="BL37" i="24"/>
  <c r="BJ37" i="24"/>
  <c r="BH37" i="24"/>
  <c r="BF37" i="24"/>
  <c r="BD37" i="24"/>
  <c r="AZ37" i="24"/>
  <c r="AX37" i="24"/>
  <c r="AV37" i="24"/>
  <c r="AT37" i="24"/>
  <c r="AR37" i="24"/>
  <c r="AP37" i="24"/>
  <c r="AE37" i="24"/>
  <c r="AD37" i="24"/>
  <c r="AC37" i="24"/>
  <c r="AA37" i="24"/>
  <c r="Z37" i="24"/>
  <c r="Y37" i="24"/>
  <c r="X37" i="24"/>
  <c r="W37" i="24"/>
  <c r="V37" i="24"/>
  <c r="U37" i="24"/>
  <c r="T37" i="24"/>
  <c r="R37" i="24"/>
  <c r="BB37" i="24"/>
  <c r="D37" i="24"/>
  <c r="B37" i="24"/>
  <c r="C37" i="24" s="1"/>
  <c r="BJ36" i="24"/>
  <c r="BH36" i="24"/>
  <c r="BF36" i="24"/>
  <c r="BD36" i="24"/>
  <c r="BB36" i="24"/>
  <c r="AV36" i="24"/>
  <c r="AR36" i="24"/>
  <c r="AC36" i="24"/>
  <c r="AB36" i="24"/>
  <c r="Y36" i="24"/>
  <c r="W36" i="24"/>
  <c r="V36" i="24"/>
  <c r="U36" i="24"/>
  <c r="T36" i="24"/>
  <c r="R36" i="24"/>
  <c r="BL36" i="24"/>
  <c r="D36" i="24"/>
  <c r="B36" i="24"/>
  <c r="C36" i="24" s="1"/>
  <c r="BJ35" i="24"/>
  <c r="BH35" i="24"/>
  <c r="BF35" i="24"/>
  <c r="BD35" i="24"/>
  <c r="BB35" i="24"/>
  <c r="AZ35" i="24"/>
  <c r="AT35" i="24"/>
  <c r="AP35" i="24"/>
  <c r="AD35" i="24"/>
  <c r="AC35" i="24"/>
  <c r="AB35" i="24"/>
  <c r="AA35" i="24"/>
  <c r="X35" i="24"/>
  <c r="V35" i="24"/>
  <c r="U35" i="24"/>
  <c r="T35" i="24"/>
  <c r="R35" i="24"/>
  <c r="D35" i="24"/>
  <c r="B35" i="24"/>
  <c r="C35" i="24" s="1"/>
  <c r="BL34" i="24"/>
  <c r="BH34" i="24"/>
  <c r="BF34" i="24"/>
  <c r="BD34" i="24"/>
  <c r="BB34" i="24"/>
  <c r="AD34" i="24"/>
  <c r="AC34" i="24"/>
  <c r="AB34" i="24"/>
  <c r="AA34" i="24"/>
  <c r="Z34" i="24"/>
  <c r="W34" i="24"/>
  <c r="R34" i="24"/>
  <c r="D34" i="24"/>
  <c r="B34" i="24"/>
  <c r="C34" i="24" s="1"/>
  <c r="BJ33" i="24"/>
  <c r="BF33" i="24"/>
  <c r="BD33" i="24"/>
  <c r="AC33" i="24"/>
  <c r="AB33" i="24"/>
  <c r="AA33" i="24"/>
  <c r="Z33" i="24"/>
  <c r="R33" i="24"/>
  <c r="AD33" i="24"/>
  <c r="D33" i="24"/>
  <c r="B33" i="24"/>
  <c r="C33" i="24" s="1"/>
  <c r="R32" i="24"/>
  <c r="D32" i="24"/>
  <c r="B32" i="24"/>
  <c r="C32" i="24" s="1"/>
  <c r="BL31" i="24"/>
  <c r="BF31" i="24"/>
  <c r="AT31" i="24"/>
  <c r="AD31" i="24"/>
  <c r="AB31" i="24"/>
  <c r="AA31" i="24"/>
  <c r="Z31" i="24"/>
  <c r="R31" i="24"/>
  <c r="D31" i="24"/>
  <c r="B31" i="24"/>
  <c r="C31" i="24" s="1"/>
  <c r="BL30" i="24"/>
  <c r="BJ30" i="24"/>
  <c r="BD30" i="24"/>
  <c r="AZ30" i="24"/>
  <c r="AX30" i="24"/>
  <c r="AV30" i="24"/>
  <c r="AT30" i="24"/>
  <c r="AR30" i="24"/>
  <c r="AP30" i="24"/>
  <c r="AC30" i="24"/>
  <c r="AA30" i="24"/>
  <c r="Z30" i="24"/>
  <c r="Y30" i="24"/>
  <c r="X30" i="24"/>
  <c r="W30" i="24"/>
  <c r="V30" i="24"/>
  <c r="R30" i="24"/>
  <c r="BH30" i="24"/>
  <c r="D30" i="24"/>
  <c r="B30" i="24"/>
  <c r="C30" i="24" s="1"/>
  <c r="BJ29" i="24"/>
  <c r="BH29" i="24"/>
  <c r="BB29" i="24"/>
  <c r="AZ29" i="24"/>
  <c r="AX29" i="24"/>
  <c r="AV29" i="24"/>
  <c r="AT29" i="24"/>
  <c r="AR29" i="24"/>
  <c r="AP29" i="24"/>
  <c r="AB29" i="24"/>
  <c r="AA29" i="24"/>
  <c r="Z29" i="24"/>
  <c r="Y29" i="24"/>
  <c r="X29" i="24"/>
  <c r="W29" i="24"/>
  <c r="V29" i="24"/>
  <c r="U29" i="24"/>
  <c r="R29" i="24"/>
  <c r="D29" i="24"/>
  <c r="B29" i="24"/>
  <c r="C29" i="24" s="1"/>
  <c r="BL28" i="24"/>
  <c r="BJ28" i="24"/>
  <c r="BH28" i="24"/>
  <c r="BF28" i="24"/>
  <c r="AZ28" i="24"/>
  <c r="AX28" i="24"/>
  <c r="AV28" i="24"/>
  <c r="AT28" i="24"/>
  <c r="AR28" i="24"/>
  <c r="AP28" i="24"/>
  <c r="AE28" i="24"/>
  <c r="AD28" i="24"/>
  <c r="AA28" i="24"/>
  <c r="Z28" i="24"/>
  <c r="Y28" i="24"/>
  <c r="X28" i="24"/>
  <c r="W28" i="24"/>
  <c r="V28" i="24"/>
  <c r="U28" i="24"/>
  <c r="T28" i="24"/>
  <c r="R28" i="24"/>
  <c r="BD28" i="24"/>
  <c r="D28" i="24"/>
  <c r="B28" i="24"/>
  <c r="C28" i="24" s="1"/>
  <c r="BL27" i="24"/>
  <c r="BJ27" i="24"/>
  <c r="BH27" i="24"/>
  <c r="BF27" i="24"/>
  <c r="BD27" i="24"/>
  <c r="AX27" i="24"/>
  <c r="AV27" i="24"/>
  <c r="AT27" i="24"/>
  <c r="AR27" i="24"/>
  <c r="AP27" i="24"/>
  <c r="AE27" i="24"/>
  <c r="AD27" i="24"/>
  <c r="AC27" i="24"/>
  <c r="Z27" i="24"/>
  <c r="Y27" i="24"/>
  <c r="X27" i="24"/>
  <c r="W27" i="24"/>
  <c r="V27" i="24"/>
  <c r="U27" i="24"/>
  <c r="T27" i="24"/>
  <c r="R27" i="24"/>
  <c r="BB27" i="24"/>
  <c r="D27" i="24"/>
  <c r="B27" i="24"/>
  <c r="C27" i="24" s="1"/>
  <c r="BL26" i="24"/>
  <c r="BH26" i="24"/>
  <c r="BF26" i="24"/>
  <c r="BD26" i="24"/>
  <c r="BB26" i="24"/>
  <c r="AE26" i="24"/>
  <c r="AC26" i="24"/>
  <c r="AB26" i="24"/>
  <c r="Y26" i="24"/>
  <c r="X26" i="24"/>
  <c r="R26" i="24"/>
  <c r="D26" i="24"/>
  <c r="B26" i="24"/>
  <c r="C26" i="24" s="1"/>
  <c r="BL25" i="24"/>
  <c r="AX25" i="24"/>
  <c r="AV25" i="24"/>
  <c r="AT25" i="24"/>
  <c r="AR25" i="24"/>
  <c r="Z25" i="24"/>
  <c r="Y25" i="24"/>
  <c r="X25" i="24"/>
  <c r="W25" i="24"/>
  <c r="R25" i="24"/>
  <c r="BJ25" i="24"/>
  <c r="D25" i="24"/>
  <c r="B25" i="24"/>
  <c r="C25" i="24" s="1"/>
  <c r="R24" i="24"/>
  <c r="D24" i="24"/>
  <c r="B24" i="24"/>
  <c r="C24" i="24" s="1"/>
  <c r="BL23" i="24"/>
  <c r="BJ23" i="24"/>
  <c r="BH23" i="24"/>
  <c r="BD23" i="24"/>
  <c r="AZ23" i="24"/>
  <c r="AX23" i="24"/>
  <c r="AV23" i="24"/>
  <c r="AT23" i="24"/>
  <c r="AR23" i="24"/>
  <c r="AP23" i="24"/>
  <c r="AE23" i="24"/>
  <c r="AC23" i="24"/>
  <c r="AA23" i="24"/>
  <c r="Z23" i="24"/>
  <c r="Y23" i="24"/>
  <c r="X23" i="24"/>
  <c r="W23" i="24"/>
  <c r="V23" i="24"/>
  <c r="U23" i="24"/>
  <c r="R23" i="24"/>
  <c r="BF23" i="24"/>
  <c r="D23" i="24"/>
  <c r="B23" i="24"/>
  <c r="C23" i="24" s="1"/>
  <c r="R22" i="24"/>
  <c r="D22" i="24"/>
  <c r="B22" i="24"/>
  <c r="C22" i="24" s="1"/>
  <c r="BL21" i="24"/>
  <c r="BJ21" i="24"/>
  <c r="BH21" i="24"/>
  <c r="BF21" i="24"/>
  <c r="BD21" i="24"/>
  <c r="AZ21" i="24"/>
  <c r="AX21" i="24"/>
  <c r="AV21" i="24"/>
  <c r="AT21" i="24"/>
  <c r="AR21" i="24"/>
  <c r="AP21" i="24"/>
  <c r="AE21" i="24"/>
  <c r="AD21" i="24"/>
  <c r="AC21" i="24"/>
  <c r="AA21" i="24"/>
  <c r="Z21" i="24"/>
  <c r="Y21" i="24"/>
  <c r="X21" i="24"/>
  <c r="W21" i="24"/>
  <c r="V21" i="24"/>
  <c r="U21" i="24"/>
  <c r="T21" i="24"/>
  <c r="R21" i="24"/>
  <c r="BB21" i="24"/>
  <c r="D21" i="24"/>
  <c r="B21" i="24"/>
  <c r="C21" i="24" s="1"/>
  <c r="R20" i="24"/>
  <c r="BD20" i="24"/>
  <c r="D20" i="24"/>
  <c r="B20" i="24"/>
  <c r="C20" i="24" s="1"/>
  <c r="BB19" i="24"/>
  <c r="AZ19" i="24"/>
  <c r="R19" i="24"/>
  <c r="D19" i="24"/>
  <c r="B19" i="24"/>
  <c r="C19" i="24" s="1"/>
  <c r="AZ18" i="24"/>
  <c r="AX18" i="24"/>
  <c r="AA18" i="24"/>
  <c r="Z18" i="24"/>
  <c r="R18" i="24"/>
  <c r="AV18" i="24"/>
  <c r="D18" i="24"/>
  <c r="B18" i="24"/>
  <c r="C18" i="24" s="1"/>
  <c r="AZ17" i="24"/>
  <c r="AX17" i="24"/>
  <c r="AV17" i="24"/>
  <c r="AB17" i="24"/>
  <c r="AA17" i="24"/>
  <c r="Z17" i="24"/>
  <c r="Y17" i="24"/>
  <c r="R17" i="24"/>
  <c r="AT17" i="24"/>
  <c r="D17" i="24"/>
  <c r="B17" i="24"/>
  <c r="C17" i="24" s="1"/>
  <c r="BD16" i="24"/>
  <c r="AZ16" i="24"/>
  <c r="AX16" i="24"/>
  <c r="AV16" i="24"/>
  <c r="AT16" i="24"/>
  <c r="AC16" i="24"/>
  <c r="AA16" i="24"/>
  <c r="Z16" i="24"/>
  <c r="Y16" i="24"/>
  <c r="X16" i="24"/>
  <c r="R16" i="24"/>
  <c r="BL16" i="24"/>
  <c r="D16" i="24"/>
  <c r="B16" i="24"/>
  <c r="C16" i="24" s="1"/>
  <c r="BL15" i="24"/>
  <c r="AX15" i="24"/>
  <c r="AV15" i="24"/>
  <c r="AT15" i="24"/>
  <c r="AR15" i="24"/>
  <c r="Z15" i="24"/>
  <c r="Y15" i="24"/>
  <c r="X15" i="24"/>
  <c r="W15" i="24"/>
  <c r="R15" i="24"/>
  <c r="BJ15" i="24"/>
  <c r="D15" i="24"/>
  <c r="B15" i="24"/>
  <c r="C15" i="24" s="1"/>
  <c r="BL14" i="24"/>
  <c r="BJ14" i="24"/>
  <c r="AZ14" i="24"/>
  <c r="AX14" i="24"/>
  <c r="AV14" i="24"/>
  <c r="AT14" i="24"/>
  <c r="AR14" i="24"/>
  <c r="AP14" i="24"/>
  <c r="AA14" i="24"/>
  <c r="Z14" i="24"/>
  <c r="Y14" i="24"/>
  <c r="X14" i="24"/>
  <c r="W14" i="24"/>
  <c r="V14" i="24"/>
  <c r="R14" i="24"/>
  <c r="BH14" i="24"/>
  <c r="D14" i="24"/>
  <c r="B14" i="24"/>
  <c r="C14" i="24" s="1"/>
  <c r="BL13" i="24"/>
  <c r="BJ13" i="24"/>
  <c r="BH13" i="24"/>
  <c r="BD13" i="24"/>
  <c r="AZ13" i="24"/>
  <c r="AX13" i="24"/>
  <c r="AV13" i="24"/>
  <c r="AT13" i="24"/>
  <c r="AR13" i="24"/>
  <c r="AP13" i="24"/>
  <c r="AE13" i="24"/>
  <c r="AC13" i="24"/>
  <c r="AA13" i="24"/>
  <c r="Z13" i="24"/>
  <c r="Y13" i="24"/>
  <c r="X13" i="24"/>
  <c r="W13" i="24"/>
  <c r="V13" i="24"/>
  <c r="U13" i="24"/>
  <c r="R13" i="24"/>
  <c r="BF13" i="24"/>
  <c r="D13" i="24"/>
  <c r="B13" i="24"/>
  <c r="C13" i="24" s="1"/>
  <c r="BL12" i="24"/>
  <c r="BJ12" i="24"/>
  <c r="BH12" i="24"/>
  <c r="BF12" i="24"/>
  <c r="AX12" i="24"/>
  <c r="AV12" i="24"/>
  <c r="AT12" i="24"/>
  <c r="AR12" i="24"/>
  <c r="AP12" i="24"/>
  <c r="AE12" i="24"/>
  <c r="AD12" i="24"/>
  <c r="Z12" i="24"/>
  <c r="Y12" i="24"/>
  <c r="X12" i="24"/>
  <c r="W12" i="24"/>
  <c r="V12" i="24"/>
  <c r="U12" i="24"/>
  <c r="T12" i="24"/>
  <c r="R12" i="24"/>
  <c r="BD12" i="24"/>
  <c r="D12" i="24"/>
  <c r="B12" i="24"/>
  <c r="C12" i="24" s="1"/>
  <c r="BL11" i="24"/>
  <c r="BJ11" i="24"/>
  <c r="BH11" i="24"/>
  <c r="BF11" i="24"/>
  <c r="BD11" i="24"/>
  <c r="AZ11" i="24"/>
  <c r="AV11" i="24"/>
  <c r="AT11" i="24"/>
  <c r="AR11" i="24"/>
  <c r="AP11" i="24"/>
  <c r="AE11" i="24"/>
  <c r="AD11" i="24"/>
  <c r="AC11" i="24"/>
  <c r="AA11" i="24"/>
  <c r="Y11" i="24"/>
  <c r="X11" i="24"/>
  <c r="W11" i="24"/>
  <c r="V11" i="24"/>
  <c r="U11" i="24"/>
  <c r="T11" i="24"/>
  <c r="R11" i="24"/>
  <c r="BB11" i="24"/>
  <c r="D11" i="24"/>
  <c r="B11" i="24"/>
  <c r="C11" i="24" s="1"/>
  <c r="R10" i="24"/>
  <c r="AB10" i="24"/>
  <c r="D10" i="24"/>
  <c r="B10" i="24"/>
  <c r="C10" i="24" s="1"/>
  <c r="R9" i="24"/>
  <c r="BB9" i="24"/>
  <c r="D9" i="24"/>
  <c r="B9" i="24"/>
  <c r="C9" i="24" s="1"/>
  <c r="AZ8" i="24"/>
  <c r="AX8" i="24"/>
  <c r="AA8" i="24"/>
  <c r="Z8" i="24"/>
  <c r="R8" i="24"/>
  <c r="AV8" i="24"/>
  <c r="D8" i="24"/>
  <c r="B8" i="24"/>
  <c r="C8" i="24" s="1"/>
  <c r="AZ7" i="24"/>
  <c r="AX7" i="24"/>
  <c r="AV7" i="24"/>
  <c r="AA7" i="24"/>
  <c r="Z7" i="24"/>
  <c r="Y7" i="24"/>
  <c r="R7" i="24"/>
  <c r="AT7" i="24"/>
  <c r="D7" i="24"/>
  <c r="B7" i="24"/>
  <c r="C7" i="24" s="1"/>
  <c r="R6" i="24"/>
  <c r="E6" i="24"/>
  <c r="BL6" i="24" s="1"/>
  <c r="D6" i="24"/>
  <c r="B6" i="24"/>
  <c r="C6" i="24" s="1"/>
  <c r="R5" i="24"/>
  <c r="E5" i="24"/>
  <c r="W5" i="24" s="1"/>
  <c r="D5" i="24"/>
  <c r="B5" i="24"/>
  <c r="C5" i="24" s="1"/>
  <c r="P31" i="25" l="1"/>
  <c r="F5" i="11" s="1"/>
  <c r="AO7" i="26"/>
  <c r="BK7" i="26"/>
  <c r="BC10" i="26"/>
  <c r="BK10" i="26"/>
  <c r="AA10" i="26"/>
  <c r="Z10" i="26"/>
  <c r="AB35" i="26"/>
  <c r="BA35" i="26"/>
  <c r="AY35" i="26"/>
  <c r="AS36" i="26"/>
  <c r="BI36" i="26"/>
  <c r="BC36" i="26"/>
  <c r="AQ36" i="26"/>
  <c r="AB36" i="26"/>
  <c r="W36" i="26"/>
  <c r="AE45" i="26"/>
  <c r="AB45" i="26"/>
  <c r="AA45" i="26"/>
  <c r="BA58" i="26"/>
  <c r="Z58" i="26"/>
  <c r="BC66" i="26"/>
  <c r="BE66" i="26"/>
  <c r="AS66" i="26"/>
  <c r="AE66" i="26"/>
  <c r="AB66" i="26"/>
  <c r="Z66" i="26"/>
  <c r="Y66" i="26"/>
  <c r="AU69" i="26"/>
  <c r="AA69" i="26"/>
  <c r="Y69" i="26"/>
  <c r="X69" i="26"/>
  <c r="AO74" i="26"/>
  <c r="AY74" i="26"/>
  <c r="AB74" i="26"/>
  <c r="BA77" i="26"/>
  <c r="AU77" i="26"/>
  <c r="AS77" i="26"/>
  <c r="BA82" i="26"/>
  <c r="X82" i="26"/>
  <c r="BE89" i="26"/>
  <c r="BI89" i="26"/>
  <c r="AC45" i="26"/>
  <c r="BI74" i="26"/>
  <c r="W87" i="26"/>
  <c r="BK21" i="26"/>
  <c r="AE36" i="26"/>
  <c r="AO87" i="26"/>
  <c r="AQ87" i="26"/>
  <c r="W69" i="26"/>
  <c r="AS87" i="26"/>
  <c r="V7" i="26"/>
  <c r="BI10" i="26"/>
  <c r="AD42" i="26"/>
  <c r="AU87" i="26"/>
  <c r="AA7" i="26"/>
  <c r="AC7" i="26"/>
  <c r="AY7" i="26"/>
  <c r="BI9" i="26"/>
  <c r="Z45" i="26"/>
  <c r="AE14" i="26"/>
  <c r="W61" i="26"/>
  <c r="T67" i="26"/>
  <c r="BK67" i="26"/>
  <c r="AW77" i="26"/>
  <c r="U19" i="26"/>
  <c r="BA36" i="26"/>
  <c r="Z59" i="26"/>
  <c r="X61" i="26"/>
  <c r="X65" i="26"/>
  <c r="U67" i="26"/>
  <c r="AS71" i="26"/>
  <c r="BC77" i="26"/>
  <c r="AA84" i="26"/>
  <c r="V19" i="26"/>
  <c r="AA20" i="26"/>
  <c r="Y61" i="26"/>
  <c r="AD65" i="26"/>
  <c r="X67" i="26"/>
  <c r="AU71" i="26"/>
  <c r="AC84" i="26"/>
  <c r="BC67" i="26"/>
  <c r="X6" i="24"/>
  <c r="BI7" i="26"/>
  <c r="AA9" i="26"/>
  <c r="W19" i="26"/>
  <c r="AD20" i="26"/>
  <c r="BC28" i="26"/>
  <c r="U36" i="26"/>
  <c r="BE36" i="26"/>
  <c r="AC58" i="26"/>
  <c r="AW61" i="26"/>
  <c r="AE65" i="26"/>
  <c r="Y67" i="26"/>
  <c r="AW87" i="26"/>
  <c r="BK89" i="26"/>
  <c r="X19" i="26"/>
  <c r="AO58" i="26"/>
  <c r="BC61" i="26"/>
  <c r="AQ65" i="26"/>
  <c r="Z67" i="26"/>
  <c r="T77" i="26"/>
  <c r="Y5" i="24"/>
  <c r="AS19" i="26"/>
  <c r="X36" i="26"/>
  <c r="BG55" i="26"/>
  <c r="BG58" i="26"/>
  <c r="BG66" i="26"/>
  <c r="AA67" i="26"/>
  <c r="AD75" i="26"/>
  <c r="U77" i="26"/>
  <c r="AU80" i="26"/>
  <c r="T87" i="26"/>
  <c r="AY19" i="26"/>
  <c r="Y36" i="26"/>
  <c r="BK58" i="26"/>
  <c r="AO67" i="26"/>
  <c r="V74" i="26"/>
  <c r="W77" i="26"/>
  <c r="T78" i="26"/>
  <c r="AW80" i="26"/>
  <c r="U87" i="26"/>
  <c r="BE67" i="26"/>
  <c r="BE19" i="26"/>
  <c r="AA36" i="26"/>
  <c r="AY67" i="26"/>
  <c r="AA74" i="26"/>
  <c r="X77" i="26"/>
  <c r="AS78" i="26"/>
  <c r="BC80" i="26"/>
  <c r="V87" i="26"/>
  <c r="R93" i="26"/>
  <c r="AB7" i="26"/>
  <c r="AC8" i="26"/>
  <c r="BC9" i="26"/>
  <c r="Y10" i="26"/>
  <c r="BG10" i="26"/>
  <c r="BC19" i="26"/>
  <c r="Z20" i="26"/>
  <c r="AW21" i="26"/>
  <c r="BK23" i="26"/>
  <c r="BA28" i="26"/>
  <c r="BI32" i="26"/>
  <c r="AA35" i="26"/>
  <c r="AB42" i="26"/>
  <c r="AQ55" i="26"/>
  <c r="Y58" i="26"/>
  <c r="BE58" i="26"/>
  <c r="BK70" i="26"/>
  <c r="AQ71" i="26"/>
  <c r="AD10" i="26"/>
  <c r="AB18" i="26"/>
  <c r="AU20" i="26"/>
  <c r="V21" i="26"/>
  <c r="BC35" i="26"/>
  <c r="AE58" i="26"/>
  <c r="BC71" i="26"/>
  <c r="AC76" i="26"/>
  <c r="AY77" i="26"/>
  <c r="AO78" i="26"/>
  <c r="BE80" i="26"/>
  <c r="AB84" i="26"/>
  <c r="AO10" i="26"/>
  <c r="T17" i="26"/>
  <c r="AC18" i="26"/>
  <c r="AW20" i="26"/>
  <c r="W21" i="26"/>
  <c r="W55" i="26"/>
  <c r="AB60" i="26"/>
  <c r="AB70" i="26"/>
  <c r="AE76" i="26"/>
  <c r="AB83" i="26"/>
  <c r="T9" i="26"/>
  <c r="AQ10" i="26"/>
  <c r="AW15" i="26"/>
  <c r="AA17" i="26"/>
  <c r="AD18" i="26"/>
  <c r="BE20" i="26"/>
  <c r="X21" i="26"/>
  <c r="AD24" i="26"/>
  <c r="BG45" i="26"/>
  <c r="Z55" i="26"/>
  <c r="T58" i="26"/>
  <c r="AQ58" i="26"/>
  <c r="AE60" i="26"/>
  <c r="Z61" i="26"/>
  <c r="AY69" i="26"/>
  <c r="AC70" i="26"/>
  <c r="T71" i="26"/>
  <c r="AO76" i="26"/>
  <c r="Y77" i="26"/>
  <c r="BI77" i="26"/>
  <c r="BE78" i="26"/>
  <c r="V80" i="26"/>
  <c r="AC83" i="26"/>
  <c r="AD84" i="26"/>
  <c r="X87" i="26"/>
  <c r="BC87" i="26"/>
  <c r="X89" i="26"/>
  <c r="BK55" i="26"/>
  <c r="Z9" i="26"/>
  <c r="T10" i="26"/>
  <c r="AU10" i="26"/>
  <c r="AY17" i="26"/>
  <c r="BA18" i="26"/>
  <c r="Z19" i="26"/>
  <c r="T20" i="26"/>
  <c r="BG20" i="26"/>
  <c r="Z21" i="26"/>
  <c r="BE24" i="26"/>
  <c r="AQ29" i="26"/>
  <c r="W32" i="26"/>
  <c r="AO36" i="26"/>
  <c r="BK45" i="26"/>
  <c r="AA55" i="26"/>
  <c r="U58" i="26"/>
  <c r="AS58" i="26"/>
  <c r="AO60" i="26"/>
  <c r="AU61" i="26"/>
  <c r="AE67" i="26"/>
  <c r="BA69" i="26"/>
  <c r="AD70" i="26"/>
  <c r="U71" i="26"/>
  <c r="BC76" i="26"/>
  <c r="Z77" i="26"/>
  <c r="BK77" i="26"/>
  <c r="W80" i="26"/>
  <c r="AW83" i="26"/>
  <c r="AY84" i="26"/>
  <c r="AE86" i="26"/>
  <c r="Y87" i="26"/>
  <c r="BG87" i="26"/>
  <c r="Y89" i="26"/>
  <c r="U10" i="26"/>
  <c r="AW10" i="26"/>
  <c r="BA17" i="26"/>
  <c r="BC18" i="26"/>
  <c r="U20" i="26"/>
  <c r="BI20" i="26"/>
  <c r="AE21" i="26"/>
  <c r="AC32" i="26"/>
  <c r="AB55" i="26"/>
  <c r="V58" i="26"/>
  <c r="AU58" i="26"/>
  <c r="AS60" i="26"/>
  <c r="BC69" i="26"/>
  <c r="AO70" i="26"/>
  <c r="W71" i="26"/>
  <c r="AA77" i="26"/>
  <c r="X80" i="26"/>
  <c r="AY83" i="26"/>
  <c r="BA84" i="26"/>
  <c r="AA87" i="26"/>
  <c r="BI87" i="26"/>
  <c r="AA89" i="26"/>
  <c r="AX6" i="24"/>
  <c r="W7" i="26"/>
  <c r="AE9" i="26"/>
  <c r="V10" i="26"/>
  <c r="AY10" i="26"/>
  <c r="AU19" i="26"/>
  <c r="V20" i="26"/>
  <c r="BK20" i="26"/>
  <c r="AQ21" i="26"/>
  <c r="AO32" i="26"/>
  <c r="T36" i="26"/>
  <c r="AY36" i="26"/>
  <c r="AC55" i="26"/>
  <c r="W58" i="26"/>
  <c r="AW58" i="26"/>
  <c r="BE59" i="26"/>
  <c r="AY61" i="26"/>
  <c r="U66" i="26"/>
  <c r="AW67" i="26"/>
  <c r="BG69" i="26"/>
  <c r="BE70" i="26"/>
  <c r="Z71" i="26"/>
  <c r="Z74" i="26"/>
  <c r="BG75" i="26"/>
  <c r="AE77" i="26"/>
  <c r="Y80" i="26"/>
  <c r="AD87" i="26"/>
  <c r="BK87" i="26"/>
  <c r="AE89" i="26"/>
  <c r="AB8" i="26"/>
  <c r="AY9" i="26"/>
  <c r="W10" i="26"/>
  <c r="BE10" i="26"/>
  <c r="Y20" i="26"/>
  <c r="AD28" i="26"/>
  <c r="AU32" i="26"/>
  <c r="Z35" i="26"/>
  <c r="AA42" i="26"/>
  <c r="AE55" i="26"/>
  <c r="X58" i="26"/>
  <c r="BC58" i="26"/>
  <c r="AE71" i="26"/>
  <c r="AO77" i="26"/>
  <c r="AD80" i="26"/>
  <c r="AE87" i="26"/>
  <c r="AO89" i="26"/>
  <c r="AO11" i="26"/>
  <c r="AD14" i="26"/>
  <c r="BI14" i="26"/>
  <c r="AC24" i="26"/>
  <c r="AC29" i="26"/>
  <c r="BG62" i="26"/>
  <c r="AE62" i="26"/>
  <c r="AA62" i="26"/>
  <c r="Z62" i="26"/>
  <c r="BE62" i="26"/>
  <c r="Y62" i="26"/>
  <c r="BA62" i="26"/>
  <c r="X62" i="26"/>
  <c r="AY62" i="26"/>
  <c r="V62" i="26"/>
  <c r="AW62" i="26"/>
  <c r="U62" i="26"/>
  <c r="AU62" i="26"/>
  <c r="T62" i="26"/>
  <c r="AS62" i="26"/>
  <c r="AD8" i="26"/>
  <c r="AC9" i="26"/>
  <c r="BE9" i="26"/>
  <c r="AS11" i="26"/>
  <c r="T14" i="26"/>
  <c r="AO14" i="26"/>
  <c r="AU24" i="26"/>
  <c r="AS29" i="26"/>
  <c r="X12" i="26"/>
  <c r="AE8" i="26"/>
  <c r="AD9" i="26"/>
  <c r="BG9" i="26"/>
  <c r="U11" i="26"/>
  <c r="AW11" i="26"/>
  <c r="Y12" i="26"/>
  <c r="Z13" i="26"/>
  <c r="U14" i="26"/>
  <c r="AS14" i="26"/>
  <c r="AW24" i="26"/>
  <c r="AU29" i="26"/>
  <c r="BG51" i="26"/>
  <c r="BK51" i="26"/>
  <c r="AA51" i="26"/>
  <c r="BI51" i="26"/>
  <c r="Z51" i="26"/>
  <c r="BC51" i="26"/>
  <c r="Y51" i="26"/>
  <c r="AY51" i="26"/>
  <c r="X51" i="26"/>
  <c r="AW51" i="26"/>
  <c r="W51" i="26"/>
  <c r="AU51" i="26"/>
  <c r="V51" i="26"/>
  <c r="AS51" i="26"/>
  <c r="AO51" i="26"/>
  <c r="AY68" i="26"/>
  <c r="AQ68" i="26"/>
  <c r="AE68" i="26"/>
  <c r="AB68" i="26"/>
  <c r="AA68" i="26"/>
  <c r="Z68" i="26"/>
  <c r="BK68" i="26"/>
  <c r="X68" i="26"/>
  <c r="BG68" i="26"/>
  <c r="U68" i="26"/>
  <c r="BE68" i="26"/>
  <c r="AY11" i="26"/>
  <c r="T5" i="26"/>
  <c r="AD7" i="26"/>
  <c r="BA8" i="26"/>
  <c r="U9" i="26"/>
  <c r="AO9" i="26"/>
  <c r="BK9" i="26"/>
  <c r="W11" i="26"/>
  <c r="BG11" i="26"/>
  <c r="AO12" i="26"/>
  <c r="AC13" i="26"/>
  <c r="X14" i="26"/>
  <c r="AW14" i="26"/>
  <c r="AA19" i="26"/>
  <c r="BI19" i="26"/>
  <c r="BI23" i="26"/>
  <c r="AW23" i="26"/>
  <c r="AU23" i="26"/>
  <c r="Z23" i="26"/>
  <c r="Y23" i="26"/>
  <c r="BG24" i="26"/>
  <c r="BE29" i="26"/>
  <c r="AC51" i="26"/>
  <c r="BK63" i="26"/>
  <c r="BG63" i="26"/>
  <c r="BC63" i="26"/>
  <c r="AQ63" i="26"/>
  <c r="AE63" i="26"/>
  <c r="AC63" i="26"/>
  <c r="AB63" i="26"/>
  <c r="AA63" i="26"/>
  <c r="BA68" i="26"/>
  <c r="AD5" i="26"/>
  <c r="T8" i="26"/>
  <c r="BC8" i="26"/>
  <c r="V9" i="26"/>
  <c r="AQ9" i="26"/>
  <c r="X11" i="26"/>
  <c r="BI11" i="26"/>
  <c r="AQ12" i="26"/>
  <c r="AS13" i="26"/>
  <c r="Y14" i="26"/>
  <c r="AY14" i="26"/>
  <c r="Z15" i="26"/>
  <c r="AC19" i="26"/>
  <c r="U24" i="26"/>
  <c r="AQ51" i="26"/>
  <c r="AS8" i="26"/>
  <c r="V11" i="26"/>
  <c r="AA12" i="26"/>
  <c r="V14" i="26"/>
  <c r="BA29" i="26"/>
  <c r="BK29" i="26"/>
  <c r="AO29" i="26"/>
  <c r="U29" i="26"/>
  <c r="BI29" i="26"/>
  <c r="AE29" i="26"/>
  <c r="T29" i="26"/>
  <c r="BG29" i="26"/>
  <c r="AD29" i="26"/>
  <c r="BC29" i="26"/>
  <c r="AA29" i="26"/>
  <c r="AY29" i="26"/>
  <c r="Z29" i="26"/>
  <c r="AE5" i="26"/>
  <c r="BA7" i="26"/>
  <c r="U8" i="26"/>
  <c r="BE8" i="26"/>
  <c r="W9" i="26"/>
  <c r="AS9" i="26"/>
  <c r="Z11" i="26"/>
  <c r="BK11" i="26"/>
  <c r="BI12" i="26"/>
  <c r="Z14" i="26"/>
  <c r="BC14" i="26"/>
  <c r="AA15" i="26"/>
  <c r="BA19" i="26"/>
  <c r="BG19" i="26"/>
  <c r="AD19" i="26"/>
  <c r="AW19" i="26"/>
  <c r="Y19" i="26"/>
  <c r="AE19" i="26"/>
  <c r="W23" i="26"/>
  <c r="W29" i="26"/>
  <c r="AQ11" i="26"/>
  <c r="AB13" i="26"/>
  <c r="BK24" i="26"/>
  <c r="BC24" i="26"/>
  <c r="Y24" i="26"/>
  <c r="AY24" i="26"/>
  <c r="X24" i="26"/>
  <c r="AS24" i="26"/>
  <c r="T24" i="26"/>
  <c r="AE24" i="26"/>
  <c r="AW29" i="26"/>
  <c r="AY5" i="26"/>
  <c r="BC7" i="26"/>
  <c r="W8" i="26"/>
  <c r="BG8" i="26"/>
  <c r="X9" i="26"/>
  <c r="AU9" i="26"/>
  <c r="AE10" i="26"/>
  <c r="AA11" i="26"/>
  <c r="BK12" i="26"/>
  <c r="AA14" i="26"/>
  <c r="BE14" i="26"/>
  <c r="AB15" i="26"/>
  <c r="AO19" i="26"/>
  <c r="BE21" i="26"/>
  <c r="BG21" i="26"/>
  <c r="U21" i="26"/>
  <c r="AO21" i="26"/>
  <c r="BI21" i="26"/>
  <c r="X23" i="26"/>
  <c r="Z24" i="26"/>
  <c r="X29" i="26"/>
  <c r="AU14" i="26"/>
  <c r="T7" i="26"/>
  <c r="BE7" i="26"/>
  <c r="X8" i="26"/>
  <c r="Y9" i="26"/>
  <c r="AW9" i="26"/>
  <c r="AE11" i="26"/>
  <c r="AC14" i="26"/>
  <c r="BG14" i="26"/>
  <c r="AU15" i="26"/>
  <c r="T19" i="26"/>
  <c r="AQ19" i="26"/>
  <c r="BC20" i="26"/>
  <c r="AY20" i="26"/>
  <c r="W20" i="26"/>
  <c r="AO20" i="26"/>
  <c r="AQ20" i="26"/>
  <c r="AQ23" i="26"/>
  <c r="AA24" i="26"/>
  <c r="Y29" i="26"/>
  <c r="AD32" i="26"/>
  <c r="BK32" i="26"/>
  <c r="AA59" i="26"/>
  <c r="BG59" i="26"/>
  <c r="BE75" i="26"/>
  <c r="AQ78" i="26"/>
  <c r="AO86" i="26"/>
  <c r="AD59" i="26"/>
  <c r="BI59" i="26"/>
  <c r="AS86" i="26"/>
  <c r="T32" i="26"/>
  <c r="AQ32" i="26"/>
  <c r="AE59" i="26"/>
  <c r="BK59" i="26"/>
  <c r="BC86" i="26"/>
  <c r="V32" i="26"/>
  <c r="AS32" i="26"/>
  <c r="AD36" i="26"/>
  <c r="BK36" i="26"/>
  <c r="T59" i="26"/>
  <c r="AO59" i="26"/>
  <c r="AA61" i="26"/>
  <c r="BE61" i="26"/>
  <c r="AS65" i="26"/>
  <c r="AC67" i="26"/>
  <c r="BG67" i="26"/>
  <c r="AB69" i="26"/>
  <c r="BI69" i="26"/>
  <c r="X71" i="26"/>
  <c r="AW71" i="26"/>
  <c r="T72" i="26"/>
  <c r="AC74" i="26"/>
  <c r="AC77" i="26"/>
  <c r="BE77" i="26"/>
  <c r="U78" i="26"/>
  <c r="BG78" i="26"/>
  <c r="Z80" i="26"/>
  <c r="BI80" i="26"/>
  <c r="Y82" i="26"/>
  <c r="T86" i="26"/>
  <c r="BE86" i="26"/>
  <c r="U59" i="26"/>
  <c r="AQ59" i="26"/>
  <c r="AC61" i="26"/>
  <c r="BG61" i="26"/>
  <c r="AY65" i="26"/>
  <c r="AC66" i="26"/>
  <c r="AD67" i="26"/>
  <c r="BI67" i="26"/>
  <c r="AC69" i="26"/>
  <c r="Y71" i="26"/>
  <c r="AY71" i="26"/>
  <c r="U72" i="26"/>
  <c r="AD74" i="26"/>
  <c r="U75" i="26"/>
  <c r="AD77" i="26"/>
  <c r="BG77" i="26"/>
  <c r="V78" i="26"/>
  <c r="BI78" i="26"/>
  <c r="AC80" i="26"/>
  <c r="BK80" i="26"/>
  <c r="U86" i="26"/>
  <c r="BG86" i="26"/>
  <c r="AQ89" i="26"/>
  <c r="X32" i="26"/>
  <c r="AW32" i="26"/>
  <c r="V59" i="26"/>
  <c r="AS59" i="26"/>
  <c r="AD61" i="26"/>
  <c r="BK61" i="26"/>
  <c r="AO69" i="26"/>
  <c r="AE72" i="26"/>
  <c r="W75" i="26"/>
  <c r="W78" i="26"/>
  <c r="BK78" i="26"/>
  <c r="V86" i="26"/>
  <c r="BI86" i="26"/>
  <c r="AS89" i="26"/>
  <c r="Y32" i="26"/>
  <c r="AY32" i="26"/>
  <c r="AY55" i="26"/>
  <c r="W59" i="26"/>
  <c r="AU59" i="26"/>
  <c r="AE61" i="26"/>
  <c r="AQ69" i="26"/>
  <c r="AA71" i="26"/>
  <c r="BE71" i="26"/>
  <c r="AS72" i="26"/>
  <c r="BA74" i="26"/>
  <c r="AA75" i="26"/>
  <c r="X78" i="26"/>
  <c r="AO80" i="26"/>
  <c r="X86" i="26"/>
  <c r="Z87" i="26"/>
  <c r="AY87" i="26"/>
  <c r="U89" i="26"/>
  <c r="AU89" i="26"/>
  <c r="Z32" i="26"/>
  <c r="BC32" i="26"/>
  <c r="V36" i="26"/>
  <c r="BA55" i="26"/>
  <c r="AD58" i="26"/>
  <c r="BI58" i="26"/>
  <c r="X59" i="26"/>
  <c r="AW59" i="26"/>
  <c r="T61" i="26"/>
  <c r="AQ61" i="26"/>
  <c r="BA66" i="26"/>
  <c r="V67" i="26"/>
  <c r="AQ67" i="26"/>
  <c r="U69" i="26"/>
  <c r="AS69" i="26"/>
  <c r="AC71" i="26"/>
  <c r="BG71" i="26"/>
  <c r="BC74" i="26"/>
  <c r="AB75" i="26"/>
  <c r="V77" i="26"/>
  <c r="AQ77" i="26"/>
  <c r="AD78" i="26"/>
  <c r="AQ80" i="26"/>
  <c r="AC86" i="26"/>
  <c r="V89" i="26"/>
  <c r="AY89" i="26"/>
  <c r="AA32" i="26"/>
  <c r="BE32" i="26"/>
  <c r="U55" i="26"/>
  <c r="Y59" i="26"/>
  <c r="AY59" i="26"/>
  <c r="U61" i="26"/>
  <c r="AS61" i="26"/>
  <c r="W67" i="26"/>
  <c r="AU67" i="26"/>
  <c r="V69" i="26"/>
  <c r="AD71" i="26"/>
  <c r="BK71" i="26"/>
  <c r="T74" i="26"/>
  <c r="BE74" i="26"/>
  <c r="AC75" i="26"/>
  <c r="AE78" i="26"/>
  <c r="T80" i="26"/>
  <c r="AS80" i="26"/>
  <c r="T84" i="26"/>
  <c r="AD86" i="26"/>
  <c r="AC87" i="26"/>
  <c r="BE87" i="26"/>
  <c r="W89" i="26"/>
  <c r="BG89" i="26"/>
  <c r="BD6" i="24"/>
  <c r="AA6" i="24"/>
  <c r="AT6" i="24"/>
  <c r="BJ5" i="24"/>
  <c r="BL5" i="24"/>
  <c r="AV6" i="24"/>
  <c r="X5" i="24"/>
  <c r="AZ6" i="24"/>
  <c r="AR5" i="24"/>
  <c r="Y6" i="24"/>
  <c r="AT5" i="24"/>
  <c r="Z6" i="24"/>
  <c r="Z5" i="24"/>
  <c r="AV5" i="24"/>
  <c r="AX5" i="24"/>
  <c r="AC6" i="24"/>
  <c r="AU6" i="26"/>
  <c r="Y6" i="26"/>
  <c r="AS6" i="26"/>
  <c r="X6" i="26"/>
  <c r="BK6" i="26"/>
  <c r="AQ6" i="26"/>
  <c r="W6" i="26"/>
  <c r="BE6" i="26"/>
  <c r="AD6" i="26"/>
  <c r="T6" i="26"/>
  <c r="AU16" i="26"/>
  <c r="Y16" i="26"/>
  <c r="AS16" i="26"/>
  <c r="X16" i="26"/>
  <c r="BK16" i="26"/>
  <c r="AQ16" i="26"/>
  <c r="W16" i="26"/>
  <c r="BI16" i="26"/>
  <c r="AO16" i="26"/>
  <c r="V16" i="26"/>
  <c r="BG16" i="26"/>
  <c r="AE16" i="26"/>
  <c r="U16" i="26"/>
  <c r="BE16" i="26"/>
  <c r="AD16" i="26"/>
  <c r="T16" i="26"/>
  <c r="AS5" i="26"/>
  <c r="X5" i="26"/>
  <c r="BK5" i="26"/>
  <c r="AQ5" i="26"/>
  <c r="W5" i="26"/>
  <c r="BI5" i="26"/>
  <c r="AO5" i="26"/>
  <c r="V5" i="26"/>
  <c r="BC5" i="26"/>
  <c r="AC5" i="26"/>
  <c r="AU5" i="26"/>
  <c r="AY6" i="26"/>
  <c r="AW5" i="26"/>
  <c r="U6" i="26"/>
  <c r="BA6" i="26"/>
  <c r="Z16" i="26"/>
  <c r="AW17" i="26"/>
  <c r="Z17" i="26"/>
  <c r="AU17" i="26"/>
  <c r="Y17" i="26"/>
  <c r="AS17" i="26"/>
  <c r="X17" i="26"/>
  <c r="BK17" i="26"/>
  <c r="AQ17" i="26"/>
  <c r="W17" i="26"/>
  <c r="BI17" i="26"/>
  <c r="AO17" i="26"/>
  <c r="V17" i="26"/>
  <c r="BG17" i="26"/>
  <c r="AE17" i="26"/>
  <c r="U17" i="26"/>
  <c r="BE17" i="26"/>
  <c r="BC6" i="26"/>
  <c r="U5" i="26"/>
  <c r="BA5" i="26"/>
  <c r="Z6" i="26"/>
  <c r="BG6" i="26"/>
  <c r="BI13" i="26"/>
  <c r="AO13" i="26"/>
  <c r="V13" i="26"/>
  <c r="BG13" i="26"/>
  <c r="AE13" i="26"/>
  <c r="U13" i="26"/>
  <c r="BE13" i="26"/>
  <c r="AD13" i="26"/>
  <c r="T13" i="26"/>
  <c r="BA13" i="26"/>
  <c r="AY13" i="26"/>
  <c r="AA13" i="26"/>
  <c r="AU13" i="26"/>
  <c r="AB16" i="26"/>
  <c r="AY28" i="26"/>
  <c r="AA28" i="26"/>
  <c r="AW28" i="26"/>
  <c r="Z28" i="26"/>
  <c r="AU28" i="26"/>
  <c r="Y28" i="26"/>
  <c r="AS28" i="26"/>
  <c r="X28" i="26"/>
  <c r="BK28" i="26"/>
  <c r="AQ28" i="26"/>
  <c r="W28" i="26"/>
  <c r="BI28" i="26"/>
  <c r="AO28" i="26"/>
  <c r="V28" i="26"/>
  <c r="AE28" i="26"/>
  <c r="BG28" i="26"/>
  <c r="U28" i="26"/>
  <c r="AA16" i="26"/>
  <c r="Y5" i="26"/>
  <c r="BE5" i="26"/>
  <c r="AA6" i="26"/>
  <c r="BI6" i="26"/>
  <c r="BG12" i="26"/>
  <c r="AE12" i="26"/>
  <c r="U12" i="26"/>
  <c r="BE12" i="26"/>
  <c r="AD12" i="26"/>
  <c r="T12" i="26"/>
  <c r="BC12" i="26"/>
  <c r="AC12" i="26"/>
  <c r="AW12" i="26"/>
  <c r="Z12" i="26"/>
  <c r="AS12" i="26"/>
  <c r="AW13" i="26"/>
  <c r="AS15" i="26"/>
  <c r="X15" i="26"/>
  <c r="BK15" i="26"/>
  <c r="AQ15" i="26"/>
  <c r="W15" i="26"/>
  <c r="BI15" i="26"/>
  <c r="AO15" i="26"/>
  <c r="V15" i="26"/>
  <c r="BG15" i="26"/>
  <c r="BE15" i="26"/>
  <c r="AD15" i="26"/>
  <c r="T15" i="26"/>
  <c r="BC15" i="26"/>
  <c r="AC15" i="26"/>
  <c r="AY15" i="26"/>
  <c r="AC16" i="26"/>
  <c r="AY18" i="26"/>
  <c r="AA18" i="26"/>
  <c r="AW18" i="26"/>
  <c r="Z18" i="26"/>
  <c r="AU18" i="26"/>
  <c r="Y18" i="26"/>
  <c r="AS18" i="26"/>
  <c r="X18" i="26"/>
  <c r="BK18" i="26"/>
  <c r="AQ18" i="26"/>
  <c r="W18" i="26"/>
  <c r="BI18" i="26"/>
  <c r="AO18" i="26"/>
  <c r="V18" i="26"/>
  <c r="BE18" i="26"/>
  <c r="V6" i="26"/>
  <c r="AU12" i="26"/>
  <c r="W13" i="26"/>
  <c r="BC13" i="26"/>
  <c r="BA15" i="26"/>
  <c r="AW16" i="26"/>
  <c r="AB17" i="26"/>
  <c r="BG18" i="26"/>
  <c r="T28" i="26"/>
  <c r="D93" i="26"/>
  <c r="I5" i="11" s="1"/>
  <c r="AW6" i="26"/>
  <c r="Z5" i="26"/>
  <c r="BG5" i="26"/>
  <c r="AB6" i="26"/>
  <c r="AA5" i="26"/>
  <c r="AC6" i="26"/>
  <c r="AY8" i="26"/>
  <c r="AA8" i="26"/>
  <c r="AW8" i="26"/>
  <c r="Z8" i="26"/>
  <c r="AU8" i="26"/>
  <c r="Y8" i="26"/>
  <c r="BI8" i="26"/>
  <c r="AO8" i="26"/>
  <c r="V8" i="26"/>
  <c r="AQ8" i="26"/>
  <c r="V12" i="26"/>
  <c r="AY12" i="26"/>
  <c r="X13" i="26"/>
  <c r="BK13" i="26"/>
  <c r="U15" i="26"/>
  <c r="AY16" i="26"/>
  <c r="AC17" i="26"/>
  <c r="T18" i="26"/>
  <c r="AB28" i="26"/>
  <c r="AB5" i="26"/>
  <c r="AE6" i="26"/>
  <c r="AW7" i="26"/>
  <c r="Z7" i="26"/>
  <c r="AU7" i="26"/>
  <c r="Y7" i="26"/>
  <c r="AS7" i="26"/>
  <c r="X7" i="26"/>
  <c r="BG7" i="26"/>
  <c r="AE7" i="26"/>
  <c r="U7" i="26"/>
  <c r="AQ7" i="26"/>
  <c r="W12" i="26"/>
  <c r="BA12" i="26"/>
  <c r="Y13" i="26"/>
  <c r="Y15" i="26"/>
  <c r="BA16" i="26"/>
  <c r="AD17" i="26"/>
  <c r="U18" i="26"/>
  <c r="AC28" i="26"/>
  <c r="AU35" i="26"/>
  <c r="Y35" i="26"/>
  <c r="AC35" i="26"/>
  <c r="BE35" i="26"/>
  <c r="BI42" i="26"/>
  <c r="AO42" i="26"/>
  <c r="V42" i="26"/>
  <c r="BG42" i="26"/>
  <c r="AE42" i="26"/>
  <c r="U42" i="26"/>
  <c r="BC42" i="26"/>
  <c r="AC42" i="26"/>
  <c r="AQ42" i="26"/>
  <c r="AS73" i="26"/>
  <c r="X73" i="26"/>
  <c r="BK73" i="26"/>
  <c r="AQ73" i="26"/>
  <c r="W73" i="26"/>
  <c r="BI73" i="26"/>
  <c r="AO73" i="26"/>
  <c r="V73" i="26"/>
  <c r="BE73" i="26"/>
  <c r="AD73" i="26"/>
  <c r="T73" i="26"/>
  <c r="AE73" i="26"/>
  <c r="AC73" i="26"/>
  <c r="AB73" i="26"/>
  <c r="AA73" i="26"/>
  <c r="BG73" i="26"/>
  <c r="Z73" i="26"/>
  <c r="BC73" i="26"/>
  <c r="Y73" i="26"/>
  <c r="AU73" i="26"/>
  <c r="X10" i="26"/>
  <c r="AS10" i="26"/>
  <c r="Y11" i="26"/>
  <c r="AU11" i="26"/>
  <c r="AB14" i="26"/>
  <c r="BA14" i="26"/>
  <c r="X20" i="26"/>
  <c r="AS20" i="26"/>
  <c r="Y21" i="26"/>
  <c r="AU21" i="26"/>
  <c r="AA23" i="26"/>
  <c r="AY23" i="26"/>
  <c r="AB24" i="26"/>
  <c r="BA24" i="26"/>
  <c r="AD35" i="26"/>
  <c r="BG35" i="26"/>
  <c r="AS42" i="26"/>
  <c r="BG60" i="26"/>
  <c r="BE60" i="26"/>
  <c r="AD60" i="26"/>
  <c r="T60" i="26"/>
  <c r="BC60" i="26"/>
  <c r="AC60" i="26"/>
  <c r="AY60" i="26"/>
  <c r="AA60" i="26"/>
  <c r="AU60" i="26"/>
  <c r="Y60" i="26"/>
  <c r="AQ60" i="26"/>
  <c r="AW85" i="26"/>
  <c r="Z85" i="26"/>
  <c r="AU85" i="26"/>
  <c r="Y85" i="26"/>
  <c r="AS85" i="26"/>
  <c r="X85" i="26"/>
  <c r="BK85" i="26"/>
  <c r="AQ85" i="26"/>
  <c r="W85" i="26"/>
  <c r="BI85" i="26"/>
  <c r="AO85" i="26"/>
  <c r="V85" i="26"/>
  <c r="AY85" i="26"/>
  <c r="AA85" i="26"/>
  <c r="AE85" i="26"/>
  <c r="AD85" i="26"/>
  <c r="AC85" i="26"/>
  <c r="AB85" i="26"/>
  <c r="U85" i="26"/>
  <c r="T85" i="26"/>
  <c r="BA85" i="26"/>
  <c r="AB23" i="26"/>
  <c r="BA23" i="26"/>
  <c r="T35" i="26"/>
  <c r="AE35" i="26"/>
  <c r="BI35" i="26"/>
  <c r="T42" i="26"/>
  <c r="AU42" i="26"/>
  <c r="AU45" i="26"/>
  <c r="Y45" i="26"/>
  <c r="AS45" i="26"/>
  <c r="X45" i="26"/>
  <c r="BI45" i="26"/>
  <c r="AO45" i="26"/>
  <c r="V45" i="26"/>
  <c r="BE45" i="26"/>
  <c r="AD45" i="26"/>
  <c r="AQ45" i="26"/>
  <c r="U73" i="26"/>
  <c r="AA21" i="26"/>
  <c r="AY21" i="26"/>
  <c r="AC23" i="26"/>
  <c r="BC23" i="26"/>
  <c r="AB32" i="26"/>
  <c r="BA32" i="26"/>
  <c r="U35" i="26"/>
  <c r="AO35" i="26"/>
  <c r="BK35" i="26"/>
  <c r="W42" i="26"/>
  <c r="AW42" i="26"/>
  <c r="AW45" i="26"/>
  <c r="U60" i="26"/>
  <c r="AW60" i="26"/>
  <c r="AW65" i="26"/>
  <c r="Z65" i="26"/>
  <c r="BI65" i="26"/>
  <c r="AO65" i="26"/>
  <c r="V65" i="26"/>
  <c r="BG65" i="26"/>
  <c r="AC65" i="26"/>
  <c r="BE65" i="26"/>
  <c r="AB65" i="26"/>
  <c r="BC65" i="26"/>
  <c r="AA65" i="26"/>
  <c r="BA65" i="26"/>
  <c r="Y65" i="26"/>
  <c r="AU65" i="26"/>
  <c r="W65" i="26"/>
  <c r="BK65" i="26"/>
  <c r="AW73" i="26"/>
  <c r="BC85" i="26"/>
  <c r="AB11" i="26"/>
  <c r="BA11" i="26"/>
  <c r="AB21" i="26"/>
  <c r="BA21" i="26"/>
  <c r="T23" i="26"/>
  <c r="AD23" i="26"/>
  <c r="BE23" i="26"/>
  <c r="V35" i="26"/>
  <c r="AQ35" i="26"/>
  <c r="X42" i="26"/>
  <c r="AY42" i="26"/>
  <c r="T45" i="26"/>
  <c r="AY45" i="26"/>
  <c r="V60" i="26"/>
  <c r="BA60" i="26"/>
  <c r="AS63" i="26"/>
  <c r="X63" i="26"/>
  <c r="BE63" i="26"/>
  <c r="AD63" i="26"/>
  <c r="T63" i="26"/>
  <c r="BA63" i="26"/>
  <c r="Z63" i="26"/>
  <c r="AY63" i="26"/>
  <c r="Y63" i="26"/>
  <c r="AW63" i="26"/>
  <c r="W63" i="26"/>
  <c r="AU63" i="26"/>
  <c r="V63" i="26"/>
  <c r="AO63" i="26"/>
  <c r="BI63" i="26"/>
  <c r="AY73" i="26"/>
  <c r="BE85" i="26"/>
  <c r="AB10" i="26"/>
  <c r="BA10" i="26"/>
  <c r="AC11" i="26"/>
  <c r="BC11" i="26"/>
  <c r="AB20" i="26"/>
  <c r="BA20" i="26"/>
  <c r="AC21" i="26"/>
  <c r="BC21" i="26"/>
  <c r="U23" i="26"/>
  <c r="AE23" i="26"/>
  <c r="BG23" i="26"/>
  <c r="AO24" i="26"/>
  <c r="BI24" i="26"/>
  <c r="W35" i="26"/>
  <c r="AS35" i="26"/>
  <c r="Y42" i="26"/>
  <c r="BA42" i="26"/>
  <c r="U45" i="26"/>
  <c r="BA45" i="26"/>
  <c r="W60" i="26"/>
  <c r="BI60" i="26"/>
  <c r="BA73" i="26"/>
  <c r="BG85" i="26"/>
  <c r="AB9" i="26"/>
  <c r="AC10" i="26"/>
  <c r="T11" i="26"/>
  <c r="AD11" i="26"/>
  <c r="W14" i="26"/>
  <c r="AQ14" i="26"/>
  <c r="AB19" i="26"/>
  <c r="AC20" i="26"/>
  <c r="T21" i="26"/>
  <c r="AD21" i="26"/>
  <c r="V23" i="26"/>
  <c r="AO23" i="26"/>
  <c r="W24" i="26"/>
  <c r="AQ24" i="26"/>
  <c r="AB29" i="26"/>
  <c r="U32" i="26"/>
  <c r="AE32" i="26"/>
  <c r="X35" i="26"/>
  <c r="AW35" i="26"/>
  <c r="AW36" i="26"/>
  <c r="Z36" i="26"/>
  <c r="AU36" i="26"/>
  <c r="AC36" i="26"/>
  <c r="BG36" i="26"/>
  <c r="Z42" i="26"/>
  <c r="BE42" i="26"/>
  <c r="W45" i="26"/>
  <c r="BC45" i="26"/>
  <c r="AU55" i="26"/>
  <c r="Y55" i="26"/>
  <c r="AS55" i="26"/>
  <c r="X55" i="26"/>
  <c r="BI55" i="26"/>
  <c r="AO55" i="26"/>
  <c r="V55" i="26"/>
  <c r="BE55" i="26"/>
  <c r="AD55" i="26"/>
  <c r="T55" i="26"/>
  <c r="AW55" i="26"/>
  <c r="X60" i="26"/>
  <c r="BK60" i="26"/>
  <c r="U63" i="26"/>
  <c r="U65" i="26"/>
  <c r="BG70" i="26"/>
  <c r="AE70" i="26"/>
  <c r="U70" i="26"/>
  <c r="AY70" i="26"/>
  <c r="AA70" i="26"/>
  <c r="BC70" i="26"/>
  <c r="Z70" i="26"/>
  <c r="BA70" i="26"/>
  <c r="Y70" i="26"/>
  <c r="AW70" i="26"/>
  <c r="X70" i="26"/>
  <c r="AU70" i="26"/>
  <c r="W70" i="26"/>
  <c r="AS70" i="26"/>
  <c r="V70" i="26"/>
  <c r="AQ70" i="26"/>
  <c r="T70" i="26"/>
  <c r="BK72" i="26"/>
  <c r="AQ72" i="26"/>
  <c r="W72" i="26"/>
  <c r="BI72" i="26"/>
  <c r="AO72" i="26"/>
  <c r="BG72" i="26"/>
  <c r="BC72" i="26"/>
  <c r="AC72" i="26"/>
  <c r="AD72" i="26"/>
  <c r="BK82" i="26"/>
  <c r="AQ82" i="26"/>
  <c r="W82" i="26"/>
  <c r="BI82" i="26"/>
  <c r="AO82" i="26"/>
  <c r="V82" i="26"/>
  <c r="BG82" i="26"/>
  <c r="AE82" i="26"/>
  <c r="U82" i="26"/>
  <c r="BE82" i="26"/>
  <c r="AD82" i="26"/>
  <c r="T82" i="26"/>
  <c r="BC82" i="26"/>
  <c r="AC82" i="26"/>
  <c r="AY82" i="26"/>
  <c r="AY66" i="26"/>
  <c r="AA66" i="26"/>
  <c r="BK66" i="26"/>
  <c r="AQ66" i="26"/>
  <c r="W66" i="26"/>
  <c r="AD66" i="26"/>
  <c r="BI66" i="26"/>
  <c r="BC68" i="26"/>
  <c r="AC68" i="26"/>
  <c r="AU68" i="26"/>
  <c r="Y68" i="26"/>
  <c r="AD68" i="26"/>
  <c r="BI68" i="26"/>
  <c r="V72" i="26"/>
  <c r="AW72" i="26"/>
  <c r="AY76" i="26"/>
  <c r="AA76" i="26"/>
  <c r="AW76" i="26"/>
  <c r="Z76" i="26"/>
  <c r="AU76" i="26"/>
  <c r="Y76" i="26"/>
  <c r="AS76" i="26"/>
  <c r="X76" i="26"/>
  <c r="BK76" i="26"/>
  <c r="AQ76" i="26"/>
  <c r="W76" i="26"/>
  <c r="BA76" i="26"/>
  <c r="Z82" i="26"/>
  <c r="X72" i="26"/>
  <c r="AY72" i="26"/>
  <c r="AA82" i="26"/>
  <c r="AS83" i="26"/>
  <c r="X83" i="26"/>
  <c r="BK83" i="26"/>
  <c r="AQ83" i="26"/>
  <c r="W83" i="26"/>
  <c r="BI83" i="26"/>
  <c r="AO83" i="26"/>
  <c r="V83" i="26"/>
  <c r="BG83" i="26"/>
  <c r="AE83" i="26"/>
  <c r="U83" i="26"/>
  <c r="BE83" i="26"/>
  <c r="AD83" i="26"/>
  <c r="T83" i="26"/>
  <c r="AU83" i="26"/>
  <c r="BC83" i="26"/>
  <c r="AB51" i="26"/>
  <c r="BA51" i="26"/>
  <c r="T66" i="26"/>
  <c r="AO66" i="26"/>
  <c r="T68" i="26"/>
  <c r="AO68" i="26"/>
  <c r="Y72" i="26"/>
  <c r="BA72" i="26"/>
  <c r="T76" i="26"/>
  <c r="BE76" i="26"/>
  <c r="AB82" i="26"/>
  <c r="Z72" i="26"/>
  <c r="BE72" i="26"/>
  <c r="AW75" i="26"/>
  <c r="Z75" i="26"/>
  <c r="AU75" i="26"/>
  <c r="Y75" i="26"/>
  <c r="AS75" i="26"/>
  <c r="X75" i="26"/>
  <c r="BK75" i="26"/>
  <c r="AQ75" i="26"/>
  <c r="BI75" i="26"/>
  <c r="AO75" i="26"/>
  <c r="V75" i="26"/>
  <c r="AY75" i="26"/>
  <c r="U76" i="26"/>
  <c r="BG76" i="26"/>
  <c r="AS82" i="26"/>
  <c r="Y83" i="26"/>
  <c r="T51" i="26"/>
  <c r="AD51" i="26"/>
  <c r="BE51" i="26"/>
  <c r="AA58" i="26"/>
  <c r="AY58" i="26"/>
  <c r="AB59" i="26"/>
  <c r="BA59" i="26"/>
  <c r="AB62" i="26"/>
  <c r="V66" i="26"/>
  <c r="AU66" i="26"/>
  <c r="V68" i="26"/>
  <c r="AS68" i="26"/>
  <c r="BE69" i="26"/>
  <c r="AD69" i="26"/>
  <c r="T69" i="26"/>
  <c r="AW69" i="26"/>
  <c r="Z69" i="26"/>
  <c r="AE69" i="26"/>
  <c r="BK69" i="26"/>
  <c r="AA72" i="26"/>
  <c r="BA75" i="26"/>
  <c r="V76" i="26"/>
  <c r="BI76" i="26"/>
  <c r="AU82" i="26"/>
  <c r="Z83" i="26"/>
  <c r="U51" i="26"/>
  <c r="AE51" i="26"/>
  <c r="AB58" i="26"/>
  <c r="AC59" i="26"/>
  <c r="BK62" i="26"/>
  <c r="AQ62" i="26"/>
  <c r="W62" i="26"/>
  <c r="BC62" i="26"/>
  <c r="AC62" i="26"/>
  <c r="AD62" i="26"/>
  <c r="BI62" i="26"/>
  <c r="X66" i="26"/>
  <c r="AW66" i="26"/>
  <c r="W68" i="26"/>
  <c r="AW68" i="26"/>
  <c r="AB72" i="26"/>
  <c r="AU74" i="26"/>
  <c r="Y74" i="26"/>
  <c r="AS74" i="26"/>
  <c r="X74" i="26"/>
  <c r="BK74" i="26"/>
  <c r="AQ74" i="26"/>
  <c r="W74" i="26"/>
  <c r="BG74" i="26"/>
  <c r="AE74" i="26"/>
  <c r="U74" i="26"/>
  <c r="AW74" i="26"/>
  <c r="T75" i="26"/>
  <c r="BC75" i="26"/>
  <c r="AB76" i="26"/>
  <c r="AW82" i="26"/>
  <c r="AA83" i="26"/>
  <c r="AU84" i="26"/>
  <c r="Y84" i="26"/>
  <c r="AS84" i="26"/>
  <c r="X84" i="26"/>
  <c r="BK84" i="26"/>
  <c r="AQ84" i="26"/>
  <c r="W84" i="26"/>
  <c r="BI84" i="26"/>
  <c r="AO84" i="26"/>
  <c r="V84" i="26"/>
  <c r="BG84" i="26"/>
  <c r="AE84" i="26"/>
  <c r="U84" i="26"/>
  <c r="AW84" i="26"/>
  <c r="Z84" i="26"/>
  <c r="BE84" i="26"/>
  <c r="AB86" i="26"/>
  <c r="BA86" i="26"/>
  <c r="AB61" i="26"/>
  <c r="BA61" i="26"/>
  <c r="AS67" i="26"/>
  <c r="AB71" i="26"/>
  <c r="BA71" i="26"/>
  <c r="Y78" i="26"/>
  <c r="AU78" i="26"/>
  <c r="AA80" i="26"/>
  <c r="AY80" i="26"/>
  <c r="W86" i="26"/>
  <c r="AQ86" i="26"/>
  <c r="BK86" i="26"/>
  <c r="Z89" i="26"/>
  <c r="AW89" i="26"/>
  <c r="Z78" i="26"/>
  <c r="AW78" i="26"/>
  <c r="AB80" i="26"/>
  <c r="BA80" i="26"/>
  <c r="AA78" i="26"/>
  <c r="AY78" i="26"/>
  <c r="Y86" i="26"/>
  <c r="AU86" i="26"/>
  <c r="AB89" i="26"/>
  <c r="BA89" i="26"/>
  <c r="AB78" i="26"/>
  <c r="BA78" i="26"/>
  <c r="Z86" i="26"/>
  <c r="AW86" i="26"/>
  <c r="AC89" i="26"/>
  <c r="BC89" i="26"/>
  <c r="V61" i="26"/>
  <c r="AO61" i="26"/>
  <c r="AB67" i="26"/>
  <c r="V71" i="26"/>
  <c r="AO71" i="26"/>
  <c r="AB77" i="26"/>
  <c r="AC78" i="26"/>
  <c r="U80" i="26"/>
  <c r="AE80" i="26"/>
  <c r="AA86" i="26"/>
  <c r="AB87" i="26"/>
  <c r="T89" i="26"/>
  <c r="AD89" i="26"/>
  <c r="AZ20" i="24"/>
  <c r="AA20" i="24"/>
  <c r="BH20" i="24"/>
  <c r="T20" i="24"/>
  <c r="AX20" i="24"/>
  <c r="Z20" i="24"/>
  <c r="AV20" i="24"/>
  <c r="Y20" i="24"/>
  <c r="AE20" i="24"/>
  <c r="AT20" i="24"/>
  <c r="X20" i="24"/>
  <c r="U20" i="24"/>
  <c r="BL20" i="24"/>
  <c r="AR20" i="24"/>
  <c r="W20" i="24"/>
  <c r="BF20" i="24"/>
  <c r="BJ20" i="24"/>
  <c r="AP20" i="24"/>
  <c r="V20" i="24"/>
  <c r="AD20" i="24"/>
  <c r="AZ10" i="24"/>
  <c r="AA10" i="24"/>
  <c r="AE10" i="24"/>
  <c r="AD10" i="24"/>
  <c r="AX10" i="24"/>
  <c r="Z10" i="24"/>
  <c r="AV10" i="24"/>
  <c r="Y10" i="24"/>
  <c r="AT10" i="24"/>
  <c r="X10" i="24"/>
  <c r="BL10" i="24"/>
  <c r="AR10" i="24"/>
  <c r="W10" i="24"/>
  <c r="U10" i="24"/>
  <c r="T10" i="24"/>
  <c r="BJ10" i="24"/>
  <c r="AP10" i="24"/>
  <c r="V10" i="24"/>
  <c r="BH10" i="24"/>
  <c r="BF10" i="24"/>
  <c r="AB9" i="24"/>
  <c r="BB10" i="24"/>
  <c r="AX19" i="24"/>
  <c r="Z19" i="24"/>
  <c r="AV19" i="24"/>
  <c r="Y19" i="24"/>
  <c r="BF19" i="24"/>
  <c r="BD19" i="24"/>
  <c r="AT19" i="24"/>
  <c r="X19" i="24"/>
  <c r="BL19" i="24"/>
  <c r="AR19" i="24"/>
  <c r="W19" i="24"/>
  <c r="T19" i="24"/>
  <c r="AC19" i="24"/>
  <c r="BJ19" i="24"/>
  <c r="AP19" i="24"/>
  <c r="V19" i="24"/>
  <c r="BH19" i="24"/>
  <c r="AE19" i="24"/>
  <c r="U19" i="24"/>
  <c r="AD19" i="24"/>
  <c r="AC10" i="24"/>
  <c r="AZ9" i="24"/>
  <c r="BD10" i="24"/>
  <c r="AB20" i="24"/>
  <c r="AA9" i="24"/>
  <c r="AA19" i="24"/>
  <c r="AC20" i="24"/>
  <c r="AX9" i="24"/>
  <c r="Z9" i="24"/>
  <c r="T9" i="24"/>
  <c r="AV9" i="24"/>
  <c r="Y9" i="24"/>
  <c r="AC9" i="24"/>
  <c r="AT9" i="24"/>
  <c r="X9" i="24"/>
  <c r="BL9" i="24"/>
  <c r="AR9" i="24"/>
  <c r="W9" i="24"/>
  <c r="BF9" i="24"/>
  <c r="BD9" i="24"/>
  <c r="BJ9" i="24"/>
  <c r="AP9" i="24"/>
  <c r="V9" i="24"/>
  <c r="BH9" i="24"/>
  <c r="AE9" i="24"/>
  <c r="U9" i="24"/>
  <c r="AD9" i="24"/>
  <c r="AB19" i="24"/>
  <c r="BB20" i="24"/>
  <c r="AV39" i="24"/>
  <c r="BB8" i="24"/>
  <c r="BB18" i="24"/>
  <c r="AC8" i="24"/>
  <c r="BB17" i="24"/>
  <c r="D103" i="24"/>
  <c r="C5" i="11" s="1"/>
  <c r="AA5" i="24"/>
  <c r="AZ5" i="24"/>
  <c r="AB6" i="24"/>
  <c r="BB6" i="24"/>
  <c r="AC7" i="24"/>
  <c r="BD7" i="24"/>
  <c r="T8" i="24"/>
  <c r="AD8" i="24"/>
  <c r="BF8" i="24"/>
  <c r="AA15" i="24"/>
  <c r="AZ15" i="24"/>
  <c r="AB16" i="24"/>
  <c r="BB16" i="24"/>
  <c r="AC17" i="24"/>
  <c r="BD17" i="24"/>
  <c r="T18" i="24"/>
  <c r="AD18" i="24"/>
  <c r="BF18" i="24"/>
  <c r="AA25" i="24"/>
  <c r="AZ25" i="24"/>
  <c r="AZ26" i="24"/>
  <c r="AA26" i="24"/>
  <c r="AX26" i="24"/>
  <c r="Z26" i="24"/>
  <c r="AD26" i="24"/>
  <c r="BJ26" i="24"/>
  <c r="BJ31" i="24"/>
  <c r="AP31" i="24"/>
  <c r="V31" i="24"/>
  <c r="BH31" i="24"/>
  <c r="AE31" i="24"/>
  <c r="U31" i="24"/>
  <c r="BD31" i="24"/>
  <c r="AC31" i="24"/>
  <c r="AR31" i="24"/>
  <c r="V39" i="24"/>
  <c r="T45" i="24"/>
  <c r="BF45" i="24"/>
  <c r="AA49" i="24"/>
  <c r="AB8" i="24"/>
  <c r="BF39" i="24"/>
  <c r="AD39" i="24"/>
  <c r="T39" i="24"/>
  <c r="BD39" i="24"/>
  <c r="AC39" i="24"/>
  <c r="AZ39" i="24"/>
  <c r="AA39" i="24"/>
  <c r="BH39" i="24"/>
  <c r="AE39" i="24"/>
  <c r="U39" i="24"/>
  <c r="BB45" i="24"/>
  <c r="BB7" i="24"/>
  <c r="AC18" i="24"/>
  <c r="Z49" i="24"/>
  <c r="AB5" i="24"/>
  <c r="BB5" i="24"/>
  <c r="T7" i="24"/>
  <c r="AD7" i="24"/>
  <c r="BF7" i="24"/>
  <c r="U8" i="24"/>
  <c r="AE8" i="24"/>
  <c r="BH8" i="24"/>
  <c r="AB15" i="24"/>
  <c r="BB15" i="24"/>
  <c r="T17" i="24"/>
  <c r="AD17" i="24"/>
  <c r="BF17" i="24"/>
  <c r="U18" i="24"/>
  <c r="AE18" i="24"/>
  <c r="BH18" i="24"/>
  <c r="AB25" i="24"/>
  <c r="BB25" i="24"/>
  <c r="AT33" i="24"/>
  <c r="X33" i="24"/>
  <c r="BL33" i="24"/>
  <c r="AR33" i="24"/>
  <c r="W33" i="24"/>
  <c r="BH33" i="24"/>
  <c r="AE33" i="24"/>
  <c r="U33" i="24"/>
  <c r="AP33" i="24"/>
  <c r="W39" i="24"/>
  <c r="BB39" i="24"/>
  <c r="U45" i="24"/>
  <c r="AB49" i="24"/>
  <c r="AX45" i="24"/>
  <c r="Z45" i="24"/>
  <c r="AV45" i="24"/>
  <c r="Y45" i="24"/>
  <c r="BL45" i="24"/>
  <c r="AR45" i="24"/>
  <c r="W45" i="24"/>
  <c r="BJ45" i="24"/>
  <c r="AP45" i="24"/>
  <c r="V45" i="24"/>
  <c r="AZ45" i="24"/>
  <c r="AA45" i="24"/>
  <c r="BD45" i="24"/>
  <c r="BH70" i="24"/>
  <c r="BF70" i="24"/>
  <c r="AD70" i="24"/>
  <c r="AT70" i="24"/>
  <c r="W70" i="24"/>
  <c r="AR70" i="24"/>
  <c r="V70" i="24"/>
  <c r="AP70" i="24"/>
  <c r="U70" i="24"/>
  <c r="BL70" i="24"/>
  <c r="AE70" i="24"/>
  <c r="T70" i="24"/>
  <c r="BB70" i="24"/>
  <c r="AA70" i="24"/>
  <c r="AC70" i="24"/>
  <c r="AB70" i="24"/>
  <c r="Z70" i="24"/>
  <c r="Y70" i="24"/>
  <c r="X70" i="24"/>
  <c r="AV70" i="24"/>
  <c r="R103" i="24"/>
  <c r="AC5" i="24"/>
  <c r="BD5" i="24"/>
  <c r="T6" i="24"/>
  <c r="AD6" i="24"/>
  <c r="BF6" i="24"/>
  <c r="U7" i="24"/>
  <c r="AE7" i="24"/>
  <c r="BH7" i="24"/>
  <c r="V8" i="24"/>
  <c r="AP8" i="24"/>
  <c r="BJ8" i="24"/>
  <c r="AB14" i="24"/>
  <c r="BB14" i="24"/>
  <c r="AC15" i="24"/>
  <c r="BD15" i="24"/>
  <c r="T16" i="24"/>
  <c r="AD16" i="24"/>
  <c r="BF16" i="24"/>
  <c r="U17" i="24"/>
  <c r="AE17" i="24"/>
  <c r="BH17" i="24"/>
  <c r="V18" i="24"/>
  <c r="AP18" i="24"/>
  <c r="BJ18" i="24"/>
  <c r="AC25" i="24"/>
  <c r="BD25" i="24"/>
  <c r="T26" i="24"/>
  <c r="AP26" i="24"/>
  <c r="T31" i="24"/>
  <c r="AV31" i="24"/>
  <c r="AV33" i="24"/>
  <c r="AV34" i="24"/>
  <c r="Y34" i="24"/>
  <c r="AT34" i="24"/>
  <c r="X34" i="24"/>
  <c r="BJ34" i="24"/>
  <c r="AP34" i="24"/>
  <c r="V34" i="24"/>
  <c r="AE34" i="24"/>
  <c r="X39" i="24"/>
  <c r="BJ39" i="24"/>
  <c r="AV44" i="24"/>
  <c r="Y44" i="24"/>
  <c r="AT44" i="24"/>
  <c r="X44" i="24"/>
  <c r="BJ44" i="24"/>
  <c r="AP44" i="24"/>
  <c r="V44" i="24"/>
  <c r="BH44" i="24"/>
  <c r="AE44" i="24"/>
  <c r="U44" i="24"/>
  <c r="AX44" i="24"/>
  <c r="Z44" i="24"/>
  <c r="BB44" i="24"/>
  <c r="X45" i="24"/>
  <c r="AD49" i="24"/>
  <c r="AZ70" i="24"/>
  <c r="AB18" i="24"/>
  <c r="AB7" i="24"/>
  <c r="T5" i="24"/>
  <c r="AD5" i="24"/>
  <c r="BF5" i="24"/>
  <c r="U6" i="24"/>
  <c r="AE6" i="24"/>
  <c r="BH6" i="24"/>
  <c r="V7" i="24"/>
  <c r="AP7" i="24"/>
  <c r="BJ7" i="24"/>
  <c r="W8" i="24"/>
  <c r="AR8" i="24"/>
  <c r="BL8" i="24"/>
  <c r="Z11" i="24"/>
  <c r="AX11" i="24"/>
  <c r="AA12" i="24"/>
  <c r="AZ12" i="24"/>
  <c r="AB13" i="24"/>
  <c r="BB13" i="24"/>
  <c r="AC14" i="24"/>
  <c r="BD14" i="24"/>
  <c r="T15" i="24"/>
  <c r="AD15" i="24"/>
  <c r="BF15" i="24"/>
  <c r="U16" i="24"/>
  <c r="AE16" i="24"/>
  <c r="BH16" i="24"/>
  <c r="V17" i="24"/>
  <c r="AP17" i="24"/>
  <c r="BJ17" i="24"/>
  <c r="W18" i="24"/>
  <c r="AR18" i="24"/>
  <c r="BL18" i="24"/>
  <c r="AB23" i="24"/>
  <c r="BB23" i="24"/>
  <c r="T25" i="24"/>
  <c r="AD25" i="24"/>
  <c r="BF25" i="24"/>
  <c r="U26" i="24"/>
  <c r="AR26" i="24"/>
  <c r="W31" i="24"/>
  <c r="AX31" i="24"/>
  <c r="T33" i="24"/>
  <c r="AX33" i="24"/>
  <c r="AR34" i="24"/>
  <c r="AX35" i="24"/>
  <c r="Z35" i="24"/>
  <c r="AV35" i="24"/>
  <c r="Y35" i="24"/>
  <c r="BL35" i="24"/>
  <c r="AR35" i="24"/>
  <c r="W35" i="24"/>
  <c r="AE35" i="24"/>
  <c r="AD36" i="24"/>
  <c r="Y39" i="24"/>
  <c r="BL39" i="24"/>
  <c r="BD44" i="24"/>
  <c r="AB45" i="24"/>
  <c r="BD70" i="24"/>
  <c r="BH49" i="24"/>
  <c r="AE49" i="24"/>
  <c r="U49" i="24"/>
  <c r="BD49" i="24"/>
  <c r="AC49" i="24"/>
  <c r="AX49" i="24"/>
  <c r="X49" i="24"/>
  <c r="AV49" i="24"/>
  <c r="W49" i="24"/>
  <c r="AT49" i="24"/>
  <c r="V49" i="24"/>
  <c r="AR49" i="24"/>
  <c r="T49" i="24"/>
  <c r="AP49" i="24"/>
  <c r="AZ49" i="24"/>
  <c r="Y49" i="24"/>
  <c r="BD8" i="24"/>
  <c r="U5" i="24"/>
  <c r="AE5" i="24"/>
  <c r="BH5" i="24"/>
  <c r="V6" i="24"/>
  <c r="AP6" i="24"/>
  <c r="BJ6" i="24"/>
  <c r="W7" i="24"/>
  <c r="AR7" i="24"/>
  <c r="BL7" i="24"/>
  <c r="X8" i="24"/>
  <c r="AT8" i="24"/>
  <c r="AB12" i="24"/>
  <c r="BB12" i="24"/>
  <c r="T14" i="24"/>
  <c r="AD14" i="24"/>
  <c r="BF14" i="24"/>
  <c r="U15" i="24"/>
  <c r="AE15" i="24"/>
  <c r="BH15" i="24"/>
  <c r="V16" i="24"/>
  <c r="AP16" i="24"/>
  <c r="BJ16" i="24"/>
  <c r="W17" i="24"/>
  <c r="AR17" i="24"/>
  <c r="BL17" i="24"/>
  <c r="X18" i="24"/>
  <c r="AT18" i="24"/>
  <c r="U25" i="24"/>
  <c r="AE25" i="24"/>
  <c r="BH25" i="24"/>
  <c r="V26" i="24"/>
  <c r="AT26" i="24"/>
  <c r="X31" i="24"/>
  <c r="AZ31" i="24"/>
  <c r="V33" i="24"/>
  <c r="AZ33" i="24"/>
  <c r="T34" i="24"/>
  <c r="AX34" i="24"/>
  <c r="AZ36" i="24"/>
  <c r="AA36" i="24"/>
  <c r="AX36" i="24"/>
  <c r="Z36" i="24"/>
  <c r="AT36" i="24"/>
  <c r="X36" i="24"/>
  <c r="AE36" i="24"/>
  <c r="Z39" i="24"/>
  <c r="AT43" i="24"/>
  <c r="X43" i="24"/>
  <c r="BL43" i="24"/>
  <c r="AR43" i="24"/>
  <c r="W43" i="24"/>
  <c r="BH43" i="24"/>
  <c r="AE43" i="24"/>
  <c r="U43" i="24"/>
  <c r="BF43" i="24"/>
  <c r="AV43" i="24"/>
  <c r="Y43" i="24"/>
  <c r="AX43" i="24"/>
  <c r="T44" i="24"/>
  <c r="BF44" i="24"/>
  <c r="AC45" i="24"/>
  <c r="BF49" i="24"/>
  <c r="BJ70" i="24"/>
  <c r="BD18" i="24"/>
  <c r="V5" i="24"/>
  <c r="AP5" i="24"/>
  <c r="W6" i="24"/>
  <c r="AR6" i="24"/>
  <c r="X7" i="24"/>
  <c r="Y8" i="24"/>
  <c r="AB11" i="24"/>
  <c r="AC12" i="24"/>
  <c r="T13" i="24"/>
  <c r="AD13" i="24"/>
  <c r="U14" i="24"/>
  <c r="AE14" i="24"/>
  <c r="V15" i="24"/>
  <c r="AP15" i="24"/>
  <c r="W16" i="24"/>
  <c r="AR16" i="24"/>
  <c r="X17" i="24"/>
  <c r="Y18" i="24"/>
  <c r="AB21" i="24"/>
  <c r="T23" i="24"/>
  <c r="AD23" i="24"/>
  <c r="V25" i="24"/>
  <c r="AP25" i="24"/>
  <c r="W26" i="24"/>
  <c r="AV26" i="24"/>
  <c r="BF29" i="24"/>
  <c r="AD29" i="24"/>
  <c r="T29" i="24"/>
  <c r="BD29" i="24"/>
  <c r="AC29" i="24"/>
  <c r="AE29" i="24"/>
  <c r="BL29" i="24"/>
  <c r="Y31" i="24"/>
  <c r="BB31" i="24"/>
  <c r="Y33" i="24"/>
  <c r="BB33" i="24"/>
  <c r="U34" i="24"/>
  <c r="AZ34" i="24"/>
  <c r="AP36" i="24"/>
  <c r="AB39" i="24"/>
  <c r="AZ43" i="24"/>
  <c r="W44" i="24"/>
  <c r="BL44" i="24"/>
  <c r="AD45" i="24"/>
  <c r="BJ49" i="24"/>
  <c r="W57" i="24"/>
  <c r="BD57" i="24"/>
  <c r="AC57" i="24"/>
  <c r="AZ57" i="24"/>
  <c r="AA57" i="24"/>
  <c r="AD57" i="24"/>
  <c r="BJ57" i="24"/>
  <c r="AT69" i="24"/>
  <c r="AB30" i="24"/>
  <c r="BB30" i="24"/>
  <c r="AB40" i="24"/>
  <c r="BB40" i="24"/>
  <c r="AE57" i="24"/>
  <c r="BL57" i="24"/>
  <c r="BF79" i="24"/>
  <c r="AD79" i="24"/>
  <c r="T79" i="24"/>
  <c r="BD79" i="24"/>
  <c r="AC79" i="24"/>
  <c r="AZ79" i="24"/>
  <c r="AA79" i="24"/>
  <c r="AX79" i="24"/>
  <c r="W79" i="24"/>
  <c r="AV79" i="24"/>
  <c r="V79" i="24"/>
  <c r="AT79" i="24"/>
  <c r="U79" i="24"/>
  <c r="AR79" i="24"/>
  <c r="BL79" i="24"/>
  <c r="AB79" i="24"/>
  <c r="T57" i="24"/>
  <c r="AP57" i="24"/>
  <c r="BJ69" i="24"/>
  <c r="AP69" i="24"/>
  <c r="V69" i="24"/>
  <c r="BH69" i="24"/>
  <c r="AE69" i="24"/>
  <c r="U69" i="24"/>
  <c r="BF69" i="24"/>
  <c r="AD69" i="24"/>
  <c r="T69" i="24"/>
  <c r="BD69" i="24"/>
  <c r="AC69" i="24"/>
  <c r="AX69" i="24"/>
  <c r="Z69" i="24"/>
  <c r="AZ69" i="24"/>
  <c r="AZ86" i="24"/>
  <c r="AA86" i="24"/>
  <c r="AX86" i="24"/>
  <c r="Z86" i="24"/>
  <c r="AT86" i="24"/>
  <c r="X86" i="24"/>
  <c r="BL86" i="24"/>
  <c r="AR86" i="24"/>
  <c r="W86" i="24"/>
  <c r="BF86" i="24"/>
  <c r="AD86" i="24"/>
  <c r="T86" i="24"/>
  <c r="AE86" i="24"/>
  <c r="AC86" i="24"/>
  <c r="AB86" i="24"/>
  <c r="Y86" i="24"/>
  <c r="BJ86" i="24"/>
  <c r="V86" i="24"/>
  <c r="BD86" i="24"/>
  <c r="AA27" i="24"/>
  <c r="AZ27" i="24"/>
  <c r="AB28" i="24"/>
  <c r="BB28" i="24"/>
  <c r="T30" i="24"/>
  <c r="AD30" i="24"/>
  <c r="BF30" i="24"/>
  <c r="AB38" i="24"/>
  <c r="BB38" i="24"/>
  <c r="T40" i="24"/>
  <c r="AD40" i="24"/>
  <c r="BF40" i="24"/>
  <c r="U57" i="24"/>
  <c r="AR57" i="24"/>
  <c r="BB69" i="24"/>
  <c r="AV74" i="24"/>
  <c r="Y74" i="24"/>
  <c r="AT74" i="24"/>
  <c r="X74" i="24"/>
  <c r="BJ74" i="24"/>
  <c r="AP74" i="24"/>
  <c r="BL74" i="24"/>
  <c r="AC74" i="24"/>
  <c r="BH74" i="24"/>
  <c r="AB74" i="24"/>
  <c r="BF74" i="24"/>
  <c r="AA74" i="24"/>
  <c r="BD74" i="24"/>
  <c r="Z74" i="24"/>
  <c r="AX74" i="24"/>
  <c r="U74" i="24"/>
  <c r="X79" i="24"/>
  <c r="AX95" i="24"/>
  <c r="Z95" i="24"/>
  <c r="AV95" i="24"/>
  <c r="Y95" i="24"/>
  <c r="AT95" i="24"/>
  <c r="X95" i="24"/>
  <c r="BL95" i="24"/>
  <c r="AR95" i="24"/>
  <c r="W95" i="24"/>
  <c r="BJ95" i="24"/>
  <c r="AP95" i="24"/>
  <c r="V95" i="24"/>
  <c r="BD95" i="24"/>
  <c r="AC95" i="24"/>
  <c r="AZ95" i="24"/>
  <c r="AA95" i="24"/>
  <c r="BF95" i="24"/>
  <c r="BB95" i="24"/>
  <c r="AE95" i="24"/>
  <c r="AD95" i="24"/>
  <c r="AB95" i="24"/>
  <c r="T95" i="24"/>
  <c r="AB27" i="24"/>
  <c r="AC28" i="24"/>
  <c r="U30" i="24"/>
  <c r="AE30" i="24"/>
  <c r="AB37" i="24"/>
  <c r="AC38" i="24"/>
  <c r="U40" i="24"/>
  <c r="AE40" i="24"/>
  <c r="V57" i="24"/>
  <c r="AT57" i="24"/>
  <c r="W69" i="24"/>
  <c r="BL69" i="24"/>
  <c r="Y79" i="24"/>
  <c r="AT83" i="24"/>
  <c r="X83" i="24"/>
  <c r="BL83" i="24"/>
  <c r="AR83" i="24"/>
  <c r="W83" i="24"/>
  <c r="BH83" i="24"/>
  <c r="AE83" i="24"/>
  <c r="U83" i="24"/>
  <c r="BF83" i="24"/>
  <c r="AD83" i="24"/>
  <c r="T83" i="24"/>
  <c r="AZ83" i="24"/>
  <c r="AA83" i="24"/>
  <c r="AB83" i="24"/>
  <c r="Z83" i="24"/>
  <c r="Y83" i="24"/>
  <c r="BJ83" i="24"/>
  <c r="V83" i="24"/>
  <c r="BD83" i="24"/>
  <c r="AX83" i="24"/>
  <c r="U86" i="24"/>
  <c r="BL72" i="24"/>
  <c r="AR72" i="24"/>
  <c r="W72" i="24"/>
  <c r="BJ72" i="24"/>
  <c r="AP72" i="24"/>
  <c r="V72" i="24"/>
  <c r="AD72" i="24"/>
  <c r="BL102" i="24"/>
  <c r="AR102" i="24"/>
  <c r="W102" i="24"/>
  <c r="BJ102" i="24"/>
  <c r="AP102" i="24"/>
  <c r="V102" i="24"/>
  <c r="BH102" i="24"/>
  <c r="AE102" i="24"/>
  <c r="U102" i="24"/>
  <c r="BF102" i="24"/>
  <c r="AD102" i="24"/>
  <c r="T102" i="24"/>
  <c r="BD102" i="24"/>
  <c r="AC102" i="24"/>
  <c r="AX102" i="24"/>
  <c r="Z102" i="24"/>
  <c r="AT102" i="24"/>
  <c r="X102" i="24"/>
  <c r="Z46" i="24"/>
  <c r="AX46" i="24"/>
  <c r="AB68" i="24"/>
  <c r="BB68" i="24"/>
  <c r="U72" i="24"/>
  <c r="AV72" i="24"/>
  <c r="AA102" i="24"/>
  <c r="AB102" i="24"/>
  <c r="AB46" i="24"/>
  <c r="T68" i="24"/>
  <c r="AD68" i="24"/>
  <c r="Y72" i="24"/>
  <c r="AZ72" i="24"/>
  <c r="AV102" i="24"/>
  <c r="Z72" i="24"/>
  <c r="BB72" i="24"/>
  <c r="AZ102" i="24"/>
  <c r="BB102" i="24"/>
  <c r="U89" i="24"/>
  <c r="AE89" i="24"/>
  <c r="BH89" i="24"/>
  <c r="Z94" i="24"/>
  <c r="AX94" i="24"/>
  <c r="AB96" i="24"/>
  <c r="BB96" i="24"/>
  <c r="AE99" i="24"/>
  <c r="BH99" i="24"/>
  <c r="BJ100" i="24"/>
  <c r="W101" i="24"/>
  <c r="AR101" i="24"/>
  <c r="BL101" i="24"/>
  <c r="BL89" i="24"/>
  <c r="AB94" i="24"/>
  <c r="BB94" i="24"/>
  <c r="AB81" i="24"/>
  <c r="BB81" i="24"/>
  <c r="Z89" i="24"/>
  <c r="AX89" i="24"/>
  <c r="AB91" i="24"/>
  <c r="BB91" i="24"/>
  <c r="U94" i="24"/>
  <c r="AE94" i="24"/>
  <c r="BH94" i="24"/>
  <c r="AB101" i="24"/>
  <c r="BB101" i="24"/>
  <c r="AC81" i="24"/>
  <c r="BD81" i="24"/>
  <c r="AA89" i="24"/>
  <c r="AZ89" i="24"/>
  <c r="AC91" i="24"/>
  <c r="BD91" i="24"/>
  <c r="V94" i="24"/>
  <c r="AP94" i="24"/>
  <c r="BJ94" i="24"/>
  <c r="AA99" i="24"/>
  <c r="AZ99" i="24"/>
  <c r="AB100" i="24"/>
  <c r="BB100" i="24"/>
  <c r="AC101" i="24"/>
  <c r="BD101" i="24"/>
  <c r="AB89" i="24"/>
  <c r="BB89" i="24"/>
  <c r="AD91" i="24"/>
  <c r="BF91" i="24"/>
  <c r="W94" i="24"/>
  <c r="AR94" i="24"/>
  <c r="BL94" i="24"/>
  <c r="AB99" i="24"/>
  <c r="BB99" i="24"/>
  <c r="AC100" i="24"/>
  <c r="BD100" i="24"/>
  <c r="T101" i="24"/>
  <c r="AD101" i="24"/>
  <c r="BF101" i="24"/>
  <c r="AA77" i="24"/>
  <c r="AZ77" i="24"/>
  <c r="AB78" i="24"/>
  <c r="BB78" i="24"/>
  <c r="U81" i="24"/>
  <c r="AE81" i="24"/>
  <c r="BH81" i="24"/>
  <c r="AA87" i="24"/>
  <c r="AZ87" i="24"/>
  <c r="AB88" i="24"/>
  <c r="BB88" i="24"/>
  <c r="AC89" i="24"/>
  <c r="BD89" i="24"/>
  <c r="U91" i="24"/>
  <c r="AE91" i="24"/>
  <c r="BH91" i="24"/>
  <c r="X94" i="24"/>
  <c r="AT94" i="24"/>
  <c r="Z96" i="24"/>
  <c r="AX96" i="24"/>
  <c r="AB98" i="24"/>
  <c r="BB98" i="24"/>
  <c r="AC99" i="24"/>
  <c r="BD99" i="24"/>
  <c r="T100" i="24"/>
  <c r="AD100" i="24"/>
  <c r="BF100" i="24"/>
  <c r="U101" i="24"/>
  <c r="AE101" i="24"/>
  <c r="BH101" i="24"/>
  <c r="AB77" i="24"/>
  <c r="AC78" i="24"/>
  <c r="V81" i="24"/>
  <c r="AP81" i="24"/>
  <c r="AB87" i="24"/>
  <c r="AC88" i="24"/>
  <c r="T89" i="24"/>
  <c r="AD89" i="24"/>
  <c r="V91" i="24"/>
  <c r="AP91" i="24"/>
  <c r="Y94" i="24"/>
  <c r="AA96" i="24"/>
  <c r="AB97" i="24"/>
  <c r="AC98" i="24"/>
  <c r="T99" i="24"/>
  <c r="AD99" i="24"/>
  <c r="U100" i="24"/>
  <c r="AE100" i="24"/>
  <c r="V101" i="24"/>
  <c r="AP101" i="24"/>
  <c r="O9" i="20" l="1"/>
  <c r="P9" i="20" s="1"/>
  <c r="L43" i="20"/>
  <c r="M43" i="20" s="1"/>
  <c r="O169" i="20"/>
  <c r="O170" i="20"/>
  <c r="O171" i="20"/>
  <c r="O167" i="20"/>
  <c r="O168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51" i="20"/>
  <c r="O150" i="20"/>
  <c r="O149" i="20"/>
  <c r="O146" i="20"/>
  <c r="O147" i="20"/>
  <c r="O148" i="20"/>
  <c r="O144" i="20"/>
  <c r="O145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21" i="20"/>
  <c r="O120" i="20"/>
  <c r="O119" i="20"/>
  <c r="O118" i="20"/>
  <c r="O117" i="20"/>
  <c r="O111" i="20"/>
  <c r="O112" i="20"/>
  <c r="O113" i="20"/>
  <c r="O114" i="20"/>
  <c r="O115" i="20"/>
  <c r="O116" i="20"/>
  <c r="O109" i="20"/>
  <c r="O110" i="20"/>
  <c r="O106" i="20"/>
  <c r="O107" i="20"/>
  <c r="O108" i="20"/>
  <c r="O104" i="20"/>
  <c r="O105" i="20"/>
  <c r="O101" i="20"/>
  <c r="O102" i="20"/>
  <c r="O103" i="20"/>
  <c r="O99" i="20"/>
  <c r="O100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85" i="20"/>
  <c r="O79" i="20"/>
  <c r="O80" i="20"/>
  <c r="O81" i="20"/>
  <c r="O82" i="20"/>
  <c r="O83" i="20"/>
  <c r="O84" i="20"/>
  <c r="O78" i="20"/>
  <c r="O77" i="20"/>
  <c r="O76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63" i="20"/>
  <c r="O62" i="20"/>
  <c r="O61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36" i="20"/>
  <c r="O35" i="20"/>
  <c r="O34" i="20"/>
  <c r="O25" i="20"/>
  <c r="O26" i="20"/>
  <c r="O27" i="20"/>
  <c r="O28" i="20"/>
  <c r="O29" i="20"/>
  <c r="O30" i="20"/>
  <c r="O31" i="20"/>
  <c r="O32" i="20"/>
  <c r="O33" i="20"/>
  <c r="P23" i="20" s="1"/>
  <c r="O24" i="20"/>
  <c r="O21" i="20"/>
  <c r="O22" i="20"/>
  <c r="O23" i="20"/>
  <c r="O20" i="20"/>
  <c r="O7" i="20"/>
  <c r="O8" i="20"/>
  <c r="O10" i="20"/>
  <c r="O11" i="20"/>
  <c r="O12" i="20"/>
  <c r="O13" i="20"/>
  <c r="O14" i="20"/>
  <c r="O15" i="20"/>
  <c r="O16" i="20"/>
  <c r="O17" i="20"/>
  <c r="O18" i="20"/>
  <c r="O19" i="20"/>
  <c r="O6" i="20"/>
  <c r="O4" i="20"/>
  <c r="O5" i="20"/>
  <c r="O3" i="20"/>
  <c r="L50" i="20"/>
  <c r="M50" i="20" s="1"/>
  <c r="L51" i="20"/>
  <c r="M51" i="20" s="1"/>
  <c r="L52" i="20"/>
  <c r="M52" i="20" s="1"/>
  <c r="L53" i="20"/>
  <c r="M53" i="20" s="1"/>
  <c r="L54" i="20"/>
  <c r="M54" i="20" s="1"/>
  <c r="L55" i="20"/>
  <c r="M55" i="20" s="1"/>
  <c r="L56" i="20"/>
  <c r="M56" i="20" s="1"/>
  <c r="L57" i="20"/>
  <c r="M57" i="20" s="1"/>
  <c r="L58" i="20"/>
  <c r="M58" i="20" s="1"/>
  <c r="L59" i="20"/>
  <c r="M59" i="20" s="1"/>
  <c r="L60" i="20"/>
  <c r="M60" i="20" s="1"/>
  <c r="L61" i="20"/>
  <c r="M61" i="20" s="1"/>
  <c r="L62" i="20"/>
  <c r="M62" i="20" s="1"/>
  <c r="L63" i="20"/>
  <c r="M63" i="20" s="1"/>
  <c r="L64" i="20"/>
  <c r="M64" i="20" s="1"/>
  <c r="L65" i="20"/>
  <c r="M65" i="20" s="1"/>
  <c r="L66" i="20"/>
  <c r="M66" i="20" s="1"/>
  <c r="L67" i="20"/>
  <c r="M67" i="20" s="1"/>
  <c r="L68" i="20"/>
  <c r="M68" i="20" s="1"/>
  <c r="L69" i="20"/>
  <c r="M69" i="20" s="1"/>
  <c r="L70" i="20"/>
  <c r="M70" i="20" s="1"/>
  <c r="L71" i="20"/>
  <c r="M71" i="20" s="1"/>
  <c r="L72" i="20"/>
  <c r="M72" i="20" s="1"/>
  <c r="L73" i="20"/>
  <c r="M73" i="20" s="1"/>
  <c r="L74" i="20"/>
  <c r="M74" i="20" s="1"/>
  <c r="L75" i="20"/>
  <c r="M75" i="20" s="1"/>
  <c r="L76" i="20"/>
  <c r="M76" i="20" s="1"/>
  <c r="L77" i="20"/>
  <c r="M77" i="20" s="1"/>
  <c r="L78" i="20"/>
  <c r="M78" i="20" s="1"/>
  <c r="L79" i="20"/>
  <c r="M79" i="20" s="1"/>
  <c r="L80" i="20"/>
  <c r="M80" i="20" s="1"/>
  <c r="L81" i="20"/>
  <c r="M81" i="20" s="1"/>
  <c r="L82" i="20"/>
  <c r="M82" i="20" s="1"/>
  <c r="L83" i="20"/>
  <c r="M83" i="20" s="1"/>
  <c r="L84" i="20"/>
  <c r="M84" i="20" s="1"/>
  <c r="L85" i="20"/>
  <c r="M85" i="20" s="1"/>
  <c r="L86" i="20"/>
  <c r="M86" i="20" s="1"/>
  <c r="L87" i="20"/>
  <c r="M87" i="20" s="1"/>
  <c r="L88" i="20"/>
  <c r="M88" i="20" s="1"/>
  <c r="L89" i="20"/>
  <c r="M89" i="20" s="1"/>
  <c r="L90" i="20"/>
  <c r="M90" i="20" s="1"/>
  <c r="L91" i="20"/>
  <c r="M91" i="20" s="1"/>
  <c r="L92" i="20"/>
  <c r="M92" i="20" s="1"/>
  <c r="L93" i="20"/>
  <c r="M93" i="20" s="1"/>
  <c r="L94" i="20"/>
  <c r="M94" i="20" s="1"/>
  <c r="L95" i="20"/>
  <c r="M95" i="20" s="1"/>
  <c r="L96" i="20"/>
  <c r="M96" i="20" s="1"/>
  <c r="L97" i="20"/>
  <c r="M97" i="20" s="1"/>
  <c r="L98" i="20"/>
  <c r="M98" i="20" s="1"/>
  <c r="L99" i="20"/>
  <c r="M99" i="20" s="1"/>
  <c r="L100" i="20"/>
  <c r="M100" i="20" s="1"/>
  <c r="L101" i="20"/>
  <c r="M101" i="20" s="1"/>
  <c r="L102" i="20"/>
  <c r="M102" i="20" s="1"/>
  <c r="L103" i="20"/>
  <c r="M103" i="20" s="1"/>
  <c r="L104" i="20"/>
  <c r="M104" i="20" s="1"/>
  <c r="L105" i="20"/>
  <c r="M105" i="20" s="1"/>
  <c r="L106" i="20"/>
  <c r="M106" i="20" s="1"/>
  <c r="L107" i="20"/>
  <c r="M107" i="20" s="1"/>
  <c r="L108" i="20"/>
  <c r="M108" i="20" s="1"/>
  <c r="L109" i="20"/>
  <c r="M109" i="20" s="1"/>
  <c r="L110" i="20"/>
  <c r="M110" i="20" s="1"/>
  <c r="L111" i="20"/>
  <c r="M111" i="20" s="1"/>
  <c r="L112" i="20"/>
  <c r="M112" i="20" s="1"/>
  <c r="L113" i="20"/>
  <c r="M113" i="20" s="1"/>
  <c r="L114" i="20"/>
  <c r="M114" i="20" s="1"/>
  <c r="L115" i="20"/>
  <c r="M115" i="20" s="1"/>
  <c r="L116" i="20"/>
  <c r="M116" i="20" s="1"/>
  <c r="L117" i="20"/>
  <c r="M117" i="20" s="1"/>
  <c r="L118" i="20"/>
  <c r="M118" i="20" s="1"/>
  <c r="L119" i="20"/>
  <c r="M119" i="20" s="1"/>
  <c r="L120" i="20"/>
  <c r="M120" i="20" s="1"/>
  <c r="L121" i="20"/>
  <c r="M121" i="20" s="1"/>
  <c r="L122" i="20"/>
  <c r="M122" i="20" s="1"/>
  <c r="L123" i="20"/>
  <c r="M123" i="20" s="1"/>
  <c r="L124" i="20"/>
  <c r="M124" i="20" s="1"/>
  <c r="L125" i="20"/>
  <c r="M125" i="20" s="1"/>
  <c r="L126" i="20"/>
  <c r="M126" i="20" s="1"/>
  <c r="L127" i="20"/>
  <c r="M127" i="20" s="1"/>
  <c r="L128" i="20"/>
  <c r="M128" i="20" s="1"/>
  <c r="L129" i="20"/>
  <c r="M129" i="20" s="1"/>
  <c r="L130" i="20"/>
  <c r="M130" i="20" s="1"/>
  <c r="L131" i="20"/>
  <c r="M131" i="20" s="1"/>
  <c r="L132" i="20"/>
  <c r="M132" i="20" s="1"/>
  <c r="L133" i="20"/>
  <c r="M133" i="20" s="1"/>
  <c r="L134" i="20"/>
  <c r="M134" i="20" s="1"/>
  <c r="L135" i="20"/>
  <c r="M135" i="20" s="1"/>
  <c r="L136" i="20"/>
  <c r="M136" i="20" s="1"/>
  <c r="L137" i="20"/>
  <c r="M137" i="20" s="1"/>
  <c r="L138" i="20"/>
  <c r="M138" i="20" s="1"/>
  <c r="L139" i="20"/>
  <c r="M139" i="20" s="1"/>
  <c r="L140" i="20"/>
  <c r="M140" i="20" s="1"/>
  <c r="L141" i="20"/>
  <c r="M141" i="20" s="1"/>
  <c r="L142" i="20"/>
  <c r="M142" i="20" s="1"/>
  <c r="L143" i="20"/>
  <c r="M143" i="20" s="1"/>
  <c r="L144" i="20"/>
  <c r="M144" i="20" s="1"/>
  <c r="L145" i="20"/>
  <c r="M145" i="20" s="1"/>
  <c r="L146" i="20"/>
  <c r="M146" i="20" s="1"/>
  <c r="L147" i="20"/>
  <c r="M147" i="20" s="1"/>
  <c r="L148" i="20"/>
  <c r="M148" i="20" s="1"/>
  <c r="L149" i="20"/>
  <c r="M149" i="20" s="1"/>
  <c r="L150" i="20"/>
  <c r="M150" i="20" s="1"/>
  <c r="L151" i="20"/>
  <c r="M151" i="20" s="1"/>
  <c r="L152" i="20"/>
  <c r="M152" i="20" s="1"/>
  <c r="L153" i="20"/>
  <c r="M153" i="20" s="1"/>
  <c r="L154" i="20"/>
  <c r="M154" i="20" s="1"/>
  <c r="L155" i="20"/>
  <c r="M155" i="20" s="1"/>
  <c r="L156" i="20"/>
  <c r="M156" i="20" s="1"/>
  <c r="L157" i="20"/>
  <c r="M157" i="20" s="1"/>
  <c r="L158" i="20"/>
  <c r="M158" i="20" s="1"/>
  <c r="L159" i="20"/>
  <c r="M159" i="20" s="1"/>
  <c r="L160" i="20"/>
  <c r="M160" i="20" s="1"/>
  <c r="L161" i="20"/>
  <c r="M161" i="20" s="1"/>
  <c r="L162" i="20"/>
  <c r="M162" i="20" s="1"/>
  <c r="L163" i="20"/>
  <c r="M163" i="20" s="1"/>
  <c r="L164" i="20"/>
  <c r="M164" i="20" s="1"/>
  <c r="L165" i="20"/>
  <c r="M165" i="20" s="1"/>
  <c r="L166" i="20"/>
  <c r="M166" i="20" s="1"/>
  <c r="L167" i="20"/>
  <c r="M167" i="20" s="1"/>
  <c r="L168" i="20"/>
  <c r="M168" i="20" s="1"/>
  <c r="L169" i="20"/>
  <c r="M169" i="20" s="1"/>
  <c r="L170" i="20"/>
  <c r="M170" i="20" s="1"/>
  <c r="L171" i="20"/>
  <c r="M171" i="20" s="1"/>
  <c r="L49" i="20"/>
  <c r="M49" i="20" s="1"/>
  <c r="L4" i="20"/>
  <c r="M4" i="20" s="1"/>
  <c r="L5" i="20"/>
  <c r="M5" i="20" s="1"/>
  <c r="L6" i="20"/>
  <c r="M6" i="20" s="1"/>
  <c r="L7" i="20"/>
  <c r="M7" i="20" s="1"/>
  <c r="L8" i="20"/>
  <c r="M8" i="20" s="1"/>
  <c r="L9" i="20"/>
  <c r="M9" i="20" s="1"/>
  <c r="L10" i="20"/>
  <c r="M10" i="20" s="1"/>
  <c r="L11" i="20"/>
  <c r="M11" i="20" s="1"/>
  <c r="L12" i="20"/>
  <c r="M12" i="20" s="1"/>
  <c r="L13" i="20"/>
  <c r="M13" i="20" s="1"/>
  <c r="L14" i="20"/>
  <c r="M14" i="20" s="1"/>
  <c r="L15" i="20"/>
  <c r="M15" i="20" s="1"/>
  <c r="L16" i="20"/>
  <c r="M16" i="20" s="1"/>
  <c r="L17" i="20"/>
  <c r="M17" i="20" s="1"/>
  <c r="L18" i="20"/>
  <c r="M18" i="20" s="1"/>
  <c r="L19" i="20"/>
  <c r="M19" i="20" s="1"/>
  <c r="L20" i="20"/>
  <c r="M20" i="20" s="1"/>
  <c r="L21" i="20"/>
  <c r="M21" i="20" s="1"/>
  <c r="L22" i="20"/>
  <c r="M22" i="20" s="1"/>
  <c r="L23" i="20"/>
  <c r="M23" i="20" s="1"/>
  <c r="L24" i="20"/>
  <c r="M24" i="20" s="1"/>
  <c r="L25" i="20"/>
  <c r="M25" i="20" s="1"/>
  <c r="L26" i="20"/>
  <c r="M26" i="20" s="1"/>
  <c r="L27" i="20"/>
  <c r="M27" i="20" s="1"/>
  <c r="L28" i="20"/>
  <c r="M28" i="20" s="1"/>
  <c r="L29" i="20"/>
  <c r="M29" i="20" s="1"/>
  <c r="L30" i="20"/>
  <c r="M30" i="20" s="1"/>
  <c r="L31" i="20"/>
  <c r="M31" i="20" s="1"/>
  <c r="L32" i="20"/>
  <c r="M32" i="20" s="1"/>
  <c r="L33" i="20"/>
  <c r="M33" i="20" s="1"/>
  <c r="L34" i="20"/>
  <c r="M34" i="20" s="1"/>
  <c r="L35" i="20"/>
  <c r="M35" i="20" s="1"/>
  <c r="L36" i="20"/>
  <c r="M36" i="20" s="1"/>
  <c r="L37" i="20"/>
  <c r="M37" i="20" s="1"/>
  <c r="L38" i="20"/>
  <c r="M38" i="20" s="1"/>
  <c r="L39" i="20"/>
  <c r="M39" i="20" s="1"/>
  <c r="L40" i="20"/>
  <c r="M40" i="20" s="1"/>
  <c r="L41" i="20"/>
  <c r="M41" i="20" s="1"/>
  <c r="L42" i="20"/>
  <c r="M42" i="20" s="1"/>
  <c r="L44" i="20"/>
  <c r="M44" i="20" s="1"/>
  <c r="L45" i="20"/>
  <c r="L46" i="20"/>
  <c r="M46" i="20" s="1"/>
  <c r="L47" i="20"/>
  <c r="M47" i="20" s="1"/>
  <c r="L48" i="20"/>
  <c r="M48" i="20" s="1"/>
  <c r="M45" i="20" l="1"/>
  <c r="R45" i="20"/>
  <c r="J10" i="19" s="1"/>
  <c r="P45" i="20"/>
  <c r="Q45" i="20"/>
  <c r="I10" i="19" s="1"/>
  <c r="Q9" i="20"/>
  <c r="Q23" i="20"/>
  <c r="I8" i="19" s="1"/>
  <c r="R23" i="20"/>
  <c r="J8" i="19" s="1"/>
  <c r="L8" i="19" s="1"/>
  <c r="P22" i="20"/>
  <c r="Q22" i="20"/>
  <c r="I7" i="19" s="1"/>
  <c r="P43" i="20"/>
  <c r="J4" i="19" s="1"/>
  <c r="L4" i="19" s="1"/>
  <c r="Q43" i="20"/>
  <c r="I4" i="19" s="1"/>
  <c r="R43" i="20"/>
  <c r="Q38" i="20"/>
  <c r="I6" i="19" s="1"/>
  <c r="R38" i="20"/>
  <c r="J6" i="19" s="1"/>
  <c r="P38" i="20"/>
  <c r="P3" i="20"/>
  <c r="R3" i="20"/>
  <c r="J3" i="19" s="1"/>
  <c r="Q20" i="20"/>
  <c r="I5" i="19" s="1"/>
  <c r="P20" i="20"/>
  <c r="L3" i="20"/>
  <c r="M3" i="20" s="1"/>
  <c r="Q3" i="20" s="1"/>
  <c r="I3" i="19" s="1"/>
  <c r="E160" i="20"/>
  <c r="E159" i="20"/>
  <c r="E158" i="20"/>
  <c r="G158" i="20" s="1"/>
  <c r="E157" i="20"/>
  <c r="E156" i="20"/>
  <c r="E155" i="20"/>
  <c r="E154" i="20"/>
  <c r="E153" i="20"/>
  <c r="E142" i="20"/>
  <c r="E141" i="20"/>
  <c r="E125" i="20"/>
  <c r="L10" i="19" l="1"/>
  <c r="I9" i="19"/>
  <c r="R9" i="20"/>
  <c r="J9" i="19" s="1"/>
  <c r="L9" i="19" s="1"/>
  <c r="R22" i="20"/>
  <c r="J7" i="19" s="1"/>
  <c r="L7" i="19" s="1"/>
  <c r="L3" i="19"/>
  <c r="R20" i="20"/>
  <c r="J5" i="19" s="1"/>
  <c r="L5" i="19" s="1"/>
  <c r="L6" i="19"/>
  <c r="F157" i="20"/>
  <c r="F158" i="20"/>
  <c r="M55" i="12" l="1"/>
  <c r="N55" i="12" s="1"/>
  <c r="M56" i="12"/>
  <c r="N56" i="12" s="1"/>
  <c r="M57" i="12"/>
  <c r="N57" i="12" s="1"/>
  <c r="L5" i="11" l="1"/>
  <c r="K5" i="11"/>
  <c r="M4" i="11" l="1"/>
  <c r="L4" i="11"/>
  <c r="K4" i="11"/>
  <c r="M38" i="12" l="1"/>
  <c r="N38" i="12" s="1"/>
  <c r="M43" i="12"/>
  <c r="N43" i="12" s="1"/>
  <c r="M41" i="12" l="1"/>
  <c r="N41" i="12" s="1"/>
  <c r="M42" i="12"/>
  <c r="N42" i="12" s="1"/>
  <c r="M44" i="12"/>
  <c r="N44" i="12" s="1"/>
  <c r="M45" i="12"/>
  <c r="N45" i="12" s="1"/>
  <c r="M46" i="12"/>
  <c r="N46" i="12" s="1"/>
  <c r="M47" i="12"/>
  <c r="N47" i="12" s="1"/>
  <c r="M48" i="12"/>
  <c r="N48" i="12" s="1"/>
  <c r="M49" i="12"/>
  <c r="N49" i="12" s="1"/>
  <c r="M50" i="12"/>
  <c r="N50" i="12" s="1"/>
  <c r="M51" i="12"/>
  <c r="N51" i="12" s="1"/>
  <c r="M52" i="12"/>
  <c r="N52" i="12" s="1"/>
  <c r="M53" i="12"/>
  <c r="N53" i="12" s="1"/>
  <c r="M54" i="12"/>
  <c r="N54" i="12" s="1"/>
  <c r="M40" i="12"/>
  <c r="N40" i="12" s="1"/>
  <c r="M39" i="12"/>
  <c r="N39" i="12" s="1"/>
  <c r="M32" i="12"/>
  <c r="N32" i="12" s="1"/>
  <c r="M33" i="12"/>
  <c r="N33" i="12" s="1"/>
  <c r="M34" i="12"/>
  <c r="N34" i="12" s="1"/>
  <c r="M35" i="12"/>
  <c r="N35" i="12" s="1"/>
  <c r="M36" i="12"/>
  <c r="N36" i="12" s="1"/>
  <c r="M37" i="12"/>
  <c r="N37" i="12" s="1"/>
  <c r="M22" i="12"/>
  <c r="N22" i="12" s="1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4" i="12" l="1"/>
  <c r="N4" i="12" s="1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M23" i="12"/>
  <c r="N23" i="12" s="1"/>
  <c r="M24" i="12"/>
  <c r="N24" i="12" s="1"/>
  <c r="M25" i="12"/>
  <c r="N25" i="12" s="1"/>
  <c r="M26" i="12"/>
  <c r="N26" i="12" s="1"/>
  <c r="M27" i="12"/>
  <c r="N27" i="12" s="1"/>
  <c r="M28" i="12"/>
  <c r="N28" i="12" s="1"/>
  <c r="M29" i="12"/>
  <c r="N29" i="12" s="1"/>
  <c r="M30" i="12"/>
  <c r="N30" i="12" s="1"/>
  <c r="M31" i="12"/>
  <c r="N31" i="12" s="1"/>
  <c r="H6" i="11" l="1"/>
  <c r="E6" i="11"/>
  <c r="K6" i="11" l="1"/>
  <c r="B6" i="11"/>
  <c r="I6" i="11" l="1"/>
  <c r="F6" i="11" l="1"/>
  <c r="C6" i="11" l="1"/>
  <c r="L6" i="11"/>
  <c r="Q30" i="25" l="1"/>
  <c r="AS30" i="25" l="1"/>
  <c r="BG30" i="25"/>
  <c r="AA30" i="25"/>
  <c r="Y30" i="25"/>
  <c r="BA30" i="25"/>
  <c r="BE30" i="25"/>
  <c r="AB30" i="25"/>
  <c r="T30" i="25"/>
  <c r="X30" i="25"/>
  <c r="AO30" i="25"/>
  <c r="AY30" i="25"/>
  <c r="S30" i="25"/>
  <c r="W30" i="25"/>
  <c r="AD30" i="25"/>
  <c r="BI30" i="25"/>
  <c r="BC30" i="25"/>
  <c r="AC30" i="25"/>
  <c r="U30" i="25"/>
  <c r="BK30" i="25"/>
  <c r="AQ30" i="25"/>
  <c r="AW30" i="25"/>
  <c r="Z30" i="25"/>
  <c r="V30" i="25"/>
  <c r="Q27" i="25" l="1"/>
  <c r="Q20" i="25"/>
  <c r="Q28" i="25"/>
  <c r="Q9" i="25"/>
  <c r="Q21" i="25"/>
  <c r="Q25" i="25"/>
  <c r="Q23" i="25"/>
  <c r="Q13" i="25"/>
  <c r="Q10" i="25"/>
  <c r="Q18" i="25"/>
  <c r="Q8" i="25"/>
  <c r="Q22" i="25"/>
  <c r="Q6" i="25"/>
  <c r="Q12" i="25"/>
  <c r="Q11" i="25"/>
  <c r="Q19" i="25"/>
  <c r="Q17" i="25"/>
  <c r="Q16" i="25"/>
  <c r="Q15" i="25"/>
  <c r="Q5" i="25"/>
  <c r="Q26" i="25"/>
  <c r="Q24" i="25"/>
  <c r="Q7" i="25"/>
  <c r="Q14" i="25"/>
  <c r="Q29" i="25"/>
  <c r="Y29" i="25" l="1"/>
  <c r="BI29" i="25"/>
  <c r="BK29" i="25"/>
  <c r="BA29" i="25"/>
  <c r="T29" i="25"/>
  <c r="AD29" i="25"/>
  <c r="AU30" i="25"/>
  <c r="BG29" i="25"/>
  <c r="V29" i="25"/>
  <c r="BC29" i="25"/>
  <c r="AY29" i="25"/>
  <c r="AW29" i="25"/>
  <c r="U29" i="25"/>
  <c r="AA29" i="25"/>
  <c r="S29" i="25"/>
  <c r="AC29" i="25"/>
  <c r="X29" i="25"/>
  <c r="AB29" i="25"/>
  <c r="W29" i="25"/>
  <c r="AS29" i="25"/>
  <c r="AQ29" i="25"/>
  <c r="Z29" i="25"/>
  <c r="AO29" i="25"/>
  <c r="BE29" i="25"/>
  <c r="AU29" i="25"/>
  <c r="BI5" i="25"/>
  <c r="AY5" i="25"/>
  <c r="X5" i="25"/>
  <c r="BA5" i="25"/>
  <c r="BG5" i="25"/>
  <c r="U5" i="25"/>
  <c r="BE5" i="25"/>
  <c r="W5" i="25"/>
  <c r="AU5" i="25"/>
  <c r="AD5" i="25"/>
  <c r="AA5" i="25"/>
  <c r="Z5" i="25"/>
  <c r="AW5" i="25"/>
  <c r="T5" i="25"/>
  <c r="AS5" i="25"/>
  <c r="Y5" i="25"/>
  <c r="V5" i="25"/>
  <c r="BC5" i="25"/>
  <c r="S5" i="25"/>
  <c r="BK5" i="25"/>
  <c r="AQ5" i="25"/>
  <c r="AB5" i="25"/>
  <c r="AO5" i="25"/>
  <c r="AC5" i="25"/>
  <c r="AU11" i="25"/>
  <c r="AQ11" i="25"/>
  <c r="V11" i="25"/>
  <c r="Z11" i="25"/>
  <c r="AO11" i="25"/>
  <c r="U11" i="25"/>
  <c r="BG11" i="25"/>
  <c r="S11" i="25"/>
  <c r="BA11" i="25"/>
  <c r="BK11" i="25"/>
  <c r="T11" i="25"/>
  <c r="Y11" i="25"/>
  <c r="AC11" i="25"/>
  <c r="AB11" i="25"/>
  <c r="AY11" i="25"/>
  <c r="BI11" i="25"/>
  <c r="AD11" i="25"/>
  <c r="X11" i="25"/>
  <c r="AA11" i="25"/>
  <c r="BC11" i="25"/>
  <c r="W11" i="25"/>
  <c r="AS11" i="25"/>
  <c r="AW11" i="25"/>
  <c r="BE11" i="25"/>
  <c r="Y18" i="25"/>
  <c r="BI18" i="25"/>
  <c r="BC18" i="25"/>
  <c r="AW18" i="25"/>
  <c r="AC18" i="25"/>
  <c r="BE18" i="25"/>
  <c r="BK18" i="25"/>
  <c r="W18" i="25"/>
  <c r="AY18" i="25"/>
  <c r="T18" i="25"/>
  <c r="V18" i="25"/>
  <c r="AA18" i="25"/>
  <c r="AD18" i="25"/>
  <c r="AS18" i="25"/>
  <c r="Z18" i="25"/>
  <c r="BG18" i="25"/>
  <c r="AQ18" i="25"/>
  <c r="AB18" i="25"/>
  <c r="X18" i="25"/>
  <c r="S18" i="25"/>
  <c r="AU18" i="25"/>
  <c r="BA18" i="25"/>
  <c r="AO18" i="25"/>
  <c r="U18" i="25"/>
  <c r="AU21" i="25"/>
  <c r="BA21" i="25"/>
  <c r="AD21" i="25"/>
  <c r="V21" i="25"/>
  <c r="Y21" i="25"/>
  <c r="T21" i="25"/>
  <c r="AS21" i="25"/>
  <c r="BK21" i="25"/>
  <c r="U21" i="25"/>
  <c r="AY21" i="25"/>
  <c r="AQ21" i="25"/>
  <c r="AO21" i="25"/>
  <c r="S21" i="25"/>
  <c r="AC21" i="25"/>
  <c r="BI21" i="25"/>
  <c r="X21" i="25"/>
  <c r="W21" i="25"/>
  <c r="Z21" i="25"/>
  <c r="BC21" i="25"/>
  <c r="AB21" i="25"/>
  <c r="AW21" i="25"/>
  <c r="AA21" i="25"/>
  <c r="BE21" i="25"/>
  <c r="BG21" i="25"/>
  <c r="BK14" i="25"/>
  <c r="T14" i="25"/>
  <c r="AW14" i="25"/>
  <c r="AU14" i="25"/>
  <c r="U14" i="25"/>
  <c r="AA14" i="25"/>
  <c r="BA14" i="25"/>
  <c r="BG14" i="25"/>
  <c r="BE14" i="25"/>
  <c r="AO14" i="25"/>
  <c r="V14" i="25"/>
  <c r="BC14" i="25"/>
  <c r="AB14" i="25"/>
  <c r="BI14" i="25"/>
  <c r="W14" i="25"/>
  <c r="Y14" i="25"/>
  <c r="AD14" i="25"/>
  <c r="X14" i="25"/>
  <c r="Z14" i="25"/>
  <c r="AY14" i="25"/>
  <c r="AC14" i="25"/>
  <c r="AS14" i="25"/>
  <c r="S14" i="25"/>
  <c r="AQ14" i="25"/>
  <c r="T15" i="25"/>
  <c r="AD15" i="25"/>
  <c r="BE15" i="25"/>
  <c r="AC15" i="25"/>
  <c r="AU15" i="25"/>
  <c r="AA15" i="25"/>
  <c r="X15" i="25"/>
  <c r="W15" i="25"/>
  <c r="BA15" i="25"/>
  <c r="S15" i="25"/>
  <c r="AS15" i="25"/>
  <c r="Z15" i="25"/>
  <c r="BC15" i="25"/>
  <c r="BI15" i="25"/>
  <c r="BG15" i="25"/>
  <c r="AW15" i="25"/>
  <c r="V15" i="25"/>
  <c r="AB15" i="25"/>
  <c r="AY15" i="25"/>
  <c r="BK15" i="25"/>
  <c r="AQ15" i="25"/>
  <c r="U15" i="25"/>
  <c r="AO15" i="25"/>
  <c r="Y15" i="25"/>
  <c r="AY12" i="25"/>
  <c r="BK12" i="25"/>
  <c r="AD12" i="25"/>
  <c r="W12" i="25"/>
  <c r="BE12" i="25"/>
  <c r="BG12" i="25"/>
  <c r="AW12" i="25"/>
  <c r="AS12" i="25"/>
  <c r="U12" i="25"/>
  <c r="AO12" i="25"/>
  <c r="AU12" i="25"/>
  <c r="Y12" i="25"/>
  <c r="BC12" i="25"/>
  <c r="BA12" i="25"/>
  <c r="T12" i="25"/>
  <c r="X12" i="25"/>
  <c r="AQ12" i="25"/>
  <c r="S12" i="25"/>
  <c r="Z12" i="25"/>
  <c r="AC12" i="25"/>
  <c r="AA12" i="25"/>
  <c r="AB12" i="25"/>
  <c r="BI12" i="25"/>
  <c r="V12" i="25"/>
  <c r="BA10" i="25"/>
  <c r="AW10" i="25"/>
  <c r="AO10" i="25"/>
  <c r="Z10" i="25"/>
  <c r="BI10" i="25"/>
  <c r="AU10" i="25"/>
  <c r="Y10" i="25"/>
  <c r="AD10" i="25"/>
  <c r="W10" i="25"/>
  <c r="X10" i="25"/>
  <c r="BG10" i="25"/>
  <c r="S10" i="25"/>
  <c r="AS10" i="25"/>
  <c r="T10" i="25"/>
  <c r="AC10" i="25"/>
  <c r="AQ10" i="25"/>
  <c r="AA10" i="25"/>
  <c r="AY10" i="25"/>
  <c r="BK10" i="25"/>
  <c r="AB10" i="25"/>
  <c r="BE10" i="25"/>
  <c r="BC10" i="25"/>
  <c r="V10" i="25"/>
  <c r="U10" i="25"/>
  <c r="AC9" i="25"/>
  <c r="AA9" i="25"/>
  <c r="AW9" i="25"/>
  <c r="X9" i="25"/>
  <c r="AD9" i="25"/>
  <c r="Z9" i="25"/>
  <c r="AB9" i="25"/>
  <c r="BE9" i="25"/>
  <c r="AY9" i="25"/>
  <c r="BG9" i="25"/>
  <c r="W9" i="25"/>
  <c r="AU9" i="25"/>
  <c r="S9" i="25"/>
  <c r="BA9" i="25"/>
  <c r="U9" i="25"/>
  <c r="T9" i="25"/>
  <c r="AO9" i="25"/>
  <c r="AQ9" i="25"/>
  <c r="BK9" i="25"/>
  <c r="Y9" i="25"/>
  <c r="V9" i="25"/>
  <c r="BC9" i="25"/>
  <c r="BI9" i="25"/>
  <c r="AS9" i="25"/>
  <c r="AS7" i="25"/>
  <c r="U7" i="25"/>
  <c r="AQ7" i="25"/>
  <c r="BK7" i="25"/>
  <c r="Y7" i="25"/>
  <c r="AB7" i="25"/>
  <c r="AO7" i="25"/>
  <c r="S7" i="25"/>
  <c r="BC7" i="25"/>
  <c r="AC7" i="25"/>
  <c r="BI7" i="25"/>
  <c r="T7" i="25"/>
  <c r="AA7" i="25"/>
  <c r="BE7" i="25"/>
  <c r="BA7" i="25"/>
  <c r="AU7" i="25"/>
  <c r="X7" i="25"/>
  <c r="Z7" i="25"/>
  <c r="AY7" i="25"/>
  <c r="AD7" i="25"/>
  <c r="AW7" i="25"/>
  <c r="BG7" i="25"/>
  <c r="W7" i="25"/>
  <c r="V7" i="25"/>
  <c r="BI16" i="25"/>
  <c r="BA16" i="25"/>
  <c r="AA16" i="25"/>
  <c r="AY16" i="25"/>
  <c r="BE16" i="25"/>
  <c r="AQ16" i="25"/>
  <c r="Z16" i="25"/>
  <c r="Y16" i="25"/>
  <c r="AW16" i="25"/>
  <c r="X16" i="25"/>
  <c r="W16" i="25"/>
  <c r="S16" i="25"/>
  <c r="AO16" i="25"/>
  <c r="AU16" i="25"/>
  <c r="T16" i="25"/>
  <c r="BG16" i="25"/>
  <c r="V16" i="25"/>
  <c r="AD16" i="25"/>
  <c r="AC16" i="25"/>
  <c r="U16" i="25"/>
  <c r="BC16" i="25"/>
  <c r="AS16" i="25"/>
  <c r="AB16" i="25"/>
  <c r="BK16" i="25"/>
  <c r="AA6" i="25"/>
  <c r="AD6" i="25"/>
  <c r="BK6" i="25"/>
  <c r="Z6" i="25"/>
  <c r="AQ6" i="25"/>
  <c r="U6" i="25"/>
  <c r="AB6" i="25"/>
  <c r="BG6" i="25"/>
  <c r="AW6" i="25"/>
  <c r="BC6" i="25"/>
  <c r="S6" i="25"/>
  <c r="AU6" i="25"/>
  <c r="T6" i="25"/>
  <c r="BI6" i="25"/>
  <c r="W6" i="25"/>
  <c r="AY6" i="25"/>
  <c r="Y6" i="25"/>
  <c r="BA6" i="25"/>
  <c r="X6" i="25"/>
  <c r="AC6" i="25"/>
  <c r="BE6" i="25"/>
  <c r="AO6" i="25"/>
  <c r="V6" i="25"/>
  <c r="AS6" i="25"/>
  <c r="AU13" i="25"/>
  <c r="V13" i="25"/>
  <c r="AW13" i="25"/>
  <c r="AQ13" i="25"/>
  <c r="BI13" i="25"/>
  <c r="AB13" i="25"/>
  <c r="AS13" i="25"/>
  <c r="S13" i="25"/>
  <c r="AC13" i="25"/>
  <c r="W13" i="25"/>
  <c r="BA13" i="25"/>
  <c r="BC13" i="25"/>
  <c r="T13" i="25"/>
  <c r="Z13" i="25"/>
  <c r="AO13" i="25"/>
  <c r="AD13" i="25"/>
  <c r="AY13" i="25"/>
  <c r="AA13" i="25"/>
  <c r="U13" i="25"/>
  <c r="BG13" i="25"/>
  <c r="X13" i="25"/>
  <c r="BE13" i="25"/>
  <c r="BK13" i="25"/>
  <c r="Y13" i="25"/>
  <c r="BA28" i="25"/>
  <c r="AO28" i="25"/>
  <c r="AC28" i="25"/>
  <c r="BI28" i="25"/>
  <c r="AD28" i="25"/>
  <c r="S28" i="25"/>
  <c r="AW28" i="25"/>
  <c r="T28" i="25"/>
  <c r="BC28" i="25"/>
  <c r="AB28" i="25"/>
  <c r="V28" i="25"/>
  <c r="BE28" i="25"/>
  <c r="AY28" i="25"/>
  <c r="BK28" i="25"/>
  <c r="BG28" i="25"/>
  <c r="AU28" i="25"/>
  <c r="Y28" i="25"/>
  <c r="W28" i="25"/>
  <c r="X28" i="25"/>
  <c r="AQ28" i="25"/>
  <c r="AA28" i="25"/>
  <c r="U28" i="25"/>
  <c r="Z28" i="25"/>
  <c r="AS28" i="25"/>
  <c r="BE24" i="25"/>
  <c r="Y24" i="25"/>
  <c r="BG24" i="25"/>
  <c r="AW24" i="25"/>
  <c r="AY24" i="25"/>
  <c r="V24" i="25"/>
  <c r="X24" i="25"/>
  <c r="W24" i="25"/>
  <c r="BC24" i="25"/>
  <c r="AS24" i="25"/>
  <c r="AC24" i="25"/>
  <c r="BA24" i="25"/>
  <c r="Z24" i="25"/>
  <c r="T24" i="25"/>
  <c r="AA24" i="25"/>
  <c r="AD24" i="25"/>
  <c r="S24" i="25"/>
  <c r="AQ24" i="25"/>
  <c r="AB24" i="25"/>
  <c r="AO24" i="25"/>
  <c r="AU24" i="25"/>
  <c r="BI24" i="25"/>
  <c r="U24" i="25"/>
  <c r="BK24" i="25"/>
  <c r="AW17" i="25"/>
  <c r="X17" i="25"/>
  <c r="U17" i="25"/>
  <c r="AQ17" i="25"/>
  <c r="AU17" i="25"/>
  <c r="BC17" i="25"/>
  <c r="S17" i="25"/>
  <c r="V17" i="25"/>
  <c r="AC17" i="25"/>
  <c r="AS17" i="25"/>
  <c r="T17" i="25"/>
  <c r="AA17" i="25"/>
  <c r="BK17" i="25"/>
  <c r="BG17" i="25"/>
  <c r="BI17" i="25"/>
  <c r="W17" i="25"/>
  <c r="AB17" i="25"/>
  <c r="Z17" i="25"/>
  <c r="BA17" i="25"/>
  <c r="AD17" i="25"/>
  <c r="Y17" i="25"/>
  <c r="AO17" i="25"/>
  <c r="BE17" i="25"/>
  <c r="AY17" i="25"/>
  <c r="BA22" i="25"/>
  <c r="Y22" i="25"/>
  <c r="BG22" i="25"/>
  <c r="AO22" i="25"/>
  <c r="W22" i="25"/>
  <c r="BE22" i="25"/>
  <c r="V22" i="25"/>
  <c r="AY22" i="25"/>
  <c r="AC22" i="25"/>
  <c r="AQ22" i="25"/>
  <c r="S22" i="25"/>
  <c r="X22" i="25"/>
  <c r="AB22" i="25"/>
  <c r="AW22" i="25"/>
  <c r="BC22" i="25"/>
  <c r="AU22" i="25"/>
  <c r="U22" i="25"/>
  <c r="Z22" i="25"/>
  <c r="AD22" i="25"/>
  <c r="AS22" i="25"/>
  <c r="BK22" i="25"/>
  <c r="BI22" i="25"/>
  <c r="T22" i="25"/>
  <c r="AA22" i="25"/>
  <c r="AA23" i="25"/>
  <c r="AC23" i="25"/>
  <c r="BG23" i="25"/>
  <c r="AU23" i="25"/>
  <c r="X23" i="25"/>
  <c r="V23" i="25"/>
  <c r="Z23" i="25"/>
  <c r="BE23" i="25"/>
  <c r="BI23" i="25"/>
  <c r="AS23" i="25"/>
  <c r="W23" i="25"/>
  <c r="T23" i="25"/>
  <c r="AW23" i="25"/>
  <c r="AQ23" i="25"/>
  <c r="BC23" i="25"/>
  <c r="AB23" i="25"/>
  <c r="U23" i="25"/>
  <c r="AD23" i="25"/>
  <c r="AY23" i="25"/>
  <c r="Y23" i="25"/>
  <c r="S23" i="25"/>
  <c r="BA23" i="25"/>
  <c r="BK23" i="25"/>
  <c r="AO23" i="25"/>
  <c r="X20" i="25"/>
  <c r="AU20" i="25"/>
  <c r="AQ20" i="25"/>
  <c r="AC20" i="25"/>
  <c r="BE20" i="25"/>
  <c r="AS20" i="25"/>
  <c r="U20" i="25"/>
  <c r="BK20" i="25"/>
  <c r="AO20" i="25"/>
  <c r="W20" i="25"/>
  <c r="V20" i="25"/>
  <c r="AA20" i="25"/>
  <c r="AD20" i="25"/>
  <c r="S20" i="25"/>
  <c r="BG20" i="25"/>
  <c r="AY20" i="25"/>
  <c r="T20" i="25"/>
  <c r="BI20" i="25"/>
  <c r="BC20" i="25"/>
  <c r="Z20" i="25"/>
  <c r="Y20" i="25"/>
  <c r="BA20" i="25"/>
  <c r="AB20" i="25"/>
  <c r="AW20" i="25"/>
  <c r="BG26" i="25"/>
  <c r="W26" i="25"/>
  <c r="AB26" i="25"/>
  <c r="BK26" i="25"/>
  <c r="AU26" i="25"/>
  <c r="BI26" i="25"/>
  <c r="AA26" i="25"/>
  <c r="AC26" i="25"/>
  <c r="Y26" i="25"/>
  <c r="U26" i="25"/>
  <c r="V26" i="25"/>
  <c r="AY26" i="25"/>
  <c r="X26" i="25"/>
  <c r="AW26" i="25"/>
  <c r="AS26" i="25"/>
  <c r="BA26" i="25"/>
  <c r="AO26" i="25"/>
  <c r="BC26" i="25"/>
  <c r="AQ26" i="25"/>
  <c r="AD26" i="25"/>
  <c r="S26" i="25"/>
  <c r="Z26" i="25"/>
  <c r="T26" i="25"/>
  <c r="BE26" i="25"/>
  <c r="AY19" i="25"/>
  <c r="BE19" i="25"/>
  <c r="BA19" i="25"/>
  <c r="U19" i="25"/>
  <c r="V19" i="25"/>
  <c r="Y19" i="25"/>
  <c r="AU19" i="25"/>
  <c r="T19" i="25"/>
  <c r="W19" i="25"/>
  <c r="Z19" i="25"/>
  <c r="AQ19" i="25"/>
  <c r="AD19" i="25"/>
  <c r="BI19" i="25"/>
  <c r="AB19" i="25"/>
  <c r="BK19" i="25"/>
  <c r="BG19" i="25"/>
  <c r="S19" i="25"/>
  <c r="AS19" i="25"/>
  <c r="X19" i="25"/>
  <c r="AC19" i="25"/>
  <c r="BC19" i="25"/>
  <c r="AO19" i="25"/>
  <c r="AA19" i="25"/>
  <c r="AW19" i="25"/>
  <c r="Z8" i="25"/>
  <c r="BG8" i="25"/>
  <c r="S8" i="25"/>
  <c r="AU8" i="25"/>
  <c r="W8" i="25"/>
  <c r="AC8" i="25"/>
  <c r="BA8" i="25"/>
  <c r="Y8" i="25"/>
  <c r="T8" i="25"/>
  <c r="AY8" i="25"/>
  <c r="V8" i="25"/>
  <c r="AO8" i="25"/>
  <c r="AA8" i="25"/>
  <c r="AS8" i="25"/>
  <c r="BC8" i="25"/>
  <c r="BE8" i="25"/>
  <c r="AB8" i="25"/>
  <c r="AD8" i="25"/>
  <c r="AW8" i="25"/>
  <c r="BK8" i="25"/>
  <c r="AQ8" i="25"/>
  <c r="X8" i="25"/>
  <c r="U8" i="25"/>
  <c r="BI8" i="25"/>
  <c r="X25" i="25"/>
  <c r="BG25" i="25"/>
  <c r="Y25" i="25"/>
  <c r="AU25" i="25"/>
  <c r="AC25" i="25"/>
  <c r="S25" i="25"/>
  <c r="AB25" i="25"/>
  <c r="W25" i="25"/>
  <c r="AS25" i="25"/>
  <c r="V25" i="25"/>
  <c r="BC25" i="25"/>
  <c r="BE25" i="25"/>
  <c r="AA25" i="25"/>
  <c r="BI25" i="25"/>
  <c r="AY25" i="25"/>
  <c r="AW25" i="25"/>
  <c r="AO25" i="25"/>
  <c r="AD25" i="25"/>
  <c r="AQ25" i="25"/>
  <c r="U25" i="25"/>
  <c r="BK25" i="25"/>
  <c r="T25" i="25"/>
  <c r="BA25" i="25"/>
  <c r="Z25" i="25"/>
  <c r="AU27" i="25"/>
  <c r="S27" i="25"/>
  <c r="AQ27" i="25"/>
  <c r="AS27" i="25"/>
  <c r="AW27" i="25"/>
  <c r="AO27" i="25"/>
  <c r="BI27" i="25"/>
  <c r="BC27" i="25"/>
  <c r="AC27" i="25"/>
  <c r="Y27" i="25"/>
  <c r="U27" i="25"/>
  <c r="AA27" i="25"/>
  <c r="BK27" i="25"/>
  <c r="Z27" i="25"/>
  <c r="BA27" i="25"/>
  <c r="W27" i="25"/>
  <c r="AY27" i="25"/>
  <c r="T27" i="25"/>
  <c r="X27" i="25"/>
  <c r="V27" i="25"/>
  <c r="AD27" i="25"/>
  <c r="AB27" i="25"/>
  <c r="BG27" i="25"/>
  <c r="BE27" i="25"/>
  <c r="Q4" i="25" l="1"/>
  <c r="AY4" i="25" l="1"/>
  <c r="AY31" i="25" s="1"/>
  <c r="AY32" i="25" s="1"/>
  <c r="E15" i="28" s="1"/>
  <c r="BE4" i="25"/>
  <c r="BE31" i="25" s="1"/>
  <c r="BE32" i="25" s="1"/>
  <c r="E21" i="28" s="1"/>
  <c r="Z4" i="25"/>
  <c r="Z31" i="25" s="1"/>
  <c r="Z32" i="25" s="1"/>
  <c r="E18" i="28" s="1"/>
  <c r="AE9" i="18" s="1"/>
  <c r="AA4" i="25"/>
  <c r="AA31" i="25" s="1"/>
  <c r="AA32" i="25" s="1"/>
  <c r="E20" i="28" s="1"/>
  <c r="AG9" i="18" s="1"/>
  <c r="AQ4" i="25"/>
  <c r="AQ31" i="25" s="1"/>
  <c r="AQ32" i="25" s="1"/>
  <c r="BC4" i="25"/>
  <c r="BC31" i="25" s="1"/>
  <c r="BC32" i="25" s="1"/>
  <c r="E19" i="28" s="1"/>
  <c r="AD4" i="25"/>
  <c r="AD31" i="25" s="1"/>
  <c r="AD32" i="25" s="1"/>
  <c r="E26" i="28" s="1"/>
  <c r="AM9" i="18" s="1"/>
  <c r="W4" i="25"/>
  <c r="W31" i="25" s="1"/>
  <c r="W32" i="25" s="1"/>
  <c r="E12" i="28" s="1"/>
  <c r="Y9" i="18" s="1"/>
  <c r="Y4" i="25"/>
  <c r="Y31" i="25" s="1"/>
  <c r="Y32" i="25" s="1"/>
  <c r="E16" i="28" s="1"/>
  <c r="AC9" i="18" s="1"/>
  <c r="V4" i="25"/>
  <c r="V31" i="25" s="1"/>
  <c r="V32" i="25" s="1"/>
  <c r="E10" i="28" s="1"/>
  <c r="AB4" i="25"/>
  <c r="AB31" i="25" s="1"/>
  <c r="AB32" i="25" s="1"/>
  <c r="E22" i="28" s="1"/>
  <c r="AI9" i="18" s="1"/>
  <c r="X4" i="25"/>
  <c r="X31" i="25" s="1"/>
  <c r="X32" i="25" s="1"/>
  <c r="E14" i="28" s="1"/>
  <c r="AA9" i="18" s="1"/>
  <c r="AU4" i="25"/>
  <c r="AU31" i="25" s="1"/>
  <c r="AU32" i="25" s="1"/>
  <c r="E11" i="28" s="1"/>
  <c r="AC7" i="28" s="1"/>
  <c r="BK4" i="25"/>
  <c r="BK31" i="25" s="1"/>
  <c r="BK32" i="25" s="1"/>
  <c r="E27" i="28" s="1"/>
  <c r="U4" i="25"/>
  <c r="U31" i="25" s="1"/>
  <c r="U32" i="25" s="1"/>
  <c r="E8" i="28" s="1"/>
  <c r="U9" i="18" s="1"/>
  <c r="AS4" i="25"/>
  <c r="AS31" i="25" s="1"/>
  <c r="AS32" i="25" s="1"/>
  <c r="AO4" i="25"/>
  <c r="AO31" i="25" s="1"/>
  <c r="AO32" i="25" s="1"/>
  <c r="AC4" i="25"/>
  <c r="AC31" i="25" s="1"/>
  <c r="AC32" i="25" s="1"/>
  <c r="E24" i="28" s="1"/>
  <c r="AK9" i="18" s="1"/>
  <c r="S4" i="25"/>
  <c r="S31" i="25" s="1"/>
  <c r="T4" i="25"/>
  <c r="T31" i="25" s="1"/>
  <c r="T32" i="25" s="1"/>
  <c r="E6" i="28" s="1"/>
  <c r="S9" i="18" s="1"/>
  <c r="AW4" i="25"/>
  <c r="AW31" i="25" s="1"/>
  <c r="AW32" i="25" s="1"/>
  <c r="E13" i="28" s="1"/>
  <c r="BI4" i="25"/>
  <c r="BI31" i="25" s="1"/>
  <c r="BI32" i="25" s="1"/>
  <c r="E25" i="28" s="1"/>
  <c r="BA4" i="25"/>
  <c r="BA31" i="25" s="1"/>
  <c r="BA32" i="25" s="1"/>
  <c r="E17" i="28" s="1"/>
  <c r="BG4" i="25"/>
  <c r="BG31" i="25" s="1"/>
  <c r="BG32" i="25" s="1"/>
  <c r="E23" i="28" s="1"/>
  <c r="W9" i="18" l="1"/>
  <c r="AC6" i="28"/>
  <c r="E29" i="28"/>
  <c r="S32" i="25"/>
  <c r="E4" i="28" s="1"/>
  <c r="AE31" i="25"/>
  <c r="AE32" i="25" s="1"/>
  <c r="G5" i="11" s="1"/>
  <c r="G6" i="11" s="1"/>
  <c r="E28" i="28" l="1"/>
  <c r="Q9" i="18"/>
  <c r="AO9" i="18" s="1"/>
  <c r="AQ9" i="18" s="1"/>
  <c r="E90" i="26"/>
  <c r="E81" i="26"/>
  <c r="E91" i="26"/>
  <c r="E88" i="26"/>
  <c r="E79" i="26"/>
  <c r="E92" i="26"/>
  <c r="E37" i="26"/>
  <c r="E48" i="26"/>
  <c r="E56" i="26"/>
  <c r="E39" i="26"/>
  <c r="E49" i="26"/>
  <c r="E57" i="26"/>
  <c r="E31" i="26"/>
  <c r="E40" i="26"/>
  <c r="E41" i="26"/>
  <c r="E50" i="26"/>
  <c r="E33" i="26"/>
  <c r="E34" i="26"/>
  <c r="E44" i="26"/>
  <c r="E46" i="26"/>
  <c r="E47" i="26"/>
  <c r="E30" i="26"/>
  <c r="E43" i="26"/>
  <c r="E52" i="26"/>
  <c r="E53" i="26"/>
  <c r="E38" i="26"/>
  <c r="E54" i="26"/>
  <c r="E22" i="26"/>
  <c r="E25" i="26"/>
  <c r="E27" i="26"/>
  <c r="E26" i="26"/>
  <c r="E64" i="26"/>
  <c r="AQ40" i="26" l="1"/>
  <c r="X40" i="26"/>
  <c r="BI40" i="26"/>
  <c r="AO40" i="26"/>
  <c r="AS40" i="26"/>
  <c r="Z40" i="26"/>
  <c r="T40" i="26"/>
  <c r="AE40" i="26"/>
  <c r="AW40" i="26"/>
  <c r="BG40" i="26"/>
  <c r="W40" i="26"/>
  <c r="V40" i="26"/>
  <c r="U40" i="26"/>
  <c r="BK40" i="26"/>
  <c r="BC40" i="26"/>
  <c r="AU40" i="26"/>
  <c r="Y40" i="26"/>
  <c r="BE40" i="26"/>
  <c r="AC40" i="26"/>
  <c r="AD40" i="26"/>
  <c r="AY40" i="26"/>
  <c r="AB40" i="26"/>
  <c r="BA40" i="26"/>
  <c r="AA40" i="26"/>
  <c r="AC37" i="26"/>
  <c r="Z37" i="26"/>
  <c r="BA37" i="26"/>
  <c r="T37" i="26"/>
  <c r="X37" i="26"/>
  <c r="V37" i="26"/>
  <c r="Y37" i="26"/>
  <c r="AD37" i="26"/>
  <c r="BI37" i="26"/>
  <c r="AA37" i="26"/>
  <c r="AO37" i="26"/>
  <c r="W37" i="26"/>
  <c r="U37" i="26"/>
  <c r="AS37" i="26"/>
  <c r="AU37" i="26"/>
  <c r="AY37" i="26"/>
  <c r="AE37" i="26"/>
  <c r="BG37" i="26"/>
  <c r="BK37" i="26"/>
  <c r="BE37" i="26"/>
  <c r="AB37" i="26"/>
  <c r="AW37" i="26"/>
  <c r="BC37" i="26"/>
  <c r="AQ37" i="26"/>
  <c r="AA81" i="26"/>
  <c r="Z81" i="26"/>
  <c r="AS81" i="26"/>
  <c r="Y81" i="26"/>
  <c r="AU81" i="26"/>
  <c r="U81" i="26"/>
  <c r="AD81" i="26"/>
  <c r="AY81" i="26"/>
  <c r="AW81" i="26"/>
  <c r="BE81" i="26"/>
  <c r="BG81" i="26"/>
  <c r="BA81" i="26"/>
  <c r="BK81" i="26"/>
  <c r="AQ81" i="26"/>
  <c r="AO81" i="26"/>
  <c r="BI81" i="26"/>
  <c r="X81" i="26"/>
  <c r="AE81" i="26"/>
  <c r="T81" i="26"/>
  <c r="AC81" i="26"/>
  <c r="BC81" i="26"/>
  <c r="V81" i="26"/>
  <c r="W81" i="26"/>
  <c r="AB81" i="26"/>
  <c r="X64" i="26"/>
  <c r="AO64" i="26"/>
  <c r="AW64" i="26"/>
  <c r="AA64" i="26"/>
  <c r="W64" i="26"/>
  <c r="Y64" i="26"/>
  <c r="AC64" i="26"/>
  <c r="BA64" i="26"/>
  <c r="AU64" i="26"/>
  <c r="BG64" i="26"/>
  <c r="T64" i="26"/>
  <c r="AQ64" i="26"/>
  <c r="BI64" i="26"/>
  <c r="V64" i="26"/>
  <c r="U64" i="26"/>
  <c r="AY64" i="26"/>
  <c r="Z64" i="26"/>
  <c r="BC64" i="26"/>
  <c r="AB64" i="26"/>
  <c r="AE64" i="26"/>
  <c r="BK64" i="26"/>
  <c r="AS64" i="26"/>
  <c r="AD64" i="26"/>
  <c r="BE64" i="26"/>
  <c r="AO90" i="26"/>
  <c r="BE90" i="26"/>
  <c r="AW90" i="26"/>
  <c r="BC90" i="26"/>
  <c r="BG90" i="26"/>
  <c r="AS90" i="26"/>
  <c r="BA90" i="26"/>
  <c r="AU90" i="26"/>
  <c r="AB90" i="26"/>
  <c r="AD90" i="26"/>
  <c r="AQ90" i="26"/>
  <c r="AE90" i="26"/>
  <c r="AA90" i="26"/>
  <c r="Y90" i="26"/>
  <c r="W90" i="26"/>
  <c r="U90" i="26"/>
  <c r="V90" i="26"/>
  <c r="BK90" i="26"/>
  <c r="T90" i="26"/>
  <c r="AY90" i="26"/>
  <c r="Z90" i="26"/>
  <c r="AC90" i="26"/>
  <c r="BI90" i="26"/>
  <c r="X90" i="26"/>
  <c r="AU22" i="26"/>
  <c r="V22" i="26"/>
  <c r="AD22" i="26"/>
  <c r="Y22" i="26"/>
  <c r="BC22" i="26"/>
  <c r="U22" i="26"/>
  <c r="AY22" i="26"/>
  <c r="AE22" i="26"/>
  <c r="Z22" i="26"/>
  <c r="X22" i="26"/>
  <c r="AQ22" i="26"/>
  <c r="AA22" i="26"/>
  <c r="AW22" i="26"/>
  <c r="BG22" i="26"/>
  <c r="W22" i="26"/>
  <c r="BK22" i="26"/>
  <c r="AO22" i="26"/>
  <c r="T22" i="26"/>
  <c r="BI22" i="26"/>
  <c r="BE22" i="26"/>
  <c r="BA22" i="26"/>
  <c r="AS22" i="26"/>
  <c r="AB22" i="26"/>
  <c r="AC22" i="26"/>
  <c r="BK92" i="26"/>
  <c r="X92" i="26"/>
  <c r="AO92" i="26"/>
  <c r="AD92" i="26"/>
  <c r="U92" i="26"/>
  <c r="AE92" i="26"/>
  <c r="AA92" i="26"/>
  <c r="BC92" i="26"/>
  <c r="BE92" i="26"/>
  <c r="Z92" i="26"/>
  <c r="AQ92" i="26"/>
  <c r="BA92" i="26"/>
  <c r="AW92" i="26"/>
  <c r="T92" i="26"/>
  <c r="AS92" i="26"/>
  <c r="W92" i="26"/>
  <c r="BI92" i="26"/>
  <c r="AU92" i="26"/>
  <c r="BG92" i="26"/>
  <c r="AB92" i="26"/>
  <c r="V92" i="26"/>
  <c r="AC92" i="26"/>
  <c r="AY92" i="26"/>
  <c r="Y92" i="26"/>
  <c r="W25" i="26"/>
  <c r="AS25" i="26"/>
  <c r="BC25" i="26"/>
  <c r="X25" i="26"/>
  <c r="BK25" i="26"/>
  <c r="Z25" i="26"/>
  <c r="AO25" i="26"/>
  <c r="AD25" i="26"/>
  <c r="BI25" i="26"/>
  <c r="AE25" i="26"/>
  <c r="BA25" i="26"/>
  <c r="AC25" i="26"/>
  <c r="U25" i="26"/>
  <c r="AB25" i="26"/>
  <c r="Y25" i="26"/>
  <c r="BE25" i="26"/>
  <c r="AQ25" i="26"/>
  <c r="AA25" i="26"/>
  <c r="AU25" i="26"/>
  <c r="BG25" i="26"/>
  <c r="T25" i="26"/>
  <c r="AW25" i="26"/>
  <c r="AY25" i="26"/>
  <c r="V25" i="26"/>
  <c r="T33" i="26"/>
  <c r="W33" i="26"/>
  <c r="X33" i="26"/>
  <c r="V33" i="26"/>
  <c r="AE33" i="26"/>
  <c r="AA33" i="26"/>
  <c r="BE33" i="26"/>
  <c r="AY33" i="26"/>
  <c r="AB33" i="26"/>
  <c r="BK33" i="26"/>
  <c r="BI33" i="26"/>
  <c r="Y33" i="26"/>
  <c r="BG33" i="26"/>
  <c r="AC33" i="26"/>
  <c r="AW33" i="26"/>
  <c r="AD33" i="26"/>
  <c r="AO33" i="26"/>
  <c r="AS33" i="26"/>
  <c r="BA33" i="26"/>
  <c r="BC33" i="26"/>
  <c r="U33" i="26"/>
  <c r="AU33" i="26"/>
  <c r="AQ33" i="26"/>
  <c r="Z33" i="26"/>
  <c r="BI46" i="26"/>
  <c r="BE46" i="26"/>
  <c r="V46" i="26"/>
  <c r="AE46" i="26"/>
  <c r="AO46" i="26"/>
  <c r="AB46" i="26"/>
  <c r="AU46" i="26"/>
  <c r="AY46" i="26"/>
  <c r="BC46" i="26"/>
  <c r="T46" i="26"/>
  <c r="Z46" i="26"/>
  <c r="U46" i="26"/>
  <c r="AC46" i="26"/>
  <c r="Y46" i="26"/>
  <c r="AA46" i="26"/>
  <c r="AQ46" i="26"/>
  <c r="W46" i="26"/>
  <c r="AD46" i="26"/>
  <c r="BK46" i="26"/>
  <c r="X46" i="26"/>
  <c r="AS46" i="26"/>
  <c r="BG46" i="26"/>
  <c r="AW46" i="26"/>
  <c r="BA46" i="26"/>
  <c r="AD39" i="26"/>
  <c r="Y39" i="26"/>
  <c r="T39" i="26"/>
  <c r="AW39" i="26"/>
  <c r="X39" i="26"/>
  <c r="AA39" i="26"/>
  <c r="AE39" i="26"/>
  <c r="AU39" i="26"/>
  <c r="V39" i="26"/>
  <c r="AC39" i="26"/>
  <c r="BI39" i="26"/>
  <c r="BE39" i="26"/>
  <c r="AB39" i="26"/>
  <c r="BC39" i="26"/>
  <c r="AQ39" i="26"/>
  <c r="BA39" i="26"/>
  <c r="W39" i="26"/>
  <c r="Z39" i="26"/>
  <c r="AO39" i="26"/>
  <c r="U39" i="26"/>
  <c r="AS39" i="26"/>
  <c r="BK39" i="26"/>
  <c r="AY39" i="26"/>
  <c r="BG39" i="26"/>
  <c r="AY79" i="26"/>
  <c r="V79" i="26"/>
  <c r="BA79" i="26"/>
  <c r="AW79" i="26"/>
  <c r="U79" i="26"/>
  <c r="BC79" i="26"/>
  <c r="W79" i="26"/>
  <c r="AD79" i="26"/>
  <c r="BE79" i="26"/>
  <c r="AQ79" i="26"/>
  <c r="BK79" i="26"/>
  <c r="Y79" i="26"/>
  <c r="X79" i="26"/>
  <c r="BG79" i="26"/>
  <c r="T79" i="26"/>
  <c r="AE79" i="26"/>
  <c r="BI79" i="26"/>
  <c r="AB79" i="26"/>
  <c r="Z79" i="26"/>
  <c r="AU79" i="26"/>
  <c r="AA79" i="26"/>
  <c r="AC79" i="26"/>
  <c r="AS79" i="26"/>
  <c r="AO79" i="26"/>
  <c r="BA31" i="26"/>
  <c r="AW31" i="26"/>
  <c r="BC31" i="26"/>
  <c r="AS31" i="26"/>
  <c r="BG31" i="26"/>
  <c r="T31" i="26"/>
  <c r="W31" i="26"/>
  <c r="AA31" i="26"/>
  <c r="BK31" i="26"/>
  <c r="AB31" i="26"/>
  <c r="AY31" i="26"/>
  <c r="V31" i="26"/>
  <c r="X31" i="26"/>
  <c r="AQ31" i="26"/>
  <c r="AO31" i="26"/>
  <c r="Y31" i="26"/>
  <c r="Z31" i="26"/>
  <c r="AU31" i="26"/>
  <c r="AE31" i="26"/>
  <c r="BI31" i="26"/>
  <c r="AC31" i="26"/>
  <c r="BE31" i="26"/>
  <c r="AD31" i="26"/>
  <c r="U31" i="26"/>
  <c r="BE49" i="26"/>
  <c r="AE49" i="26"/>
  <c r="BA49" i="26"/>
  <c r="AQ49" i="26"/>
  <c r="AW49" i="26"/>
  <c r="BG49" i="26"/>
  <c r="Z49" i="26"/>
  <c r="AO49" i="26"/>
  <c r="X49" i="26"/>
  <c r="W49" i="26"/>
  <c r="U49" i="26"/>
  <c r="BI49" i="26"/>
  <c r="AU49" i="26"/>
  <c r="AC49" i="26"/>
  <c r="AS49" i="26"/>
  <c r="T49" i="26"/>
  <c r="AA49" i="26"/>
  <c r="V49" i="26"/>
  <c r="AY49" i="26"/>
  <c r="BC49" i="26"/>
  <c r="BK49" i="26"/>
  <c r="AB49" i="26"/>
  <c r="Y49" i="26"/>
  <c r="AD49" i="26"/>
  <c r="AC38" i="26"/>
  <c r="AA38" i="26"/>
  <c r="BC38" i="26"/>
  <c r="AQ38" i="26"/>
  <c r="AO38" i="26"/>
  <c r="AB38" i="26"/>
  <c r="W38" i="26"/>
  <c r="AU38" i="26"/>
  <c r="BE38" i="26"/>
  <c r="AS38" i="26"/>
  <c r="V38" i="26"/>
  <c r="BI38" i="26"/>
  <c r="AE38" i="26"/>
  <c r="X38" i="26"/>
  <c r="AY38" i="26"/>
  <c r="AD38" i="26"/>
  <c r="BG38" i="26"/>
  <c r="U38" i="26"/>
  <c r="BA38" i="26"/>
  <c r="BK38" i="26"/>
  <c r="AW38" i="26"/>
  <c r="Y38" i="26"/>
  <c r="T38" i="26"/>
  <c r="Z38" i="26"/>
  <c r="AY53" i="26"/>
  <c r="BG53" i="26"/>
  <c r="U53" i="26"/>
  <c r="Y53" i="26"/>
  <c r="AC53" i="26"/>
  <c r="AQ53" i="26"/>
  <c r="BE53" i="26"/>
  <c r="BK53" i="26"/>
  <c r="V53" i="26"/>
  <c r="W53" i="26"/>
  <c r="BC53" i="26"/>
  <c r="AW53" i="26"/>
  <c r="AO53" i="26"/>
  <c r="AE53" i="26"/>
  <c r="T53" i="26"/>
  <c r="AS53" i="26"/>
  <c r="AU53" i="26"/>
  <c r="AD53" i="26"/>
  <c r="Z53" i="26"/>
  <c r="BI53" i="26"/>
  <c r="X53" i="26"/>
  <c r="AB53" i="26"/>
  <c r="BA53" i="26"/>
  <c r="AA53" i="26"/>
  <c r="BA44" i="26"/>
  <c r="BK44" i="26"/>
  <c r="BI44" i="26"/>
  <c r="AC44" i="26"/>
  <c r="AB44" i="26"/>
  <c r="X44" i="26"/>
  <c r="AQ44" i="26"/>
  <c r="BG44" i="26"/>
  <c r="AE44" i="26"/>
  <c r="U44" i="26"/>
  <c r="BC44" i="26"/>
  <c r="AD44" i="26"/>
  <c r="AO44" i="26"/>
  <c r="AA44" i="26"/>
  <c r="T44" i="26"/>
  <c r="AU44" i="26"/>
  <c r="BE44" i="26"/>
  <c r="AS44" i="26"/>
  <c r="Y44" i="26"/>
  <c r="AW44" i="26"/>
  <c r="W44" i="26"/>
  <c r="V44" i="26"/>
  <c r="AY44" i="26"/>
  <c r="Z44" i="26"/>
  <c r="W50" i="26"/>
  <c r="AW50" i="26"/>
  <c r="Z50" i="26"/>
  <c r="BE50" i="26"/>
  <c r="BA50" i="26"/>
  <c r="V50" i="26"/>
  <c r="BG50" i="26"/>
  <c r="X50" i="26"/>
  <c r="AD50" i="26"/>
  <c r="BC50" i="26"/>
  <c r="T50" i="26"/>
  <c r="BI50" i="26"/>
  <c r="BK50" i="26"/>
  <c r="AA50" i="26"/>
  <c r="AB50" i="26"/>
  <c r="AS50" i="26"/>
  <c r="AC50" i="26"/>
  <c r="AU50" i="26"/>
  <c r="AQ50" i="26"/>
  <c r="AY50" i="26"/>
  <c r="U50" i="26"/>
  <c r="Y50" i="26"/>
  <c r="AE50" i="26"/>
  <c r="AO50" i="26"/>
  <c r="BK30" i="26"/>
  <c r="AD30" i="26"/>
  <c r="AQ30" i="26"/>
  <c r="BG30" i="26"/>
  <c r="AY30" i="26"/>
  <c r="T30" i="26"/>
  <c r="Z30" i="26"/>
  <c r="W30" i="26"/>
  <c r="AC30" i="26"/>
  <c r="Y30" i="26"/>
  <c r="AS30" i="26"/>
  <c r="AB30" i="26"/>
  <c r="AW30" i="26"/>
  <c r="AO30" i="26"/>
  <c r="BE30" i="26"/>
  <c r="AU30" i="26"/>
  <c r="V30" i="26"/>
  <c r="BC30" i="26"/>
  <c r="AE30" i="26"/>
  <c r="U30" i="26"/>
  <c r="BA30" i="26"/>
  <c r="AA30" i="26"/>
  <c r="BI30" i="26"/>
  <c r="X30" i="26"/>
  <c r="U56" i="26"/>
  <c r="BA56" i="26"/>
  <c r="AB56" i="26"/>
  <c r="Y56" i="26"/>
  <c r="AO56" i="26"/>
  <c r="BI56" i="26"/>
  <c r="BK56" i="26"/>
  <c r="AY56" i="26"/>
  <c r="V56" i="26"/>
  <c r="AU56" i="26"/>
  <c r="AQ56" i="26"/>
  <c r="W56" i="26"/>
  <c r="T56" i="26"/>
  <c r="AA56" i="26"/>
  <c r="BC56" i="26"/>
  <c r="AS56" i="26"/>
  <c r="AC56" i="26"/>
  <c r="AW56" i="26"/>
  <c r="BE56" i="26"/>
  <c r="AE56" i="26"/>
  <c r="X56" i="26"/>
  <c r="BG56" i="26"/>
  <c r="AD56" i="26"/>
  <c r="Z56" i="26"/>
  <c r="U88" i="26"/>
  <c r="X88" i="26"/>
  <c r="Z88" i="26"/>
  <c r="AY88" i="26"/>
  <c r="AD88" i="26"/>
  <c r="AB88" i="26"/>
  <c r="T88" i="26"/>
  <c r="AE88" i="26"/>
  <c r="V88" i="26"/>
  <c r="AO88" i="26"/>
  <c r="BG88" i="26"/>
  <c r="Y88" i="26"/>
  <c r="BC88" i="26"/>
  <c r="AW88" i="26"/>
  <c r="BE88" i="26"/>
  <c r="W88" i="26"/>
  <c r="AS88" i="26"/>
  <c r="AC88" i="26"/>
  <c r="AU88" i="26"/>
  <c r="BK88" i="26"/>
  <c r="AA88" i="26"/>
  <c r="BA88" i="26"/>
  <c r="BI88" i="26"/>
  <c r="AQ88" i="26"/>
  <c r="AE47" i="26"/>
  <c r="X47" i="26"/>
  <c r="BA47" i="26"/>
  <c r="AY47" i="26"/>
  <c r="W47" i="26"/>
  <c r="T47" i="26"/>
  <c r="BK47" i="26"/>
  <c r="BI47" i="26"/>
  <c r="AS47" i="26"/>
  <c r="AB47" i="26"/>
  <c r="AU47" i="26"/>
  <c r="BC47" i="26"/>
  <c r="AO47" i="26"/>
  <c r="AA47" i="26"/>
  <c r="AD47" i="26"/>
  <c r="V47" i="26"/>
  <c r="AW47" i="26"/>
  <c r="AC47" i="26"/>
  <c r="Y47" i="26"/>
  <c r="U47" i="26"/>
  <c r="BG47" i="26"/>
  <c r="Z47" i="26"/>
  <c r="AQ47" i="26"/>
  <c r="BE47" i="26"/>
  <c r="AW57" i="26"/>
  <c r="T57" i="26"/>
  <c r="U57" i="26"/>
  <c r="BI57" i="26"/>
  <c r="AD57" i="26"/>
  <c r="W57" i="26"/>
  <c r="AS57" i="26"/>
  <c r="V57" i="26"/>
  <c r="AB57" i="26"/>
  <c r="BE57" i="26"/>
  <c r="Y57" i="26"/>
  <c r="AQ57" i="26"/>
  <c r="AE57" i="26"/>
  <c r="AO57" i="26"/>
  <c r="AU57" i="26"/>
  <c r="AC57" i="26"/>
  <c r="Z57" i="26"/>
  <c r="X57" i="26"/>
  <c r="BC57" i="26"/>
  <c r="BK57" i="26"/>
  <c r="AA57" i="26"/>
  <c r="BA57" i="26"/>
  <c r="AY57" i="26"/>
  <c r="BG57" i="26"/>
  <c r="T41" i="26"/>
  <c r="AO41" i="26"/>
  <c r="BE41" i="26"/>
  <c r="AQ41" i="26"/>
  <c r="AD41" i="26"/>
  <c r="AW41" i="26"/>
  <c r="BA41" i="26"/>
  <c r="AY41" i="26"/>
  <c r="V41" i="26"/>
  <c r="Y41" i="26"/>
  <c r="BK41" i="26"/>
  <c r="BI41" i="26"/>
  <c r="AB41" i="26"/>
  <c r="U41" i="26"/>
  <c r="AU41" i="26"/>
  <c r="AC41" i="26"/>
  <c r="Z41" i="26"/>
  <c r="BG41" i="26"/>
  <c r="AE41" i="26"/>
  <c r="X41" i="26"/>
  <c r="AS41" i="26"/>
  <c r="W41" i="26"/>
  <c r="BC41" i="26"/>
  <c r="AA41" i="26"/>
  <c r="AO52" i="26"/>
  <c r="X52" i="26"/>
  <c r="V52" i="26"/>
  <c r="BA52" i="26"/>
  <c r="AU52" i="26"/>
  <c r="Y52" i="26"/>
  <c r="AE52" i="26"/>
  <c r="BE52" i="26"/>
  <c r="BC52" i="26"/>
  <c r="T52" i="26"/>
  <c r="AB52" i="26"/>
  <c r="AW52" i="26"/>
  <c r="AQ52" i="26"/>
  <c r="W52" i="26"/>
  <c r="BK52" i="26"/>
  <c r="AC52" i="26"/>
  <c r="BI52" i="26"/>
  <c r="AY52" i="26"/>
  <c r="BG52" i="26"/>
  <c r="AS52" i="26"/>
  <c r="Z52" i="26"/>
  <c r="AA52" i="26"/>
  <c r="AD52" i="26"/>
  <c r="U52" i="26"/>
  <c r="AY48" i="26"/>
  <c r="AW48" i="26"/>
  <c r="BI48" i="26"/>
  <c r="AD48" i="26"/>
  <c r="AC48" i="26"/>
  <c r="AA48" i="26"/>
  <c r="BK48" i="26"/>
  <c r="U48" i="26"/>
  <c r="BE48" i="26"/>
  <c r="X48" i="26"/>
  <c r="BG48" i="26"/>
  <c r="AB48" i="26"/>
  <c r="V48" i="26"/>
  <c r="W48" i="26"/>
  <c r="Y48" i="26"/>
  <c r="BA48" i="26"/>
  <c r="AE48" i="26"/>
  <c r="BC48" i="26"/>
  <c r="T48" i="26"/>
  <c r="AU48" i="26"/>
  <c r="AQ48" i="26"/>
  <c r="AO48" i="26"/>
  <c r="AS48" i="26"/>
  <c r="Z48" i="26"/>
  <c r="AQ26" i="26"/>
  <c r="AS26" i="26"/>
  <c r="T26" i="26"/>
  <c r="BI26" i="26"/>
  <c r="Z26" i="26"/>
  <c r="BG26" i="26"/>
  <c r="W26" i="26"/>
  <c r="AA26" i="26"/>
  <c r="BC26" i="26"/>
  <c r="AO26" i="26"/>
  <c r="AE26" i="26"/>
  <c r="X26" i="26"/>
  <c r="AB26" i="26"/>
  <c r="U26" i="26"/>
  <c r="BE26" i="26"/>
  <c r="AW26" i="26"/>
  <c r="AC26" i="26"/>
  <c r="BK26" i="26"/>
  <c r="V26" i="26"/>
  <c r="AY26" i="26"/>
  <c r="BA26" i="26"/>
  <c r="Y26" i="26"/>
  <c r="AD26" i="26"/>
  <c r="AU26" i="26"/>
  <c r="W54" i="26"/>
  <c r="AO54" i="26"/>
  <c r="BI54" i="26"/>
  <c r="AD54" i="26"/>
  <c r="BE54" i="26"/>
  <c r="BG54" i="26"/>
  <c r="BK54" i="26"/>
  <c r="AS54" i="26"/>
  <c r="Z54" i="26"/>
  <c r="V54" i="26"/>
  <c r="AY54" i="26"/>
  <c r="U54" i="26"/>
  <c r="AW54" i="26"/>
  <c r="Y54" i="26"/>
  <c r="AB54" i="26"/>
  <c r="BC54" i="26"/>
  <c r="X54" i="26"/>
  <c r="AU54" i="26"/>
  <c r="AC54" i="26"/>
  <c r="AA54" i="26"/>
  <c r="BA54" i="26"/>
  <c r="T54" i="26"/>
  <c r="AQ54" i="26"/>
  <c r="AE54" i="26"/>
  <c r="Z27" i="26"/>
  <c r="AO27" i="26"/>
  <c r="V27" i="26"/>
  <c r="AE27" i="26"/>
  <c r="BA27" i="26"/>
  <c r="AC27" i="26"/>
  <c r="U27" i="26"/>
  <c r="AQ27" i="26"/>
  <c r="T27" i="26"/>
  <c r="BK27" i="26"/>
  <c r="AU27" i="26"/>
  <c r="BE27" i="26"/>
  <c r="AD27" i="26"/>
  <c r="BG27" i="26"/>
  <c r="AW27" i="26"/>
  <c r="Y27" i="26"/>
  <c r="W27" i="26"/>
  <c r="AY27" i="26"/>
  <c r="X27" i="26"/>
  <c r="BI27" i="26"/>
  <c r="AA27" i="26"/>
  <c r="AB27" i="26"/>
  <c r="AS27" i="26"/>
  <c r="BC27" i="26"/>
  <c r="AS43" i="26"/>
  <c r="Z43" i="26"/>
  <c r="BG43" i="26"/>
  <c r="BC43" i="26"/>
  <c r="BK43" i="26"/>
  <c r="BI43" i="26"/>
  <c r="AW43" i="26"/>
  <c r="AQ43" i="26"/>
  <c r="BA43" i="26"/>
  <c r="AU43" i="26"/>
  <c r="AO43" i="26"/>
  <c r="AE43" i="26"/>
  <c r="U43" i="26"/>
  <c r="W43" i="26"/>
  <c r="AA43" i="26"/>
  <c r="V43" i="26"/>
  <c r="Y43" i="26"/>
  <c r="T43" i="26"/>
  <c r="X43" i="26"/>
  <c r="BE43" i="26"/>
  <c r="AC43" i="26"/>
  <c r="AY43" i="26"/>
  <c r="AD43" i="26"/>
  <c r="AB43" i="26"/>
  <c r="BK34" i="26"/>
  <c r="Z34" i="26"/>
  <c r="AS34" i="26"/>
  <c r="BG34" i="26"/>
  <c r="U34" i="26"/>
  <c r="BA34" i="26"/>
  <c r="BE34" i="26"/>
  <c r="AA34" i="26"/>
  <c r="T34" i="26"/>
  <c r="AO34" i="26"/>
  <c r="AY34" i="26"/>
  <c r="AD34" i="26"/>
  <c r="BC34" i="26"/>
  <c r="X34" i="26"/>
  <c r="AC34" i="26"/>
  <c r="AU34" i="26"/>
  <c r="AQ34" i="26"/>
  <c r="AW34" i="26"/>
  <c r="BI34" i="26"/>
  <c r="V34" i="26"/>
  <c r="AB34" i="26"/>
  <c r="W34" i="26"/>
  <c r="Y34" i="26"/>
  <c r="AE34" i="26"/>
  <c r="BI91" i="26"/>
  <c r="AB91" i="26"/>
  <c r="AY91" i="26"/>
  <c r="BC91" i="26"/>
  <c r="V91" i="26"/>
  <c r="AU91" i="26"/>
  <c r="T91" i="26"/>
  <c r="AS91" i="26"/>
  <c r="AW91" i="26"/>
  <c r="Z91" i="26"/>
  <c r="Y91" i="26"/>
  <c r="BE91" i="26"/>
  <c r="U91" i="26"/>
  <c r="AO91" i="26"/>
  <c r="AA91" i="26"/>
  <c r="AQ91" i="26"/>
  <c r="BA91" i="26"/>
  <c r="W91" i="26"/>
  <c r="BG91" i="26"/>
  <c r="AD91" i="26"/>
  <c r="BK91" i="26"/>
  <c r="X91" i="26"/>
  <c r="AE91" i="26"/>
  <c r="AC91" i="26"/>
  <c r="BE93" i="26" l="1"/>
  <c r="BE94" i="26" s="1"/>
  <c r="F21" i="28" s="1"/>
  <c r="X93" i="26"/>
  <c r="X94" i="26" s="1"/>
  <c r="F12" i="28" s="1"/>
  <c r="BI93" i="26"/>
  <c r="BI94" i="26" s="1"/>
  <c r="F25" i="28" s="1"/>
  <c r="Z93" i="26"/>
  <c r="Z94" i="26" s="1"/>
  <c r="F16" i="28" s="1"/>
  <c r="T93" i="26"/>
  <c r="AE93" i="26"/>
  <c r="AE94" i="26" s="1"/>
  <c r="F26" i="28" s="1"/>
  <c r="AO93" i="26"/>
  <c r="AO94" i="26" s="1"/>
  <c r="AY93" i="26"/>
  <c r="AY94" i="26" s="1"/>
  <c r="F15" i="28" s="1"/>
  <c r="BK93" i="26"/>
  <c r="BK94" i="26" s="1"/>
  <c r="F27" i="28" s="1"/>
  <c r="U93" i="26"/>
  <c r="U94" i="26" s="1"/>
  <c r="F6" i="28" s="1"/>
  <c r="W93" i="26"/>
  <c r="W94" i="26" s="1"/>
  <c r="F10" i="28" s="1"/>
  <c r="AD6" i="28" s="1"/>
  <c r="BC93" i="26"/>
  <c r="BC94" i="26" s="1"/>
  <c r="F19" i="28" s="1"/>
  <c r="AC93" i="26"/>
  <c r="AC94" i="26" s="1"/>
  <c r="F22" i="28" s="1"/>
  <c r="BG93" i="26"/>
  <c r="BG94" i="26" s="1"/>
  <c r="F23" i="28" s="1"/>
  <c r="Y93" i="26"/>
  <c r="Y94" i="26" s="1"/>
  <c r="F14" i="28" s="1"/>
  <c r="AB93" i="26"/>
  <c r="AB94" i="26" s="1"/>
  <c r="F20" i="28" s="1"/>
  <c r="AW93" i="26"/>
  <c r="AW94" i="26" s="1"/>
  <c r="F13" i="28" s="1"/>
  <c r="AD93" i="26"/>
  <c r="AD94" i="26" s="1"/>
  <c r="F24" i="28" s="1"/>
  <c r="AS93" i="26"/>
  <c r="AS94" i="26" s="1"/>
  <c r="AA93" i="26"/>
  <c r="AA94" i="26" s="1"/>
  <c r="F18" i="28" s="1"/>
  <c r="V93" i="26"/>
  <c r="V94" i="26" s="1"/>
  <c r="F8" i="28" s="1"/>
  <c r="BA93" i="26"/>
  <c r="BA94" i="26" s="1"/>
  <c r="F17" i="28" s="1"/>
  <c r="AQ93" i="26"/>
  <c r="AQ94" i="26" s="1"/>
  <c r="AU93" i="26"/>
  <c r="AU94" i="26" s="1"/>
  <c r="F11" i="28" s="1"/>
  <c r="AD7" i="28" s="1"/>
  <c r="F29" i="28" l="1"/>
  <c r="AM10" i="18"/>
  <c r="AC10" i="18"/>
  <c r="AE10" i="18"/>
  <c r="AA10" i="18"/>
  <c r="AI10" i="18"/>
  <c r="U10" i="18"/>
  <c r="S10" i="18"/>
  <c r="AK10" i="18"/>
  <c r="AG10" i="18"/>
  <c r="Y10" i="18"/>
  <c r="W10" i="18"/>
  <c r="T94" i="26"/>
  <c r="F4" i="28" s="1"/>
  <c r="AF93" i="26"/>
  <c r="AF94" i="26" s="1"/>
  <c r="J5" i="11" s="1"/>
  <c r="F28" i="28" l="1"/>
  <c r="Q10" i="18"/>
  <c r="J6" i="11"/>
  <c r="AO10" i="18" l="1"/>
  <c r="AQ10" i="18" s="1"/>
  <c r="E73" i="24"/>
  <c r="E76" i="24"/>
  <c r="E84" i="24"/>
  <c r="E82" i="24"/>
  <c r="E93" i="24"/>
  <c r="E75" i="24"/>
  <c r="E92" i="24"/>
  <c r="E90" i="24"/>
  <c r="E85" i="24"/>
  <c r="E54" i="24"/>
  <c r="E80" i="24"/>
  <c r="E60" i="24" l="1"/>
  <c r="BB54" i="24"/>
  <c r="AE54" i="24"/>
  <c r="Y54" i="24"/>
  <c r="AP54" i="24"/>
  <c r="AX54" i="24"/>
  <c r="AB54" i="24"/>
  <c r="T54" i="24"/>
  <c r="Z54" i="24"/>
  <c r="X54" i="24"/>
  <c r="AD54" i="24"/>
  <c r="W54" i="24"/>
  <c r="AC54" i="24"/>
  <c r="AZ54" i="24"/>
  <c r="BL54" i="24"/>
  <c r="AR54" i="24"/>
  <c r="AV54" i="24"/>
  <c r="BJ54" i="24"/>
  <c r="AT54" i="24"/>
  <c r="V54" i="24"/>
  <c r="BD54" i="24"/>
  <c r="U54" i="24"/>
  <c r="AA54" i="24"/>
  <c r="BH54" i="24"/>
  <c r="BF54" i="24"/>
  <c r="E56" i="24"/>
  <c r="AC90" i="24"/>
  <c r="AE90" i="24"/>
  <c r="V90" i="24"/>
  <c r="W90" i="24"/>
  <c r="X90" i="24"/>
  <c r="BL90" i="24"/>
  <c r="BD90" i="24"/>
  <c r="BJ90" i="24"/>
  <c r="Y90" i="24"/>
  <c r="BF90" i="24"/>
  <c r="T90" i="24"/>
  <c r="AD90" i="24"/>
  <c r="AB90" i="24"/>
  <c r="AT90" i="24"/>
  <c r="BB90" i="24"/>
  <c r="AZ90" i="24"/>
  <c r="AP90" i="24"/>
  <c r="AR90" i="24"/>
  <c r="AA90" i="24"/>
  <c r="U90" i="24"/>
  <c r="AV90" i="24"/>
  <c r="BH90" i="24"/>
  <c r="Z90" i="24"/>
  <c r="AX90" i="24"/>
  <c r="E59" i="24"/>
  <c r="E58" i="24"/>
  <c r="E55" i="24"/>
  <c r="AC76" i="24"/>
  <c r="AR76" i="24"/>
  <c r="AP76" i="24"/>
  <c r="AZ76" i="24"/>
  <c r="Y76" i="24"/>
  <c r="Z76" i="24"/>
  <c r="BL76" i="24"/>
  <c r="AE76" i="24"/>
  <c r="BB76" i="24"/>
  <c r="X76" i="24"/>
  <c r="BD76" i="24"/>
  <c r="AD76" i="24"/>
  <c r="U76" i="24"/>
  <c r="BF76" i="24"/>
  <c r="BJ76" i="24"/>
  <c r="AB76" i="24"/>
  <c r="BH76" i="24"/>
  <c r="V76" i="24"/>
  <c r="T76" i="24"/>
  <c r="AA76" i="24"/>
  <c r="AV76" i="24"/>
  <c r="AX76" i="24"/>
  <c r="W76" i="24"/>
  <c r="AT76" i="24"/>
  <c r="E51" i="24"/>
  <c r="BJ85" i="24"/>
  <c r="Y85" i="24"/>
  <c r="AZ85" i="24"/>
  <c r="BB85" i="24"/>
  <c r="X85" i="24"/>
  <c r="V85" i="24"/>
  <c r="BL85" i="24"/>
  <c r="AT85" i="24"/>
  <c r="Z85" i="24"/>
  <c r="U85" i="24"/>
  <c r="AX85" i="24"/>
  <c r="AB85" i="24"/>
  <c r="AR85" i="24"/>
  <c r="AD85" i="24"/>
  <c r="AA85" i="24"/>
  <c r="W85" i="24"/>
  <c r="AE85" i="24"/>
  <c r="T85" i="24"/>
  <c r="AP85" i="24"/>
  <c r="AV85" i="24"/>
  <c r="BH85" i="24"/>
  <c r="BF85" i="24"/>
  <c r="AC85" i="24"/>
  <c r="BD85" i="24"/>
  <c r="BF82" i="24"/>
  <c r="AZ82" i="24"/>
  <c r="BH82" i="24"/>
  <c r="AP82" i="24"/>
  <c r="AD82" i="24"/>
  <c r="W82" i="24"/>
  <c r="V82" i="24"/>
  <c r="U82" i="24"/>
  <c r="Z82" i="24"/>
  <c r="X82" i="24"/>
  <c r="BB82" i="24"/>
  <c r="BL82" i="24"/>
  <c r="AV82" i="24"/>
  <c r="Y82" i="24"/>
  <c r="AA82" i="24"/>
  <c r="T82" i="24"/>
  <c r="BD82" i="24"/>
  <c r="AX82" i="24"/>
  <c r="AE82" i="24"/>
  <c r="AT82" i="24"/>
  <c r="AR82" i="24"/>
  <c r="AC82" i="24"/>
  <c r="AB82" i="24"/>
  <c r="BJ82" i="24"/>
  <c r="X84" i="24"/>
  <c r="BD84" i="24"/>
  <c r="AX84" i="24"/>
  <c r="U84" i="24"/>
  <c r="W84" i="24"/>
  <c r="AP84" i="24"/>
  <c r="Z84" i="24"/>
  <c r="AZ84" i="24"/>
  <c r="AC84" i="24"/>
  <c r="BL84" i="24"/>
  <c r="AB84" i="24"/>
  <c r="AV84" i="24"/>
  <c r="AE84" i="24"/>
  <c r="AR84" i="24"/>
  <c r="AD84" i="24"/>
  <c r="Y84" i="24"/>
  <c r="V84" i="24"/>
  <c r="AA84" i="24"/>
  <c r="BB84" i="24"/>
  <c r="BF84" i="24"/>
  <c r="T84" i="24"/>
  <c r="BJ84" i="24"/>
  <c r="BH84" i="24"/>
  <c r="AT84" i="24"/>
  <c r="AA93" i="24"/>
  <c r="AE93" i="24"/>
  <c r="AC93" i="24"/>
  <c r="AX93" i="24"/>
  <c r="Z93" i="24"/>
  <c r="AZ93" i="24"/>
  <c r="W93" i="24"/>
  <c r="BL93" i="24"/>
  <c r="BJ93" i="24"/>
  <c r="BF93" i="24"/>
  <c r="AB93" i="24"/>
  <c r="AV93" i="24"/>
  <c r="BD93" i="24"/>
  <c r="V93" i="24"/>
  <c r="Y93" i="24"/>
  <c r="X93" i="24"/>
  <c r="BH93" i="24"/>
  <c r="AP93" i="24"/>
  <c r="T93" i="24"/>
  <c r="BB93" i="24"/>
  <c r="U93" i="24"/>
  <c r="AT93" i="24"/>
  <c r="AD93" i="24"/>
  <c r="AR93" i="24"/>
  <c r="E67" i="24"/>
  <c r="E66" i="24"/>
  <c r="E53" i="24"/>
  <c r="E52" i="24"/>
  <c r="AR80" i="24"/>
  <c r="T80" i="24"/>
  <c r="AE80" i="24"/>
  <c r="AZ80" i="24"/>
  <c r="AT80" i="24"/>
  <c r="AC80" i="24"/>
  <c r="Z80" i="24"/>
  <c r="V80" i="24"/>
  <c r="BJ80" i="24"/>
  <c r="BD80" i="24"/>
  <c r="AP80" i="24"/>
  <c r="BF80" i="24"/>
  <c r="X80" i="24"/>
  <c r="W80" i="24"/>
  <c r="BH80" i="24"/>
  <c r="AX80" i="24"/>
  <c r="U80" i="24"/>
  <c r="BB80" i="24"/>
  <c r="Y80" i="24"/>
  <c r="BL80" i="24"/>
  <c r="AD80" i="24"/>
  <c r="AB80" i="24"/>
  <c r="AV80" i="24"/>
  <c r="AA80" i="24"/>
  <c r="AD75" i="24"/>
  <c r="BB75" i="24"/>
  <c r="BL75" i="24"/>
  <c r="AZ75" i="24"/>
  <c r="AR75" i="24"/>
  <c r="V75" i="24"/>
  <c r="T75" i="24"/>
  <c r="U75" i="24"/>
  <c r="BD75" i="24"/>
  <c r="Y75" i="24"/>
  <c r="AV75" i="24"/>
  <c r="AC75" i="24"/>
  <c r="BF75" i="24"/>
  <c r="AT75" i="24"/>
  <c r="W75" i="24"/>
  <c r="AP75" i="24"/>
  <c r="Z75" i="24"/>
  <c r="BH75" i="24"/>
  <c r="AB75" i="24"/>
  <c r="AA75" i="24"/>
  <c r="AE75" i="24"/>
  <c r="BJ75" i="24"/>
  <c r="AX75" i="24"/>
  <c r="X75" i="24"/>
  <c r="W73" i="24"/>
  <c r="BL73" i="24"/>
  <c r="Y73" i="24"/>
  <c r="BD73" i="24"/>
  <c r="AT73" i="24"/>
  <c r="AR73" i="24"/>
  <c r="AP73" i="24"/>
  <c r="AV73" i="24"/>
  <c r="U73" i="24"/>
  <c r="BH73" i="24"/>
  <c r="AX73" i="24"/>
  <c r="V73" i="24"/>
  <c r="X73" i="24"/>
  <c r="Z73" i="24"/>
  <c r="AB73" i="24"/>
  <c r="AD73" i="24"/>
  <c r="T73" i="24"/>
  <c r="AE73" i="24"/>
  <c r="AC73" i="24"/>
  <c r="BF73" i="24"/>
  <c r="BB73" i="24"/>
  <c r="BJ73" i="24"/>
  <c r="AZ73" i="24"/>
  <c r="AA73" i="24"/>
  <c r="E61" i="24"/>
  <c r="E71" i="24"/>
  <c r="E65" i="24"/>
  <c r="X92" i="24"/>
  <c r="AD92" i="24"/>
  <c r="V92" i="24"/>
  <c r="BD92" i="24"/>
  <c r="U92" i="24"/>
  <c r="BF92" i="24"/>
  <c r="AV92" i="24"/>
  <c r="BH92" i="24"/>
  <c r="AX92" i="24"/>
  <c r="Z92" i="24"/>
  <c r="AA92" i="24"/>
  <c r="Y92" i="24"/>
  <c r="T92" i="24"/>
  <c r="AB92" i="24"/>
  <c r="AT92" i="24"/>
  <c r="AE92" i="24"/>
  <c r="BJ92" i="24"/>
  <c r="W92" i="24"/>
  <c r="BB92" i="24"/>
  <c r="AR92" i="24"/>
  <c r="AC92" i="24"/>
  <c r="AZ92" i="24"/>
  <c r="BL92" i="24"/>
  <c r="AP92" i="24"/>
  <c r="E64" i="24"/>
  <c r="E63" i="24"/>
  <c r="E62" i="24"/>
  <c r="AD56" i="24" l="1"/>
  <c r="AC56" i="24"/>
  <c r="W56" i="24"/>
  <c r="T56" i="24"/>
  <c r="Z56" i="24"/>
  <c r="AV56" i="24"/>
  <c r="BF56" i="24"/>
  <c r="AZ56" i="24"/>
  <c r="AT56" i="24"/>
  <c r="AE56" i="24"/>
  <c r="BD56" i="24"/>
  <c r="BB56" i="24"/>
  <c r="V56" i="24"/>
  <c r="BJ56" i="24"/>
  <c r="AX56" i="24"/>
  <c r="AA56" i="24"/>
  <c r="AP56" i="24"/>
  <c r="AR56" i="24"/>
  <c r="X56" i="24"/>
  <c r="AB56" i="24"/>
  <c r="BH56" i="24"/>
  <c r="BL56" i="24"/>
  <c r="Y56" i="24"/>
  <c r="U56" i="24"/>
  <c r="AP55" i="24"/>
  <c r="W55" i="24"/>
  <c r="BH55" i="24"/>
  <c r="AR55" i="24"/>
  <c r="Z55" i="24"/>
  <c r="AX55" i="24"/>
  <c r="BD55" i="24"/>
  <c r="U55" i="24"/>
  <c r="AE55" i="24"/>
  <c r="BL55" i="24"/>
  <c r="AV55" i="24"/>
  <c r="V55" i="24"/>
  <c r="AC55" i="24"/>
  <c r="X55" i="24"/>
  <c r="AA55" i="24"/>
  <c r="BJ55" i="24"/>
  <c r="AB55" i="24"/>
  <c r="AT55" i="24"/>
  <c r="BF55" i="24"/>
  <c r="T55" i="24"/>
  <c r="Y55" i="24"/>
  <c r="AD55" i="24"/>
  <c r="BB55" i="24"/>
  <c r="AZ55" i="24"/>
  <c r="BD62" i="24"/>
  <c r="BJ62" i="24"/>
  <c r="BB62" i="24"/>
  <c r="X62" i="24"/>
  <c r="AE62" i="24"/>
  <c r="BL62" i="24"/>
  <c r="U62" i="24"/>
  <c r="BF62" i="24"/>
  <c r="AB62" i="24"/>
  <c r="AT62" i="24"/>
  <c r="BH62" i="24"/>
  <c r="AX62" i="24"/>
  <c r="V62" i="24"/>
  <c r="W62" i="24"/>
  <c r="AD62" i="24"/>
  <c r="Y62" i="24"/>
  <c r="AP62" i="24"/>
  <c r="AC62" i="24"/>
  <c r="T62" i="24"/>
  <c r="AZ62" i="24"/>
  <c r="AR62" i="24"/>
  <c r="AA62" i="24"/>
  <c r="Z62" i="24"/>
  <c r="AV62" i="24"/>
  <c r="AP58" i="24"/>
  <c r="Z58" i="24"/>
  <c r="AT58" i="24"/>
  <c r="AV58" i="24"/>
  <c r="U58" i="24"/>
  <c r="Y58" i="24"/>
  <c r="BF58" i="24"/>
  <c r="AC58" i="24"/>
  <c r="BB58" i="24"/>
  <c r="AZ58" i="24"/>
  <c r="T58" i="24"/>
  <c r="BH58" i="24"/>
  <c r="X58" i="24"/>
  <c r="AR58" i="24"/>
  <c r="AA58" i="24"/>
  <c r="BL58" i="24"/>
  <c r="W58" i="24"/>
  <c r="V58" i="24"/>
  <c r="AD58" i="24"/>
  <c r="AB58" i="24"/>
  <c r="BJ58" i="24"/>
  <c r="BD58" i="24"/>
  <c r="AX58" i="24"/>
  <c r="AE58" i="24"/>
  <c r="BB53" i="24"/>
  <c r="AP53" i="24"/>
  <c r="AB53" i="24"/>
  <c r="BF53" i="24"/>
  <c r="BJ53" i="24"/>
  <c r="AD53" i="24"/>
  <c r="Y53" i="24"/>
  <c r="AA53" i="24"/>
  <c r="BH53" i="24"/>
  <c r="V53" i="24"/>
  <c r="AX53" i="24"/>
  <c r="W53" i="24"/>
  <c r="BL53" i="24"/>
  <c r="Z53" i="24"/>
  <c r="AC53" i="24"/>
  <c r="AE53" i="24"/>
  <c r="AV53" i="24"/>
  <c r="AZ53" i="24"/>
  <c r="T53" i="24"/>
  <c r="BD53" i="24"/>
  <c r="X53" i="24"/>
  <c r="AT53" i="24"/>
  <c r="U53" i="24"/>
  <c r="AR53" i="24"/>
  <c r="BH63" i="24"/>
  <c r="AX63" i="24"/>
  <c r="W63" i="24"/>
  <c r="AC63" i="24"/>
  <c r="BD63" i="24"/>
  <c r="BJ63" i="24"/>
  <c r="BL63" i="24"/>
  <c r="Y63" i="24"/>
  <c r="U63" i="24"/>
  <c r="AZ63" i="24"/>
  <c r="BF63" i="24"/>
  <c r="AV63" i="24"/>
  <c r="AP63" i="24"/>
  <c r="AB63" i="24"/>
  <c r="Z63" i="24"/>
  <c r="AE63" i="24"/>
  <c r="V63" i="24"/>
  <c r="AR63" i="24"/>
  <c r="T63" i="24"/>
  <c r="AA63" i="24"/>
  <c r="AT63" i="24"/>
  <c r="X63" i="24"/>
  <c r="AD63" i="24"/>
  <c r="BB63" i="24"/>
  <c r="AX71" i="24"/>
  <c r="AZ71" i="24"/>
  <c r="T71" i="24"/>
  <c r="W71" i="24"/>
  <c r="AA71" i="24"/>
  <c r="Z71" i="24"/>
  <c r="U71" i="24"/>
  <c r="AP71" i="24"/>
  <c r="AD71" i="24"/>
  <c r="BJ71" i="24"/>
  <c r="BD71" i="24"/>
  <c r="BL71" i="24"/>
  <c r="BF71" i="24"/>
  <c r="BB71" i="24"/>
  <c r="Y71" i="24"/>
  <c r="AC71" i="24"/>
  <c r="AT71" i="24"/>
  <c r="AE71" i="24"/>
  <c r="V71" i="24"/>
  <c r="AV71" i="24"/>
  <c r="AB71" i="24"/>
  <c r="X71" i="24"/>
  <c r="AR71" i="24"/>
  <c r="BH71" i="24"/>
  <c r="AZ66" i="24"/>
  <c r="AP66" i="24"/>
  <c r="Z66" i="24"/>
  <c r="AV66" i="24"/>
  <c r="AA66" i="24"/>
  <c r="AD66" i="24"/>
  <c r="BB66" i="24"/>
  <c r="Y66" i="24"/>
  <c r="BJ66" i="24"/>
  <c r="X66" i="24"/>
  <c r="AC66" i="24"/>
  <c r="BD66" i="24"/>
  <c r="T66" i="24"/>
  <c r="W66" i="24"/>
  <c r="AT66" i="24"/>
  <c r="AX66" i="24"/>
  <c r="AR66" i="24"/>
  <c r="BF66" i="24"/>
  <c r="V66" i="24"/>
  <c r="BL66" i="24"/>
  <c r="U66" i="24"/>
  <c r="AB66" i="24"/>
  <c r="BH66" i="24"/>
  <c r="AE66" i="24"/>
  <c r="AD51" i="24"/>
  <c r="Y51" i="24"/>
  <c r="BB51" i="24"/>
  <c r="BF51" i="24"/>
  <c r="BL51" i="24"/>
  <c r="AE51" i="24"/>
  <c r="AP51" i="24"/>
  <c r="AA51" i="24"/>
  <c r="T51" i="24"/>
  <c r="AB51" i="24"/>
  <c r="X51" i="24"/>
  <c r="AR51" i="24"/>
  <c r="BH51" i="24"/>
  <c r="W51" i="24"/>
  <c r="AV51" i="24"/>
  <c r="AC51" i="24"/>
  <c r="AZ51" i="24"/>
  <c r="AX51" i="24"/>
  <c r="Z51" i="24"/>
  <c r="BD51" i="24"/>
  <c r="BJ51" i="24"/>
  <c r="AT51" i="24"/>
  <c r="U51" i="24"/>
  <c r="V51" i="24"/>
  <c r="AZ59" i="24"/>
  <c r="W59" i="24"/>
  <c r="AD59" i="24"/>
  <c r="BH59" i="24"/>
  <c r="X59" i="24"/>
  <c r="AV59" i="24"/>
  <c r="AB59" i="24"/>
  <c r="Y59" i="24"/>
  <c r="BJ59" i="24"/>
  <c r="AX59" i="24"/>
  <c r="BL59" i="24"/>
  <c r="AA59" i="24"/>
  <c r="AE59" i="24"/>
  <c r="BB59" i="24"/>
  <c r="AP59" i="24"/>
  <c r="BF59" i="24"/>
  <c r="T59" i="24"/>
  <c r="Z59" i="24"/>
  <c r="AT59" i="24"/>
  <c r="V59" i="24"/>
  <c r="U59" i="24"/>
  <c r="BD59" i="24"/>
  <c r="AC59" i="24"/>
  <c r="AR59" i="24"/>
  <c r="AB52" i="24"/>
  <c r="AE52" i="24"/>
  <c r="BB52" i="24"/>
  <c r="AR52" i="24"/>
  <c r="W52" i="24"/>
  <c r="AP52" i="24"/>
  <c r="AV52" i="24"/>
  <c r="BH52" i="24"/>
  <c r="AA52" i="24"/>
  <c r="BL52" i="24"/>
  <c r="AZ52" i="24"/>
  <c r="AD52" i="24"/>
  <c r="BD52" i="24"/>
  <c r="X52" i="24"/>
  <c r="Z52" i="24"/>
  <c r="U52" i="24"/>
  <c r="BJ52" i="24"/>
  <c r="Y52" i="24"/>
  <c r="T52" i="24"/>
  <c r="AX52" i="24"/>
  <c r="AT52" i="24"/>
  <c r="V52" i="24"/>
  <c r="BF52" i="24"/>
  <c r="AC52" i="24"/>
  <c r="AA64" i="24"/>
  <c r="X64" i="24"/>
  <c r="U64" i="24"/>
  <c r="AE64" i="24"/>
  <c r="AP64" i="24"/>
  <c r="BH64" i="24"/>
  <c r="AX64" i="24"/>
  <c r="W64" i="24"/>
  <c r="AC64" i="24"/>
  <c r="Y64" i="24"/>
  <c r="BL64" i="24"/>
  <c r="Z64" i="24"/>
  <c r="BD64" i="24"/>
  <c r="BJ64" i="24"/>
  <c r="AZ64" i="24"/>
  <c r="AB64" i="24"/>
  <c r="AR64" i="24"/>
  <c r="V64" i="24"/>
  <c r="AT64" i="24"/>
  <c r="AV64" i="24"/>
  <c r="AD64" i="24"/>
  <c r="BF64" i="24"/>
  <c r="T64" i="24"/>
  <c r="BB64" i="24"/>
  <c r="AA61" i="24"/>
  <c r="AC61" i="24"/>
  <c r="Z61" i="24"/>
  <c r="AB61" i="24"/>
  <c r="AP61" i="24"/>
  <c r="AV61" i="24"/>
  <c r="AE61" i="24"/>
  <c r="AR61" i="24"/>
  <c r="BB61" i="24"/>
  <c r="BD61" i="24"/>
  <c r="AZ61" i="24"/>
  <c r="BH61" i="24"/>
  <c r="V61" i="24"/>
  <c r="W61" i="24"/>
  <c r="T61" i="24"/>
  <c r="AD61" i="24"/>
  <c r="BL61" i="24"/>
  <c r="AT61" i="24"/>
  <c r="X61" i="24"/>
  <c r="BJ61" i="24"/>
  <c r="Y61" i="24"/>
  <c r="U61" i="24"/>
  <c r="BF61" i="24"/>
  <c r="AX61" i="24"/>
  <c r="AZ67" i="24"/>
  <c r="AV67" i="24"/>
  <c r="Z67" i="24"/>
  <c r="BD67" i="24"/>
  <c r="W67" i="24"/>
  <c r="BH67" i="24"/>
  <c r="BJ67" i="24"/>
  <c r="BL67" i="24"/>
  <c r="AA67" i="24"/>
  <c r="BF67" i="24"/>
  <c r="AC67" i="24"/>
  <c r="AP67" i="24"/>
  <c r="T67" i="24"/>
  <c r="U67" i="24"/>
  <c r="AX67" i="24"/>
  <c r="AT67" i="24"/>
  <c r="V67" i="24"/>
  <c r="X67" i="24"/>
  <c r="AR67" i="24"/>
  <c r="AB67" i="24"/>
  <c r="BB67" i="24"/>
  <c r="AD67" i="24"/>
  <c r="AE67" i="24"/>
  <c r="Y67" i="24"/>
  <c r="AC60" i="24"/>
  <c r="AX60" i="24"/>
  <c r="BH60" i="24"/>
  <c r="BF60" i="24"/>
  <c r="AZ60" i="24"/>
  <c r="AE60" i="24"/>
  <c r="Y60" i="24"/>
  <c r="T60" i="24"/>
  <c r="AD60" i="24"/>
  <c r="X60" i="24"/>
  <c r="BL60" i="24"/>
  <c r="U60" i="24"/>
  <c r="Z60" i="24"/>
  <c r="AA60" i="24"/>
  <c r="BB60" i="24"/>
  <c r="V60" i="24"/>
  <c r="AV60" i="24"/>
  <c r="AT60" i="24"/>
  <c r="W60" i="24"/>
  <c r="BJ60" i="24"/>
  <c r="BD60" i="24"/>
  <c r="AP60" i="24"/>
  <c r="AB60" i="24"/>
  <c r="AR60" i="24"/>
  <c r="BB65" i="24"/>
  <c r="AV65" i="24"/>
  <c r="BF65" i="24"/>
  <c r="BL65" i="24"/>
  <c r="AD65" i="24"/>
  <c r="BH65" i="24"/>
  <c r="AE65" i="24"/>
  <c r="AR65" i="24"/>
  <c r="BD65" i="24"/>
  <c r="AT65" i="24"/>
  <c r="W65" i="24"/>
  <c r="Z65" i="24"/>
  <c r="V65" i="24"/>
  <c r="AA65" i="24"/>
  <c r="T65" i="24"/>
  <c r="AC65" i="24"/>
  <c r="X65" i="24"/>
  <c r="U65" i="24"/>
  <c r="AB65" i="24"/>
  <c r="BJ65" i="24"/>
  <c r="AP65" i="24"/>
  <c r="Y65" i="24"/>
  <c r="AZ65" i="24"/>
  <c r="AX65" i="24"/>
  <c r="E47" i="24" l="1"/>
  <c r="E24" i="24"/>
  <c r="E22" i="24"/>
  <c r="E48" i="24"/>
  <c r="E42" i="24"/>
  <c r="E41" i="24"/>
  <c r="E32" i="24"/>
  <c r="E50" i="24"/>
  <c r="V42" i="24" l="1"/>
  <c r="BH42" i="24"/>
  <c r="AE42" i="24"/>
  <c r="T42" i="24"/>
  <c r="AC42" i="24"/>
  <c r="BJ42" i="24"/>
  <c r="W42" i="24"/>
  <c r="AB42" i="24"/>
  <c r="Z42" i="24"/>
  <c r="AT42" i="24"/>
  <c r="AA42" i="24"/>
  <c r="AZ42" i="24"/>
  <c r="BL42" i="24"/>
  <c r="AD42" i="24"/>
  <c r="BD42" i="24"/>
  <c r="Y42" i="24"/>
  <c r="U42" i="24"/>
  <c r="AR42" i="24"/>
  <c r="BB42" i="24"/>
  <c r="AP42" i="24"/>
  <c r="AV42" i="24"/>
  <c r="X42" i="24"/>
  <c r="BF42" i="24"/>
  <c r="AX42" i="24"/>
  <c r="BJ48" i="24"/>
  <c r="V48" i="24"/>
  <c r="AB48" i="24"/>
  <c r="Z48" i="24"/>
  <c r="T48" i="24"/>
  <c r="AE48" i="24"/>
  <c r="AC48" i="24"/>
  <c r="AD48" i="24"/>
  <c r="AA48" i="24"/>
  <c r="AZ48" i="24"/>
  <c r="AR48" i="24"/>
  <c r="AT48" i="24"/>
  <c r="AX48" i="24"/>
  <c r="W48" i="24"/>
  <c r="BH48" i="24"/>
  <c r="BD48" i="24"/>
  <c r="Y48" i="24"/>
  <c r="BL48" i="24"/>
  <c r="AV48" i="24"/>
  <c r="U48" i="24"/>
  <c r="AP48" i="24"/>
  <c r="BB48" i="24"/>
  <c r="BF48" i="24"/>
  <c r="X48" i="24"/>
  <c r="BD50" i="24"/>
  <c r="AE50" i="24"/>
  <c r="AB50" i="24"/>
  <c r="BL50" i="24"/>
  <c r="V50" i="24"/>
  <c r="U50" i="24"/>
  <c r="T50" i="24"/>
  <c r="X50" i="24"/>
  <c r="AP50" i="24"/>
  <c r="AZ50" i="24"/>
  <c r="BH50" i="24"/>
  <c r="AD50" i="24"/>
  <c r="Y50" i="24"/>
  <c r="AA50" i="24"/>
  <c r="AC50" i="24"/>
  <c r="W50" i="24"/>
  <c r="BJ50" i="24"/>
  <c r="AV50" i="24"/>
  <c r="AT50" i="24"/>
  <c r="BF50" i="24"/>
  <c r="AX50" i="24"/>
  <c r="AR50" i="24"/>
  <c r="BB50" i="24"/>
  <c r="Z50" i="24"/>
  <c r="W22" i="24"/>
  <c r="Z22" i="24"/>
  <c r="AZ22" i="24"/>
  <c r="BH22" i="24"/>
  <c r="AB22" i="24"/>
  <c r="AR22" i="24"/>
  <c r="AT22" i="24"/>
  <c r="U22" i="24"/>
  <c r="AC22" i="24"/>
  <c r="AD22" i="24"/>
  <c r="V22" i="24"/>
  <c r="Y22" i="24"/>
  <c r="AE22" i="24"/>
  <c r="AP22" i="24"/>
  <c r="T22" i="24"/>
  <c r="BF22" i="24"/>
  <c r="BJ22" i="24"/>
  <c r="AV22" i="24"/>
  <c r="BD22" i="24"/>
  <c r="BL22" i="24"/>
  <c r="BB22" i="24"/>
  <c r="X22" i="24"/>
  <c r="AX22" i="24"/>
  <c r="AA22" i="24"/>
  <c r="AX32" i="24"/>
  <c r="Y32" i="24"/>
  <c r="BD32" i="24"/>
  <c r="AT32" i="24"/>
  <c r="AD32" i="24"/>
  <c r="AC32" i="24"/>
  <c r="AP32" i="24"/>
  <c r="V32" i="24"/>
  <c r="BF32" i="24"/>
  <c r="BB32" i="24"/>
  <c r="BJ32" i="24"/>
  <c r="AZ32" i="24"/>
  <c r="AE32" i="24"/>
  <c r="U32" i="24"/>
  <c r="T32" i="24"/>
  <c r="BH32" i="24"/>
  <c r="AR32" i="24"/>
  <c r="AB32" i="24"/>
  <c r="BL32" i="24"/>
  <c r="Z32" i="24"/>
  <c r="AV32" i="24"/>
  <c r="X32" i="24"/>
  <c r="W32" i="24"/>
  <c r="AA32" i="24"/>
  <c r="BD24" i="24"/>
  <c r="AD24" i="24"/>
  <c r="AX24" i="24"/>
  <c r="AP24" i="24"/>
  <c r="BH24" i="24"/>
  <c r="V24" i="24"/>
  <c r="Y24" i="24"/>
  <c r="AZ24" i="24"/>
  <c r="AB24" i="24"/>
  <c r="W24" i="24"/>
  <c r="BB24" i="24"/>
  <c r="BF24" i="24"/>
  <c r="AR24" i="24"/>
  <c r="Z24" i="24"/>
  <c r="T24" i="24"/>
  <c r="BL24" i="24"/>
  <c r="AA24" i="24"/>
  <c r="AE24" i="24"/>
  <c r="X24" i="24"/>
  <c r="BJ24" i="24"/>
  <c r="AT24" i="24"/>
  <c r="AC24" i="24"/>
  <c r="U24" i="24"/>
  <c r="AV24" i="24"/>
  <c r="AA41" i="24"/>
  <c r="W41" i="24"/>
  <c r="BD41" i="24"/>
  <c r="AC41" i="24"/>
  <c r="AT41" i="24"/>
  <c r="V41" i="24"/>
  <c r="BJ41" i="24"/>
  <c r="Z41" i="24"/>
  <c r="AZ41" i="24"/>
  <c r="BF41" i="24"/>
  <c r="AR41" i="24"/>
  <c r="BB41" i="24"/>
  <c r="AP41" i="24"/>
  <c r="Y41" i="24"/>
  <c r="AD41" i="24"/>
  <c r="AE41" i="24"/>
  <c r="BH41" i="24"/>
  <c r="BL41" i="24"/>
  <c r="T41" i="24"/>
  <c r="AX41" i="24"/>
  <c r="X41" i="24"/>
  <c r="U41" i="24"/>
  <c r="AV41" i="24"/>
  <c r="AB41" i="24"/>
  <c r="AE47" i="24"/>
  <c r="Z47" i="24"/>
  <c r="T47" i="24"/>
  <c r="W47" i="24"/>
  <c r="AB47" i="24"/>
  <c r="AR47" i="24"/>
  <c r="Y47" i="24"/>
  <c r="AA47" i="24"/>
  <c r="AP47" i="24"/>
  <c r="V47" i="24"/>
  <c r="AD47" i="24"/>
  <c r="BB47" i="24"/>
  <c r="BD47" i="24"/>
  <c r="X47" i="24"/>
  <c r="BL47" i="24"/>
  <c r="BJ47" i="24"/>
  <c r="U47" i="24"/>
  <c r="BH47" i="24"/>
  <c r="AZ47" i="24"/>
  <c r="BF47" i="24"/>
  <c r="AC47" i="24"/>
  <c r="AT47" i="24"/>
  <c r="AX47" i="24"/>
  <c r="AV47" i="24"/>
  <c r="AV103" i="24" l="1"/>
  <c r="AV104" i="24" s="1"/>
  <c r="AR103" i="24"/>
  <c r="AR104" i="24" s="1"/>
  <c r="U103" i="24"/>
  <c r="U104" i="24" s="1"/>
  <c r="D6" i="28" s="1"/>
  <c r="BJ103" i="24"/>
  <c r="BJ104" i="24" s="1"/>
  <c r="D25" i="28" s="1"/>
  <c r="H25" i="28" s="1"/>
  <c r="AT103" i="24"/>
  <c r="AT104" i="24" s="1"/>
  <c r="T103" i="24"/>
  <c r="AB103" i="24"/>
  <c r="AB104" i="24" s="1"/>
  <c r="D20" i="28" s="1"/>
  <c r="AA103" i="24"/>
  <c r="AA104" i="24" s="1"/>
  <c r="D18" i="28" s="1"/>
  <c r="AP103" i="24"/>
  <c r="AP104" i="24" s="1"/>
  <c r="BH103" i="24"/>
  <c r="BH104" i="24" s="1"/>
  <c r="D23" i="28" s="1"/>
  <c r="H23" i="28" s="1"/>
  <c r="AX103" i="24"/>
  <c r="AX104" i="24" s="1"/>
  <c r="D13" i="28" s="1"/>
  <c r="H13" i="28" s="1"/>
  <c r="AE103" i="24"/>
  <c r="AE104" i="24" s="1"/>
  <c r="D26" i="28" s="1"/>
  <c r="AZ103" i="24"/>
  <c r="AZ104" i="24" s="1"/>
  <c r="D15" i="28" s="1"/>
  <c r="H15" i="28" s="1"/>
  <c r="X103" i="24"/>
  <c r="X104" i="24" s="1"/>
  <c r="D12" i="28" s="1"/>
  <c r="Y103" i="24"/>
  <c r="Y104" i="24" s="1"/>
  <c r="D14" i="28" s="1"/>
  <c r="Z103" i="24"/>
  <c r="Z104" i="24" s="1"/>
  <c r="D16" i="28" s="1"/>
  <c r="BB103" i="24"/>
  <c r="BB104" i="24" s="1"/>
  <c r="D17" i="28" s="1"/>
  <c r="H17" i="28" s="1"/>
  <c r="V103" i="24"/>
  <c r="V104" i="24" s="1"/>
  <c r="D8" i="28" s="1"/>
  <c r="W103" i="24"/>
  <c r="W104" i="24" s="1"/>
  <c r="D10" i="28" s="1"/>
  <c r="AB6" i="28" s="1"/>
  <c r="BF103" i="24"/>
  <c r="BF104" i="24" s="1"/>
  <c r="D21" i="28" s="1"/>
  <c r="H21" i="28" s="1"/>
  <c r="BL103" i="24"/>
  <c r="BL104" i="24" s="1"/>
  <c r="D27" i="28" s="1"/>
  <c r="H27" i="28" s="1"/>
  <c r="AD103" i="24"/>
  <c r="AD104" i="24" s="1"/>
  <c r="D24" i="28" s="1"/>
  <c r="BD103" i="24"/>
  <c r="BD104" i="24" s="1"/>
  <c r="D19" i="28" s="1"/>
  <c r="H19" i="28" s="1"/>
  <c r="AC103" i="24"/>
  <c r="AC104" i="24" s="1"/>
  <c r="D22" i="28" s="1"/>
  <c r="D11" i="28" l="1"/>
  <c r="H9" i="28"/>
  <c r="H7" i="28"/>
  <c r="AI8" i="18"/>
  <c r="AI11" i="18" s="1"/>
  <c r="G22" i="28"/>
  <c r="V4" i="28" s="1"/>
  <c r="AK8" i="18"/>
  <c r="AK11" i="18" s="1"/>
  <c r="G24" i="28"/>
  <c r="W4" i="28" s="1"/>
  <c r="W8" i="18"/>
  <c r="W11" i="18" s="1"/>
  <c r="G10" i="28"/>
  <c r="P4" i="28" s="1"/>
  <c r="U8" i="18"/>
  <c r="U11" i="18" s="1"/>
  <c r="G8" i="28"/>
  <c r="O4" i="28" s="1"/>
  <c r="AC8" i="18"/>
  <c r="AC11" i="18" s="1"/>
  <c r="G16" i="28"/>
  <c r="S4" i="28" s="1"/>
  <c r="AA8" i="18"/>
  <c r="AA11" i="18" s="1"/>
  <c r="G14" i="28"/>
  <c r="R4" i="28" s="1"/>
  <c r="Y8" i="18"/>
  <c r="Y11" i="18" s="1"/>
  <c r="G12" i="28"/>
  <c r="Q4" i="28" s="1"/>
  <c r="AM8" i="18"/>
  <c r="AM11" i="18" s="1"/>
  <c r="G26" i="28"/>
  <c r="X4" i="28" s="1"/>
  <c r="D29" i="28"/>
  <c r="I29" i="28" s="1"/>
  <c r="G5" i="28"/>
  <c r="H5" i="28"/>
  <c r="J4" i="28" s="1"/>
  <c r="J5" i="28" s="1"/>
  <c r="AE8" i="18"/>
  <c r="AE11" i="18" s="1"/>
  <c r="G18" i="28"/>
  <c r="T4" i="28" s="1"/>
  <c r="AG8" i="18"/>
  <c r="AG11" i="18" s="1"/>
  <c r="G20" i="28"/>
  <c r="U4" i="28" s="1"/>
  <c r="S8" i="18"/>
  <c r="S11" i="18" s="1"/>
  <c r="G6" i="28"/>
  <c r="N4" i="28" s="1"/>
  <c r="T104" i="24"/>
  <c r="D4" i="28" s="1"/>
  <c r="AF103" i="24"/>
  <c r="AF104" i="24" s="1"/>
  <c r="D5" i="11" s="1"/>
  <c r="H11" i="28" l="1"/>
  <c r="J7" i="28"/>
  <c r="J6" i="28" s="1"/>
  <c r="Q8" i="18"/>
  <c r="D28" i="28"/>
  <c r="I28" i="28" s="1"/>
  <c r="I4" i="28"/>
  <c r="G4" i="28"/>
  <c r="M4" i="28" s="1"/>
  <c r="M5" i="28" s="1"/>
  <c r="N5" i="28" s="1"/>
  <c r="O5" i="28" s="1"/>
  <c r="P5" i="28" s="1"/>
  <c r="Q5" i="28" s="1"/>
  <c r="R5" i="28" s="1"/>
  <c r="S5" i="28" s="1"/>
  <c r="T5" i="28" s="1"/>
  <c r="U5" i="28" s="1"/>
  <c r="V5" i="28" s="1"/>
  <c r="W5" i="28" s="1"/>
  <c r="X5" i="28" s="1"/>
  <c r="M5" i="11"/>
  <c r="M6" i="11" s="1"/>
  <c r="D6" i="11"/>
  <c r="J9" i="28" l="1"/>
  <c r="J8" i="28" s="1"/>
  <c r="I5" i="28"/>
  <c r="K5" i="28" s="1"/>
  <c r="I6" i="28"/>
  <c r="AO8" i="18"/>
  <c r="AQ8" i="18" s="1"/>
  <c r="Q11" i="18"/>
  <c r="AO11" i="18" s="1"/>
  <c r="AQ11" i="18" s="1"/>
  <c r="J11" i="28" l="1"/>
  <c r="J13" i="28" s="1"/>
  <c r="I7" i="28"/>
  <c r="K7" i="28" s="1"/>
  <c r="I8" i="28"/>
  <c r="J10" i="28" l="1"/>
  <c r="J12" i="28"/>
  <c r="J15" i="28"/>
  <c r="I10" i="28"/>
  <c r="I9" i="28"/>
  <c r="K9" i="28" s="1"/>
  <c r="I11" i="28" l="1"/>
  <c r="K11" i="28" s="1"/>
  <c r="I12" i="28"/>
  <c r="J14" i="28"/>
  <c r="J17" i="28"/>
  <c r="J16" i="28" l="1"/>
  <c r="J19" i="28"/>
  <c r="I13" i="28"/>
  <c r="K13" i="28" s="1"/>
  <c r="I14" i="28"/>
  <c r="I16" i="28" l="1"/>
  <c r="I15" i="28"/>
  <c r="K15" i="28" s="1"/>
  <c r="J21" i="28"/>
  <c r="J18" i="28"/>
  <c r="J20" i="28" l="1"/>
  <c r="J23" i="28"/>
  <c r="I17" i="28"/>
  <c r="K17" i="28" s="1"/>
  <c r="I18" i="28"/>
  <c r="I19" i="28" l="1"/>
  <c r="K19" i="28" s="1"/>
  <c r="I20" i="28"/>
  <c r="J25" i="28"/>
  <c r="J22" i="28"/>
  <c r="J27" i="28" l="1"/>
  <c r="J26" i="28" s="1"/>
  <c r="J24" i="28"/>
  <c r="I22" i="28"/>
  <c r="I21" i="28"/>
  <c r="K21" i="28" s="1"/>
  <c r="I23" i="28" l="1"/>
  <c r="K23" i="28" s="1"/>
  <c r="I24" i="28"/>
  <c r="I25" i="28" l="1"/>
  <c r="K25" i="28" s="1"/>
  <c r="I26" i="28"/>
  <c r="I27" i="28" s="1"/>
  <c r="K27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Cokhi QLC</author>
  </authors>
  <commentList>
    <comment ref="AC7" authorId="0" shapeId="0" xr:uid="{2F233E45-1285-4C97-90C3-C6404D5B61D0}">
      <text>
        <r>
          <rPr>
            <b/>
            <sz val="9"/>
            <color indexed="81"/>
            <rFont val="Tahoma"/>
            <family val="2"/>
          </rPr>
          <t>Cokhi QLC: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B44" authorId="0" shapeId="0" xr:uid="{9A2268C3-A0EF-4DC6-A7D5-92B4615B5C1D}">
      <text>
        <r>
          <rPr>
            <b/>
            <sz val="9"/>
            <color indexed="81"/>
            <rFont val="Tahoma"/>
            <family val="2"/>
          </rPr>
          <t>10202 Vu:2k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" authorId="0" shapeId="0" xr:uid="{D93F20CB-02A4-4AC2-B863-E0B56BFDEB42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 R570942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AI15" authorId="0" shapeId="0" xr:uid="{5DDBD719-41F2-4B3E-AD31-07FE656907D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</t>
        </r>
      </text>
    </comment>
    <comment ref="AL15" authorId="0" shapeId="0" xr:uid="{833241BB-CD1F-4E06-B0EE-F5C553ABB5F2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GP HƯ</t>
        </r>
      </text>
    </comment>
    <comment ref="B16" authorId="0" shapeId="0" xr:uid="{AC18A578-CF48-463B-9F87-71B1C728330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18" authorId="0" shapeId="0" xr:uid="{394A145B-EB3A-4B9A-8ADA-0526C51C8A02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3K</t>
        </r>
      </text>
    </comment>
    <comment ref="AN18" authorId="0" shapeId="0" xr:uid="{4BF28215-6D91-4033-9E82-059562D22A1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 1p</t>
        </r>
      </text>
    </comment>
    <comment ref="B28" authorId="0" shapeId="0" xr:uid="{37C59710-525F-459C-AA21-323190EE4A42}">
      <text>
        <r>
          <rPr>
            <b/>
            <sz val="9"/>
            <color indexed="81"/>
            <rFont val="Tahoma"/>
            <family val="2"/>
          </rPr>
          <t>10202 Vu:2k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B43" authorId="0" shapeId="0" xr:uid="{BF412810-D48D-4F18-A3F4-9CD9D32F9849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47" authorId="0" shapeId="0" xr:uid="{56990FCD-0628-4849-9694-53CC6EB0B8B0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66" authorId="0" shapeId="0" xr:uid="{A16BE1CB-D6CC-4597-8EB6-C5E41FFE0845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76" authorId="0" shapeId="0" xr:uid="{EAC6AC4E-FDB7-4192-B1CA-4095F942EE79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81" authorId="0" shapeId="0" xr:uid="{F25FA18E-85A4-4430-93B8-7A67C1CFD3EC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3K</t>
        </r>
      </text>
    </comment>
    <comment ref="B92" authorId="0" shapeId="0" xr:uid="{070F93F7-CC6B-40AB-AC0E-2432F9842417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F5" authorId="0" shapeId="0" xr:uid="{F1683791-4061-4ABF-AC96-874DD4C15D5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gia công 6p </t>
        </r>
      </text>
    </comment>
    <comment ref="H7" authorId="0" shapeId="0" xr:uid="{A813EB2E-D698-4BEE-9209-057AF8A4AE48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vl=181 usd</t>
        </r>
      </text>
    </comment>
    <comment ref="H8" authorId="0" shapeId="0" xr:uid="{5D9D7A2A-8EC5-4130-B663-142FC7C7F227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VL=103 usd</t>
        </r>
      </text>
    </comment>
    <comment ref="H9" authorId="0" shapeId="0" xr:uid="{E6E192CA-62C5-4BAF-B1F7-92AE9AD89DA9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 =95 usd</t>
        </r>
      </text>
    </comment>
    <comment ref="H10" authorId="0" shapeId="0" xr:uid="{D3F77C77-8078-4B57-AEDD-97690724989B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VL=158 usd</t>
        </r>
      </text>
    </comment>
    <comment ref="H14" authorId="0" shapeId="0" xr:uid="{766A52B9-8230-4E90-827E-EF5A0CF5235F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NG 1P</t>
        </r>
      </text>
    </comment>
    <comment ref="F15" authorId="0" shapeId="0" xr:uid="{2B1D6DF2-B014-43E6-B10E-16FE6A393EAB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Gia công 2p tg giảm )</t>
        </r>
      </text>
    </comment>
    <comment ref="H18" authorId="0" shapeId="0" xr:uid="{75C428D7-BA41-4ECF-948B-97E36F7AB101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Đã tính tiên điện cực</t>
        </r>
      </text>
    </comment>
    <comment ref="H19" authorId="0" shapeId="0" xr:uid="{59EA3539-6541-47B0-89CD-F71D0D9230B5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VL=103 usd</t>
        </r>
      </text>
    </comment>
    <comment ref="H20" authorId="0" shapeId="0" xr:uid="{2A76FA2E-BCCA-4567-A2BF-3BCE499C0D6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cực 107 usd</t>
        </r>
      </text>
    </comment>
    <comment ref="C21" authorId="0" shapeId="0" xr:uid="{159D12BC-B2F3-4FFC-ABF7-BE0DC2E30F47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</t>
        </r>
      </text>
    </comment>
    <comment ref="H29" authorId="0" shapeId="0" xr:uid="{98391064-24F8-4837-BE92-4310C5480EC6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Lỗi gia công lêch tâm </t>
        </r>
      </text>
    </comment>
    <comment ref="H31" authorId="0" shapeId="0" xr:uid="{F7B58629-6532-43D1-A867-BB30CF2CAF44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cực 76 usd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P72" authorId="0" shapeId="0" xr:uid="{D1DA6C1F-166C-45AF-879D-6080EF60F834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3K</t>
        </r>
      </text>
    </comment>
    <comment ref="P74" authorId="0" shapeId="0" xr:uid="{02D27C6C-038E-4D2F-87F4-E6012CCC40BC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83" authorId="0" shapeId="0" xr:uid="{B6791BAE-CC49-4704-A53C-3F727A2CBAAC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84" authorId="0" shapeId="0" xr:uid="{FDB54B7D-C3ED-478F-B3DF-DCE304D0344D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hưa có giá gia công ngoài 
6 KIỆN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B63" authorId="0" shapeId="0" xr:uid="{A507CC68-6F9E-4B2C-AF47-A5C16FAC45F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GIA CÔNG MỚI</t>
        </r>
      </text>
    </comment>
  </commentList>
</comments>
</file>

<file path=xl/sharedStrings.xml><?xml version="1.0" encoding="utf-8"?>
<sst xmlns="http://schemas.openxmlformats.org/spreadsheetml/2006/main" count="2190" uniqueCount="934">
  <si>
    <t>KÌ HẠN</t>
  </si>
  <si>
    <t>CĐ 
TIẾP THEO</t>
  </si>
  <si>
    <t>CĐ 
H TẠI</t>
  </si>
  <si>
    <t>Số Pcs</t>
    <phoneticPr fontId="0"/>
  </si>
  <si>
    <t>REP</t>
  </si>
  <si>
    <t>Số Y/c</t>
    <phoneticPr fontId="0"/>
  </si>
  <si>
    <t>Ghi chú</t>
  </si>
  <si>
    <t>T12</t>
  </si>
  <si>
    <t>T3</t>
  </si>
  <si>
    <t>T11</t>
  </si>
  <si>
    <t>T10</t>
  </si>
  <si>
    <t>T8</t>
  </si>
  <si>
    <t>T9</t>
  </si>
  <si>
    <t>T7</t>
  </si>
  <si>
    <t>T5</t>
  </si>
  <si>
    <t>T6</t>
  </si>
  <si>
    <t>T4</t>
  </si>
  <si>
    <t>T2</t>
  </si>
  <si>
    <t>T1</t>
  </si>
  <si>
    <t>QUẢN LÝ HẠNG MỤC COSTDOWN PHÒNG CƠ KHÍ</t>
    <phoneticPr fontId="0"/>
  </si>
  <si>
    <t>Ngày báo cáo:</t>
  </si>
  <si>
    <t>MT từng tháng</t>
    <phoneticPr fontId="0"/>
  </si>
  <si>
    <t>TT từng tháng</t>
    <phoneticPr fontId="0"/>
  </si>
  <si>
    <t>Mục tiêu</t>
  </si>
  <si>
    <t>Thực tích</t>
  </si>
  <si>
    <t>1.Nội tác linh kiện tồn kho</t>
  </si>
  <si>
    <t>2.Nội tác linh kiện khuôn thành hình</t>
  </si>
  <si>
    <t>Tháng</t>
  </si>
  <si>
    <t>MT/TT</t>
  </si>
  <si>
    <t>3.Nội tác linh kiện khuôn dập</t>
  </si>
  <si>
    <t>Tổng</t>
  </si>
  <si>
    <t>Hạng mục nội tác</t>
  </si>
  <si>
    <t>Số Pcs</t>
  </si>
  <si>
    <t>Số Sno</t>
  </si>
  <si>
    <t>So sánh</t>
  </si>
  <si>
    <t>Số tiền(triệu Vnd)</t>
  </si>
  <si>
    <t>Tổng số pcs</t>
  </si>
  <si>
    <t>Tổng số Sno</t>
  </si>
  <si>
    <t>NO.</t>
  </si>
  <si>
    <t>Điểm vấn đề</t>
  </si>
  <si>
    <t>THÀNH
HÌNH</t>
    <phoneticPr fontId="24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</si>
  <si>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Calibri"/>
        <family val="2"/>
        <scheme val="minor"/>
      </rPr>
      <t xml:space="preserve"> đã tr</t>
    </r>
    <r>
      <rPr>
        <sz val="11"/>
        <color theme="1"/>
        <rFont val="Calibri"/>
        <family val="2"/>
        <charset val="163"/>
      </rPr>
      <t>ễ</t>
    </r>
    <r>
      <rPr>
        <sz val="11"/>
        <color theme="1"/>
        <rFont val="Calibri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ẹ</t>
    </r>
    <r>
      <rPr>
        <sz val="11"/>
        <color theme="1"/>
        <rFont val="Calibri"/>
        <family val="2"/>
        <scheme val="minor"/>
      </rPr>
      <t>n</t>
    </r>
    <phoneticPr fontId="24"/>
  </si>
  <si>
    <t>…</t>
    <phoneticPr fontId="24"/>
  </si>
  <si>
    <t>Gia công trong tháng …</t>
    <phoneticPr fontId="24"/>
  </si>
  <si>
    <t xml:space="preserve">CHÚ Ý </t>
  </si>
  <si>
    <t>KH</t>
  </si>
  <si>
    <t>CĐ-TT</t>
  </si>
  <si>
    <t>CĐ-HT</t>
  </si>
  <si>
    <t>SL</t>
  </si>
  <si>
    <t>SYC</t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</si>
  <si>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</t>
    </r>
    <phoneticPr fontId="24"/>
  </si>
  <si>
    <t>File PDF</t>
  </si>
  <si>
    <t>S,R no</t>
    <phoneticPr fontId="34"/>
  </si>
  <si>
    <t>No</t>
    <phoneticPr fontId="34"/>
  </si>
  <si>
    <t xml:space="preserve">KỲ HẠN GIA CÔNG </t>
  </si>
  <si>
    <r>
      <t>M</t>
    </r>
    <r>
      <rPr>
        <sz val="16"/>
        <color theme="1"/>
        <rFont val="Calibri"/>
        <family val="2"/>
        <charset val="163"/>
      </rPr>
      <t>ụ</t>
    </r>
    <r>
      <rPr>
        <sz val="16"/>
        <color theme="1"/>
        <rFont val="Calibri"/>
        <family val="2"/>
        <scheme val="minor"/>
      </rPr>
      <t>c tiêu CostDown t</t>
    </r>
    <r>
      <rPr>
        <sz val="16"/>
        <color theme="1"/>
        <rFont val="Calibri"/>
        <family val="2"/>
        <charset val="163"/>
      </rPr>
      <t>ừ</t>
    </r>
    <r>
      <rPr>
        <sz val="16"/>
        <color theme="1"/>
        <rFont val="Calibri"/>
        <family val="2"/>
        <scheme val="minor"/>
      </rPr>
      <t>ng tháng</t>
    </r>
    <phoneticPr fontId="24"/>
  </si>
  <si>
    <t xml:space="preserve">KẾ HOẠCH GIA CÔNG </t>
  </si>
  <si>
    <t>CHÚ Ý</t>
  </si>
  <si>
    <t>Số Pcs</t>
    <phoneticPr fontId="43"/>
  </si>
  <si>
    <t>Số Y/c</t>
    <phoneticPr fontId="43"/>
  </si>
  <si>
    <r>
      <t>12</t>
    </r>
    <r>
      <rPr>
        <b/>
        <sz val="12"/>
        <color theme="1"/>
        <rFont val="Arial Unicode MS"/>
        <family val="2"/>
        <charset val="128"/>
      </rPr>
      <t>月</t>
    </r>
  </si>
  <si>
    <r>
      <t>11</t>
    </r>
    <r>
      <rPr>
        <b/>
        <sz val="12"/>
        <color theme="1"/>
        <rFont val="Arial Unicode MS"/>
        <family val="2"/>
        <charset val="128"/>
      </rPr>
      <t>月</t>
    </r>
  </si>
  <si>
    <r>
      <t>10</t>
    </r>
    <r>
      <rPr>
        <b/>
        <sz val="12"/>
        <color theme="1"/>
        <rFont val="Arial Unicode MS"/>
        <family val="2"/>
        <charset val="128"/>
      </rPr>
      <t>月</t>
    </r>
  </si>
  <si>
    <r>
      <t>9</t>
    </r>
    <r>
      <rPr>
        <b/>
        <sz val="12"/>
        <color theme="1"/>
        <rFont val="Arial Unicode MS"/>
        <family val="2"/>
        <charset val="128"/>
      </rPr>
      <t>月</t>
    </r>
  </si>
  <si>
    <r>
      <t>8</t>
    </r>
    <r>
      <rPr>
        <b/>
        <sz val="12"/>
        <color theme="1"/>
        <rFont val="Arial Unicode MS"/>
        <family val="2"/>
        <charset val="128"/>
      </rPr>
      <t>月</t>
    </r>
  </si>
  <si>
    <r>
      <t>7</t>
    </r>
    <r>
      <rPr>
        <b/>
        <sz val="12"/>
        <color theme="1"/>
        <rFont val="Arial Unicode MS"/>
        <family val="2"/>
        <charset val="128"/>
      </rPr>
      <t>月</t>
    </r>
  </si>
  <si>
    <r>
      <t>6</t>
    </r>
    <r>
      <rPr>
        <b/>
        <sz val="12"/>
        <color theme="1"/>
        <rFont val="Arial Unicode MS"/>
        <family val="2"/>
        <charset val="128"/>
      </rPr>
      <t>月</t>
    </r>
  </si>
  <si>
    <r>
      <t>5</t>
    </r>
    <r>
      <rPr>
        <b/>
        <sz val="12"/>
        <color theme="1"/>
        <rFont val="Arial Unicode MS"/>
        <family val="2"/>
        <charset val="128"/>
      </rPr>
      <t>月</t>
    </r>
  </si>
  <si>
    <r>
      <t>4</t>
    </r>
    <r>
      <rPr>
        <b/>
        <sz val="12"/>
        <color theme="1"/>
        <rFont val="Arial Unicode MS"/>
        <family val="2"/>
        <charset val="128"/>
      </rPr>
      <t>月</t>
    </r>
  </si>
  <si>
    <r>
      <t>3</t>
    </r>
    <r>
      <rPr>
        <b/>
        <sz val="12"/>
        <color theme="1"/>
        <rFont val="Arial Unicode MS"/>
        <family val="2"/>
        <charset val="128"/>
      </rPr>
      <t>月</t>
    </r>
  </si>
  <si>
    <r>
      <t>2</t>
    </r>
    <r>
      <rPr>
        <b/>
        <sz val="12"/>
        <color theme="1"/>
        <rFont val="Arial Unicode MS"/>
        <family val="2"/>
        <charset val="128"/>
      </rPr>
      <t>月</t>
    </r>
  </si>
  <si>
    <r>
      <t>1</t>
    </r>
    <r>
      <rPr>
        <b/>
        <sz val="12"/>
        <color theme="1"/>
        <rFont val="Arial Unicode MS"/>
        <family val="2"/>
        <charset val="128"/>
      </rPr>
      <t>月</t>
    </r>
  </si>
  <si>
    <t>Quản lí tiến độ</t>
    <phoneticPr fontId="43"/>
  </si>
  <si>
    <t>Mục tiêu CostDown từng tháng</t>
    <phoneticPr fontId="0" type="Hiragana"/>
  </si>
  <si>
    <t>Tổng</t>
    <phoneticPr fontId="0" type="Hiragana"/>
  </si>
  <si>
    <t>Kế hoạch gia công</t>
    <phoneticPr fontId="0" type="Hiragana"/>
  </si>
  <si>
    <t>File 
PDF</t>
    <phoneticPr fontId="0" type="Hiragana"/>
  </si>
  <si>
    <t>S,R no</t>
  </si>
  <si>
    <t>Stt</t>
  </si>
  <si>
    <t>Số Pcs</t>
    <phoneticPr fontId="3"/>
  </si>
  <si>
    <t>Số Y/c</t>
    <phoneticPr fontId="3"/>
  </si>
  <si>
    <t>Quản lí tiến độ</t>
    <phoneticPr fontId="3"/>
  </si>
  <si>
    <t>Thực tích costdown từng tháng</t>
    <phoneticPr fontId="0" type="Hiragana"/>
  </si>
  <si>
    <t>SL</t>
    <phoneticPr fontId="4"/>
  </si>
  <si>
    <t>CD</t>
    <phoneticPr fontId="4"/>
  </si>
  <si>
    <t>Tổng số tiền
(TRIỆU VND)</t>
  </si>
  <si>
    <r>
      <t>TT L</t>
    </r>
    <r>
      <rPr>
        <sz val="11"/>
        <color theme="1"/>
        <rFont val="Calibri"/>
        <family val="2"/>
        <scheme val="minor"/>
      </rPr>
      <t>ũy Kế</t>
    </r>
  </si>
  <si>
    <t>MT đơn tháng</t>
  </si>
  <si>
    <t>MT Lũy kế</t>
  </si>
  <si>
    <r>
      <t>H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Calibri"/>
        <family val="2"/>
        <scheme val="minor"/>
      </rPr>
      <t>ng tu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 xml:space="preserve">n </t>
    </r>
    <phoneticPr fontId="24"/>
  </si>
  <si>
    <r>
      <t>3.H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Calibri"/>
        <family val="2"/>
        <scheme val="minor"/>
      </rPr>
      <t>ng tu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h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  <scheme val="minor"/>
      </rPr>
      <t>p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u ca và cu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>i ca th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o lu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và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  <scheme val="minor"/>
      </rPr>
      <t>c thi</t>
    </r>
    <phoneticPr fontId="24"/>
  </si>
  <si>
    <r>
      <t>1.L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 kê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ch gia công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cho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Calibri"/>
        <family val="2"/>
        <scheme val="minor"/>
      </rPr>
      <t>ng S.NO (Yêu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u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b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Calibri"/>
        <family val="2"/>
        <scheme val="minor"/>
      </rPr>
      <t xml:space="preserve"> phát hành 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Calibri"/>
        <family val="2"/>
        <scheme val="minor"/>
      </rPr>
      <t>t hàng )</t>
    </r>
    <phoneticPr fontId="24"/>
  </si>
  <si>
    <r>
      <t>4.Khi đã cosdow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c S,NO trên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游ゴシック"/>
        <family val="2"/>
        <charset val="128"/>
      </rPr>
      <t xml:space="preserve"> tiên hành tiêu chu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游ゴシック"/>
        <family val="2"/>
        <charset val="128"/>
      </rPr>
      <t>n hóa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</rPr>
      <t xml:space="preserve">i </t>
    </r>
    <r>
      <rPr>
        <sz val="11"/>
        <color theme="1"/>
        <rFont val="Calibri"/>
        <family val="2"/>
        <scheme val="minor"/>
      </rPr>
      <t>ph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Calibri"/>
        <family val="2"/>
        <scheme val="minor"/>
      </rPr>
      <t xml:space="preserve">ng pháp gia công </t>
    </r>
    <phoneticPr fontId="24"/>
  </si>
  <si>
    <r>
      <t>V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 xml:space="preserve"> </t>
    </r>
    <phoneticPr fontId="24"/>
  </si>
  <si>
    <r>
      <t>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  <scheme val="minor"/>
      </rPr>
      <t xml:space="preserve">c sách </t>
    </r>
    <phoneticPr fontId="24"/>
  </si>
  <si>
    <t>BJ</t>
    <phoneticPr fontId="24"/>
  </si>
  <si>
    <t>ED</t>
    <phoneticPr fontId="24"/>
  </si>
  <si>
    <t>MA</t>
    <phoneticPr fontId="24"/>
  </si>
  <si>
    <t>LA</t>
    <phoneticPr fontId="24"/>
  </si>
  <si>
    <t>AA</t>
    <phoneticPr fontId="24"/>
  </si>
  <si>
    <t>EW</t>
    <phoneticPr fontId="24"/>
  </si>
  <si>
    <t>MC</t>
    <phoneticPr fontId="24"/>
  </si>
  <si>
    <t>EN</t>
    <phoneticPr fontId="24"/>
  </si>
  <si>
    <t>GP</t>
    <phoneticPr fontId="24"/>
  </si>
  <si>
    <t>TT</t>
    <phoneticPr fontId="24"/>
  </si>
  <si>
    <t>CĐ</t>
    <phoneticPr fontId="24"/>
  </si>
  <si>
    <t>AB</t>
    <phoneticPr fontId="24"/>
  </si>
  <si>
    <t>AC</t>
    <phoneticPr fontId="24"/>
  </si>
  <si>
    <t>AF</t>
    <phoneticPr fontId="24"/>
  </si>
  <si>
    <t>AL</t>
    <phoneticPr fontId="24"/>
  </si>
  <si>
    <t>DA</t>
    <phoneticPr fontId="24"/>
  </si>
  <si>
    <t>GC</t>
    <phoneticPr fontId="24"/>
  </si>
  <si>
    <t>GJ</t>
    <phoneticPr fontId="24"/>
  </si>
  <si>
    <t>GR</t>
    <phoneticPr fontId="24"/>
  </si>
  <si>
    <t>GS</t>
    <phoneticPr fontId="24"/>
  </si>
  <si>
    <t>HT</t>
    <phoneticPr fontId="24"/>
  </si>
  <si>
    <t>LN</t>
    <phoneticPr fontId="24"/>
  </si>
  <si>
    <t>WG</t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</si>
  <si>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GIÁ/PHÚT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</si>
  <si>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THÁNG 9/2025</t>
    </r>
    <phoneticPr fontId="24"/>
  </si>
  <si>
    <t>TỔNG HỢP CÁC SNO. HOÀN THÀNH</t>
  </si>
  <si>
    <t>TT</t>
  </si>
  <si>
    <t>S.NO</t>
  </si>
  <si>
    <t>Giá GCN(USD)</t>
  </si>
  <si>
    <t>Ghi Chú</t>
  </si>
  <si>
    <r>
      <t>Th</t>
    </r>
    <r>
      <rPr>
        <sz val="8"/>
        <color theme="1"/>
        <rFont val="Calibri"/>
        <family val="2"/>
      </rPr>
      <t>ự</t>
    </r>
    <r>
      <rPr>
        <sz val="8"/>
        <color theme="1"/>
        <rFont val="Calibri"/>
        <family val="3"/>
        <charset val="128"/>
        <scheme val="minor"/>
      </rPr>
      <t>c tích 2025</t>
    </r>
    <phoneticPr fontId="24"/>
  </si>
  <si>
    <r>
      <t>M</t>
    </r>
    <r>
      <rPr>
        <sz val="8"/>
        <color theme="1"/>
        <rFont val="Calibri"/>
        <family val="2"/>
      </rPr>
      <t>ụ</t>
    </r>
    <r>
      <rPr>
        <sz val="8"/>
        <color theme="1"/>
        <rFont val="Calibri"/>
        <family val="3"/>
        <charset val="128"/>
        <scheme val="minor"/>
      </rPr>
      <t>c tiêu 2026</t>
    </r>
    <phoneticPr fontId="24"/>
  </si>
  <si>
    <t>CU-W</t>
    <phoneticPr fontId="24"/>
  </si>
  <si>
    <t>C-1100</t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</si>
  <si>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gia công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 xml:space="preserve">i 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</si>
  <si>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s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 xml:space="preserve">a </t>
    </r>
    <phoneticPr fontId="24"/>
  </si>
  <si>
    <t>v</t>
    <phoneticPr fontId="24"/>
  </si>
  <si>
    <t>V</t>
    <phoneticPr fontId="24"/>
  </si>
  <si>
    <t>PIN</t>
    <phoneticPr fontId="24"/>
  </si>
  <si>
    <t>Khuôn thành hình</t>
    <phoneticPr fontId="24"/>
  </si>
  <si>
    <r>
      <t>Khuôn d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 VL-CUW</t>
    </r>
    <phoneticPr fontId="24"/>
  </si>
  <si>
    <t>ĐAI ĐỌT DẬP</t>
  </si>
  <si>
    <t>DAIPUT</t>
    <phoneticPr fontId="24"/>
  </si>
  <si>
    <r>
      <t>Linh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</t>
    </r>
    <phoneticPr fontId="24"/>
  </si>
  <si>
    <t>Tên</t>
    <phoneticPr fontId="24"/>
  </si>
  <si>
    <r>
      <t>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</si>
  <si>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
trung bình</t>
    </r>
    <phoneticPr fontId="24"/>
  </si>
  <si>
    <t>ALL</t>
    <phoneticPr fontId="24"/>
  </si>
  <si>
    <r>
      <t xml:space="preserve"> Tiêu chu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Calibri"/>
        <family val="2"/>
        <scheme val="minor"/>
      </rPr>
      <t>n
L 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khi gia 
công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i (mm)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</si>
  <si>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gia công
 s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a/1 l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 xml:space="preserve">n </t>
    </r>
    <phoneticPr fontId="24"/>
  </si>
  <si>
    <r>
      <t>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VL th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游ゴシック"/>
        <family val="2"/>
        <charset val="128"/>
      </rPr>
      <t>ng</t>
    </r>
    <phoneticPr fontId="24"/>
  </si>
  <si>
    <r>
      <t>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VL -WC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</si>
  <si>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ng
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charset val="128"/>
      </rPr>
      <t>n c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游ゴシック"/>
        <family val="2"/>
        <charset val="128"/>
      </rPr>
      <t>c</t>
    </r>
    <phoneticPr fontId="24"/>
  </si>
  <si>
    <r>
      <rPr>
        <sz val="11"/>
        <color theme="1"/>
        <rFont val="Calibri"/>
        <family val="2"/>
        <charset val="163"/>
      </rPr>
      <t>Số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游ゴシック"/>
        <family val="2"/>
        <charset val="128"/>
      </rPr>
      <t>v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Calibri"/>
        <family val="2"/>
      </rPr>
      <t xml:space="preserve"> tr</t>
    </r>
    <r>
      <rPr>
        <sz val="11"/>
        <color theme="1"/>
        <rFont val="游ゴシック"/>
        <family val="2"/>
        <charset val="128"/>
      </rPr>
      <t>í</t>
    </r>
    <r>
      <rPr>
        <sz val="11"/>
        <color theme="1"/>
        <rFont val="Calibri"/>
        <family val="2"/>
      </rPr>
      <t xml:space="preserve"> 
gia c</t>
    </r>
    <r>
      <rPr>
        <sz val="11"/>
        <color theme="1"/>
        <rFont val="游ゴシック"/>
        <family val="2"/>
        <charset val="128"/>
      </rPr>
      <t>ô</t>
    </r>
    <r>
      <rPr>
        <sz val="11"/>
        <color theme="1"/>
        <rFont val="Calibri"/>
        <family val="2"/>
      </rPr>
      <t>ng</t>
    </r>
    <r>
      <rPr>
        <sz val="11"/>
        <color theme="1"/>
        <rFont val="游ゴシック"/>
        <family val="2"/>
        <charset val="128"/>
      </rPr>
      <t xml:space="preserve"> </t>
    </r>
    <phoneticPr fontId="24"/>
  </si>
  <si>
    <t xml:space="preserve">LIST QUẢN LÝ TIẾN ĐỘ CHẾ TẠO ĐIỆN CỰC </t>
  </si>
  <si>
    <t>REP</t>
    <phoneticPr fontId="24"/>
  </si>
  <si>
    <t>CĐ HT</t>
  </si>
  <si>
    <t>CĐ TT</t>
  </si>
  <si>
    <t>NV-YC</t>
  </si>
  <si>
    <t>chú ý (OK-NG )</t>
  </si>
  <si>
    <t>L412505005</t>
    <phoneticPr fontId="24"/>
  </si>
  <si>
    <t>OK</t>
  </si>
  <si>
    <t>ĐIÊN CỰC REN M2.5,3.0,4.0</t>
  </si>
  <si>
    <t>R412505804</t>
  </si>
  <si>
    <t>213502080B</t>
  </si>
  <si>
    <t>R412505805</t>
  </si>
  <si>
    <t>S918866</t>
  </si>
  <si>
    <t>R412505806</t>
  </si>
  <si>
    <t>L612308003-1</t>
  </si>
  <si>
    <t>R412505800</t>
  </si>
  <si>
    <t>R21350386B</t>
  </si>
  <si>
    <t>R412505801</t>
  </si>
  <si>
    <t>R358452</t>
  </si>
  <si>
    <t>R412505807</t>
  </si>
  <si>
    <t>L415503002-1</t>
  </si>
  <si>
    <t>l412505015</t>
    <phoneticPr fontId="24"/>
  </si>
  <si>
    <t>R492818</t>
    <phoneticPr fontId="24"/>
  </si>
  <si>
    <t>S033138</t>
  </si>
  <si>
    <t>R412505819</t>
  </si>
  <si>
    <t>L412505015</t>
    <phoneticPr fontId="24"/>
  </si>
  <si>
    <t>DC-EN-R611503005-1</t>
  </si>
  <si>
    <t>L412505014</t>
    <phoneticPr fontId="24"/>
  </si>
  <si>
    <t>L412505011</t>
    <phoneticPr fontId="24"/>
  </si>
  <si>
    <t>DC-EN-R623501001-1
               R630505010-2</t>
  </si>
  <si>
    <t>R412505816</t>
  </si>
  <si>
    <t>L412505013</t>
    <phoneticPr fontId="24"/>
  </si>
  <si>
    <t>DC-EN-213501291A</t>
  </si>
  <si>
    <t>R412505811</t>
  </si>
  <si>
    <t>R412505810</t>
  </si>
  <si>
    <t>DC-EN-213502080B</t>
  </si>
  <si>
    <t>R412406330</t>
  </si>
  <si>
    <t>R412406331</t>
  </si>
  <si>
    <t>R412506332</t>
  </si>
  <si>
    <t>L412506012</t>
    <phoneticPr fontId="24"/>
  </si>
  <si>
    <t>DC-BV-61250100023</t>
  </si>
  <si>
    <t>S856219-002</t>
  </si>
  <si>
    <t>R412507302</t>
  </si>
  <si>
    <t>213408520A(R485026)</t>
  </si>
  <si>
    <t>l412506003-</t>
    <phoneticPr fontId="24"/>
  </si>
  <si>
    <t>l412506003</t>
    <phoneticPr fontId="24"/>
  </si>
  <si>
    <t>L412507001</t>
    <phoneticPr fontId="24"/>
  </si>
  <si>
    <t>DC 4155040010-1</t>
    <phoneticPr fontId="24"/>
  </si>
  <si>
    <t>DC 4155040010-2</t>
    <phoneticPr fontId="24"/>
  </si>
  <si>
    <t>DC-s416595</t>
    <phoneticPr fontId="24"/>
  </si>
  <si>
    <t>DC-R456475</t>
    <phoneticPr fontId="24"/>
  </si>
  <si>
    <t>DIEN CUC BV L612308003-1</t>
  </si>
  <si>
    <t>DC-EN-6215030016</t>
  </si>
  <si>
    <t>L412507004</t>
    <phoneticPr fontId="24"/>
  </si>
  <si>
    <t>ĐC-R078248</t>
    <phoneticPr fontId="24"/>
  </si>
  <si>
    <t>L412507005</t>
    <phoneticPr fontId="24"/>
  </si>
  <si>
    <t>L412507006</t>
    <phoneticPr fontId="24"/>
  </si>
  <si>
    <t>R024925</t>
    <phoneticPr fontId="24"/>
  </si>
  <si>
    <t>L412507007</t>
  </si>
  <si>
    <t>L412507007</t>
    <phoneticPr fontId="24"/>
  </si>
  <si>
    <t>L412507008</t>
    <phoneticPr fontId="24"/>
  </si>
  <si>
    <t>R412507350</t>
  </si>
  <si>
    <t>ĐC-L213507802(002)</t>
  </si>
  <si>
    <t>R412507349</t>
  </si>
  <si>
    <t>ĐC SỮA CHỮA LƯỚT ĐÁY</t>
  </si>
  <si>
    <t>R412507348</t>
  </si>
  <si>
    <t>L412507010</t>
    <phoneticPr fontId="24"/>
  </si>
  <si>
    <t>213504073a</t>
  </si>
  <si>
    <t>l412507009</t>
    <phoneticPr fontId="24"/>
  </si>
  <si>
    <t>l413506060-9</t>
  </si>
  <si>
    <t>L630506063-1-3</t>
    <phoneticPr fontId="24"/>
  </si>
  <si>
    <t>DC-EN-4155040010</t>
  </si>
  <si>
    <t>L412507011</t>
    <phoneticPr fontId="24"/>
  </si>
  <si>
    <t>L412507011</t>
  </si>
  <si>
    <t>DC-6245060050</t>
  </si>
  <si>
    <t>ĐC R105679</t>
    <phoneticPr fontId="24"/>
  </si>
  <si>
    <t>ĐC S885188</t>
    <phoneticPr fontId="24"/>
  </si>
  <si>
    <t>ĐC S210889</t>
    <phoneticPr fontId="24"/>
  </si>
  <si>
    <t>L412508001</t>
    <phoneticPr fontId="24"/>
  </si>
  <si>
    <t>R412508350</t>
    <phoneticPr fontId="24"/>
  </si>
  <si>
    <t>R412508348</t>
    <phoneticPr fontId="24"/>
  </si>
  <si>
    <t>R622507009-1</t>
  </si>
  <si>
    <t>R412508349</t>
    <phoneticPr fontId="24"/>
  </si>
  <si>
    <t>L412508010</t>
    <phoneticPr fontId="24"/>
  </si>
  <si>
    <t>DC-EN-213505139A</t>
  </si>
  <si>
    <t>L412508009</t>
    <phoneticPr fontId="24"/>
  </si>
  <si>
    <t>L412508009</t>
  </si>
  <si>
    <t>DC-EN-2135048104</t>
  </si>
  <si>
    <t>L412509001</t>
    <phoneticPr fontId="24"/>
  </si>
  <si>
    <t>L412509003</t>
  </si>
  <si>
    <t>DC-EN-R070104-01</t>
  </si>
  <si>
    <t>L412509007</t>
  </si>
  <si>
    <t>L412509005</t>
  </si>
  <si>
    <t>R412509335</t>
    <phoneticPr fontId="24"/>
  </si>
  <si>
    <t>R412509337</t>
  </si>
  <si>
    <t>L412509008</t>
  </si>
  <si>
    <t>L412509010</t>
  </si>
  <si>
    <t>DC-EN-L623509008</t>
  </si>
  <si>
    <t>DC-EN-L612412043-2</t>
  </si>
  <si>
    <t>L412509015</t>
  </si>
  <si>
    <t>l412509008</t>
  </si>
  <si>
    <t>l412510002</t>
  </si>
  <si>
    <t>GS</t>
  </si>
  <si>
    <t>ED1, EW1, GP1</t>
  </si>
  <si>
    <t>R412510319</t>
  </si>
  <si>
    <t>ĐC-R484976</t>
    <phoneticPr fontId="24"/>
  </si>
  <si>
    <t>L412510004</t>
  </si>
  <si>
    <t>ĐC-R484975</t>
    <phoneticPr fontId="24"/>
  </si>
  <si>
    <t>L412510005</t>
  </si>
  <si>
    <t>L412510005</t>
    <phoneticPr fontId="24"/>
  </si>
  <si>
    <t>ĐC-R484959</t>
    <phoneticPr fontId="24"/>
  </si>
  <si>
    <t>ĐC-EN-S416373</t>
  </si>
  <si>
    <t>R412510328</t>
  </si>
  <si>
    <t>DC-EN-R372039</t>
  </si>
  <si>
    <t>L412510006</t>
  </si>
  <si>
    <t>DC-EN-S826726</t>
  </si>
  <si>
    <t>DC-EN-R062769-01</t>
  </si>
  <si>
    <t>DC-EN-R062769-02</t>
  </si>
  <si>
    <t>Điện cực EN L413509043-3</t>
  </si>
  <si>
    <t>L412510007</t>
  </si>
  <si>
    <t>Sử dụng cho bv 6125010003</t>
  </si>
  <si>
    <t>Gia công điện cực EN bv 4155080001</t>
  </si>
  <si>
    <t>L412511002</t>
  </si>
  <si>
    <t>Gia công điện cực EN bv L415510002</t>
  </si>
  <si>
    <t>Gia công điện cực EN bv L611502057</t>
  </si>
  <si>
    <t>Gia công điện cực EN bv R013768</t>
  </si>
  <si>
    <t>Gia công điện cực EN bv S859866</t>
  </si>
  <si>
    <t>l412511003</t>
    <phoneticPr fontId="24"/>
  </si>
  <si>
    <t>MA GS-EW</t>
    <phoneticPr fontId="24"/>
  </si>
  <si>
    <t>MA</t>
  </si>
  <si>
    <t>GS-MC</t>
  </si>
  <si>
    <t>MA GS-MC</t>
    <phoneticPr fontId="24"/>
  </si>
  <si>
    <t xml:space="preserve"> GS-EW</t>
  </si>
  <si>
    <t>SL-HT</t>
    <phoneticPr fontId="24"/>
  </si>
  <si>
    <t>L412505006</t>
  </si>
  <si>
    <t>DC-S404699</t>
    <phoneticPr fontId="24"/>
  </si>
  <si>
    <t>DC-EN-R447858</t>
    <phoneticPr fontId="24"/>
  </si>
  <si>
    <t>DC S939678</t>
    <phoneticPr fontId="24"/>
  </si>
  <si>
    <t>S865855</t>
    <phoneticPr fontId="24"/>
  </si>
  <si>
    <t>DC 4158040010</t>
    <phoneticPr fontId="24"/>
  </si>
  <si>
    <t>DC-EN-S837814</t>
    <phoneticPr fontId="24"/>
  </si>
  <si>
    <t>DC-EN-L612412043</t>
    <phoneticPr fontId="24"/>
  </si>
  <si>
    <t>Ghi chú</t>
    <phoneticPr fontId="24"/>
  </si>
  <si>
    <t>R028308</t>
    <phoneticPr fontId="24"/>
  </si>
  <si>
    <t>R307559</t>
    <phoneticPr fontId="24"/>
  </si>
  <si>
    <t>Pin thành hình</t>
    <phoneticPr fontId="24"/>
  </si>
  <si>
    <t>R025385</t>
    <phoneticPr fontId="24"/>
  </si>
  <si>
    <t>Ren</t>
    <phoneticPr fontId="24"/>
  </si>
  <si>
    <t>R179279</t>
    <phoneticPr fontId="24"/>
  </si>
  <si>
    <r>
      <t>M</t>
    </r>
    <r>
      <rPr>
        <sz val="10"/>
        <color theme="1"/>
        <rFont val="Calibri"/>
        <family val="2"/>
        <charset val="163"/>
      </rPr>
      <t>ủ</t>
    </r>
    <r>
      <rPr>
        <sz val="10"/>
        <color theme="1"/>
        <rFont val="Calibri"/>
        <family val="2"/>
        <scheme val="minor"/>
      </rPr>
      <t>i vát C</t>
    </r>
    <phoneticPr fontId="24"/>
  </si>
  <si>
    <t>R067141</t>
    <phoneticPr fontId="24"/>
  </si>
  <si>
    <t>Foma</t>
    <phoneticPr fontId="24"/>
  </si>
  <si>
    <t>DC Ø</t>
    <phoneticPr fontId="24"/>
  </si>
  <si>
    <t>R183309-R183311</t>
    <phoneticPr fontId="24"/>
  </si>
  <si>
    <r>
      <t>VL Th</t>
    </r>
    <r>
      <rPr>
        <sz val="10"/>
        <color theme="1"/>
        <rFont val="Segoe UI"/>
        <family val="2"/>
        <charset val="238"/>
      </rPr>
      <t>ư</t>
    </r>
    <r>
      <rPr>
        <sz val="10"/>
        <color theme="1"/>
        <rFont val="Calibri"/>
        <family val="2"/>
        <charset val="163"/>
      </rPr>
      <t>ờ</t>
    </r>
    <r>
      <rPr>
        <sz val="10"/>
        <color theme="1"/>
        <rFont val="游ゴシック"/>
        <family val="2"/>
        <charset val="128"/>
      </rPr>
      <t>ng</t>
    </r>
    <phoneticPr fontId="24"/>
  </si>
  <si>
    <t>DC-EN-S161757</t>
    <phoneticPr fontId="24"/>
  </si>
  <si>
    <t>Đai put</t>
  </si>
  <si>
    <t>Đai put</t>
    <phoneticPr fontId="24"/>
  </si>
  <si>
    <t>DC-EN-R067141</t>
    <phoneticPr fontId="24"/>
  </si>
  <si>
    <t>DC-EN-R456474</t>
    <phoneticPr fontId="24"/>
  </si>
  <si>
    <t>DC-EN-R181243</t>
    <phoneticPr fontId="24"/>
  </si>
  <si>
    <t>DC-EN-R570941</t>
    <phoneticPr fontId="24"/>
  </si>
  <si>
    <t>DC-EN-R067142</t>
    <phoneticPr fontId="24"/>
  </si>
  <si>
    <t>DC-EN-R056239</t>
    <phoneticPr fontId="24"/>
  </si>
  <si>
    <t>DC-EN-R059797</t>
    <phoneticPr fontId="24"/>
  </si>
  <si>
    <t>DC-EN-R059797,R056239,R056240</t>
    <phoneticPr fontId="24"/>
  </si>
  <si>
    <t>DC-EN-S847751</t>
    <phoneticPr fontId="24"/>
  </si>
  <si>
    <t xml:space="preserve">Đai WC </t>
    <phoneticPr fontId="24"/>
  </si>
  <si>
    <t>DC-EN-S446680</t>
    <phoneticPr fontId="24"/>
  </si>
  <si>
    <t>2135018311(R062769)</t>
    <phoneticPr fontId="24"/>
  </si>
  <si>
    <t>R341173</t>
    <phoneticPr fontId="24"/>
  </si>
  <si>
    <t>Vác C</t>
    <phoneticPr fontId="24"/>
  </si>
  <si>
    <t>DC S856219</t>
    <phoneticPr fontId="24"/>
  </si>
  <si>
    <t>DC-R179279</t>
    <phoneticPr fontId="24"/>
  </si>
  <si>
    <t>DC-R152939</t>
    <phoneticPr fontId="24"/>
  </si>
  <si>
    <t>DC-S416595</t>
    <phoneticPr fontId="24"/>
  </si>
  <si>
    <t>DC-EN-R069462</t>
    <phoneticPr fontId="24"/>
  </si>
  <si>
    <t>Đai WC</t>
    <phoneticPr fontId="24"/>
  </si>
  <si>
    <t>DIEN CUC R447868</t>
    <phoneticPr fontId="24"/>
  </si>
  <si>
    <t>ĐC-R078249</t>
    <phoneticPr fontId="24"/>
  </si>
  <si>
    <t>DC-EN-R013768</t>
    <phoneticPr fontId="24"/>
  </si>
  <si>
    <t>R447868+R447872</t>
    <phoneticPr fontId="24"/>
  </si>
  <si>
    <t>DC-R307558</t>
    <phoneticPr fontId="24"/>
  </si>
  <si>
    <t>S765073</t>
    <phoneticPr fontId="24"/>
  </si>
  <si>
    <t>R175058</t>
    <phoneticPr fontId="24"/>
  </si>
  <si>
    <t>S789281</t>
    <phoneticPr fontId="24"/>
  </si>
  <si>
    <t>DC-EN-S935805</t>
    <phoneticPr fontId="24"/>
  </si>
  <si>
    <t>DC-EN-R245251</t>
    <phoneticPr fontId="24"/>
  </si>
  <si>
    <t>DC-EN-S743588</t>
    <phoneticPr fontId="24"/>
  </si>
  <si>
    <t>DC-EN-R022849</t>
    <phoneticPr fontId="24"/>
  </si>
  <si>
    <t>DC-EN-R414817</t>
    <phoneticPr fontId="24"/>
  </si>
  <si>
    <t>DC-EN-R485020</t>
    <phoneticPr fontId="24"/>
  </si>
  <si>
    <t>DC-EN-R399614</t>
    <phoneticPr fontId="24"/>
  </si>
  <si>
    <t>VL Thường</t>
    <phoneticPr fontId="24"/>
  </si>
  <si>
    <t>DC-EN-S765073</t>
    <phoneticPr fontId="24"/>
  </si>
  <si>
    <t>DC-EN-S416593</t>
    <phoneticPr fontId="24"/>
  </si>
  <si>
    <t>DC-EN-R372298
DC-EN-S416373</t>
    <phoneticPr fontId="24"/>
  </si>
  <si>
    <t>DC-EN-R057094-1</t>
    <phoneticPr fontId="24"/>
  </si>
  <si>
    <t>DC-R006582</t>
    <phoneticPr fontId="24"/>
  </si>
  <si>
    <t>DC-EN-R099763</t>
    <phoneticPr fontId="24"/>
  </si>
  <si>
    <t>ĐAI WC</t>
    <phoneticPr fontId="24"/>
  </si>
  <si>
    <t>DC-EN-R064492</t>
    <phoneticPr fontId="24"/>
  </si>
  <si>
    <t>DC-EN-R067134</t>
    <phoneticPr fontId="24"/>
  </si>
  <si>
    <t>DC-EN-S775354</t>
    <phoneticPr fontId="24"/>
  </si>
  <si>
    <t>DC-R070104</t>
    <phoneticPr fontId="24"/>
  </si>
  <si>
    <t>DC R372298</t>
    <phoneticPr fontId="24"/>
  </si>
  <si>
    <t>DC-S416373</t>
    <phoneticPr fontId="24"/>
  </si>
  <si>
    <t>OK</t>
    <phoneticPr fontId="24"/>
  </si>
  <si>
    <r>
      <t>VL Th</t>
    </r>
    <r>
      <rPr>
        <sz val="10"/>
        <color theme="1"/>
        <rFont val="Segoe UI"/>
        <family val="2"/>
        <charset val="238"/>
      </rPr>
      <t>ư</t>
    </r>
    <r>
      <rPr>
        <sz val="10"/>
        <color theme="1"/>
        <rFont val="Calibri"/>
        <family val="2"/>
        <charset val="163"/>
      </rPr>
      <t>ờ</t>
    </r>
    <r>
      <rPr>
        <sz val="10"/>
        <color theme="1"/>
        <rFont val="Calibri"/>
        <family val="2"/>
        <scheme val="minor"/>
      </rPr>
      <t>ng</t>
    </r>
    <phoneticPr fontId="24"/>
  </si>
  <si>
    <t>DC-EN-S834156</t>
    <phoneticPr fontId="24"/>
  </si>
  <si>
    <t>DC-EN-S162081</t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</si>
  <si>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USD</t>
    </r>
    <phoneticPr fontId="24"/>
  </si>
  <si>
    <r>
      <t>Đ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Calibri"/>
        <family val="2"/>
        <scheme val="minor"/>
      </rPr>
      <t xml:space="preserve">n giá gia công 1p (vnđ)
</t>
    </r>
    <phoneticPr fontId="24"/>
  </si>
  <si>
    <r>
      <t>Đ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Calibri"/>
        <family val="2"/>
        <scheme val="minor"/>
      </rPr>
      <t xml:space="preserve">n giá gia công cho bv (usd)
</t>
    </r>
    <phoneticPr fontId="24"/>
  </si>
  <si>
    <t>ĐC-EN- S245169</t>
    <phoneticPr fontId="24"/>
  </si>
  <si>
    <t>ĐC-EN-S165735</t>
    <phoneticPr fontId="24"/>
  </si>
  <si>
    <t>ĐC-EN-S870614</t>
    <phoneticPr fontId="24"/>
  </si>
  <si>
    <t>ĐC-EN-R152943</t>
    <phoneticPr fontId="24"/>
  </si>
  <si>
    <r>
      <t>Đ</t>
    </r>
    <r>
      <rPr>
        <sz val="11"/>
        <color theme="1"/>
        <rFont val="Segoe UI"/>
        <family val="2"/>
        <charset val="238"/>
      </rPr>
      <t>ơn gi</t>
    </r>
    <r>
      <rPr>
        <sz val="11"/>
        <color theme="1"/>
        <rFont val="游ゴシック"/>
        <family val="2"/>
        <charset val="128"/>
      </rPr>
      <t>á</t>
    </r>
    <r>
      <rPr>
        <sz val="11"/>
        <color theme="1"/>
        <rFont val="Segoe UI"/>
        <family val="2"/>
        <charset val="238"/>
      </rPr>
      <t xml:space="preserve"> trung b</t>
    </r>
    <r>
      <rPr>
        <sz val="11"/>
        <color theme="1"/>
        <rFont val="游ゴシック"/>
        <family val="2"/>
        <charset val="128"/>
      </rPr>
      <t>ì</t>
    </r>
    <r>
      <rPr>
        <sz val="11"/>
        <color theme="1"/>
        <rFont val="Segoe UI"/>
        <family val="2"/>
        <charset val="238"/>
      </rPr>
      <t>nh
 gia c</t>
    </r>
    <r>
      <rPr>
        <sz val="11"/>
        <color theme="1"/>
        <rFont val="游ゴシック"/>
        <family val="2"/>
        <charset val="128"/>
      </rPr>
      <t>ô</t>
    </r>
    <r>
      <rPr>
        <sz val="11"/>
        <color theme="1"/>
        <rFont val="Segoe UI"/>
        <family val="2"/>
        <charset val="238"/>
      </rPr>
      <t xml:space="preserve">ng mới 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</si>
  <si>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
vnđ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</si>
  <si>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
usd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</si>
  <si>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游ゴシック"/>
        <family val="2"/>
        <charset val="128"/>
      </rPr>
      <t>n giá trung bình gia 
công s</t>
    </r>
    <r>
      <rPr>
        <sz val="11"/>
        <color theme="1"/>
        <rFont val="Segoe UI"/>
        <family val="2"/>
        <charset val="238"/>
      </rPr>
      <t>ữ</t>
    </r>
    <r>
      <rPr>
        <sz val="11"/>
        <color theme="1"/>
        <rFont val="游ゴシック"/>
        <family val="2"/>
        <charset val="128"/>
      </rPr>
      <t>a ch</t>
    </r>
    <r>
      <rPr>
        <sz val="11"/>
        <color theme="1"/>
        <rFont val="Segoe UI"/>
        <family val="2"/>
        <charset val="238"/>
      </rPr>
      <t>ữ</t>
    </r>
    <r>
      <rPr>
        <sz val="11"/>
        <color theme="1"/>
        <rFont val="游ゴシック"/>
        <family val="2"/>
        <charset val="128"/>
      </rPr>
      <t>a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</si>
  <si>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 xml:space="preserve">u
trung bình </t>
    </r>
    <phoneticPr fontId="24"/>
  </si>
  <si>
    <t>R412505814</t>
    <phoneticPr fontId="24"/>
  </si>
  <si>
    <t>r412507319</t>
    <phoneticPr fontId="24"/>
  </si>
  <si>
    <t>R412507322</t>
    <phoneticPr fontId="24"/>
  </si>
  <si>
    <t>L412509007</t>
    <phoneticPr fontId="24"/>
  </si>
  <si>
    <t>L412510004</t>
    <phoneticPr fontId="24"/>
  </si>
  <si>
    <t>R412505812</t>
    <phoneticPr fontId="24"/>
  </si>
  <si>
    <t>R412507321</t>
    <phoneticPr fontId="24"/>
  </si>
  <si>
    <t>Cavi</t>
    <phoneticPr fontId="24"/>
  </si>
  <si>
    <t>ALL</t>
    <phoneticPr fontId="24"/>
  </si>
  <si>
    <t>V</t>
    <phoneticPr fontId="24"/>
  </si>
  <si>
    <t>Cavi</t>
    <phoneticPr fontId="24"/>
  </si>
  <si>
    <t>Ren (wc)+Ø</t>
    <phoneticPr fontId="24"/>
  </si>
  <si>
    <t>L412509005</t>
    <phoneticPr fontId="24"/>
  </si>
  <si>
    <t>VL WC</t>
    <phoneticPr fontId="24"/>
  </si>
  <si>
    <t>ĐC</t>
    <phoneticPr fontId="24"/>
  </si>
  <si>
    <t>Vát C</t>
    <phoneticPr fontId="24"/>
  </si>
  <si>
    <t>ALL</t>
    <phoneticPr fontId="24"/>
  </si>
  <si>
    <t>V</t>
    <phoneticPr fontId="24"/>
  </si>
  <si>
    <r>
      <t>SO SÁNH M</t>
    </r>
    <r>
      <rPr>
        <b/>
        <sz val="14"/>
        <color theme="1"/>
        <rFont val="Calibri"/>
        <family val="2"/>
      </rPr>
      <t>Ụ</t>
    </r>
    <r>
      <rPr>
        <b/>
        <sz val="14"/>
        <color theme="1"/>
        <rFont val="Calibri"/>
        <family val="3"/>
        <charset val="128"/>
        <scheme val="minor"/>
      </rPr>
      <t>C TIÊU 2026 V</t>
    </r>
    <r>
      <rPr>
        <b/>
        <sz val="14"/>
        <color theme="1"/>
        <rFont val="Calibri"/>
        <family val="2"/>
      </rPr>
      <t>Ớ</t>
    </r>
    <r>
      <rPr>
        <b/>
        <sz val="14"/>
        <color theme="1"/>
        <rFont val="Calibri"/>
        <family val="3"/>
        <charset val="128"/>
        <scheme val="minor"/>
      </rPr>
      <t>I TH</t>
    </r>
    <r>
      <rPr>
        <b/>
        <sz val="14"/>
        <color theme="1"/>
        <rFont val="Calibri"/>
        <family val="2"/>
      </rPr>
      <t>Ự</t>
    </r>
    <r>
      <rPr>
        <b/>
        <sz val="14"/>
        <color theme="1"/>
        <rFont val="Calibri"/>
        <family val="3"/>
        <charset val="128"/>
        <scheme val="minor"/>
      </rPr>
      <t>C TÍCH 2025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</si>
  <si>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</t>
    </r>
    <phoneticPr fontId="24"/>
  </si>
  <si>
    <t>File 
PDF</t>
    <phoneticPr fontId="4" type="Hiragana"/>
  </si>
  <si>
    <t>Kế hoạch
 2026 (PCS)</t>
    <phoneticPr fontId="47"/>
  </si>
  <si>
    <t>Đơn Giá costdown
(USD)</t>
    <phoneticPr fontId="47"/>
  </si>
  <si>
    <t>Kế hoạch gia công</t>
    <phoneticPr fontId="4" type="Hiragana"/>
  </si>
  <si>
    <t>Tổng</t>
    <phoneticPr fontId="4" type="Hiragana"/>
  </si>
  <si>
    <t>Mục tiêu CostDown từng tháng</t>
    <phoneticPr fontId="4" type="Hiragana"/>
  </si>
  <si>
    <t>Đơn Giá
(USD)</t>
  </si>
  <si>
    <t>1.Nội tác linh kiện tồn kho</t>
    <phoneticPr fontId="24"/>
  </si>
  <si>
    <t>2.Nội tác LK khuôn thành hình</t>
    <phoneticPr fontId="24"/>
  </si>
  <si>
    <t>3.Nội tác LK khuôn dập</t>
    <phoneticPr fontId="24"/>
  </si>
  <si>
    <r>
      <t>Các h</t>
    </r>
    <r>
      <rPr>
        <sz val="20"/>
        <color theme="1"/>
        <rFont val="Calibri"/>
        <family val="2"/>
      </rPr>
      <t>ạ</t>
    </r>
    <r>
      <rPr>
        <sz val="20"/>
        <color theme="1"/>
        <rFont val="Calibri"/>
        <family val="3"/>
        <charset val="128"/>
        <scheme val="minor"/>
      </rPr>
      <t>ng m</t>
    </r>
    <r>
      <rPr>
        <sz val="20"/>
        <color theme="1"/>
        <rFont val="Calibri"/>
        <family val="2"/>
      </rPr>
      <t>ụ</t>
    </r>
    <r>
      <rPr>
        <sz val="20"/>
        <color theme="1"/>
        <rFont val="Calibri"/>
        <family val="3"/>
        <charset val="128"/>
        <scheme val="minor"/>
      </rPr>
      <t>c costdown năm 2026</t>
    </r>
    <phoneticPr fontId="20" type="noConversion"/>
  </si>
  <si>
    <t>2026/01</t>
    <phoneticPr fontId="24"/>
  </si>
  <si>
    <t>2026/12</t>
    <phoneticPr fontId="24"/>
  </si>
  <si>
    <r>
      <t>2.Năm 2026 v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Calibri"/>
        <family val="2"/>
        <scheme val="minor"/>
      </rPr>
      <t>n n</t>
    </r>
    <r>
      <rPr>
        <sz val="11"/>
        <color theme="1"/>
        <rFont val="Calibri"/>
        <family val="2"/>
      </rPr>
      <t>ộ</t>
    </r>
    <r>
      <rPr>
        <sz val="11"/>
        <color theme="1"/>
        <rFont val="Calibri"/>
        <family val="3"/>
        <charset val="128"/>
        <scheme val="minor"/>
      </rPr>
      <t>i tác  3 h</t>
    </r>
    <r>
      <rPr>
        <sz val="11"/>
        <color theme="1"/>
        <rFont val="Calibri"/>
        <family val="2"/>
      </rPr>
      <t>ạ</t>
    </r>
    <r>
      <rPr>
        <sz val="11"/>
        <color theme="1"/>
        <rFont val="Calibri"/>
        <family val="3"/>
        <charset val="128"/>
        <scheme val="minor"/>
      </rPr>
      <t>ng m</t>
    </r>
    <r>
      <rPr>
        <sz val="11"/>
        <color theme="1"/>
        <rFont val="Calibri"/>
        <family val="2"/>
      </rPr>
      <t>ụ</t>
    </r>
    <r>
      <rPr>
        <sz val="11"/>
        <color theme="1"/>
        <rFont val="Calibri"/>
        <family val="3"/>
        <charset val="128"/>
        <scheme val="minor"/>
      </rPr>
      <t>c trên s</t>
    </r>
    <r>
      <rPr>
        <sz val="11"/>
        <color theme="1"/>
        <rFont val="Calibri"/>
        <family val="2"/>
      </rPr>
      <t>ố</t>
    </r>
    <r>
      <rPr>
        <sz val="11"/>
        <color theme="1"/>
        <rFont val="Calibri"/>
        <family val="3"/>
        <charset val="128"/>
        <scheme val="minor"/>
      </rPr>
      <t xml:space="preserve"> ti</t>
    </r>
    <r>
      <rPr>
        <sz val="11"/>
        <color theme="1"/>
        <rFont val="Calibri"/>
        <family val="2"/>
      </rPr>
      <t>ề</t>
    </r>
    <r>
      <rPr>
        <sz val="11"/>
        <color theme="1"/>
        <rFont val="Calibri"/>
        <family val="3"/>
        <charset val="128"/>
        <scheme val="minor"/>
      </rPr>
      <t>n n</t>
    </r>
    <r>
      <rPr>
        <sz val="11"/>
        <color theme="1"/>
        <rFont val="Calibri"/>
        <family val="2"/>
      </rPr>
      <t>ộ</t>
    </r>
    <r>
      <rPr>
        <sz val="11"/>
        <color theme="1"/>
        <rFont val="Calibri"/>
        <family val="3"/>
        <charset val="128"/>
        <scheme val="minor"/>
      </rPr>
      <t>i tác cao h</t>
    </r>
    <r>
      <rPr>
        <sz val="11"/>
        <color theme="1"/>
        <rFont val="Calibri"/>
        <family val="2"/>
      </rPr>
      <t>ơ</t>
    </r>
    <r>
      <rPr>
        <sz val="11"/>
        <color theme="1"/>
        <rFont val="Calibri"/>
        <family val="2"/>
        <scheme val="minor"/>
      </rPr>
      <t>n 10%
=&gt;T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 trung ch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Calibri"/>
        <family val="2"/>
        <scheme val="minor"/>
      </rPr>
      <t xml:space="preserve"> y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u vào  gia công hàng tòn kho  giá thành cao( linh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khuôn thành hình ,linh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khuôn d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p...)</t>
    </r>
    <phoneticPr fontId="24"/>
  </si>
  <si>
    <r>
      <t>1.2025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  <scheme val="minor"/>
      </rPr>
      <t>i tác 3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n m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>c đ</t>
    </r>
    <r>
      <rPr>
        <sz val="11"/>
        <color theme="1"/>
        <rFont val="Calibri"/>
        <family val="2"/>
        <charset val="163"/>
      </rPr>
      <t>ạt chỉ ti</t>
    </r>
    <r>
      <rPr>
        <sz val="11"/>
        <color theme="1"/>
        <rFont val="游ゴシック"/>
        <family val="2"/>
        <charset val="128"/>
      </rPr>
      <t>ê</t>
    </r>
    <r>
      <rPr>
        <sz val="11"/>
        <color theme="1"/>
        <rFont val="Calibri"/>
        <family val="2"/>
        <charset val="163"/>
      </rPr>
      <t>u 103 % so với mục ti</t>
    </r>
    <r>
      <rPr>
        <sz val="11"/>
        <color theme="1"/>
        <rFont val="游ゴシック"/>
        <family val="2"/>
        <charset val="128"/>
      </rPr>
      <t>ê</t>
    </r>
    <r>
      <rPr>
        <sz val="11"/>
        <color theme="1"/>
        <rFont val="Calibri"/>
        <family val="2"/>
        <charset val="163"/>
      </rPr>
      <t>u đề ra 100%</t>
    </r>
    <phoneticPr fontId="24"/>
  </si>
  <si>
    <t>Thực tích costdown từng tháng</t>
    <phoneticPr fontId="3" type="Hiragana"/>
  </si>
  <si>
    <t>Kế hoạch
 2026 (PCS)</t>
    <phoneticPr fontId="24"/>
  </si>
  <si>
    <t>2025/12</t>
    <phoneticPr fontId="24"/>
  </si>
  <si>
    <r>
      <t>H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Calibri"/>
        <family val="2"/>
        <scheme val="minor"/>
      </rPr>
      <t>ng ngày</t>
    </r>
    <phoneticPr fontId="24"/>
  </si>
  <si>
    <r>
      <t>3.H</t>
    </r>
    <r>
      <rPr>
        <sz val="11"/>
        <color theme="1"/>
        <rFont val="Calibri"/>
        <family val="2"/>
        <charset val="163"/>
      </rPr>
      <t>ẳ</t>
    </r>
    <r>
      <rPr>
        <sz val="11"/>
        <color theme="1"/>
        <rFont val="Calibri"/>
        <family val="2"/>
        <scheme val="minor"/>
      </rPr>
      <t>ng ngày đ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Calibri"/>
        <family val="2"/>
        <scheme val="minor"/>
      </rPr>
      <t>u ca xác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  <scheme val="minor"/>
      </rPr>
      <t xml:space="preserve"> (Xác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đi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Calibri"/>
        <family val="2"/>
        <scheme val="minor"/>
      </rPr>
      <t>m v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  <scheme val="minor"/>
      </rPr>
      <t>n phát sinh =&gt;x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 xml:space="preserve"> lý )</t>
    </r>
    <phoneticPr fontId="24"/>
  </si>
  <si>
    <t>MT Lũy Kế</t>
  </si>
  <si>
    <t>Đơn vị tính: ( TriệuVND)</t>
  </si>
  <si>
    <t>NO-TT</t>
    <phoneticPr fontId="47"/>
  </si>
  <si>
    <t>TT</t>
    <phoneticPr fontId="47"/>
  </si>
  <si>
    <t>Ghi chú</t>
    <phoneticPr fontId="47"/>
  </si>
  <si>
    <t>Đã có</t>
    <phoneticPr fontId="47"/>
  </si>
  <si>
    <r>
      <t>S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</t>
    </r>
    <phoneticPr fontId="47"/>
  </si>
  <si>
    <r>
      <t>Gia công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i</t>
    </r>
    <phoneticPr fontId="47"/>
  </si>
  <si>
    <r>
      <t>Đ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m trách</t>
    </r>
    <phoneticPr fontId="47"/>
  </si>
  <si>
    <r>
      <t>k</t>
    </r>
    <r>
      <rPr>
        <sz val="11"/>
        <color theme="1"/>
        <rFont val="Calibri"/>
        <family val="2"/>
        <charset val="163"/>
      </rPr>
      <t>ỳ</t>
    </r>
    <r>
      <rPr>
        <sz val="11"/>
        <color theme="1"/>
        <rFont val="Calibri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n</t>
    </r>
    <phoneticPr fontId="47"/>
  </si>
  <si>
    <r>
      <t>Ch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o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Calibri"/>
        <family val="2"/>
        <scheme val="minor"/>
      </rPr>
      <t xml:space="preserve"> gá</t>
    </r>
    <phoneticPr fontId="47"/>
  </si>
  <si>
    <r>
      <t>11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</t>
    </r>
    <phoneticPr fontId="47"/>
  </si>
  <si>
    <t>R369692</t>
  </si>
  <si>
    <t>Cần SĐA (gc &amp;kt)</t>
  </si>
  <si>
    <t>2026/01</t>
    <phoneticPr fontId="47"/>
  </si>
  <si>
    <r>
      <t>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Calibri"/>
        <family val="2"/>
        <scheme val="minor"/>
      </rPr>
      <t xml:space="preserve"> SĐA</t>
    </r>
    <phoneticPr fontId="47"/>
  </si>
  <si>
    <t>R337601</t>
  </si>
  <si>
    <t>R009210</t>
  </si>
  <si>
    <t>Cần SĐA (KT</t>
  </si>
  <si>
    <t>S210886</t>
  </si>
  <si>
    <t>ĐC &amp; SĐA (KT)</t>
  </si>
  <si>
    <t>S814330</t>
  </si>
  <si>
    <t>v</t>
    <phoneticPr fontId="47"/>
  </si>
  <si>
    <t>R530898</t>
  </si>
  <si>
    <t>S329382</t>
  </si>
  <si>
    <t>S445272</t>
  </si>
  <si>
    <t>S880855</t>
  </si>
  <si>
    <t>Vòi châm keo (ĐG)</t>
  </si>
  <si>
    <t>S759985</t>
  </si>
  <si>
    <t>2CT LẮP</t>
  </si>
  <si>
    <t>R061775</t>
  </si>
  <si>
    <t>R061777</t>
  </si>
  <si>
    <t>R332878</t>
  </si>
  <si>
    <t>S814328</t>
  </si>
  <si>
    <t>R063124</t>
  </si>
  <si>
    <t>ĐC</t>
  </si>
  <si>
    <t>2026/02</t>
    <phoneticPr fontId="47"/>
  </si>
  <si>
    <t>R028300</t>
  </si>
  <si>
    <t>R410256</t>
  </si>
  <si>
    <t>R021021</t>
  </si>
  <si>
    <t>S911086</t>
  </si>
  <si>
    <t>R116174</t>
  </si>
  <si>
    <t>S937542</t>
  </si>
  <si>
    <t>S439169</t>
  </si>
  <si>
    <t>R179385</t>
  </si>
  <si>
    <t>S847749</t>
  </si>
  <si>
    <t>S938435</t>
  </si>
  <si>
    <t>S028119</t>
  </si>
  <si>
    <t>R337025</t>
  </si>
  <si>
    <t>R062772</t>
  </si>
  <si>
    <t>S764009</t>
  </si>
  <si>
    <t>R351899</t>
  </si>
  <si>
    <t>R307560</t>
  </si>
  <si>
    <t>S938430</t>
  </si>
  <si>
    <t>R173278</t>
  </si>
  <si>
    <t>BTP+SĐA</t>
  </si>
  <si>
    <t>S764013</t>
  </si>
  <si>
    <t>2026/03</t>
    <phoneticPr fontId="47"/>
  </si>
  <si>
    <t>S911094</t>
  </si>
  <si>
    <t>R003078</t>
  </si>
  <si>
    <t>R341026</t>
  </si>
  <si>
    <t>SĐA</t>
  </si>
  <si>
    <t>R176671</t>
  </si>
  <si>
    <t>R341202</t>
  </si>
  <si>
    <t>R403433</t>
  </si>
  <si>
    <t>R067539</t>
  </si>
  <si>
    <t>R175052</t>
  </si>
  <si>
    <t>R171362</t>
  </si>
  <si>
    <t>R009220</t>
  </si>
  <si>
    <t>SDA</t>
  </si>
  <si>
    <t>S833640</t>
  </si>
  <si>
    <t>COLLECT</t>
  </si>
  <si>
    <t>S609462</t>
  </si>
  <si>
    <t>CAD</t>
  </si>
  <si>
    <t>R341198</t>
  </si>
  <si>
    <t>ĐC +SĐA</t>
  </si>
  <si>
    <t>S416593</t>
  </si>
  <si>
    <t>R152945</t>
  </si>
  <si>
    <t>S100314</t>
  </si>
  <si>
    <t>S252742</t>
  </si>
  <si>
    <t>R067135</t>
  </si>
  <si>
    <t>ĐC +ĐG</t>
  </si>
  <si>
    <t>R062763</t>
  </si>
  <si>
    <t>S031476</t>
  </si>
  <si>
    <t>S899529</t>
  </si>
  <si>
    <t>S742878</t>
  </si>
  <si>
    <t>S899525</t>
  </si>
  <si>
    <t>R485016</t>
  </si>
  <si>
    <t>ĐC+ĐG</t>
  </si>
  <si>
    <t>S895708</t>
  </si>
  <si>
    <t>S895704</t>
  </si>
  <si>
    <t>S895706</t>
  </si>
  <si>
    <t>S895703</t>
  </si>
  <si>
    <t>S799127</t>
  </si>
  <si>
    <t>S799137</t>
  </si>
  <si>
    <t>S799139</t>
  </si>
  <si>
    <t>S609460</t>
  </si>
  <si>
    <t>R021019</t>
  </si>
  <si>
    <t>S156674</t>
  </si>
  <si>
    <t>S788281</t>
  </si>
  <si>
    <t>S870534</t>
  </si>
  <si>
    <t>S202159</t>
  </si>
  <si>
    <t>R485011</t>
  </si>
  <si>
    <t>3D+ĐC</t>
  </si>
  <si>
    <t>R059797</t>
  </si>
  <si>
    <t>R067136</t>
  </si>
  <si>
    <t>R067143</t>
  </si>
  <si>
    <t>R062773</t>
  </si>
  <si>
    <t>R175058</t>
  </si>
  <si>
    <t>R021024</t>
  </si>
  <si>
    <t>R307558</t>
  </si>
  <si>
    <t>R324592</t>
  </si>
  <si>
    <t>R070109</t>
  </si>
  <si>
    <t>R067554</t>
  </si>
  <si>
    <t>S939685</t>
  </si>
  <si>
    <t>R480421</t>
  </si>
  <si>
    <t>R372298</t>
  </si>
  <si>
    <t>R067142</t>
  </si>
  <si>
    <t>S837815</t>
  </si>
  <si>
    <t>R440397</t>
  </si>
  <si>
    <t>S919916</t>
  </si>
  <si>
    <t>R058139</t>
  </si>
  <si>
    <t>S156672</t>
  </si>
  <si>
    <t>S763089</t>
  </si>
  <si>
    <t>S029213</t>
  </si>
  <si>
    <t>ĐG</t>
  </si>
  <si>
    <t>S028567</t>
  </si>
  <si>
    <t>S204742</t>
  </si>
  <si>
    <t>S799077</t>
  </si>
  <si>
    <t>S204746</t>
  </si>
  <si>
    <t>R105773</t>
  </si>
  <si>
    <t>2026/04</t>
    <phoneticPr fontId="47"/>
  </si>
  <si>
    <t>R105242</t>
  </si>
  <si>
    <t>R477244</t>
  </si>
  <si>
    <t>R058132</t>
  </si>
  <si>
    <t>R408691</t>
  </si>
  <si>
    <t>R487257</t>
  </si>
  <si>
    <t>R568495</t>
  </si>
  <si>
    <t>R104415</t>
  </si>
  <si>
    <t>S933608</t>
  </si>
  <si>
    <t>R058142</t>
  </si>
  <si>
    <t>S856500</t>
  </si>
  <si>
    <t>R477713</t>
  </si>
  <si>
    <t>R551914</t>
  </si>
  <si>
    <t>R063081</t>
  </si>
  <si>
    <t>R486449</t>
  </si>
  <si>
    <t>S157558</t>
  </si>
  <si>
    <t>ĐG +SĐA</t>
  </si>
  <si>
    <t>R551864</t>
  </si>
  <si>
    <t>R478851</t>
  </si>
  <si>
    <t>S895697</t>
  </si>
  <si>
    <t>R435090</t>
  </si>
  <si>
    <t>S210889</t>
  </si>
  <si>
    <t>S844919</t>
  </si>
  <si>
    <r>
      <t>2.Xác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i 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ng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còn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u công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>ng 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 xml:space="preserve"> 
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ng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ch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Calibri"/>
        <family val="2"/>
        <scheme val="minor"/>
      </rPr>
      <t xml:space="preserve"> gá,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c</t>
    </r>
    <r>
      <rPr>
        <sz val="11"/>
        <color theme="1"/>
        <rFont val="Calibri"/>
        <family val="2"/>
        <charset val="163"/>
      </rPr>
      <t>ực ,,,
=&gt;Phổ biến xuống dưới ca tiến h</t>
    </r>
    <r>
      <rPr>
        <sz val="11"/>
        <color theme="1"/>
        <rFont val="游ゴシック"/>
        <family val="2"/>
        <charset val="128"/>
      </rPr>
      <t>à</t>
    </r>
    <r>
      <rPr>
        <sz val="11"/>
        <color theme="1"/>
        <rFont val="Calibri"/>
        <family val="2"/>
        <charset val="163"/>
      </rPr>
      <t>nh chế tạo v</t>
    </r>
    <r>
      <rPr>
        <sz val="11"/>
        <color theme="1"/>
        <rFont val="游ゴシック"/>
        <family val="2"/>
        <charset val="128"/>
      </rPr>
      <t>à</t>
    </r>
    <r>
      <rPr>
        <sz val="11"/>
        <color theme="1"/>
        <rFont val="Calibri"/>
        <family val="2"/>
        <charset val="163"/>
      </rPr>
      <t xml:space="preserve"> đặt h</t>
    </r>
    <r>
      <rPr>
        <sz val="11"/>
        <color theme="1"/>
        <rFont val="游ゴシック"/>
        <family val="2"/>
        <charset val="128"/>
      </rPr>
      <t>à</t>
    </r>
    <r>
      <rPr>
        <sz val="11"/>
        <color theme="1"/>
        <rFont val="Calibri"/>
        <family val="2"/>
        <charset val="163"/>
      </rPr>
      <t xml:space="preserve">ng </t>
    </r>
    <r>
      <rPr>
        <sz val="11"/>
        <color theme="1"/>
        <rFont val="Calibri"/>
        <family val="2"/>
        <scheme val="minor"/>
      </rPr>
      <t xml:space="preserve">
</t>
    </r>
    <phoneticPr fontId="24"/>
  </si>
  <si>
    <t>EW1</t>
  </si>
  <si>
    <t>2026/03/02</t>
  </si>
  <si>
    <t>2026/03/09</t>
  </si>
  <si>
    <t>213510091A</t>
  </si>
  <si>
    <t>2026/01/23</t>
  </si>
  <si>
    <t>2026/01/20</t>
  </si>
  <si>
    <t>213510093A</t>
  </si>
  <si>
    <t>2026/02/27</t>
  </si>
  <si>
    <t>2026/02/23</t>
  </si>
  <si>
    <t>213506259A</t>
  </si>
  <si>
    <t>2026/03/03</t>
  </si>
  <si>
    <t>213504189A</t>
  </si>
  <si>
    <t>2026/03/18</t>
  </si>
  <si>
    <t>213502326A</t>
  </si>
  <si>
    <t>6115110031</t>
  </si>
  <si>
    <t>2026/03/25</t>
  </si>
  <si>
    <t>213509264A</t>
  </si>
  <si>
    <t>2026/01/28</t>
  </si>
  <si>
    <t>2026/03/06</t>
  </si>
  <si>
    <t>2026/02/10</t>
  </si>
  <si>
    <t>213508084A</t>
  </si>
  <si>
    <t>2026/04/16</t>
  </si>
  <si>
    <t>2026/04/20</t>
  </si>
  <si>
    <t>2026/01/14</t>
  </si>
  <si>
    <t>213511177A</t>
  </si>
  <si>
    <t>213506160A</t>
  </si>
  <si>
    <t>EN1, GS2</t>
  </si>
  <si>
    <t>2026/01/09</t>
  </si>
  <si>
    <t>L611508036</t>
  </si>
  <si>
    <t>2026/02/04</t>
  </si>
  <si>
    <t>2026/01/16</t>
  </si>
  <si>
    <t>ĐỘ tròn 0.0005 (ĐG)</t>
  </si>
  <si>
    <t>Độ tròn 0.0005(ĐG)</t>
  </si>
  <si>
    <t>2 CHI TIẾT LẮP(PP)</t>
  </si>
  <si>
    <t>2CT LẮP(PP)</t>
  </si>
  <si>
    <t>CT LẮP(PP)</t>
  </si>
  <si>
    <t>2 CT LẮP(PP)</t>
  </si>
  <si>
    <t>Dụng cụ đo cần gì?bao giờ có d/cu này?
Dao cụ mới có không?loại nào?
Đồ gá cần bao nhiêu cái?ở thời điểm nào?</t>
  </si>
  <si>
    <t>K2 (PP)</t>
  </si>
  <si>
    <t>213509054A</t>
    <phoneticPr fontId="24"/>
  </si>
  <si>
    <r>
      <t>K</t>
    </r>
    <r>
      <rPr>
        <sz val="11"/>
        <color theme="1"/>
        <rFont val="Calibri"/>
        <family val="2"/>
        <charset val="163"/>
      </rPr>
      <t>ỳ</t>
    </r>
    <r>
      <rPr>
        <sz val="11"/>
        <color theme="1"/>
        <rFont val="Calibri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n</t>
    </r>
    <phoneticPr fontId="24"/>
  </si>
  <si>
    <r>
      <t>Đ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m trách</t>
    </r>
    <phoneticPr fontId="24"/>
  </si>
  <si>
    <t>10202+10197</t>
    <phoneticPr fontId="24"/>
  </si>
  <si>
    <r>
      <t>2TC(10202 h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 xml:space="preserve"> tr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Calibri"/>
        <family val="2"/>
        <scheme val="minor"/>
      </rPr>
      <t xml:space="preserve"> )</t>
    </r>
    <phoneticPr fontId="24"/>
  </si>
  <si>
    <r>
      <t>2TC(10202 h</t>
    </r>
    <r>
      <rPr>
        <sz val="11"/>
        <color theme="1"/>
        <rFont val="Calibri"/>
        <family val="2"/>
      </rPr>
      <t>ổ</t>
    </r>
    <r>
      <rPr>
        <sz val="11"/>
        <color theme="1"/>
        <rFont val="Calibri"/>
        <family val="3"/>
        <charset val="128"/>
        <scheme val="minor"/>
      </rPr>
      <t xml:space="preserve"> tr</t>
    </r>
    <r>
      <rPr>
        <sz val="11"/>
        <color theme="1"/>
        <rFont val="Calibri"/>
        <family val="2"/>
      </rPr>
      <t>ợ</t>
    </r>
    <r>
      <rPr>
        <sz val="11"/>
        <color theme="1"/>
        <rFont val="Calibri"/>
        <family val="3"/>
        <charset val="128"/>
        <scheme val="minor"/>
      </rPr>
      <t xml:space="preserve"> )</t>
    </r>
    <phoneticPr fontId="24"/>
  </si>
  <si>
    <t>OK</t>
    <phoneticPr fontId="24"/>
  </si>
  <si>
    <t>T1</t>
    <phoneticPr fontId="24"/>
  </si>
  <si>
    <t>S883721</t>
    <phoneticPr fontId="24"/>
  </si>
  <si>
    <t>R476298</t>
    <phoneticPr fontId="24"/>
  </si>
  <si>
    <t>LK1</t>
    <phoneticPr fontId="24"/>
  </si>
  <si>
    <t>S621131</t>
    <phoneticPr fontId="24"/>
  </si>
  <si>
    <t>S442628</t>
  </si>
  <si>
    <t>S785023</t>
  </si>
  <si>
    <t>S012373</t>
  </si>
  <si>
    <t>S030900</t>
  </si>
  <si>
    <t>S030909</t>
  </si>
  <si>
    <t>S763484</t>
  </si>
  <si>
    <t>S013300</t>
  </si>
  <si>
    <t>S417746</t>
  </si>
  <si>
    <t>S417748</t>
  </si>
  <si>
    <t>R061781</t>
  </si>
  <si>
    <t>R029254</t>
  </si>
  <si>
    <t>S919918</t>
  </si>
  <si>
    <t>R028307</t>
  </si>
  <si>
    <t>R063169</t>
  </si>
  <si>
    <t>R558748</t>
  </si>
  <si>
    <t>S740084</t>
  </si>
  <si>
    <t>S899744</t>
  </si>
  <si>
    <t>S799035</t>
  </si>
  <si>
    <t>S933931</t>
  </si>
  <si>
    <t>S299835</t>
  </si>
  <si>
    <t>S884105</t>
  </si>
  <si>
    <t>R009185</t>
  </si>
  <si>
    <t>S059015</t>
  </si>
  <si>
    <t>S862626</t>
  </si>
  <si>
    <t>R009204</t>
  </si>
  <si>
    <t>R172140</t>
  </si>
  <si>
    <t>S473898</t>
  </si>
  <si>
    <t>R175057</t>
  </si>
  <si>
    <t>R316203</t>
  </si>
  <si>
    <t>R172139</t>
  </si>
  <si>
    <t>R009208</t>
  </si>
  <si>
    <t>S015137</t>
  </si>
  <si>
    <t>R030339</t>
  </si>
  <si>
    <t>S621125</t>
  </si>
  <si>
    <t>S868063</t>
  </si>
  <si>
    <t>S064670</t>
  </si>
  <si>
    <t>R070100</t>
  </si>
  <si>
    <t>S947762</t>
  </si>
  <si>
    <t>R061193</t>
  </si>
  <si>
    <t>S063800</t>
  </si>
  <si>
    <t>S763490</t>
  </si>
  <si>
    <t>R062214</t>
  </si>
  <si>
    <t>R062217</t>
  </si>
  <si>
    <t>S945605</t>
  </si>
  <si>
    <t>R031206</t>
  </si>
  <si>
    <t>S919631</t>
  </si>
  <si>
    <t>S029583</t>
  </si>
  <si>
    <t>R462231</t>
  </si>
  <si>
    <t>R028995</t>
  </si>
  <si>
    <t>R408546</t>
  </si>
  <si>
    <t>R173347</t>
  </si>
  <si>
    <t>R422776</t>
  </si>
  <si>
    <t>R171379</t>
  </si>
  <si>
    <t>S792796</t>
  </si>
  <si>
    <t>S332383</t>
  </si>
  <si>
    <t>R061779</t>
  </si>
  <si>
    <t>R061772</t>
  </si>
  <si>
    <t>S759979</t>
  </si>
  <si>
    <t>S759990</t>
  </si>
  <si>
    <t>R061784</t>
  </si>
  <si>
    <t>S077647</t>
  </si>
  <si>
    <t>S792594</t>
  </si>
  <si>
    <t>S206843</t>
  </si>
  <si>
    <t>S206840</t>
  </si>
  <si>
    <t>S895686</t>
  </si>
  <si>
    <t>S611125</t>
  </si>
  <si>
    <t>R029206</t>
  </si>
  <si>
    <t>R568490</t>
  </si>
  <si>
    <t>S056253</t>
  </si>
  <si>
    <t>R487084</t>
  </si>
  <si>
    <t>S845562</t>
  </si>
  <si>
    <t>R394374</t>
  </si>
  <si>
    <t>S817484</t>
  </si>
  <si>
    <t>R058194</t>
  </si>
  <si>
    <t>R418572</t>
  </si>
  <si>
    <t>S723748</t>
  </si>
  <si>
    <t>S723746</t>
  </si>
  <si>
    <t>S868074</t>
  </si>
  <si>
    <t>S849263</t>
  </si>
  <si>
    <t>R063006</t>
  </si>
  <si>
    <t>R063005</t>
  </si>
  <si>
    <t>S858546</t>
  </si>
  <si>
    <t>S064348</t>
  </si>
  <si>
    <t>S165735</t>
  </si>
  <si>
    <t>S885188</t>
  </si>
  <si>
    <t>R182970</t>
  </si>
  <si>
    <t>S763491</t>
  </si>
  <si>
    <t>R104695</t>
  </si>
  <si>
    <t>R152939</t>
  </si>
  <si>
    <t>R105679</t>
  </si>
  <si>
    <t>S941289</t>
  </si>
  <si>
    <t>R152943</t>
  </si>
  <si>
    <t>S775354</t>
  </si>
  <si>
    <t>S161757</t>
  </si>
  <si>
    <t>OK</t>
    <phoneticPr fontId="24"/>
  </si>
  <si>
    <t>r611833</t>
    <phoneticPr fontId="24"/>
  </si>
  <si>
    <t>TH</t>
    <phoneticPr fontId="24"/>
  </si>
  <si>
    <t>R070111</t>
    <phoneticPr fontId="24"/>
  </si>
  <si>
    <t>R050202</t>
    <phoneticPr fontId="24"/>
  </si>
  <si>
    <t>R062769</t>
    <phoneticPr fontId="24"/>
  </si>
  <si>
    <t>R050200</t>
    <phoneticPr fontId="24"/>
  </si>
  <si>
    <t>R050201</t>
    <phoneticPr fontId="24"/>
  </si>
  <si>
    <t>OK</t>
    <phoneticPr fontId="24"/>
  </si>
  <si>
    <t>T1</t>
    <phoneticPr fontId="24"/>
  </si>
  <si>
    <t>T1</t>
    <phoneticPr fontId="24"/>
  </si>
  <si>
    <t>2026/06/02</t>
  </si>
  <si>
    <t>2026/03/24</t>
  </si>
  <si>
    <r>
      <t>T</t>
    </r>
    <r>
      <rPr>
        <sz val="11"/>
        <color theme="1"/>
        <rFont val="Calibri"/>
        <family val="2"/>
      </rPr>
      <t>Ồ</t>
    </r>
    <r>
      <rPr>
        <sz val="11"/>
        <color theme="1"/>
        <rFont val="Calibri"/>
        <family val="3"/>
        <charset val="128"/>
        <scheme val="minor"/>
      </rPr>
      <t>N 
KHO</t>
    </r>
    <phoneticPr fontId="24"/>
  </si>
  <si>
    <t>213510092A</t>
    <phoneticPr fontId="24"/>
  </si>
  <si>
    <t>L611507035</t>
    <phoneticPr fontId="24"/>
  </si>
  <si>
    <t>L611512020</t>
  </si>
  <si>
    <t>213510291A</t>
  </si>
  <si>
    <t>L611511028</t>
  </si>
  <si>
    <t>LK1</t>
    <phoneticPr fontId="24"/>
  </si>
  <si>
    <t>TK</t>
    <phoneticPr fontId="24"/>
  </si>
  <si>
    <t>213601032A</t>
  </si>
  <si>
    <t>TK</t>
    <phoneticPr fontId="24"/>
  </si>
  <si>
    <t>213512180A</t>
  </si>
  <si>
    <t>213507073A</t>
  </si>
  <si>
    <t>L611512031</t>
  </si>
  <si>
    <r>
      <t>B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 xml:space="preserve"> sung</t>
    </r>
    <phoneticPr fontId="24"/>
  </si>
  <si>
    <t>QUẢN LÝ TIẾN ĐỘ</t>
    <phoneticPr fontId="0"/>
  </si>
  <si>
    <t>T1</t>
    <phoneticPr fontId="24"/>
  </si>
  <si>
    <t>KH</t>
    <phoneticPr fontId="24"/>
  </si>
  <si>
    <t>TT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</si>
  <si>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</t>
    </r>
    <phoneticPr fontId="24"/>
  </si>
  <si>
    <t xml:space="preserve"> KH</t>
    <phoneticPr fontId="24"/>
  </si>
  <si>
    <t xml:space="preserve"> TT</t>
    <phoneticPr fontId="24"/>
  </si>
  <si>
    <r>
      <t>S-ki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</t>
    </r>
    <phoneticPr fontId="24"/>
  </si>
  <si>
    <t>S-pcs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</si>
  <si>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Calibri"/>
        <family val="2"/>
        <scheme val="minor"/>
      </rPr>
      <t>i gian gia công</t>
    </r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</si>
  <si>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gia công 
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ch(USD)</t>
    </r>
    <phoneticPr fontId="24"/>
  </si>
  <si>
    <r>
      <rPr>
        <sz val="11"/>
        <color theme="1"/>
        <rFont val="Calibri"/>
        <family val="3"/>
        <charset val="128"/>
        <scheme val="minor"/>
      </rPr>
      <t>K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 xml:space="preserve"> ho</t>
    </r>
    <r>
      <rPr>
        <sz val="11"/>
        <color theme="1"/>
        <rFont val="Calibri"/>
        <family val="2"/>
      </rPr>
      <t>ạ</t>
    </r>
    <r>
      <rPr>
        <sz val="11"/>
        <color theme="1"/>
        <rFont val="Calibri"/>
        <family val="3"/>
        <charset val="128"/>
        <scheme val="minor"/>
      </rPr>
      <t>ch(USD)</t>
    </r>
    <phoneticPr fontId="24"/>
  </si>
  <si>
    <r>
      <t>Th</t>
    </r>
    <r>
      <rPr>
        <sz val="11"/>
        <color theme="1"/>
        <rFont val="Calibri"/>
        <family val="2"/>
      </rPr>
      <t>ự</t>
    </r>
    <r>
      <rPr>
        <sz val="11"/>
        <color theme="1"/>
        <rFont val="Calibri"/>
        <family val="3"/>
        <charset val="128"/>
        <scheme val="minor"/>
      </rPr>
      <t>c t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>(phút)</t>
    </r>
    <phoneticPr fontId="24"/>
  </si>
  <si>
    <r>
      <t xml:space="preserve"> </t>
    </r>
    <r>
      <rPr>
        <sz val="11"/>
        <color theme="1"/>
        <rFont val="Calibri"/>
        <family val="3"/>
        <charset val="128"/>
        <scheme val="minor"/>
      </rPr>
      <t>K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 xml:space="preserve"> ho</t>
    </r>
    <r>
      <rPr>
        <sz val="11"/>
        <color theme="1"/>
        <rFont val="Calibri"/>
        <family val="2"/>
      </rPr>
      <t>ạ</t>
    </r>
    <r>
      <rPr>
        <sz val="11"/>
        <color theme="1"/>
        <rFont val="Calibri"/>
        <family val="3"/>
        <charset val="128"/>
        <scheme val="minor"/>
      </rPr>
      <t>ch(phút)</t>
    </r>
    <phoneticPr fontId="24"/>
  </si>
  <si>
    <r>
      <rPr>
        <sz val="11"/>
        <color theme="1"/>
        <rFont val="Calibri"/>
        <family val="3"/>
        <charset val="128"/>
        <scheme val="minor"/>
      </rPr>
      <t>Th</t>
    </r>
    <r>
      <rPr>
        <sz val="11"/>
        <color theme="1"/>
        <rFont val="Calibri"/>
        <family val="2"/>
      </rPr>
      <t>ự</t>
    </r>
    <r>
      <rPr>
        <sz val="11"/>
        <color theme="1"/>
        <rFont val="Calibri"/>
        <family val="3"/>
        <charset val="128"/>
        <scheme val="minor"/>
      </rPr>
      <t>c t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>(USD)</t>
    </r>
    <phoneticPr fontId="24"/>
  </si>
  <si>
    <r>
      <t>So sánh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  <scheme val="minor"/>
      </rPr>
      <t>c t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
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i gia công ngoài</t>
    </r>
    <phoneticPr fontId="24"/>
  </si>
  <si>
    <t>R059797</t>
    <phoneticPr fontId="24"/>
  </si>
  <si>
    <t>OK</t>
    <phoneticPr fontId="24"/>
  </si>
  <si>
    <t>Tháng 
hoàn thành</t>
    <phoneticPr fontId="24"/>
  </si>
  <si>
    <t>R372299</t>
    <phoneticPr fontId="24"/>
  </si>
  <si>
    <t>213601029A</t>
    <phoneticPr fontId="24"/>
  </si>
  <si>
    <t>TH</t>
    <phoneticPr fontId="24"/>
  </si>
  <si>
    <t>ĐG-T1-2026</t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</si>
  <si>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psc 
hoàn thành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</si>
  <si>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
costdown</t>
    </r>
    <phoneticPr fontId="24"/>
  </si>
  <si>
    <r>
      <t>M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>c tiêu</t>
    </r>
    <phoneticPr fontId="24"/>
  </si>
  <si>
    <t>Tháng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</si>
  <si>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(tri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 vnđ)</t>
    </r>
    <phoneticPr fontId="24"/>
  </si>
  <si>
    <t>S933608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</si>
  <si>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</t>
    </r>
    <phoneticPr fontId="24"/>
  </si>
  <si>
    <r>
      <t>S-Ti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LK- TK</t>
    </r>
    <phoneticPr fontId="24"/>
  </si>
  <si>
    <r>
      <t>S-Ti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LK-TH</t>
    </r>
    <phoneticPr fontId="24"/>
  </si>
  <si>
    <r>
      <t>S-Ti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LK-KD</t>
    </r>
    <phoneticPr fontId="24"/>
  </si>
  <si>
    <t>213512225A</t>
    <phoneticPr fontId="24"/>
  </si>
  <si>
    <t>213512259A</t>
    <phoneticPr fontId="24"/>
  </si>
  <si>
    <t>GP1</t>
    <phoneticPr fontId="24"/>
  </si>
  <si>
    <t>AF2</t>
    <phoneticPr fontId="24"/>
  </si>
  <si>
    <t>R009055</t>
    <phoneticPr fontId="24"/>
  </si>
  <si>
    <t>R013044</t>
    <phoneticPr fontId="24"/>
  </si>
  <si>
    <t>L213512704</t>
    <phoneticPr fontId="24"/>
  </si>
  <si>
    <t>213601120A</t>
  </si>
  <si>
    <t>213601121A</t>
  </si>
  <si>
    <t>KD</t>
    <phoneticPr fontId="24"/>
  </si>
  <si>
    <t>OK</t>
    <phoneticPr fontId="24"/>
  </si>
  <si>
    <t>OK</t>
    <phoneticPr fontId="24"/>
  </si>
  <si>
    <t>Vị trí</t>
  </si>
  <si>
    <t>L611508036</t>
    <phoneticPr fontId="24"/>
  </si>
  <si>
    <t>OK</t>
    <phoneticPr fontId="24"/>
  </si>
  <si>
    <t>213506240A</t>
    <phoneticPr fontId="24"/>
  </si>
  <si>
    <t>TH</t>
    <phoneticPr fontId="24"/>
  </si>
  <si>
    <t>TK</t>
    <phoneticPr fontId="24"/>
  </si>
  <si>
    <t>OK</t>
    <phoneticPr fontId="24"/>
  </si>
  <si>
    <t>TH</t>
    <phoneticPr fontId="24"/>
  </si>
  <si>
    <t>213511088A</t>
    <phoneticPr fontId="24"/>
  </si>
  <si>
    <t>T2</t>
    <phoneticPr fontId="24"/>
  </si>
  <si>
    <t>KD</t>
    <phoneticPr fontId="24"/>
  </si>
  <si>
    <t>R485799</t>
    <phoneticPr fontId="24"/>
  </si>
  <si>
    <t>S245335</t>
    <phoneticPr fontId="24"/>
  </si>
  <si>
    <t>L611602032</t>
  </si>
  <si>
    <t>XB05-005H00-AA-0-A06</t>
  </si>
  <si>
    <t>XB05-010H00AAA06</t>
  </si>
  <si>
    <t>213601033A</t>
  </si>
  <si>
    <t>213602069A</t>
  </si>
  <si>
    <t>213601060A</t>
    <phoneticPr fontId="24"/>
  </si>
  <si>
    <t>ED</t>
    <phoneticPr fontId="24"/>
  </si>
  <si>
    <t>EW,GS2,EN,GS2</t>
    <phoneticPr fontId="24"/>
  </si>
  <si>
    <t>OK</t>
    <phoneticPr fontId="24"/>
  </si>
  <si>
    <t>OK</t>
    <phoneticPr fontId="24"/>
  </si>
  <si>
    <t>T2</t>
    <phoneticPr fontId="24"/>
  </si>
  <si>
    <t>L611602033</t>
    <phoneticPr fontId="24"/>
  </si>
  <si>
    <t>R567145</t>
    <phoneticPr fontId="24"/>
  </si>
  <si>
    <t>213510322A</t>
    <phoneticPr fontId="24"/>
  </si>
  <si>
    <t>T3</t>
    <phoneticPr fontId="24"/>
  </si>
  <si>
    <t>S779639</t>
    <phoneticPr fontId="24"/>
  </si>
  <si>
    <t>OK</t>
    <phoneticPr fontId="24"/>
  </si>
  <si>
    <t>T3</t>
    <phoneticPr fontId="24"/>
  </si>
  <si>
    <t>EW</t>
    <phoneticPr fontId="24"/>
  </si>
  <si>
    <t>ED</t>
    <phoneticPr fontId="24"/>
  </si>
  <si>
    <t>EW GS EN AF</t>
    <phoneticPr fontId="24"/>
  </si>
  <si>
    <t>GS ED EW GS2 EN</t>
    <phoneticPr fontId="24"/>
  </si>
  <si>
    <t>GS1 EN GS2 GP</t>
    <phoneticPr fontId="24"/>
  </si>
  <si>
    <t>GR</t>
    <phoneticPr fontId="24"/>
  </si>
  <si>
    <t>GS GP AF LA WG GS2 GC AF2</t>
    <phoneticPr fontId="24"/>
  </si>
  <si>
    <t>EW</t>
    <phoneticPr fontId="24"/>
  </si>
  <si>
    <t>GS1 ED EW2 GS2 EN AF</t>
    <phoneticPr fontId="24"/>
  </si>
  <si>
    <t>GS1,ED,EW2,GS2,EN,GS3</t>
    <phoneticPr fontId="24"/>
  </si>
  <si>
    <t>L611511031</t>
  </si>
  <si>
    <t>T1+T3</t>
    <phoneticPr fontId="24"/>
  </si>
  <si>
    <t>L611512041</t>
  </si>
  <si>
    <t>không vật liệu</t>
  </si>
  <si>
    <t>213602111A</t>
  </si>
  <si>
    <t>213512076A</t>
  </si>
  <si>
    <t>EW GS GP EN</t>
    <phoneticPr fontId="24"/>
  </si>
  <si>
    <t>KT</t>
  </si>
  <si>
    <t>R473781</t>
    <phoneticPr fontId="24"/>
  </si>
  <si>
    <t>TH</t>
    <phoneticPr fontId="24"/>
  </si>
  <si>
    <t>OK</t>
    <phoneticPr fontId="24"/>
  </si>
  <si>
    <t>KD</t>
    <phoneticPr fontId="24"/>
  </si>
  <si>
    <t>WG1</t>
  </si>
  <si>
    <t>AF1</t>
  </si>
  <si>
    <t>EN1</t>
  </si>
  <si>
    <t>ED1</t>
  </si>
  <si>
    <t>GS1</t>
  </si>
  <si>
    <t>GS2, GP1, AF1</t>
  </si>
  <si>
    <t>EN04</t>
  </si>
  <si>
    <t>GP1</t>
  </si>
  <si>
    <t>EN1, AF1</t>
  </si>
  <si>
    <t>GP02</t>
  </si>
  <si>
    <t>EW1, GR1, GS1, EN1, GS2, GP1, AF1</t>
  </si>
  <si>
    <t>ED02</t>
  </si>
  <si>
    <t>EW01</t>
  </si>
  <si>
    <t>MA1</t>
  </si>
  <si>
    <t>GS1, MC1, EW1, GS2, AF1</t>
  </si>
  <si>
    <t>AF1, GS3, AF2</t>
  </si>
  <si>
    <t>LA1</t>
  </si>
  <si>
    <t>BJ1</t>
  </si>
  <si>
    <t>GS1, MC1, EW1, GS2, EN1, GS3, AF1</t>
  </si>
  <si>
    <t>OK</t>
    <phoneticPr fontId="24"/>
  </si>
  <si>
    <t>DC hết VL</t>
  </si>
  <si>
    <t xml:space="preserve"> BJ EW WG AF1</t>
    <phoneticPr fontId="24"/>
  </si>
  <si>
    <t>HT GS ED EW EN GR AF</t>
    <phoneticPr fontId="24"/>
  </si>
  <si>
    <t>HT GR GS ED EW GR2 GS2 EN GP</t>
    <phoneticPr fontId="24"/>
  </si>
  <si>
    <t>T3</t>
    <phoneticPr fontId="24"/>
  </si>
  <si>
    <t>213512302A</t>
  </si>
  <si>
    <t>MA BJ HT GS ED EW GS2 EN GS3</t>
    <phoneticPr fontId="24"/>
  </si>
  <si>
    <t>GS2</t>
    <phoneticPr fontId="24"/>
  </si>
  <si>
    <t>EW1</t>
    <phoneticPr fontId="24"/>
  </si>
  <si>
    <t>OK</t>
    <phoneticPr fontId="24"/>
  </si>
  <si>
    <t>TH</t>
    <phoneticPr fontId="24"/>
  </si>
  <si>
    <t>TK</t>
    <phoneticPr fontId="24"/>
  </si>
  <si>
    <t>KD</t>
    <phoneticPr fontId="24"/>
  </si>
  <si>
    <t>TK BS</t>
    <phoneticPr fontId="24"/>
  </si>
  <si>
    <t>R613281</t>
    <phoneticPr fontId="24"/>
  </si>
  <si>
    <t>R21350838B</t>
  </si>
  <si>
    <t>TH</t>
    <phoneticPr fontId="24"/>
  </si>
  <si>
    <t>213508916A</t>
  </si>
  <si>
    <t>OK</t>
    <phoneticPr fontId="24"/>
  </si>
  <si>
    <t>TK</t>
    <phoneticPr fontId="24"/>
  </si>
  <si>
    <t>213602161A</t>
    <phoneticPr fontId="24"/>
  </si>
  <si>
    <t>GR EW EN GP</t>
    <phoneticPr fontId="24"/>
  </si>
  <si>
    <t>GS ED EW GR2 GS2 EN GS3 GP AF</t>
    <phoneticPr fontId="24"/>
  </si>
  <si>
    <t>HT GR GS GJ EN AF</t>
    <phoneticPr fontId="24"/>
  </si>
  <si>
    <t>OK</t>
    <phoneticPr fontId="24"/>
  </si>
  <si>
    <t>KD</t>
    <phoneticPr fontId="24"/>
  </si>
  <si>
    <t xml:space="preserve"> GS3 MC2 AF</t>
    <phoneticPr fontId="24"/>
  </si>
  <si>
    <t>EN GS2 GP AF</t>
    <phoneticPr fontId="24"/>
  </si>
  <si>
    <t>T1</t>
    <phoneticPr fontId="24"/>
  </si>
  <si>
    <r>
      <t>Tb</t>
    </r>
    <r>
      <rPr>
        <sz val="11"/>
        <color theme="1"/>
        <rFont val="Calibri"/>
        <family val="2"/>
      </rPr>
      <t>ị</t>
    </r>
    <r>
      <rPr>
        <sz val="11"/>
        <color theme="1"/>
        <rFont val="Calibri"/>
        <family val="3"/>
        <charset val="128"/>
        <scheme val="minor"/>
      </rPr>
      <t xml:space="preserve"> cancel b</t>
    </r>
    <r>
      <rPr>
        <sz val="11"/>
        <color theme="1"/>
        <rFont val="Calibri"/>
        <family val="2"/>
      </rPr>
      <t>ả</t>
    </r>
    <r>
      <rPr>
        <sz val="11"/>
        <color theme="1"/>
        <rFont val="Calibri"/>
        <family val="3"/>
        <charset val="128"/>
        <scheme val="minor"/>
      </rPr>
      <t>n v</t>
    </r>
    <r>
      <rPr>
        <sz val="11"/>
        <color theme="1"/>
        <rFont val="Calibri"/>
        <family val="3"/>
        <charset val="163"/>
      </rPr>
      <t>ẽ</t>
    </r>
    <r>
      <rPr>
        <sz val="11"/>
        <color theme="1"/>
        <rFont val="Calibri"/>
        <family val="3"/>
        <charset val="128"/>
        <scheme val="minor"/>
      </rPr>
      <t xml:space="preserve"> =&gt; R21360385A</t>
    </r>
    <phoneticPr fontId="24"/>
  </si>
  <si>
    <r>
      <t>M</t>
    </r>
    <r>
      <rPr>
        <sz val="20"/>
        <color theme="1"/>
        <rFont val="Calibri"/>
        <family val="2"/>
      </rPr>
      <t>Ụ</t>
    </r>
    <r>
      <rPr>
        <sz val="20"/>
        <color theme="1"/>
        <rFont val="Calibri"/>
        <family val="3"/>
        <charset val="128"/>
        <scheme val="minor"/>
      </rPr>
      <t>C TIÊU -TH</t>
    </r>
    <r>
      <rPr>
        <sz val="20"/>
        <color theme="1"/>
        <rFont val="Calibri"/>
        <family val="2"/>
      </rPr>
      <t>Ự</t>
    </r>
    <r>
      <rPr>
        <sz val="20"/>
        <color theme="1"/>
        <rFont val="Calibri"/>
        <family val="3"/>
        <charset val="128"/>
        <scheme val="minor"/>
      </rPr>
      <t>C TÍCH THÁNG 4/2026(tri</t>
    </r>
    <r>
      <rPr>
        <sz val="20"/>
        <color theme="1"/>
        <rFont val="Calibri"/>
        <family val="2"/>
      </rPr>
      <t>ệ</t>
    </r>
    <r>
      <rPr>
        <sz val="20"/>
        <color theme="1"/>
        <rFont val="Calibri"/>
        <family val="3"/>
        <charset val="128"/>
        <scheme val="minor"/>
      </rPr>
      <t>u VND)</t>
    </r>
    <phoneticPr fontId="20" type="noConversion"/>
  </si>
  <si>
    <t>T4</t>
    <phoneticPr fontId="24"/>
  </si>
  <si>
    <t>T2+t4</t>
    <phoneticPr fontId="24"/>
  </si>
  <si>
    <t>T2+T4</t>
    <phoneticPr fontId="24"/>
  </si>
  <si>
    <r>
      <t>KHUÔN 
D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</t>
    </r>
    <phoneticPr fontId="24"/>
  </si>
  <si>
    <t>LN1</t>
  </si>
  <si>
    <t>BJ1, EW1, WG1, AF1</t>
  </si>
  <si>
    <t>GS1, EN1, GS2, GP1</t>
  </si>
  <si>
    <t>EW1, GS1, EN1, AF1</t>
  </si>
  <si>
    <t>HT1, GS1, ED1, EW1, EN1, GR1, AF1</t>
  </si>
  <si>
    <t>HT1, GR1, GS1, ED1, EW1, GR2, GS2, EN1, GP1</t>
  </si>
  <si>
    <t>BJ06, BJ01</t>
  </si>
  <si>
    <t>HT1, GR1, GS1, GJ1, EN1, AF1</t>
  </si>
  <si>
    <t>BJ08</t>
  </si>
  <si>
    <t>BJ1, HT1, GS1, ED1, EW1, GS2, EN1, GS3</t>
  </si>
  <si>
    <t>MA01</t>
  </si>
  <si>
    <t>EW1, GS1, EN1, GS2</t>
  </si>
  <si>
    <t>CG2A518</t>
  </si>
  <si>
    <t>GS2</t>
  </si>
  <si>
    <t>C/XA111</t>
  </si>
  <si>
    <t>GS3, MC2, AF1</t>
  </si>
  <si>
    <t>EW04</t>
  </si>
  <si>
    <t>EW1, GS1, GP1, EN1</t>
  </si>
  <si>
    <t>EW01, EW04</t>
  </si>
  <si>
    <t>GP1, AF1</t>
  </si>
  <si>
    <t>EN01</t>
  </si>
  <si>
    <t>MAIB729</t>
  </si>
  <si>
    <t>MAIB202</t>
  </si>
  <si>
    <t xml:space="preserve">đã vẽ bv đc </t>
  </si>
  <si>
    <t>EN xác nhận điện cực</t>
  </si>
  <si>
    <t>đã vẽ bv đc ( chưa xuất )</t>
  </si>
  <si>
    <t>ED1, EW2, GS2, EN1, GS3</t>
  </si>
  <si>
    <t>C/XA201</t>
  </si>
  <si>
    <t>EW2, GS2, EN1, GS3</t>
  </si>
  <si>
    <t>MAIA104</t>
  </si>
  <si>
    <t>EW2, GS2, EN1</t>
  </si>
  <si>
    <t>C/XA505</t>
  </si>
  <si>
    <t>EN1, GP1</t>
  </si>
  <si>
    <t>MAIA601</t>
  </si>
  <si>
    <t>ED1, EW1, GR2, GS2, EN1, GS3, GP1, AF1</t>
  </si>
  <si>
    <t>MAIA530</t>
  </si>
  <si>
    <t>GP1, AF1, LA1, WG1, GS2, GC1, AF2</t>
  </si>
  <si>
    <t>MAIA501</t>
  </si>
  <si>
    <t>MAIA510</t>
  </si>
  <si>
    <t>GR3</t>
  </si>
  <si>
    <t>AF2</t>
  </si>
  <si>
    <t>C/XB311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</si>
</sst>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_);[Red]\(#,##0.0\)"/>
    <numFmt numFmtId="166" formatCode="_-* #,##0.0_-;\-* #,##0.0_-;_-* &quot;-&quot;??_-;_-@_-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?_);_(@_)"/>
    <numFmt numFmtId="170" formatCode="_-* #,##0_-;\-* #,##0_-;_-* &quot;-&quot;??_-;_-@_-"/>
    <numFmt numFmtId="171" formatCode="000"/>
    <numFmt numFmtId="172" formatCode="0.0_ "/>
    <numFmt numFmtId="173" formatCode="0.000000000000_ "/>
    <numFmt numFmtId="174" formatCode="0.00_ "/>
  </numFmts>
  <fonts count="8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ＭＳ Ｐゴシック"/>
      <family val="2"/>
      <charset val="128"/>
    </font>
    <font>
      <sz val="9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63"/>
    </font>
    <font>
      <sz val="8"/>
      <color theme="1"/>
      <name val="Calibri"/>
      <family val="3"/>
      <charset val="128"/>
      <scheme val="minor"/>
    </font>
    <font>
      <sz val="8"/>
      <color theme="1"/>
      <name val="Calibri"/>
      <family val="2"/>
    </font>
    <font>
      <b/>
      <sz val="14"/>
      <color theme="1"/>
      <name val="Calibri"/>
      <family val="3"/>
      <charset val="128"/>
      <scheme val="minor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1"/>
      <color theme="1"/>
      <name val="Segoe UI"/>
      <family val="2"/>
      <charset val="238"/>
    </font>
    <font>
      <b/>
      <sz val="11"/>
      <color rgb="FF3F3F3F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163"/>
    </font>
    <font>
      <sz val="9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9"/>
      <color rgb="FF00B0F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12"/>
      <color theme="1"/>
      <name val="Arial Unicode MS"/>
      <family val="2"/>
      <charset val="128"/>
    </font>
    <font>
      <b/>
      <i/>
      <sz val="2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20"/>
      <color rgb="FF0000FF"/>
      <name val="Calibri"/>
      <family val="2"/>
      <scheme val="minor"/>
    </font>
    <font>
      <sz val="20"/>
      <color rgb="FF0070C0"/>
      <name val="Calibri"/>
      <family val="2"/>
      <scheme val="minor"/>
    </font>
    <font>
      <sz val="20"/>
      <color theme="1"/>
      <name val="Calibri"/>
      <family val="3"/>
      <charset val="128"/>
      <scheme val="minor"/>
    </font>
    <font>
      <sz val="20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"/>
      <family val="2"/>
      <charset val="238"/>
    </font>
    <font>
      <sz val="10"/>
      <color rgb="FF212529"/>
      <name val="Segoe UI"/>
      <family val="2"/>
    </font>
    <font>
      <sz val="10"/>
      <color theme="1"/>
      <name val="Calibri"/>
      <family val="2"/>
      <charset val="163"/>
    </font>
    <font>
      <sz val="10"/>
      <color rgb="FF212529"/>
      <name val="Arial"/>
      <family val="2"/>
    </font>
    <font>
      <sz val="10"/>
      <color theme="1"/>
      <name val="Segoe UI"/>
      <family val="2"/>
      <charset val="238"/>
    </font>
    <font>
      <sz val="10"/>
      <color theme="1"/>
      <name val="游ゴシック"/>
      <family val="2"/>
      <charset val="128"/>
    </font>
    <font>
      <sz val="10"/>
      <color indexed="8"/>
      <name val="Arial"/>
      <family val="2"/>
    </font>
    <font>
      <sz val="16"/>
      <color theme="1"/>
      <name val="Calibri"/>
      <family val="3"/>
      <charset val="128"/>
      <scheme val="minor"/>
    </font>
    <font>
      <u/>
      <sz val="22"/>
      <color theme="1"/>
      <name val="Times New Roman"/>
      <family val="1"/>
    </font>
    <font>
      <sz val="10"/>
      <name val="Calibri"/>
      <family val="2"/>
      <scheme val="minor"/>
    </font>
    <font>
      <sz val="10"/>
      <name val="Times New Roman"/>
      <family val="1"/>
    </font>
    <font>
      <sz val="12"/>
      <color rgb="FF212529"/>
      <name val="Segoe UI"/>
      <family val="2"/>
    </font>
    <font>
      <sz val="11"/>
      <color rgb="FF212529"/>
      <name val="Segoe UI"/>
      <family val="2"/>
    </font>
    <font>
      <sz val="14"/>
      <color theme="1"/>
      <name val="Calibri"/>
      <family val="2"/>
      <scheme val="minor"/>
    </font>
    <font>
      <sz val="8"/>
      <name val="Verdana"/>
      <family val="2"/>
    </font>
    <font>
      <sz val="11"/>
      <color rgb="FF34495E"/>
      <name val="Arial"/>
      <family val="2"/>
    </font>
    <font>
      <sz val="12"/>
      <color rgb="FF34495E"/>
      <name val="Arial"/>
      <family val="2"/>
    </font>
    <font>
      <sz val="11"/>
      <color rgb="FF00B0F0"/>
      <name val="Calibri"/>
      <family val="2"/>
      <scheme val="minor"/>
    </font>
    <font>
      <sz val="11"/>
      <color rgb="FF00B0F0"/>
      <name val="Calibri"/>
      <family val="3"/>
      <charset val="128"/>
      <scheme val="minor"/>
    </font>
    <font>
      <sz val="11"/>
      <color rgb="FF0000FF"/>
      <name val="Calibri"/>
      <family val="3"/>
      <charset val="128"/>
      <scheme val="minor"/>
    </font>
    <font>
      <sz val="11"/>
      <color theme="1"/>
      <name val="Calibri"/>
      <family val="3"/>
      <charset val="163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/>
      <diagonal/>
    </border>
    <border>
      <left style="thin">
        <color indexed="64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/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CED4DA"/>
      </top>
      <bottom style="medium">
        <color rgb="FFDEE2E6"/>
      </bottom>
      <diagonal/>
    </border>
    <border>
      <left/>
      <right style="medium">
        <color rgb="FFDEE2E6"/>
      </right>
      <top style="medium">
        <color rgb="FFCED4DA"/>
      </top>
      <bottom style="medium">
        <color rgb="FFDEE2E6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1">
    <xf numFmtId="0" fontId="0" fillId="0" borderId="0"/>
    <xf numFmtId="43" fontId="3" fillId="0" borderId="0" applyFont="0" applyFill="0" applyBorder="0" applyAlignment="0" applyProtection="0"/>
    <xf numFmtId="0" fontId="4" fillId="0" borderId="0">
      <alignment vertical="center"/>
    </xf>
    <xf numFmtId="40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0" fontId="9" fillId="0" borderId="0">
      <alignment vertical="center"/>
    </xf>
    <xf numFmtId="40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0" fontId="11" fillId="0" borderId="0"/>
    <xf numFmtId="0" fontId="3" fillId="0" borderId="0"/>
    <xf numFmtId="40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11" fillId="0" borderId="0"/>
    <xf numFmtId="9" fontId="3" fillId="0" borderId="0" applyFont="0" applyFill="0" applyBorder="0" applyAlignment="0" applyProtection="0"/>
    <xf numFmtId="8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0" fontId="39" fillId="0" borderId="0" applyNumberFormat="0" applyFill="0" applyBorder="0" applyAlignment="0" applyProtection="0"/>
  </cellStyleXfs>
  <cellXfs count="55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6" xfId="0" applyBorder="1"/>
    <xf numFmtId="0" fontId="14" fillId="0" borderId="10" xfId="0" applyFont="1" applyBorder="1" applyAlignment="1">
      <alignment horizontal="center" vertical="center"/>
    </xf>
    <xf numFmtId="9" fontId="15" fillId="0" borderId="14" xfId="15" applyFont="1" applyBorder="1" applyAlignment="1">
      <alignment horizontal="center" vertical="center"/>
    </xf>
    <xf numFmtId="9" fontId="16" fillId="0" borderId="14" xfId="15" applyFont="1" applyBorder="1" applyAlignment="1">
      <alignment horizontal="center" vertical="center"/>
    </xf>
    <xf numFmtId="9" fontId="18" fillId="0" borderId="15" xfId="15" applyFont="1" applyBorder="1" applyAlignment="1">
      <alignment vertical="center"/>
    </xf>
    <xf numFmtId="0" fontId="14" fillId="0" borderId="1" xfId="1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/>
    </xf>
    <xf numFmtId="9" fontId="18" fillId="0" borderId="14" xfId="15" applyFont="1" applyBorder="1" applyAlignment="1">
      <alignment horizontal="center" vertical="center"/>
    </xf>
    <xf numFmtId="9" fontId="19" fillId="0" borderId="14" xfId="15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9" fontId="0" fillId="0" borderId="0" xfId="15" applyFont="1"/>
    <xf numFmtId="0" fontId="2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23" fillId="3" borderId="0" xfId="0" applyFont="1" applyFill="1" applyAlignment="1">
      <alignment horizontal="center" vertical="center"/>
    </xf>
    <xf numFmtId="0" fontId="0" fillId="0" borderId="3" xfId="0" applyBorder="1"/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0" fillId="0" borderId="0" xfId="0" applyAlignment="1">
      <alignment horizontal="left"/>
    </xf>
    <xf numFmtId="41" fontId="0" fillId="0" borderId="0" xfId="0" applyNumberFormat="1"/>
    <xf numFmtId="0" fontId="0" fillId="0" borderId="1" xfId="0" applyBorder="1" applyAlignment="1">
      <alignment horizontal="left"/>
    </xf>
    <xf numFmtId="41" fontId="0" fillId="0" borderId="1" xfId="18" applyNumberFormat="1" applyFont="1" applyBorder="1" applyAlignment="1">
      <alignment vertical="center"/>
    </xf>
    <xf numFmtId="0" fontId="3" fillId="3" borderId="1" xfId="5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" fontId="3" fillId="3" borderId="1" xfId="10" applyNumberFormat="1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3" borderId="3" xfId="5" applyFont="1" applyFill="1" applyBorder="1" applyAlignment="1">
      <alignment horizontal="center" vertical="center"/>
    </xf>
    <xf numFmtId="0" fontId="5" fillId="0" borderId="3" xfId="2" applyFont="1" applyBorder="1">
      <alignment vertical="center"/>
    </xf>
    <xf numFmtId="0" fontId="5" fillId="0" borderId="1" xfId="2" applyFont="1" applyBorder="1">
      <alignment vertical="center"/>
    </xf>
    <xf numFmtId="0" fontId="3" fillId="3" borderId="1" xfId="7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4" borderId="0" xfId="0" applyNumberFormat="1" applyFill="1"/>
    <xf numFmtId="41" fontId="0" fillId="0" borderId="1" xfId="19" applyNumberFormat="1" applyFont="1" applyBorder="1" applyAlignment="1">
      <alignment vertical="center"/>
    </xf>
    <xf numFmtId="168" fontId="37" fillId="0" borderId="3" xfId="11" applyNumberFormat="1" applyFont="1" applyBorder="1" applyAlignment="1">
      <alignment horizontal="center" vertical="center"/>
    </xf>
    <xf numFmtId="167" fontId="38" fillId="0" borderId="1" xfId="1" applyNumberFormat="1" applyFont="1" applyFill="1" applyBorder="1" applyAlignment="1">
      <alignment horizontal="center"/>
    </xf>
    <xf numFmtId="0" fontId="40" fillId="3" borderId="1" xfId="20" applyFont="1" applyFill="1" applyBorder="1" applyAlignment="1">
      <alignment horizontal="center"/>
    </xf>
    <xf numFmtId="0" fontId="3" fillId="3" borderId="1" xfId="5" applyFont="1" applyFill="1" applyBorder="1">
      <alignment vertical="center"/>
    </xf>
    <xf numFmtId="0" fontId="37" fillId="0" borderId="1" xfId="12" applyFont="1" applyBorder="1" applyAlignment="1">
      <alignment horizontal="left" vertical="center"/>
    </xf>
    <xf numFmtId="0" fontId="41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 wrapText="1"/>
    </xf>
    <xf numFmtId="0" fontId="4" fillId="0" borderId="0" xfId="2">
      <alignment vertical="center"/>
    </xf>
    <xf numFmtId="0" fontId="4" fillId="0" borderId="0" xfId="2" applyAlignment="1">
      <alignment horizontal="center" vertical="center"/>
    </xf>
    <xf numFmtId="0" fontId="4" fillId="0" borderId="0" xfId="2" applyAlignment="1">
      <alignment horizontal="left" vertical="center"/>
    </xf>
    <xf numFmtId="164" fontId="4" fillId="0" borderId="0" xfId="2" applyNumberFormat="1" applyAlignment="1">
      <alignment horizontal="center" vertical="center"/>
    </xf>
    <xf numFmtId="41" fontId="4" fillId="0" borderId="0" xfId="2" applyNumberFormat="1">
      <alignment vertical="center"/>
    </xf>
    <xf numFmtId="0" fontId="4" fillId="0" borderId="1" xfId="2" applyBorder="1">
      <alignment vertical="center"/>
    </xf>
    <xf numFmtId="41" fontId="0" fillId="0" borderId="1" xfId="4" applyNumberFormat="1" applyFont="1" applyBorder="1" applyAlignment="1">
      <alignment vertical="center"/>
    </xf>
    <xf numFmtId="164" fontId="3" fillId="10" borderId="1" xfId="5" applyNumberFormat="1" applyFont="1" applyFill="1" applyBorder="1">
      <alignment vertical="center"/>
    </xf>
    <xf numFmtId="0" fontId="46" fillId="3" borderId="1" xfId="5" applyFont="1" applyFill="1" applyBorder="1">
      <alignment vertical="center"/>
    </xf>
    <xf numFmtId="0" fontId="3" fillId="0" borderId="1" xfId="5" applyFont="1" applyFill="1" applyBorder="1" applyAlignment="1">
      <alignment horizontal="center" vertical="center"/>
    </xf>
    <xf numFmtId="0" fontId="48" fillId="0" borderId="0" xfId="2" applyFont="1">
      <alignment vertical="center"/>
    </xf>
    <xf numFmtId="0" fontId="48" fillId="0" borderId="1" xfId="2" applyFont="1" applyBorder="1">
      <alignment vertical="center"/>
    </xf>
    <xf numFmtId="0" fontId="48" fillId="3" borderId="1" xfId="5" applyFont="1" applyFill="1" applyBorder="1">
      <alignment vertical="center"/>
    </xf>
    <xf numFmtId="0" fontId="42" fillId="0" borderId="0" xfId="2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/>
    </xf>
    <xf numFmtId="38" fontId="41" fillId="3" borderId="1" xfId="8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8" fillId="0" borderId="1" xfId="2" applyFont="1" applyBorder="1" applyAlignment="1">
      <alignment horizontal="center" vertical="center"/>
    </xf>
    <xf numFmtId="1" fontId="4" fillId="0" borderId="1" xfId="2" applyNumberFormat="1" applyBorder="1" applyAlignment="1">
      <alignment horizontal="center" vertical="center"/>
    </xf>
    <xf numFmtId="169" fontId="4" fillId="0" borderId="1" xfId="2" applyNumberForma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0" fillId="0" borderId="0" xfId="0" applyFont="1"/>
    <xf numFmtId="40" fontId="0" fillId="0" borderId="1" xfId="8" applyFont="1" applyFill="1" applyBorder="1" applyAlignment="1">
      <alignment horizontal="center" vertical="center" wrapText="1"/>
    </xf>
    <xf numFmtId="38" fontId="0" fillId="0" borderId="1" xfId="8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38" fontId="46" fillId="0" borderId="1" xfId="8" applyNumberFormat="1" applyFont="1" applyBorder="1" applyAlignment="1">
      <alignment horizontal="center" vertical="center" wrapText="1"/>
    </xf>
    <xf numFmtId="38" fontId="51" fillId="7" borderId="1" xfId="8" applyNumberFormat="1" applyFont="1" applyFill="1" applyBorder="1" applyAlignment="1">
      <alignment horizontal="center" vertical="center" wrapText="1"/>
    </xf>
    <xf numFmtId="166" fontId="51" fillId="6" borderId="1" xfId="8" applyNumberFormat="1" applyFont="1" applyFill="1" applyBorder="1" applyAlignment="1">
      <alignment horizontal="center" vertical="center"/>
    </xf>
    <xf numFmtId="0" fontId="50" fillId="8" borderId="1" xfId="0" applyFont="1" applyFill="1" applyBorder="1" applyAlignment="1">
      <alignment vertical="center"/>
    </xf>
    <xf numFmtId="0" fontId="50" fillId="8" borderId="1" xfId="0" applyFont="1" applyFill="1" applyBorder="1" applyAlignment="1">
      <alignment horizontal="center" vertical="center" wrapText="1"/>
    </xf>
    <xf numFmtId="38" fontId="0" fillId="0" borderId="1" xfId="8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38" fontId="0" fillId="7" borderId="1" xfId="8" applyNumberFormat="1" applyFont="1" applyFill="1" applyBorder="1" applyAlignment="1">
      <alignment horizontal="center" vertical="center" wrapText="1"/>
    </xf>
    <xf numFmtId="166" fontId="53" fillId="6" borderId="1" xfId="8" applyNumberFormat="1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165" fontId="55" fillId="0" borderId="1" xfId="8" applyNumberFormat="1" applyFont="1" applyBorder="1" applyAlignment="1">
      <alignment horizontal="center" vertical="center"/>
    </xf>
    <xf numFmtId="43" fontId="0" fillId="0" borderId="0" xfId="0" applyNumberFormat="1" applyFont="1"/>
    <xf numFmtId="38" fontId="0" fillId="0" borderId="0" xfId="0" applyNumberFormat="1" applyFont="1"/>
    <xf numFmtId="166" fontId="0" fillId="6" borderId="1" xfId="8" applyNumberFormat="1" applyFont="1" applyFill="1" applyBorder="1" applyAlignment="1">
      <alignment horizontal="center" vertical="center"/>
    </xf>
    <xf numFmtId="164" fontId="0" fillId="0" borderId="0" xfId="0" applyNumberFormat="1" applyFont="1"/>
    <xf numFmtId="0" fontId="0" fillId="0" borderId="1" xfId="0" applyFont="1" applyBorder="1" applyAlignment="1">
      <alignment vertical="center"/>
    </xf>
    <xf numFmtId="169" fontId="0" fillId="0" borderId="0" xfId="0" applyNumberFormat="1" applyFont="1"/>
    <xf numFmtId="168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0" fillId="0" borderId="1" xfId="2" applyFont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62" fillId="0" borderId="0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3" xfId="0" applyFont="1" applyBorder="1" applyAlignment="1">
      <alignment horizontal="left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1" xfId="0" applyFont="1" applyBorder="1" applyAlignment="1">
      <alignment horizontal="center" vertical="center"/>
    </xf>
    <xf numFmtId="0" fontId="65" fillId="0" borderId="0" xfId="0" applyFont="1" applyBorder="1" applyAlignment="1">
      <alignment horizontal="center" vertical="center"/>
    </xf>
    <xf numFmtId="0" fontId="25" fillId="0" borderId="1" xfId="0" applyFont="1" applyBorder="1"/>
    <xf numFmtId="0" fontId="65" fillId="0" borderId="18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5" fillId="0" borderId="18" xfId="0" applyFont="1" applyBorder="1" applyAlignment="1">
      <alignment horizontal="center" vertical="center"/>
    </xf>
    <xf numFmtId="0" fontId="65" fillId="11" borderId="18" xfId="0" applyFont="1" applyFill="1" applyBorder="1" applyAlignment="1">
      <alignment horizontal="center" vertical="center"/>
    </xf>
    <xf numFmtId="0" fontId="65" fillId="11" borderId="18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/>
    <xf numFmtId="0" fontId="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/>
    <xf numFmtId="0" fontId="0" fillId="0" borderId="0" xfId="0" applyAlignment="1"/>
    <xf numFmtId="0" fontId="63" fillId="4" borderId="1" xfId="0" applyFont="1" applyFill="1" applyBorder="1" applyAlignment="1">
      <alignment vertical="center"/>
    </xf>
    <xf numFmtId="0" fontId="63" fillId="4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5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center"/>
    </xf>
    <xf numFmtId="0" fontId="63" fillId="4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65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5" fillId="0" borderId="0" xfId="0" applyFont="1"/>
    <xf numFmtId="0" fontId="25" fillId="0" borderId="1" xfId="0" applyFont="1" applyBorder="1" applyAlignment="1">
      <alignment horizontal="left" vertical="top"/>
    </xf>
    <xf numFmtId="171" fontId="25" fillId="0" borderId="1" xfId="0" applyNumberFormat="1" applyFont="1" applyBorder="1" applyAlignment="1">
      <alignment horizontal="center" vertical="center"/>
    </xf>
    <xf numFmtId="171" fontId="25" fillId="0" borderId="1" xfId="0" applyNumberFormat="1" applyFont="1" applyBorder="1" applyAlignment="1">
      <alignment horizontal="left" vertical="center"/>
    </xf>
    <xf numFmtId="0" fontId="70" fillId="3" borderId="1" xfId="0" applyFont="1" applyFill="1" applyBorder="1" applyAlignment="1" applyProtection="1">
      <alignment vertical="center"/>
      <protection locked="0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/>
    <xf numFmtId="0" fontId="65" fillId="11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25" fillId="0" borderId="3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top"/>
    </xf>
    <xf numFmtId="0" fontId="67" fillId="0" borderId="0" xfId="0" applyFont="1" applyAlignment="1">
      <alignment horizontal="left" vertical="top"/>
    </xf>
    <xf numFmtId="0" fontId="67" fillId="0" borderId="0" xfId="0" applyFont="1" applyAlignment="1">
      <alignment horizontal="left"/>
    </xf>
    <xf numFmtId="0" fontId="67" fillId="0" borderId="0" xfId="0" applyFont="1" applyAlignment="1">
      <alignment horizontal="left" vertical="center"/>
    </xf>
    <xf numFmtId="0" fontId="25" fillId="0" borderId="2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63" fillId="4" borderId="1" xfId="0" applyFont="1" applyFill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  <xf numFmtId="0" fontId="63" fillId="9" borderId="4" xfId="0" applyFont="1" applyFill="1" applyBorder="1" applyAlignment="1">
      <alignment horizontal="center" vertical="center" wrapText="1"/>
    </xf>
    <xf numFmtId="167" fontId="25" fillId="0" borderId="0" xfId="1" applyNumberFormat="1" applyFont="1" applyBorder="1" applyAlignment="1">
      <alignment horizontal="center" vertical="center"/>
    </xf>
    <xf numFmtId="164" fontId="25" fillId="0" borderId="0" xfId="0" applyNumberFormat="1" applyFont="1"/>
    <xf numFmtId="164" fontId="25" fillId="0" borderId="0" xfId="0" applyNumberFormat="1" applyFont="1" applyAlignment="1">
      <alignment horizontal="center"/>
    </xf>
    <xf numFmtId="164" fontId="0" fillId="0" borderId="0" xfId="0" applyNumberFormat="1"/>
    <xf numFmtId="164" fontId="25" fillId="12" borderId="0" xfId="0" applyNumberFormat="1" applyFont="1" applyFill="1"/>
    <xf numFmtId="164" fontId="0" fillId="12" borderId="0" xfId="0" applyNumberFormat="1" applyFill="1"/>
    <xf numFmtId="0" fontId="0" fillId="0" borderId="0" xfId="0" applyAlignment="1">
      <alignment horizontal="center" vertical="center" wrapText="1"/>
    </xf>
    <xf numFmtId="164" fontId="25" fillId="12" borderId="0" xfId="0" applyNumberFormat="1" applyFont="1" applyFill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25" fillId="0" borderId="0" xfId="0" applyNumberFormat="1" applyFont="1"/>
    <xf numFmtId="0" fontId="25" fillId="0" borderId="2" xfId="0" applyFont="1" applyBorder="1" applyAlignment="1">
      <alignment horizontal="left" vertical="center"/>
    </xf>
    <xf numFmtId="0" fontId="25" fillId="0" borderId="24" xfId="0" applyFont="1" applyBorder="1" applyAlignment="1">
      <alignment horizontal="left"/>
    </xf>
    <xf numFmtId="172" fontId="0" fillId="12" borderId="0" xfId="0" applyNumberFormat="1" applyFill="1"/>
    <xf numFmtId="164" fontId="0" fillId="0" borderId="1" xfId="0" applyNumberFormat="1" applyBorder="1" applyAlignment="1">
      <alignment horizontal="center"/>
    </xf>
    <xf numFmtId="164" fontId="0" fillId="12" borderId="0" xfId="0" applyNumberFormat="1" applyFill="1" applyAlignment="1">
      <alignment horizontal="center"/>
    </xf>
    <xf numFmtId="164" fontId="25" fillId="12" borderId="0" xfId="0" applyNumberFormat="1" applyFont="1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32" fillId="3" borderId="1" xfId="7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42" fillId="0" borderId="0" xfId="2" applyFont="1" applyFill="1" applyBorder="1" applyAlignment="1">
      <alignment vertical="top" wrapText="1"/>
    </xf>
    <xf numFmtId="0" fontId="41" fillId="0" borderId="0" xfId="2" applyFont="1" applyFill="1" applyBorder="1" applyAlignment="1">
      <alignment vertical="top"/>
    </xf>
    <xf numFmtId="0" fontId="4" fillId="0" borderId="0" xfId="2" applyAlignment="1">
      <alignment vertical="top"/>
    </xf>
    <xf numFmtId="0" fontId="48" fillId="0" borderId="0" xfId="2" applyFont="1" applyAlignment="1">
      <alignment vertical="top"/>
    </xf>
    <xf numFmtId="41" fontId="4" fillId="4" borderId="0" xfId="2" applyNumberFormat="1" applyFill="1" applyAlignment="1">
      <alignment vertical="top"/>
    </xf>
    <xf numFmtId="167" fontId="4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67" fontId="38" fillId="0" borderId="3" xfId="1" applyNumberFormat="1" applyFont="1" applyFill="1" applyBorder="1" applyAlignment="1">
      <alignment horizontal="center"/>
    </xf>
    <xf numFmtId="0" fontId="0" fillId="3" borderId="1" xfId="0" applyFill="1" applyBorder="1"/>
    <xf numFmtId="168" fontId="0" fillId="3" borderId="1" xfId="0" applyNumberFormat="1" applyFill="1" applyBorder="1"/>
    <xf numFmtId="167" fontId="0" fillId="0" borderId="0" xfId="1" applyNumberFormat="1" applyFont="1" applyAlignment="1">
      <alignment vertical="center"/>
    </xf>
    <xf numFmtId="169" fontId="0" fillId="0" borderId="0" xfId="0" applyNumberFormat="1"/>
    <xf numFmtId="167" fontId="14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vertical="center" wrapText="1"/>
    </xf>
    <xf numFmtId="167" fontId="14" fillId="0" borderId="1" xfId="1" applyNumberFormat="1" applyFont="1" applyBorder="1" applyAlignment="1">
      <alignment horizontal="center" vertical="center"/>
    </xf>
    <xf numFmtId="167" fontId="4" fillId="0" borderId="0" xfId="2" applyNumberFormat="1">
      <alignment vertical="center"/>
    </xf>
    <xf numFmtId="167" fontId="0" fillId="0" borderId="0" xfId="0" applyNumberFormat="1" applyAlignment="1">
      <alignment horizontal="left"/>
    </xf>
    <xf numFmtId="167" fontId="0" fillId="0" borderId="0" xfId="0" applyNumberFormat="1"/>
    <xf numFmtId="170" fontId="46" fillId="0" borderId="1" xfId="8" applyNumberFormat="1" applyFont="1" applyBorder="1" applyAlignment="1">
      <alignment horizontal="center" vertical="center"/>
    </xf>
    <xf numFmtId="170" fontId="51" fillId="6" borderId="1" xfId="8" applyNumberFormat="1" applyFont="1" applyFill="1" applyBorder="1" applyAlignment="1">
      <alignment horizontal="center" vertical="center"/>
    </xf>
    <xf numFmtId="170" fontId="53" fillId="6" borderId="1" xfId="8" applyNumberFormat="1" applyFont="1" applyFill="1" applyBorder="1" applyAlignment="1">
      <alignment horizontal="center" vertical="center"/>
    </xf>
    <xf numFmtId="170" fontId="0" fillId="6" borderId="1" xfId="8" applyNumberFormat="1" applyFont="1" applyFill="1" applyBorder="1" applyAlignment="1">
      <alignment horizontal="center" vertical="center"/>
    </xf>
    <xf numFmtId="170" fontId="46" fillId="6" borderId="1" xfId="8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0" fontId="53" fillId="6" borderId="1" xfId="9" applyNumberFormat="1" applyFont="1" applyFill="1" applyBorder="1" applyAlignment="1">
      <alignment horizontal="center" vertical="center"/>
    </xf>
    <xf numFmtId="170" fontId="53" fillId="6" borderId="1" xfId="0" applyNumberFormat="1" applyFont="1" applyFill="1" applyBorder="1" applyAlignment="1">
      <alignment horizontal="center" vertical="center"/>
    </xf>
    <xf numFmtId="170" fontId="46" fillId="0" borderId="1" xfId="0" applyNumberFormat="1" applyFont="1" applyBorder="1" applyAlignment="1">
      <alignment horizontal="center" vertical="center"/>
    </xf>
    <xf numFmtId="164" fontId="0" fillId="6" borderId="1" xfId="8" applyNumberFormat="1" applyFont="1" applyFill="1" applyBorder="1" applyAlignment="1">
      <alignment horizontal="center" vertical="center"/>
    </xf>
    <xf numFmtId="166" fontId="0" fillId="0" borderId="1" xfId="8" applyNumberFormat="1" applyFont="1" applyFill="1" applyBorder="1" applyAlignment="1">
      <alignment horizontal="center" vertical="center"/>
    </xf>
    <xf numFmtId="43" fontId="46" fillId="0" borderId="1" xfId="8" applyNumberFormat="1" applyFont="1" applyFill="1" applyBorder="1" applyAlignment="1">
      <alignment horizontal="center" vertical="center"/>
    </xf>
    <xf numFmtId="170" fontId="46" fillId="0" borderId="1" xfId="8" applyNumberFormat="1" applyFont="1" applyFill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70" fontId="1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7" fontId="0" fillId="9" borderId="0" xfId="0" applyNumberFormat="1" applyFont="1" applyFill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0" fontId="41" fillId="3" borderId="16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center" vertical="center"/>
    </xf>
    <xf numFmtId="0" fontId="41" fillId="2" borderId="16" xfId="0" applyFont="1" applyFill="1" applyBorder="1" applyAlignment="1">
      <alignment horizontal="center" vertical="center"/>
    </xf>
    <xf numFmtId="0" fontId="41" fillId="2" borderId="18" xfId="0" applyFont="1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/>
    </xf>
    <xf numFmtId="0" fontId="0" fillId="0" borderId="1" xfId="0" applyBorder="1" applyAlignment="1">
      <alignment wrapText="1"/>
    </xf>
    <xf numFmtId="0" fontId="4" fillId="0" borderId="1" xfId="2" applyBorder="1" applyAlignment="1">
      <alignment horizontal="center" vertical="center"/>
    </xf>
    <xf numFmtId="0" fontId="41" fillId="3" borderId="1" xfId="2" applyFont="1" applyFill="1" applyBorder="1" applyAlignment="1">
      <alignment horizontal="center" vertical="center" wrapText="1"/>
    </xf>
    <xf numFmtId="0" fontId="41" fillId="3" borderId="1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 wrapText="1"/>
    </xf>
    <xf numFmtId="0" fontId="41" fillId="2" borderId="1" xfId="2" applyFont="1" applyFill="1" applyBorder="1" applyAlignment="1">
      <alignment horizontal="center" vertical="center"/>
    </xf>
    <xf numFmtId="41" fontId="59" fillId="0" borderId="1" xfId="4" applyNumberFormat="1" applyFont="1" applyBorder="1" applyAlignment="1">
      <alignment vertical="center"/>
    </xf>
    <xf numFmtId="0" fontId="73" fillId="0" borderId="0" xfId="12" applyFont="1" applyBorder="1" applyAlignment="1">
      <alignment horizontal="left" vertical="center"/>
    </xf>
    <xf numFmtId="0" fontId="4" fillId="0" borderId="5" xfId="2" applyFill="1" applyBorder="1" applyAlignment="1">
      <alignment horizontal="center" vertical="center"/>
    </xf>
    <xf numFmtId="0" fontId="25" fillId="0" borderId="0" xfId="5" applyFont="1" applyBorder="1" applyAlignment="1">
      <alignment horizontal="left"/>
    </xf>
    <xf numFmtId="0" fontId="25" fillId="0" borderId="0" xfId="12" applyFont="1" applyBorder="1" applyAlignment="1">
      <alignment horizontal="left" vertical="center"/>
    </xf>
    <xf numFmtId="0" fontId="25" fillId="0" borderId="0" xfId="5" applyFont="1" applyBorder="1" applyAlignment="1">
      <alignment horizontal="left" vertical="center"/>
    </xf>
    <xf numFmtId="0" fontId="17" fillId="3" borderId="0" xfId="2" applyFont="1" applyFill="1" applyBorder="1" applyAlignment="1">
      <alignment horizontal="center"/>
    </xf>
    <xf numFmtId="0" fontId="17" fillId="3" borderId="0" xfId="12" applyFont="1" applyFill="1" applyBorder="1" applyAlignment="1">
      <alignment horizontal="center" vertical="center"/>
    </xf>
    <xf numFmtId="0" fontId="17" fillId="3" borderId="0" xfId="2" applyFont="1" applyFill="1" applyBorder="1" applyAlignment="1">
      <alignment horizontal="center" vertical="center"/>
    </xf>
    <xf numFmtId="0" fontId="74" fillId="3" borderId="0" xfId="12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32" fillId="0" borderId="0" xfId="12" applyFont="1" applyBorder="1" applyAlignment="1">
      <alignment horizontal="center" vertical="center"/>
    </xf>
    <xf numFmtId="0" fontId="32" fillId="0" borderId="0" xfId="12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0" fontId="17" fillId="0" borderId="0" xfId="12" applyFont="1" applyFill="1" applyBorder="1" applyAlignment="1">
      <alignment horizontal="center" vertical="center"/>
    </xf>
    <xf numFmtId="0" fontId="74" fillId="0" borderId="0" xfId="12" applyFont="1" applyFill="1" applyBorder="1" applyAlignment="1">
      <alignment horizontal="center" vertical="center" wrapText="1"/>
    </xf>
    <xf numFmtId="0" fontId="74" fillId="0" borderId="0" xfId="12" applyFont="1" applyFill="1" applyBorder="1" applyAlignment="1">
      <alignment horizontal="center" vertical="center"/>
    </xf>
    <xf numFmtId="0" fontId="3" fillId="3" borderId="0" xfId="5" applyFont="1" applyFill="1" applyBorder="1" applyAlignment="1">
      <alignment horizontal="center" vertical="center"/>
    </xf>
    <xf numFmtId="0" fontId="0" fillId="3" borderId="0" xfId="5" applyFont="1" applyFill="1" applyBorder="1" applyAlignment="1">
      <alignment horizontal="center" vertical="center"/>
    </xf>
    <xf numFmtId="0" fontId="0" fillId="0" borderId="0" xfId="5" applyFont="1" applyFill="1" applyBorder="1" applyAlignment="1">
      <alignment horizontal="center" vertical="center"/>
    </xf>
    <xf numFmtId="0" fontId="10" fillId="3" borderId="0" xfId="12" applyFont="1" applyFill="1" applyBorder="1" applyAlignment="1">
      <alignment horizontal="center" vertical="center"/>
    </xf>
    <xf numFmtId="0" fontId="10" fillId="3" borderId="0" xfId="5" applyFont="1" applyFill="1" applyBorder="1" applyAlignment="1">
      <alignment horizontal="center" vertical="center"/>
    </xf>
    <xf numFmtId="0" fontId="38" fillId="3" borderId="0" xfId="2" applyFont="1" applyFill="1" applyBorder="1" applyAlignment="1">
      <alignment horizontal="center" vertical="center"/>
    </xf>
    <xf numFmtId="0" fontId="32" fillId="3" borderId="0" xfId="7" applyFont="1" applyFill="1" applyBorder="1" applyAlignment="1">
      <alignment horizontal="center" vertical="center"/>
    </xf>
    <xf numFmtId="0" fontId="4" fillId="0" borderId="0" xfId="2" applyBorder="1">
      <alignment vertical="center"/>
    </xf>
    <xf numFmtId="1" fontId="0" fillId="3" borderId="0" xfId="0" applyNumberFormat="1" applyFill="1" applyAlignment="1">
      <alignment horizontal="center"/>
    </xf>
    <xf numFmtId="41" fontId="0" fillId="3" borderId="0" xfId="0" applyNumberFormat="1" applyFill="1" applyAlignment="1">
      <alignment horizontal="center"/>
    </xf>
    <xf numFmtId="167" fontId="0" fillId="9" borderId="0" xfId="0" applyNumberFormat="1" applyFill="1"/>
    <xf numFmtId="0" fontId="4" fillId="0" borderId="0" xfId="2" applyBorder="1" applyAlignment="1">
      <alignment horizontal="center" vertical="center"/>
    </xf>
    <xf numFmtId="0" fontId="0" fillId="0" borderId="0" xfId="0" applyBorder="1"/>
    <xf numFmtId="0" fontId="4" fillId="0" borderId="0" xfId="2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38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67" fontId="4" fillId="0" borderId="1" xfId="2" applyNumberForma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8" fontId="10" fillId="0" borderId="12" xfId="0" applyNumberFormat="1" applyFont="1" applyBorder="1" applyAlignment="1">
      <alignment vertical="center"/>
    </xf>
    <xf numFmtId="43" fontId="0" fillId="0" borderId="0" xfId="0" applyNumberFormat="1" applyFont="1" applyAlignment="1">
      <alignment horizontal="center" vertical="center"/>
    </xf>
    <xf numFmtId="43" fontId="46" fillId="0" borderId="1" xfId="1" applyNumberFormat="1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1" fillId="0" borderId="1" xfId="2" applyFont="1" applyFill="1" applyBorder="1" applyAlignment="1">
      <alignment horizontal="center" vertical="center" wrapText="1"/>
    </xf>
    <xf numFmtId="0" fontId="4" fillId="0" borderId="1" xfId="2" applyFill="1" applyBorder="1" applyAlignment="1">
      <alignment horizontal="center" vertical="center"/>
    </xf>
    <xf numFmtId="17" fontId="4" fillId="0" borderId="1" xfId="2" applyNumberFormat="1" applyBorder="1" applyAlignment="1">
      <alignment horizontal="center" vertical="center"/>
    </xf>
    <xf numFmtId="0" fontId="4" fillId="4" borderId="1" xfId="2" applyFill="1" applyBorder="1" applyAlignment="1">
      <alignment horizontal="center" vertical="center"/>
    </xf>
    <xf numFmtId="167" fontId="10" fillId="0" borderId="12" xfId="0" applyNumberFormat="1" applyFont="1" applyBorder="1" applyAlignment="1">
      <alignment vertical="center"/>
    </xf>
    <xf numFmtId="167" fontId="14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Alignment="1">
      <alignment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167" fontId="0" fillId="0" borderId="0" xfId="1" applyNumberFormat="1" applyFont="1"/>
    <xf numFmtId="1" fontId="4" fillId="0" borderId="0" xfId="2" applyNumberFormat="1" applyAlignment="1">
      <alignment horizontal="center" vertical="center"/>
    </xf>
    <xf numFmtId="1" fontId="4" fillId="0" borderId="5" xfId="2" applyNumberFormat="1" applyFill="1" applyBorder="1" applyAlignment="1">
      <alignment horizontal="center" vertical="center"/>
    </xf>
    <xf numFmtId="0" fontId="0" fillId="4" borderId="1" xfId="0" applyFill="1" applyBorder="1"/>
    <xf numFmtId="1" fontId="4" fillId="0" borderId="0" xfId="2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5" fillId="0" borderId="0" xfId="0" applyFont="1"/>
    <xf numFmtId="0" fontId="0" fillId="4" borderId="1" xfId="0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60" fillId="3" borderId="1" xfId="2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4" xfId="0" applyFont="1" applyFill="1" applyBorder="1" applyAlignment="1"/>
    <xf numFmtId="0" fontId="0" fillId="0" borderId="4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wrapText="1"/>
    </xf>
    <xf numFmtId="0" fontId="59" fillId="0" borderId="1" xfId="0" applyFont="1" applyBorder="1" applyAlignment="1">
      <alignment horizontal="center" vertical="center" wrapText="1"/>
    </xf>
    <xf numFmtId="174" fontId="0" fillId="0" borderId="1" xfId="0" applyNumberForma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167" fontId="78" fillId="3" borderId="1" xfId="1" applyNumberFormat="1" applyFont="1" applyFill="1" applyBorder="1" applyAlignment="1">
      <alignment vertical="center"/>
    </xf>
    <xf numFmtId="0" fontId="0" fillId="0" borderId="23" xfId="0" applyFill="1" applyBorder="1" applyAlignment="1">
      <alignment horizontal="center"/>
    </xf>
    <xf numFmtId="167" fontId="78" fillId="4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/>
    </xf>
    <xf numFmtId="167" fontId="46" fillId="4" borderId="1" xfId="1" applyNumberFormat="1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1" fontId="53" fillId="3" borderId="1" xfId="0" applyNumberFormat="1" applyFont="1" applyFill="1" applyBorder="1" applyAlignment="1">
      <alignment horizontal="center"/>
    </xf>
    <xf numFmtId="0" fontId="53" fillId="13" borderId="1" xfId="0" applyFont="1" applyFill="1" applyBorder="1" applyAlignment="1">
      <alignment horizontal="center"/>
    </xf>
    <xf numFmtId="0" fontId="46" fillId="3" borderId="0" xfId="0" applyFont="1" applyFill="1" applyBorder="1" applyAlignment="1">
      <alignment horizontal="center"/>
    </xf>
    <xf numFmtId="1" fontId="53" fillId="3" borderId="0" xfId="0" applyNumberFormat="1" applyFont="1" applyFill="1" applyBorder="1" applyAlignment="1">
      <alignment horizontal="center"/>
    </xf>
    <xf numFmtId="0" fontId="53" fillId="3" borderId="0" xfId="0" applyFont="1" applyFill="1" applyBorder="1" applyAlignment="1">
      <alignment horizontal="center"/>
    </xf>
    <xf numFmtId="9" fontId="0" fillId="0" borderId="0" xfId="15" applyFont="1" applyBorder="1"/>
    <xf numFmtId="1" fontId="46" fillId="3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wrapText="1"/>
    </xf>
    <xf numFmtId="9" fontId="0" fillId="0" borderId="0" xfId="15" applyFont="1" applyAlignment="1">
      <alignment horizontal="center"/>
    </xf>
    <xf numFmtId="9" fontId="0" fillId="0" borderId="0" xfId="15" applyFont="1" applyAlignment="1">
      <alignment horizontal="center" vertical="center"/>
    </xf>
    <xf numFmtId="164" fontId="46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1" fillId="0" borderId="0" xfId="0" applyFont="1"/>
    <xf numFmtId="0" fontId="82" fillId="0" borderId="0" xfId="0" applyFont="1"/>
    <xf numFmtId="0" fontId="8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/>
    <xf numFmtId="0" fontId="75" fillId="11" borderId="1" xfId="0" applyFont="1" applyFill="1" applyBorder="1" applyAlignment="1">
      <alignment vertical="top"/>
    </xf>
    <xf numFmtId="0" fontId="75" fillId="0" borderId="1" xfId="0" applyFont="1" applyBorder="1"/>
    <xf numFmtId="168" fontId="53" fillId="3" borderId="1" xfId="1" applyNumberFormat="1" applyFont="1" applyFill="1" applyBorder="1" applyAlignment="1">
      <alignment horizontal="center"/>
    </xf>
    <xf numFmtId="168" fontId="53" fillId="6" borderId="1" xfId="1" applyNumberFormat="1" applyFont="1" applyFill="1" applyBorder="1" applyAlignment="1">
      <alignment horizontal="center" vertical="center"/>
    </xf>
    <xf numFmtId="168" fontId="51" fillId="6" borderId="1" xfId="1" applyNumberFormat="1" applyFont="1" applyFill="1" applyBorder="1" applyAlignment="1">
      <alignment horizontal="center" vertical="center"/>
    </xf>
    <xf numFmtId="168" fontId="0" fillId="6" borderId="1" xfId="1" applyNumberFormat="1" applyFont="1" applyFill="1" applyBorder="1" applyAlignment="1">
      <alignment horizontal="center" vertical="center"/>
    </xf>
    <xf numFmtId="168" fontId="46" fillId="0" borderId="1" xfId="1" applyNumberFormat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75" fillId="11" borderId="25" xfId="0" applyFont="1" applyFill="1" applyBorder="1" applyAlignment="1">
      <alignment vertical="top"/>
    </xf>
    <xf numFmtId="14" fontId="0" fillId="0" borderId="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0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11" borderId="26" xfId="0" applyFont="1" applyFill="1" applyBorder="1" applyAlignment="1">
      <alignment vertical="top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2" fillId="3" borderId="4" xfId="7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7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3" fillId="0" borderId="0" xfId="0" applyFont="1"/>
    <xf numFmtId="164" fontId="0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/>
    <xf numFmtId="0" fontId="0" fillId="0" borderId="3" xfId="0" applyFont="1" applyBorder="1"/>
    <xf numFmtId="0" fontId="0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4" fontId="0" fillId="3" borderId="1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0" fontId="75" fillId="11" borderId="1" xfId="0" applyFont="1" applyFill="1" applyBorder="1" applyAlignment="1">
      <alignment horizontal="center" vertical="top"/>
    </xf>
    <xf numFmtId="0" fontId="60" fillId="0" borderId="1" xfId="2" applyFont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6" fillId="11" borderId="1" xfId="0" applyFont="1" applyFill="1" applyBorder="1" applyAlignment="1">
      <alignment horizontal="center" vertical="top"/>
    </xf>
    <xf numFmtId="0" fontId="79" fillId="11" borderId="1" xfId="0" applyFont="1" applyFill="1" applyBorder="1" applyAlignment="1">
      <alignment horizontal="center" vertical="center"/>
    </xf>
    <xf numFmtId="1" fontId="0" fillId="0" borderId="0" xfId="0" applyNumberFormat="1" applyBorder="1" applyAlignment="1"/>
    <xf numFmtId="0" fontId="0" fillId="0" borderId="1" xfId="0" applyFont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75" fillId="11" borderId="4" xfId="0" applyFont="1" applyFill="1" applyBorder="1" applyAlignment="1">
      <alignment vertical="top"/>
    </xf>
    <xf numFmtId="170" fontId="46" fillId="0" borderId="1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/>
    <xf numFmtId="0" fontId="0" fillId="0" borderId="3" xfId="0" applyFont="1" applyBorder="1" applyAlignment="1">
      <alignment wrapText="1"/>
    </xf>
    <xf numFmtId="0" fontId="0" fillId="0" borderId="3" xfId="0" applyFont="1" applyBorder="1" applyAlignment="1">
      <alignment horizontal="center" wrapText="1"/>
    </xf>
    <xf numFmtId="0" fontId="76" fillId="0" borderId="3" xfId="0" applyFont="1" applyBorder="1" applyAlignment="1">
      <alignment horizontal="center"/>
    </xf>
    <xf numFmtId="14" fontId="0" fillId="0" borderId="3" xfId="0" applyNumberFormat="1" applyFont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75" fillId="0" borderId="3" xfId="0" applyFont="1" applyBorder="1" applyAlignment="1">
      <alignment horizontal="center"/>
    </xf>
    <xf numFmtId="0" fontId="31" fillId="0" borderId="4" xfId="2" applyFont="1" applyBorder="1" applyAlignment="1">
      <alignment horizontal="center" vertical="center"/>
    </xf>
    <xf numFmtId="0" fontId="79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49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8" fontId="17" fillId="0" borderId="7" xfId="8" applyNumberFormat="1" applyFont="1" applyFill="1" applyBorder="1" applyAlignment="1">
      <alignment horizontal="center" vertical="center" wrapText="1"/>
    </xf>
    <xf numFmtId="40" fontId="17" fillId="0" borderId="7" xfId="8" applyFont="1" applyFill="1" applyBorder="1" applyAlignment="1">
      <alignment horizontal="center" vertical="center" wrapText="1"/>
    </xf>
    <xf numFmtId="0" fontId="41" fillId="0" borderId="1" xfId="2" applyFont="1" applyFill="1" applyBorder="1" applyAlignment="1">
      <alignment horizontal="center" vertical="center"/>
    </xf>
    <xf numFmtId="0" fontId="72" fillId="5" borderId="5" xfId="2" applyFont="1" applyFill="1" applyBorder="1" applyAlignment="1">
      <alignment horizontal="center" vertical="center"/>
    </xf>
    <xf numFmtId="0" fontId="72" fillId="5" borderId="21" xfId="2" applyFont="1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1" fillId="0" borderId="1" xfId="2" applyFont="1" applyFill="1" applyBorder="1" applyAlignment="1">
      <alignment horizontal="center" vertical="center" wrapText="1"/>
    </xf>
    <xf numFmtId="164" fontId="41" fillId="0" borderId="3" xfId="2" applyNumberFormat="1" applyFont="1" applyFill="1" applyBorder="1" applyAlignment="1">
      <alignment horizontal="center" vertical="center" wrapText="1"/>
    </xf>
    <xf numFmtId="164" fontId="41" fillId="0" borderId="4" xfId="2" applyNumberFormat="1" applyFont="1" applyFill="1" applyBorder="1" applyAlignment="1">
      <alignment horizontal="center" vertical="center" wrapText="1"/>
    </xf>
    <xf numFmtId="164" fontId="41" fillId="0" borderId="2" xfId="2" applyNumberFormat="1" applyFont="1" applyFill="1" applyBorder="1" applyAlignment="1">
      <alignment horizontal="center" vertical="center" wrapText="1"/>
    </xf>
    <xf numFmtId="0" fontId="42" fillId="0" borderId="1" xfId="2" applyFont="1" applyFill="1" applyBorder="1" applyAlignment="1">
      <alignment horizontal="center" vertical="center" wrapText="1"/>
    </xf>
    <xf numFmtId="0" fontId="41" fillId="3" borderId="16" xfId="2" applyFont="1" applyFill="1" applyBorder="1" applyAlignment="1">
      <alignment horizontal="center" vertical="center"/>
    </xf>
    <xf numFmtId="0" fontId="41" fillId="3" borderId="18" xfId="2" applyFont="1" applyFill="1" applyBorder="1" applyAlignment="1">
      <alignment horizontal="center" vertical="center"/>
    </xf>
    <xf numFmtId="0" fontId="41" fillId="0" borderId="1" xfId="2" applyFont="1" applyFill="1" applyBorder="1" applyAlignment="1">
      <alignment horizontal="left" vertical="center"/>
    </xf>
    <xf numFmtId="0" fontId="41" fillId="0" borderId="3" xfId="2" applyFont="1" applyFill="1" applyBorder="1" applyAlignment="1">
      <alignment horizontal="center" vertical="center"/>
    </xf>
    <xf numFmtId="0" fontId="41" fillId="0" borderId="2" xfId="2" applyFont="1" applyFill="1" applyBorder="1" applyAlignment="1">
      <alignment horizontal="center" vertical="center"/>
    </xf>
    <xf numFmtId="0" fontId="41" fillId="3" borderId="16" xfId="2" applyFont="1" applyFill="1" applyBorder="1" applyAlignment="1">
      <alignment horizontal="center" vertical="center" wrapText="1"/>
    </xf>
    <xf numFmtId="0" fontId="41" fillId="3" borderId="17" xfId="2" applyFont="1" applyFill="1" applyBorder="1" applyAlignment="1">
      <alignment horizontal="center" vertical="center" wrapText="1"/>
    </xf>
    <xf numFmtId="0" fontId="41" fillId="3" borderId="18" xfId="2" applyFont="1" applyFill="1" applyBorder="1" applyAlignment="1">
      <alignment horizontal="center" vertical="center" wrapText="1"/>
    </xf>
    <xf numFmtId="0" fontId="41" fillId="0" borderId="1" xfId="2" applyFont="1" applyFill="1" applyBorder="1" applyAlignment="1">
      <alignment horizontal="left" vertical="center" wrapText="1"/>
    </xf>
    <xf numFmtId="0" fontId="41" fillId="3" borderId="22" xfId="2" applyFont="1" applyFill="1" applyBorder="1" applyAlignment="1">
      <alignment horizontal="center" vertical="center"/>
    </xf>
    <xf numFmtId="0" fontId="41" fillId="3" borderId="21" xfId="2" applyFont="1" applyFill="1" applyBorder="1" applyAlignment="1">
      <alignment horizontal="center" vertical="center"/>
    </xf>
    <xf numFmtId="0" fontId="41" fillId="2" borderId="16" xfId="2" applyFont="1" applyFill="1" applyBorder="1" applyAlignment="1">
      <alignment horizontal="center" vertical="center"/>
    </xf>
    <xf numFmtId="0" fontId="41" fillId="2" borderId="18" xfId="2" applyFont="1" applyFill="1" applyBorder="1" applyAlignment="1">
      <alignment horizontal="center" vertical="center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35" fillId="0" borderId="19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45" fillId="5" borderId="5" xfId="0" applyFont="1" applyFill="1" applyBorder="1" applyAlignment="1">
      <alignment horizontal="center" vertical="center"/>
    </xf>
    <xf numFmtId="0" fontId="45" fillId="5" borderId="2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167" fontId="41" fillId="0" borderId="3" xfId="1" applyNumberFormat="1" applyFont="1" applyFill="1" applyBorder="1" applyAlignment="1">
      <alignment vertical="center" wrapText="1"/>
    </xf>
    <xf numFmtId="167" fontId="41" fillId="0" borderId="4" xfId="1" applyNumberFormat="1" applyFont="1" applyFill="1" applyBorder="1" applyAlignment="1">
      <alignment vertical="center" wrapText="1"/>
    </xf>
    <xf numFmtId="167" fontId="41" fillId="0" borderId="2" xfId="1" applyNumberFormat="1" applyFont="1" applyFill="1" applyBorder="1" applyAlignment="1">
      <alignment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left" vertical="center" wrapText="1"/>
    </xf>
    <xf numFmtId="0" fontId="41" fillId="3" borderId="16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left" vertical="center"/>
    </xf>
    <xf numFmtId="0" fontId="41" fillId="0" borderId="3" xfId="0" applyFont="1" applyFill="1" applyBorder="1" applyAlignment="1">
      <alignment horizontal="left" vertical="center"/>
    </xf>
    <xf numFmtId="0" fontId="41" fillId="0" borderId="2" xfId="0" applyFont="1" applyFill="1" applyBorder="1" applyAlignment="1">
      <alignment horizontal="left" vertical="center"/>
    </xf>
    <xf numFmtId="0" fontId="41" fillId="0" borderId="1" xfId="0" applyFont="1" applyFill="1" applyBorder="1" applyAlignment="1">
      <alignment horizontal="left" vertical="center" wrapText="1"/>
    </xf>
    <xf numFmtId="0" fontId="41" fillId="3" borderId="22" xfId="0" applyFont="1" applyFill="1" applyBorder="1" applyAlignment="1">
      <alignment horizontal="center" vertical="center"/>
    </xf>
    <xf numFmtId="0" fontId="41" fillId="3" borderId="21" xfId="0" applyFont="1" applyFill="1" applyBorder="1" applyAlignment="1">
      <alignment horizontal="center" vertical="center"/>
    </xf>
    <xf numFmtId="0" fontId="41" fillId="2" borderId="16" xfId="0" applyFont="1" applyFill="1" applyBorder="1" applyAlignment="1">
      <alignment horizontal="center" vertical="center"/>
    </xf>
    <xf numFmtId="0" fontId="41" fillId="2" borderId="1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center" vertical="center" wrapText="1"/>
    </xf>
    <xf numFmtId="168" fontId="0" fillId="0" borderId="2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77" fillId="0" borderId="3" xfId="0" applyFont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31" fillId="0" borderId="16" xfId="2" applyFont="1" applyBorder="1" applyAlignment="1">
      <alignment horizontal="center" vertical="center" wrapText="1"/>
    </xf>
    <xf numFmtId="0" fontId="31" fillId="0" borderId="17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/>
    </xf>
    <xf numFmtId="0" fontId="31" fillId="0" borderId="4" xfId="2" applyFont="1" applyBorder="1" applyAlignment="1">
      <alignment horizontal="center" vertical="center"/>
    </xf>
    <xf numFmtId="0" fontId="31" fillId="0" borderId="4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4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/>
    </xf>
    <xf numFmtId="0" fontId="65" fillId="0" borderId="3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25" fillId="0" borderId="21" xfId="0" applyFont="1" applyBorder="1" applyAlignment="1">
      <alignment horizontal="left"/>
    </xf>
    <xf numFmtId="0" fontId="25" fillId="0" borderId="23" xfId="0" applyFont="1" applyBorder="1" applyAlignment="1">
      <alignment horizontal="left"/>
    </xf>
    <xf numFmtId="0" fontId="25" fillId="0" borderId="24" xfId="0" applyFont="1" applyBorder="1" applyAlignment="1">
      <alignment horizontal="left"/>
    </xf>
    <xf numFmtId="0" fontId="25" fillId="0" borderId="3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5" fillId="0" borderId="4" xfId="0" applyFont="1" applyBorder="1" applyAlignment="1">
      <alignment horizontal="left" vertical="center"/>
    </xf>
    <xf numFmtId="0" fontId="65" fillId="0" borderId="2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2" fillId="0" borderId="19" xfId="0" applyFont="1" applyBorder="1" applyAlignment="1">
      <alignment horizontal="center"/>
    </xf>
    <xf numFmtId="0" fontId="62" fillId="0" borderId="0" xfId="0" applyFont="1" applyBorder="1" applyAlignment="1">
      <alignment horizontal="center"/>
    </xf>
    <xf numFmtId="0" fontId="62" fillId="0" borderId="0" xfId="0" applyFont="1" applyBorder="1" applyAlignment="1">
      <alignment horizontal="left"/>
    </xf>
  </cellXfs>
  <cellStyles count="21">
    <cellStyle name="Bình thường 2 2" xfId="13" xr:uid="{FC9D7B16-8D03-4241-BD96-0E6E72267D2D}"/>
    <cellStyle name="Bình thường 2 2 2" xfId="7" xr:uid="{3A1815E7-2773-4E80-85D3-2DCB140CECBC}"/>
    <cellStyle name="Bình thường 2 3" xfId="5" xr:uid="{D5F62E0C-B548-4656-AD12-494B1D12783C}"/>
    <cellStyle name="Comma" xfId="1" builtinId="3"/>
    <cellStyle name="Comma 2" xfId="8" xr:uid="{08B91501-6492-41A0-90E7-7E46C7BEED9E}"/>
    <cellStyle name="Comma 2 2" xfId="3" xr:uid="{E957C10F-53A4-4A15-B942-A55F65B76889}"/>
    <cellStyle name="Currency" xfId="18" builtinId="4"/>
    <cellStyle name="Currency 2" xfId="4" xr:uid="{6A6430B8-87A6-4A0A-B18A-74D1C066BECF}"/>
    <cellStyle name="Currency 3" xfId="19" xr:uid="{DE3A62B8-58EE-4FF1-BCCA-BA44B830BDC4}"/>
    <cellStyle name="Dấu phẩy 2" xfId="9" xr:uid="{1AF953A1-1EF5-4693-9AFE-6E0F92256C84}"/>
    <cellStyle name="Dấu phẩy 2 2" xfId="11" xr:uid="{37285377-E4ED-4D4E-8422-856CED0C4870}"/>
    <cellStyle name="Dấu phẩy 3" xfId="10" xr:uid="{A904FE90-60BF-44B1-8829-27076DA5D89C}"/>
    <cellStyle name="Dấu phẩy 3 2" xfId="14" xr:uid="{68E40808-3F3E-4EDC-AF9A-86EC5F5A7E70}"/>
    <cellStyle name="Hyperlink" xfId="20" builtinId="8"/>
    <cellStyle name="Normal" xfId="0" builtinId="0"/>
    <cellStyle name="Normal 2 3" xfId="2" xr:uid="{E19CED31-AFE8-4ECC-A474-6E7E82056A74}"/>
    <cellStyle name="Normal 4" xfId="6" xr:uid="{6D65B809-6128-47D1-A491-E75F89EAB43C}"/>
    <cellStyle name="Percent" xfId="15" builtinId="5"/>
    <cellStyle name="Phần trăm 2" xfId="17" xr:uid="{46594994-61F7-4CD3-A113-A0C89F0B653B}"/>
    <cellStyle name="標準 2" xfId="12" xr:uid="{ECE145CB-741B-48AD-BE03-4CED325B2ADE}"/>
    <cellStyle name="標準_Sheet1" xfId="16" xr:uid="{577E314B-932E-450D-A952-C8F975779421}"/>
  </cellStyles>
  <dxfs count="93"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MỤC TIÊU - THỰC TÍCH NỘI TÁC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003413971696105E-2"/>
          <c:y val="0.13622107010804904"/>
          <c:w val="0.88808360836010913"/>
          <c:h val="0.625804079853133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'Quản lý MT năm'!$D$3</c:f>
              <c:strCache>
                <c:ptCount val="1"/>
                <c:pt idx="0">
                  <c:v>1.Nội tác linh kiện tồn kho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năm'!$D$4:$D$27</c:f>
              <c:numCache>
                <c:formatCode>_-* #,##0.0_-;\-* #,##0.0_-;_-* "-"??_-;_-@_-</c:formatCode>
                <c:ptCount val="24"/>
                <c:pt idx="0" formatCode="_-* #,##0_-;\-* #,##0_-;_-* &quot;-&quot;??_-;_-@_-">
                  <c:v>69.473392568260849</c:v>
                </c:pt>
                <c:pt idx="1">
                  <c:v>39.9389562</c:v>
                </c:pt>
                <c:pt idx="2" formatCode="_-* #,##0_-;\-* #,##0_-;_-* &quot;-&quot;??_-;_-@_-">
                  <c:v>27.545740026956516</c:v>
                </c:pt>
                <c:pt idx="3" formatCode="_(* #,##0.0_);_(* \(#,##0.0\);_(* &quot;-&quot;??_);_(@_)">
                  <c:v>0</c:v>
                </c:pt>
                <c:pt idx="4" formatCode="_-* #,##0_-;\-* #,##0_-;_-* &quot;-&quot;??_-;_-@_-">
                  <c:v>132.91868749553566</c:v>
                </c:pt>
                <c:pt idx="5">
                  <c:v>23.093200000000003</c:v>
                </c:pt>
                <c:pt idx="6" formatCode="_-* #,##0_-;\-* #,##0_-;_-* &quot;-&quot;??_-;_-@_-">
                  <c:v>148.31053867182968</c:v>
                </c:pt>
                <c:pt idx="7">
                  <c:v>0</c:v>
                </c:pt>
                <c:pt idx="8" formatCode="_-* #,##0_-;\-* #,##0_-;_-* &quot;-&quot;??_-;_-@_-">
                  <c:v>137.54751218333334</c:v>
                </c:pt>
                <c:pt idx="9">
                  <c:v>0</c:v>
                </c:pt>
                <c:pt idx="10" formatCode="_-* #,##0_-;\-* #,##0_-;_-* &quot;-&quot;??_-;_-@_-">
                  <c:v>126.38705511000002</c:v>
                </c:pt>
                <c:pt idx="11">
                  <c:v>0</c:v>
                </c:pt>
                <c:pt idx="12" formatCode="_-* #,##0_-;\-* #,##0_-;_-* &quot;-&quot;??_-;_-@_-">
                  <c:v>129.32571124333333</c:v>
                </c:pt>
                <c:pt idx="13">
                  <c:v>0</c:v>
                </c:pt>
                <c:pt idx="14" formatCode="_-* #,##0_-;\-* #,##0_-;_-* &quot;-&quot;??_-;_-@_-">
                  <c:v>132.44306260333332</c:v>
                </c:pt>
                <c:pt idx="15">
                  <c:v>0</c:v>
                </c:pt>
                <c:pt idx="16" formatCode="_-* #,##0_-;\-* #,##0_-;_-* &quot;-&quot;??_-;_-@_-">
                  <c:v>127.89450584000002</c:v>
                </c:pt>
                <c:pt idx="17">
                  <c:v>0</c:v>
                </c:pt>
                <c:pt idx="18" formatCode="_-* #,##0_-;\-* #,##0_-;_-* &quot;-&quot;??_-;_-@_-">
                  <c:v>97.888753125163035</c:v>
                </c:pt>
                <c:pt idx="19">
                  <c:v>0</c:v>
                </c:pt>
                <c:pt idx="20" formatCode="_-* #,##0_-;\-* #,##0_-;_-* &quot;-&quot;??_-;_-@_-">
                  <c:v>96.873761453913062</c:v>
                </c:pt>
                <c:pt idx="21">
                  <c:v>0</c:v>
                </c:pt>
                <c:pt idx="22" formatCode="_-* #,##0_-;\-* #,##0_-;_-* &quot;-&quot;??_-;_-@_-">
                  <c:v>99.983085653333333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D-401F-BF2E-C8741B30A8B5}"/>
            </c:ext>
          </c:extLst>
        </c:ser>
        <c:ser>
          <c:idx val="1"/>
          <c:order val="1"/>
          <c:tx>
            <c:strRef>
              <c:f>'Quản lý MT năm'!$E$3</c:f>
              <c:strCache>
                <c:ptCount val="1"/>
                <c:pt idx="0">
                  <c:v>2.Nội tác linh kiện khuôn thành hình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năm'!$E$4:$E$27</c:f>
              <c:numCache>
                <c:formatCode>_-* #,##0_-;\-* #,##0_-;_-* "-"??_-;_-@_-</c:formatCode>
                <c:ptCount val="24"/>
                <c:pt idx="0">
                  <c:v>63.540775466666673</c:v>
                </c:pt>
                <c:pt idx="1">
                  <c:v>52.597740000000002</c:v>
                </c:pt>
                <c:pt idx="2">
                  <c:v>72.462413533333333</c:v>
                </c:pt>
                <c:pt idx="3" formatCode="_(* #,##0.0_);_(* \(#,##0.0\);_(* &quot;-&quot;??_);_(@_)">
                  <c:v>62.294148200000009</c:v>
                </c:pt>
                <c:pt idx="4">
                  <c:v>99.335062350000015</c:v>
                </c:pt>
                <c:pt idx="5">
                  <c:v>254.65880719999998</c:v>
                </c:pt>
                <c:pt idx="6">
                  <c:v>69.873856959999998</c:v>
                </c:pt>
                <c:pt idx="7">
                  <c:v>0</c:v>
                </c:pt>
                <c:pt idx="8">
                  <c:v>69.834408816666667</c:v>
                </c:pt>
                <c:pt idx="9">
                  <c:v>0</c:v>
                </c:pt>
                <c:pt idx="10">
                  <c:v>89.584065199999998</c:v>
                </c:pt>
                <c:pt idx="11">
                  <c:v>0</c:v>
                </c:pt>
                <c:pt idx="12">
                  <c:v>87.443517916666679</c:v>
                </c:pt>
                <c:pt idx="13">
                  <c:v>0</c:v>
                </c:pt>
                <c:pt idx="14">
                  <c:v>67.112737866666677</c:v>
                </c:pt>
                <c:pt idx="15">
                  <c:v>0</c:v>
                </c:pt>
                <c:pt idx="16">
                  <c:v>83.321858243333324</c:v>
                </c:pt>
                <c:pt idx="17">
                  <c:v>0</c:v>
                </c:pt>
                <c:pt idx="18">
                  <c:v>57.545747433333339</c:v>
                </c:pt>
                <c:pt idx="19">
                  <c:v>0</c:v>
                </c:pt>
                <c:pt idx="20">
                  <c:v>85.297826083333334</c:v>
                </c:pt>
                <c:pt idx="21">
                  <c:v>0</c:v>
                </c:pt>
                <c:pt idx="22">
                  <c:v>81.145649416666672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D-401F-BF2E-C8741B30A8B5}"/>
            </c:ext>
          </c:extLst>
        </c:ser>
        <c:ser>
          <c:idx val="2"/>
          <c:order val="2"/>
          <c:tx>
            <c:strRef>
              <c:f>'Quản lý MT năm'!$F$3</c:f>
              <c:strCache>
                <c:ptCount val="1"/>
                <c:pt idx="0">
                  <c:v>3.Nội tác linh kiện khuôn dập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năm'!$F$4:$F$27</c:f>
              <c:numCache>
                <c:formatCode>_-* #,##0_-;\-* #,##0_-;_-* "-"??_-;_-@_-</c:formatCode>
                <c:ptCount val="24"/>
                <c:pt idx="0">
                  <c:v>57.207853999999998</c:v>
                </c:pt>
                <c:pt idx="1">
                  <c:v>159.44083019999999</c:v>
                </c:pt>
                <c:pt idx="2">
                  <c:v>32.883131799999994</c:v>
                </c:pt>
                <c:pt idx="3" formatCode="_(* #,##0.0_);_(* \(#,##0.0\);_(* &quot;-&quot;??_);_(@_)">
                  <c:v>11.154</c:v>
                </c:pt>
                <c:pt idx="4">
                  <c:v>91.870023729999971</c:v>
                </c:pt>
                <c:pt idx="5">
                  <c:v>63.293360000000007</c:v>
                </c:pt>
                <c:pt idx="6">
                  <c:v>108.5085658</c:v>
                </c:pt>
                <c:pt idx="7">
                  <c:v>0</c:v>
                </c:pt>
                <c:pt idx="8">
                  <c:v>118.14717041666664</c:v>
                </c:pt>
                <c:pt idx="9">
                  <c:v>0</c:v>
                </c:pt>
                <c:pt idx="10">
                  <c:v>96.770284100000012</c:v>
                </c:pt>
                <c:pt idx="11">
                  <c:v>0</c:v>
                </c:pt>
                <c:pt idx="12">
                  <c:v>94.820759481250008</c:v>
                </c:pt>
                <c:pt idx="13">
                  <c:v>0</c:v>
                </c:pt>
                <c:pt idx="14">
                  <c:v>108.58042849999998</c:v>
                </c:pt>
                <c:pt idx="15">
                  <c:v>0</c:v>
                </c:pt>
                <c:pt idx="16">
                  <c:v>108.86241084999999</c:v>
                </c:pt>
                <c:pt idx="17">
                  <c:v>0</c:v>
                </c:pt>
                <c:pt idx="18">
                  <c:v>132.26185749999999</c:v>
                </c:pt>
                <c:pt idx="19">
                  <c:v>0</c:v>
                </c:pt>
                <c:pt idx="20">
                  <c:v>93.473996781249994</c:v>
                </c:pt>
                <c:pt idx="21">
                  <c:v>0</c:v>
                </c:pt>
                <c:pt idx="22">
                  <c:v>67.994735500000004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D-401F-BF2E-C8741B30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9467512"/>
        <c:axId val="759466432"/>
      </c:barChart>
      <c:lineChart>
        <c:grouping val="standard"/>
        <c:varyColors val="0"/>
        <c:ser>
          <c:idx val="3"/>
          <c:order val="3"/>
          <c:tx>
            <c:strRef>
              <c:f>'Quản lý MT năm'!$I$3</c:f>
              <c:strCache>
                <c:ptCount val="1"/>
                <c:pt idx="0">
                  <c:v>MT Lũy Kế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layout>
                <c:manualLayout>
                  <c:x val="-3.0064424668967801E-2"/>
                  <c:y val="-6.1936357110554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BD-401F-BF2E-C8741B30A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năm'!$I$4:$I$27</c:f>
              <c:numCache>
                <c:formatCode>_-* #,##0.0_-;\-* #,##0.0_-;_-* "-"??_-;_-@_-</c:formatCode>
                <c:ptCount val="24"/>
                <c:pt idx="0" formatCode="_(* #,##0.00_);_(* \(#,##0.00\);_(* &quot;-&quot;??_);_(@_)">
                  <c:v>190.22202203492753</c:v>
                </c:pt>
                <c:pt idx="1">
                  <c:v>190.22202203492753</c:v>
                </c:pt>
                <c:pt idx="2" formatCode="_(* #,##0.00_);_(* \(#,##0.00\);_(* &quot;-&quot;??_);_(@_)">
                  <c:v>323.11330739521736</c:v>
                </c:pt>
                <c:pt idx="3" formatCode="_(* #,##0.0_);_(* \(#,##0.0\);_(* &quot;-&quot;??_);_(@_)">
                  <c:v>323.11330739521736</c:v>
                </c:pt>
                <c:pt idx="4" formatCode="_-* #,##0_-;\-* #,##0_-;_-* &quot;-&quot;??_-;_-@_-">
                  <c:v>647.23708097075303</c:v>
                </c:pt>
                <c:pt idx="5" formatCode="_-* #,##0_-;\-* #,##0_-;_-* &quot;-&quot;??_-;_-@_-">
                  <c:v>647.23708097075303</c:v>
                </c:pt>
                <c:pt idx="6" formatCode="_-* #,##0_-;\-* #,##0_-;_-* &quot;-&quot;??_-;_-@_-">
                  <c:v>973.93004240258267</c:v>
                </c:pt>
                <c:pt idx="7" formatCode="_-* #,##0_-;\-* #,##0_-;_-* &quot;-&quot;??_-;_-@_-">
                  <c:v>973.93004240258267</c:v>
                </c:pt>
                <c:pt idx="8" formatCode="_-* #,##0_-;\-* #,##0_-;_-* &quot;-&quot;??_-;_-@_-">
                  <c:v>1299.4591338192492</c:v>
                </c:pt>
                <c:pt idx="9" formatCode="_-* #,##0_-;\-* #,##0_-;_-* &quot;-&quot;??_-;_-@_-">
                  <c:v>1299.4591338192492</c:v>
                </c:pt>
                <c:pt idx="10" formatCode="_-* #,##0_-;\-* #,##0_-;_-* &quot;-&quot;??_-;_-@_-">
                  <c:v>1612.2005382292493</c:v>
                </c:pt>
                <c:pt idx="11" formatCode="_-* #,##0_-;\-* #,##0_-;_-* &quot;-&quot;??_-;_-@_-">
                  <c:v>1612.2005382292493</c:v>
                </c:pt>
                <c:pt idx="12" formatCode="_-* #,##0_-;\-* #,##0_-;_-* &quot;-&quot;??_-;_-@_-">
                  <c:v>1923.7905268704994</c:v>
                </c:pt>
                <c:pt idx="13" formatCode="_-* #,##0_-;\-* #,##0_-;_-* &quot;-&quot;??_-;_-@_-">
                  <c:v>1923.7905268704994</c:v>
                </c:pt>
                <c:pt idx="14" formatCode="_-* #,##0_-;\-* #,##0_-;_-* &quot;-&quot;??_-;_-@_-">
                  <c:v>2231.9267558404995</c:v>
                </c:pt>
                <c:pt idx="15" formatCode="_-* #,##0_-;\-* #,##0_-;_-* &quot;-&quot;??_-;_-@_-">
                  <c:v>2231.9267558404995</c:v>
                </c:pt>
                <c:pt idx="16" formatCode="_-* #,##0_-;\-* #,##0_-;_-* &quot;-&quot;??_-;_-@_-">
                  <c:v>2552.005530773833</c:v>
                </c:pt>
                <c:pt idx="17" formatCode="_-* #,##0_-;\-* #,##0_-;_-* &quot;-&quot;??_-;_-@_-">
                  <c:v>2552.005530773833</c:v>
                </c:pt>
                <c:pt idx="18" formatCode="_-* #,##0_-;\-* #,##0_-;_-* &quot;-&quot;??_-;_-@_-">
                  <c:v>2839.7018888323291</c:v>
                </c:pt>
                <c:pt idx="19" formatCode="_-* #,##0_-;\-* #,##0_-;_-* &quot;-&quot;??_-;_-@_-">
                  <c:v>2839.7018888323291</c:v>
                </c:pt>
                <c:pt idx="20" formatCode="_-* #,##0_-;\-* #,##0_-;_-* &quot;-&quot;??_-;_-@_-">
                  <c:v>3115.3474731508254</c:v>
                </c:pt>
                <c:pt idx="21" formatCode="_-* #,##0_-;\-* #,##0_-;_-* &quot;-&quot;??_-;_-@_-">
                  <c:v>3115.3474731508254</c:v>
                </c:pt>
                <c:pt idx="22" formatCode="_-* #,##0_-;\-* #,##0_-;_-* &quot;-&quot;??_-;_-@_-">
                  <c:v>3364.4709437208253</c:v>
                </c:pt>
                <c:pt idx="23" formatCode="_-* #,##0_-;\-* #,##0_-;_-* &quot;-&quot;??_-;_-@_-">
                  <c:v>3364.4709437208253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BD-401F-BF2E-C8741B30A8B5}"/>
            </c:ext>
          </c:extLst>
        </c:ser>
        <c:ser>
          <c:idx val="4"/>
          <c:order val="4"/>
          <c:tx>
            <c:strRef>
              <c:f>'Quản lý MT năm'!$J$3</c:f>
              <c:strCache>
                <c:ptCount val="1"/>
                <c:pt idx="0">
                  <c:v>TT Lũy Kế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BD-401F-BF2E-C8741B30A8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BD-401F-BF2E-C8741B30A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năm'!$J$4:$J$27</c:f>
              <c:numCache>
                <c:formatCode>_-* #,##0.0_-;\-* #,##0.0_-;_-* "-"??_-;_-@_-</c:formatCode>
                <c:ptCount val="24"/>
                <c:pt idx="0" formatCode="0.0">
                  <c:v>251.97752639999999</c:v>
                </c:pt>
                <c:pt idx="1">
                  <c:v>251.97752639999999</c:v>
                </c:pt>
                <c:pt idx="2">
                  <c:v>325.42567459999998</c:v>
                </c:pt>
                <c:pt idx="3" formatCode="_(* #,##0.0_);_(* \(#,##0.0\);_(* &quot;-&quot;??_);_(@_)">
                  <c:v>325.42567459999998</c:v>
                </c:pt>
                <c:pt idx="4">
                  <c:v>666.47104179999997</c:v>
                </c:pt>
                <c:pt idx="5">
                  <c:v>666.47104179999997</c:v>
                </c:pt>
                <c:pt idx="6">
                  <c:v>666.47104179999997</c:v>
                </c:pt>
                <c:pt idx="7">
                  <c:v>666.47104179999997</c:v>
                </c:pt>
                <c:pt idx="8">
                  <c:v>666.47104179999997</c:v>
                </c:pt>
                <c:pt idx="9">
                  <c:v>666.47104179999997</c:v>
                </c:pt>
                <c:pt idx="10">
                  <c:v>666.47104179999997</c:v>
                </c:pt>
                <c:pt idx="11">
                  <c:v>666.47104179999997</c:v>
                </c:pt>
                <c:pt idx="12">
                  <c:v>666.47104179999997</c:v>
                </c:pt>
                <c:pt idx="13">
                  <c:v>666.47104179999997</c:v>
                </c:pt>
                <c:pt idx="14">
                  <c:v>666.47104179999997</c:v>
                </c:pt>
                <c:pt idx="15">
                  <c:v>666.47104179999997</c:v>
                </c:pt>
                <c:pt idx="16">
                  <c:v>666.47104179999997</c:v>
                </c:pt>
                <c:pt idx="17">
                  <c:v>666.47104179999997</c:v>
                </c:pt>
                <c:pt idx="18">
                  <c:v>666.47104179999997</c:v>
                </c:pt>
                <c:pt idx="19">
                  <c:v>666.47104179999997</c:v>
                </c:pt>
                <c:pt idx="20">
                  <c:v>666.47104179999997</c:v>
                </c:pt>
                <c:pt idx="21">
                  <c:v>666.47104179999997</c:v>
                </c:pt>
                <c:pt idx="22">
                  <c:v>666.47104179999997</c:v>
                </c:pt>
                <c:pt idx="23">
                  <c:v>666.47104179999997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BD-401F-BF2E-C8741B30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266008"/>
        <c:axId val="767267808"/>
      </c:lineChart>
      <c:catAx>
        <c:axId val="75946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9466432"/>
        <c:crosses val="autoZero"/>
        <c:auto val="1"/>
        <c:lblAlgn val="ctr"/>
        <c:lblOffset val="100"/>
        <c:noMultiLvlLbl val="0"/>
      </c:catAx>
      <c:valAx>
        <c:axId val="7594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9467512"/>
        <c:crosses val="autoZero"/>
        <c:crossBetween val="between"/>
      </c:valAx>
      <c:valAx>
        <c:axId val="76726780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7266008"/>
        <c:crosses val="max"/>
        <c:crossBetween val="between"/>
      </c:valAx>
      <c:catAx>
        <c:axId val="767266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7267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61428861715733E-2"/>
          <c:y val="0.90238518749332208"/>
          <c:w val="0.98577974323933004"/>
          <c:h val="9.6214172589966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MỤC</a:t>
            </a:r>
            <a:r>
              <a:rPr lang="en-US" sz="20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TIÊU - THỰC TÍCH THÁNG 3/2026</a:t>
            </a:r>
            <a:endParaRPr lang="en-US" sz="20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631640279273988E-2"/>
          <c:y val="0.13397438940464124"/>
          <c:w val="0.95380822240005847"/>
          <c:h val="0.78083097786862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'Quản lý MT năm'!$AA$6</c:f>
              <c:strCache>
                <c:ptCount val="1"/>
                <c:pt idx="0">
                  <c:v>Mục tiêu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'Quản lý MT năm'!$AB$5:$AD$5</c:f>
              <c:strCache>
                <c:ptCount val="3"/>
                <c:pt idx="0">
                  <c:v>1.Nội tác linh kiện tồn kho</c:v>
                </c:pt>
                <c:pt idx="1">
                  <c:v>2.Nội tác linh kiện khuôn thành hình</c:v>
                </c:pt>
                <c:pt idx="2">
                  <c:v>3.Nội tác linh kiện khuôn dập</c:v>
                </c:pt>
              </c:strCache>
            </c:strRef>
          </c:cat>
          <c:val>
            <c:numRef>
              <c:f>'Quản lý MT năm'!$AB$6:$AD$6</c:f>
              <c:numCache>
                <c:formatCode>_-* #,##0_-;\-* #,##0_-;_-* "-"??_-;_-@_-</c:formatCode>
                <c:ptCount val="3"/>
                <c:pt idx="0">
                  <c:v>148.31053867182968</c:v>
                </c:pt>
                <c:pt idx="1">
                  <c:v>69.873856959999998</c:v>
                </c:pt>
                <c:pt idx="2">
                  <c:v>108.5085658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6-4AF8-9E53-4249B1639241}"/>
            </c:ext>
          </c:extLst>
        </c:ser>
        <c:ser>
          <c:idx val="1"/>
          <c:order val="1"/>
          <c:tx>
            <c:strRef>
              <c:f>'Quản lý MT năm'!$AA$7</c:f>
              <c:strCache>
                <c:ptCount val="1"/>
                <c:pt idx="0">
                  <c:v>Thực tích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strRef>
              <c:f>'Quản lý MT năm'!$AB$5:$AD$5</c:f>
              <c:strCache>
                <c:ptCount val="3"/>
                <c:pt idx="0">
                  <c:v>1.Nội tác linh kiện tồn kho</c:v>
                </c:pt>
                <c:pt idx="1">
                  <c:v>2.Nội tác linh kiện khuôn thành hình</c:v>
                </c:pt>
                <c:pt idx="2">
                  <c:v>3.Nội tác linh kiện khuôn dập</c:v>
                </c:pt>
              </c:strCache>
            </c:strRef>
          </c:cat>
          <c:val>
            <c:numRef>
              <c:f>'Quản lý MT năm'!$AB$7:$AD$7</c:f>
              <c:numCache>
                <c:formatCode>#,##0.0_);[Red]\(#,##0.0\)</c:formatCode>
                <c:ptCount val="3"/>
                <c:pt idx="0">
                  <c:v>120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6-4AF8-9E53-4249B1639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862272"/>
        <c:axId val="442865512"/>
      </c:barChart>
      <c:catAx>
        <c:axId val="4428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5512"/>
        <c:crosses val="autoZero"/>
        <c:auto val="1"/>
        <c:lblAlgn val="ctr"/>
        <c:lblOffset val="100"/>
        <c:noMultiLvlLbl val="0"/>
      </c:catAx>
      <c:valAx>
        <c:axId val="44286551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167728642751949"/>
          <c:y val="1.8665903899005461E-2"/>
          <c:w val="0.11296575846432211"/>
          <c:h val="0.15057545051708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20811</xdr:colOff>
      <xdr:row>30</xdr:row>
      <xdr:rowOff>34737</xdr:rowOff>
    </xdr:from>
    <xdr:to>
      <xdr:col>11</xdr:col>
      <xdr:colOff>27214</xdr:colOff>
      <xdr:row>50</xdr:row>
      <xdr:rowOff>174438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48DFE-04CA-429D-9D5A-E9AD9D487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12369</xdr:colOff>
      <xdr:row>30</xdr:row>
      <xdr:rowOff>40822</xdr:rowOff>
    </xdr:from>
    <xdr:ext cx="774058" cy="405367"/>
    <xdr:sp macro="" textlink="">
      <xdr:nvSpPr>
        <xdr:cNvPr id="3" name="Hộp Văn bản 1">
          <a:extLst>
            <a:ext uri="{FF2B5EF4-FFF2-40B4-BE49-F238E27FC236}">
              <a16:creationId xmlns:a16="http://schemas.microsoft.com/office/drawing/2014/main" id="{71D40DDB-8343-4B42-8DF0-13DFF1E81800}"/>
            </a:ext>
          </a:extLst>
        </xdr:cNvPr>
        <xdr:cNvSpPr txBox="1"/>
      </xdr:nvSpPr>
      <xdr:spPr>
        <a:xfrm>
          <a:off x="802944" y="9232447"/>
          <a:ext cx="774058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/>
            <a:t>Đơn</a:t>
          </a:r>
          <a:r>
            <a:rPr lang="en-US" sz="1000" baseline="0"/>
            <a:t> tháng</a:t>
          </a:r>
        </a:p>
        <a:p>
          <a:r>
            <a:rPr lang="en-US" sz="1000" baseline="0"/>
            <a:t>(triệu VND)</a:t>
          </a:r>
          <a:endParaRPr lang="vi-VN" sz="1000"/>
        </a:p>
      </xdr:txBody>
    </xdr:sp>
    <xdr:clientData/>
  </xdr:oneCellAnchor>
  <xdr:oneCellAnchor>
    <xdr:from>
      <xdr:col>9</xdr:col>
      <xdr:colOff>1227343</xdr:colOff>
      <xdr:row>30</xdr:row>
      <xdr:rowOff>81848</xdr:rowOff>
    </xdr:from>
    <xdr:ext cx="774058" cy="405367"/>
    <xdr:sp macro="" textlink="">
      <xdr:nvSpPr>
        <xdr:cNvPr id="4" name="Hộp Văn bản 2">
          <a:extLst>
            <a:ext uri="{FF2B5EF4-FFF2-40B4-BE49-F238E27FC236}">
              <a16:creationId xmlns:a16="http://schemas.microsoft.com/office/drawing/2014/main" id="{E646E948-CE3C-4B51-A827-D97965C38F07}"/>
            </a:ext>
          </a:extLst>
        </xdr:cNvPr>
        <xdr:cNvSpPr txBox="1"/>
      </xdr:nvSpPr>
      <xdr:spPr>
        <a:xfrm>
          <a:off x="11361943" y="9273473"/>
          <a:ext cx="774058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000"/>
            <a:t>Lũy</a:t>
          </a:r>
          <a:r>
            <a:rPr lang="en-US" sz="1000" baseline="0"/>
            <a:t> kế </a:t>
          </a:r>
        </a:p>
        <a:p>
          <a:pPr algn="ctr"/>
          <a:r>
            <a:rPr lang="en-US" sz="1000" baseline="0"/>
            <a:t>(triệu VND)</a:t>
          </a:r>
          <a:endParaRPr lang="vi-VN" sz="1000"/>
        </a:p>
      </xdr:txBody>
    </xdr:sp>
    <xdr:clientData/>
  </xdr:oneCellAnchor>
  <xdr:twoCellAnchor>
    <xdr:from>
      <xdr:col>25</xdr:col>
      <xdr:colOff>243320</xdr:colOff>
      <xdr:row>11</xdr:row>
      <xdr:rowOff>69274</xdr:rowOff>
    </xdr:from>
    <xdr:to>
      <xdr:col>30</xdr:col>
      <xdr:colOff>17318</xdr:colOff>
      <xdr:row>25</xdr:row>
      <xdr:rowOff>306918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35A26D-F2B1-44DC-B264-5EB7304DF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405848</xdr:colOff>
      <xdr:row>7</xdr:row>
      <xdr:rowOff>111949</xdr:rowOff>
    </xdr:from>
    <xdr:to>
      <xdr:col>14</xdr:col>
      <xdr:colOff>314601</xdr:colOff>
      <xdr:row>10</xdr:row>
      <xdr:rowOff>0</xdr:rowOff>
    </xdr:to>
    <xdr:sp macro="" textlink="">
      <xdr:nvSpPr>
        <xdr:cNvPr id="5" name="Bong bóng Lời nói: Hình chữ nhật 4">
          <a:extLst>
            <a:ext uri="{FF2B5EF4-FFF2-40B4-BE49-F238E27FC236}">
              <a16:creationId xmlns:a16="http://schemas.microsoft.com/office/drawing/2014/main" id="{79B8FA55-6361-C349-4940-5FCBB009D70F}"/>
            </a:ext>
          </a:extLst>
        </xdr:cNvPr>
        <xdr:cNvSpPr/>
      </xdr:nvSpPr>
      <xdr:spPr>
        <a:xfrm>
          <a:off x="6750326" y="2629862"/>
          <a:ext cx="3412297" cy="608638"/>
        </a:xfrm>
        <a:prstGeom prst="wedgeRectCallout">
          <a:avLst>
            <a:gd name="adj1" fmla="val 17231"/>
            <a:gd name="adj2" fmla="val -10320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Bối</a:t>
          </a:r>
          <a:r>
            <a:rPr lang="en-US" sz="1100" baseline="0"/>
            <a:t> cảnh:Năm 2026 tập trung nội tác những linh kiện giá thành cao (trước giờ chưa gia công được ) tòn kho linh kiên khuôn thành hình, khuôn dập...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428625</xdr:colOff>
      <xdr:row>0</xdr:row>
      <xdr:rowOff>57150</xdr:rowOff>
    </xdr:from>
    <xdr:to>
      <xdr:col>23</xdr:col>
      <xdr:colOff>114300</xdr:colOff>
      <xdr:row>23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6EBA0-0B7D-485C-B2B2-BA5FC62D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57150"/>
          <a:ext cx="9972675" cy="5524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VERDEUsers\Users\kataoka%20hajime\Desktop\&#12469;&#12502;&#36039;&#26009;\&#12304;&#21442;&#32771;&#12305;VNM201405&#26376;&#27425;&#27770;&#316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tonggiamdoc-&#31038;&#38263;&#23460;\Nakaya\2015&#24180;&#27425;&#30446;&#27161;\&#31038;&#38263;&#25351;&#31034;&#20107;&#38917;\&#12469;&#12502;&#36039;&#26009;\&#12304;&#21442;&#32771;&#12305;VNM201405&#26376;&#27425;&#27770;&#3163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&#32076;&#31649;&#20849;&#29992;\&#9312;&#26376;&#27425;DB\02&#24441;&#21729;&#29992;\&#24441;&#21729;&#29992;&#26376;&#27425;&#12487;&#12540;&#1247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&#27770;&#31639;&#26989;&#21209;\01&#27770;&#31639;&#20316;&#26989;\&#36899;&#32080;\moon\&#21454;&#38598;\&#22238;&#21454;&#12497;&#12483;&#12465;&#12540;&#12472;\2014&#24180;\201406\09\DGM0906201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&#27770;&#31639;&#26989;&#21209;\01&#27770;&#31639;&#20316;&#26989;\&#36899;&#32080;\moon\&#21454;&#38598;\&#20316;&#25104;&#12497;&#12483;&#12465;&#12540;&#12472;\Stravis&#29992;Package%20&#12486;&#12531;&#12503;&#12524;&#12540;&#12488;\&#12524;&#12509;&#12540;&#12486;&#12451;&#12531;&#12464;&#12497;&#12483;&#12465;&#12540;&#12472;\&#26085;&#26412;&#3548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Cokhi-&#27231;&#24037;\CONG%20VIEC%20CHUNG%202026\&#9733;2026&#24180;&#24230;&#24180;&#27425;&#30446;&#27161;&#35373;&#23450;\5.COSTDOWN%202026\5.M&#7908;C%20TI&#202;U%202026\COSTDOWN%202026\1.N&#7897;i%20t&#225;c%20t&#242;n%20kho%20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Cokhi-&#27231;&#24037;\CONG%20VIEC%20CHUNG%202026\&#9733;2026&#24180;&#24230;&#24180;&#27425;&#30446;&#27161;&#35373;&#23450;\5.COSTDOWN%202026\5.M&#7908;C%20TI&#202;U%202026\COSTDOWN%202026\3.N&#7897;i%20t&#225;c%20th&#224;nh%20h&#236;nh%202026%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Cokhi-&#27231;&#24037;\CONG%20VIEC%20CHUNG%202026\&#9733;2026&#24180;&#24230;&#24180;&#27425;&#30446;&#27161;&#35373;&#23450;\5.COSTDOWN%202026\5.M&#7908;C%20TI&#202;U%202026\COSTDOWN%202026\2.N&#7897;i%20t&#225;c%20linh%20ki&#7879;n%20khu&#244;n%20d&#7853;p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data/localprofiles/cokhi%20qlc/Downloads/danh_sach_ky_han_bv_dang_va_sap_tre_hen%20(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設定"/>
      <sheetName val="主要指標"/>
      <sheetName val="売上・粗利分析"/>
      <sheetName val="損益分岐点分析"/>
      <sheetName val="粗利益"/>
      <sheetName val="PL"/>
      <sheetName val="CR"/>
      <sheetName val="製造経費"/>
      <sheetName val="支援費用"/>
      <sheetName val="販管費"/>
      <sheetName val="BS"/>
      <sheetName val="在庫滞留"/>
      <sheetName val="債権回収遅延"/>
      <sheetName val="BSデータ"/>
      <sheetName val="PLデータ"/>
      <sheetName val="CRデータ"/>
      <sheetName val="製造経費データ"/>
      <sheetName val="支援費用データ"/>
      <sheetName val="販管費データ"/>
      <sheetName val="BS円データ"/>
      <sheetName val="PL円データ"/>
      <sheetName val="CR円データ"/>
      <sheetName val="グラフ専用"/>
      <sheetName val="A9"/>
      <sheetName val="A8"/>
      <sheetName val="A7"/>
      <sheetName val="B1"/>
      <sheetName val="B2"/>
    </sheetNames>
    <sheetDataSet>
      <sheetData sheetId="0"/>
      <sheetData sheetId="1" refreshError="1">
        <row r="11">
          <cell r="B11" t="str">
            <v>VND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設定"/>
      <sheetName val="主要指標"/>
      <sheetName val="売上・粗利分析"/>
      <sheetName val="損益分岐点分析"/>
      <sheetName val="粗利益"/>
      <sheetName val="PL"/>
      <sheetName val="CR"/>
      <sheetName val="製造経費"/>
      <sheetName val="支援費用"/>
      <sheetName val="販管費"/>
      <sheetName val="BS"/>
      <sheetName val="在庫滞留"/>
      <sheetName val="債権回収遅延"/>
      <sheetName val="BSデータ"/>
      <sheetName val="PLデータ"/>
      <sheetName val="CRデータ"/>
      <sheetName val="製造経費データ"/>
      <sheetName val="支援費用データ"/>
      <sheetName val="販管費データ"/>
      <sheetName val="BS円データ"/>
      <sheetName val="PL円データ"/>
      <sheetName val="CR円データ"/>
      <sheetName val="グラフ専用"/>
      <sheetName val="A7"/>
      <sheetName val="A8"/>
      <sheetName val="A9"/>
      <sheetName val="B1"/>
      <sheetName val="B2"/>
    </sheetNames>
    <sheetDataSet>
      <sheetData sheetId="0"/>
      <sheetData sheetId="1">
        <row r="2">
          <cell r="B2" t="str">
            <v>2014</v>
          </cell>
        </row>
        <row r="3">
          <cell r="B3">
            <v>2013</v>
          </cell>
        </row>
        <row r="4">
          <cell r="B4" t="str">
            <v>05</v>
          </cell>
        </row>
        <row r="8">
          <cell r="B8" t="str">
            <v>VNM</v>
          </cell>
        </row>
        <row r="11">
          <cell r="B11" t="str">
            <v>VND</v>
          </cell>
          <cell r="C11">
            <v>1000000</v>
          </cell>
          <cell r="D11" t="str">
            <v>百万</v>
          </cell>
        </row>
        <row r="15">
          <cell r="B15">
            <v>4.8599999999999997E-3</v>
          </cell>
        </row>
        <row r="16">
          <cell r="B16">
            <v>4.5599999999999998E-3</v>
          </cell>
        </row>
        <row r="17">
          <cell r="B17">
            <v>4.5199999999999997E-3</v>
          </cell>
        </row>
        <row r="19">
          <cell r="B19">
            <v>10</v>
          </cell>
        </row>
        <row r="20">
          <cell r="B20">
            <v>10</v>
          </cell>
        </row>
        <row r="21">
          <cell r="B21">
            <v>10</v>
          </cell>
        </row>
        <row r="23">
          <cell r="B23">
            <v>151</v>
          </cell>
          <cell r="C23">
            <v>365</v>
          </cell>
        </row>
        <row r="24">
          <cell r="B24">
            <v>151</v>
          </cell>
          <cell r="C24">
            <v>365</v>
          </cell>
        </row>
        <row r="34">
          <cell r="B34" t="str">
            <v>小関 康久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BSデータ"/>
      <sheetName val="PLデータ"/>
      <sheetName val="CRデータ"/>
      <sheetName val="製造経費データ"/>
      <sheetName val="支援費用データ"/>
      <sheetName val="販管費データ"/>
      <sheetName val="BS円データ"/>
      <sheetName val="PL円データ"/>
      <sheetName val="CR円データ"/>
    </sheetNames>
    <sheetDataSet>
      <sheetData sheetId="0">
        <row r="10">
          <cell r="C10" t="str">
            <v>JPY00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Matching"/>
      <sheetName val="BEG"/>
      <sheetName val="INPUT"/>
      <sheetName val="M1"/>
      <sheetName val="M2"/>
      <sheetName val="M3"/>
      <sheetName val="M4"/>
      <sheetName val="M5"/>
      <sheetName val="M6"/>
      <sheetName val="M7"/>
      <sheetName val="M8"/>
      <sheetName val="M9"/>
      <sheetName val="S1"/>
      <sheetName val="S2"/>
      <sheetName val="S3"/>
      <sheetName val="S4"/>
      <sheetName val="S5"/>
      <sheetName val="S6-1"/>
      <sheetName val="S6-2"/>
      <sheetName val="S7"/>
      <sheetName val="S8"/>
      <sheetName val="S9"/>
      <sheetName val="S10"/>
      <sheetName val="C1"/>
      <sheetName val="C2"/>
      <sheetName val="C3"/>
      <sheetName val="C4-1"/>
      <sheetName val="C4-2"/>
      <sheetName val="C5"/>
      <sheetName val="C6-1"/>
      <sheetName val="C6-2"/>
      <sheetName val="C7-1"/>
      <sheetName val="C7-2"/>
      <sheetName val="C8"/>
      <sheetName val="C9"/>
      <sheetName val="T1"/>
      <sheetName val="T2"/>
      <sheetName val="T3"/>
      <sheetName val="T4"/>
      <sheetName val="T5"/>
      <sheetName val="P1-1"/>
      <sheetName val="P1-2"/>
      <sheetName val="P1-3"/>
      <sheetName val="P2-1"/>
      <sheetName val="P2-2"/>
      <sheetName val="P2-3"/>
      <sheetName val="P3-1"/>
      <sheetName val="P3-2"/>
      <sheetName val="P4"/>
      <sheetName val="P5-1"/>
      <sheetName val="P5-2"/>
      <sheetName val="P6"/>
      <sheetName val="DEF"/>
      <sheetName val="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B1" t="str">
            <v>09</v>
          </cell>
        </row>
        <row r="2">
          <cell r="C2">
            <v>41820</v>
          </cell>
        </row>
        <row r="4">
          <cell r="B4" t="str">
            <v>DGM</v>
          </cell>
          <cell r="C4" t="str">
            <v>MABUCHI MOTOR (DONGGUAN) CO., LTD.</v>
          </cell>
        </row>
        <row r="5">
          <cell r="B5" t="str">
            <v>CNY</v>
          </cell>
        </row>
        <row r="11">
          <cell r="B11" t="str">
            <v>10</v>
          </cell>
          <cell r="C11" t="str">
            <v>0</v>
          </cell>
          <cell r="D11" t="str">
            <v>S</v>
          </cell>
        </row>
        <row r="12">
          <cell r="B12" t="str">
            <v>5</v>
          </cell>
          <cell r="C12" t="str">
            <v>0</v>
          </cell>
          <cell r="D12" t="str">
            <v>S</v>
          </cell>
        </row>
      </sheetData>
      <sheetData sheetId="55">
        <row r="1">
          <cell r="A1"/>
        </row>
        <row r="2">
          <cell r="A2" t="str">
            <v>100100</v>
          </cell>
          <cell r="D2" t="str">
            <v>现金</v>
          </cell>
        </row>
        <row r="3">
          <cell r="A3" t="str">
            <v>100200</v>
          </cell>
          <cell r="D3" t="str">
            <v>银行存款</v>
          </cell>
        </row>
        <row r="4">
          <cell r="A4" t="str">
            <v>100300</v>
          </cell>
          <cell r="D4" t="str">
            <v>应收票据</v>
          </cell>
        </row>
        <row r="5">
          <cell r="A5" t="str">
            <v>100400</v>
          </cell>
          <cell r="D5" t="str">
            <v>不能兑现的票据</v>
          </cell>
        </row>
        <row r="6">
          <cell r="A6" t="str">
            <v>100500</v>
          </cell>
          <cell r="D6" t="str">
            <v>应收帐款</v>
          </cell>
        </row>
        <row r="7">
          <cell r="A7" t="str">
            <v>100600</v>
          </cell>
          <cell r="D7" t="str">
            <v>有价证券</v>
          </cell>
        </row>
        <row r="8">
          <cell r="A8" t="str">
            <v>100700</v>
          </cell>
          <cell r="D8" t="str">
            <v>库存股票</v>
          </cell>
        </row>
        <row r="9">
          <cell r="A9" t="str">
            <v>100800</v>
          </cell>
          <cell r="D9" t="str">
            <v>商品</v>
          </cell>
        </row>
        <row r="10">
          <cell r="A10" t="str">
            <v>100810</v>
          </cell>
          <cell r="D10" t="str">
            <v>商品-马达</v>
          </cell>
        </row>
        <row r="11">
          <cell r="D11" t="str">
            <v>调整额</v>
          </cell>
        </row>
        <row r="12">
          <cell r="A12" t="str">
            <v>100820</v>
          </cell>
          <cell r="D12" t="str">
            <v>商品-生产机器</v>
          </cell>
        </row>
        <row r="13">
          <cell r="A13" t="str">
            <v>100830</v>
          </cell>
          <cell r="D13" t="str">
            <v>商品马达部品</v>
          </cell>
        </row>
        <row r="14">
          <cell r="A14" t="str">
            <v>100900</v>
          </cell>
          <cell r="D14" t="str">
            <v>产成品</v>
          </cell>
        </row>
        <row r="15">
          <cell r="A15" t="str">
            <v>100910</v>
          </cell>
          <cell r="D15" t="str">
            <v>产成品-马达</v>
          </cell>
        </row>
        <row r="16">
          <cell r="A16" t="str">
            <v>100920</v>
          </cell>
          <cell r="D16" t="str">
            <v>产成品-马达部品</v>
          </cell>
        </row>
        <row r="17">
          <cell r="A17" t="str">
            <v>100930</v>
          </cell>
          <cell r="D17" t="str">
            <v>产成品-生产机器</v>
          </cell>
        </row>
        <row r="18">
          <cell r="A18" t="str">
            <v>101000</v>
          </cell>
          <cell r="D18" t="str">
            <v>半成品</v>
          </cell>
        </row>
        <row r="19">
          <cell r="A19" t="str">
            <v>101010</v>
          </cell>
          <cell r="D19" t="str">
            <v>半成品-马达部品</v>
          </cell>
        </row>
        <row r="20">
          <cell r="A20" t="str">
            <v>101100</v>
          </cell>
          <cell r="D20" t="str">
            <v>材料</v>
          </cell>
        </row>
        <row r="21">
          <cell r="A21" t="str">
            <v>101110</v>
          </cell>
          <cell r="D21" t="str">
            <v>材料-马达部品</v>
          </cell>
        </row>
        <row r="22">
          <cell r="A22" t="str">
            <v>101120</v>
          </cell>
          <cell r="D22" t="str">
            <v>材料-生产机器</v>
          </cell>
        </row>
        <row r="23">
          <cell r="A23" t="str">
            <v>101200</v>
          </cell>
          <cell r="D23" t="str">
            <v>在产品</v>
          </cell>
        </row>
        <row r="24">
          <cell r="A24" t="str">
            <v>101210</v>
          </cell>
          <cell r="D24" t="str">
            <v>在产品-马达</v>
          </cell>
        </row>
        <row r="25">
          <cell r="A25" t="str">
            <v>101220</v>
          </cell>
          <cell r="D25" t="str">
            <v>在产品-生产机器</v>
          </cell>
        </row>
        <row r="26">
          <cell r="A26" t="str">
            <v>101300</v>
          </cell>
          <cell r="D26" t="str">
            <v>在途存货</v>
          </cell>
        </row>
        <row r="27">
          <cell r="A27" t="str">
            <v>101310</v>
          </cell>
          <cell r="D27" t="str">
            <v>在途存货-马达</v>
          </cell>
        </row>
        <row r="28">
          <cell r="A28" t="str">
            <v>101320</v>
          </cell>
          <cell r="D28" t="str">
            <v>在途存货-马达部品</v>
          </cell>
        </row>
        <row r="29">
          <cell r="A29" t="str">
            <v>101330</v>
          </cell>
          <cell r="D29" t="str">
            <v>在途存货-生产机器</v>
          </cell>
        </row>
        <row r="30">
          <cell r="A30" t="str">
            <v>101400</v>
          </cell>
          <cell r="D30" t="str">
            <v>低值易耗品</v>
          </cell>
        </row>
        <row r="31">
          <cell r="A31" t="str">
            <v>101500</v>
          </cell>
          <cell r="D31" t="str">
            <v>存货成本差异调整额</v>
          </cell>
        </row>
        <row r="32">
          <cell r="A32" t="str">
            <v>101600</v>
          </cell>
          <cell r="D32" t="str">
            <v>汇兑差异调整额</v>
          </cell>
        </row>
        <row r="33">
          <cell r="A33" t="str">
            <v>101700</v>
          </cell>
          <cell r="D33" t="str">
            <v>预付货款</v>
          </cell>
        </row>
        <row r="34">
          <cell r="A34" t="str">
            <v>101800</v>
          </cell>
          <cell r="D34" t="str">
            <v>短期贷款</v>
          </cell>
        </row>
        <row r="35">
          <cell r="A35" t="str">
            <v>101900</v>
          </cell>
          <cell r="D35" t="str">
            <v>其他应收款</v>
          </cell>
        </row>
        <row r="36">
          <cell r="A36" t="str">
            <v>101950</v>
          </cell>
          <cell r="D36" t="str">
            <v>应收利息</v>
          </cell>
        </row>
        <row r="37">
          <cell r="A37" t="str">
            <v>102000</v>
          </cell>
          <cell r="D37" t="str">
            <v>关联企业往来</v>
          </cell>
        </row>
        <row r="38">
          <cell r="A38" t="str">
            <v>102100</v>
          </cell>
          <cell r="D38" t="str">
            <v>垫付款</v>
          </cell>
        </row>
        <row r="39">
          <cell r="A39" t="str">
            <v>102200</v>
          </cell>
          <cell r="D39" t="str">
            <v>暂付款</v>
          </cell>
        </row>
        <row r="40">
          <cell r="A40" t="str">
            <v>102300</v>
          </cell>
          <cell r="D40" t="str">
            <v>予缴企业所得税</v>
          </cell>
        </row>
        <row r="41">
          <cell r="A41" t="str">
            <v>102400</v>
          </cell>
          <cell r="D41" t="str">
            <v>待摊费用</v>
          </cell>
        </row>
        <row r="42">
          <cell r="A42" t="str">
            <v>102500</v>
          </cell>
          <cell r="D42" t="str">
            <v>暂付消费税</v>
          </cell>
        </row>
        <row r="43">
          <cell r="A43" t="str">
            <v>102600</v>
          </cell>
          <cell r="D43" t="str">
            <v>应收消费税</v>
          </cell>
        </row>
        <row r="44">
          <cell r="A44" t="str">
            <v>102700</v>
          </cell>
          <cell r="D44" t="str">
            <v>其他流动资产</v>
          </cell>
        </row>
        <row r="45">
          <cell r="A45" t="str">
            <v>102800</v>
          </cell>
          <cell r="D45" t="str">
            <v>递延税金</v>
          </cell>
        </row>
        <row r="46">
          <cell r="A46" t="str">
            <v>102900</v>
          </cell>
          <cell r="D46" t="str">
            <v>坏帐准备 (流动)</v>
          </cell>
        </row>
        <row r="47">
          <cell r="A47" t="str">
            <v>102910</v>
          </cell>
          <cell r="D47" t="str">
            <v>(中国不适用)n/a</v>
          </cell>
        </row>
        <row r="48">
          <cell r="A48" t="str">
            <v>102920</v>
          </cell>
          <cell r="D48" t="str">
            <v>(中国不适用)n/a</v>
          </cell>
        </row>
        <row r="49">
          <cell r="A49" t="str">
            <v>102930</v>
          </cell>
          <cell r="D49" t="str">
            <v>存货価準備</v>
          </cell>
        </row>
        <row r="50">
          <cell r="A50" t="str">
            <v>102990</v>
          </cell>
          <cell r="D50" t="str">
            <v>流动资产合计</v>
          </cell>
        </row>
        <row r="51">
          <cell r="A51" t="str">
            <v>103100</v>
          </cell>
          <cell r="D51" t="str">
            <v>房屋建筑物</v>
          </cell>
        </row>
        <row r="52">
          <cell r="A52" t="str">
            <v>103200</v>
          </cell>
          <cell r="D52" t="str">
            <v>房屋建筑物-累计折旧</v>
          </cell>
        </row>
        <row r="53">
          <cell r="A53" t="str">
            <v>103300</v>
          </cell>
          <cell r="D53" t="str">
            <v>构筑物</v>
          </cell>
        </row>
        <row r="54">
          <cell r="A54" t="str">
            <v>103400</v>
          </cell>
          <cell r="D54" t="str">
            <v>构筑物-累计折旧</v>
          </cell>
        </row>
        <row r="55">
          <cell r="A55" t="str">
            <v>103500</v>
          </cell>
          <cell r="D55" t="str">
            <v>机械设备</v>
          </cell>
        </row>
        <row r="56">
          <cell r="A56" t="str">
            <v>103600</v>
          </cell>
          <cell r="D56" t="str">
            <v>机械设备-累计折旧</v>
          </cell>
        </row>
        <row r="57">
          <cell r="A57" t="str">
            <v>103700</v>
          </cell>
          <cell r="D57" t="str">
            <v>运输设备</v>
          </cell>
        </row>
        <row r="58">
          <cell r="A58" t="str">
            <v>103800</v>
          </cell>
          <cell r="D58" t="str">
            <v>运输设备-累计折旧</v>
          </cell>
        </row>
        <row r="59">
          <cell r="A59" t="str">
            <v>103900</v>
          </cell>
          <cell r="D59" t="str">
            <v>工器具</v>
          </cell>
        </row>
        <row r="60">
          <cell r="A60" t="str">
            <v>103990</v>
          </cell>
          <cell r="D60" t="str">
            <v>工具 . 器具备品中小额固定资产</v>
          </cell>
        </row>
        <row r="61">
          <cell r="A61" t="str">
            <v>104000</v>
          </cell>
          <cell r="D61" t="str">
            <v>工器具-累计折旧</v>
          </cell>
        </row>
        <row r="62">
          <cell r="A62" t="str">
            <v>104100</v>
          </cell>
          <cell r="D62" t="str">
            <v>土地</v>
          </cell>
        </row>
        <row r="63">
          <cell r="A63" t="str">
            <v>104200</v>
          </cell>
          <cell r="D63" t="str">
            <v>在建工程</v>
          </cell>
        </row>
        <row r="64">
          <cell r="A64" t="str">
            <v>104300</v>
          </cell>
          <cell r="D64" t="str">
            <v>有形固定资产減値準備</v>
          </cell>
        </row>
        <row r="65">
          <cell r="A65" t="str">
            <v>104990</v>
          </cell>
          <cell r="D65" t="str">
            <v>有形固定资产合计</v>
          </cell>
        </row>
        <row r="66">
          <cell r="A66" t="str">
            <v>105100</v>
          </cell>
          <cell r="D66" t="str">
            <v>电话使用权</v>
          </cell>
        </row>
        <row r="67">
          <cell r="A67" t="str">
            <v>105110</v>
          </cell>
          <cell r="D67" t="str">
            <v>电话使用权-累计摊销</v>
          </cell>
        </row>
        <row r="68">
          <cell r="A68" t="str">
            <v>105200</v>
          </cell>
          <cell r="D68" t="str">
            <v>设施利用权</v>
          </cell>
        </row>
        <row r="69">
          <cell r="A69" t="str">
            <v>105300</v>
          </cell>
          <cell r="D69" t="str">
            <v>设施利用权-累计摊销</v>
          </cell>
        </row>
        <row r="70">
          <cell r="A70" t="str">
            <v>105400</v>
          </cell>
          <cell r="D70" t="str">
            <v>土地使用权</v>
          </cell>
        </row>
        <row r="71">
          <cell r="A71" t="str">
            <v>105500</v>
          </cell>
          <cell r="D71" t="str">
            <v>其他无形固定资产</v>
          </cell>
        </row>
        <row r="72">
          <cell r="A72" t="str">
            <v>105700</v>
          </cell>
          <cell r="D72" t="str">
            <v>土地使用权-累计摊销</v>
          </cell>
        </row>
        <row r="73">
          <cell r="A73" t="str">
            <v>105800</v>
          </cell>
          <cell r="D73" t="str">
            <v>其他无形固定资产-累计摊销</v>
          </cell>
        </row>
        <row r="74">
          <cell r="A74" t="str">
            <v>105900</v>
          </cell>
          <cell r="D74" t="str">
            <v>无形固定资产減値準備</v>
          </cell>
        </row>
        <row r="75">
          <cell r="A75" t="str">
            <v>105990</v>
          </cell>
          <cell r="D75" t="str">
            <v>无形固定资产合计</v>
          </cell>
        </row>
        <row r="76">
          <cell r="A76" t="str">
            <v>106100</v>
          </cell>
          <cell r="D76" t="str">
            <v>投资有价证券</v>
          </cell>
        </row>
        <row r="77">
          <cell r="A77" t="str">
            <v>106200</v>
          </cell>
          <cell r="D77" t="str">
            <v>投资出资金</v>
          </cell>
        </row>
        <row r="78">
          <cell r="A78" t="str">
            <v>106300</v>
          </cell>
          <cell r="D78" t="str">
            <v>长期贷款</v>
          </cell>
        </row>
        <row r="79">
          <cell r="A79" t="str">
            <v>106400</v>
          </cell>
          <cell r="D79" t="str">
            <v>长期待摊费用</v>
          </cell>
        </row>
        <row r="80">
          <cell r="A80" t="str">
            <v>106500</v>
          </cell>
          <cell r="D80" t="str">
            <v>定期存款</v>
          </cell>
        </row>
        <row r="81">
          <cell r="A81" t="str">
            <v>106600</v>
          </cell>
          <cell r="D81" t="str">
            <v>董事退职年金储备金</v>
          </cell>
        </row>
        <row r="82">
          <cell r="A82" t="str">
            <v>106700</v>
          </cell>
          <cell r="D82" t="str">
            <v>董事保险金储备金</v>
          </cell>
        </row>
        <row r="83">
          <cell r="A83" t="str">
            <v>106800</v>
          </cell>
          <cell r="D83" t="str">
            <v>长期存出保证金</v>
          </cell>
        </row>
        <row r="84">
          <cell r="A84" t="str">
            <v>106900</v>
          </cell>
          <cell r="D84" t="str">
            <v>其他投资</v>
          </cell>
        </row>
        <row r="85">
          <cell r="A85" t="str">
            <v>107000</v>
          </cell>
          <cell r="D85" t="str">
            <v>递延税金-非流动</v>
          </cell>
        </row>
        <row r="86">
          <cell r="A86" t="str">
            <v>107100</v>
          </cell>
          <cell r="D86" t="str">
            <v>坏帐准备-非流动</v>
          </cell>
        </row>
        <row r="87">
          <cell r="A87" t="str">
            <v>107990</v>
          </cell>
          <cell r="D87" t="str">
            <v>投资等合计</v>
          </cell>
        </row>
        <row r="88">
          <cell r="A88" t="str">
            <v>108990</v>
          </cell>
          <cell r="D88" t="str">
            <v>固定资产合计</v>
          </cell>
        </row>
        <row r="89">
          <cell r="A89" t="str">
            <v>109100</v>
          </cell>
          <cell r="D89" t="str">
            <v>开办费</v>
          </cell>
        </row>
        <row r="90">
          <cell r="A90" t="str">
            <v>109990</v>
          </cell>
          <cell r="D90" t="str">
            <v>递延资产合计</v>
          </cell>
        </row>
        <row r="91">
          <cell r="A91" t="str">
            <v>119990</v>
          </cell>
          <cell r="D91" t="str">
            <v>资产合计</v>
          </cell>
        </row>
        <row r="92">
          <cell r="A92" t="str">
            <v>120100</v>
          </cell>
          <cell r="D92" t="str">
            <v>应付票据</v>
          </cell>
        </row>
        <row r="93">
          <cell r="A93" t="str">
            <v>120200</v>
          </cell>
          <cell r="D93" t="str">
            <v>应付帐款</v>
          </cell>
        </row>
        <row r="94">
          <cell r="A94" t="str">
            <v>120300</v>
          </cell>
          <cell r="D94" t="str">
            <v>1年内偿还的可转换公司债</v>
          </cell>
        </row>
        <row r="95">
          <cell r="A95" t="str">
            <v>120400</v>
          </cell>
          <cell r="D95" t="str">
            <v>短期借款</v>
          </cell>
        </row>
        <row r="96">
          <cell r="A96" t="str">
            <v>120500</v>
          </cell>
          <cell r="D96" t="str">
            <v>其他应付款</v>
          </cell>
        </row>
        <row r="97">
          <cell r="A97" t="str">
            <v>120600</v>
          </cell>
          <cell r="D97" t="str">
            <v>应付股利</v>
          </cell>
        </row>
        <row r="98">
          <cell r="A98" t="str">
            <v>120700</v>
          </cell>
          <cell r="D98" t="str">
            <v>关联企业往来</v>
          </cell>
        </row>
        <row r="99">
          <cell r="A99" t="str">
            <v>120800</v>
          </cell>
          <cell r="D99" t="str">
            <v>应付事业税等</v>
          </cell>
        </row>
        <row r="100">
          <cell r="A100" t="str">
            <v>120900</v>
          </cell>
          <cell r="D100" t="str">
            <v>应付企业所得税等</v>
          </cell>
        </row>
        <row r="101">
          <cell r="A101" t="str">
            <v>121000</v>
          </cell>
          <cell r="D101" t="str">
            <v>预提费用</v>
          </cell>
        </row>
        <row r="102">
          <cell r="A102" t="str">
            <v>121050</v>
          </cell>
          <cell r="D102" t="str">
            <v>应付利息</v>
          </cell>
        </row>
        <row r="103">
          <cell r="A103" t="str">
            <v>121100</v>
          </cell>
          <cell r="D103" t="str">
            <v>预收货款</v>
          </cell>
        </row>
        <row r="104">
          <cell r="A104" t="str">
            <v>121200</v>
          </cell>
          <cell r="D104" t="str">
            <v>代收款</v>
          </cell>
        </row>
        <row r="105">
          <cell r="A105" t="str">
            <v>121300</v>
          </cell>
          <cell r="D105" t="str">
            <v>递延收益</v>
          </cell>
        </row>
        <row r="106">
          <cell r="A106" t="str">
            <v>121400</v>
          </cell>
          <cell r="D106" t="str">
            <v>奖励基金</v>
          </cell>
        </row>
        <row r="107">
          <cell r="A107" t="str">
            <v>121500</v>
          </cell>
          <cell r="D107" t="str">
            <v>暂收款</v>
          </cell>
        </row>
        <row r="108">
          <cell r="A108" t="str">
            <v>121600</v>
          </cell>
          <cell r="D108" t="str">
            <v>代收消费税</v>
          </cell>
        </row>
        <row r="109">
          <cell r="A109" t="str">
            <v>121700</v>
          </cell>
          <cell r="D109" t="str">
            <v>应付消费税</v>
          </cell>
        </row>
        <row r="110">
          <cell r="A110" t="str">
            <v>121800</v>
          </cell>
          <cell r="D110" t="str">
            <v>其他流动负债</v>
          </cell>
        </row>
        <row r="111">
          <cell r="A111" t="str">
            <v>121900</v>
          </cell>
          <cell r="D111" t="str">
            <v>递延税金</v>
          </cell>
        </row>
        <row r="112">
          <cell r="A112" t="str">
            <v>122100</v>
          </cell>
          <cell r="D112" t="str">
            <v>(中国不适用)n/a</v>
          </cell>
        </row>
        <row r="113">
          <cell r="A113" t="str">
            <v>122200</v>
          </cell>
          <cell r="D113" t="str">
            <v>资产弃置债务（流动）</v>
          </cell>
        </row>
        <row r="114">
          <cell r="A114" t="str">
            <v>122990</v>
          </cell>
          <cell r="D114" t="str">
            <v>流动负债合计</v>
          </cell>
        </row>
        <row r="115">
          <cell r="A115" t="str">
            <v>123100</v>
          </cell>
          <cell r="D115" t="str">
            <v>资产弃置债务（固定）</v>
          </cell>
        </row>
        <row r="116">
          <cell r="A116" t="str">
            <v>123200</v>
          </cell>
          <cell r="D116" t="str">
            <v>长期借款</v>
          </cell>
        </row>
        <row r="117">
          <cell r="A117" t="str">
            <v>123300</v>
          </cell>
          <cell r="D117" t="str">
            <v>长期递延收益</v>
          </cell>
        </row>
        <row r="118">
          <cell r="A118" t="str">
            <v>123400</v>
          </cell>
          <cell r="D118" t="str">
            <v>职工退职金准备</v>
          </cell>
        </row>
        <row r="119">
          <cell r="A119" t="str">
            <v>123450</v>
          </cell>
          <cell r="D119" t="str">
            <v>退职付给准备金</v>
          </cell>
        </row>
        <row r="120">
          <cell r="A120" t="str">
            <v>123500</v>
          </cell>
          <cell r="D120" t="str">
            <v>董事退职金准备</v>
          </cell>
        </row>
        <row r="121">
          <cell r="A121" t="str">
            <v>123600</v>
          </cell>
          <cell r="D121" t="str">
            <v>存入保证金</v>
          </cell>
        </row>
        <row r="122">
          <cell r="A122" t="str">
            <v>123700</v>
          </cell>
          <cell r="D122" t="str">
            <v>其他长期负债</v>
          </cell>
        </row>
        <row r="123">
          <cell r="A123" t="str">
            <v>123800</v>
          </cell>
          <cell r="D123" t="str">
            <v>递延税金-非流动</v>
          </cell>
        </row>
        <row r="124">
          <cell r="A124" t="str">
            <v>123990</v>
          </cell>
          <cell r="D124" t="str">
            <v>长期负债合计</v>
          </cell>
        </row>
        <row r="125">
          <cell r="A125" t="str">
            <v>129990</v>
          </cell>
          <cell r="D125" t="str">
            <v>负债合计</v>
          </cell>
        </row>
        <row r="126">
          <cell r="A126" t="str">
            <v>131100</v>
          </cell>
          <cell r="D126" t="str">
            <v>资本金</v>
          </cell>
        </row>
        <row r="127">
          <cell r="A127" t="str">
            <v>131100</v>
          </cell>
          <cell r="D127" t="str">
            <v>资本金</v>
          </cell>
        </row>
        <row r="128">
          <cell r="A128" t="str">
            <v>131200</v>
          </cell>
          <cell r="D128" t="str">
            <v>资本公积</v>
          </cell>
        </row>
        <row r="129">
          <cell r="A129" t="str">
            <v>131210</v>
          </cell>
          <cell r="D129" t="str">
            <v>资本公积</v>
          </cell>
        </row>
        <row r="130">
          <cell r="A130" t="str">
            <v>131210</v>
          </cell>
          <cell r="D130" t="str">
            <v>资本公积</v>
          </cell>
        </row>
        <row r="131">
          <cell r="A131" t="str">
            <v>131220</v>
          </cell>
          <cell r="D131" t="str">
            <v>资本公积 - 其他</v>
          </cell>
        </row>
        <row r="132">
          <cell r="A132" t="str">
            <v>131230</v>
          </cell>
          <cell r="D132" t="str">
            <v>本公司股份清理</v>
          </cell>
        </row>
        <row r="133">
          <cell r="A133" t="str">
            <v>131300</v>
          </cell>
          <cell r="D133" t="str">
            <v>未分配盈余合计</v>
          </cell>
        </row>
        <row r="134">
          <cell r="A134" t="str">
            <v>131310</v>
          </cell>
          <cell r="D134" t="str">
            <v>盈余公积</v>
          </cell>
        </row>
        <row r="135">
          <cell r="A135" t="str">
            <v>131310</v>
          </cell>
          <cell r="D135" t="str">
            <v>盈余公积</v>
          </cell>
        </row>
        <row r="136">
          <cell r="A136" t="str">
            <v>131319</v>
          </cell>
          <cell r="D136" t="str">
            <v>其中:固定资产特别折旧基金</v>
          </cell>
        </row>
        <row r="137">
          <cell r="A137" t="str">
            <v>131320</v>
          </cell>
          <cell r="D137" t="str">
            <v>其他未分配盈余合计</v>
          </cell>
        </row>
        <row r="138">
          <cell r="A138" t="str">
            <v>131329</v>
          </cell>
          <cell r="D138" t="str">
            <v>其中:海外投资损失准备金</v>
          </cell>
        </row>
        <row r="139">
          <cell r="A139" t="str">
            <v>131339</v>
          </cell>
          <cell r="D139" t="str">
            <v>其中:其他用途基金</v>
          </cell>
        </row>
        <row r="140">
          <cell r="A140" t="str">
            <v>131349</v>
          </cell>
          <cell r="D140" t="str">
            <v>其中:其他基金</v>
          </cell>
        </row>
        <row r="141">
          <cell r="A141" t="str">
            <v>131359</v>
          </cell>
          <cell r="D141" t="str">
            <v>其中:期初未分配盈余</v>
          </cell>
        </row>
        <row r="142">
          <cell r="A142" t="str">
            <v>131369</v>
          </cell>
          <cell r="D142" t="str">
            <v>其中:当期损益</v>
          </cell>
        </row>
        <row r="143">
          <cell r="A143" t="str">
            <v>131400</v>
          </cell>
          <cell r="D143" t="str">
            <v>库存股票</v>
          </cell>
        </row>
        <row r="144">
          <cell r="A144" t="str">
            <v>131990</v>
          </cell>
          <cell r="D144" t="str">
            <v>权益合计</v>
          </cell>
        </row>
        <row r="145">
          <cell r="A145" t="str">
            <v>132100</v>
          </cell>
          <cell r="D145" t="str">
            <v>其他有价证券估价差额</v>
          </cell>
        </row>
        <row r="146">
          <cell r="A146" t="str">
            <v>132200</v>
          </cell>
          <cell r="D146" t="str">
            <v>汇兑差异</v>
          </cell>
        </row>
        <row r="147">
          <cell r="A147" t="str">
            <v>132300</v>
          </cell>
          <cell r="D147" t="str">
            <v>递延套期保值损益</v>
          </cell>
        </row>
        <row r="148">
          <cell r="A148" t="str">
            <v>132400</v>
          </cell>
          <cell r="D148" t="str">
            <v>新股预约权</v>
          </cell>
        </row>
        <row r="149">
          <cell r="A149" t="str">
            <v>132990</v>
          </cell>
        </row>
        <row r="150">
          <cell r="A150" t="str">
            <v>135000</v>
          </cell>
        </row>
        <row r="151">
          <cell r="A151" t="str">
            <v>139990</v>
          </cell>
          <cell r="D151" t="str">
            <v>浄資産</v>
          </cell>
        </row>
        <row r="152">
          <cell r="A152" t="str">
            <v>149990</v>
          </cell>
          <cell r="D152" t="str">
            <v>负债及权益合计</v>
          </cell>
        </row>
        <row r="153">
          <cell r="A153" t="str">
            <v>200000</v>
          </cell>
          <cell r="D153" t="str">
            <v>销售收入</v>
          </cell>
        </row>
        <row r="154">
          <cell r="A154" t="str">
            <v>201000</v>
          </cell>
          <cell r="D154" t="str">
            <v>产成品销售收入</v>
          </cell>
        </row>
        <row r="155">
          <cell r="A155" t="str">
            <v>203000</v>
          </cell>
          <cell r="D155" t="str">
            <v>商品销售收入</v>
          </cell>
        </row>
        <row r="156">
          <cell r="A156" t="str">
            <v>206000</v>
          </cell>
          <cell r="D156" t="str">
            <v>半成品销售收入</v>
          </cell>
        </row>
        <row r="157">
          <cell r="A157" t="str">
            <v>207000</v>
          </cell>
          <cell r="D157" t="str">
            <v>材料销售收入</v>
          </cell>
        </row>
        <row r="158">
          <cell r="A158" t="str">
            <v>208000</v>
          </cell>
          <cell r="D158" t="str">
            <v>佣金收入</v>
          </cell>
        </row>
        <row r="159">
          <cell r="A159" t="str">
            <v>209000</v>
          </cell>
          <cell r="D159" t="str">
            <v>技术援助报酬收入</v>
          </cell>
        </row>
        <row r="160">
          <cell r="A160" t="str">
            <v>210000</v>
          </cell>
          <cell r="D160" t="str">
            <v>其他援助报酬/加工收入</v>
          </cell>
        </row>
        <row r="161">
          <cell r="A161" t="str">
            <v>211000</v>
          </cell>
          <cell r="D161" t="str">
            <v>加工收入(仅DWM)</v>
          </cell>
        </row>
        <row r="162">
          <cell r="A162" t="str">
            <v>220000</v>
          </cell>
          <cell r="D162" t="str">
            <v>销售成本</v>
          </cell>
        </row>
        <row r="163">
          <cell r="A163" t="str">
            <v>229990</v>
          </cell>
          <cell r="D163" t="str">
            <v>毛利A</v>
          </cell>
        </row>
        <row r="164">
          <cell r="A164" t="str">
            <v>230990</v>
          </cell>
          <cell r="D164" t="str">
            <v>成本差异等</v>
          </cell>
        </row>
        <row r="165">
          <cell r="A165" t="str">
            <v>231100</v>
          </cell>
          <cell r="D165" t="str">
            <v>成本差异</v>
          </cell>
        </row>
        <row r="166">
          <cell r="A166" t="str">
            <v>231200</v>
          </cell>
          <cell r="D166" t="str">
            <v>进口费用</v>
          </cell>
        </row>
        <row r="167">
          <cell r="A167" t="str">
            <v>231300</v>
          </cell>
          <cell r="D167" t="str">
            <v>购入差异</v>
          </cell>
        </row>
        <row r="168">
          <cell r="A168" t="str">
            <v>231400</v>
          </cell>
          <cell r="D168" t="str">
            <v>材料出库差异</v>
          </cell>
        </row>
        <row r="169">
          <cell r="A169" t="str">
            <v>231500</v>
          </cell>
          <cell r="D169" t="str">
            <v>其他差异</v>
          </cell>
        </row>
        <row r="170">
          <cell r="A170" t="str">
            <v>239990</v>
          </cell>
          <cell r="D170" t="str">
            <v>毛利B</v>
          </cell>
        </row>
        <row r="171">
          <cell r="A171" t="str">
            <v>240000</v>
          </cell>
          <cell r="D171" t="str">
            <v>销售及一般管理费用</v>
          </cell>
        </row>
        <row r="172">
          <cell r="A172" t="str">
            <v>249990</v>
          </cell>
          <cell r="D172" t="str">
            <v>营业利润</v>
          </cell>
        </row>
        <row r="173">
          <cell r="A173" t="str">
            <v>250000</v>
          </cell>
          <cell r="D173" t="str">
            <v>营业外收入</v>
          </cell>
        </row>
        <row r="174">
          <cell r="A174" t="str">
            <v>250100</v>
          </cell>
          <cell r="D174" t="str">
            <v>利息及贴现收入</v>
          </cell>
        </row>
        <row r="175">
          <cell r="A175" t="str">
            <v>250200</v>
          </cell>
          <cell r="D175" t="str">
            <v>有价证券利息收入</v>
          </cell>
        </row>
        <row r="176">
          <cell r="A176" t="str">
            <v>250300</v>
          </cell>
          <cell r="D176" t="str">
            <v>有价证券出售收益</v>
          </cell>
        </row>
        <row r="177">
          <cell r="A177" t="str">
            <v>250400</v>
          </cell>
          <cell r="D177" t="str">
            <v>股利收入</v>
          </cell>
        </row>
        <row r="178">
          <cell r="A178" t="str">
            <v>250500</v>
          </cell>
          <cell r="D178" t="str">
            <v>租金收入</v>
          </cell>
        </row>
        <row r="179">
          <cell r="A179" t="str">
            <v>250600</v>
          </cell>
          <cell r="D179" t="str">
            <v>租赁收入</v>
          </cell>
        </row>
        <row r="180">
          <cell r="A180" t="str">
            <v>250700</v>
          </cell>
          <cell r="D180" t="str">
            <v>赔偿金收入</v>
          </cell>
        </row>
        <row r="181">
          <cell r="A181" t="str">
            <v>250800</v>
          </cell>
          <cell r="D181" t="str">
            <v>汇兑收益</v>
          </cell>
        </row>
        <row r="182">
          <cell r="A182" t="str">
            <v>251000</v>
          </cell>
          <cell r="D182" t="str">
            <v>翻译收入</v>
          </cell>
        </row>
        <row r="183">
          <cell r="A183" t="str">
            <v>251100</v>
          </cell>
          <cell r="D183" t="str">
            <v>其他业务收入</v>
          </cell>
        </row>
        <row r="184">
          <cell r="A184" t="str">
            <v>251200</v>
          </cell>
          <cell r="D184" t="str">
            <v>杂收入</v>
          </cell>
        </row>
        <row r="185">
          <cell r="A185" t="str">
            <v>251600</v>
          </cell>
          <cell r="D185" t="str">
            <v>有价证券评价益</v>
          </cell>
        </row>
        <row r="186">
          <cell r="A186" t="str">
            <v>251700</v>
          </cell>
          <cell r="D186" t="str">
            <v>投资有价证券评价益</v>
          </cell>
        </row>
        <row r="187">
          <cell r="A187" t="str">
            <v>260000</v>
          </cell>
          <cell r="D187" t="str">
            <v>营业外支出</v>
          </cell>
        </row>
        <row r="188">
          <cell r="A188" t="str">
            <v>260100</v>
          </cell>
          <cell r="D188" t="str">
            <v>利息及贴现支出</v>
          </cell>
        </row>
        <row r="189">
          <cell r="A189" t="str">
            <v>260200</v>
          </cell>
          <cell r="D189" t="str">
            <v>公司债利息支出</v>
          </cell>
        </row>
        <row r="190">
          <cell r="A190" t="str">
            <v>260300</v>
          </cell>
          <cell r="D190" t="str">
            <v>公司债费用</v>
          </cell>
        </row>
        <row r="191">
          <cell r="A191" t="str">
            <v>260400</v>
          </cell>
          <cell r="D191" t="str">
            <v>有价证券出售损失</v>
          </cell>
        </row>
        <row r="192">
          <cell r="A192" t="str">
            <v>260500</v>
          </cell>
          <cell r="D192" t="str">
            <v>有价证券评价损</v>
          </cell>
        </row>
        <row r="193">
          <cell r="A193" t="str">
            <v>260600</v>
          </cell>
          <cell r="D193" t="str">
            <v>汇兑损失</v>
          </cell>
        </row>
        <row r="194">
          <cell r="A194" t="str">
            <v>260700</v>
          </cell>
          <cell r="D194" t="str">
            <v>存货报废损失</v>
          </cell>
        </row>
        <row r="195">
          <cell r="A195" t="str">
            <v>260800</v>
          </cell>
          <cell r="D195" t="str">
            <v>存货评价损</v>
          </cell>
        </row>
        <row r="196">
          <cell r="A196" t="str">
            <v>260900</v>
          </cell>
          <cell r="D196" t="str">
            <v>股票发行费用</v>
          </cell>
        </row>
        <row r="197">
          <cell r="A197" t="str">
            <v>261000</v>
          </cell>
          <cell r="D197" t="str">
            <v>其他业务支出</v>
          </cell>
        </row>
        <row r="198">
          <cell r="A198" t="str">
            <v>261100</v>
          </cell>
          <cell r="D198" t="str">
            <v>(中国不适用)n/a</v>
          </cell>
        </row>
        <row r="199">
          <cell r="A199" t="str">
            <v>261200</v>
          </cell>
          <cell r="D199" t="str">
            <v>杂支出</v>
          </cell>
        </row>
        <row r="200">
          <cell r="A200" t="str">
            <v>261400</v>
          </cell>
          <cell r="D200" t="str">
            <v>投资有价证券评价损</v>
          </cell>
        </row>
        <row r="201">
          <cell r="A201" t="str">
            <v>261500</v>
          </cell>
          <cell r="D201" t="str">
            <v>坏帐准备提取额</v>
          </cell>
        </row>
        <row r="202">
          <cell r="A202" t="str">
            <v>269990</v>
          </cell>
          <cell r="D202" t="str">
            <v>利润总额</v>
          </cell>
        </row>
        <row r="203">
          <cell r="A203" t="str">
            <v>270000</v>
          </cell>
          <cell r="D203" t="str">
            <v>非常项目利润</v>
          </cell>
        </row>
        <row r="204">
          <cell r="A204" t="str">
            <v>270100</v>
          </cell>
          <cell r="D204" t="str">
            <v>固定资产出售收益</v>
          </cell>
        </row>
        <row r="205">
          <cell r="A205" t="str">
            <v>270200</v>
          </cell>
          <cell r="D205" t="str">
            <v>投资有价证券出售收益</v>
          </cell>
        </row>
        <row r="206">
          <cell r="A206" t="str">
            <v>270300</v>
          </cell>
          <cell r="D206" t="str">
            <v>(中国不适用)n/a</v>
          </cell>
        </row>
        <row r="207">
          <cell r="A207" t="str">
            <v>270400</v>
          </cell>
          <cell r="D207" t="str">
            <v>(中国不适用)n/a</v>
          </cell>
        </row>
        <row r="208">
          <cell r="A208" t="str">
            <v>270500</v>
          </cell>
          <cell r="D208" t="str">
            <v>以前年度收益</v>
          </cell>
        </row>
        <row r="209">
          <cell r="A209" t="str">
            <v>270600</v>
          </cell>
          <cell r="D209" t="str">
            <v>其他特别利润</v>
          </cell>
        </row>
        <row r="210">
          <cell r="A210" t="str">
            <v>280000</v>
          </cell>
          <cell r="D210" t="str">
            <v>特别损失</v>
          </cell>
        </row>
        <row r="211">
          <cell r="A211" t="str">
            <v>280100</v>
          </cell>
          <cell r="D211" t="str">
            <v>固定资产出售损失</v>
          </cell>
        </row>
        <row r="212">
          <cell r="A212" t="str">
            <v>280200</v>
          </cell>
          <cell r="D212" t="str">
            <v>固定资产清理损失</v>
          </cell>
        </row>
        <row r="213">
          <cell r="A213" t="str">
            <v>280300</v>
          </cell>
          <cell r="D213" t="str">
            <v>投资有价证券出售损失</v>
          </cell>
        </row>
        <row r="214">
          <cell r="A214" t="str">
            <v>280400</v>
          </cell>
          <cell r="D214" t="str">
            <v>(中国不适用)n/a</v>
          </cell>
        </row>
        <row r="215">
          <cell r="A215" t="str">
            <v>280500</v>
          </cell>
          <cell r="D215" t="str">
            <v>(中国不适用)n/a</v>
          </cell>
        </row>
        <row r="216">
          <cell r="A216" t="str">
            <v>280600</v>
          </cell>
          <cell r="D216" t="str">
            <v>以前年度损失</v>
          </cell>
        </row>
        <row r="217">
          <cell r="A217" t="str">
            <v>280700</v>
          </cell>
          <cell r="D217" t="str">
            <v>其他特别损失</v>
          </cell>
        </row>
        <row r="218">
          <cell r="A218" t="str">
            <v>280800</v>
          </cell>
          <cell r="D218" t="str">
            <v>投资有价证券评价损失</v>
          </cell>
        </row>
        <row r="219">
          <cell r="A219" t="str">
            <v>280900</v>
          </cell>
          <cell r="D219" t="str">
            <v>計提固定资产減値準備</v>
          </cell>
        </row>
        <row r="220">
          <cell r="A220" t="str">
            <v>289990</v>
          </cell>
          <cell r="D220" t="str">
            <v>当期税前净利润</v>
          </cell>
        </row>
        <row r="221">
          <cell r="A221" t="str">
            <v>290100</v>
          </cell>
          <cell r="D221" t="str">
            <v>企业所得税</v>
          </cell>
        </row>
        <row r="222">
          <cell r="A222" t="str">
            <v>290200</v>
          </cell>
          <cell r="D222" t="str">
            <v>企业所得税调整额</v>
          </cell>
        </row>
        <row r="223">
          <cell r="A223" t="str">
            <v>290300</v>
          </cell>
          <cell r="D223" t="str">
            <v>事业税</v>
          </cell>
        </row>
        <row r="224">
          <cell r="A224" t="str">
            <v>299990</v>
          </cell>
          <cell r="D224" t="str">
            <v>当期净利润</v>
          </cell>
        </row>
        <row r="225">
          <cell r="A225" t="str">
            <v>200100</v>
          </cell>
          <cell r="D225" t="str">
            <v>期初</v>
          </cell>
        </row>
        <row r="226">
          <cell r="A226" t="str">
            <v>200200</v>
          </cell>
          <cell r="D226" t="str">
            <v>取得成本-取得</v>
          </cell>
        </row>
        <row r="227">
          <cell r="A227" t="str">
            <v>200221</v>
          </cell>
          <cell r="D227" t="str">
            <v>购入·制作</v>
          </cell>
        </row>
        <row r="228">
          <cell r="A228" t="str">
            <v>200222</v>
          </cell>
          <cell r="D228" t="str">
            <v>在建工程结转</v>
          </cell>
        </row>
        <row r="229">
          <cell r="A229" t="str">
            <v>200224</v>
          </cell>
          <cell r="D229" t="str">
            <v>其他(科目结转)</v>
          </cell>
        </row>
        <row r="230">
          <cell r="A230" t="str">
            <v>200239</v>
          </cell>
          <cell r="D230" t="str">
            <v>中古固定资产</v>
          </cell>
        </row>
        <row r="231">
          <cell r="A231" t="str">
            <v>200300</v>
          </cell>
          <cell r="D231" t="str">
            <v>取得成本-减少</v>
          </cell>
        </row>
        <row r="232">
          <cell r="A232" t="str">
            <v>200340</v>
          </cell>
          <cell r="D232" t="str">
            <v>出售(集团)</v>
          </cell>
        </row>
        <row r="233">
          <cell r="A233" t="str">
            <v>200341</v>
          </cell>
          <cell r="D233" t="str">
            <v>出售(一般)</v>
          </cell>
        </row>
        <row r="234">
          <cell r="A234" t="str">
            <v>200342</v>
          </cell>
          <cell r="D234" t="str">
            <v>结转商品-生产机器(仅MMK)</v>
          </cell>
        </row>
        <row r="235">
          <cell r="A235" t="str">
            <v>200352</v>
          </cell>
          <cell r="D235" t="str">
            <v>报废</v>
          </cell>
        </row>
        <row r="236">
          <cell r="A236" t="str">
            <v>200353</v>
          </cell>
          <cell r="D236" t="str">
            <v>结转固定资产</v>
          </cell>
        </row>
        <row r="237">
          <cell r="A237" t="str">
            <v>200354</v>
          </cell>
          <cell r="D237" t="str">
            <v>其他(科目结转)</v>
          </cell>
        </row>
        <row r="238">
          <cell r="A238" t="str">
            <v>200355</v>
          </cell>
          <cell r="D238" t="str">
            <v>減値</v>
          </cell>
        </row>
        <row r="239">
          <cell r="A239" t="str">
            <v>200365</v>
          </cell>
          <cell r="D239" t="str">
            <v>结转经费</v>
          </cell>
        </row>
        <row r="240">
          <cell r="A240" t="str">
            <v>200500</v>
          </cell>
          <cell r="D240" t="str">
            <v>期末</v>
          </cell>
        </row>
        <row r="241">
          <cell r="A241" t="str">
            <v>210100</v>
          </cell>
          <cell r="D241" t="str">
            <v>期初</v>
          </cell>
        </row>
        <row r="242">
          <cell r="A242" t="str">
            <v>210200</v>
          </cell>
          <cell r="D242" t="str">
            <v>累计折旧-增加</v>
          </cell>
        </row>
        <row r="243">
          <cell r="A243" t="str">
            <v>210223</v>
          </cell>
          <cell r="D243" t="str">
            <v>当期折旧</v>
          </cell>
        </row>
        <row r="244">
          <cell r="A244" t="str">
            <v>210224</v>
          </cell>
          <cell r="D244" t="str">
            <v>其他(科目结转)</v>
          </cell>
        </row>
        <row r="245">
          <cell r="A245" t="str">
            <v>210239</v>
          </cell>
          <cell r="D245" t="str">
            <v>中古固定资产</v>
          </cell>
        </row>
        <row r="246">
          <cell r="A246" t="str">
            <v>210300</v>
          </cell>
          <cell r="D246" t="str">
            <v>累计折旧-减少</v>
          </cell>
        </row>
        <row r="247">
          <cell r="A247" t="str">
            <v>210340</v>
          </cell>
          <cell r="D247" t="str">
            <v>出售(集团)</v>
          </cell>
        </row>
        <row r="248">
          <cell r="A248" t="str">
            <v>210341</v>
          </cell>
          <cell r="D248" t="str">
            <v>出售(一般)</v>
          </cell>
        </row>
        <row r="249">
          <cell r="A249" t="str">
            <v>210342</v>
          </cell>
          <cell r="D249" t="str">
            <v>结转商品-生产机器(仅MMK)</v>
          </cell>
        </row>
        <row r="250">
          <cell r="A250" t="str">
            <v>210351</v>
          </cell>
          <cell r="D250" t="str">
            <v>出售</v>
          </cell>
        </row>
        <row r="251">
          <cell r="A251" t="str">
            <v>210352</v>
          </cell>
          <cell r="D251" t="str">
            <v>报废</v>
          </cell>
        </row>
        <row r="252">
          <cell r="A252" t="str">
            <v>210354</v>
          </cell>
          <cell r="D252" t="str">
            <v>其他(科目结转)</v>
          </cell>
        </row>
        <row r="253">
          <cell r="A253" t="str">
            <v>210355</v>
          </cell>
          <cell r="D253" t="str">
            <v>減値</v>
          </cell>
        </row>
        <row r="254">
          <cell r="A254" t="str">
            <v>210500</v>
          </cell>
          <cell r="D254" t="str">
            <v>期末</v>
          </cell>
        </row>
        <row r="255">
          <cell r="A255" t="str">
            <v>220100</v>
          </cell>
          <cell r="D255" t="str">
            <v>期初</v>
          </cell>
        </row>
        <row r="256">
          <cell r="A256" t="str">
            <v>220200</v>
          </cell>
          <cell r="D256" t="str">
            <v>增加</v>
          </cell>
        </row>
        <row r="257">
          <cell r="A257" t="str">
            <v>220300</v>
          </cell>
          <cell r="D257" t="str">
            <v>取得成本-减少</v>
          </cell>
        </row>
        <row r="258">
          <cell r="A258" t="str">
            <v>220351</v>
          </cell>
          <cell r="D258" t="str">
            <v>出售</v>
          </cell>
        </row>
        <row r="259">
          <cell r="A259" t="str">
            <v>220352</v>
          </cell>
          <cell r="D259" t="str">
            <v>报废</v>
          </cell>
        </row>
        <row r="260">
          <cell r="A260" t="str">
            <v>220354</v>
          </cell>
          <cell r="D260" t="str">
            <v>其他(科目结转)</v>
          </cell>
        </row>
        <row r="261">
          <cell r="A261" t="str">
            <v>220500</v>
          </cell>
          <cell r="D261" t="str">
            <v>期末</v>
          </cell>
        </row>
        <row r="262">
          <cell r="A262" t="str">
            <v>230100</v>
          </cell>
          <cell r="D262" t="str">
            <v>累计摊销-期初</v>
          </cell>
        </row>
        <row r="263">
          <cell r="A263" t="str">
            <v>230200</v>
          </cell>
          <cell r="D263" t="str">
            <v>累计摊销-增加</v>
          </cell>
        </row>
        <row r="264">
          <cell r="A264" t="str">
            <v>230221</v>
          </cell>
          <cell r="D264" t="str">
            <v>当期摊销</v>
          </cell>
        </row>
        <row r="265">
          <cell r="A265" t="str">
            <v>230222</v>
          </cell>
          <cell r="D265" t="str">
            <v>其他(科目结转)</v>
          </cell>
        </row>
        <row r="266">
          <cell r="A266" t="str">
            <v>230300</v>
          </cell>
          <cell r="D266" t="str">
            <v>累计摊销-减少</v>
          </cell>
        </row>
        <row r="267">
          <cell r="A267" t="str">
            <v>230351</v>
          </cell>
          <cell r="D267" t="str">
            <v>出售</v>
          </cell>
        </row>
        <row r="268">
          <cell r="A268" t="str">
            <v>230352</v>
          </cell>
          <cell r="D268" t="str">
            <v>报废</v>
          </cell>
        </row>
        <row r="269">
          <cell r="A269" t="str">
            <v>230354</v>
          </cell>
          <cell r="D269" t="str">
            <v>其他(科目结转)</v>
          </cell>
        </row>
        <row r="270">
          <cell r="A270" t="str">
            <v>230500</v>
          </cell>
          <cell r="D270" t="str">
            <v>期末</v>
          </cell>
        </row>
        <row r="271">
          <cell r="A271" t="str">
            <v>13010020</v>
          </cell>
          <cell r="C271" t="str">
            <v>20</v>
          </cell>
          <cell r="D271" t="str">
            <v>短期贷款-期初</v>
          </cell>
        </row>
        <row r="272">
          <cell r="A272" t="str">
            <v>13022035</v>
          </cell>
          <cell r="C272" t="str">
            <v>35</v>
          </cell>
          <cell r="D272" t="str">
            <v>短期贷款-贷出</v>
          </cell>
        </row>
        <row r="273">
          <cell r="A273" t="str">
            <v>13023548</v>
          </cell>
          <cell r="C273" t="str">
            <v>48</v>
          </cell>
          <cell r="D273" t="str">
            <v>短期贷款-结转</v>
          </cell>
        </row>
        <row r="274">
          <cell r="A274" t="str">
            <v>13031060</v>
          </cell>
          <cell r="C274" t="str">
            <v>60</v>
          </cell>
          <cell r="D274" t="str">
            <v>短期贷款-回收</v>
          </cell>
        </row>
        <row r="275">
          <cell r="A275" t="str">
            <v>13026767</v>
          </cell>
          <cell r="C275" t="str">
            <v>67</v>
          </cell>
          <cell r="D275" t="str">
            <v>短期贷款 - 期末汇率调整损益</v>
          </cell>
        </row>
        <row r="276">
          <cell r="A276" t="str">
            <v>13010010</v>
          </cell>
          <cell r="C276" t="str">
            <v>10</v>
          </cell>
          <cell r="D276" t="str">
            <v>长期贷款-期初</v>
          </cell>
        </row>
        <row r="277">
          <cell r="A277" t="str">
            <v>13022010</v>
          </cell>
          <cell r="C277" t="str">
            <v>10</v>
          </cell>
          <cell r="D277" t="str">
            <v>长期贷款-贷出</v>
          </cell>
        </row>
        <row r="278">
          <cell r="A278" t="str">
            <v>13023510</v>
          </cell>
          <cell r="C278" t="str">
            <v>10</v>
          </cell>
          <cell r="D278" t="str">
            <v>长期贷款-结转</v>
          </cell>
        </row>
        <row r="279">
          <cell r="A279" t="str">
            <v>13031010</v>
          </cell>
          <cell r="C279" t="str">
            <v>10</v>
          </cell>
          <cell r="D279" t="str">
            <v>长期贷款-回收</v>
          </cell>
        </row>
        <row r="280">
          <cell r="A280" t="str">
            <v>13026710</v>
          </cell>
          <cell r="C280" t="str">
            <v>10</v>
          </cell>
          <cell r="D280" t="str">
            <v>长期贷款 - 期末汇率调整损益</v>
          </cell>
        </row>
        <row r="281">
          <cell r="A281" t="str">
            <v>24010020</v>
          </cell>
          <cell r="C281" t="str">
            <v>20</v>
          </cell>
          <cell r="D281" t="str">
            <v>定期存款 - 期初</v>
          </cell>
        </row>
        <row r="282">
          <cell r="A282" t="str">
            <v>24023434</v>
          </cell>
          <cell r="C282" t="str">
            <v>34</v>
          </cell>
          <cell r="D282" t="str">
            <v>定期存款 - 取得</v>
          </cell>
        </row>
        <row r="283">
          <cell r="A283" t="str">
            <v>24024848</v>
          </cell>
          <cell r="C283" t="str">
            <v>48</v>
          </cell>
          <cell r="D283" t="str">
            <v>定期存款 - 结转</v>
          </cell>
        </row>
        <row r="284">
          <cell r="A284" t="str">
            <v>24026767</v>
          </cell>
          <cell r="C284" t="str">
            <v>67</v>
          </cell>
          <cell r="D284" t="str">
            <v>定期存款 - 期末汇率调整损益</v>
          </cell>
        </row>
        <row r="285">
          <cell r="A285" t="str">
            <v>24031064</v>
          </cell>
          <cell r="C285" t="str">
            <v>64</v>
          </cell>
          <cell r="D285" t="str">
            <v>定期存款 - 解除合同</v>
          </cell>
        </row>
        <row r="286">
          <cell r="A286" t="str">
            <v>25010020</v>
          </cell>
          <cell r="C286" t="str">
            <v>20</v>
          </cell>
          <cell r="D286" t="str">
            <v>有价证券-期初</v>
          </cell>
        </row>
        <row r="287">
          <cell r="A287" t="str">
            <v>25023434</v>
          </cell>
          <cell r="C287" t="str">
            <v>34</v>
          </cell>
          <cell r="D287" t="str">
            <v>有价证券-取得</v>
          </cell>
        </row>
        <row r="288">
          <cell r="A288" t="str">
            <v>25024444</v>
          </cell>
          <cell r="C288" t="str">
            <v>44</v>
          </cell>
          <cell r="D288" t="str">
            <v>有价证券-评价益</v>
          </cell>
        </row>
        <row r="289">
          <cell r="A289" t="str">
            <v>25024848</v>
          </cell>
          <cell r="C289" t="str">
            <v>48</v>
          </cell>
          <cell r="D289" t="str">
            <v>有价证券-结转</v>
          </cell>
        </row>
        <row r="290">
          <cell r="A290" t="str">
            <v>25026666</v>
          </cell>
          <cell r="C290" t="str">
            <v>66</v>
          </cell>
          <cell r="D290" t="str">
            <v>有价证券-估价差额</v>
          </cell>
        </row>
        <row r="291">
          <cell r="A291" t="str">
            <v>25026767</v>
          </cell>
          <cell r="C291" t="str">
            <v>67</v>
          </cell>
          <cell r="D291" t="str">
            <v>有价证券 - 期末汇率调整损益</v>
          </cell>
        </row>
        <row r="292">
          <cell r="A292" t="str">
            <v>25029934</v>
          </cell>
          <cell r="C292" t="str">
            <v>34</v>
          </cell>
          <cell r="D292" t="str">
            <v>有价证券-其他</v>
          </cell>
        </row>
        <row r="293">
          <cell r="A293" t="str">
            <v>25035151</v>
          </cell>
          <cell r="C293" t="str">
            <v>51</v>
          </cell>
          <cell r="D293" t="str">
            <v>有价证券-出售</v>
          </cell>
        </row>
        <row r="294">
          <cell r="A294" t="str">
            <v>25036161</v>
          </cell>
          <cell r="C294" t="str">
            <v>61</v>
          </cell>
          <cell r="D294" t="str">
            <v>有价证券-评价损</v>
          </cell>
        </row>
        <row r="295">
          <cell r="A295" t="str">
            <v>25099999</v>
          </cell>
          <cell r="C295" t="str">
            <v>99</v>
          </cell>
          <cell r="D295" t="str">
            <v>有价证券-现金等价物 - 其他</v>
          </cell>
        </row>
        <row r="296">
          <cell r="A296" t="str">
            <v>26010020</v>
          </cell>
          <cell r="C296" t="str">
            <v>20</v>
          </cell>
          <cell r="D296" t="str">
            <v>银行存款 - 期初</v>
          </cell>
        </row>
        <row r="297">
          <cell r="A297" t="str">
            <v>26023434</v>
          </cell>
          <cell r="C297" t="str">
            <v>34</v>
          </cell>
          <cell r="D297" t="str">
            <v>银行存款 - 取得</v>
          </cell>
        </row>
        <row r="298">
          <cell r="A298" t="str">
            <v>26024848</v>
          </cell>
          <cell r="C298" t="str">
            <v>48</v>
          </cell>
          <cell r="D298" t="str">
            <v>银行存款 - 结转</v>
          </cell>
        </row>
        <row r="299">
          <cell r="A299" t="str">
            <v>26026767</v>
          </cell>
          <cell r="C299" t="str">
            <v>67</v>
          </cell>
          <cell r="D299" t="str">
            <v>银行存款 - 期末汇率调整损益</v>
          </cell>
        </row>
        <row r="300">
          <cell r="A300" t="str">
            <v>26029934</v>
          </cell>
          <cell r="C300" t="str">
            <v>34</v>
          </cell>
          <cell r="D300" t="str">
            <v>银行存款 - 其他</v>
          </cell>
        </row>
        <row r="301">
          <cell r="A301" t="str">
            <v>26031064</v>
          </cell>
          <cell r="C301" t="str">
            <v>64</v>
          </cell>
          <cell r="D301" t="str">
            <v>银行存款 - 解除合同</v>
          </cell>
        </row>
        <row r="302">
          <cell r="A302" t="str">
            <v>26061067</v>
          </cell>
          <cell r="C302" t="str">
            <v>67</v>
          </cell>
          <cell r="D302" t="str">
            <v>银行存款 - 期末汇率调整损益</v>
          </cell>
        </row>
        <row r="303">
          <cell r="A303" t="str">
            <v>26099999</v>
          </cell>
          <cell r="C303" t="str">
            <v>99</v>
          </cell>
          <cell r="D303" t="str">
            <v>银行存款 - 现金等价物 - 其他</v>
          </cell>
        </row>
        <row r="304">
          <cell r="A304" t="str">
            <v>60028</v>
          </cell>
          <cell r="D304" t="str">
            <v>银行存款 - 期末</v>
          </cell>
        </row>
        <row r="305">
          <cell r="A305" t="str">
            <v>27010020</v>
          </cell>
          <cell r="C305" t="str">
            <v>20</v>
          </cell>
          <cell r="D305" t="str">
            <v>投资有价证券-期初</v>
          </cell>
        </row>
        <row r="306">
          <cell r="A306" t="str">
            <v>27023434</v>
          </cell>
          <cell r="C306" t="str">
            <v>34</v>
          </cell>
          <cell r="D306" t="str">
            <v>投资有价证券-取得</v>
          </cell>
        </row>
        <row r="307">
          <cell r="A307" t="str">
            <v>27024444</v>
          </cell>
          <cell r="C307" t="str">
            <v>44</v>
          </cell>
          <cell r="D307" t="str">
            <v>投资有价证券-评价益</v>
          </cell>
        </row>
        <row r="308">
          <cell r="A308" t="str">
            <v>27024848</v>
          </cell>
          <cell r="C308" t="str">
            <v>48</v>
          </cell>
          <cell r="D308" t="str">
            <v>投资有价证券-转入</v>
          </cell>
        </row>
        <row r="309">
          <cell r="A309" t="str">
            <v>27026767</v>
          </cell>
          <cell r="C309" t="str">
            <v>67</v>
          </cell>
          <cell r="D309" t="str">
            <v>投资有价证券 - 期末汇率调整损益</v>
          </cell>
        </row>
        <row r="310">
          <cell r="A310" t="str">
            <v>27035151</v>
          </cell>
          <cell r="C310" t="str">
            <v>51</v>
          </cell>
          <cell r="D310" t="str">
            <v>投资有价证券-出售</v>
          </cell>
        </row>
        <row r="311">
          <cell r="A311" t="str">
            <v>27036161</v>
          </cell>
          <cell r="C311" t="str">
            <v>61</v>
          </cell>
          <cell r="D311" t="str">
            <v>投资有价证券-评价损</v>
          </cell>
        </row>
        <row r="312">
          <cell r="A312" t="str">
            <v>27036262</v>
          </cell>
          <cell r="C312" t="str">
            <v>62</v>
          </cell>
          <cell r="D312" t="str">
            <v>投资有价证券-转出</v>
          </cell>
        </row>
        <row r="313">
          <cell r="A313" t="str">
            <v>27036666</v>
          </cell>
          <cell r="C313" t="str">
            <v>66</v>
          </cell>
          <cell r="D313" t="str">
            <v>投资有价证券-估价差额</v>
          </cell>
        </row>
        <row r="314">
          <cell r="A314" t="str">
            <v>28010020</v>
          </cell>
          <cell r="C314" t="str">
            <v>20</v>
          </cell>
          <cell r="D314" t="str">
            <v>投资出资金-期初</v>
          </cell>
        </row>
        <row r="315">
          <cell r="A315" t="str">
            <v>28023636</v>
          </cell>
          <cell r="C315" t="str">
            <v>36</v>
          </cell>
          <cell r="D315" t="str">
            <v>投资出资金-出资</v>
          </cell>
        </row>
        <row r="316">
          <cell r="A316" t="str">
            <v>28026767</v>
          </cell>
          <cell r="C316" t="str">
            <v>67</v>
          </cell>
          <cell r="D316" t="str">
            <v>投资出资金 - 期末汇率调整损益</v>
          </cell>
        </row>
        <row r="317">
          <cell r="A317" t="str">
            <v>28031055</v>
          </cell>
          <cell r="C317" t="str">
            <v>55</v>
          </cell>
          <cell r="D317" t="str">
            <v>投资出资金-减少</v>
          </cell>
        </row>
        <row r="318">
          <cell r="A318" t="str">
            <v>29010020</v>
          </cell>
          <cell r="C318" t="str">
            <v>20</v>
          </cell>
          <cell r="D318" t="str">
            <v>长期待摊费用-期初</v>
          </cell>
        </row>
        <row r="319">
          <cell r="A319" t="str">
            <v>29023333</v>
          </cell>
          <cell r="C319" t="str">
            <v>33</v>
          </cell>
          <cell r="D319" t="str">
            <v>长期待摊费用- 转入</v>
          </cell>
        </row>
        <row r="320">
          <cell r="A320" t="str">
            <v>29026767</v>
          </cell>
          <cell r="C320" t="str">
            <v>67</v>
          </cell>
          <cell r="D320" t="str">
            <v>长期待摊费用- 期末汇率调整损益</v>
          </cell>
        </row>
        <row r="321">
          <cell r="A321" t="str">
            <v>29031043</v>
          </cell>
          <cell r="C321" t="str">
            <v>43</v>
          </cell>
          <cell r="D321" t="str">
            <v>长期待摊费用- 当期折旧</v>
          </cell>
        </row>
        <row r="322">
          <cell r="A322" t="str">
            <v>30010010</v>
          </cell>
          <cell r="C322" t="str">
            <v>10</v>
          </cell>
          <cell r="D322" t="str">
            <v>董事退职年金储备金 - 期初</v>
          </cell>
        </row>
        <row r="323">
          <cell r="A323" t="str">
            <v>30023310</v>
          </cell>
          <cell r="C323" t="str">
            <v>10</v>
          </cell>
          <cell r="D323" t="str">
            <v>董事退职年金储备金 - 转入</v>
          </cell>
        </row>
        <row r="324">
          <cell r="A324" t="str">
            <v>30024810</v>
          </cell>
          <cell r="C324" t="str">
            <v>10</v>
          </cell>
          <cell r="D324" t="str">
            <v>董事退职年金储备金 - 结转</v>
          </cell>
        </row>
        <row r="325">
          <cell r="A325" t="str">
            <v>30031010</v>
          </cell>
          <cell r="C325" t="str">
            <v>10</v>
          </cell>
          <cell r="D325" t="str">
            <v>董事退职年金储备金 - 解除合同</v>
          </cell>
        </row>
        <row r="326">
          <cell r="A326" t="str">
            <v>30010020</v>
          </cell>
          <cell r="C326" t="str">
            <v>20</v>
          </cell>
          <cell r="D326" t="str">
            <v>董事保险金储备金 - 期初</v>
          </cell>
        </row>
        <row r="327">
          <cell r="A327" t="str">
            <v>30023320</v>
          </cell>
          <cell r="C327" t="str">
            <v>20</v>
          </cell>
          <cell r="D327" t="str">
            <v>董事保险金储备金 - 购入</v>
          </cell>
        </row>
        <row r="328">
          <cell r="A328" t="str">
            <v>30023420</v>
          </cell>
          <cell r="C328" t="str">
            <v>20</v>
          </cell>
          <cell r="D328" t="str">
            <v>董事保险金储备金 - 转入</v>
          </cell>
        </row>
        <row r="329">
          <cell r="A329" t="str">
            <v>30024820</v>
          </cell>
          <cell r="C329" t="str">
            <v>20</v>
          </cell>
          <cell r="D329" t="str">
            <v>董事保险金储备金 - 结转</v>
          </cell>
        </row>
        <row r="330">
          <cell r="A330" t="str">
            <v>30031020</v>
          </cell>
          <cell r="C330" t="str">
            <v>20</v>
          </cell>
          <cell r="D330" t="str">
            <v>董事保险金储备金 - 解除合同</v>
          </cell>
        </row>
        <row r="331">
          <cell r="A331" t="str">
            <v>31010020</v>
          </cell>
          <cell r="C331" t="str">
            <v>20</v>
          </cell>
          <cell r="D331" t="str">
            <v>其他投资 - 期初</v>
          </cell>
        </row>
        <row r="332">
          <cell r="A332" t="str">
            <v>31023434</v>
          </cell>
          <cell r="C332" t="str">
            <v>34</v>
          </cell>
          <cell r="D332" t="str">
            <v>其他投资 - 取得</v>
          </cell>
        </row>
        <row r="333">
          <cell r="A333" t="str">
            <v>31024848</v>
          </cell>
          <cell r="C333" t="str">
            <v>48</v>
          </cell>
          <cell r="D333" t="str">
            <v>其他投资 - 结转</v>
          </cell>
        </row>
        <row r="334">
          <cell r="A334" t="str">
            <v>31026666</v>
          </cell>
          <cell r="C334" t="str">
            <v>66</v>
          </cell>
          <cell r="D334" t="str">
            <v>其他投资 -估价差额</v>
          </cell>
        </row>
        <row r="335">
          <cell r="A335" t="str">
            <v>31026767</v>
          </cell>
          <cell r="C335" t="str">
            <v>67</v>
          </cell>
          <cell r="D335" t="str">
            <v>其他投资 - 期末汇率调整损益</v>
          </cell>
        </row>
        <row r="336">
          <cell r="A336" t="str">
            <v>31035151</v>
          </cell>
          <cell r="C336" t="str">
            <v>51</v>
          </cell>
          <cell r="D336" t="str">
            <v>其他投资 -出售</v>
          </cell>
        </row>
        <row r="337">
          <cell r="A337" t="str">
            <v>31036464</v>
          </cell>
          <cell r="C337" t="str">
            <v>64</v>
          </cell>
          <cell r="D337" t="str">
            <v>其他投资 - 解除合同</v>
          </cell>
        </row>
        <row r="338">
          <cell r="A338" t="str">
            <v>32010020</v>
          </cell>
          <cell r="C338" t="str">
            <v>20</v>
          </cell>
          <cell r="D338" t="str">
            <v>开办费 - 期初</v>
          </cell>
        </row>
        <row r="339">
          <cell r="A339" t="str">
            <v>32023333</v>
          </cell>
          <cell r="C339" t="str">
            <v>33</v>
          </cell>
          <cell r="D339" t="str">
            <v>开办费 - 转入</v>
          </cell>
        </row>
        <row r="340">
          <cell r="A340" t="str">
            <v>32026767</v>
          </cell>
          <cell r="C340" t="str">
            <v>67</v>
          </cell>
          <cell r="D340" t="str">
            <v>开办费 - 期末汇率调整损益</v>
          </cell>
        </row>
        <row r="341">
          <cell r="A341" t="str">
            <v>32034343</v>
          </cell>
          <cell r="C341" t="str">
            <v>43</v>
          </cell>
          <cell r="D341" t="str">
            <v>开办费- 当期折旧</v>
          </cell>
        </row>
        <row r="342">
          <cell r="A342" t="str">
            <v>40010020</v>
          </cell>
          <cell r="C342" t="str">
            <v>20</v>
          </cell>
          <cell r="D342" t="str">
            <v>短期借款-期初</v>
          </cell>
        </row>
        <row r="343">
          <cell r="A343" t="str">
            <v>40010010</v>
          </cell>
          <cell r="C343" t="str">
            <v>10</v>
          </cell>
          <cell r="D343" t="str">
            <v>长期借款-期初</v>
          </cell>
        </row>
        <row r="344">
          <cell r="A344" t="str">
            <v>40022037</v>
          </cell>
          <cell r="C344" t="str">
            <v>37</v>
          </cell>
          <cell r="D344" t="str">
            <v>短期借款-借入</v>
          </cell>
        </row>
        <row r="345">
          <cell r="A345" t="str">
            <v>40022010</v>
          </cell>
          <cell r="C345" t="str">
            <v>10</v>
          </cell>
          <cell r="D345" t="str">
            <v>长期借款-借入</v>
          </cell>
        </row>
        <row r="346">
          <cell r="A346" t="str">
            <v>40024848</v>
          </cell>
          <cell r="C346" t="str">
            <v>48</v>
          </cell>
          <cell r="D346" t="str">
            <v>短期借款-结转</v>
          </cell>
        </row>
        <row r="347">
          <cell r="A347" t="str">
            <v>40024810</v>
          </cell>
          <cell r="C347" t="str">
            <v>10</v>
          </cell>
          <cell r="D347" t="str">
            <v>长期借款-结转</v>
          </cell>
        </row>
        <row r="348">
          <cell r="A348" t="str">
            <v>40026767</v>
          </cell>
          <cell r="C348" t="str">
            <v>67</v>
          </cell>
          <cell r="D348" t="str">
            <v>短期借款 - 期末汇率调整损益</v>
          </cell>
        </row>
        <row r="349">
          <cell r="A349" t="str">
            <v>40026710</v>
          </cell>
          <cell r="C349" t="str">
            <v>10</v>
          </cell>
          <cell r="D349" t="str">
            <v>长期借款 - 期末汇率调整损益</v>
          </cell>
        </row>
        <row r="350">
          <cell r="A350" t="str">
            <v>40031063</v>
          </cell>
          <cell r="C350" t="str">
            <v>63</v>
          </cell>
          <cell r="D350" t="str">
            <v>短期借款-还款</v>
          </cell>
        </row>
        <row r="351">
          <cell r="A351" t="str">
            <v>40031010</v>
          </cell>
          <cell r="C351" t="str">
            <v>10</v>
          </cell>
          <cell r="D351" t="str">
            <v>长期借款-还款</v>
          </cell>
        </row>
        <row r="352">
          <cell r="A352" t="str">
            <v>300000</v>
          </cell>
          <cell r="D352" t="str">
            <v>材料费</v>
          </cell>
        </row>
        <row r="353">
          <cell r="A353" t="str">
            <v>300100</v>
          </cell>
          <cell r="D353" t="str">
            <v>材料期初盘存</v>
          </cell>
        </row>
        <row r="354">
          <cell r="A354" t="str">
            <v>300200</v>
          </cell>
          <cell r="D354" t="str">
            <v>材料期初盘存调整额</v>
          </cell>
        </row>
        <row r="355">
          <cell r="A355" t="str">
            <v>300300</v>
          </cell>
          <cell r="D355" t="str">
            <v>当期采购</v>
          </cell>
        </row>
        <row r="356">
          <cell r="A356" t="str">
            <v>300400</v>
          </cell>
          <cell r="D356" t="str">
            <v>委托加工费用及回收额</v>
          </cell>
        </row>
        <row r="357">
          <cell r="A357" t="str">
            <v>300500</v>
          </cell>
          <cell r="D357" t="str">
            <v>其他科目结转额</v>
          </cell>
        </row>
        <row r="358">
          <cell r="A358" t="str">
            <v>300990</v>
          </cell>
          <cell r="D358" t="str">
            <v>小计</v>
          </cell>
        </row>
        <row r="359">
          <cell r="A359" t="str">
            <v>301100</v>
          </cell>
          <cell r="D359" t="str">
            <v>材料期末盘存</v>
          </cell>
        </row>
        <row r="360">
          <cell r="A360" t="str">
            <v>301200</v>
          </cell>
          <cell r="D360" t="str">
            <v>材料期末盘存调整额</v>
          </cell>
        </row>
        <row r="361">
          <cell r="A361" t="str">
            <v>301300</v>
          </cell>
          <cell r="D361" t="str">
            <v>材料销售成本</v>
          </cell>
        </row>
        <row r="362">
          <cell r="A362" t="str">
            <v>301400</v>
          </cell>
          <cell r="D362" t="str">
            <v>材料出库差异</v>
          </cell>
        </row>
        <row r="363">
          <cell r="A363" t="str">
            <v>301500</v>
          </cell>
          <cell r="D363" t="str">
            <v>材料入库差异</v>
          </cell>
        </row>
        <row r="364">
          <cell r="A364" t="str">
            <v>301600</v>
          </cell>
          <cell r="D364" t="str">
            <v>其他科目结转额</v>
          </cell>
        </row>
        <row r="365">
          <cell r="A365" t="str">
            <v>301700</v>
          </cell>
          <cell r="D365" t="str">
            <v>材料有偿支给额</v>
          </cell>
        </row>
        <row r="366">
          <cell r="A366" t="str">
            <v>310000</v>
          </cell>
          <cell r="D366" t="str">
            <v>直接劳务费用</v>
          </cell>
        </row>
        <row r="367">
          <cell r="A367" t="str">
            <v>320000</v>
          </cell>
          <cell r="D367" t="str">
            <v>制造费用</v>
          </cell>
        </row>
        <row r="368">
          <cell r="A368" t="str">
            <v>320100</v>
          </cell>
          <cell r="D368" t="str">
            <v>间接劳务费</v>
          </cell>
        </row>
        <row r="369">
          <cell r="A369" t="str">
            <v>320200</v>
          </cell>
          <cell r="D369" t="str">
            <v>间接经费</v>
          </cell>
        </row>
        <row r="370">
          <cell r="A370" t="str">
            <v>329990</v>
          </cell>
          <cell r="D370" t="str">
            <v>总制造费用</v>
          </cell>
        </row>
        <row r="371">
          <cell r="A371" t="str">
            <v>330100</v>
          </cell>
          <cell r="D371" t="str">
            <v>在产品及半成品期初盘存</v>
          </cell>
        </row>
        <row r="372">
          <cell r="A372" t="str">
            <v>330200</v>
          </cell>
          <cell r="D372" t="str">
            <v>在产品及半成品期初盘存调整</v>
          </cell>
        </row>
        <row r="373">
          <cell r="A373" t="str">
            <v>330300</v>
          </cell>
          <cell r="D373" t="str">
            <v>产成品部品入库成本</v>
          </cell>
        </row>
        <row r="374">
          <cell r="A374" t="str">
            <v>330400</v>
          </cell>
          <cell r="D374" t="str">
            <v>半成品委托加工费用及回收额</v>
          </cell>
        </row>
        <row r="375">
          <cell r="A375" t="str">
            <v>330500</v>
          </cell>
          <cell r="D375" t="str">
            <v>其他科目结转额</v>
          </cell>
        </row>
        <row r="376">
          <cell r="A376" t="str">
            <v>330990</v>
          </cell>
          <cell r="D376" t="str">
            <v>小计</v>
          </cell>
        </row>
        <row r="377">
          <cell r="A377" t="str">
            <v>331100</v>
          </cell>
          <cell r="D377" t="str">
            <v>在产品及半成品期末盘存</v>
          </cell>
        </row>
        <row r="378">
          <cell r="A378" t="str">
            <v>331200</v>
          </cell>
          <cell r="D378" t="str">
            <v>在产品及半成品期末盘存调整</v>
          </cell>
        </row>
        <row r="379">
          <cell r="A379" t="str">
            <v>331300</v>
          </cell>
          <cell r="D379" t="str">
            <v>半成品销售成本</v>
          </cell>
        </row>
        <row r="380">
          <cell r="A380" t="str">
            <v>331400</v>
          </cell>
          <cell r="D380" t="str">
            <v>产成品马达结转额</v>
          </cell>
        </row>
        <row r="381">
          <cell r="A381" t="str">
            <v>331500</v>
          </cell>
          <cell r="D381" t="str">
            <v>半成品委托加工转出额</v>
          </cell>
        </row>
        <row r="382">
          <cell r="A382" t="str">
            <v>331600</v>
          </cell>
          <cell r="D382" t="str">
            <v>半成品结转差异</v>
          </cell>
        </row>
        <row r="383">
          <cell r="A383" t="str">
            <v>331700</v>
          </cell>
          <cell r="D383" t="str">
            <v>其他科目结转额</v>
          </cell>
        </row>
        <row r="384">
          <cell r="A384" t="str">
            <v>331800</v>
          </cell>
          <cell r="D384" t="str">
            <v>固定资产结转额</v>
          </cell>
        </row>
        <row r="385">
          <cell r="A385" t="str">
            <v>331900</v>
          </cell>
          <cell r="D385" t="str">
            <v>自制消耗品成本转出</v>
          </cell>
        </row>
        <row r="386">
          <cell r="A386" t="str">
            <v>339990</v>
          </cell>
          <cell r="D386" t="str">
            <v>实际制造成本</v>
          </cell>
        </row>
        <row r="387">
          <cell r="A387" t="str">
            <v>349990</v>
          </cell>
          <cell r="D387" t="str">
            <v>标准制造成本</v>
          </cell>
        </row>
        <row r="388">
          <cell r="A388" t="str">
            <v>359990</v>
          </cell>
          <cell r="D388" t="str">
            <v>成本差异</v>
          </cell>
        </row>
        <row r="389">
          <cell r="A389" t="str">
            <v>360190</v>
          </cell>
          <cell r="D389" t="str">
            <v>其中:废弃品</v>
          </cell>
        </row>
        <row r="390">
          <cell r="A390" t="str">
            <v>400100</v>
          </cell>
          <cell r="D390" t="str">
            <v>工资及附加费</v>
          </cell>
        </row>
        <row r="391">
          <cell r="A391" t="str">
            <v>400200</v>
          </cell>
          <cell r="D391" t="str">
            <v>其他工资性支出</v>
          </cell>
        </row>
        <row r="392">
          <cell r="A392" t="str">
            <v>400300</v>
          </cell>
          <cell r="D392" t="str">
            <v>奖金</v>
          </cell>
        </row>
        <row r="393">
          <cell r="A393" t="str">
            <v>400400</v>
          </cell>
          <cell r="D393" t="str">
            <v>奖金提取</v>
          </cell>
        </row>
        <row r="394">
          <cell r="A394" t="str">
            <v>400500</v>
          </cell>
          <cell r="D394" t="str">
            <v>退职金</v>
          </cell>
        </row>
        <row r="395">
          <cell r="A395" t="str">
            <v>400600</v>
          </cell>
          <cell r="D395" t="str">
            <v>退职金提取</v>
          </cell>
        </row>
        <row r="396">
          <cell r="A396" t="str">
            <v>400700</v>
          </cell>
          <cell r="D396" t="str">
            <v>董事报酬</v>
          </cell>
        </row>
        <row r="397">
          <cell r="A397" t="str">
            <v>400800</v>
          </cell>
          <cell r="D397" t="str">
            <v>股份支付費用</v>
          </cell>
        </row>
        <row r="398">
          <cell r="A398" t="str">
            <v>400900</v>
          </cell>
          <cell r="D398" t="str">
            <v>(中国不适用)n/a</v>
          </cell>
        </row>
        <row r="399">
          <cell r="A399" t="str">
            <v>401000</v>
          </cell>
          <cell r="D399" t="str">
            <v>法定福利费</v>
          </cell>
        </row>
        <row r="400">
          <cell r="A400" t="str">
            <v>401100</v>
          </cell>
          <cell r="D400" t="str">
            <v>一般福利费</v>
          </cell>
        </row>
        <row r="401">
          <cell r="A401" t="str">
            <v>401200</v>
          </cell>
          <cell r="D401" t="str">
            <v>培训费</v>
          </cell>
        </row>
        <row r="402">
          <cell r="A402" t="str">
            <v>401300</v>
          </cell>
          <cell r="D402" t="str">
            <v>招聘费</v>
          </cell>
        </row>
        <row r="403">
          <cell r="A403" t="str">
            <v>401400</v>
          </cell>
          <cell r="D403" t="str">
            <v>劳务管理费</v>
          </cell>
        </row>
        <row r="404">
          <cell r="A404" t="str">
            <v>401500</v>
          </cell>
          <cell r="D404" t="str">
            <v>(中国不适用)n/a</v>
          </cell>
        </row>
        <row r="405">
          <cell r="A405" t="str">
            <v>401600</v>
          </cell>
          <cell r="D405" t="str">
            <v>退职付给准备金提取</v>
          </cell>
        </row>
        <row r="406">
          <cell r="A406" t="str">
            <v>401990</v>
          </cell>
          <cell r="D406" t="str">
            <v>劳务费小计</v>
          </cell>
        </row>
        <row r="407">
          <cell r="A407" t="str">
            <v>402100</v>
          </cell>
          <cell r="D407" t="str">
            <v>销售手续费</v>
          </cell>
        </row>
        <row r="408">
          <cell r="A408" t="str">
            <v>402200</v>
          </cell>
          <cell r="D408" t="str">
            <v>邮送专递费用</v>
          </cell>
        </row>
        <row r="409">
          <cell r="A409" t="str">
            <v>402300</v>
          </cell>
          <cell r="D409" t="str">
            <v>船运费用</v>
          </cell>
        </row>
        <row r="410">
          <cell r="A410" t="str">
            <v>402400</v>
          </cell>
          <cell r="D410" t="str">
            <v>样品费用</v>
          </cell>
        </row>
        <row r="411">
          <cell r="A411" t="str">
            <v>402500</v>
          </cell>
          <cell r="D411" t="str">
            <v>广告费用</v>
          </cell>
        </row>
        <row r="412">
          <cell r="A412" t="str">
            <v>402600</v>
          </cell>
          <cell r="D412" t="str">
            <v>交际费用</v>
          </cell>
        </row>
        <row r="413">
          <cell r="A413" t="str">
            <v>402700</v>
          </cell>
          <cell r="D413" t="str">
            <v>会议费用</v>
          </cell>
        </row>
        <row r="414">
          <cell r="A414" t="str">
            <v>402800</v>
          </cell>
          <cell r="D414" t="str">
            <v>捐赠</v>
          </cell>
        </row>
        <row r="415">
          <cell r="A415" t="str">
            <v>402900</v>
          </cell>
          <cell r="D415" t="str">
            <v>电费</v>
          </cell>
        </row>
        <row r="416">
          <cell r="A416" t="str">
            <v>403000</v>
          </cell>
          <cell r="D416" t="str">
            <v>煤气自来水费用</v>
          </cell>
        </row>
        <row r="417">
          <cell r="A417" t="str">
            <v>403100</v>
          </cell>
          <cell r="D417" t="str">
            <v>燃料费</v>
          </cell>
        </row>
        <row r="418">
          <cell r="A418" t="str">
            <v>403200</v>
          </cell>
          <cell r="D418" t="str">
            <v>差旅及交通费</v>
          </cell>
        </row>
        <row r="419">
          <cell r="A419" t="str">
            <v>403300</v>
          </cell>
          <cell r="D419" t="str">
            <v>通信费</v>
          </cell>
        </row>
        <row r="420">
          <cell r="A420" t="str">
            <v>403400</v>
          </cell>
          <cell r="D420" t="str">
            <v>保险费</v>
          </cell>
        </row>
        <row r="421">
          <cell r="A421" t="str">
            <v>403500</v>
          </cell>
          <cell r="D421" t="str">
            <v>消耗品费</v>
          </cell>
        </row>
        <row r="422">
          <cell r="A422" t="str">
            <v>403600</v>
          </cell>
          <cell r="D422" t="str">
            <v>低值易耗品费费</v>
          </cell>
        </row>
        <row r="423">
          <cell r="A423" t="str">
            <v>403700</v>
          </cell>
          <cell r="D423" t="str">
            <v>模具费</v>
          </cell>
        </row>
        <row r="424">
          <cell r="A424" t="str">
            <v>403800</v>
          </cell>
          <cell r="D424" t="str">
            <v>自制消耗品费用</v>
          </cell>
        </row>
        <row r="425">
          <cell r="A425" t="str">
            <v>403900</v>
          </cell>
          <cell r="D425" t="str">
            <v>修理费</v>
          </cell>
        </row>
        <row r="426">
          <cell r="A426" t="str">
            <v>404000</v>
          </cell>
          <cell r="D426" t="str">
            <v>税金</v>
          </cell>
        </row>
        <row r="427">
          <cell r="A427" t="str">
            <v>404100</v>
          </cell>
          <cell r="D427" t="str">
            <v>折旧费用</v>
          </cell>
        </row>
        <row r="428">
          <cell r="A428" t="str">
            <v>404200</v>
          </cell>
          <cell r="D428" t="str">
            <v>递延资产摊销费用</v>
          </cell>
        </row>
        <row r="429">
          <cell r="A429" t="str">
            <v>404300</v>
          </cell>
          <cell r="D429" t="str">
            <v>银行手续费</v>
          </cell>
        </row>
        <row r="430">
          <cell r="A430" t="str">
            <v>404400</v>
          </cell>
          <cell r="D430" t="str">
            <v>支付手续费</v>
          </cell>
        </row>
        <row r="431">
          <cell r="A431" t="str">
            <v>404500</v>
          </cell>
          <cell r="D431" t="str">
            <v>业务委托费</v>
          </cell>
        </row>
        <row r="432">
          <cell r="A432" t="str">
            <v>404600</v>
          </cell>
          <cell r="D432" t="str">
            <v>审计费用</v>
          </cell>
        </row>
        <row r="433">
          <cell r="A433" t="str">
            <v>404700</v>
          </cell>
          <cell r="D433" t="str">
            <v>租赁费用</v>
          </cell>
        </row>
        <row r="434">
          <cell r="A434" t="str">
            <v>404800</v>
          </cell>
          <cell r="D434" t="str">
            <v>租金</v>
          </cell>
        </row>
        <row r="435">
          <cell r="A435" t="str">
            <v>404900</v>
          </cell>
          <cell r="D435" t="str">
            <v>书报费</v>
          </cell>
        </row>
        <row r="436">
          <cell r="A436" t="str">
            <v>405000</v>
          </cell>
          <cell r="D436" t="str">
            <v>会费</v>
          </cell>
        </row>
        <row r="437">
          <cell r="A437" t="str">
            <v>405100</v>
          </cell>
          <cell r="D437" t="str">
            <v>工会经费</v>
          </cell>
        </row>
        <row r="438">
          <cell r="A438" t="str">
            <v>405200</v>
          </cell>
          <cell r="D438" t="str">
            <v>委托加工费</v>
          </cell>
        </row>
        <row r="439">
          <cell r="A439" t="str">
            <v>405300</v>
          </cell>
          <cell r="D439" t="str">
            <v>技术援助费</v>
          </cell>
        </row>
        <row r="440">
          <cell r="A440" t="str">
            <v>405400</v>
          </cell>
          <cell r="D440" t="str">
            <v>经营援助费</v>
          </cell>
        </row>
        <row r="441">
          <cell r="A441" t="str">
            <v>405500</v>
          </cell>
          <cell r="D441" t="str">
            <v>顾问费</v>
          </cell>
        </row>
        <row r="442">
          <cell r="A442" t="str">
            <v>405600</v>
          </cell>
          <cell r="D442" t="str">
            <v>研究费</v>
          </cell>
        </row>
        <row r="443">
          <cell r="A443" t="str">
            <v>405700</v>
          </cell>
          <cell r="D443" t="str">
            <v>特许权使用费</v>
          </cell>
        </row>
        <row r="444">
          <cell r="A444" t="str">
            <v>405800</v>
          </cell>
          <cell r="D444" t="str">
            <v>坏帐准备提取额</v>
          </cell>
        </row>
        <row r="445">
          <cell r="A445" t="str">
            <v>405900</v>
          </cell>
          <cell r="D445" t="str">
            <v>坏帐损失</v>
          </cell>
        </row>
        <row r="446">
          <cell r="A446" t="str">
            <v>406000</v>
          </cell>
          <cell r="D446" t="str">
            <v>(中国不适用)n/a</v>
          </cell>
        </row>
        <row r="447">
          <cell r="A447" t="str">
            <v>406100</v>
          </cell>
          <cell r="D447" t="str">
            <v>事业税准备提取</v>
          </cell>
        </row>
        <row r="448">
          <cell r="A448" t="str">
            <v>406200</v>
          </cell>
          <cell r="D448" t="str">
            <v>事业场所税金准备提取</v>
          </cell>
        </row>
        <row r="449">
          <cell r="A449" t="str">
            <v>406300</v>
          </cell>
          <cell r="D449" t="str">
            <v>罚款支出</v>
          </cell>
        </row>
        <row r="450">
          <cell r="A450" t="str">
            <v>406400</v>
          </cell>
          <cell r="D450" t="str">
            <v>其他费用</v>
          </cell>
        </row>
        <row r="451">
          <cell r="A451" t="str">
            <v>406500</v>
          </cell>
          <cell r="D451" t="str">
            <v>外国劳工诸费用</v>
          </cell>
        </row>
        <row r="452">
          <cell r="A452" t="str">
            <v>406600</v>
          </cell>
          <cell r="D452" t="str">
            <v>一般运输费用</v>
          </cell>
        </row>
        <row r="453">
          <cell r="A453" t="str">
            <v>406990</v>
          </cell>
          <cell r="D453" t="str">
            <v>经费小计</v>
          </cell>
        </row>
        <row r="454">
          <cell r="A454" t="str">
            <v>409990</v>
          </cell>
          <cell r="D454" t="str">
            <v>销售及一般管理费用合计</v>
          </cell>
        </row>
        <row r="455">
          <cell r="A455" t="str">
            <v>410100</v>
          </cell>
          <cell r="D455" t="str">
            <v>工资及附加费</v>
          </cell>
        </row>
        <row r="456">
          <cell r="A456" t="str">
            <v>410110</v>
          </cell>
          <cell r="D456" t="str">
            <v>工资及附加费-当地职工</v>
          </cell>
        </row>
        <row r="457">
          <cell r="A457" t="str">
            <v>410120</v>
          </cell>
          <cell r="D457" t="str">
            <v>工资及附加费-日本人职工</v>
          </cell>
        </row>
        <row r="458">
          <cell r="A458" t="str">
            <v>410200</v>
          </cell>
          <cell r="D458" t="str">
            <v>其他工资性支出</v>
          </cell>
        </row>
        <row r="459">
          <cell r="A459" t="str">
            <v>410300</v>
          </cell>
          <cell r="D459" t="str">
            <v>奖金</v>
          </cell>
        </row>
        <row r="460">
          <cell r="A460" t="str">
            <v>410310</v>
          </cell>
          <cell r="D460" t="str">
            <v>奖金-当地职工</v>
          </cell>
        </row>
        <row r="461">
          <cell r="A461" t="str">
            <v>410320</v>
          </cell>
          <cell r="D461" t="str">
            <v>奖金-日本人职工</v>
          </cell>
        </row>
        <row r="462">
          <cell r="A462" t="str">
            <v>410400</v>
          </cell>
          <cell r="D462" t="str">
            <v>奖金提取</v>
          </cell>
        </row>
        <row r="463">
          <cell r="A463" t="str">
            <v>410500</v>
          </cell>
          <cell r="D463" t="str">
            <v>退职金</v>
          </cell>
        </row>
        <row r="464">
          <cell r="A464" t="str">
            <v>410600</v>
          </cell>
          <cell r="D464" t="str">
            <v>退职金提取</v>
          </cell>
        </row>
        <row r="465">
          <cell r="A465" t="str">
            <v>410700</v>
          </cell>
          <cell r="D465" t="str">
            <v>董事报酬</v>
          </cell>
        </row>
        <row r="466">
          <cell r="A466" t="str">
            <v>410800</v>
          </cell>
          <cell r="D466" t="str">
            <v>董事退职金</v>
          </cell>
        </row>
        <row r="467">
          <cell r="A467" t="str">
            <v>410900</v>
          </cell>
          <cell r="D467" t="str">
            <v>(中国不适用)n/a</v>
          </cell>
        </row>
        <row r="468">
          <cell r="A468" t="str">
            <v>411000</v>
          </cell>
          <cell r="D468" t="str">
            <v>法定福利费</v>
          </cell>
        </row>
        <row r="469">
          <cell r="A469" t="str">
            <v>411100</v>
          </cell>
          <cell r="D469" t="str">
            <v>福利费</v>
          </cell>
        </row>
        <row r="470">
          <cell r="A470" t="str">
            <v>411200</v>
          </cell>
          <cell r="D470" t="str">
            <v>培训费</v>
          </cell>
        </row>
        <row r="471">
          <cell r="A471" t="str">
            <v>411300</v>
          </cell>
          <cell r="D471" t="str">
            <v>招聘费</v>
          </cell>
        </row>
        <row r="472">
          <cell r="A472" t="str">
            <v>411400</v>
          </cell>
          <cell r="D472" t="str">
            <v>劳务管理费</v>
          </cell>
        </row>
        <row r="473">
          <cell r="A473" t="str">
            <v>411500</v>
          </cell>
          <cell r="D473" t="str">
            <v>(中国不适用)n/a</v>
          </cell>
        </row>
        <row r="474">
          <cell r="A474" t="str">
            <v>411600</v>
          </cell>
          <cell r="D474" t="str">
            <v>退职付给准备金提取</v>
          </cell>
        </row>
        <row r="475">
          <cell r="A475" t="str">
            <v>412100</v>
          </cell>
          <cell r="D475" t="str">
            <v>销售手续费</v>
          </cell>
        </row>
        <row r="476">
          <cell r="A476" t="str">
            <v>412100</v>
          </cell>
          <cell r="D476" t="str">
            <v>销售手续费-有交易对方</v>
          </cell>
        </row>
        <row r="477">
          <cell r="A477" t="str">
            <v>412100</v>
          </cell>
          <cell r="D477" t="str">
            <v>销售手续费-其他</v>
          </cell>
        </row>
        <row r="478">
          <cell r="A478" t="str">
            <v>412200</v>
          </cell>
          <cell r="D478" t="str">
            <v>邮送专递费用</v>
          </cell>
        </row>
        <row r="479">
          <cell r="A479" t="str">
            <v>412300</v>
          </cell>
          <cell r="D479" t="str">
            <v>船运费用</v>
          </cell>
        </row>
        <row r="480">
          <cell r="A480" t="str">
            <v>412400</v>
          </cell>
          <cell r="D480" t="str">
            <v>样品费用</v>
          </cell>
        </row>
        <row r="481">
          <cell r="A481" t="str">
            <v>412500</v>
          </cell>
          <cell r="D481" t="str">
            <v>广告费用</v>
          </cell>
        </row>
        <row r="482">
          <cell r="A482" t="str">
            <v>412600</v>
          </cell>
          <cell r="D482" t="str">
            <v>交际费用</v>
          </cell>
        </row>
        <row r="483">
          <cell r="A483" t="str">
            <v>412700</v>
          </cell>
          <cell r="D483" t="str">
            <v>会议费用</v>
          </cell>
        </row>
        <row r="484">
          <cell r="A484" t="str">
            <v>412800</v>
          </cell>
          <cell r="D484" t="str">
            <v>捐赠</v>
          </cell>
        </row>
        <row r="485">
          <cell r="A485" t="str">
            <v>412900</v>
          </cell>
          <cell r="D485" t="str">
            <v>电费</v>
          </cell>
        </row>
        <row r="486">
          <cell r="A486" t="str">
            <v>413000</v>
          </cell>
          <cell r="D486" t="str">
            <v>煤气自来水费用</v>
          </cell>
        </row>
        <row r="487">
          <cell r="A487" t="str">
            <v>413100</v>
          </cell>
          <cell r="D487" t="str">
            <v>燃料费</v>
          </cell>
        </row>
        <row r="488">
          <cell r="A488" t="str">
            <v>413200</v>
          </cell>
          <cell r="D488" t="str">
            <v>差旅及交通费</v>
          </cell>
        </row>
        <row r="489">
          <cell r="A489" t="str">
            <v>413300</v>
          </cell>
          <cell r="D489" t="str">
            <v>通信费</v>
          </cell>
        </row>
        <row r="490">
          <cell r="A490" t="str">
            <v>413400</v>
          </cell>
          <cell r="D490" t="str">
            <v>保险费</v>
          </cell>
        </row>
        <row r="491">
          <cell r="A491" t="str">
            <v>413500</v>
          </cell>
          <cell r="D491" t="str">
            <v>消耗品费</v>
          </cell>
        </row>
        <row r="492">
          <cell r="A492" t="str">
            <v>413600</v>
          </cell>
          <cell r="D492" t="str">
            <v>低值易耗品费费</v>
          </cell>
        </row>
        <row r="493">
          <cell r="A493" t="str">
            <v>413700</v>
          </cell>
          <cell r="D493" t="str">
            <v>模具费</v>
          </cell>
        </row>
        <row r="494">
          <cell r="A494" t="str">
            <v>413800</v>
          </cell>
          <cell r="D494" t="str">
            <v>自制消耗品费用</v>
          </cell>
        </row>
        <row r="495">
          <cell r="A495" t="str">
            <v>413900</v>
          </cell>
          <cell r="D495" t="str">
            <v>修理费</v>
          </cell>
        </row>
        <row r="496">
          <cell r="A496" t="str">
            <v>414000</v>
          </cell>
          <cell r="D496" t="str">
            <v>税金</v>
          </cell>
        </row>
        <row r="497">
          <cell r="A497" t="str">
            <v>414100</v>
          </cell>
          <cell r="D497" t="str">
            <v>折旧费用</v>
          </cell>
        </row>
        <row r="498">
          <cell r="A498" t="str">
            <v>414200</v>
          </cell>
          <cell r="D498" t="str">
            <v>递延资产摊销费用</v>
          </cell>
        </row>
        <row r="499">
          <cell r="A499" t="str">
            <v>414300</v>
          </cell>
          <cell r="D499" t="str">
            <v>银行手续费</v>
          </cell>
        </row>
        <row r="500">
          <cell r="A500" t="str">
            <v>414400</v>
          </cell>
          <cell r="D500" t="str">
            <v>支付手续费</v>
          </cell>
        </row>
        <row r="501">
          <cell r="A501" t="str">
            <v>414410</v>
          </cell>
          <cell r="D501" t="str">
            <v>支付手续费 - 翻译费 .制图费</v>
          </cell>
        </row>
        <row r="502">
          <cell r="A502" t="str">
            <v>414420</v>
          </cell>
          <cell r="D502" t="str">
            <v>支付手续费 - 其他</v>
          </cell>
        </row>
        <row r="503">
          <cell r="A503" t="str">
            <v>414500</v>
          </cell>
          <cell r="D503" t="str">
            <v>业务委托费</v>
          </cell>
        </row>
        <row r="504">
          <cell r="A504" t="str">
            <v>414600</v>
          </cell>
          <cell r="D504" t="str">
            <v>审计费用</v>
          </cell>
        </row>
        <row r="505">
          <cell r="A505" t="str">
            <v>414700</v>
          </cell>
          <cell r="D505" t="str">
            <v>租赁费用</v>
          </cell>
        </row>
        <row r="506">
          <cell r="A506" t="str">
            <v>414800</v>
          </cell>
          <cell r="D506" t="str">
            <v>租金</v>
          </cell>
        </row>
        <row r="507">
          <cell r="A507" t="str">
            <v>414900</v>
          </cell>
          <cell r="D507" t="str">
            <v>书报费</v>
          </cell>
        </row>
        <row r="508">
          <cell r="A508" t="str">
            <v>415000</v>
          </cell>
          <cell r="D508" t="str">
            <v>会费</v>
          </cell>
        </row>
        <row r="509">
          <cell r="A509" t="str">
            <v>415100</v>
          </cell>
          <cell r="D509" t="str">
            <v>工会经费</v>
          </cell>
        </row>
        <row r="510">
          <cell r="A510" t="str">
            <v>415200</v>
          </cell>
          <cell r="D510" t="str">
            <v>委托加工费</v>
          </cell>
        </row>
        <row r="511">
          <cell r="A511" t="str">
            <v>415300</v>
          </cell>
          <cell r="D511" t="str">
            <v>技术援助费</v>
          </cell>
        </row>
        <row r="512">
          <cell r="A512" t="str">
            <v>415400</v>
          </cell>
          <cell r="D512" t="str">
            <v>经营援助费</v>
          </cell>
        </row>
        <row r="513">
          <cell r="A513" t="str">
            <v>415410</v>
          </cell>
          <cell r="D513" t="str">
            <v>经营援助费-日本人工资及奖金</v>
          </cell>
        </row>
        <row r="514">
          <cell r="A514" t="str">
            <v>415420</v>
          </cell>
          <cell r="D514" t="str">
            <v>经营援助费-其他</v>
          </cell>
        </row>
        <row r="515">
          <cell r="A515" t="str">
            <v>415500</v>
          </cell>
          <cell r="D515" t="str">
            <v>顾问费</v>
          </cell>
        </row>
        <row r="516">
          <cell r="A516" t="str">
            <v>415600</v>
          </cell>
          <cell r="D516" t="str">
            <v>研究费</v>
          </cell>
        </row>
        <row r="517">
          <cell r="A517" t="str">
            <v>415700</v>
          </cell>
          <cell r="D517" t="str">
            <v>特许权关联费用</v>
          </cell>
        </row>
        <row r="518">
          <cell r="A518" t="str">
            <v>415800</v>
          </cell>
          <cell r="D518" t="str">
            <v>坏帐准备提取额</v>
          </cell>
        </row>
        <row r="519">
          <cell r="A519" t="str">
            <v>415900</v>
          </cell>
          <cell r="D519" t="str">
            <v>坏帐损失</v>
          </cell>
        </row>
        <row r="520">
          <cell r="A520" t="str">
            <v>416000</v>
          </cell>
          <cell r="D520" t="str">
            <v>(中国不适用)n/a</v>
          </cell>
        </row>
        <row r="521">
          <cell r="A521" t="str">
            <v>416100</v>
          </cell>
          <cell r="D521" t="str">
            <v>事业税准备提取</v>
          </cell>
        </row>
        <row r="522">
          <cell r="A522" t="str">
            <v>416200</v>
          </cell>
          <cell r="D522" t="str">
            <v>事业场所税金准备提取</v>
          </cell>
        </row>
        <row r="523">
          <cell r="A523" t="str">
            <v>416300</v>
          </cell>
          <cell r="D523" t="str">
            <v>罚款支出</v>
          </cell>
        </row>
        <row r="524">
          <cell r="A524" t="str">
            <v>416400</v>
          </cell>
          <cell r="D524" t="str">
            <v>其他费用</v>
          </cell>
        </row>
        <row r="525">
          <cell r="A525" t="str">
            <v>416500</v>
          </cell>
          <cell r="D525" t="str">
            <v>外国劳工诸费用</v>
          </cell>
        </row>
        <row r="526">
          <cell r="A526" t="str">
            <v>416600</v>
          </cell>
          <cell r="D526" t="str">
            <v>一般运输费用</v>
          </cell>
        </row>
        <row r="527">
          <cell r="A527" t="str">
            <v>420700</v>
          </cell>
          <cell r="D527" t="str">
            <v>董事报酬</v>
          </cell>
        </row>
        <row r="528">
          <cell r="A528" t="str">
            <v>424410</v>
          </cell>
          <cell r="D528" t="str">
            <v>支付手续费 - 翻译费 .制图费</v>
          </cell>
        </row>
        <row r="529">
          <cell r="A529" t="str">
            <v>424700</v>
          </cell>
          <cell r="D529" t="str">
            <v>租赁费</v>
          </cell>
        </row>
        <row r="530">
          <cell r="A530" t="str">
            <v>424800</v>
          </cell>
          <cell r="D530" t="str">
            <v>租金</v>
          </cell>
        </row>
        <row r="531">
          <cell r="A531" t="str">
            <v>425400</v>
          </cell>
          <cell r="D531" t="str">
            <v>经营援助费</v>
          </cell>
        </row>
        <row r="532">
          <cell r="A532" t="str">
            <v>425420</v>
          </cell>
          <cell r="D532" t="str">
            <v>经营援助费-其他</v>
          </cell>
        </row>
        <row r="533">
          <cell r="A533" t="str">
            <v>426300</v>
          </cell>
          <cell r="D533" t="str">
            <v>罚款支出</v>
          </cell>
        </row>
        <row r="534">
          <cell r="A534" t="str">
            <v>430100</v>
          </cell>
          <cell r="D534" t="str">
            <v>工资及附加费</v>
          </cell>
        </row>
        <row r="535">
          <cell r="A535" t="str">
            <v>430110</v>
          </cell>
          <cell r="D535" t="str">
            <v>工资及附加费-当地职工</v>
          </cell>
        </row>
        <row r="536">
          <cell r="A536" t="str">
            <v>430120</v>
          </cell>
          <cell r="D536" t="str">
            <v>工资及附加费-日本人职工</v>
          </cell>
        </row>
        <row r="537">
          <cell r="A537" t="str">
            <v>430200</v>
          </cell>
          <cell r="D537" t="str">
            <v>其他工资性支出</v>
          </cell>
        </row>
        <row r="538">
          <cell r="A538" t="str">
            <v>430300</v>
          </cell>
          <cell r="D538" t="str">
            <v>奖金</v>
          </cell>
        </row>
        <row r="539">
          <cell r="A539" t="str">
            <v>430310</v>
          </cell>
          <cell r="D539" t="str">
            <v>奖金-当地职工</v>
          </cell>
        </row>
        <row r="540">
          <cell r="A540" t="str">
            <v>430320</v>
          </cell>
          <cell r="D540" t="str">
            <v>奖金-日本人职工</v>
          </cell>
        </row>
        <row r="541">
          <cell r="A541" t="str">
            <v>430400</v>
          </cell>
          <cell r="D541" t="str">
            <v>奖金提取</v>
          </cell>
        </row>
        <row r="542">
          <cell r="A542" t="str">
            <v>430500</v>
          </cell>
          <cell r="D542" t="str">
            <v>退职金</v>
          </cell>
        </row>
        <row r="543">
          <cell r="A543" t="str">
            <v>430600</v>
          </cell>
          <cell r="D543" t="str">
            <v>退职金提取</v>
          </cell>
        </row>
        <row r="544">
          <cell r="A544" t="str">
            <v>430700</v>
          </cell>
          <cell r="D544" t="str">
            <v>董事报酬</v>
          </cell>
        </row>
        <row r="545">
          <cell r="A545" t="str">
            <v>430800</v>
          </cell>
          <cell r="D545" t="str">
            <v>董事退职金</v>
          </cell>
        </row>
        <row r="546">
          <cell r="A546" t="str">
            <v>430900</v>
          </cell>
          <cell r="D546" t="str">
            <v>(中国不适用)n/a</v>
          </cell>
        </row>
        <row r="547">
          <cell r="A547" t="str">
            <v>431000</v>
          </cell>
          <cell r="D547" t="str">
            <v>法定福利费</v>
          </cell>
        </row>
        <row r="548">
          <cell r="A548" t="str">
            <v>431100</v>
          </cell>
          <cell r="D548" t="str">
            <v>福利费</v>
          </cell>
        </row>
        <row r="549">
          <cell r="A549" t="str">
            <v>431200</v>
          </cell>
          <cell r="D549" t="str">
            <v>培训费</v>
          </cell>
        </row>
        <row r="550">
          <cell r="A550" t="str">
            <v>431300</v>
          </cell>
          <cell r="D550" t="str">
            <v>招聘费</v>
          </cell>
        </row>
        <row r="551">
          <cell r="A551" t="str">
            <v>431400</v>
          </cell>
          <cell r="D551" t="str">
            <v>劳务管理费</v>
          </cell>
        </row>
        <row r="552">
          <cell r="A552" t="str">
            <v>431600</v>
          </cell>
          <cell r="D552" t="str">
            <v>退职付给准备金提取</v>
          </cell>
        </row>
        <row r="553">
          <cell r="A553" t="str">
            <v>431990</v>
          </cell>
          <cell r="D553" t="str">
            <v>劳务费小计</v>
          </cell>
        </row>
        <row r="554">
          <cell r="A554" t="str">
            <v>432100</v>
          </cell>
          <cell r="D554" t="str">
            <v>销售手续费</v>
          </cell>
        </row>
        <row r="555">
          <cell r="A555" t="str">
            <v>432200</v>
          </cell>
          <cell r="D555" t="str">
            <v>邮送专递费用</v>
          </cell>
        </row>
        <row r="556">
          <cell r="A556" t="str">
            <v>432300</v>
          </cell>
          <cell r="D556" t="str">
            <v>船运费用</v>
          </cell>
        </row>
        <row r="557">
          <cell r="A557" t="str">
            <v>432400</v>
          </cell>
          <cell r="D557" t="str">
            <v>样品费用</v>
          </cell>
        </row>
        <row r="558">
          <cell r="A558" t="str">
            <v>432500</v>
          </cell>
          <cell r="D558" t="str">
            <v>广告费用</v>
          </cell>
        </row>
        <row r="559">
          <cell r="A559" t="str">
            <v>432600</v>
          </cell>
          <cell r="D559" t="str">
            <v>交际费用</v>
          </cell>
        </row>
        <row r="560">
          <cell r="A560" t="str">
            <v>432700</v>
          </cell>
          <cell r="D560" t="str">
            <v>会议费用</v>
          </cell>
        </row>
        <row r="561">
          <cell r="A561" t="str">
            <v>432800</v>
          </cell>
          <cell r="D561" t="str">
            <v>捐赠</v>
          </cell>
        </row>
        <row r="562">
          <cell r="A562" t="str">
            <v>432900</v>
          </cell>
          <cell r="D562" t="str">
            <v>电费</v>
          </cell>
        </row>
        <row r="563">
          <cell r="A563" t="str">
            <v>433000</v>
          </cell>
          <cell r="D563" t="str">
            <v>煤气自来水费用</v>
          </cell>
        </row>
        <row r="564">
          <cell r="A564" t="str">
            <v>433100</v>
          </cell>
          <cell r="D564" t="str">
            <v>燃料费</v>
          </cell>
        </row>
        <row r="565">
          <cell r="A565" t="str">
            <v>433200</v>
          </cell>
          <cell r="D565" t="str">
            <v>差旅及交通费</v>
          </cell>
        </row>
        <row r="566">
          <cell r="A566" t="str">
            <v>433300</v>
          </cell>
          <cell r="D566" t="str">
            <v>通信费</v>
          </cell>
        </row>
        <row r="567">
          <cell r="A567" t="str">
            <v>433400</v>
          </cell>
          <cell r="D567" t="str">
            <v>保险费</v>
          </cell>
        </row>
        <row r="568">
          <cell r="A568" t="str">
            <v>433500</v>
          </cell>
          <cell r="D568" t="str">
            <v>消耗品费</v>
          </cell>
        </row>
        <row r="569">
          <cell r="A569" t="str">
            <v>433600</v>
          </cell>
          <cell r="D569" t="str">
            <v>低值易耗品费费</v>
          </cell>
        </row>
        <row r="570">
          <cell r="A570" t="str">
            <v>433700</v>
          </cell>
          <cell r="D570" t="str">
            <v>模具费</v>
          </cell>
        </row>
        <row r="571">
          <cell r="A571" t="str">
            <v>433800</v>
          </cell>
          <cell r="D571" t="str">
            <v>自制消耗品费用</v>
          </cell>
        </row>
        <row r="572">
          <cell r="A572" t="str">
            <v>433900</v>
          </cell>
          <cell r="D572" t="str">
            <v>修理费</v>
          </cell>
        </row>
        <row r="573">
          <cell r="A573" t="str">
            <v>434000</v>
          </cell>
          <cell r="D573" t="str">
            <v>税金</v>
          </cell>
        </row>
        <row r="574">
          <cell r="A574" t="str">
            <v>434100</v>
          </cell>
          <cell r="D574" t="str">
            <v>折旧费用</v>
          </cell>
        </row>
        <row r="575">
          <cell r="A575" t="str">
            <v>434200</v>
          </cell>
          <cell r="D575" t="str">
            <v>递延资产摊销费用</v>
          </cell>
        </row>
        <row r="576">
          <cell r="A576" t="str">
            <v>434300</v>
          </cell>
          <cell r="D576" t="str">
            <v>银行手续费</v>
          </cell>
        </row>
        <row r="577">
          <cell r="A577" t="str">
            <v>434400</v>
          </cell>
          <cell r="D577" t="str">
            <v>支付手续费</v>
          </cell>
        </row>
        <row r="578">
          <cell r="A578" t="str">
            <v>434500</v>
          </cell>
          <cell r="D578" t="str">
            <v>业务委托费</v>
          </cell>
        </row>
        <row r="579">
          <cell r="A579" t="str">
            <v>434600</v>
          </cell>
          <cell r="D579" t="str">
            <v>审计费用</v>
          </cell>
        </row>
        <row r="580">
          <cell r="A580" t="str">
            <v>434700</v>
          </cell>
          <cell r="D580" t="str">
            <v>租赁费用</v>
          </cell>
        </row>
        <row r="581">
          <cell r="A581" t="str">
            <v>434800</v>
          </cell>
          <cell r="D581" t="str">
            <v>租金</v>
          </cell>
        </row>
        <row r="582">
          <cell r="A582" t="str">
            <v>434900</v>
          </cell>
          <cell r="D582" t="str">
            <v>书报费</v>
          </cell>
        </row>
        <row r="583">
          <cell r="A583" t="str">
            <v>435000</v>
          </cell>
          <cell r="D583" t="str">
            <v>会费</v>
          </cell>
        </row>
        <row r="584">
          <cell r="A584" t="str">
            <v>435100</v>
          </cell>
          <cell r="D584" t="str">
            <v>工会经费</v>
          </cell>
        </row>
        <row r="585">
          <cell r="A585" t="str">
            <v>435200</v>
          </cell>
          <cell r="D585" t="str">
            <v>委托加工费</v>
          </cell>
        </row>
        <row r="586">
          <cell r="A586" t="str">
            <v>435300</v>
          </cell>
          <cell r="D586" t="str">
            <v>技术援助费</v>
          </cell>
        </row>
        <row r="587">
          <cell r="A587" t="str">
            <v>435400</v>
          </cell>
          <cell r="D587" t="str">
            <v>经营援助费</v>
          </cell>
        </row>
        <row r="588">
          <cell r="A588" t="str">
            <v>435500</v>
          </cell>
          <cell r="D588" t="str">
            <v>顾问费</v>
          </cell>
        </row>
        <row r="589">
          <cell r="A589" t="str">
            <v>435600</v>
          </cell>
          <cell r="D589" t="str">
            <v>研究费</v>
          </cell>
        </row>
        <row r="590">
          <cell r="A590" t="str">
            <v>435700</v>
          </cell>
          <cell r="D590" t="str">
            <v>特许权关联费用</v>
          </cell>
        </row>
        <row r="591">
          <cell r="A591" t="str">
            <v>435800</v>
          </cell>
          <cell r="D591" t="str">
            <v>坏帐准备提取额</v>
          </cell>
        </row>
        <row r="592">
          <cell r="A592" t="str">
            <v>435900</v>
          </cell>
          <cell r="D592" t="str">
            <v>坏帐损失</v>
          </cell>
        </row>
        <row r="593">
          <cell r="A593" t="str">
            <v>436000</v>
          </cell>
          <cell r="D593" t="str">
            <v>(中国不适用)n/a</v>
          </cell>
        </row>
        <row r="594">
          <cell r="A594" t="str">
            <v>436100</v>
          </cell>
          <cell r="D594" t="str">
            <v>事业税准备提取</v>
          </cell>
        </row>
        <row r="595">
          <cell r="A595" t="str">
            <v>436200</v>
          </cell>
          <cell r="D595" t="str">
            <v>事业场所税金准备提取</v>
          </cell>
        </row>
        <row r="596">
          <cell r="A596" t="str">
            <v>436300</v>
          </cell>
          <cell r="D596" t="str">
            <v>罚款支出</v>
          </cell>
        </row>
        <row r="597">
          <cell r="A597" t="str">
            <v>436400</v>
          </cell>
          <cell r="D597" t="str">
            <v>其他费用</v>
          </cell>
        </row>
        <row r="598">
          <cell r="A598" t="str">
            <v>436500</v>
          </cell>
          <cell r="D598" t="str">
            <v>外国劳工诸费用</v>
          </cell>
        </row>
        <row r="599">
          <cell r="A599" t="str">
            <v>436600</v>
          </cell>
          <cell r="D599" t="str">
            <v>一般运输费用</v>
          </cell>
        </row>
        <row r="600">
          <cell r="A600" t="str">
            <v>436990</v>
          </cell>
          <cell r="D600" t="str">
            <v>经费小计</v>
          </cell>
        </row>
        <row r="601">
          <cell r="A601" t="str">
            <v>437990</v>
          </cell>
          <cell r="D601" t="str">
            <v>合计</v>
          </cell>
        </row>
        <row r="602">
          <cell r="A602" t="str">
            <v>450100</v>
          </cell>
          <cell r="D602" t="str">
            <v>直接工资及附加费</v>
          </cell>
        </row>
        <row r="603">
          <cell r="A603" t="str">
            <v>450200</v>
          </cell>
          <cell r="D603" t="str">
            <v>直接工资性其他支出</v>
          </cell>
        </row>
        <row r="604">
          <cell r="A604" t="str">
            <v>450300</v>
          </cell>
          <cell r="D604" t="str">
            <v>直接奖金</v>
          </cell>
        </row>
        <row r="605">
          <cell r="A605" t="str">
            <v>450400</v>
          </cell>
          <cell r="D605" t="str">
            <v>直接奖金提取</v>
          </cell>
        </row>
        <row r="606">
          <cell r="A606" t="str">
            <v>450500</v>
          </cell>
          <cell r="D606" t="str">
            <v>直接退职金</v>
          </cell>
        </row>
        <row r="607">
          <cell r="A607" t="str">
            <v>450600</v>
          </cell>
          <cell r="D607" t="str">
            <v>直接退职金提取</v>
          </cell>
        </row>
        <row r="608">
          <cell r="A608" t="str">
            <v>450900</v>
          </cell>
          <cell r="D608" t="str">
            <v>(中国不适用)n/a</v>
          </cell>
        </row>
        <row r="609">
          <cell r="A609" t="str">
            <v>451000</v>
          </cell>
          <cell r="D609" t="str">
            <v>直接法定福利费</v>
          </cell>
        </row>
        <row r="610">
          <cell r="A610" t="str">
            <v>451100</v>
          </cell>
          <cell r="D610" t="str">
            <v>直接福利费</v>
          </cell>
        </row>
        <row r="611">
          <cell r="A611" t="str">
            <v>451200</v>
          </cell>
          <cell r="D611" t="str">
            <v>直接培训费</v>
          </cell>
        </row>
        <row r="612">
          <cell r="A612" t="str">
            <v>451400</v>
          </cell>
          <cell r="D612" t="str">
            <v>直接劳务管理费用</v>
          </cell>
        </row>
        <row r="613">
          <cell r="A613" t="str">
            <v>451500</v>
          </cell>
          <cell r="D613" t="str">
            <v>(中国不适用)n/a</v>
          </cell>
        </row>
        <row r="614">
          <cell r="A614" t="str">
            <v>451600</v>
          </cell>
          <cell r="D614" t="str">
            <v>直接退职付给准备金提取</v>
          </cell>
        </row>
        <row r="615">
          <cell r="A615" t="str">
            <v>451990</v>
          </cell>
          <cell r="D615" t="str">
            <v>直接劳务费小计</v>
          </cell>
        </row>
        <row r="616">
          <cell r="A616" t="str">
            <v>460100</v>
          </cell>
          <cell r="D616" t="str">
            <v>工资及附加费</v>
          </cell>
        </row>
        <row r="617">
          <cell r="A617" t="str">
            <v>460110</v>
          </cell>
          <cell r="D617" t="str">
            <v>工资及附加费-当地职工</v>
          </cell>
        </row>
        <row r="618">
          <cell r="A618" t="str">
            <v>460120</v>
          </cell>
          <cell r="D618" t="str">
            <v>工资及附加费-日本人职工</v>
          </cell>
        </row>
        <row r="619">
          <cell r="A619" t="str">
            <v>460200</v>
          </cell>
          <cell r="D619" t="str">
            <v>其他工资性支出</v>
          </cell>
        </row>
        <row r="620">
          <cell r="A620" t="str">
            <v>460300</v>
          </cell>
          <cell r="D620" t="str">
            <v>奖金</v>
          </cell>
        </row>
        <row r="621">
          <cell r="A621" t="str">
            <v>460310</v>
          </cell>
          <cell r="D621" t="str">
            <v>奖金-当地职工</v>
          </cell>
        </row>
        <row r="622">
          <cell r="A622" t="str">
            <v>460320</v>
          </cell>
          <cell r="D622" t="str">
            <v>奖金-日本人职工</v>
          </cell>
        </row>
        <row r="623">
          <cell r="A623" t="str">
            <v>460400</v>
          </cell>
          <cell r="D623" t="str">
            <v>奖金提取</v>
          </cell>
        </row>
        <row r="624">
          <cell r="A624" t="str">
            <v>460500</v>
          </cell>
          <cell r="D624" t="str">
            <v>退职金</v>
          </cell>
        </row>
        <row r="625">
          <cell r="A625" t="str">
            <v>460600</v>
          </cell>
          <cell r="D625" t="str">
            <v>退职金提取</v>
          </cell>
        </row>
        <row r="626">
          <cell r="A626" t="str">
            <v>460700</v>
          </cell>
          <cell r="D626" t="str">
            <v>董事报酬</v>
          </cell>
        </row>
        <row r="627">
          <cell r="A627" t="str">
            <v>460800</v>
          </cell>
          <cell r="D627" t="str">
            <v>董事退职金</v>
          </cell>
        </row>
        <row r="628">
          <cell r="A628" t="str">
            <v>460900</v>
          </cell>
          <cell r="D628" t="str">
            <v>(中国不适用)n/a</v>
          </cell>
        </row>
        <row r="629">
          <cell r="A629" t="str">
            <v>461000</v>
          </cell>
          <cell r="D629" t="str">
            <v>法定福利费</v>
          </cell>
        </row>
        <row r="630">
          <cell r="A630" t="str">
            <v>461100</v>
          </cell>
          <cell r="D630" t="str">
            <v>福利费</v>
          </cell>
        </row>
        <row r="631">
          <cell r="A631" t="str">
            <v>461200</v>
          </cell>
          <cell r="D631" t="str">
            <v>培训费</v>
          </cell>
        </row>
        <row r="632">
          <cell r="A632" t="str">
            <v>461300</v>
          </cell>
          <cell r="D632" t="str">
            <v>招聘费</v>
          </cell>
        </row>
        <row r="633">
          <cell r="A633" t="str">
            <v>461400</v>
          </cell>
          <cell r="D633" t="str">
            <v>劳务管理费用</v>
          </cell>
        </row>
        <row r="634">
          <cell r="A634" t="str">
            <v>461500</v>
          </cell>
          <cell r="D634" t="str">
            <v>(中国不适用)n/a</v>
          </cell>
        </row>
        <row r="635">
          <cell r="A635" t="str">
            <v>461600</v>
          </cell>
          <cell r="D635" t="str">
            <v>退职付给准备金提取</v>
          </cell>
        </row>
        <row r="636">
          <cell r="A636" t="str">
            <v>461990</v>
          </cell>
          <cell r="D636" t="str">
            <v>间接劳务费用小计</v>
          </cell>
        </row>
        <row r="637">
          <cell r="A637" t="str">
            <v>472100</v>
          </cell>
          <cell r="D637" t="str">
            <v>销售手续费</v>
          </cell>
        </row>
        <row r="638">
          <cell r="A638" t="str">
            <v>472200</v>
          </cell>
          <cell r="D638" t="str">
            <v>邮送专递费用</v>
          </cell>
        </row>
        <row r="639">
          <cell r="A639" t="str">
            <v>472300</v>
          </cell>
          <cell r="D639" t="str">
            <v>船运费用</v>
          </cell>
        </row>
        <row r="640">
          <cell r="A640" t="str">
            <v>472400</v>
          </cell>
          <cell r="D640" t="str">
            <v>样品费用</v>
          </cell>
        </row>
        <row r="641">
          <cell r="A641" t="str">
            <v>472500</v>
          </cell>
          <cell r="D641" t="str">
            <v>广告费用</v>
          </cell>
        </row>
        <row r="642">
          <cell r="A642" t="str">
            <v>472600</v>
          </cell>
          <cell r="D642" t="str">
            <v>交际费用</v>
          </cell>
        </row>
        <row r="643">
          <cell r="A643" t="str">
            <v>472700</v>
          </cell>
          <cell r="D643" t="str">
            <v>会议费用</v>
          </cell>
        </row>
        <row r="644">
          <cell r="A644" t="str">
            <v>472800</v>
          </cell>
          <cell r="D644" t="str">
            <v>捐赠</v>
          </cell>
        </row>
        <row r="645">
          <cell r="A645" t="str">
            <v>472900</v>
          </cell>
          <cell r="D645" t="str">
            <v>电费</v>
          </cell>
        </row>
        <row r="646">
          <cell r="A646" t="str">
            <v>473000</v>
          </cell>
          <cell r="D646" t="str">
            <v>煤气自来水费用</v>
          </cell>
        </row>
        <row r="647">
          <cell r="A647" t="str">
            <v>473100</v>
          </cell>
          <cell r="D647" t="str">
            <v>燃料费</v>
          </cell>
        </row>
        <row r="648">
          <cell r="A648" t="str">
            <v>473200</v>
          </cell>
          <cell r="D648" t="str">
            <v>差旅及交通费</v>
          </cell>
        </row>
        <row r="649">
          <cell r="A649" t="str">
            <v>473300</v>
          </cell>
          <cell r="D649" t="str">
            <v>通信费</v>
          </cell>
        </row>
        <row r="650">
          <cell r="A650" t="str">
            <v>473400</v>
          </cell>
          <cell r="D650" t="str">
            <v>保险费</v>
          </cell>
        </row>
        <row r="651">
          <cell r="A651" t="str">
            <v>473500</v>
          </cell>
          <cell r="D651" t="str">
            <v>消耗品费</v>
          </cell>
        </row>
        <row r="652">
          <cell r="A652" t="str">
            <v>473600</v>
          </cell>
          <cell r="D652" t="str">
            <v>低值易耗品费费</v>
          </cell>
        </row>
        <row r="653">
          <cell r="A653" t="str">
            <v>473700</v>
          </cell>
          <cell r="D653" t="str">
            <v>模具费</v>
          </cell>
        </row>
        <row r="654">
          <cell r="A654" t="str">
            <v>473800</v>
          </cell>
          <cell r="D654" t="str">
            <v>自制消耗品费用</v>
          </cell>
        </row>
        <row r="655">
          <cell r="A655" t="str">
            <v>473900</v>
          </cell>
          <cell r="D655" t="str">
            <v>修理费</v>
          </cell>
        </row>
        <row r="656">
          <cell r="A656" t="str">
            <v>474000</v>
          </cell>
          <cell r="D656" t="str">
            <v>税金</v>
          </cell>
        </row>
        <row r="657">
          <cell r="A657" t="str">
            <v>474100</v>
          </cell>
          <cell r="D657" t="str">
            <v>折旧费用</v>
          </cell>
        </row>
        <row r="658">
          <cell r="A658" t="str">
            <v>474200</v>
          </cell>
          <cell r="D658" t="str">
            <v>递延资产摊销费用</v>
          </cell>
        </row>
        <row r="659">
          <cell r="A659" t="str">
            <v>474300</v>
          </cell>
          <cell r="D659" t="str">
            <v>银行手续费</v>
          </cell>
        </row>
        <row r="660">
          <cell r="A660" t="str">
            <v>474400</v>
          </cell>
          <cell r="D660" t="str">
            <v>支付手续费</v>
          </cell>
        </row>
        <row r="661">
          <cell r="A661" t="str">
            <v>474410</v>
          </cell>
          <cell r="D661" t="str">
            <v>支付手续费 - 翻译费 .制图费</v>
          </cell>
        </row>
        <row r="662">
          <cell r="A662" t="str">
            <v>474420</v>
          </cell>
          <cell r="D662" t="str">
            <v>支付手续费 - 其他</v>
          </cell>
        </row>
        <row r="663">
          <cell r="A663" t="str">
            <v>474500</v>
          </cell>
          <cell r="D663" t="str">
            <v>业务委托费</v>
          </cell>
        </row>
        <row r="664">
          <cell r="A664" t="str">
            <v>474600</v>
          </cell>
          <cell r="D664" t="str">
            <v>审计费用</v>
          </cell>
        </row>
        <row r="665">
          <cell r="A665" t="str">
            <v>474700</v>
          </cell>
          <cell r="D665" t="str">
            <v>租赁费用</v>
          </cell>
        </row>
        <row r="666">
          <cell r="A666" t="str">
            <v>474800</v>
          </cell>
          <cell r="D666" t="str">
            <v>租金</v>
          </cell>
        </row>
        <row r="667">
          <cell r="A667" t="str">
            <v>474900</v>
          </cell>
          <cell r="D667" t="str">
            <v>书报费</v>
          </cell>
        </row>
        <row r="668">
          <cell r="A668" t="str">
            <v>475000</v>
          </cell>
          <cell r="D668" t="str">
            <v>会费</v>
          </cell>
        </row>
        <row r="669">
          <cell r="A669" t="str">
            <v>475100</v>
          </cell>
          <cell r="D669" t="str">
            <v>工会经费</v>
          </cell>
        </row>
        <row r="670">
          <cell r="A670" t="str">
            <v>475200</v>
          </cell>
          <cell r="D670" t="str">
            <v>委托加工费</v>
          </cell>
        </row>
        <row r="671">
          <cell r="A671" t="str">
            <v>475300</v>
          </cell>
          <cell r="D671" t="str">
            <v>技术援助费</v>
          </cell>
        </row>
        <row r="672">
          <cell r="A672" t="str">
            <v>475400</v>
          </cell>
          <cell r="D672" t="str">
            <v>经营援助费</v>
          </cell>
        </row>
        <row r="673">
          <cell r="A673" t="str">
            <v>475410</v>
          </cell>
          <cell r="D673" t="str">
            <v>经营援助费-日本人工资及奖金</v>
          </cell>
        </row>
        <row r="674">
          <cell r="A674" t="str">
            <v>475420</v>
          </cell>
          <cell r="D674" t="str">
            <v>经营援助费-其他</v>
          </cell>
        </row>
        <row r="675">
          <cell r="A675" t="str">
            <v>475500</v>
          </cell>
          <cell r="D675" t="str">
            <v>顾问费</v>
          </cell>
        </row>
        <row r="676">
          <cell r="A676" t="str">
            <v>475600</v>
          </cell>
          <cell r="D676" t="str">
            <v>研究费</v>
          </cell>
        </row>
        <row r="677">
          <cell r="A677" t="str">
            <v>475700</v>
          </cell>
          <cell r="D677" t="str">
            <v>特许权关联费用</v>
          </cell>
        </row>
        <row r="678">
          <cell r="A678" t="str">
            <v>475800</v>
          </cell>
          <cell r="D678" t="str">
            <v>坏帐准备提取额</v>
          </cell>
        </row>
        <row r="679">
          <cell r="A679" t="str">
            <v>475900</v>
          </cell>
          <cell r="D679" t="str">
            <v>坏帐损失</v>
          </cell>
        </row>
        <row r="680">
          <cell r="A680" t="str">
            <v>476000</v>
          </cell>
          <cell r="D680" t="str">
            <v>(中国不适用)n/a</v>
          </cell>
        </row>
        <row r="681">
          <cell r="A681" t="str">
            <v>476100</v>
          </cell>
          <cell r="D681" t="str">
            <v>事业税准备提取</v>
          </cell>
        </row>
        <row r="682">
          <cell r="A682" t="str">
            <v>476200</v>
          </cell>
          <cell r="D682" t="str">
            <v>事业场所税金准备提取</v>
          </cell>
        </row>
        <row r="683">
          <cell r="A683" t="str">
            <v>476300</v>
          </cell>
          <cell r="D683" t="str">
            <v>罚款支出</v>
          </cell>
        </row>
        <row r="684">
          <cell r="A684" t="str">
            <v>476400</v>
          </cell>
          <cell r="D684" t="str">
            <v>其他费用</v>
          </cell>
        </row>
        <row r="685">
          <cell r="A685" t="str">
            <v>476500</v>
          </cell>
          <cell r="D685" t="str">
            <v>外国劳工诸费用</v>
          </cell>
        </row>
        <row r="686">
          <cell r="A686" t="str">
            <v>476600</v>
          </cell>
          <cell r="D686" t="str">
            <v>一般运输费用</v>
          </cell>
        </row>
        <row r="687">
          <cell r="A687" t="str">
            <v>476990</v>
          </cell>
          <cell r="D687" t="str">
            <v>经费小计</v>
          </cell>
        </row>
        <row r="688">
          <cell r="A688" t="str">
            <v>521000</v>
          </cell>
          <cell r="D688" t="str">
            <v>销售成本</v>
          </cell>
        </row>
        <row r="689">
          <cell r="A689" t="str">
            <v>521100</v>
          </cell>
          <cell r="D689" t="str">
            <v>存货期初盘存</v>
          </cell>
        </row>
        <row r="690">
          <cell r="A690" t="str">
            <v>521200</v>
          </cell>
          <cell r="D690" t="str">
            <v>存货期初调整</v>
          </cell>
        </row>
        <row r="691">
          <cell r="A691" t="str">
            <v>521300</v>
          </cell>
          <cell r="D691" t="str">
            <v>当期产成品制造成本</v>
          </cell>
        </row>
        <row r="692">
          <cell r="A692" t="str">
            <v>521400</v>
          </cell>
          <cell r="D692" t="str">
            <v>当期产成品马达结转额</v>
          </cell>
        </row>
        <row r="693">
          <cell r="A693" t="str">
            <v>521500</v>
          </cell>
          <cell r="D693" t="str">
            <v>当期商品采购</v>
          </cell>
        </row>
        <row r="694">
          <cell r="A694" t="str">
            <v>521510</v>
          </cell>
          <cell r="D694" t="str">
            <v>当期进口费用</v>
          </cell>
        </row>
        <row r="695">
          <cell r="A695" t="str">
            <v>521600</v>
          </cell>
          <cell r="D695" t="str">
            <v>其他科目结转额</v>
          </cell>
        </row>
        <row r="696">
          <cell r="A696" t="str">
            <v>521610</v>
          </cell>
          <cell r="D696" t="str">
            <v>与其他科目轧抵额</v>
          </cell>
        </row>
        <row r="697">
          <cell r="A697" t="str">
            <v>521990</v>
          </cell>
          <cell r="D697" t="str">
            <v>小计</v>
          </cell>
        </row>
        <row r="698">
          <cell r="A698" t="str">
            <v>522100</v>
          </cell>
          <cell r="D698" t="str">
            <v>产成品部品投入额</v>
          </cell>
        </row>
        <row r="699">
          <cell r="A699" t="str">
            <v>522200</v>
          </cell>
          <cell r="D699" t="str">
            <v>其他科目结转额</v>
          </cell>
        </row>
        <row r="700">
          <cell r="A700" t="str">
            <v>522210</v>
          </cell>
          <cell r="D700" t="str">
            <v>与其他科目轧抵额</v>
          </cell>
        </row>
        <row r="701">
          <cell r="A701" t="str">
            <v>522300</v>
          </cell>
          <cell r="D701" t="str">
            <v>存货期末盘存</v>
          </cell>
        </row>
        <row r="702">
          <cell r="A702" t="str">
            <v>522400</v>
          </cell>
          <cell r="D702" t="str">
            <v>存货期末调整</v>
          </cell>
        </row>
        <row r="703">
          <cell r="A703" t="str">
            <v>522500</v>
          </cell>
          <cell r="D703" t="str">
            <v>产成品部品对外委托支给额</v>
          </cell>
        </row>
        <row r="704">
          <cell r="A704" t="str">
            <v>523100</v>
          </cell>
          <cell r="D704" t="str">
            <v>商品期初盘存</v>
          </cell>
        </row>
        <row r="705">
          <cell r="A705" t="str">
            <v>523200</v>
          </cell>
          <cell r="D705" t="str">
            <v>商品期初盘存调整</v>
          </cell>
        </row>
        <row r="706">
          <cell r="A706" t="str">
            <v>540000</v>
          </cell>
          <cell r="D706" t="str">
            <v>支援费</v>
          </cell>
        </row>
        <row r="707">
          <cell r="A707" t="str">
            <v>541000</v>
          </cell>
        </row>
        <row r="708">
          <cell r="A708" t="str">
            <v>500100</v>
          </cell>
          <cell r="D708" t="str">
            <v>资本金-期初</v>
          </cell>
        </row>
        <row r="709">
          <cell r="A709" t="str">
            <v>500226</v>
          </cell>
          <cell r="D709" t="str">
            <v>资本金-增加</v>
          </cell>
        </row>
        <row r="710">
          <cell r="A710" t="str">
            <v>500227</v>
          </cell>
          <cell r="D710" t="str">
            <v>资本金-可转换公司债的转换增资</v>
          </cell>
        </row>
        <row r="711">
          <cell r="A711" t="str">
            <v>500228</v>
          </cell>
          <cell r="D711" t="str">
            <v>资本金-资本公积的结转增资</v>
          </cell>
        </row>
        <row r="712">
          <cell r="A712" t="str">
            <v>500268</v>
          </cell>
          <cell r="D712" t="str">
            <v>资本金-其他增减</v>
          </cell>
        </row>
        <row r="713">
          <cell r="A713" t="str">
            <v>500310</v>
          </cell>
          <cell r="D713" t="str">
            <v>资本金-减少</v>
          </cell>
        </row>
        <row r="714">
          <cell r="A714" t="str">
            <v>1311000</v>
          </cell>
          <cell r="D714" t="str">
            <v>资本金-期末</v>
          </cell>
        </row>
        <row r="715">
          <cell r="A715" t="str">
            <v>530100</v>
          </cell>
          <cell r="D715" t="str">
            <v>库存股票-期初</v>
          </cell>
        </row>
        <row r="716">
          <cell r="A716" t="str">
            <v>530110</v>
          </cell>
          <cell r="D716" t="str">
            <v>库存股票-减少</v>
          </cell>
        </row>
        <row r="717">
          <cell r="A717" t="str">
            <v>530234</v>
          </cell>
          <cell r="D717" t="str">
            <v>库存股票-取得</v>
          </cell>
        </row>
        <row r="718">
          <cell r="A718" t="str">
            <v>530248</v>
          </cell>
          <cell r="D718" t="str">
            <v>库存股票-结转</v>
          </cell>
        </row>
        <row r="719">
          <cell r="A719" t="str">
            <v>530310</v>
          </cell>
          <cell r="D719" t="str">
            <v>库存股票-出售</v>
          </cell>
        </row>
        <row r="720">
          <cell r="A720" t="str">
            <v>530500</v>
          </cell>
          <cell r="D720" t="str">
            <v>库存股票-期末</v>
          </cell>
        </row>
        <row r="721">
          <cell r="A721" t="str">
            <v>550000</v>
          </cell>
          <cell r="D721" t="str">
            <v>未分配盈余-期初余额</v>
          </cell>
        </row>
        <row r="722">
          <cell r="A722" t="str">
            <v>550100</v>
          </cell>
          <cell r="D722" t="str">
            <v>未分配盈余-期初增加</v>
          </cell>
        </row>
        <row r="723">
          <cell r="A723" t="str">
            <v>550200</v>
          </cell>
          <cell r="D723" t="str">
            <v>未分配盈余-以前年度税金影响调整</v>
          </cell>
        </row>
        <row r="724">
          <cell r="A724" t="str">
            <v>551000</v>
          </cell>
          <cell r="D724" t="str">
            <v>未分配盈余-减少额</v>
          </cell>
        </row>
        <row r="725">
          <cell r="A725" t="str">
            <v>552000</v>
          </cell>
          <cell r="D725" t="str">
            <v>未分配盈余-提取盈余公积</v>
          </cell>
        </row>
        <row r="726">
          <cell r="A726" t="str">
            <v>552100</v>
          </cell>
          <cell r="D726" t="str">
            <v>未分配盈余-提取盈余公积-期末</v>
          </cell>
        </row>
        <row r="727">
          <cell r="A727" t="str">
            <v>552200</v>
          </cell>
          <cell r="D727" t="str">
            <v>未分配盈余-提取盈余公积-期中部分</v>
          </cell>
        </row>
        <row r="728">
          <cell r="A728" t="str">
            <v>553000</v>
          </cell>
          <cell r="D728" t="str">
            <v>未分配盈余-股利</v>
          </cell>
        </row>
        <row r="729">
          <cell r="A729" t="str">
            <v>553100</v>
          </cell>
          <cell r="D729" t="str">
            <v>未分配盈余-股利-期末</v>
          </cell>
        </row>
        <row r="730">
          <cell r="A730" t="str">
            <v>553200</v>
          </cell>
          <cell r="D730" t="str">
            <v>未分配盈余-股利-期中部分</v>
          </cell>
        </row>
        <row r="731">
          <cell r="A731" t="str">
            <v>555000</v>
          </cell>
          <cell r="D731" t="str">
            <v>未分配盈余-储备基金</v>
          </cell>
        </row>
        <row r="732">
          <cell r="A732" t="str">
            <v>555300</v>
          </cell>
          <cell r="D732" t="str">
            <v>以前年度收益</v>
          </cell>
        </row>
        <row r="733">
          <cell r="A733" t="str">
            <v>555400</v>
          </cell>
          <cell r="D733" t="str">
            <v>以前年度损失</v>
          </cell>
        </row>
        <row r="734">
          <cell r="A734" t="str">
            <v>555500</v>
          </cell>
          <cell r="D734" t="str">
            <v>未分配盈余-库存股票消滅</v>
          </cell>
        </row>
        <row r="735">
          <cell r="A735" t="str">
            <v>555600</v>
          </cell>
          <cell r="D735" t="str">
            <v>未分配盈余-其他-增加</v>
          </cell>
        </row>
        <row r="736">
          <cell r="A736" t="str">
            <v>555700</v>
          </cell>
          <cell r="D736" t="str">
            <v>未分配盈余-其他-减少</v>
          </cell>
        </row>
        <row r="737">
          <cell r="A737" t="str">
            <v>556200</v>
          </cell>
          <cell r="D737" t="str">
            <v>未分配盈余-当期净利润</v>
          </cell>
        </row>
        <row r="738">
          <cell r="A738" t="str">
            <v>5563000</v>
          </cell>
          <cell r="D738" t="str">
            <v>未分配盈余-期末余额</v>
          </cell>
        </row>
        <row r="739">
          <cell r="A739" t="str">
            <v>599101</v>
          </cell>
          <cell r="D739" t="str">
            <v>资本公积-期初</v>
          </cell>
        </row>
        <row r="740">
          <cell r="A740" t="str">
            <v>599102</v>
          </cell>
          <cell r="D740" t="str">
            <v>资本公积-增加</v>
          </cell>
        </row>
        <row r="741">
          <cell r="A741" t="str">
            <v>599103</v>
          </cell>
          <cell r="D741" t="str">
            <v>资本公积-减少</v>
          </cell>
        </row>
        <row r="742">
          <cell r="A742" t="str">
            <v>1312100</v>
          </cell>
          <cell r="D742" t="str">
            <v>资本公积-期末</v>
          </cell>
        </row>
        <row r="743">
          <cell r="A743" t="str">
            <v>599201</v>
          </cell>
          <cell r="D743" t="str">
            <v>其他资本公积-期初</v>
          </cell>
        </row>
        <row r="744">
          <cell r="A744" t="str">
            <v>599202</v>
          </cell>
          <cell r="D744" t="str">
            <v>其他资本公积-增加</v>
          </cell>
        </row>
        <row r="745">
          <cell r="A745" t="str">
            <v>599203</v>
          </cell>
          <cell r="D745" t="str">
            <v>其他资本公积-减少</v>
          </cell>
        </row>
        <row r="746">
          <cell r="A746" t="str">
            <v>1312200</v>
          </cell>
          <cell r="D746" t="str">
            <v>其他资本公积-期末</v>
          </cell>
        </row>
        <row r="747">
          <cell r="A747" t="str">
            <v>599301</v>
          </cell>
          <cell r="D747" t="str">
            <v>库存股票-期初</v>
          </cell>
        </row>
        <row r="748">
          <cell r="A748" t="str">
            <v>599302</v>
          </cell>
          <cell r="D748" t="str">
            <v>库存股票-取得</v>
          </cell>
        </row>
        <row r="749">
          <cell r="A749" t="str">
            <v>599303</v>
          </cell>
          <cell r="D749" t="str">
            <v>库存股票-消滅</v>
          </cell>
        </row>
        <row r="750">
          <cell r="A750" t="str">
            <v>1333000</v>
          </cell>
          <cell r="D750" t="str">
            <v>库存股票-期末</v>
          </cell>
        </row>
        <row r="751">
          <cell r="A751" t="str">
            <v>599401</v>
          </cell>
          <cell r="D751" t="str">
            <v>其他有价证券估价差额-期初</v>
          </cell>
        </row>
        <row r="752">
          <cell r="A752" t="str">
            <v>599402</v>
          </cell>
          <cell r="D752" t="str">
            <v>其他有价证券估价差额-增加</v>
          </cell>
        </row>
        <row r="753">
          <cell r="A753" t="str">
            <v>599403</v>
          </cell>
          <cell r="D753" t="str">
            <v>其他有价证券估价差额-减少</v>
          </cell>
        </row>
        <row r="754">
          <cell r="A754" t="str">
            <v>132100</v>
          </cell>
          <cell r="D754" t="str">
            <v>其他有价证券估价差额-期末</v>
          </cell>
        </row>
        <row r="755">
          <cell r="A755" t="str">
            <v>1313100</v>
          </cell>
          <cell r="D755" t="str">
            <v>盈余公积-期末</v>
          </cell>
        </row>
        <row r="756">
          <cell r="A756" t="str">
            <v>shihonkin</v>
          </cell>
          <cell r="D756" t="str">
            <v>＜资本金＞</v>
          </cell>
        </row>
        <row r="757">
          <cell r="A757" t="str">
            <v>shihonjyunbi</v>
          </cell>
          <cell r="D757" t="str">
            <v>＜资本公积＞</v>
          </cell>
        </row>
        <row r="758">
          <cell r="A758" t="str">
            <v>sonotashihon</v>
          </cell>
          <cell r="D758" t="str">
            <v>＜其他资本公积＞</v>
          </cell>
        </row>
        <row r="759">
          <cell r="A759" t="str">
            <v>jikokabu</v>
          </cell>
          <cell r="D759" t="str">
            <v>＜库存股票＞</v>
          </cell>
        </row>
        <row r="760">
          <cell r="A760" t="str">
            <v>sonotayuuka</v>
          </cell>
          <cell r="D760" t="str">
            <v>＜其他有价证券估价差额＞</v>
          </cell>
        </row>
        <row r="761">
          <cell r="A761" t="str">
            <v>riekijyunbi</v>
          </cell>
          <cell r="D761" t="str">
            <v>＜盈余公积＞</v>
          </cell>
        </row>
        <row r="762">
          <cell r="A762" t="str">
            <v>sonotajyouyo</v>
          </cell>
          <cell r="D762" t="str">
            <v>＜其他未分配盈余＞</v>
          </cell>
        </row>
        <row r="763">
          <cell r="A763" t="str">
            <v>zougensyousai</v>
          </cell>
          <cell r="D763" t="str">
            <v>＜未分配盈余-其他-增减详细＞</v>
          </cell>
        </row>
        <row r="764">
          <cell r="A764" t="str">
            <v>700000</v>
          </cell>
          <cell r="D764" t="str">
            <v>销售收入</v>
          </cell>
        </row>
        <row r="765">
          <cell r="A765" t="str">
            <v>703100</v>
          </cell>
          <cell r="D765" t="str">
            <v>MMK制</v>
          </cell>
        </row>
        <row r="766">
          <cell r="A766" t="str">
            <v>703200</v>
          </cell>
          <cell r="D766" t="str">
            <v>HKM制</v>
          </cell>
        </row>
        <row r="767">
          <cell r="A767" t="str">
            <v>703300</v>
          </cell>
          <cell r="D767" t="str">
            <v>TWM制</v>
          </cell>
        </row>
        <row r="768">
          <cell r="A768" t="str">
            <v>703400</v>
          </cell>
          <cell r="D768" t="str">
            <v>TKM制</v>
          </cell>
        </row>
        <row r="769">
          <cell r="A769" t="str">
            <v>703500</v>
          </cell>
          <cell r="D769" t="str">
            <v>DLM制</v>
          </cell>
        </row>
        <row r="770">
          <cell r="A770" t="str">
            <v>703600</v>
          </cell>
          <cell r="D770" t="str">
            <v>MLM制</v>
          </cell>
        </row>
        <row r="771">
          <cell r="A771" t="str">
            <v>703700</v>
          </cell>
          <cell r="D771" t="str">
            <v>JSM制</v>
          </cell>
        </row>
        <row r="772">
          <cell r="A772" t="str">
            <v>703800</v>
          </cell>
          <cell r="D772" t="str">
            <v>VNM制</v>
          </cell>
        </row>
        <row r="773">
          <cell r="A773" t="str">
            <v>703900</v>
          </cell>
          <cell r="D773" t="str">
            <v>DWM制</v>
          </cell>
        </row>
        <row r="774">
          <cell r="A774" t="str">
            <v>703950</v>
          </cell>
          <cell r="D774" t="str">
            <v>VDM制</v>
          </cell>
        </row>
        <row r="775">
          <cell r="A775" t="str">
            <v>703250</v>
          </cell>
          <cell r="D775" t="str">
            <v>DGM制</v>
          </cell>
        </row>
        <row r="776">
          <cell r="A776" t="str">
            <v>703260</v>
          </cell>
          <cell r="D776" t="str">
            <v>YTM制</v>
          </cell>
        </row>
        <row r="777">
          <cell r="A777" t="str">
            <v>703270</v>
          </cell>
          <cell r="D777" t="str">
            <v>DDM制</v>
          </cell>
        </row>
        <row r="778">
          <cell r="A778" t="str">
            <v>703280</v>
          </cell>
          <cell r="D778" t="str">
            <v>JXM制</v>
          </cell>
        </row>
        <row r="779">
          <cell r="A779" t="str">
            <v>708000</v>
          </cell>
          <cell r="D779" t="str">
            <v>佣金收入(COMM)</v>
          </cell>
        </row>
        <row r="780">
          <cell r="A780" t="str">
            <v>709000</v>
          </cell>
          <cell r="D780" t="str">
            <v>技术援助收入(ROY)</v>
          </cell>
        </row>
        <row r="781">
          <cell r="A781" t="str">
            <v>720000</v>
          </cell>
          <cell r="D781" t="str">
            <v>采购</v>
          </cell>
        </row>
        <row r="782">
          <cell r="A782" t="str">
            <v>721000</v>
          </cell>
          <cell r="D782" t="str">
            <v>产成品销售成本</v>
          </cell>
        </row>
        <row r="783">
          <cell r="A783" t="str">
            <v>723000</v>
          </cell>
          <cell r="D783" t="str">
            <v>商品销售成本</v>
          </cell>
        </row>
        <row r="784">
          <cell r="A784" t="str">
            <v>725100</v>
          </cell>
          <cell r="D784" t="str">
            <v>MMK制</v>
          </cell>
        </row>
        <row r="785">
          <cell r="A785" t="str">
            <v>725200</v>
          </cell>
          <cell r="D785" t="str">
            <v>HKM制</v>
          </cell>
        </row>
        <row r="786">
          <cell r="A786" t="str">
            <v>725300</v>
          </cell>
          <cell r="D786" t="str">
            <v>TWM制</v>
          </cell>
        </row>
        <row r="787">
          <cell r="A787" t="str">
            <v>725400</v>
          </cell>
          <cell r="D787" t="str">
            <v>TKM制</v>
          </cell>
        </row>
        <row r="788">
          <cell r="A788" t="str">
            <v>725500</v>
          </cell>
          <cell r="D788" t="str">
            <v>DLM制</v>
          </cell>
        </row>
        <row r="789">
          <cell r="A789" t="str">
            <v>725600</v>
          </cell>
          <cell r="D789" t="str">
            <v>MLM制</v>
          </cell>
        </row>
        <row r="790">
          <cell r="A790" t="str">
            <v>725700</v>
          </cell>
          <cell r="D790" t="str">
            <v>JSM制</v>
          </cell>
        </row>
        <row r="791">
          <cell r="A791" t="str">
            <v>725800</v>
          </cell>
          <cell r="D791" t="str">
            <v>VNM制</v>
          </cell>
        </row>
        <row r="792">
          <cell r="A792" t="str">
            <v>725900</v>
          </cell>
          <cell r="D792" t="str">
            <v>DWM制</v>
          </cell>
        </row>
        <row r="793">
          <cell r="A793" t="str">
            <v>725950</v>
          </cell>
          <cell r="D793" t="str">
            <v>VDM制</v>
          </cell>
        </row>
        <row r="794">
          <cell r="A794" t="str">
            <v>725250</v>
          </cell>
          <cell r="D794" t="str">
            <v>DＧM制</v>
          </cell>
        </row>
        <row r="795">
          <cell r="A795" t="str">
            <v>725260</v>
          </cell>
          <cell r="D795" t="str">
            <v>ＹＴM制</v>
          </cell>
        </row>
        <row r="796">
          <cell r="A796" t="str">
            <v>725270</v>
          </cell>
          <cell r="D796" t="str">
            <v>DDM制</v>
          </cell>
        </row>
        <row r="797">
          <cell r="A797" t="str">
            <v>725280</v>
          </cell>
          <cell r="D797" t="str">
            <v>JXM制</v>
          </cell>
        </row>
        <row r="798">
          <cell r="A798" t="str">
            <v>726000</v>
          </cell>
          <cell r="D798" t="str">
            <v>半成品销售成本</v>
          </cell>
        </row>
        <row r="799">
          <cell r="A799" t="str">
            <v>727000</v>
          </cell>
          <cell r="D799" t="str">
            <v>材料销售成本</v>
          </cell>
        </row>
        <row r="800">
          <cell r="A800" t="str">
            <v>732000</v>
          </cell>
          <cell r="D800" t="str">
            <v>购入商品支付手续费</v>
          </cell>
        </row>
        <row r="801">
          <cell r="A801" t="str">
            <v>733000</v>
          </cell>
          <cell r="D801" t="str">
            <v>销货成本-不予抵扣进项税</v>
          </cell>
        </row>
        <row r="802">
          <cell r="A802" t="str">
            <v>734000</v>
          </cell>
          <cell r="D802" t="str">
            <v>存货报废损失</v>
          </cell>
        </row>
        <row r="803">
          <cell r="A803" t="str">
            <v>736000</v>
          </cell>
          <cell r="D803" t="str">
            <v>存货评价损</v>
          </cell>
        </row>
        <row r="804">
          <cell r="A804" t="str">
            <v>740000</v>
          </cell>
          <cell r="D804" t="str">
            <v>支援/加工费</v>
          </cell>
        </row>
        <row r="805">
          <cell r="A805" t="str">
            <v>741000</v>
          </cell>
          <cell r="D805" t="str">
            <v>加工费(仅DWM)</v>
          </cell>
        </row>
        <row r="806">
          <cell r="A806" t="str">
            <v>750400</v>
          </cell>
          <cell r="D806" t="str">
            <v>股利收入</v>
          </cell>
        </row>
        <row r="807">
          <cell r="A807" t="str">
            <v>812100</v>
          </cell>
          <cell r="D807" t="str">
            <v>销售手续费</v>
          </cell>
        </row>
        <row r="808">
          <cell r="A808" t="str">
            <v>875300</v>
          </cell>
          <cell r="D808" t="str">
            <v>技术援助费</v>
          </cell>
        </row>
        <row r="809">
          <cell r="A809" t="str">
            <v>880000</v>
          </cell>
          <cell r="D809" t="str">
            <v>出口票据折扣</v>
          </cell>
        </row>
        <row r="810">
          <cell r="A810" t="str">
            <v>880100</v>
          </cell>
          <cell r="D810" t="str">
            <v>职工住房基金</v>
          </cell>
        </row>
        <row r="811">
          <cell r="A811" t="str">
            <v>880200</v>
          </cell>
          <cell r="D811" t="str">
            <v>外国劳工的债务保证</v>
          </cell>
        </row>
        <row r="812">
          <cell r="A812" t="str">
            <v>880300</v>
          </cell>
          <cell r="D812" t="str">
            <v>贵金属期货合同</v>
          </cell>
        </row>
        <row r="813">
          <cell r="A813" t="str">
            <v>880400</v>
          </cell>
          <cell r="D813" t="str">
            <v>退职年金</v>
          </cell>
        </row>
        <row r="814">
          <cell r="A814" t="str">
            <v>880500</v>
          </cell>
          <cell r="D814" t="str">
            <v>-</v>
          </cell>
        </row>
        <row r="815">
          <cell r="A815" t="str">
            <v>880600</v>
          </cell>
          <cell r="D815" t="str">
            <v>-</v>
          </cell>
        </row>
        <row r="816">
          <cell r="A816" t="str">
            <v>881000</v>
          </cell>
          <cell r="D816" t="str">
            <v>增加</v>
          </cell>
        </row>
        <row r="817">
          <cell r="A817" t="str">
            <v>881100</v>
          </cell>
          <cell r="D817" t="str">
            <v>减少</v>
          </cell>
        </row>
        <row r="818">
          <cell r="A818" t="str">
            <v>881200</v>
          </cell>
          <cell r="D818" t="str">
            <v>增加</v>
          </cell>
        </row>
        <row r="819">
          <cell r="A819" t="str">
            <v>881300</v>
          </cell>
          <cell r="D819" t="str">
            <v>减少</v>
          </cell>
        </row>
        <row r="820">
          <cell r="A820" t="str">
            <v>890000</v>
          </cell>
          <cell r="D820" t="str">
            <v>期中平均发行股票数</v>
          </cell>
        </row>
        <row r="821">
          <cell r="A821" t="str">
            <v>890100</v>
          </cell>
          <cell r="D821" t="str">
            <v>期中平均库存股票数</v>
          </cell>
        </row>
        <row r="822">
          <cell r="A822" t="str">
            <v>890200</v>
          </cell>
          <cell r="D822" t="str">
            <v>期末发行股票数</v>
          </cell>
        </row>
        <row r="823">
          <cell r="A823" t="str">
            <v>890300</v>
          </cell>
          <cell r="D823" t="str">
            <v>期末库存股票数</v>
          </cell>
        </row>
        <row r="824">
          <cell r="A824" t="str">
            <v>890400</v>
          </cell>
          <cell r="D824" t="str">
            <v>期初发行股票数</v>
          </cell>
        </row>
        <row r="825">
          <cell r="A825" t="str">
            <v>890500</v>
          </cell>
          <cell r="D825" t="str">
            <v>可转换社债的潜在股份数</v>
          </cell>
        </row>
        <row r="826">
          <cell r="A826" t="str">
            <v>890600</v>
          </cell>
          <cell r="D826" t="str">
            <v>可转换社债的潜在股份数调整额</v>
          </cell>
        </row>
        <row r="827">
          <cell r="A827" t="str">
            <v>891000</v>
          </cell>
          <cell r="D827" t="str">
            <v>研究开发费用</v>
          </cell>
        </row>
        <row r="828">
          <cell r="A828" t="str">
            <v>891100</v>
          </cell>
          <cell r="D828" t="str">
            <v>研究开发人员</v>
          </cell>
        </row>
        <row r="829">
          <cell r="A829" t="str">
            <v>903000</v>
          </cell>
          <cell r="D829" t="str">
            <v>总工作时间</v>
          </cell>
        </row>
        <row r="830">
          <cell r="A830" t="str">
            <v>903010</v>
          </cell>
          <cell r="D830" t="str">
            <v>总正常工作时间</v>
          </cell>
        </row>
        <row r="831">
          <cell r="A831" t="str">
            <v>903020</v>
          </cell>
          <cell r="D831" t="str">
            <v>总加班时间</v>
          </cell>
        </row>
        <row r="832">
          <cell r="A832" t="str">
            <v>903100</v>
          </cell>
          <cell r="D832" t="str">
            <v>总直接工作时间</v>
          </cell>
        </row>
        <row r="833">
          <cell r="A833" t="str">
            <v>903110</v>
          </cell>
          <cell r="D833" t="str">
            <v>直接正常工作时间</v>
          </cell>
        </row>
        <row r="834">
          <cell r="A834" t="str">
            <v>903120</v>
          </cell>
          <cell r="D834" t="str">
            <v>直接加班时间</v>
          </cell>
        </row>
        <row r="835">
          <cell r="A835" t="str">
            <v>903200</v>
          </cell>
          <cell r="D835" t="str">
            <v>总间接工作时间（制造）</v>
          </cell>
        </row>
        <row r="836">
          <cell r="A836" t="str">
            <v>903210</v>
          </cell>
          <cell r="D836" t="str">
            <v>間接正常工作时间（制造）</v>
          </cell>
        </row>
        <row r="837">
          <cell r="A837" t="str">
            <v>903220</v>
          </cell>
          <cell r="D837" t="str">
            <v>間接加班时间（制造）</v>
          </cell>
        </row>
        <row r="838">
          <cell r="A838" t="str">
            <v>903300</v>
          </cell>
          <cell r="D838" t="str">
            <v>总销售及管理工作时间</v>
          </cell>
        </row>
        <row r="839">
          <cell r="A839" t="str">
            <v>903310</v>
          </cell>
          <cell r="D839" t="str">
            <v>销售及管理正常工作时间</v>
          </cell>
        </row>
        <row r="840">
          <cell r="A840" t="str">
            <v>903320</v>
          </cell>
          <cell r="D840" t="str">
            <v>销售及管理加班时间</v>
          </cell>
        </row>
        <row r="841">
          <cell r="A841" t="str">
            <v>6313020</v>
          </cell>
          <cell r="D841" t="str">
            <v>盈余公积-期初</v>
          </cell>
        </row>
        <row r="842">
          <cell r="A842" t="str">
            <v>6313033</v>
          </cell>
          <cell r="D842" t="str">
            <v>盈余公积-提取</v>
          </cell>
        </row>
        <row r="843">
          <cell r="A843" t="str">
            <v>6313059</v>
          </cell>
          <cell r="D843" t="str">
            <v>盈余公积-使用</v>
          </cell>
        </row>
        <row r="844">
          <cell r="A844" t="str">
            <v>72900A0</v>
          </cell>
          <cell r="D844" t="str">
            <v>技术援助费</v>
          </cell>
        </row>
        <row r="845">
          <cell r="A845" t="str">
            <v>72900B0</v>
          </cell>
          <cell r="D845" t="str">
            <v>技术援助费</v>
          </cell>
        </row>
        <row r="846">
          <cell r="A846" t="str">
            <v>111</v>
          </cell>
          <cell r="D846" t="str">
            <v>马达部门</v>
          </cell>
        </row>
        <row r="847">
          <cell r="A847" t="str">
            <v>112</v>
          </cell>
          <cell r="D847" t="str">
            <v>零部件部门</v>
          </cell>
        </row>
        <row r="848">
          <cell r="A848" t="str">
            <v>121</v>
          </cell>
          <cell r="D848" t="str">
            <v>马达部门</v>
          </cell>
        </row>
        <row r="849">
          <cell r="A849" t="str">
            <v>122</v>
          </cell>
          <cell r="D849" t="str">
            <v>零部件部门</v>
          </cell>
        </row>
        <row r="850">
          <cell r="A850" t="str">
            <v>131</v>
          </cell>
          <cell r="D850" t="str">
            <v>半成品</v>
          </cell>
        </row>
        <row r="851">
          <cell r="A851" t="str">
            <v>141</v>
          </cell>
          <cell r="D851" t="str">
            <v>材料</v>
          </cell>
        </row>
        <row r="852">
          <cell r="A852" t="str">
            <v>211</v>
          </cell>
          <cell r="D852" t="str">
            <v>工具及机器部门</v>
          </cell>
        </row>
        <row r="853">
          <cell r="A853" t="str">
            <v>221</v>
          </cell>
          <cell r="D853" t="str">
            <v>工具及机器部门</v>
          </cell>
        </row>
        <row r="854">
          <cell r="A854" t="str">
            <v>311</v>
          </cell>
          <cell r="D854" t="str">
            <v>其他</v>
          </cell>
        </row>
        <row r="855">
          <cell r="A855" t="str">
            <v>600810</v>
          </cell>
          <cell r="D855" t="str">
            <v>马达</v>
          </cell>
        </row>
        <row r="856">
          <cell r="A856" t="str">
            <v>600820</v>
          </cell>
          <cell r="D856" t="str">
            <v>生产机器</v>
          </cell>
        </row>
        <row r="857">
          <cell r="A857" t="str">
            <v>600830</v>
          </cell>
          <cell r="D857" t="str">
            <v>马达部品</v>
          </cell>
        </row>
        <row r="858">
          <cell r="A858" t="str">
            <v>600910</v>
          </cell>
          <cell r="D858" t="str">
            <v>马达</v>
          </cell>
        </row>
        <row r="859">
          <cell r="A859" t="str">
            <v>600920</v>
          </cell>
          <cell r="D859" t="str">
            <v>马达部品</v>
          </cell>
        </row>
        <row r="860">
          <cell r="A860" t="str">
            <v>600930</v>
          </cell>
          <cell r="D860" t="str">
            <v>生产机器</v>
          </cell>
        </row>
        <row r="861">
          <cell r="A861" t="str">
            <v>601010</v>
          </cell>
          <cell r="D861" t="str">
            <v>半成品</v>
          </cell>
        </row>
        <row r="862">
          <cell r="A862" t="str">
            <v>601110</v>
          </cell>
          <cell r="D862" t="str">
            <v>马达部品</v>
          </cell>
        </row>
        <row r="863">
          <cell r="A863" t="str">
            <v>dgm</v>
          </cell>
          <cell r="D863" t="str">
            <v>DGM</v>
          </cell>
        </row>
        <row r="864">
          <cell r="A864" t="str">
            <v>DGM</v>
          </cell>
          <cell r="D864" t="str">
            <v>DGM</v>
          </cell>
        </row>
        <row r="865">
          <cell r="A865" t="str">
            <v>dlm</v>
          </cell>
          <cell r="D865" t="str">
            <v>DLM</v>
          </cell>
        </row>
        <row r="866">
          <cell r="A866" t="str">
            <v>DLM</v>
          </cell>
          <cell r="D866" t="str">
            <v>DLM</v>
          </cell>
        </row>
        <row r="867">
          <cell r="A867" t="str">
            <v>dwm</v>
          </cell>
          <cell r="D867" t="str">
            <v>DWM</v>
          </cell>
        </row>
        <row r="868">
          <cell r="A868" t="str">
            <v>DWM</v>
          </cell>
          <cell r="D868" t="str">
            <v>DWM</v>
          </cell>
        </row>
        <row r="869">
          <cell r="A869" t="str">
            <v>hdr100001</v>
          </cell>
          <cell r="D869" t="str">
            <v>0-1个月</v>
          </cell>
        </row>
        <row r="870">
          <cell r="A870" t="str">
            <v>hdr100002</v>
          </cell>
          <cell r="D870" t="str">
            <v>0-6个月</v>
          </cell>
        </row>
        <row r="871">
          <cell r="A871" t="str">
            <v>hdr100003</v>
          </cell>
          <cell r="D871" t="str">
            <v>0-3个月</v>
          </cell>
        </row>
        <row r="872">
          <cell r="A872" t="str">
            <v>hdr101001</v>
          </cell>
          <cell r="D872" t="str">
            <v>1-2个月</v>
          </cell>
        </row>
        <row r="873">
          <cell r="A873" t="str">
            <v>hdr101002</v>
          </cell>
          <cell r="D873" t="str">
            <v>1-2年</v>
          </cell>
        </row>
        <row r="874">
          <cell r="A874" t="str">
            <v>hdr101003</v>
          </cell>
          <cell r="D874" t="str">
            <v>1回支付的租赁费</v>
          </cell>
        </row>
        <row r="875">
          <cell r="A875" t="str">
            <v>hdr101004</v>
          </cell>
          <cell r="D875" t="str">
            <v>1年内偿还的可转换公司债</v>
          </cell>
        </row>
        <row r="876">
          <cell r="A876" t="str">
            <v>hdr101005</v>
          </cell>
          <cell r="D876" t="str">
            <v>1年内偿还的可转换公司债-期末</v>
          </cell>
        </row>
        <row r="877">
          <cell r="A877" t="str">
            <v>hdr101006</v>
          </cell>
          <cell r="D877" t="str">
            <v>1年以上</v>
          </cell>
        </row>
        <row r="878">
          <cell r="A878" t="str">
            <v>hdr101007</v>
          </cell>
          <cell r="D878" t="str">
            <v>1年以上2年以内</v>
          </cell>
        </row>
        <row r="879">
          <cell r="A879" t="str">
            <v>hdr102001</v>
          </cell>
          <cell r="D879" t="str">
            <v>2-3个月</v>
          </cell>
        </row>
        <row r="880">
          <cell r="A880" t="str">
            <v>hdr102002</v>
          </cell>
          <cell r="D880" t="str">
            <v>2年以上</v>
          </cell>
        </row>
        <row r="881">
          <cell r="A881" t="str">
            <v>hdr102003</v>
          </cell>
          <cell r="D881" t="str">
            <v>2年以上3年以内</v>
          </cell>
        </row>
        <row r="882">
          <cell r="A882" t="str">
            <v>hdr103001</v>
          </cell>
          <cell r="D882" t="str">
            <v>3个月以上</v>
          </cell>
        </row>
        <row r="883">
          <cell r="A883" t="str">
            <v>hdr103002</v>
          </cell>
          <cell r="D883" t="str">
            <v>3-6个月</v>
          </cell>
        </row>
        <row r="884">
          <cell r="A884" t="str">
            <v>hdr103003</v>
          </cell>
          <cell r="D884" t="str">
            <v>3年以上4年以内</v>
          </cell>
        </row>
        <row r="885">
          <cell r="A885" t="str">
            <v>hdr104001</v>
          </cell>
          <cell r="D885" t="str">
            <v>4年以上5年以内</v>
          </cell>
        </row>
        <row r="886">
          <cell r="A886" t="str">
            <v>hdr105001</v>
          </cell>
          <cell r="D886" t="str">
            <v>5年以上</v>
          </cell>
        </row>
        <row r="887">
          <cell r="A887" t="str">
            <v>hdr106001</v>
          </cell>
          <cell r="D887" t="str">
            <v>6个月-1年</v>
          </cell>
        </row>
        <row r="888">
          <cell r="A888" t="str">
            <v>hdr126001</v>
          </cell>
          <cell r="D888" t="str">
            <v>-</v>
          </cell>
        </row>
        <row r="889">
          <cell r="A889" t="str">
            <v>hdr2cc001</v>
          </cell>
          <cell r="D889" t="str">
            <v>C1利润分配明细·资本增加明细</v>
          </cell>
        </row>
        <row r="890">
          <cell r="A890" t="str">
            <v>hdr2cc002</v>
          </cell>
          <cell r="D890" t="str">
            <v>C9MMK,TKM供应材料比例计算表</v>
          </cell>
        </row>
        <row r="891">
          <cell r="A891" t="str">
            <v>hdr2dg001</v>
          </cell>
          <cell r="D891" t="str">
            <v>DGM供应材料费比例计算表</v>
          </cell>
        </row>
        <row r="892">
          <cell r="A892" t="str">
            <v>hdr2dg002</v>
          </cell>
          <cell r="D892" t="str">
            <v>从DGM购入</v>
          </cell>
        </row>
        <row r="893">
          <cell r="A893" t="str">
            <v>hdr2dg003</v>
          </cell>
          <cell r="D893" t="str">
            <v>从DGM购入在库-期初</v>
          </cell>
        </row>
        <row r="894">
          <cell r="A894" t="str">
            <v>hdr2dg004</v>
          </cell>
          <cell r="D894" t="str">
            <v>从DGM购入在库-期末</v>
          </cell>
        </row>
        <row r="895">
          <cell r="A895" t="str">
            <v>hdr2dg005</v>
          </cell>
          <cell r="D895" t="str">
            <v>DGM材料费比例</v>
          </cell>
        </row>
        <row r="896">
          <cell r="A896" t="str">
            <v>hdr2ld001</v>
          </cell>
          <cell r="D896" t="str">
            <v>LDM供应材料费比例计算表</v>
          </cell>
        </row>
        <row r="897">
          <cell r="A897" t="str">
            <v>hdr2ld002</v>
          </cell>
          <cell r="D897" t="str">
            <v>从LDM购入</v>
          </cell>
        </row>
        <row r="898">
          <cell r="A898" t="str">
            <v>hdr2ld003</v>
          </cell>
          <cell r="D898" t="str">
            <v>从LDM购入在库-期初</v>
          </cell>
        </row>
        <row r="899">
          <cell r="A899" t="str">
            <v>hdr2ld004</v>
          </cell>
          <cell r="D899" t="str">
            <v>从LDM购入在库-期末</v>
          </cell>
        </row>
        <row r="900">
          <cell r="A900" t="str">
            <v>hdr2ld005</v>
          </cell>
          <cell r="D900" t="str">
            <v>LDM材料费比例</v>
          </cell>
        </row>
        <row r="901">
          <cell r="A901" t="str">
            <v>hdr2dr001</v>
          </cell>
          <cell r="D901" t="str">
            <v>借/贷明细表</v>
          </cell>
        </row>
        <row r="902">
          <cell r="A902" t="str">
            <v>hdr2dr002</v>
          </cell>
          <cell r="D902" t="str">
            <v>IGS明细表</v>
          </cell>
        </row>
        <row r="903">
          <cell r="A903" t="str">
            <v>hdr2hh001</v>
          </cell>
          <cell r="D903" t="str">
            <v>供应材料费比例计算表</v>
          </cell>
        </row>
        <row r="904">
          <cell r="A904" t="str">
            <v>hdr2hh002</v>
          </cell>
          <cell r="D904" t="str">
            <v>从HKSEIKO购入</v>
          </cell>
        </row>
        <row r="905">
          <cell r="A905" t="str">
            <v>hdr2hh003</v>
          </cell>
          <cell r="D905" t="str">
            <v>从HKSEIKO购入在库-期初</v>
          </cell>
        </row>
        <row r="906">
          <cell r="A906" t="str">
            <v>hdr2hh004</v>
          </cell>
          <cell r="D906" t="str">
            <v>从HKSEIKO购入在库-期末</v>
          </cell>
        </row>
        <row r="907">
          <cell r="A907" t="str">
            <v>hdr2hh005</v>
          </cell>
          <cell r="D907" t="str">
            <v>HKSEIKO材料费比例</v>
          </cell>
        </row>
        <row r="908">
          <cell r="A908" t="str">
            <v>hdr2mm001</v>
          </cell>
          <cell r="D908" t="str">
            <v>MMK供应材料费比例计算表(仅工场)</v>
          </cell>
        </row>
        <row r="909">
          <cell r="A909" t="str">
            <v>hdr2mm002</v>
          </cell>
          <cell r="D909" t="str">
            <v>从MMK购入</v>
          </cell>
        </row>
        <row r="910">
          <cell r="A910" t="str">
            <v>hdr2mm003</v>
          </cell>
          <cell r="D910" t="str">
            <v>从MMK购入在库-期初</v>
          </cell>
        </row>
        <row r="911">
          <cell r="A911" t="str">
            <v>hdr2mm004</v>
          </cell>
          <cell r="D911" t="str">
            <v>从MMK购入在库-期末</v>
          </cell>
        </row>
        <row r="912">
          <cell r="A912" t="str">
            <v>hdr2mm005</v>
          </cell>
          <cell r="D912" t="str">
            <v>MMK材料费比例</v>
          </cell>
        </row>
        <row r="913">
          <cell r="A913" t="str">
            <v>hdr2mm006</v>
          </cell>
          <cell r="D913" t="str">
            <v>MMK</v>
          </cell>
        </row>
        <row r="914">
          <cell r="A914" t="str">
            <v>hdr2mm007</v>
          </cell>
          <cell r="D914" t="str">
            <v>从MMK购入的存货-期初</v>
          </cell>
        </row>
        <row r="915">
          <cell r="A915" t="str">
            <v>hdr2ro001</v>
          </cell>
          <cell r="D915" t="str">
            <v>ROY.COMM收入明细(MMK/TWM)</v>
          </cell>
        </row>
        <row r="916">
          <cell r="A916" t="str">
            <v>hdr2ss001</v>
          </cell>
          <cell r="D916" t="str">
            <v>S2销售成本计算表</v>
          </cell>
        </row>
        <row r="917">
          <cell r="A917" t="str">
            <v>hdr2ss002</v>
          </cell>
          <cell r="D917" t="str">
            <v>S5制造成本报告书</v>
          </cell>
        </row>
        <row r="918">
          <cell r="A918" t="str">
            <v>hdr2ss003</v>
          </cell>
          <cell r="D918" t="str">
            <v>S9固定资产增减明细</v>
          </cell>
        </row>
        <row r="919">
          <cell r="A919" t="str">
            <v>hdr2tt001</v>
          </cell>
          <cell r="D919" t="str">
            <v>T1资产负债表增减明细</v>
          </cell>
        </row>
        <row r="920">
          <cell r="A920" t="str">
            <v>hdr2tt003</v>
          </cell>
          <cell r="D920" t="str">
            <v>TKM供应材料费比例计算表(仅工场)</v>
          </cell>
        </row>
        <row r="921">
          <cell r="A921" t="str">
            <v>hdr2tt004</v>
          </cell>
          <cell r="D921" t="str">
            <v>从TKM购入</v>
          </cell>
        </row>
        <row r="922">
          <cell r="A922" t="str">
            <v>hdr2tt005</v>
          </cell>
          <cell r="D922" t="str">
            <v>从TKM购入在库-期初</v>
          </cell>
        </row>
        <row r="923">
          <cell r="A923" t="str">
            <v>hdr2tt006</v>
          </cell>
          <cell r="D923" t="str">
            <v>从TKM购入在库-期末</v>
          </cell>
        </row>
        <row r="924">
          <cell r="A924" t="str">
            <v>hdr2tt007</v>
          </cell>
          <cell r="D924" t="str">
            <v>TKM材料费比例</v>
          </cell>
        </row>
        <row r="925">
          <cell r="A925" t="str">
            <v>hdr2tt008</v>
          </cell>
          <cell r="D925" t="str">
            <v>从TKM购入的存货-期初</v>
          </cell>
        </row>
        <row r="926">
          <cell r="A926" t="str">
            <v>hdr3gu001</v>
          </cell>
          <cell r="D926" t="str">
            <v>集团</v>
          </cell>
        </row>
        <row r="927">
          <cell r="A927" t="str">
            <v>hdr3gu002</v>
          </cell>
          <cell r="D927" t="str">
            <v>集团内销售</v>
          </cell>
        </row>
        <row r="928">
          <cell r="A928" t="str">
            <v>hdr3ku001</v>
          </cell>
          <cell r="D928" t="str">
            <v>索赔</v>
          </cell>
        </row>
        <row r="929">
          <cell r="A929" t="str">
            <v>hdr3ku002</v>
          </cell>
          <cell r="D929" t="str">
            <v>索赔品所花费工数明细</v>
          </cell>
        </row>
        <row r="930">
          <cell r="A930" t="str">
            <v>hdr3ku003</v>
          </cell>
          <cell r="D930" t="str">
            <v>索赔小计</v>
          </cell>
        </row>
        <row r="931">
          <cell r="A931" t="str">
            <v>hdr3ku004</v>
          </cell>
          <cell r="D931" t="str">
            <v>索赔号</v>
          </cell>
        </row>
        <row r="932">
          <cell r="A932" t="str">
            <v>hdr3ku005</v>
          </cell>
          <cell r="D932" t="str">
            <v>索赔明细</v>
          </cell>
        </row>
        <row r="933">
          <cell r="A933" t="str">
            <v>hdr3ma001</v>
          </cell>
          <cell r="D933" t="str">
            <v>管理报告</v>
          </cell>
        </row>
        <row r="934">
          <cell r="A934" t="str">
            <v>hdr3mo001</v>
          </cell>
          <cell r="D934" t="str">
            <v>马达销售数量</v>
          </cell>
        </row>
        <row r="935">
          <cell r="A935" t="str">
            <v>hdr3mo002</v>
          </cell>
          <cell r="D935" t="str">
            <v>马达销售数量(千个)</v>
          </cell>
        </row>
        <row r="936">
          <cell r="A936" t="str">
            <v>hdr3mo003</v>
          </cell>
          <cell r="D936" t="str">
            <v>马达生产数量(千个)</v>
          </cell>
        </row>
        <row r="937">
          <cell r="A937" t="str">
            <v>hdr3mo004</v>
          </cell>
          <cell r="D937" t="str">
            <v>马达期末在库数量(千个)</v>
          </cell>
        </row>
        <row r="938">
          <cell r="A938" t="str">
            <v>hdr3mo005</v>
          </cell>
          <cell r="D938" t="str">
            <v>每个马达的销售单价 （RMB)</v>
          </cell>
        </row>
        <row r="939">
          <cell r="A939" t="str">
            <v>hdr3mo006</v>
          </cell>
          <cell r="D939" t="str">
            <v>每个马达的制造原价 (RMB)</v>
          </cell>
        </row>
        <row r="940">
          <cell r="A940" t="str">
            <v>hdr3pe001</v>
          </cell>
          <cell r="D940" t="str">
            <v>页</v>
          </cell>
        </row>
        <row r="941">
          <cell r="A941" t="str">
            <v>hdr3re001</v>
          </cell>
          <cell r="D941" t="str">
            <v>报告书</v>
          </cell>
        </row>
        <row r="942">
          <cell r="A942" t="str">
            <v>hdr3re002</v>
          </cell>
          <cell r="D942" t="str">
            <v>汇兑收益/损失</v>
          </cell>
        </row>
        <row r="943">
          <cell r="A943" t="str">
            <v>hdr3ri001</v>
          </cell>
          <cell r="D943" t="str">
            <v>租赁解约明细</v>
          </cell>
        </row>
        <row r="944">
          <cell r="A944" t="str">
            <v>hdr3ri002</v>
          </cell>
          <cell r="D944" t="str">
            <v>新设租赁合同·变更明细</v>
          </cell>
        </row>
        <row r="945">
          <cell r="A945" t="str">
            <v>hdr3ri003</v>
          </cell>
          <cell r="D945" t="str">
            <v>租赁开始日</v>
          </cell>
        </row>
        <row r="946">
          <cell r="A946" t="str">
            <v>hdr3ri004</v>
          </cell>
          <cell r="D946" t="str">
            <v>租赁开始日的汇率</v>
          </cell>
        </row>
        <row r="947">
          <cell r="A947" t="str">
            <v>hdr3ri005</v>
          </cell>
          <cell r="D947" t="str">
            <v>租赁期间(月数)</v>
          </cell>
        </row>
        <row r="948">
          <cell r="A948" t="str">
            <v>hdr3ri006</v>
          </cell>
          <cell r="D948" t="str">
            <v>租赁费总额</v>
          </cell>
        </row>
        <row r="949">
          <cell r="A949" t="str">
            <v>hdr3ri007</v>
          </cell>
          <cell r="D949" t="str">
            <v>新设租赁合同·变更明细</v>
          </cell>
        </row>
        <row r="950">
          <cell r="A950" t="str">
            <v>hdr3ri008</v>
          </cell>
          <cell r="D950" t="str">
            <v>融资租赁合同明细</v>
          </cell>
        </row>
        <row r="951">
          <cell r="A951" t="str">
            <v>hdr3ri009</v>
          </cell>
          <cell r="D951" t="str">
            <v>融资租赁合同期间</v>
          </cell>
        </row>
        <row r="952">
          <cell r="A952" t="str">
            <v>hdr3se001</v>
          </cell>
          <cell r="D952" t="str">
            <v>部门报告</v>
          </cell>
        </row>
        <row r="953">
          <cell r="A953" t="str">
            <v>hdr3se002</v>
          </cell>
          <cell r="D953" t="str">
            <v>Cell位置</v>
          </cell>
        </row>
        <row r="954">
          <cell r="A954" t="str">
            <v>hdr3se003</v>
          </cell>
          <cell r="D954" t="str">
            <v>部门</v>
          </cell>
        </row>
        <row r="955">
          <cell r="A955" t="str">
            <v>hdr3si001</v>
          </cell>
          <cell r="D955" t="str">
            <v>表格号</v>
          </cell>
        </row>
        <row r="956">
          <cell r="A956" t="str">
            <v>hdr3si002</v>
          </cell>
          <cell r="D956" t="str">
            <v>表格名称</v>
          </cell>
        </row>
        <row r="957">
          <cell r="A957" t="str">
            <v>hdr3so001</v>
          </cell>
          <cell r="D957" t="str">
            <v>其他</v>
          </cell>
        </row>
        <row r="958">
          <cell r="A958" t="str">
            <v>hdr3so002</v>
          </cell>
          <cell r="D958" t="str">
            <v>(其他)</v>
          </cell>
        </row>
        <row r="959">
          <cell r="A959" t="str">
            <v>hdr3ta001</v>
          </cell>
          <cell r="D959" t="str">
            <v>报告种类</v>
          </cell>
        </row>
        <row r="960">
          <cell r="A960" t="str">
            <v>hdr3yu001</v>
          </cell>
          <cell r="D960" t="str">
            <v>用户保证余额</v>
          </cell>
        </row>
        <row r="961">
          <cell r="A961" t="str">
            <v>hdr4aa001</v>
          </cell>
          <cell r="D961" t="str">
            <v>对方公司</v>
          </cell>
        </row>
        <row r="962">
          <cell r="A962" t="str">
            <v>hdr4aa002</v>
          </cell>
          <cell r="D962" t="str">
            <v>对方/债权金额</v>
          </cell>
        </row>
        <row r="963">
          <cell r="A963" t="str">
            <v>hdr4aa003</v>
          </cell>
          <cell r="D963" t="str">
            <v>对方</v>
          </cell>
        </row>
        <row r="964">
          <cell r="A964" t="str">
            <v>hdr4aa004</v>
          </cell>
          <cell r="D964" t="str">
            <v>(中国不适用) n/a</v>
          </cell>
        </row>
        <row r="965">
          <cell r="A965" t="str">
            <v>hdr4aa005</v>
          </cell>
          <cell r="D965" t="str">
            <v>(中国不适用) n/a</v>
          </cell>
        </row>
        <row r="966">
          <cell r="A966" t="str">
            <v>hdr4ba001</v>
          </cell>
          <cell r="D966" t="str">
            <v>出售损益</v>
          </cell>
        </row>
        <row r="967">
          <cell r="A967" t="str">
            <v>hdr4ba002</v>
          </cell>
          <cell r="D967" t="str">
            <v>出售额</v>
          </cell>
        </row>
        <row r="968">
          <cell r="A968" t="str">
            <v>hdr4ba003</v>
          </cell>
          <cell r="D968" t="str">
            <v>出售理由</v>
          </cell>
        </row>
        <row r="969">
          <cell r="A969" t="str">
            <v>hdr4ba004</v>
          </cell>
          <cell r="D969" t="str">
            <v>出售成本</v>
          </cell>
        </row>
        <row r="970">
          <cell r="A970" t="str">
            <v>hdr4bi001</v>
          </cell>
          <cell r="D970" t="str">
            <v>备注</v>
          </cell>
        </row>
        <row r="971">
          <cell r="A971" t="str">
            <v>hdr4bu001</v>
          </cell>
          <cell r="D971" t="str">
            <v>部门代号</v>
          </cell>
        </row>
        <row r="972">
          <cell r="A972" t="str">
            <v>hdr4bu002</v>
          </cell>
          <cell r="D972" t="str">
            <v>部门名称</v>
          </cell>
        </row>
        <row r="973">
          <cell r="A973" t="str">
            <v>hdr4bu003</v>
          </cell>
          <cell r="D973" t="str">
            <v>分解</v>
          </cell>
        </row>
        <row r="974">
          <cell r="A974" t="str">
            <v>hdr4bu004</v>
          </cell>
          <cell r="D974" t="str">
            <v>物件情报</v>
          </cell>
        </row>
        <row r="975">
          <cell r="A975" t="str">
            <v>hdr4bu005</v>
          </cell>
          <cell r="D975" t="str">
            <v>物件名称</v>
          </cell>
        </row>
        <row r="976">
          <cell r="A976" t="str">
            <v>hdr4bu006</v>
          </cell>
          <cell r="D976" t="str">
            <v>分类</v>
          </cell>
        </row>
        <row r="977">
          <cell r="A977" t="str">
            <v>hdr4de001</v>
          </cell>
          <cell r="D977" t="str">
            <v>电话使用权</v>
          </cell>
        </row>
        <row r="978">
          <cell r="A978" t="str">
            <v>hdr4de002</v>
          </cell>
          <cell r="D978" t="str">
            <v>电话使用权-取得成本-期初</v>
          </cell>
        </row>
        <row r="979">
          <cell r="A979" t="str">
            <v>hdr4de003</v>
          </cell>
          <cell r="D979" t="str">
            <v>电话使用权-累计摊销-期初</v>
          </cell>
        </row>
        <row r="980">
          <cell r="A980" t="str">
            <v>hdr4ee001</v>
          </cell>
          <cell r="D980" t="str">
            <v>营业报告</v>
          </cell>
        </row>
        <row r="981">
          <cell r="A981" t="str">
            <v>hdr4ee002</v>
          </cell>
          <cell r="D981" t="str">
            <v>营业外明细(按对方分)</v>
          </cell>
        </row>
        <row r="982">
          <cell r="A982" t="str">
            <v>hdr4ee003</v>
          </cell>
          <cell r="D982" t="str">
            <v>营业外收入</v>
          </cell>
        </row>
        <row r="983">
          <cell r="A983" t="str">
            <v>hdr4ee004</v>
          </cell>
          <cell r="D983" t="str">
            <v>营业外支出</v>
          </cell>
        </row>
        <row r="984">
          <cell r="A984" t="str">
            <v>hdr4ee005</v>
          </cell>
          <cell r="D984" t="str">
            <v>(永久差异-费用)</v>
          </cell>
        </row>
        <row r="985">
          <cell r="A985" t="str">
            <v>hdr4ee006</v>
          </cell>
          <cell r="D985" t="str">
            <v>(永久差异-收入)</v>
          </cell>
        </row>
        <row r="986">
          <cell r="A986" t="str">
            <v>hdr4ee007</v>
          </cell>
          <cell r="D986" t="str">
            <v>-</v>
          </cell>
        </row>
        <row r="987">
          <cell r="A987" t="str">
            <v>hdr4ge001</v>
          </cell>
          <cell r="D987" t="str">
            <v>月度</v>
          </cell>
        </row>
        <row r="988">
          <cell r="A988" t="str">
            <v>hdr4ge002</v>
          </cell>
          <cell r="D988" t="str">
            <v>月末在职人数</v>
          </cell>
        </row>
        <row r="989">
          <cell r="A989" t="str">
            <v>hdr4ge003</v>
          </cell>
          <cell r="D989" t="str">
            <v>原材料</v>
          </cell>
        </row>
        <row r="990">
          <cell r="A990" t="str">
            <v>hdr4ge004</v>
          </cell>
          <cell r="D990" t="str">
            <v>当地科目代号</v>
          </cell>
        </row>
        <row r="991">
          <cell r="A991" t="str">
            <v>hdr4ge005</v>
          </cell>
          <cell r="D991" t="str">
            <v>当地科目名称</v>
          </cell>
        </row>
        <row r="992">
          <cell r="A992" t="str">
            <v>hdr4ge006</v>
          </cell>
          <cell r="D992" t="str">
            <v>减少</v>
          </cell>
        </row>
        <row r="993">
          <cell r="A993" t="str">
            <v>hdr4ge007</v>
          </cell>
          <cell r="D993" t="str">
            <v>累计折旧</v>
          </cell>
        </row>
        <row r="994">
          <cell r="A994" t="str">
            <v>hdr4ge008</v>
          </cell>
          <cell r="D994" t="str">
            <v>当地会计处理</v>
          </cell>
        </row>
        <row r="995">
          <cell r="A995" t="str">
            <v>hdr4ge009</v>
          </cell>
          <cell r="D995" t="str">
            <v>月度决算报告</v>
          </cell>
        </row>
        <row r="996">
          <cell r="A996" t="str">
            <v>hdr4ge010</v>
          </cell>
          <cell r="D996" t="str">
            <v>减算</v>
          </cell>
        </row>
        <row r="997">
          <cell r="A997" t="str">
            <v>hdr4ge011</v>
          </cell>
          <cell r="D997" t="str">
            <v>折旧超过额</v>
          </cell>
        </row>
        <row r="998">
          <cell r="A998" t="str">
            <v>hdr4ge012</v>
          </cell>
          <cell r="D998" t="str">
            <v>折旧超过但为税法所认可额</v>
          </cell>
        </row>
        <row r="999">
          <cell r="A999" t="str">
            <v>hdr4ge013</v>
          </cell>
          <cell r="D999" t="str">
            <v>现金等价物</v>
          </cell>
        </row>
        <row r="1000">
          <cell r="A1000" t="str">
            <v>hdr4ge014</v>
          </cell>
          <cell r="D1000" t="str">
            <v>-</v>
          </cell>
        </row>
        <row r="1001">
          <cell r="A1001" t="str">
            <v>hdr4ge015</v>
          </cell>
          <cell r="D1001" t="str">
            <v>-</v>
          </cell>
        </row>
        <row r="1002">
          <cell r="A1002" t="str">
            <v>hdr4ge016</v>
          </cell>
          <cell r="D1002" t="str">
            <v>融资租赁费月额</v>
          </cell>
        </row>
        <row r="1003">
          <cell r="A1003" t="str">
            <v>hdr4gi001</v>
          </cell>
          <cell r="D1003" t="str">
            <v>技术援助费用</v>
          </cell>
        </row>
        <row r="1004">
          <cell r="A1004" t="str">
            <v>hdr4go001</v>
          </cell>
          <cell r="D1004" t="str">
            <v>合计</v>
          </cell>
        </row>
        <row r="1005">
          <cell r="A1005" t="str">
            <v>hdr4go002</v>
          </cell>
          <cell r="D1005" t="str">
            <v>合计中已支付额</v>
          </cell>
        </row>
        <row r="1006">
          <cell r="A1006" t="str">
            <v>hdr4gu001</v>
          </cell>
          <cell r="D1006" t="str">
            <v>潜在债务明细</v>
          </cell>
        </row>
        <row r="1007">
          <cell r="A1007" t="str">
            <v>hdr4gu002</v>
          </cell>
          <cell r="D1007" t="str">
            <v>潜在债务</v>
          </cell>
        </row>
        <row r="1008">
          <cell r="A1008" t="str">
            <v>hdr4ha001</v>
          </cell>
          <cell r="D1008" t="str">
            <v>发生理由</v>
          </cell>
        </row>
        <row r="1009">
          <cell r="A1009" t="str">
            <v>hdr4ha002</v>
          </cell>
          <cell r="D1009" t="str">
            <v>半成品</v>
          </cell>
        </row>
        <row r="1010">
          <cell r="A1010" t="str">
            <v>hdr4ha003</v>
          </cell>
          <cell r="D1010" t="str">
            <v>销售费用</v>
          </cell>
        </row>
        <row r="1011">
          <cell r="A1011" t="str">
            <v>hdr4ha004</v>
          </cell>
          <cell r="D1011" t="str">
            <v>销售及一般管理费用明细</v>
          </cell>
        </row>
        <row r="1012">
          <cell r="A1012" t="str">
            <v>hdr4ha005</v>
          </cell>
          <cell r="D1012" t="str">
            <v>销售及一般管理费用明细(按部门分)</v>
          </cell>
        </row>
        <row r="1013">
          <cell r="A1013" t="str">
            <v>hdr4ha006</v>
          </cell>
          <cell r="D1013" t="str">
            <v>销售及一般管理费用</v>
          </cell>
        </row>
        <row r="1014">
          <cell r="A1014" t="str">
            <v>hdr4ha007</v>
          </cell>
          <cell r="D1014" t="str">
            <v>股利从何取得/股利金额</v>
          </cell>
        </row>
        <row r="1015">
          <cell r="A1015" t="str">
            <v>hdr4ha008</v>
          </cell>
          <cell r="D1015" t="str">
            <v>半年</v>
          </cell>
        </row>
        <row r="1016">
          <cell r="A1016" t="str">
            <v>hdr4ha009</v>
          </cell>
          <cell r="D1016" t="str">
            <v>半成品销售收入</v>
          </cell>
        </row>
        <row r="1017">
          <cell r="A1017" t="str">
            <v>hdr4ha010</v>
          </cell>
          <cell r="D1017" t="str">
            <v>半成品-期初</v>
          </cell>
        </row>
        <row r="1018">
          <cell r="A1018" t="str">
            <v>hdr4ha011</v>
          </cell>
          <cell r="D1018" t="str">
            <v>销售及一般管理费用明细(按交易对方分)</v>
          </cell>
        </row>
        <row r="1019">
          <cell r="A1019" t="str">
            <v>hdr4ha012</v>
          </cell>
          <cell r="D1019" t="str">
            <v>销售管理(人)</v>
          </cell>
        </row>
        <row r="1020">
          <cell r="A1020" t="str">
            <v>hdr4ha013</v>
          </cell>
          <cell r="D1020" t="str">
            <v>期末</v>
          </cell>
        </row>
        <row r="1021">
          <cell r="A1021" t="str">
            <v>hdr4ha014</v>
          </cell>
          <cell r="C1021" t="str">
            <v>aa007</v>
          </cell>
          <cell r="D1021" t="str">
            <v>销售及一般管理费用明细(前期对比)</v>
          </cell>
        </row>
        <row r="1022">
          <cell r="A1022" t="str">
            <v>hdr4ha015</v>
          </cell>
          <cell r="C1022" t="str">
            <v>aa008</v>
          </cell>
          <cell r="D1022" t="str">
            <v>销售及一般管理费用明细(预算对比)</v>
          </cell>
        </row>
        <row r="1023">
          <cell r="A1023" t="str">
            <v>hdr4he001</v>
          </cell>
          <cell r="D1023" t="str">
            <v>平均汇率(对US$)</v>
          </cell>
        </row>
        <row r="1024">
          <cell r="A1024" t="str">
            <v>hdr4he002</v>
          </cell>
          <cell r="D1024" t="str">
            <v>平均工资上涨率(年换算%)</v>
          </cell>
        </row>
        <row r="1025">
          <cell r="A1025" t="str">
            <v>hdr4hi001</v>
          </cell>
          <cell r="D1025" t="str">
            <v>比率</v>
          </cell>
        </row>
        <row r="1026">
          <cell r="A1026" t="str">
            <v>hdr4hi002</v>
          </cell>
          <cell r="D1026" t="str">
            <v>品名</v>
          </cell>
        </row>
        <row r="1027">
          <cell r="A1027" t="str">
            <v>hdr4hi003</v>
          </cell>
          <cell r="D1027" t="str">
            <v>品名代号</v>
          </cell>
        </row>
        <row r="1028">
          <cell r="A1028" t="str">
            <v>hdr4hi004</v>
          </cell>
          <cell r="D1028" t="str">
            <v>品名代号</v>
          </cell>
        </row>
        <row r="1029">
          <cell r="A1029" t="str">
            <v>hdr4hi005</v>
          </cell>
          <cell r="D1029" t="str">
            <v>日期</v>
          </cell>
        </row>
        <row r="1030">
          <cell r="A1030" t="str">
            <v>hdr4hi006</v>
          </cell>
          <cell r="D1030" t="str">
            <v>作为费用核算</v>
          </cell>
        </row>
        <row r="1031">
          <cell r="A1031" t="str">
            <v>hdr4ho001</v>
          </cell>
          <cell r="D1031" t="str">
            <v>报表上的期初未分配盈余</v>
          </cell>
        </row>
        <row r="1032">
          <cell r="A1032" t="str">
            <v>hdr4ho002</v>
          </cell>
          <cell r="D1032" t="str">
            <v>企业所得税</v>
          </cell>
        </row>
        <row r="1033">
          <cell r="A1033" t="str">
            <v>hdr4ho003</v>
          </cell>
          <cell r="D1033" t="str">
            <v>法定实效税率</v>
          </cell>
        </row>
        <row r="1034">
          <cell r="A1034" t="str">
            <v>hdr4ho004</v>
          </cell>
          <cell r="D1034" t="str">
            <v>法定实效税率税金费用</v>
          </cell>
        </row>
        <row r="1035">
          <cell r="A1035" t="str">
            <v>hdr4ho005</v>
          </cell>
          <cell r="D1035" t="str">
            <v>企业所得税+企业所得税调整额</v>
          </cell>
        </row>
        <row r="1036">
          <cell r="A1036" t="str">
            <v>hdr4hy001</v>
          </cell>
          <cell r="D1036" t="str">
            <v>估价损益</v>
          </cell>
        </row>
        <row r="1037">
          <cell r="A1037" t="str">
            <v>hdr4ii001</v>
          </cell>
          <cell r="D1037" t="str">
            <v>一般</v>
          </cell>
        </row>
        <row r="1038">
          <cell r="A1038" t="str">
            <v>hdr4ii002</v>
          </cell>
          <cell r="D1038" t="str">
            <v>一般管理费</v>
          </cell>
        </row>
        <row r="1039">
          <cell r="A1039" t="str">
            <v>hdr4ii003</v>
          </cell>
          <cell r="D1039" t="str">
            <v>一般小计</v>
          </cell>
        </row>
        <row r="1040">
          <cell r="A1040" t="str">
            <v>hdr4ii004</v>
          </cell>
          <cell r="D1040" t="str">
            <v>一般国内交易</v>
          </cell>
        </row>
        <row r="1041">
          <cell r="A1041" t="str">
            <v>hdr4ii005</v>
          </cell>
          <cell r="D1041" t="str">
            <v>一般出口</v>
          </cell>
        </row>
        <row r="1042">
          <cell r="A1042" t="str">
            <v>hdr4ii006</v>
          </cell>
          <cell r="D1042" t="str">
            <v>部分解约</v>
          </cell>
        </row>
        <row r="1043">
          <cell r="A1043" t="str">
            <v>hdr4ii007</v>
          </cell>
          <cell r="D1043" t="str">
            <v>一般国内交易小计</v>
          </cell>
        </row>
        <row r="1044">
          <cell r="A1044" t="str">
            <v>hdr4ii008</v>
          </cell>
          <cell r="D1044" t="str">
            <v>一般出口小计</v>
          </cell>
        </row>
        <row r="1045">
          <cell r="A1045" t="str">
            <v>hdr4ii009</v>
          </cell>
          <cell r="D1045" t="str">
            <v>一般销售</v>
          </cell>
        </row>
        <row r="1046">
          <cell r="A1046" t="str">
            <v>hdr4ji001</v>
          </cell>
          <cell r="D1046" t="str">
            <v>本工场责任</v>
          </cell>
        </row>
        <row r="1047">
          <cell r="A1047" t="str">
            <v>hdr4ji002</v>
          </cell>
          <cell r="D1047" t="str">
            <v>本公司发行股票明细,研究开发费用明细(MMK)</v>
          </cell>
        </row>
        <row r="1048">
          <cell r="A1048" t="str">
            <v>hdr4ji003</v>
          </cell>
          <cell r="D1048" t="str">
            <v>实际业绩</v>
          </cell>
        </row>
        <row r="1049">
          <cell r="A1049" t="str">
            <v>hdr4ji004</v>
          </cell>
          <cell r="D1049" t="str">
            <v>人事报告</v>
          </cell>
        </row>
        <row r="1050">
          <cell r="A1050" t="str">
            <v>hdr4ji005</v>
          </cell>
          <cell r="D1050" t="str">
            <v>本公司发行股票</v>
          </cell>
        </row>
        <row r="1051">
          <cell r="A1051" t="str">
            <v>hdr4ji006</v>
          </cell>
          <cell r="D1051" t="str">
            <v>库存股票</v>
          </cell>
        </row>
        <row r="1052">
          <cell r="A1052" t="str">
            <v>hdr4ji007</v>
          </cell>
          <cell r="D1052" t="str">
            <v>库存股票-期末</v>
          </cell>
        </row>
        <row r="1053">
          <cell r="A1053" t="str">
            <v>hdr4ji008</v>
          </cell>
          <cell r="D1053" t="str">
            <v>实绩</v>
          </cell>
        </row>
        <row r="1054">
          <cell r="A1054" t="str">
            <v>hdr4ji009</v>
          </cell>
          <cell r="D1054" t="str">
            <v>(实际/实际预测)</v>
          </cell>
        </row>
        <row r="1055">
          <cell r="A1055" t="str">
            <v>hdr4ji010</v>
          </cell>
          <cell r="D1055" t="str">
            <v>－</v>
          </cell>
        </row>
        <row r="1056">
          <cell r="A1056" t="str">
            <v>hdr4jy001</v>
          </cell>
          <cell r="D1056" t="str">
            <v>未分配盈余</v>
          </cell>
        </row>
        <row r="1057">
          <cell r="A1057" t="str">
            <v>hdr4jy002</v>
          </cell>
          <cell r="D1057" t="str">
            <v>报废</v>
          </cell>
        </row>
        <row r="1058">
          <cell r="A1058" t="str">
            <v>hdr4jy003</v>
          </cell>
          <cell r="D1058" t="str">
            <v>报废年月</v>
          </cell>
        </row>
        <row r="1059">
          <cell r="A1059" t="str">
            <v>hdr4jy004</v>
          </cell>
          <cell r="D1059" t="str">
            <v>报废年月代号</v>
          </cell>
        </row>
        <row r="1060">
          <cell r="A1060" t="str">
            <v>hdr4jy005</v>
          </cell>
          <cell r="D1060" t="str">
            <v>从业人员数(期末人数)</v>
          </cell>
        </row>
        <row r="1061">
          <cell r="A1061" t="str">
            <v>hdr4jy006</v>
          </cell>
          <cell r="D1061" t="str">
            <v>信息化关连</v>
          </cell>
        </row>
        <row r="1062">
          <cell r="A1062" t="str">
            <v>hdr4ka001</v>
          </cell>
          <cell r="D1062" t="str">
            <v>非合并报表关联企业小计</v>
          </cell>
        </row>
        <row r="1063">
          <cell r="A1063" t="str">
            <v>hdr4ka002</v>
          </cell>
          <cell r="D1063" t="str">
            <v>会计科目</v>
          </cell>
        </row>
        <row r="1064">
          <cell r="A1064" t="str">
            <v>hdr4ka003</v>
          </cell>
          <cell r="D1064" t="str">
            <v>会计科目明细表</v>
          </cell>
        </row>
        <row r="1065">
          <cell r="A1065" t="str">
            <v>hdr4ka004</v>
          </cell>
          <cell r="D1065" t="str">
            <v>借方科目</v>
          </cell>
        </row>
        <row r="1066">
          <cell r="A1066" t="str">
            <v>hdr4ka005</v>
          </cell>
          <cell r="D1066" t="str">
            <v>贷方科目</v>
          </cell>
        </row>
        <row r="1067">
          <cell r="A1067" t="str">
            <v>hdr4ka006</v>
          </cell>
          <cell r="D1067" t="str">
            <v>投资关联公司股份</v>
          </cell>
        </row>
        <row r="1068">
          <cell r="A1068" t="str">
            <v>hdr4ka007</v>
          </cell>
          <cell r="D1068" t="str">
            <v>投资关联公司出资金</v>
          </cell>
        </row>
        <row r="1069">
          <cell r="A1069" t="str">
            <v>hdr4ka008</v>
          </cell>
          <cell r="D1069" t="str">
            <v>解约</v>
          </cell>
        </row>
        <row r="1070">
          <cell r="A1070" t="str">
            <v>hdr4ka009</v>
          </cell>
          <cell r="D1070" t="str">
            <v>解约日</v>
          </cell>
        </row>
        <row r="1071">
          <cell r="A1071" t="str">
            <v>hdr4ka010</v>
          </cell>
          <cell r="D1071" t="str">
            <v>关联/一般公司</v>
          </cell>
        </row>
        <row r="1072">
          <cell r="A1072" t="str">
            <v>hdr4ka011</v>
          </cell>
          <cell r="D1072" t="str">
            <v>借方</v>
          </cell>
        </row>
        <row r="1073">
          <cell r="A1073" t="str">
            <v>hdr4ka012</v>
          </cell>
          <cell r="D1073" t="str">
            <v>贷方</v>
          </cell>
        </row>
        <row r="1074">
          <cell r="A1074" t="str">
            <v>hdr4ka013</v>
          </cell>
          <cell r="D1074" t="str">
            <v>科目</v>
          </cell>
        </row>
        <row r="1075">
          <cell r="A1075" t="str">
            <v>hdr4ka014</v>
          </cell>
          <cell r="D1075" t="str">
            <v>会计科目代号</v>
          </cell>
        </row>
        <row r="1076">
          <cell r="A1076" t="str">
            <v>hdr4ka015</v>
          </cell>
          <cell r="D1076" t="str">
            <v>坏帐准备(长期)</v>
          </cell>
        </row>
        <row r="1077">
          <cell r="A1077" t="str">
            <v>hdr4ka016</v>
          </cell>
          <cell r="D1077" t="str">
            <v>会计师调整-以前年度收益</v>
          </cell>
        </row>
        <row r="1078">
          <cell r="A1078" t="str">
            <v>hdr4ka017</v>
          </cell>
          <cell r="D1078" t="str">
            <v>会计师调整-以前年度损失</v>
          </cell>
        </row>
        <row r="1079">
          <cell r="A1079" t="str">
            <v>hdr4ka018</v>
          </cell>
          <cell r="D1079" t="str">
            <v>会计师调整后的期初未分配盈余</v>
          </cell>
        </row>
        <row r="1080">
          <cell r="A1080" t="str">
            <v>hdr4ka019</v>
          </cell>
          <cell r="D1080" t="str">
            <v>公司名称</v>
          </cell>
        </row>
        <row r="1081">
          <cell r="A1081" t="str">
            <v>hdr4ka020</v>
          </cell>
          <cell r="D1081" t="str">
            <v>加算</v>
          </cell>
        </row>
        <row r="1082">
          <cell r="A1082" t="str">
            <v>hdr4ka021</v>
          </cell>
          <cell r="D1082" t="str">
            <v>应纳税所得额</v>
          </cell>
        </row>
        <row r="1083">
          <cell r="A1083" t="str">
            <v>hdr4ka022</v>
          </cell>
          <cell r="D1083" t="str">
            <v>坏帐准备超过额</v>
          </cell>
        </row>
        <row r="1084">
          <cell r="A1084" t="str">
            <v>hdr4ka023</v>
          </cell>
          <cell r="D1084" t="str">
            <v>坏帐准备超过但为税法所认可金额</v>
          </cell>
        </row>
        <row r="1085">
          <cell r="A1085" t="str">
            <v>hdr4ka024</v>
          </cell>
          <cell r="D1085" t="str">
            <v>海外投资损失准备金使用额</v>
          </cell>
        </row>
        <row r="1086">
          <cell r="A1086" t="str">
            <v>hdr4ka025</v>
          </cell>
          <cell r="D1086" t="str">
            <v>海外投资损失准备金提取额</v>
          </cell>
        </row>
        <row r="1087">
          <cell r="A1087" t="str">
            <v>hdr4ka026</v>
          </cell>
          <cell r="D1087" t="str">
            <v>开办费</v>
          </cell>
        </row>
        <row r="1088">
          <cell r="A1088" t="str">
            <v>hdr4ka027</v>
          </cell>
          <cell r="D1088" t="str">
            <v>开办费 - 期末</v>
          </cell>
        </row>
        <row r="1089">
          <cell r="A1089" t="str">
            <v>hdr4ka028</v>
          </cell>
          <cell r="D1089" t="str">
            <v>加工费(仅DWM)</v>
          </cell>
        </row>
        <row r="1090">
          <cell r="A1090" t="str">
            <v>hdr4ka029</v>
          </cell>
          <cell r="D1090" t="str">
            <v>(上半年)</v>
          </cell>
        </row>
        <row r="1091">
          <cell r="A1091" t="str">
            <v>hdr4ka030</v>
          </cell>
          <cell r="D1091" t="str">
            <v>上期计画对下期计画</v>
          </cell>
        </row>
        <row r="1092">
          <cell r="A1092" t="str">
            <v>hdr4ka031</v>
          </cell>
        </row>
        <row r="1093">
          <cell r="A1093" t="str">
            <v>hdr4ka032</v>
          </cell>
          <cell r="D1093" t="str">
            <v>海外投资损失准备金</v>
          </cell>
        </row>
        <row r="1094">
          <cell r="A1094" t="str">
            <v>hdr4ka033</v>
          </cell>
          <cell r="D1094" t="str">
            <v>以前年度税金调整</v>
          </cell>
        </row>
        <row r="1095">
          <cell r="A1095" t="str">
            <v>hdr4ka034</v>
          </cell>
          <cell r="D1095" t="str">
            <v>应付借款5年以内偿还总额</v>
          </cell>
        </row>
        <row r="1096">
          <cell r="A1096" t="str">
            <v>hdr4ka035</v>
          </cell>
          <cell r="D1096" t="str">
            <v>环境关连</v>
          </cell>
        </row>
        <row r="1097">
          <cell r="A1097" t="str">
            <v>hdr4ka036</v>
          </cell>
          <cell r="D1097" t="str">
            <v>股票</v>
          </cell>
        </row>
        <row r="1098">
          <cell r="A1098" t="str">
            <v>hdr4ke001</v>
          </cell>
          <cell r="D1098" t="str">
            <v>经费明细(按交易对方分)</v>
          </cell>
        </row>
        <row r="1099">
          <cell r="A1099" t="str">
            <v>hdr4ke002</v>
          </cell>
          <cell r="D1099" t="str">
            <v>在建工程</v>
          </cell>
        </row>
        <row r="1100">
          <cell r="A1100" t="str">
            <v>hdr4ke003</v>
          </cell>
          <cell r="D1100" t="str">
            <v>合同号</v>
          </cell>
        </row>
        <row r="1101">
          <cell r="A1101" t="str">
            <v>hdr4ke004</v>
          </cell>
          <cell r="D1101" t="str">
            <v>合同参照</v>
          </cell>
        </row>
        <row r="1102">
          <cell r="A1102" t="str">
            <v>hdr4ke005</v>
          </cell>
          <cell r="D1102" t="str">
            <v>合同取消的情况</v>
          </cell>
        </row>
        <row r="1103">
          <cell r="A1103" t="str">
            <v>hdr4ke006</v>
          </cell>
          <cell r="D1103" t="str">
            <v>合同参照</v>
          </cell>
        </row>
        <row r="1104">
          <cell r="A1104" t="str">
            <v>hdr4ke007</v>
          </cell>
          <cell r="D1104" t="str">
            <v>研究开发</v>
          </cell>
        </row>
        <row r="1105">
          <cell r="A1105" t="str">
            <v>hdr4ke008</v>
          </cell>
          <cell r="D1105" t="str">
            <v>在建工程的结转</v>
          </cell>
        </row>
        <row r="1106">
          <cell r="A1106" t="str">
            <v>hdr4ke009</v>
          </cell>
          <cell r="D1106" t="str">
            <v>经费小计</v>
          </cell>
        </row>
        <row r="1107">
          <cell r="A1107" t="str">
            <v>hdr4ke010</v>
          </cell>
          <cell r="D1107" t="str">
            <v>在建工程余额(仅合并报表公司)</v>
          </cell>
        </row>
        <row r="1108">
          <cell r="A1108" t="str">
            <v>hdr4ke011</v>
          </cell>
          <cell r="D1108" t="str">
            <v>在建工程-期初</v>
          </cell>
        </row>
        <row r="1109">
          <cell r="A1109" t="str">
            <v>hdr4ke012</v>
          </cell>
          <cell r="D1109" t="str">
            <v>经营课题·风险等</v>
          </cell>
        </row>
        <row r="1110">
          <cell r="A1110" t="str">
            <v>hdr4ke013</v>
          </cell>
          <cell r="D1110" t="str">
            <v>经费</v>
          </cell>
        </row>
        <row r="1111">
          <cell r="A1111" t="str">
            <v>hdr4ke014</v>
          </cell>
          <cell r="D1111" t="str">
            <v>(计划)</v>
          </cell>
        </row>
        <row r="1112">
          <cell r="A1112" t="str">
            <v>hdr4ke015</v>
          </cell>
          <cell r="D1112" t="str">
            <v>合同继续中</v>
          </cell>
        </row>
        <row r="1113">
          <cell r="A1113" t="str">
            <v>hdr4ke016</v>
          </cell>
          <cell r="D1113" t="str">
            <v>合同更新中</v>
          </cell>
        </row>
        <row r="1114">
          <cell r="A1114" t="str">
            <v>hdr4ke017</v>
          </cell>
          <cell r="D1114" t="str">
            <v>合同终了</v>
          </cell>
        </row>
        <row r="1115">
          <cell r="A1115" t="str">
            <v>hdr4ki001</v>
          </cell>
          <cell r="D1115" t="str">
            <v>期日内应收帐款</v>
          </cell>
        </row>
        <row r="1116">
          <cell r="A1116" t="str">
            <v>hdr4ki002</v>
          </cell>
          <cell r="D1116" t="str">
            <v>金额</v>
          </cell>
        </row>
        <row r="1117">
          <cell r="A1117" t="str">
            <v>hdr4ki003</v>
          </cell>
          <cell r="D1117" t="str">
            <v>期间</v>
          </cell>
        </row>
        <row r="1118">
          <cell r="A1118" t="str">
            <v>hdr4ki004</v>
          </cell>
          <cell r="D1118" t="str">
            <v>记帐本位币</v>
          </cell>
        </row>
        <row r="1119">
          <cell r="A1119" t="str">
            <v>hdr4ki005</v>
          </cell>
          <cell r="D1119" t="str">
            <v>期初设定表</v>
          </cell>
        </row>
        <row r="1120">
          <cell r="A1120" t="str">
            <v>hdr4ki006</v>
          </cell>
          <cell r="D1120" t="str">
            <v>期初盘存</v>
          </cell>
        </row>
        <row r="1121">
          <cell r="A1121" t="str">
            <v>hdr4ki007</v>
          </cell>
          <cell r="D1121" t="str">
            <v>期初盘存调整额</v>
          </cell>
        </row>
        <row r="1122">
          <cell r="A1122" t="str">
            <v>hdr4ki008</v>
          </cell>
          <cell r="D1122" t="str">
            <v>期末盘存</v>
          </cell>
        </row>
        <row r="1123">
          <cell r="A1123" t="str">
            <v>hdr4ki009</v>
          </cell>
          <cell r="D1123" t="str">
            <v>期末盘存调整额</v>
          </cell>
        </row>
        <row r="1124">
          <cell r="A1124" t="str">
            <v>hdr4ki010</v>
          </cell>
          <cell r="D1124" t="str">
            <v>期初</v>
          </cell>
        </row>
        <row r="1125">
          <cell r="A1125" t="str">
            <v>hdr4ki011</v>
          </cell>
          <cell r="D1125" t="str">
            <v>期末</v>
          </cell>
        </row>
        <row r="1126">
          <cell r="A1126" t="str">
            <v>hdr4ki012</v>
          </cell>
          <cell r="D1126" t="str">
            <v>机械设备</v>
          </cell>
        </row>
        <row r="1127">
          <cell r="A1127" t="str">
            <v>hdr4ki013</v>
          </cell>
          <cell r="D1127" t="str">
            <v>机械设备购入明细(仅合并报表公司)</v>
          </cell>
        </row>
        <row r="1128">
          <cell r="A1128" t="str">
            <v>hdr4ki014</v>
          </cell>
          <cell r="D1128" t="str">
            <v>机械设备清理明细(仅合并报表公司)</v>
          </cell>
        </row>
        <row r="1129">
          <cell r="A1129" t="str">
            <v>hdr4ki015</v>
          </cell>
          <cell r="D1129" t="str">
            <v>期末所有的土地</v>
          </cell>
        </row>
        <row r="1130">
          <cell r="A1130" t="str">
            <v>hdr4ki016</v>
          </cell>
          <cell r="D1130" t="str">
            <v>期末租借的土地</v>
          </cell>
        </row>
        <row r="1131">
          <cell r="A1131" t="str">
            <v>hdr4ko001</v>
          </cell>
          <cell r="D1131" t="str">
            <v>固定资产购入明细(仅合并报表公司)</v>
          </cell>
        </row>
        <row r="1132">
          <cell r="A1132" t="str">
            <v>hdr4ko002</v>
          </cell>
          <cell r="D1132" t="str">
            <v>固定资产清理明细(仅合并报表公司)</v>
          </cell>
        </row>
        <row r="1133">
          <cell r="A1133" t="str">
            <v>hdr4ko003</v>
          </cell>
          <cell r="D1133" t="str">
            <v>固定资产增减明细</v>
          </cell>
        </row>
        <row r="1134">
          <cell r="A1134" t="str">
            <v>hdr4ko004</v>
          </cell>
          <cell r="D1134" t="str">
            <v>顾客名</v>
          </cell>
        </row>
        <row r="1135">
          <cell r="A1135" t="str">
            <v>hdr4ko005</v>
          </cell>
          <cell r="D1135" t="str">
            <v>构成比例</v>
          </cell>
        </row>
        <row r="1136">
          <cell r="A1136" t="str">
            <v>hdr4ko006</v>
          </cell>
          <cell r="D1136" t="str">
            <v>工具机器部门</v>
          </cell>
        </row>
        <row r="1137">
          <cell r="A1137" t="str">
            <v>hdr4ko007</v>
          </cell>
          <cell r="D1137" t="str">
            <v>现行价格</v>
          </cell>
        </row>
        <row r="1138">
          <cell r="A1138" t="str">
            <v>hdr4ko008</v>
          </cell>
          <cell r="D1138" t="str">
            <v>购入</v>
          </cell>
        </row>
        <row r="1139">
          <cell r="A1139" t="str">
            <v>hdr4ko009</v>
          </cell>
          <cell r="D1139" t="str">
            <v>结转入固定资产</v>
          </cell>
        </row>
        <row r="1140">
          <cell r="A1140" t="str">
            <v>hdr4ko010</v>
          </cell>
          <cell r="D1140" t="str">
            <v>构筑物</v>
          </cell>
        </row>
        <row r="1141">
          <cell r="A1141" t="str">
            <v>hdr4ko011</v>
          </cell>
          <cell r="D1141" t="str">
            <v>工器具</v>
          </cell>
        </row>
        <row r="1142">
          <cell r="A1142" t="str">
            <v>hdr4ko012</v>
          </cell>
          <cell r="D1142" t="str">
            <v>购入年月</v>
          </cell>
        </row>
        <row r="1143">
          <cell r="A1143" t="str">
            <v>hdr4ko013</v>
          </cell>
          <cell r="D1143" t="str">
            <v>供应商</v>
          </cell>
        </row>
        <row r="1144">
          <cell r="A1144" t="str">
            <v>hdr4ko014</v>
          </cell>
          <cell r="D1144" t="str">
            <v>购入金额</v>
          </cell>
        </row>
        <row r="1145">
          <cell r="A1145" t="str">
            <v>hdr4ko015</v>
          </cell>
          <cell r="D1145" t="str">
            <v>工器具购入明细(仅合并报表公司)</v>
          </cell>
        </row>
        <row r="1146">
          <cell r="A1146" t="str">
            <v>hdr4ko016</v>
          </cell>
          <cell r="D1146" t="str">
            <v>工漆具报废明细(仅合并报表公司)</v>
          </cell>
        </row>
        <row r="1147">
          <cell r="A1147" t="str">
            <v>hdr4ko017</v>
          </cell>
          <cell r="D1147" t="str">
            <v>项目</v>
          </cell>
        </row>
        <row r="1148">
          <cell r="A1148" t="str">
            <v>hdr4ko018</v>
          </cell>
          <cell r="D1148" t="str">
            <v>购入年月代号</v>
          </cell>
        </row>
        <row r="1149">
          <cell r="A1149" t="str">
            <v>hdr4ko019</v>
          </cell>
          <cell r="D1149" t="str">
            <v>供应商代号</v>
          </cell>
        </row>
        <row r="1150">
          <cell r="A1150" t="str">
            <v>hdr4ko020</v>
          </cell>
          <cell r="D1150" t="str">
            <v>固定</v>
          </cell>
        </row>
        <row r="1151">
          <cell r="A1151" t="str">
            <v>hdr4ko021</v>
          </cell>
          <cell r="D1151" t="str">
            <v>固定资产出售收益内容</v>
          </cell>
        </row>
        <row r="1152">
          <cell r="A1152" t="str">
            <v>hdr4ko022</v>
          </cell>
          <cell r="D1152" t="str">
            <v>固定资产出售损失清理损失内容</v>
          </cell>
        </row>
        <row r="1153">
          <cell r="A1153" t="str">
            <v>hdr4ko023</v>
          </cell>
          <cell r="D1153" t="str">
            <v>后发事项</v>
          </cell>
        </row>
        <row r="1154">
          <cell r="A1154" t="str">
            <v>hdr4ku001</v>
          </cell>
          <cell r="D1154" t="str">
            <v>递延税金资产</v>
          </cell>
        </row>
        <row r="1155">
          <cell r="A1155" t="str">
            <v>hdr4ku002</v>
          </cell>
          <cell r="D1155" t="str">
            <v>递延税金负债</v>
          </cell>
        </row>
        <row r="1156">
          <cell r="A1156" t="str">
            <v>hdr4ku003</v>
          </cell>
          <cell r="D1156" t="str">
            <v>上期结转损失</v>
          </cell>
        </row>
        <row r="1157">
          <cell r="A1157" t="str">
            <v>hdr4ku004</v>
          </cell>
          <cell r="D1157" t="str">
            <v>上期结转减税额(计入税额)</v>
          </cell>
        </row>
        <row r="1158">
          <cell r="A1158" t="str">
            <v>hdr4ku005</v>
          </cell>
          <cell r="D1158" t="str">
            <v>(递延税金资产负债未核算)</v>
          </cell>
        </row>
        <row r="1159">
          <cell r="A1159" t="str">
            <v>hdr4ku006</v>
          </cell>
          <cell r="D1159" t="str">
            <v>区分</v>
          </cell>
        </row>
        <row r="1160">
          <cell r="A1160" t="str">
            <v>hdr4ky001</v>
          </cell>
          <cell r="D1160" t="str">
            <v>客户</v>
          </cell>
        </row>
        <row r="1161">
          <cell r="A1161" t="str">
            <v>hdr4ky002</v>
          </cell>
          <cell r="D1161" t="str">
            <v>供应材料费比例计算表(仅工场)</v>
          </cell>
        </row>
        <row r="1162">
          <cell r="A1162" t="str">
            <v>hdr4ma001</v>
          </cell>
          <cell r="D1162" t="str">
            <v>待摊租赁费</v>
          </cell>
        </row>
        <row r="1163">
          <cell r="A1163" t="str">
            <v>hdr4me001</v>
          </cell>
          <cell r="D1163" t="str">
            <v>明细报告</v>
          </cell>
        </row>
        <row r="1164">
          <cell r="A1164" t="str">
            <v>hdr4me002</v>
          </cell>
          <cell r="D1164" t="str">
            <v>(面积m2)</v>
          </cell>
        </row>
        <row r="1165">
          <cell r="A1165" t="str">
            <v>hdr4mi001</v>
          </cell>
          <cell r="D1165" t="str">
            <v>在途存货</v>
          </cell>
        </row>
        <row r="1166">
          <cell r="A1166" t="str">
            <v>hdr4mi002</v>
          </cell>
          <cell r="D1166" t="str">
            <v>应付企业所得税</v>
          </cell>
        </row>
        <row r="1167">
          <cell r="A1167" t="str">
            <v>hdr4mi003</v>
          </cell>
          <cell r="D1167" t="str">
            <v>应付事业税</v>
          </cell>
        </row>
        <row r="1168">
          <cell r="A1168" t="str">
            <v>hdr4mi004</v>
          </cell>
          <cell r="D1168" t="str">
            <v>应付股利</v>
          </cell>
        </row>
        <row r="1169">
          <cell r="A1169" t="str">
            <v>hdr4mi005</v>
          </cell>
          <cell r="D1169" t="str">
            <v>以现金购入金额的估算</v>
          </cell>
        </row>
        <row r="1170">
          <cell r="A1170" t="str">
            <v>hdr4mi006</v>
          </cell>
          <cell r="D1170" t="str">
            <v>应付设备款</v>
          </cell>
        </row>
        <row r="1171">
          <cell r="A1171" t="str">
            <v>hdr4mi007</v>
          </cell>
          <cell r="D1171" t="str">
            <v>予提利息</v>
          </cell>
        </row>
        <row r="1172">
          <cell r="A1172" t="str">
            <v>hdr4mi008</v>
          </cell>
          <cell r="D1172" t="str">
            <v>未实现外币兑换损失</v>
          </cell>
        </row>
        <row r="1173">
          <cell r="A1173" t="str">
            <v>hdr4mi009</v>
          </cell>
          <cell r="D1173" t="str">
            <v>-</v>
          </cell>
        </row>
        <row r="1174">
          <cell r="A1174" t="str">
            <v>hdr4mi010</v>
          </cell>
          <cell r="D1174" t="str">
            <v>-</v>
          </cell>
        </row>
        <row r="1175">
          <cell r="A1175" t="str">
            <v>hdr4mi011</v>
          </cell>
          <cell r="D1175" t="str">
            <v>未实现外币兑换利润</v>
          </cell>
        </row>
        <row r="1176">
          <cell r="A1176" t="str">
            <v>hdr4mi012</v>
          </cell>
          <cell r="D1176" t="str">
            <v>-</v>
          </cell>
        </row>
        <row r="1177">
          <cell r="A1177" t="str">
            <v>hdr4mi013</v>
          </cell>
          <cell r="D1177" t="str">
            <v>-</v>
          </cell>
        </row>
        <row r="1178">
          <cell r="A1178" t="str">
            <v>hdr4mi014</v>
          </cell>
          <cell r="D1178" t="str">
            <v>见绩实效税率</v>
          </cell>
        </row>
        <row r="1179">
          <cell r="A1179" t="str">
            <v>hdr4mi015</v>
          </cell>
          <cell r="D1179" t="str">
            <v>未过期融资租赁费</v>
          </cell>
        </row>
        <row r="1180">
          <cell r="A1180" t="str">
            <v>hdr4mo001</v>
          </cell>
          <cell r="D1180" t="str">
            <v>目录</v>
          </cell>
        </row>
        <row r="1181">
          <cell r="A1181" t="str">
            <v>hdr4mu001</v>
          </cell>
          <cell r="D1181" t="str">
            <v>无形资产</v>
          </cell>
        </row>
        <row r="1182">
          <cell r="A1182" t="str">
            <v>hdr4na001</v>
          </cell>
          <cell r="D1182" t="str">
            <v>内容</v>
          </cell>
        </row>
        <row r="1183">
          <cell r="A1183" t="str">
            <v>hdr4ne001</v>
          </cell>
          <cell r="D1183" t="str">
            <v>年度</v>
          </cell>
        </row>
        <row r="1184">
          <cell r="A1184" t="str">
            <v>hdr4ne002</v>
          </cell>
          <cell r="D1184" t="str">
            <v>本年合计</v>
          </cell>
        </row>
        <row r="1185">
          <cell r="A1185" t="str">
            <v>hdr4ne003</v>
          </cell>
          <cell r="D1185" t="str">
            <v>年间计画对前期计画</v>
          </cell>
        </row>
        <row r="1186">
          <cell r="A1186" t="str">
            <v>hdr4ne004</v>
          </cell>
          <cell r="D1186" t="str">
            <v>年度决算报告</v>
          </cell>
        </row>
        <row r="1187">
          <cell r="A1187" t="str">
            <v>hdr4ne005</v>
          </cell>
          <cell r="D1187" t="str">
            <v>实际预测</v>
          </cell>
        </row>
        <row r="1188">
          <cell r="A1188" t="str">
            <v>hdr4ni001</v>
          </cell>
          <cell r="D1188" t="str">
            <v>日报记号</v>
          </cell>
        </row>
        <row r="1189">
          <cell r="A1189" t="str">
            <v>hdr4ni002</v>
          </cell>
          <cell r="D1189" t="str">
            <v>日本</v>
          </cell>
        </row>
        <row r="1190">
          <cell r="A1190" t="str">
            <v>hdr4ny001</v>
          </cell>
          <cell r="D1190" t="str">
            <v>输入表</v>
          </cell>
        </row>
        <row r="1191">
          <cell r="A1191" t="str">
            <v>hdr4ny002</v>
          </cell>
          <cell r="D1191" t="str">
            <v>必须输入的项目</v>
          </cell>
        </row>
        <row r="1192">
          <cell r="A1192" t="str">
            <v>hdr4re001</v>
          </cell>
          <cell r="D1192" t="str">
            <v>合并报表</v>
          </cell>
        </row>
        <row r="1193">
          <cell r="A1193" t="str">
            <v>hdr4re002</v>
          </cell>
          <cell r="D1193" t="str">
            <v>合并报表会计科目代号</v>
          </cell>
        </row>
        <row r="1194">
          <cell r="A1194" t="str">
            <v>hdr4re003</v>
          </cell>
          <cell r="D1194" t="str">
            <v>合并报表会计科目名称</v>
          </cell>
        </row>
        <row r="1195">
          <cell r="A1195" t="str">
            <v>hdr4re004</v>
          </cell>
          <cell r="D1195" t="str">
            <v>合并子公司小计</v>
          </cell>
        </row>
        <row r="1196">
          <cell r="A1196" t="str">
            <v>hdr4ri001</v>
          </cell>
          <cell r="D1196" t="str">
            <v>利润分配·资本增减明细</v>
          </cell>
        </row>
        <row r="1197">
          <cell r="A1197" t="str">
            <v>hdr4ri002</v>
          </cell>
          <cell r="D1197" t="str">
            <v>盈余公积</v>
          </cell>
        </row>
        <row r="1198">
          <cell r="A1198" t="str">
            <v>hdr4ri003</v>
          </cell>
          <cell r="D1198" t="str">
            <v>盈余公积-期末</v>
          </cell>
        </row>
        <row r="1199">
          <cell r="A1199" t="str">
            <v>hdr4ri004</v>
          </cell>
          <cell r="D1199" t="str">
            <v>利益计划的要点</v>
          </cell>
        </row>
        <row r="1200">
          <cell r="A1200" t="str">
            <v>hdr4ri005</v>
          </cell>
          <cell r="D1200" t="str">
            <v>利益计划的概况</v>
          </cell>
        </row>
        <row r="1201">
          <cell r="A1201" t="str">
            <v>hdr4ri006</v>
          </cell>
          <cell r="D1201" t="str">
            <v>比率</v>
          </cell>
        </row>
        <row r="1202">
          <cell r="A1202" t="str">
            <v>hdr4ri007</v>
          </cell>
          <cell r="D1202" t="str">
            <v>(理由及设备内容)</v>
          </cell>
        </row>
        <row r="1203">
          <cell r="A1203" t="str">
            <v>hdr4ro001</v>
          </cell>
          <cell r="D1203" t="str">
            <v>劳务费小计</v>
          </cell>
        </row>
        <row r="1204">
          <cell r="A1204" t="str">
            <v>hdr4ro002</v>
          </cell>
          <cell r="D1204" t="str">
            <v>劳务费</v>
          </cell>
        </row>
        <row r="1205">
          <cell r="A1205" t="str">
            <v>hdr4ro003</v>
          </cell>
          <cell r="D1205" t="str">
            <v>劳动时间内訳</v>
          </cell>
        </row>
        <row r="1206">
          <cell r="A1206" t="str">
            <v>hdr4ru001</v>
          </cell>
          <cell r="D1206" t="str">
            <v>累计支付融资租赁费</v>
          </cell>
        </row>
        <row r="1207">
          <cell r="A1207" t="str">
            <v>hdr4ry001</v>
          </cell>
          <cell r="D1207" t="str">
            <v>旅费</v>
          </cell>
        </row>
        <row r="1208">
          <cell r="A1208" t="str">
            <v>hdr4ry002</v>
          </cell>
          <cell r="D1208" t="str">
            <v>流动</v>
          </cell>
        </row>
        <row r="1209">
          <cell r="A1209" t="str">
            <v>hdr4sa001</v>
          </cell>
          <cell r="D1209" t="str">
            <v>差额</v>
          </cell>
        </row>
        <row r="1210">
          <cell r="A1210" t="str">
            <v>hdr4sa002</v>
          </cell>
          <cell r="D1210" t="str">
            <v>债权明细(按债务人分)</v>
          </cell>
        </row>
        <row r="1211">
          <cell r="A1211" t="str">
            <v>hdr4sa003</v>
          </cell>
          <cell r="D1211" t="str">
            <v>债务明细(按债权人分)</v>
          </cell>
        </row>
        <row r="1212">
          <cell r="A1212" t="str">
            <v>hdr4sa004</v>
          </cell>
          <cell r="D1212" t="str">
            <v>再检验/筛选/修补</v>
          </cell>
        </row>
        <row r="1213">
          <cell r="A1213" t="str">
            <v>hdr4sa005</v>
          </cell>
          <cell r="D1213" t="str">
            <v>作业日/内容</v>
          </cell>
        </row>
        <row r="1214">
          <cell r="A1214" t="str">
            <v>hdr4sa006</v>
          </cell>
          <cell r="D1214" t="str">
            <v>再租赁</v>
          </cell>
        </row>
        <row r="1215">
          <cell r="A1215" t="str">
            <v>hdr4sa007</v>
          </cell>
          <cell r="D1215" t="str">
            <v>作成日</v>
          </cell>
        </row>
        <row r="1216">
          <cell r="A1216" t="str">
            <v>hdr4sa008</v>
          </cell>
          <cell r="D1216" t="str">
            <v>债务保证</v>
          </cell>
        </row>
        <row r="1217">
          <cell r="A1217" t="str">
            <v>hdr4sa009</v>
          </cell>
          <cell r="D1217" t="str">
            <v>保证债务残高</v>
          </cell>
        </row>
        <row r="1218">
          <cell r="A1218" t="str">
            <v>hdr4sa010</v>
          </cell>
          <cell r="D1218" t="str">
            <v>债权</v>
          </cell>
        </row>
        <row r="1219">
          <cell r="A1219" t="str">
            <v>hdr4sa011</v>
          </cell>
          <cell r="D1219" t="str">
            <v>－</v>
          </cell>
        </row>
        <row r="1220">
          <cell r="A1220" t="str">
            <v>hdr4sa012</v>
          </cell>
          <cell r="D1220" t="str">
            <v>－</v>
          </cell>
        </row>
        <row r="1221">
          <cell r="A1221" t="str">
            <v>hdr4se001</v>
          </cell>
          <cell r="D1221" t="str">
            <v>正常在库</v>
          </cell>
        </row>
        <row r="1222">
          <cell r="A1222" t="str">
            <v>hdr4se002</v>
          </cell>
          <cell r="D1222" t="str">
            <v>制造费用</v>
          </cell>
        </row>
        <row r="1223">
          <cell r="A1223" t="str">
            <v>hdr4se003</v>
          </cell>
          <cell r="D1223" t="str">
            <v>生产机器</v>
          </cell>
        </row>
        <row r="1224">
          <cell r="A1224" t="str">
            <v>hdr4se004</v>
          </cell>
          <cell r="D1224" t="str">
            <v>制造费用明细</v>
          </cell>
        </row>
        <row r="1225">
          <cell r="A1225" t="str">
            <v>hdr4se005</v>
          </cell>
          <cell r="D1225" t="str">
            <v>制造费用明细(按部门分)</v>
          </cell>
        </row>
        <row r="1226">
          <cell r="A1226" t="str">
            <v>hdr4se006</v>
          </cell>
          <cell r="D1226" t="str">
            <v>制造成本报告</v>
          </cell>
        </row>
        <row r="1227">
          <cell r="A1227" t="str">
            <v>hdr4se007</v>
          </cell>
          <cell r="D1227" t="str">
            <v>制造成本报告(按部门分)</v>
          </cell>
        </row>
        <row r="1228">
          <cell r="A1228" t="str">
            <v>hdr4se008</v>
          </cell>
          <cell r="D1228" t="str">
            <v>产成品</v>
          </cell>
        </row>
        <row r="1229">
          <cell r="A1229" t="str">
            <v>hdr4se009</v>
          </cell>
          <cell r="D1229" t="str">
            <v>产成品·商品(马达)</v>
          </cell>
        </row>
        <row r="1230">
          <cell r="A1230" t="str">
            <v>hdr4se010</v>
          </cell>
          <cell r="D1230" t="str">
            <v>责任区分</v>
          </cell>
        </row>
        <row r="1231">
          <cell r="A1231" t="str">
            <v>hdr4se011</v>
          </cell>
          <cell r="D1231" t="str">
            <v>生产地</v>
          </cell>
        </row>
        <row r="1232">
          <cell r="A1232" t="str">
            <v>hdr4se012</v>
          </cell>
          <cell r="D1232" t="str">
            <v>产成品销售收入</v>
          </cell>
        </row>
        <row r="1233">
          <cell r="A1233" t="str">
            <v>hdr4se013</v>
          </cell>
          <cell r="D1233" t="str">
            <v>产成品销售成本</v>
          </cell>
        </row>
        <row r="1234">
          <cell r="A1234" t="str">
            <v>hdr4se014</v>
          </cell>
          <cell r="D1234" t="str">
            <v>制造费用明细(按交易对方分)</v>
          </cell>
        </row>
        <row r="1235">
          <cell r="A1235" t="str">
            <v>hdr4se015</v>
          </cell>
          <cell r="D1235" t="str">
            <v>责任者印章</v>
          </cell>
        </row>
        <row r="1236">
          <cell r="A1236" t="str">
            <v>hdr4se016</v>
          </cell>
          <cell r="D1236" t="str">
            <v>制造费用合计</v>
          </cell>
        </row>
        <row r="1237">
          <cell r="A1237" t="str">
            <v>hdr4se017</v>
          </cell>
          <cell r="D1237" t="str">
            <v>制造总费用</v>
          </cell>
        </row>
        <row r="1238">
          <cell r="A1238" t="str">
            <v>hdr4se018</v>
          </cell>
          <cell r="D1238" t="str">
            <v>制造间接费</v>
          </cell>
        </row>
        <row r="1239">
          <cell r="A1239" t="str">
            <v>hdr4se019</v>
          </cell>
          <cell r="D1239" t="str">
            <v>制造直接(人)</v>
          </cell>
        </row>
        <row r="1240">
          <cell r="A1240" t="str">
            <v>hdr4se020</v>
          </cell>
          <cell r="D1240" t="str">
            <v>制造间接(人)</v>
          </cell>
        </row>
        <row r="1241">
          <cell r="A1241" t="str">
            <v>hdr4se021</v>
          </cell>
          <cell r="D1241" t="str">
            <v>政府向罚金</v>
          </cell>
        </row>
        <row r="1242">
          <cell r="A1242" t="str">
            <v>hdr4se022</v>
          </cell>
          <cell r="D1242" t="str">
            <v>-</v>
          </cell>
        </row>
        <row r="1243">
          <cell r="A1243" t="str">
            <v>hdr4se023</v>
          </cell>
          <cell r="D1243" t="str">
            <v>设备投资明细</v>
          </cell>
        </row>
        <row r="1244">
          <cell r="A1244" t="str">
            <v>hdr4se024</v>
          </cell>
          <cell r="D1244" t="str">
            <v>设备投资</v>
          </cell>
        </row>
        <row r="1245">
          <cell r="A1245" t="str">
            <v>hdr4se025</v>
          </cell>
          <cell r="D1245" t="str">
            <v>设备销售·报废等</v>
          </cell>
        </row>
        <row r="1246">
          <cell r="A1246" t="str">
            <v>hdr4se026</v>
          </cell>
          <cell r="D1246" t="str">
            <v>设备新增·改良等</v>
          </cell>
        </row>
        <row r="1247">
          <cell r="A1247" t="str">
            <v>hdr4se027</v>
          </cell>
          <cell r="D1247" t="str">
            <v>生产能力的增强及维护</v>
          </cell>
        </row>
        <row r="1248">
          <cell r="A1248" t="str">
            <v>hdr4si001</v>
          </cell>
          <cell r="D1248" t="str">
            <v>在产品</v>
          </cell>
        </row>
        <row r="1249">
          <cell r="A1249" t="str">
            <v>hdr4si002</v>
          </cell>
          <cell r="D1249" t="str">
            <v>供应商</v>
          </cell>
        </row>
        <row r="1250">
          <cell r="A1250" t="str">
            <v>hdr4si003</v>
          </cell>
          <cell r="D1250" t="str">
            <v>季度</v>
          </cell>
        </row>
        <row r="1251">
          <cell r="A1251" t="str">
            <v>hdr4si004</v>
          </cell>
          <cell r="D1251" t="str">
            <v>资产负债增减明细</v>
          </cell>
        </row>
        <row r="1252">
          <cell r="A1252" t="str">
            <v>hdr4si005</v>
          </cell>
          <cell r="D1252" t="str">
            <v>罚款支出</v>
          </cell>
        </row>
        <row r="1253">
          <cell r="A1253" t="str">
            <v>hdr4si006</v>
          </cell>
          <cell r="D1253" t="str">
            <v>罚款支出·旅费明细</v>
          </cell>
        </row>
        <row r="1254">
          <cell r="A1254" t="str">
            <v>hdr4si007</v>
          </cell>
          <cell r="D1254" t="str">
            <v>资本金</v>
          </cell>
        </row>
        <row r="1255">
          <cell r="A1255" t="str">
            <v>hdr4si008</v>
          </cell>
          <cell r="D1255" t="str">
            <v>资本公积</v>
          </cell>
        </row>
        <row r="1256">
          <cell r="A1256" t="str">
            <v>hdr4si009</v>
          </cell>
          <cell r="D1256" t="str">
            <v>付款日程表</v>
          </cell>
        </row>
        <row r="1257">
          <cell r="A1257" t="str">
            <v>hdr4si010</v>
          </cell>
          <cell r="D1257" t="str">
            <v>付款次数</v>
          </cell>
        </row>
        <row r="1258">
          <cell r="A1258" t="str">
            <v>hdr4si011</v>
          </cell>
          <cell r="D1258" t="str">
            <v>付款间隔(月数)</v>
          </cell>
        </row>
        <row r="1259">
          <cell r="A1259" t="str">
            <v>hdr4si012</v>
          </cell>
          <cell r="D1259" t="str">
            <v>付款开始年月</v>
          </cell>
        </row>
        <row r="1260">
          <cell r="A1260" t="str">
            <v>hdr4si013</v>
          </cell>
          <cell r="D1260" t="str">
            <v>付款终了年月</v>
          </cell>
        </row>
        <row r="1261">
          <cell r="A1261" t="str">
            <v>hdr4si014</v>
          </cell>
          <cell r="D1261" t="str">
            <v>和约新设·变更</v>
          </cell>
        </row>
        <row r="1262">
          <cell r="A1262" t="str">
            <v>hdr4si015</v>
          </cell>
          <cell r="D1262" t="str">
            <v>付款人/股利</v>
          </cell>
        </row>
        <row r="1263">
          <cell r="A1263" t="str">
            <v>hdr4si016</v>
          </cell>
          <cell r="D1263" t="str">
            <v>商品采购佣金</v>
          </cell>
        </row>
        <row r="1264">
          <cell r="A1264" t="str">
            <v>hdr4si017</v>
          </cell>
          <cell r="D1264" t="str">
            <v>援助收入</v>
          </cell>
        </row>
        <row r="1265">
          <cell r="A1265" t="str">
            <v>hdr4si018</v>
          </cell>
          <cell r="D1265" t="str">
            <v>在产品-期初</v>
          </cell>
        </row>
        <row r="1266">
          <cell r="A1266" t="str">
            <v>hdr4si019</v>
          </cell>
          <cell r="D1266" t="str">
            <v>设施利用权</v>
          </cell>
        </row>
        <row r="1267">
          <cell r="A1267" t="str">
            <v>hdr4si020</v>
          </cell>
          <cell r="D1267" t="str">
            <v>资本金-期末</v>
          </cell>
        </row>
        <row r="1268">
          <cell r="A1268" t="str">
            <v>hdr4si021</v>
          </cell>
          <cell r="D1268" t="str">
            <v>资本公积-期末</v>
          </cell>
        </row>
        <row r="1269">
          <cell r="A1269" t="str">
            <v>hdr4si022</v>
          </cell>
          <cell r="D1269" t="str">
            <v>设施利用权-累计摊销-期初</v>
          </cell>
        </row>
        <row r="1270">
          <cell r="A1270" t="str">
            <v>hdr4si023</v>
          </cell>
          <cell r="D1270" t="str">
            <v>新合同号</v>
          </cell>
        </row>
        <row r="1271">
          <cell r="A1271" t="str">
            <v>hdr4si024</v>
          </cell>
          <cell r="D1271" t="str">
            <v>支援/加工费明细(DGM&amp;DWM&amp;TWM&amp;TKM)</v>
          </cell>
        </row>
        <row r="1272">
          <cell r="A1272" t="str">
            <v>hdr4si025</v>
          </cell>
          <cell r="D1272" t="str">
            <v>支援/加工费</v>
          </cell>
        </row>
        <row r="1273">
          <cell r="A1273" t="str">
            <v>hdr4si026</v>
          </cell>
          <cell r="D1273" t="str">
            <v>支援费</v>
          </cell>
        </row>
        <row r="1274">
          <cell r="A1274" t="str">
            <v>hdr4si027</v>
          </cell>
          <cell r="D1274" t="str">
            <v>(下半年)</v>
          </cell>
        </row>
        <row r="1275">
          <cell r="A1275" t="str">
            <v>hdr4si028</v>
          </cell>
          <cell r="D1275" t="str">
            <v>作为资产核算</v>
          </cell>
        </row>
        <row r="1276">
          <cell r="A1276" t="str">
            <v>hdr4si029</v>
          </cell>
          <cell r="D1276" t="str">
            <v>新产品的生产</v>
          </cell>
        </row>
        <row r="1277">
          <cell r="A1277" t="str">
            <v>hdr4so001</v>
          </cell>
          <cell r="D1277" t="str">
            <v>利润表(前期对比)</v>
          </cell>
        </row>
        <row r="1278">
          <cell r="A1278" t="str">
            <v>hdr4so002</v>
          </cell>
          <cell r="D1278" t="str">
            <v>利润表(预算对比)</v>
          </cell>
        </row>
        <row r="1279">
          <cell r="A1279" t="str">
            <v>hdr4so003</v>
          </cell>
          <cell r="D1279" t="str">
            <v>其他</v>
          </cell>
        </row>
        <row r="1280">
          <cell r="A1280" t="str">
            <v>hdr4so004</v>
          </cell>
          <cell r="D1280" t="str">
            <v>其他长期负债</v>
          </cell>
        </row>
        <row r="1281">
          <cell r="A1281" t="str">
            <v>hdr4so005</v>
          </cell>
          <cell r="D1281" t="str">
            <v>总合计</v>
          </cell>
        </row>
        <row r="1282">
          <cell r="A1282" t="str">
            <v>hdr4so006</v>
          </cell>
          <cell r="D1282" t="str">
            <v>其他(科目结转)</v>
          </cell>
        </row>
        <row r="1283">
          <cell r="A1283" t="str">
            <v>hdr4so007</v>
          </cell>
          <cell r="D1283" t="str">
            <v>其他无形资产</v>
          </cell>
        </row>
        <row r="1284">
          <cell r="A1284" t="str">
            <v>hdr4so008</v>
          </cell>
          <cell r="D1284" t="str">
            <v>其他长期负债-期末</v>
          </cell>
        </row>
        <row r="1285">
          <cell r="A1285" t="str">
            <v>hdr4so009</v>
          </cell>
          <cell r="D1285" t="str">
            <v>其他项目</v>
          </cell>
        </row>
        <row r="1286">
          <cell r="A1286" t="str">
            <v>hdr4so010</v>
          </cell>
          <cell r="D1286" t="str">
            <v>其他投资</v>
          </cell>
        </row>
        <row r="1287">
          <cell r="A1287" t="str">
            <v>hdr4so011</v>
          </cell>
          <cell r="D1287" t="str">
            <v>其他投资 - 期末</v>
          </cell>
        </row>
        <row r="1288">
          <cell r="A1288" t="str">
            <v>hdr4so012</v>
          </cell>
          <cell r="D1288" t="str">
            <v>其他注意事项</v>
          </cell>
        </row>
        <row r="1289">
          <cell r="A1289" t="str">
            <v>hdr4so013</v>
          </cell>
          <cell r="D1289" t="str">
            <v>损益计算书关系事项</v>
          </cell>
        </row>
        <row r="1290">
          <cell r="A1290" t="str">
            <v>hdr4sy001</v>
          </cell>
          <cell r="D1290" t="str">
            <v>主要增减分析</v>
          </cell>
        </row>
        <row r="1291">
          <cell r="A1291" t="str">
            <v>hdr4sy002</v>
          </cell>
          <cell r="D1291" t="str">
            <v>收集的时间性</v>
          </cell>
        </row>
        <row r="1292">
          <cell r="A1292" t="str">
            <v>hdr4sy003</v>
          </cell>
          <cell r="D1292" t="str">
            <v>商品</v>
          </cell>
        </row>
        <row r="1293">
          <cell r="A1293" t="str">
            <v>hdr4sy004</v>
          </cell>
          <cell r="D1293" t="str">
            <v>商品马达销售收入·销售成本(按生产地分)</v>
          </cell>
        </row>
        <row r="1294">
          <cell r="A1294" t="str">
            <v>hdr4sy005</v>
          </cell>
          <cell r="D1294" t="str">
            <v>商品销售收入</v>
          </cell>
        </row>
        <row r="1295">
          <cell r="A1295" t="str">
            <v>hdr4sy006</v>
          </cell>
          <cell r="D1295" t="str">
            <v>商品销售成本</v>
          </cell>
        </row>
        <row r="1296">
          <cell r="A1296" t="str">
            <v>hdr4sy007</v>
          </cell>
          <cell r="D1296" t="str">
            <v>取得成本</v>
          </cell>
        </row>
        <row r="1297">
          <cell r="A1297" t="str">
            <v>hdr4sy008</v>
          </cell>
          <cell r="D1297" t="str">
            <v>取得</v>
          </cell>
        </row>
        <row r="1298">
          <cell r="A1298" t="str">
            <v>hdr4sy009</v>
          </cell>
          <cell r="D1298" t="str">
            <v>出资金</v>
          </cell>
        </row>
        <row r="1299">
          <cell r="A1299" t="str">
            <v>hdr4sy010</v>
          </cell>
          <cell r="D1299" t="str">
            <v>低值品</v>
          </cell>
        </row>
        <row r="1300">
          <cell r="A1300" t="str">
            <v>hdr4sy011</v>
          </cell>
          <cell r="D1300" t="str">
            <v>所有权转移条款</v>
          </cell>
        </row>
        <row r="1301">
          <cell r="A1301" t="str">
            <v>hdr4sy012</v>
          </cell>
          <cell r="D1301" t="str">
            <v>详细</v>
          </cell>
        </row>
        <row r="1302">
          <cell r="A1302" t="str">
            <v>hdr4sy013</v>
          </cell>
          <cell r="D1302" t="str">
            <v>运输设备</v>
          </cell>
        </row>
        <row r="1303">
          <cell r="A1303" t="str">
            <v>hdr4sy014</v>
          </cell>
          <cell r="D1303" t="str">
            <v>出资金-期末</v>
          </cell>
        </row>
        <row r="1304">
          <cell r="A1304" t="str">
            <v>hdr4sy015</v>
          </cell>
          <cell r="D1304" t="str">
            <v>奖金准备超过额</v>
          </cell>
        </row>
        <row r="1305">
          <cell r="A1305" t="str">
            <v>hdr4sy016</v>
          </cell>
          <cell r="D1305" t="str">
            <v>奖金准备超过但为税法所认可额</v>
          </cell>
        </row>
        <row r="1306">
          <cell r="A1306" t="str">
            <v>hdr4sy017</v>
          </cell>
          <cell r="D1306" t="str">
            <v>主要经营指标</v>
          </cell>
        </row>
        <row r="1307">
          <cell r="A1307" t="str">
            <v>hdr4sy018</v>
          </cell>
          <cell r="D1307" t="str">
            <v>主要设备取得内容</v>
          </cell>
        </row>
        <row r="1308">
          <cell r="A1308" t="str">
            <v>hdr4sy019</v>
          </cell>
          <cell r="D1308" t="str">
            <v>主要设备销售·报废内容</v>
          </cell>
        </row>
        <row r="1309">
          <cell r="A1309" t="str">
            <v>hdr4ta001</v>
          </cell>
          <cell r="D1309" t="str">
            <v>他工场责任</v>
          </cell>
        </row>
        <row r="1310">
          <cell r="A1310" t="str">
            <v>hdr4ta002</v>
          </cell>
          <cell r="D1310" t="str">
            <v>积压月数</v>
          </cell>
        </row>
        <row r="1311">
          <cell r="A1311" t="str">
            <v>hdr4ta003</v>
          </cell>
          <cell r="D1311" t="str">
            <v>积压存货表</v>
          </cell>
        </row>
        <row r="1312">
          <cell r="A1312" t="str">
            <v>hdr4ta004</v>
          </cell>
          <cell r="D1312" t="str">
            <v>积压理由及销售可能性</v>
          </cell>
        </row>
        <row r="1313">
          <cell r="A1313" t="str">
            <v>hdr4ta005</v>
          </cell>
          <cell r="D1313" t="str">
            <v>资产负债表(资产)</v>
          </cell>
        </row>
        <row r="1314">
          <cell r="A1314" t="str">
            <v>hdr4ta006</v>
          </cell>
          <cell r="D1314" t="str">
            <v>资产负债表(负债·权益)</v>
          </cell>
        </row>
        <row r="1315">
          <cell r="A1315" t="str">
            <v>hdr4ta007</v>
          </cell>
          <cell r="D1315" t="str">
            <v>存货明细(按品名分)</v>
          </cell>
        </row>
        <row r="1316">
          <cell r="A1316" t="str">
            <v>hdr4ta008</v>
          </cell>
          <cell r="D1316" t="str">
            <v>存货积压明细</v>
          </cell>
        </row>
        <row r="1317">
          <cell r="A1317" t="str">
            <v>hdr4ta009</v>
          </cell>
          <cell r="D1317" t="str">
            <v>存货积压明细</v>
          </cell>
        </row>
        <row r="1318">
          <cell r="A1318" t="str">
            <v>hdr4ta010</v>
          </cell>
          <cell r="D1318" t="str">
            <v>存货报废损</v>
          </cell>
        </row>
        <row r="1319">
          <cell r="A1319" t="str">
            <v>hdr4ta011</v>
          </cell>
          <cell r="D1319" t="str">
            <v>存货报废损明细</v>
          </cell>
        </row>
        <row r="1320">
          <cell r="A1320" t="str">
            <v>hdr4ta012</v>
          </cell>
          <cell r="D1320" t="str">
            <v>存货评价损</v>
          </cell>
        </row>
        <row r="1321">
          <cell r="A1321" t="str">
            <v>hdr4ta013</v>
          </cell>
          <cell r="D1321" t="str">
            <v>存货评价损明细</v>
          </cell>
        </row>
        <row r="1322">
          <cell r="A1322" t="str">
            <v>hdr4ta014</v>
          </cell>
          <cell r="D1322" t="str">
            <v>积压在库</v>
          </cell>
        </row>
        <row r="1323">
          <cell r="A1323" t="str">
            <v>hdr4ta015</v>
          </cell>
          <cell r="D1323" t="str">
            <v>短期</v>
          </cell>
        </row>
        <row r="1324">
          <cell r="A1324" t="str">
            <v>hdr4ta016</v>
          </cell>
          <cell r="D1324" t="str">
            <v>短期贷款</v>
          </cell>
        </row>
        <row r="1325">
          <cell r="A1325" t="str">
            <v>hdr4ta017</v>
          </cell>
          <cell r="D1325" t="str">
            <v>短期借款</v>
          </cell>
        </row>
        <row r="1326">
          <cell r="A1326" t="str">
            <v>hdr4ta018</v>
          </cell>
          <cell r="D1326" t="str">
            <v>退职金准备</v>
          </cell>
        </row>
        <row r="1327">
          <cell r="A1327" t="str">
            <v>hdr4ta019</v>
          </cell>
          <cell r="D1327" t="str">
            <v>存货</v>
          </cell>
        </row>
        <row r="1328">
          <cell r="A1328" t="str">
            <v>hdr4ta020</v>
          </cell>
          <cell r="D1328" t="str">
            <v>房屋建筑物</v>
          </cell>
        </row>
        <row r="1329">
          <cell r="A1329" t="str">
            <v>hdr4ta021</v>
          </cell>
          <cell r="D1329" t="str">
            <v>短期贷款-期末</v>
          </cell>
        </row>
        <row r="1330">
          <cell r="A1330" t="str">
            <v>hdr4ta022</v>
          </cell>
          <cell r="D1330" t="str">
            <v>短期借款-期末</v>
          </cell>
        </row>
        <row r="1331">
          <cell r="A1331" t="str">
            <v>hdr4ta023</v>
          </cell>
          <cell r="D1331" t="str">
            <v>退职金准备-期末</v>
          </cell>
        </row>
        <row r="1332">
          <cell r="A1332" t="str">
            <v>hdr4ta024</v>
          </cell>
          <cell r="D1332" t="str">
            <v>存货评价损为税法所认可的金额</v>
          </cell>
        </row>
        <row r="1333">
          <cell r="A1333" t="str">
            <v>hdr4ta025</v>
          </cell>
          <cell r="D1333" t="str">
            <v>退职金准备超过额</v>
          </cell>
        </row>
        <row r="1334">
          <cell r="A1334" t="str">
            <v>hdr4ta026</v>
          </cell>
          <cell r="D1334" t="str">
            <v>退职金准备超过但为税法所认可的金额</v>
          </cell>
        </row>
        <row r="1335">
          <cell r="A1335" t="str">
            <v>hdr4ta027</v>
          </cell>
          <cell r="D1335" t="str">
            <v>房屋建筑物-取得成本-期初</v>
          </cell>
        </row>
        <row r="1336">
          <cell r="A1336" t="str">
            <v>hdr4ta028</v>
          </cell>
          <cell r="D1336" t="str">
            <v>房屋建筑物-累计折旧-期初</v>
          </cell>
        </row>
        <row r="1337">
          <cell r="A1337" t="str">
            <v>hdr4ta029</v>
          </cell>
          <cell r="D1337" t="str">
            <v>短期贷款 - 集团内 - 期初</v>
          </cell>
        </row>
        <row r="1338">
          <cell r="A1338" t="str">
            <v>hdr4ta030</v>
          </cell>
          <cell r="D1338" t="str">
            <v>短期贷款 - 一般 - 期初</v>
          </cell>
        </row>
        <row r="1339">
          <cell r="A1339" t="str">
            <v>hdr4ta031</v>
          </cell>
          <cell r="D1339" t="str">
            <v>短期借款 - 集团内 - 期初</v>
          </cell>
        </row>
        <row r="1340">
          <cell r="A1340" t="str">
            <v>hdr4ta032</v>
          </cell>
          <cell r="D1340" t="str">
            <v>短期借款 - 一般 - 期初</v>
          </cell>
        </row>
        <row r="1341">
          <cell r="A1341" t="str">
            <v>hdr4ta033</v>
          </cell>
          <cell r="D1341" t="str">
            <v>使用年限</v>
          </cell>
        </row>
        <row r="1342">
          <cell r="A1342" t="str">
            <v>hdr4ta034</v>
          </cell>
          <cell r="D1342" t="str">
            <v>存货报废损失</v>
          </cell>
        </row>
        <row r="1343">
          <cell r="A1343" t="str">
            <v>hdr4ta035</v>
          </cell>
          <cell r="D1343" t="str">
            <v>存货评价损</v>
          </cell>
        </row>
        <row r="1344">
          <cell r="A1344" t="str">
            <v>hdr4ta036</v>
          </cell>
          <cell r="D1344" t="str">
            <v>短期贷款 - 集团内</v>
          </cell>
        </row>
        <row r="1345">
          <cell r="A1345" t="str">
            <v>hdr4ta037</v>
          </cell>
          <cell r="D1345" t="str">
            <v>短期贷款 - 一般</v>
          </cell>
        </row>
        <row r="1346">
          <cell r="A1346" t="str">
            <v>hdr4ta038</v>
          </cell>
          <cell r="D1346" t="str">
            <v>短期借款 - 集团内</v>
          </cell>
        </row>
        <row r="1347">
          <cell r="A1347" t="str">
            <v>hdr4ta039</v>
          </cell>
          <cell r="D1347" t="str">
            <v>短期借款 - 一般</v>
          </cell>
        </row>
        <row r="1348">
          <cell r="A1348" t="str">
            <v>hdr4ta040</v>
          </cell>
          <cell r="D1348" t="str">
            <v>-</v>
          </cell>
        </row>
        <row r="1349">
          <cell r="A1349" t="str">
            <v>hdr4ta041</v>
          </cell>
          <cell r="D1349" t="str">
            <v>-</v>
          </cell>
        </row>
        <row r="1350">
          <cell r="A1350" t="str">
            <v>hdr4ta042</v>
          </cell>
          <cell r="D1350" t="str">
            <v>借贷对照表关联事项</v>
          </cell>
        </row>
        <row r="1351">
          <cell r="A1351" t="str">
            <v>hdr4ta043</v>
          </cell>
          <cell r="D1351" t="str">
            <v>保证债务残高</v>
          </cell>
        </row>
        <row r="1352">
          <cell r="A1352" t="str">
            <v>hdr4ta044</v>
          </cell>
          <cell r="D1352" t="str">
            <v>有担保债务的余额</v>
          </cell>
        </row>
        <row r="1353">
          <cell r="A1353" t="str">
            <v>hdr4te001</v>
          </cell>
          <cell r="D1353" t="str">
            <v>可转换公司债</v>
          </cell>
        </row>
        <row r="1354">
          <cell r="A1354" t="str">
            <v>hdr4te002</v>
          </cell>
          <cell r="D1354" t="str">
            <v>摘要</v>
          </cell>
        </row>
        <row r="1355">
          <cell r="A1355" t="str">
            <v>hdr4te003</v>
          </cell>
          <cell r="D1355" t="str">
            <v>转让租赁</v>
          </cell>
        </row>
        <row r="1356">
          <cell r="A1356" t="str">
            <v>hdr4te004</v>
          </cell>
          <cell r="D1356" t="str">
            <v>可转换公司债-期末</v>
          </cell>
        </row>
        <row r="1357">
          <cell r="A1357" t="str">
            <v>hdr4te005</v>
          </cell>
          <cell r="D1357" t="str">
            <v>余额递减法（D）/直线法（S）</v>
          </cell>
        </row>
        <row r="1358">
          <cell r="A1358" t="str">
            <v>hdr4te006</v>
          </cell>
          <cell r="D1358" t="str">
            <v>手形割引高</v>
          </cell>
        </row>
        <row r="1359">
          <cell r="A1359" t="str">
            <v>hdr4ti001</v>
          </cell>
          <cell r="D1359" t="str">
            <v>逾期日数</v>
          </cell>
        </row>
        <row r="1360">
          <cell r="A1360" t="str">
            <v>hdr4ti002</v>
          </cell>
          <cell r="D1360" t="str">
            <v>逾期客户名单</v>
          </cell>
        </row>
        <row r="1361">
          <cell r="A1361" t="str">
            <v>hdr4ti003</v>
          </cell>
          <cell r="D1361" t="str">
            <v>逾期理由及回收可能性</v>
          </cell>
        </row>
        <row r="1362">
          <cell r="A1362" t="str">
            <v>hdr4ti004</v>
          </cell>
          <cell r="D1362" t="str">
            <v>逾期应收帐款</v>
          </cell>
        </row>
        <row r="1363">
          <cell r="A1363" t="str">
            <v>hdr4ti005</v>
          </cell>
          <cell r="D1363" t="str">
            <v>工资上涨实施月</v>
          </cell>
        </row>
        <row r="1364">
          <cell r="A1364" t="str">
            <v>hdr4ti006</v>
          </cell>
          <cell r="D1364" t="str">
            <v>-</v>
          </cell>
        </row>
        <row r="1365">
          <cell r="A1365" t="str">
            <v>hdr4to001</v>
          </cell>
          <cell r="D1365" t="str">
            <v>本期</v>
          </cell>
        </row>
        <row r="1366">
          <cell r="A1366" t="str">
            <v>hdr4to002</v>
          </cell>
          <cell r="D1366" t="str">
            <v>本月主要事项</v>
          </cell>
        </row>
        <row r="1367">
          <cell r="A1367" t="str">
            <v>hdr4to003</v>
          </cell>
          <cell r="D1367" t="str">
            <v>本月结转</v>
          </cell>
        </row>
        <row r="1368">
          <cell r="A1368" t="str">
            <v>hdr4to004</v>
          </cell>
          <cell r="D1368" t="str">
            <v>本月发生</v>
          </cell>
        </row>
        <row r="1369">
          <cell r="A1369" t="str">
            <v>hdr4to005</v>
          </cell>
          <cell r="D1369" t="str">
            <v>本月月末</v>
          </cell>
        </row>
        <row r="1370">
          <cell r="A1370" t="str">
            <v>hdr4to006</v>
          </cell>
          <cell r="D1370" t="str">
            <v>交易货币明细</v>
          </cell>
        </row>
        <row r="1371">
          <cell r="A1371" t="str">
            <v>hdr4to007</v>
          </cell>
          <cell r="D1371" t="str">
            <v>交易货币</v>
          </cell>
        </row>
        <row r="1372">
          <cell r="A1372" t="str">
            <v>hdr4to008</v>
          </cell>
          <cell r="D1372" t="str">
            <v>交易货币代号</v>
          </cell>
        </row>
        <row r="1373">
          <cell r="A1373" t="str">
            <v>hdr4to009</v>
          </cell>
          <cell r="D1373" t="str">
            <v>投资有价证券</v>
          </cell>
        </row>
        <row r="1374">
          <cell r="A1374" t="str">
            <v>hdr4to010</v>
          </cell>
          <cell r="D1374" t="str">
            <v>特制型号</v>
          </cell>
        </row>
        <row r="1375">
          <cell r="A1375" t="str">
            <v>hdr4to011</v>
          </cell>
          <cell r="D1375" t="str">
            <v>东南亚</v>
          </cell>
        </row>
        <row r="1376">
          <cell r="A1376" t="str">
            <v>hdr4to012</v>
          </cell>
          <cell r="D1376" t="str">
            <v>当期产成品制造成本</v>
          </cell>
        </row>
        <row r="1377">
          <cell r="A1377" t="str">
            <v>hdr4to013</v>
          </cell>
          <cell r="D1377" t="str">
            <v>当期制造成本中MMK供给材料费</v>
          </cell>
        </row>
        <row r="1378">
          <cell r="A1378" t="str">
            <v>hdr4to014</v>
          </cell>
          <cell r="D1378" t="str">
            <v>本期发生</v>
          </cell>
        </row>
        <row r="1379">
          <cell r="A1379" t="str">
            <v>hdr4to015</v>
          </cell>
          <cell r="D1379" t="str">
            <v>本期折旧</v>
          </cell>
        </row>
        <row r="1380">
          <cell r="A1380" t="str">
            <v>hdr4to016</v>
          </cell>
          <cell r="D1380" t="str">
            <v>土地</v>
          </cell>
        </row>
        <row r="1381">
          <cell r="A1381" t="str">
            <v>hdr4to017</v>
          </cell>
          <cell r="D1381" t="str">
            <v>土地使用权</v>
          </cell>
        </row>
        <row r="1382">
          <cell r="A1382" t="str">
            <v>hdr4to018</v>
          </cell>
          <cell r="D1382" t="str">
            <v>投资有价证券-期末</v>
          </cell>
        </row>
        <row r="1383">
          <cell r="A1383" t="str">
            <v>hdr4to019</v>
          </cell>
          <cell r="D1383" t="str">
            <v>当期制造成本中TKM供给材料费</v>
          </cell>
        </row>
        <row r="1384">
          <cell r="A1384" t="str">
            <v>hdr4to020</v>
          </cell>
          <cell r="D1384" t="str">
            <v>当期制造成本中HKSEIKO供给材料费</v>
          </cell>
        </row>
        <row r="1385">
          <cell r="A1385" t="str">
            <v>hdr4to021</v>
          </cell>
          <cell r="D1385" t="str">
            <v>-</v>
          </cell>
        </row>
        <row r="1386">
          <cell r="A1386" t="str">
            <v>hdr4to022</v>
          </cell>
          <cell r="D1386" t="str">
            <v>当期支付融资租赁费</v>
          </cell>
        </row>
        <row r="1387">
          <cell r="A1387" t="str">
            <v>hdr4to023</v>
          </cell>
          <cell r="D1387" t="str">
            <v>当期制造成本中DGM供给材料费</v>
          </cell>
        </row>
        <row r="1388">
          <cell r="A1388" t="str">
            <v>hdr4to024</v>
          </cell>
          <cell r="D1388" t="str">
            <v>当期制造成本中LDM供给材料费</v>
          </cell>
        </row>
        <row r="1389">
          <cell r="A1389" t="str">
            <v>hdr4ty001</v>
          </cell>
          <cell r="D1389" t="str">
            <v>低值易耗品</v>
          </cell>
        </row>
        <row r="1390">
          <cell r="A1390" t="str">
            <v>hdr4ty002</v>
          </cell>
          <cell r="D1390" t="str">
            <v>调整金额</v>
          </cell>
        </row>
        <row r="1391">
          <cell r="A1391" t="str">
            <v>hdr4ty003</v>
          </cell>
          <cell r="D1391" t="str">
            <v>长期</v>
          </cell>
        </row>
        <row r="1392">
          <cell r="A1392" t="str">
            <v>hdr4ty004</v>
          </cell>
          <cell r="D1392" t="str">
            <v>长期贷款</v>
          </cell>
        </row>
        <row r="1393">
          <cell r="A1393" t="str">
            <v>hdr4ty005</v>
          </cell>
          <cell r="D1393" t="str">
            <v>长期借款</v>
          </cell>
        </row>
        <row r="1394">
          <cell r="A1394" t="str">
            <v>hdr4ty006</v>
          </cell>
          <cell r="D1394" t="str">
            <v>中途解约(Y:可 N:不可)</v>
          </cell>
        </row>
        <row r="1395">
          <cell r="A1395" t="str">
            <v>hdr4ty007</v>
          </cell>
          <cell r="D1395" t="str">
            <v>长期贷款-期末</v>
          </cell>
        </row>
        <row r="1396">
          <cell r="A1396" t="str">
            <v>hdr4ty008</v>
          </cell>
          <cell r="D1396" t="str">
            <v>长期借款-期末</v>
          </cell>
        </row>
        <row r="1397">
          <cell r="A1397" t="str">
            <v>hdr4ty009</v>
          </cell>
          <cell r="D1397" t="str">
            <v>长期贷款 - 集团内 - 期初</v>
          </cell>
        </row>
        <row r="1398">
          <cell r="A1398" t="str">
            <v>hdr4ty010</v>
          </cell>
          <cell r="D1398" t="str">
            <v>长期贷款-一般 - 期初</v>
          </cell>
        </row>
        <row r="1399">
          <cell r="A1399" t="str">
            <v>hdr4ty011</v>
          </cell>
          <cell r="D1399" t="str">
            <v>长期借款 - 集团内 - 期初</v>
          </cell>
        </row>
        <row r="1400">
          <cell r="A1400" t="str">
            <v>hdr4ty012</v>
          </cell>
          <cell r="D1400" t="str">
            <v>长期借款 - 一般 - 期初</v>
          </cell>
        </row>
        <row r="1401">
          <cell r="A1401" t="str">
            <v>hdr4ty013</v>
          </cell>
          <cell r="D1401" t="str">
            <v>定期存款</v>
          </cell>
        </row>
        <row r="1402">
          <cell r="A1402" t="str">
            <v>hdr4ty014</v>
          </cell>
          <cell r="D1402" t="str">
            <v>定期存款 - 期末</v>
          </cell>
        </row>
        <row r="1403">
          <cell r="A1403" t="str">
            <v>hdr4ty015</v>
          </cell>
          <cell r="D1403" t="str">
            <v>长期待摊费用</v>
          </cell>
        </row>
        <row r="1404">
          <cell r="A1404" t="str">
            <v>hdr4ty016</v>
          </cell>
          <cell r="D1404" t="str">
            <v>长期待摊费用- 期末</v>
          </cell>
        </row>
        <row r="1405">
          <cell r="A1405" t="str">
            <v>hdr4ty017</v>
          </cell>
          <cell r="D1405" t="str">
            <v>长期贷款 - 集团内</v>
          </cell>
        </row>
        <row r="1406">
          <cell r="A1406" t="str">
            <v>hdr4ty018</v>
          </cell>
          <cell r="D1406" t="str">
            <v>长期贷款-一般</v>
          </cell>
        </row>
        <row r="1407">
          <cell r="A1407" t="str">
            <v>hdr4ty019</v>
          </cell>
          <cell r="D1407" t="str">
            <v>长期借款 - 集团内</v>
          </cell>
        </row>
        <row r="1408">
          <cell r="A1408" t="str">
            <v>hdr4ty020</v>
          </cell>
          <cell r="D1408" t="str">
            <v>长期借款 - 一般</v>
          </cell>
        </row>
        <row r="1409">
          <cell r="A1409" t="str">
            <v>hdr4ty021</v>
          </cell>
          <cell r="D1409" t="str">
            <v>直接劳务费</v>
          </cell>
        </row>
        <row r="1410">
          <cell r="A1410" t="str">
            <v>hdr4ty022</v>
          </cell>
          <cell r="D1410" t="str">
            <v>(调整项目)</v>
          </cell>
        </row>
        <row r="1411">
          <cell r="A1411" t="str">
            <v>hdr4ty023</v>
          </cell>
          <cell r="D1411" t="str">
            <v>（中间决算）</v>
          </cell>
        </row>
        <row r="1412">
          <cell r="A1412" t="str">
            <v>hdr4ty024</v>
          </cell>
          <cell r="D1412" t="str">
            <v>(中间税金费用)</v>
          </cell>
        </row>
        <row r="1413">
          <cell r="A1413" t="str">
            <v>hdr4ty025</v>
          </cell>
          <cell r="D1413" t="str">
            <v>中间税金费用</v>
          </cell>
        </row>
        <row r="1414">
          <cell r="A1414" t="str">
            <v>hdr4ty026</v>
          </cell>
          <cell r="D1414" t="str">
            <v>中间</v>
          </cell>
        </row>
        <row r="1415">
          <cell r="A1415" t="str">
            <v>hdr4ty027</v>
          </cell>
          <cell r="D1415" t="str">
            <v>注记明细</v>
          </cell>
        </row>
        <row r="1416">
          <cell r="A1416" t="str">
            <v>hdr4ty028</v>
          </cell>
          <cell r="D1416" t="str">
            <v>帐面净值</v>
          </cell>
        </row>
        <row r="1417">
          <cell r="A1417" t="str">
            <v>hdr4uu001</v>
          </cell>
          <cell r="D1417" t="str">
            <v>股利收入明细(仅MMK/HKM/TWM/TKM/DLM)</v>
          </cell>
        </row>
        <row r="1418">
          <cell r="A1418" t="str">
            <v>hdr4uu002</v>
          </cell>
          <cell r="D1418" t="str">
            <v>应收款项余额</v>
          </cell>
        </row>
        <row r="1419">
          <cell r="A1419" t="str">
            <v>hdr4uu003</v>
          </cell>
          <cell r="D1419" t="str">
            <v>逾期应收款项明细</v>
          </cell>
        </row>
        <row r="1420">
          <cell r="A1420" t="str">
            <v>hdr4uu004</v>
          </cell>
          <cell r="D1420" t="str">
            <v>销售成本计算表(分科目·分部门)</v>
          </cell>
        </row>
        <row r="1421">
          <cell r="A1421" t="str">
            <v>hdr4uu005</v>
          </cell>
          <cell r="D1421" t="str">
            <v>销售成本明细</v>
          </cell>
        </row>
        <row r="1422">
          <cell r="A1422" t="str">
            <v>hdr4uu006</v>
          </cell>
          <cell r="D1422" t="str">
            <v>销售成本明细(分科目·分部门)</v>
          </cell>
        </row>
        <row r="1423">
          <cell r="A1423" t="str">
            <v>hdr4uu007</v>
          </cell>
          <cell r="D1423" t="str">
            <v>销售收入明细</v>
          </cell>
        </row>
        <row r="1424">
          <cell r="A1424" t="str">
            <v>hdr4uu008</v>
          </cell>
          <cell r="D1424" t="str">
            <v>销售收入明细(分科目·分部门)</v>
          </cell>
        </row>
        <row r="1425">
          <cell r="A1425" t="str">
            <v>hdr4uu009</v>
          </cell>
          <cell r="D1425" t="str">
            <v>客户/销售收入</v>
          </cell>
        </row>
        <row r="1426">
          <cell r="A1426" t="str">
            <v>hdr4uu010</v>
          </cell>
          <cell r="D1426" t="str">
            <v>客户/销售成本</v>
          </cell>
        </row>
        <row r="1427">
          <cell r="A1427" t="str">
            <v>hdr4uu011</v>
          </cell>
          <cell r="D1427" t="str">
            <v>佣金收入</v>
          </cell>
        </row>
        <row r="1428">
          <cell r="A1428" t="str">
            <v>hdr4uu012</v>
          </cell>
          <cell r="D1428" t="str">
            <v>技术援助收入</v>
          </cell>
        </row>
        <row r="1429">
          <cell r="A1429" t="str">
            <v>hdr4uu013</v>
          </cell>
          <cell r="D1429" t="str">
            <v>销售成本</v>
          </cell>
        </row>
        <row r="1430">
          <cell r="A1430" t="str">
            <v>hdr4uu014</v>
          </cell>
          <cell r="D1430" t="str">
            <v>销售收入</v>
          </cell>
        </row>
        <row r="1431">
          <cell r="A1431" t="str">
            <v>hdr4uu015</v>
          </cell>
          <cell r="D1431" t="str">
            <v>-</v>
          </cell>
        </row>
        <row r="1432">
          <cell r="A1432" t="str">
            <v>hdr4wa001</v>
          </cell>
          <cell r="D1432" t="str">
            <v>以折扣价购入的选择权</v>
          </cell>
        </row>
        <row r="1433">
          <cell r="A1433" t="str">
            <v>hdr4ya001</v>
          </cell>
          <cell r="D1433" t="str">
            <v>董事退职金提取额</v>
          </cell>
        </row>
        <row r="1434">
          <cell r="A1434" t="str">
            <v>hdr4ya002</v>
          </cell>
          <cell r="D1434" t="str">
            <v>董事退职金使用额</v>
          </cell>
        </row>
        <row r="1435">
          <cell r="A1435" t="str">
            <v>hdr4ya003</v>
          </cell>
          <cell r="D1435" t="str">
            <v>董事退职年金储备金</v>
          </cell>
        </row>
        <row r="1436">
          <cell r="A1436" t="str">
            <v>hdr4ya004</v>
          </cell>
          <cell r="D1436" t="str">
            <v>董事退职年金储备金 - 期末</v>
          </cell>
        </row>
        <row r="1437">
          <cell r="A1437" t="str">
            <v>hdr4ya005</v>
          </cell>
          <cell r="D1437" t="str">
            <v>董事保险金储备金</v>
          </cell>
        </row>
        <row r="1438">
          <cell r="A1438" t="str">
            <v>hdr4ya006</v>
          </cell>
          <cell r="D1438" t="str">
            <v>董事保险金储备金 - 期末</v>
          </cell>
        </row>
        <row r="1439">
          <cell r="A1439" t="str">
            <v>hdr4yo001</v>
          </cell>
          <cell r="D1439" t="str">
            <v>预算</v>
          </cell>
        </row>
        <row r="1440">
          <cell r="A1440" t="str">
            <v>hdr4yo002</v>
          </cell>
          <cell r="D1440" t="str">
            <v>与预算比较</v>
          </cell>
        </row>
        <row r="1441">
          <cell r="A1441" t="str">
            <v>hdr4yo003</v>
          </cell>
          <cell r="D1441" t="str">
            <v>银行存款 - 现金等价物 - 期初</v>
          </cell>
        </row>
        <row r="1442">
          <cell r="A1442" t="str">
            <v>hdr4yo004</v>
          </cell>
          <cell r="D1442" t="str">
            <v>银行存款 - 其他 - 期初</v>
          </cell>
        </row>
        <row r="1443">
          <cell r="A1443" t="str">
            <v>hdr4yo005</v>
          </cell>
          <cell r="D1443" t="str">
            <v>银行存款</v>
          </cell>
        </row>
        <row r="1444">
          <cell r="A1444" t="str">
            <v>hdr4yo006</v>
          </cell>
          <cell r="D1444" t="str">
            <v>银行存款 - 现金等价物</v>
          </cell>
        </row>
        <row r="1445">
          <cell r="A1445" t="str">
            <v>hdr4yo007</v>
          </cell>
          <cell r="D1445" t="str">
            <v>银行存款 - 其他</v>
          </cell>
        </row>
        <row r="1446">
          <cell r="A1446" t="str">
            <v>hdr4yo008</v>
          </cell>
          <cell r="D1446" t="str">
            <v>银行存款 - 期末</v>
          </cell>
        </row>
        <row r="1447">
          <cell r="A1447" t="str">
            <v>hdr4yo009</v>
          </cell>
          <cell r="D1447" t="str">
            <v>明期</v>
          </cell>
        </row>
        <row r="1448">
          <cell r="A1448" t="str">
            <v>hdr4yo010</v>
          </cell>
          <cell r="D1448" t="str">
            <v>预计年间税前当期纯利益</v>
          </cell>
        </row>
        <row r="1449">
          <cell r="A1449" t="str">
            <v>hdr4yo011</v>
          </cell>
          <cell r="D1449" t="str">
            <v>预计年间税额扣除额</v>
          </cell>
        </row>
        <row r="1450">
          <cell r="A1450" t="str">
            <v>hdr4yo012</v>
          </cell>
          <cell r="D1450" t="str">
            <v>预计年间其他税额</v>
          </cell>
        </row>
        <row r="1451">
          <cell r="A1451" t="str">
            <v>hdr4yo013</v>
          </cell>
          <cell r="D1451" t="str">
            <v>预计年间税金费用</v>
          </cell>
        </row>
        <row r="1452">
          <cell r="A1452" t="str">
            <v>hdr4yo014</v>
          </cell>
          <cell r="D1452" t="str">
            <v>主要分</v>
          </cell>
        </row>
        <row r="1453">
          <cell r="A1453" t="str">
            <v>hdr4yu001</v>
          </cell>
          <cell r="D1453" t="str">
            <v>有价证券报告书(接受订货余额)</v>
          </cell>
        </row>
        <row r="1454">
          <cell r="A1454" t="str">
            <v>hdr4yu002</v>
          </cell>
          <cell r="D1454" t="str">
            <v>有价证券报告书(生产计划)</v>
          </cell>
        </row>
        <row r="1455">
          <cell r="A1455" t="str">
            <v>hdr4yu003</v>
          </cell>
          <cell r="D1455" t="str">
            <v>固定资产</v>
          </cell>
        </row>
        <row r="1456">
          <cell r="A1456" t="str">
            <v>hdr4yu004</v>
          </cell>
          <cell r="D1456" t="str">
            <v>有价证券</v>
          </cell>
        </row>
        <row r="1457">
          <cell r="A1457" t="str">
            <v>hdr4yu005</v>
          </cell>
          <cell r="D1457" t="str">
            <v>有价证券-期末</v>
          </cell>
        </row>
        <row r="1458">
          <cell r="A1458" t="str">
            <v>hdr4yu006</v>
          </cell>
          <cell r="D1458" t="str">
            <v>有价证券 - 现金等价物 - 期初</v>
          </cell>
        </row>
        <row r="1459">
          <cell r="A1459" t="str">
            <v>hdr4yu007</v>
          </cell>
          <cell r="D1459" t="str">
            <v>有价证券 - 其他 - 期初</v>
          </cell>
        </row>
        <row r="1460">
          <cell r="A1460" t="str">
            <v>hdr4yu008</v>
          </cell>
          <cell r="D1460" t="str">
            <v>有价证券 - 现金等价物</v>
          </cell>
        </row>
        <row r="1461">
          <cell r="A1461" t="str">
            <v>hdr4yu009</v>
          </cell>
          <cell r="D1461" t="str">
            <v>有价证券 - 其他</v>
          </cell>
        </row>
        <row r="1462">
          <cell r="A1462" t="str">
            <v>hdr4yu010</v>
          </cell>
          <cell r="D1462" t="str">
            <v>－</v>
          </cell>
        </row>
        <row r="1463">
          <cell r="A1463" t="str">
            <v>hdr4yu011</v>
          </cell>
          <cell r="D1463" t="str">
            <v>－</v>
          </cell>
        </row>
        <row r="1464">
          <cell r="A1464" t="str">
            <v>hdr4yu012</v>
          </cell>
          <cell r="D1464" t="str">
            <v>－</v>
          </cell>
        </row>
        <row r="1465">
          <cell r="A1465" t="str">
            <v>hdr4za001</v>
          </cell>
          <cell r="D1465" t="str">
            <v>材料</v>
          </cell>
        </row>
        <row r="1466">
          <cell r="A1466" t="str">
            <v>hdr4za002</v>
          </cell>
          <cell r="D1466" t="str">
            <v>财务报表输入表</v>
          </cell>
        </row>
        <row r="1467">
          <cell r="A1467" t="str">
            <v>hdr4za003</v>
          </cell>
          <cell r="D1467" t="str">
            <v>材料销售收入</v>
          </cell>
        </row>
        <row r="1468">
          <cell r="A1468" t="str">
            <v>hdr4za004</v>
          </cell>
          <cell r="D1468" t="str">
            <v>材料-期初</v>
          </cell>
        </row>
        <row r="1469">
          <cell r="A1469" t="str">
            <v>hdr4za005</v>
          </cell>
          <cell r="D1469" t="str">
            <v>残存价格</v>
          </cell>
        </row>
        <row r="1470">
          <cell r="A1470" t="str">
            <v>hdr4za006</v>
          </cell>
          <cell r="D1470" t="str">
            <v>残存价格(%)</v>
          </cell>
        </row>
        <row r="1471">
          <cell r="A1471" t="str">
            <v>hdr4za007</v>
          </cell>
          <cell r="D1471" t="str">
            <v>材料费</v>
          </cell>
        </row>
        <row r="1472">
          <cell r="A1472" t="str">
            <v>hdr4ze001</v>
          </cell>
          <cell r="D1472" t="str">
            <v>税金影响明细</v>
          </cell>
        </row>
        <row r="1473">
          <cell r="A1473" t="str">
            <v>hdr4ze002</v>
          </cell>
          <cell r="D1473" t="str">
            <v>前期</v>
          </cell>
        </row>
        <row r="1474">
          <cell r="A1474" t="str">
            <v>hdr4ze003</v>
          </cell>
          <cell r="D1474" t="str">
            <v>与前期对比</v>
          </cell>
        </row>
        <row r="1475">
          <cell r="A1475" t="str">
            <v>hdr4ze004</v>
          </cell>
          <cell r="D1475" t="str">
            <v>前期末</v>
          </cell>
        </row>
        <row r="1476">
          <cell r="A1476" t="str">
            <v>hdr4ze005</v>
          </cell>
          <cell r="D1476" t="str">
            <v>当期税前净利润</v>
          </cell>
        </row>
        <row r="1477">
          <cell r="A1477" t="str">
            <v>hdr4ze006</v>
          </cell>
          <cell r="D1477" t="str">
            <v>税务计算用的数值</v>
          </cell>
        </row>
        <row r="1478">
          <cell r="A1478" t="str">
            <v>hdr4ze007</v>
          </cell>
          <cell r="D1478" t="str">
            <v>税率</v>
          </cell>
        </row>
        <row r="1479">
          <cell r="A1479" t="str">
            <v>hdr4ze008</v>
          </cell>
          <cell r="D1479" t="str">
            <v>税额</v>
          </cell>
        </row>
        <row r="1480">
          <cell r="A1480" t="str">
            <v>hdr4ze009</v>
          </cell>
          <cell r="D1480" t="str">
            <v>(税金计算后)</v>
          </cell>
        </row>
        <row r="1481">
          <cell r="A1481" t="str">
            <v>hdr4ze010</v>
          </cell>
          <cell r="D1481" t="str">
            <v>(税金费用差异分析)</v>
          </cell>
        </row>
        <row r="1482">
          <cell r="A1482" t="str">
            <v>hdr4ze011</v>
          </cell>
          <cell r="D1482" t="str">
            <v>(税金调整)</v>
          </cell>
        </row>
        <row r="1483">
          <cell r="A1483" t="str">
            <v>hdr4ze012</v>
          </cell>
          <cell r="D1483" t="str">
            <v>税前中间净利润</v>
          </cell>
        </row>
        <row r="1484">
          <cell r="A1484" t="str">
            <v>hdr4zo001</v>
          </cell>
          <cell r="D1484" t="str">
            <v>增减率</v>
          </cell>
        </row>
        <row r="1485">
          <cell r="A1485" t="str">
            <v>hdr4zo002</v>
          </cell>
          <cell r="D1485" t="str">
            <v>增加</v>
          </cell>
        </row>
        <row r="1486">
          <cell r="A1486" t="str">
            <v>hdr4zo003</v>
          </cell>
          <cell r="D1486" t="str">
            <v>增减分析</v>
          </cell>
        </row>
        <row r="1487">
          <cell r="A1487" t="str">
            <v>hdr4zo004</v>
          </cell>
          <cell r="D1487" t="str">
            <v>产成品销售成本／增値税</v>
          </cell>
        </row>
        <row r="1488">
          <cell r="A1488" t="str">
            <v>hkm</v>
          </cell>
          <cell r="D1488" t="str">
            <v>HKM</v>
          </cell>
        </row>
        <row r="1489">
          <cell r="A1489" t="str">
            <v>HKM</v>
          </cell>
          <cell r="D1489" t="str">
            <v>HKM</v>
          </cell>
        </row>
        <row r="1490">
          <cell r="A1490" t="str">
            <v>hkseiko</v>
          </cell>
          <cell r="D1490" t="str">
            <v>HKSEIKO</v>
          </cell>
        </row>
        <row r="1491">
          <cell r="A1491" t="str">
            <v>HKSEIKO</v>
          </cell>
          <cell r="D1491" t="str">
            <v>HKSEIKO</v>
          </cell>
        </row>
        <row r="1492">
          <cell r="A1492" t="str">
            <v>jsm</v>
          </cell>
          <cell r="D1492" t="str">
            <v>JSM</v>
          </cell>
        </row>
        <row r="1493">
          <cell r="A1493" t="str">
            <v>JSM</v>
          </cell>
          <cell r="D1493" t="str">
            <v>JSM</v>
          </cell>
        </row>
        <row r="1494">
          <cell r="A1494" t="str">
            <v>mlm</v>
          </cell>
          <cell r="D1494" t="str">
            <v>MLM</v>
          </cell>
        </row>
        <row r="1495">
          <cell r="A1495" t="str">
            <v>MLM</v>
          </cell>
          <cell r="D1495" t="str">
            <v>MLM</v>
          </cell>
        </row>
        <row r="1496">
          <cell r="A1496" t="str">
            <v>mmk</v>
          </cell>
          <cell r="D1496" t="str">
            <v>MMK</v>
          </cell>
        </row>
        <row r="1497">
          <cell r="A1497" t="str">
            <v>MMK</v>
          </cell>
          <cell r="D1497" t="str">
            <v>MMK</v>
          </cell>
        </row>
        <row r="1498">
          <cell r="A1498" t="str">
            <v>nyo</v>
          </cell>
          <cell r="D1498" t="str">
            <v>NYO</v>
          </cell>
        </row>
        <row r="1499">
          <cell r="A1499" t="str">
            <v>NYO</v>
          </cell>
          <cell r="D1499" t="str">
            <v>NYO</v>
          </cell>
        </row>
        <row r="1500">
          <cell r="A1500" t="str">
            <v>seiko</v>
          </cell>
          <cell r="D1500" t="str">
            <v>SEIKO</v>
          </cell>
        </row>
        <row r="1501">
          <cell r="A1501" t="str">
            <v>SEIKO</v>
          </cell>
          <cell r="D1501" t="str">
            <v>SEIKO</v>
          </cell>
        </row>
        <row r="1502">
          <cell r="A1502" t="str">
            <v>spo</v>
          </cell>
          <cell r="D1502" t="str">
            <v>SPO</v>
          </cell>
        </row>
        <row r="1503">
          <cell r="A1503" t="str">
            <v>SPO</v>
          </cell>
          <cell r="D1503" t="str">
            <v>SPO</v>
          </cell>
        </row>
        <row r="1504">
          <cell r="A1504" t="str">
            <v>tkm</v>
          </cell>
          <cell r="D1504" t="str">
            <v>TKM</v>
          </cell>
        </row>
        <row r="1505">
          <cell r="A1505" t="str">
            <v>TKM</v>
          </cell>
          <cell r="D1505" t="str">
            <v>TKM</v>
          </cell>
        </row>
        <row r="1506">
          <cell r="A1506" t="str">
            <v>twm</v>
          </cell>
          <cell r="D1506" t="str">
            <v>TWM</v>
          </cell>
        </row>
        <row r="1507">
          <cell r="A1507" t="str">
            <v>TWM</v>
          </cell>
          <cell r="D1507" t="str">
            <v>TWM</v>
          </cell>
        </row>
        <row r="1508">
          <cell r="A1508" t="str">
            <v>twmhk</v>
          </cell>
          <cell r="D1508" t="str">
            <v>TWMHK</v>
          </cell>
        </row>
        <row r="1509">
          <cell r="A1509" t="str">
            <v>TWMHK</v>
          </cell>
          <cell r="D1509" t="str">
            <v>TWMHK</v>
          </cell>
        </row>
        <row r="1510">
          <cell r="A1510" t="str">
            <v>upo</v>
          </cell>
          <cell r="D1510" t="str">
            <v>UPO</v>
          </cell>
        </row>
        <row r="1511">
          <cell r="A1511" t="str">
            <v>UPO</v>
          </cell>
          <cell r="D1511" t="str">
            <v>UPO</v>
          </cell>
        </row>
        <row r="1512">
          <cell r="A1512" t="str">
            <v>vnm</v>
          </cell>
          <cell r="D1512" t="str">
            <v>VNM</v>
          </cell>
        </row>
        <row r="1513">
          <cell r="A1513" t="str">
            <v>VNM</v>
          </cell>
          <cell r="D1513" t="str">
            <v>VNM</v>
          </cell>
        </row>
        <row r="1514">
          <cell r="D1514" t="str">
            <v>权益合计</v>
          </cell>
        </row>
        <row r="1515">
          <cell r="D1515" t="str">
            <v>负债及权益合计</v>
          </cell>
        </row>
        <row r="1516">
          <cell r="D1516" t="str">
            <v>资本金‐期末</v>
          </cell>
        </row>
        <row r="1517">
          <cell r="D1517" t="str">
            <v>资本公积-期末</v>
          </cell>
        </row>
        <row r="1518">
          <cell r="D1518" t="str">
            <v>其他资本公积-期末</v>
          </cell>
        </row>
        <row r="1519">
          <cell r="D1519" t="str">
            <v>盈余公积-期末</v>
          </cell>
        </row>
        <row r="1520">
          <cell r="D1520" t="str">
            <v>其他有价证券估价差额-期末</v>
          </cell>
        </row>
        <row r="1521">
          <cell r="D1521" t="str">
            <v>银行存款 - 期初</v>
          </cell>
        </row>
        <row r="1522">
          <cell r="D1522" t="str">
            <v>银行存款 - 结转</v>
          </cell>
        </row>
        <row r="1523">
          <cell r="D1523" t="str">
            <v>银行存款 - 解除合同</v>
          </cell>
        </row>
        <row r="1524">
          <cell r="D1524" t="str">
            <v>银行存款 - 期末</v>
          </cell>
        </row>
        <row r="1525">
          <cell r="D1525" t="str">
            <v>有价证券-期初</v>
          </cell>
        </row>
        <row r="1526">
          <cell r="D1526" t="str">
            <v>有价证券-评价益</v>
          </cell>
        </row>
        <row r="1527">
          <cell r="D1527" t="str">
            <v>有价证券-结转</v>
          </cell>
        </row>
        <row r="1528">
          <cell r="D1528" t="str">
            <v>有价证券-出售</v>
          </cell>
        </row>
        <row r="1529">
          <cell r="D1529" t="str">
            <v>有价证券-评价损</v>
          </cell>
        </row>
        <row r="1530">
          <cell r="D1530" t="str">
            <v>有价证券-估价差额</v>
          </cell>
        </row>
        <row r="1531">
          <cell r="D1531" t="str">
            <v>有价证券 - 期末汇率调整损益</v>
          </cell>
        </row>
        <row r="1532">
          <cell r="D1532" t="str">
            <v>有价证券-期末</v>
          </cell>
        </row>
        <row r="1533">
          <cell r="A1533" t="str">
            <v>*******</v>
          </cell>
          <cell r="D1533" t="str">
            <v>****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Matching"/>
      <sheetName val="BEG"/>
      <sheetName val="INPUT"/>
      <sheetName val="M1"/>
      <sheetName val="M2"/>
      <sheetName val="M3"/>
      <sheetName val="M4"/>
      <sheetName val="M5"/>
      <sheetName val="M6"/>
      <sheetName val="M7"/>
      <sheetName val="M8"/>
      <sheetName val="M9"/>
      <sheetName val="S1"/>
      <sheetName val="S2"/>
      <sheetName val="S3"/>
      <sheetName val="S4"/>
      <sheetName val="S5"/>
      <sheetName val="S6-1"/>
      <sheetName val="S6-2"/>
      <sheetName val="S7"/>
      <sheetName val="S8"/>
      <sheetName val="S9"/>
      <sheetName val="S10"/>
      <sheetName val="C1"/>
      <sheetName val="C2"/>
      <sheetName val="C3"/>
      <sheetName val="C4-1"/>
      <sheetName val="C4-2"/>
      <sheetName val="C5"/>
      <sheetName val="C6-1"/>
      <sheetName val="C6-2"/>
      <sheetName val="C7-1"/>
      <sheetName val="C7-2"/>
      <sheetName val="C8"/>
      <sheetName val="C9"/>
      <sheetName val="T1"/>
      <sheetName val="T2"/>
      <sheetName val="T3"/>
      <sheetName val="T4"/>
      <sheetName val="T5"/>
      <sheetName val="P1-1"/>
      <sheetName val="P1-2"/>
      <sheetName val="P1-3"/>
      <sheetName val="P2"/>
      <sheetName val="P2-2"/>
      <sheetName val="P2-3"/>
      <sheetName val="P3-1"/>
      <sheetName val="P3-2"/>
      <sheetName val="P4"/>
      <sheetName val="P5-1"/>
      <sheetName val="P5-2"/>
      <sheetName val="P6"/>
      <sheetName val="DEF"/>
      <sheetName val="TABLE"/>
      <sheetName val="日本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>100100</v>
          </cell>
          <cell r="C2">
            <v>41394</v>
          </cell>
          <cell r="D2" t="str">
            <v>現金</v>
          </cell>
        </row>
        <row r="3">
          <cell r="A3" t="str">
            <v>100200</v>
          </cell>
          <cell r="D3" t="str">
            <v>預金</v>
          </cell>
        </row>
        <row r="4">
          <cell r="A4" t="str">
            <v>100300</v>
          </cell>
          <cell r="B4" t="str">
            <v>MMK</v>
          </cell>
          <cell r="C4" t="str">
            <v>MABUCHI MOTOR CO., LTD.</v>
          </cell>
          <cell r="D4" t="str">
            <v>受取手形</v>
          </cell>
        </row>
        <row r="5">
          <cell r="A5" t="str">
            <v>100400</v>
          </cell>
          <cell r="B5" t="str">
            <v>JPY</v>
          </cell>
          <cell r="D5" t="str">
            <v>不渡手形</v>
          </cell>
        </row>
        <row r="6">
          <cell r="A6" t="str">
            <v>100500</v>
          </cell>
          <cell r="D6" t="str">
            <v>売掛金</v>
          </cell>
        </row>
        <row r="7">
          <cell r="A7" t="str">
            <v>100600</v>
          </cell>
          <cell r="D7" t="str">
            <v>有価証券</v>
          </cell>
        </row>
        <row r="8">
          <cell r="A8" t="str">
            <v>100700</v>
          </cell>
          <cell r="D8" t="str">
            <v>自己株式</v>
          </cell>
        </row>
        <row r="9">
          <cell r="A9" t="str">
            <v>100800</v>
          </cell>
          <cell r="D9" t="str">
            <v>商品</v>
          </cell>
        </row>
        <row r="10">
          <cell r="A10" t="str">
            <v>100810</v>
          </cell>
          <cell r="D10" t="str">
            <v>商品モーター</v>
          </cell>
        </row>
        <row r="11">
          <cell r="B11" t="str">
            <v>11</v>
          </cell>
          <cell r="C11" t="str">
            <v>13</v>
          </cell>
          <cell r="D11" t="str">
            <v>調整額</v>
          </cell>
        </row>
        <row r="12">
          <cell r="A12" t="str">
            <v>100820</v>
          </cell>
          <cell r="B12" t="str">
            <v>5</v>
          </cell>
          <cell r="C12" t="str">
            <v>10</v>
          </cell>
          <cell r="D12" t="str">
            <v>商品生産機器</v>
          </cell>
        </row>
        <row r="13">
          <cell r="A13" t="str">
            <v>100830</v>
          </cell>
          <cell r="D13" t="str">
            <v>商品モーター部品</v>
          </cell>
        </row>
        <row r="14">
          <cell r="A14" t="str">
            <v>100900</v>
          </cell>
          <cell r="D14" t="str">
            <v>製品</v>
          </cell>
        </row>
        <row r="15">
          <cell r="A15" t="str">
            <v>100910</v>
          </cell>
          <cell r="D15" t="str">
            <v>製品モーター</v>
          </cell>
        </row>
        <row r="16">
          <cell r="A16" t="str">
            <v>100920</v>
          </cell>
          <cell r="D16" t="str">
            <v>製品モーター部品</v>
          </cell>
        </row>
        <row r="17">
          <cell r="A17" t="str">
            <v>100930</v>
          </cell>
          <cell r="D17" t="str">
            <v>製品生産機器</v>
          </cell>
        </row>
        <row r="18">
          <cell r="A18" t="str">
            <v>101000</v>
          </cell>
          <cell r="D18" t="str">
            <v>半製品</v>
          </cell>
        </row>
        <row r="19">
          <cell r="A19" t="str">
            <v>101010</v>
          </cell>
          <cell r="D19" t="str">
            <v>半製品モーター部品</v>
          </cell>
        </row>
        <row r="20">
          <cell r="A20" t="str">
            <v>101100</v>
          </cell>
          <cell r="D20" t="str">
            <v>材料</v>
          </cell>
        </row>
        <row r="21">
          <cell r="A21" t="str">
            <v>101110</v>
          </cell>
          <cell r="D21" t="str">
            <v>材料モーター部品</v>
          </cell>
        </row>
        <row r="22">
          <cell r="A22" t="str">
            <v>101120</v>
          </cell>
          <cell r="D22" t="str">
            <v>材料生産機器</v>
          </cell>
        </row>
        <row r="23">
          <cell r="A23" t="str">
            <v>101200</v>
          </cell>
          <cell r="D23" t="str">
            <v>仕掛品</v>
          </cell>
        </row>
        <row r="24">
          <cell r="A24" t="str">
            <v>101210</v>
          </cell>
          <cell r="D24" t="str">
            <v>仕掛品モーター</v>
          </cell>
        </row>
        <row r="25">
          <cell r="A25" t="str">
            <v>101220</v>
          </cell>
          <cell r="D25" t="str">
            <v>仕掛品生産機器</v>
          </cell>
        </row>
        <row r="26">
          <cell r="A26" t="str">
            <v>101300</v>
          </cell>
          <cell r="D26" t="str">
            <v>未着品</v>
          </cell>
        </row>
        <row r="27">
          <cell r="A27" t="str">
            <v>101310</v>
          </cell>
          <cell r="D27" t="str">
            <v>未着品モーター</v>
          </cell>
        </row>
        <row r="28">
          <cell r="A28" t="str">
            <v>101320</v>
          </cell>
          <cell r="D28" t="str">
            <v>未着品モーター部品</v>
          </cell>
        </row>
        <row r="29">
          <cell r="A29" t="str">
            <v>101330</v>
          </cell>
          <cell r="D29" t="str">
            <v>未着品生産機器</v>
          </cell>
        </row>
        <row r="30">
          <cell r="A30" t="str">
            <v>101400</v>
          </cell>
          <cell r="D30" t="str">
            <v>貯蔵品</v>
          </cell>
        </row>
        <row r="31">
          <cell r="A31" t="str">
            <v>101500</v>
          </cell>
          <cell r="D31" t="str">
            <v>棚卸原価差額調整金</v>
          </cell>
        </row>
        <row r="32">
          <cell r="A32" t="str">
            <v>101600</v>
          </cell>
          <cell r="D32" t="str">
            <v>為替差額調整金</v>
          </cell>
        </row>
        <row r="33">
          <cell r="A33" t="str">
            <v>101700</v>
          </cell>
          <cell r="D33" t="str">
            <v>前渡金</v>
          </cell>
        </row>
        <row r="34">
          <cell r="A34" t="str">
            <v>101800</v>
          </cell>
          <cell r="D34" t="str">
            <v>短期貸付金</v>
          </cell>
        </row>
        <row r="35">
          <cell r="A35" t="str">
            <v>101900</v>
          </cell>
          <cell r="D35" t="str">
            <v>未収入金</v>
          </cell>
        </row>
        <row r="36">
          <cell r="A36" t="str">
            <v>101950</v>
          </cell>
          <cell r="D36" t="str">
            <v>未収利息</v>
          </cell>
        </row>
        <row r="37">
          <cell r="A37" t="str">
            <v>102000</v>
          </cell>
          <cell r="D37" t="str">
            <v>関係会社勘定</v>
          </cell>
        </row>
        <row r="38">
          <cell r="A38" t="str">
            <v>102100</v>
          </cell>
          <cell r="D38" t="str">
            <v>立替金</v>
          </cell>
        </row>
        <row r="39">
          <cell r="A39" t="str">
            <v>102200</v>
          </cell>
          <cell r="D39" t="str">
            <v>仮払金</v>
          </cell>
        </row>
        <row r="40">
          <cell r="A40" t="str">
            <v>102300</v>
          </cell>
          <cell r="D40" t="str">
            <v>仮払法人税</v>
          </cell>
        </row>
        <row r="41">
          <cell r="A41" t="str">
            <v>102400</v>
          </cell>
          <cell r="D41" t="str">
            <v>前払費用</v>
          </cell>
        </row>
        <row r="42">
          <cell r="A42" t="str">
            <v>102500</v>
          </cell>
          <cell r="D42" t="str">
            <v>仮払消費税</v>
          </cell>
        </row>
        <row r="43">
          <cell r="A43" t="str">
            <v>102600</v>
          </cell>
          <cell r="D43" t="str">
            <v>未収消費税</v>
          </cell>
        </row>
        <row r="44">
          <cell r="A44" t="str">
            <v>102700</v>
          </cell>
          <cell r="D44" t="str">
            <v>その他の流動資産</v>
          </cell>
        </row>
        <row r="45">
          <cell r="A45" t="str">
            <v>102800</v>
          </cell>
          <cell r="D45" t="str">
            <v>繰延税金</v>
          </cell>
        </row>
        <row r="46">
          <cell r="A46" t="str">
            <v>102900</v>
          </cell>
          <cell r="D46" t="str">
            <v>貸倒引当金（短期）</v>
          </cell>
        </row>
        <row r="47">
          <cell r="A47" t="str">
            <v>102910</v>
          </cell>
          <cell r="D47" t="str">
            <v>デリバティブ債権</v>
          </cell>
        </row>
        <row r="48">
          <cell r="A48" t="str">
            <v>102920</v>
          </cell>
          <cell r="D48" t="str">
            <v>繰延ヘッジ損失</v>
          </cell>
        </row>
        <row r="49">
          <cell r="A49" t="str">
            <v>102930</v>
          </cell>
          <cell r="D49" t="str">
            <v>棚卸資産評価損失引当金</v>
          </cell>
        </row>
        <row r="50">
          <cell r="A50" t="str">
            <v>102990</v>
          </cell>
          <cell r="D50" t="str">
            <v>流動資産合計</v>
          </cell>
        </row>
        <row r="51">
          <cell r="A51" t="str">
            <v>103100</v>
          </cell>
          <cell r="D51" t="str">
            <v>建物</v>
          </cell>
        </row>
        <row r="52">
          <cell r="A52" t="str">
            <v>103200</v>
          </cell>
          <cell r="D52" t="str">
            <v>建物－減価償却累計額</v>
          </cell>
        </row>
        <row r="53">
          <cell r="A53" t="str">
            <v>103300</v>
          </cell>
          <cell r="D53" t="str">
            <v>構築物</v>
          </cell>
        </row>
        <row r="54">
          <cell r="A54" t="str">
            <v>103400</v>
          </cell>
          <cell r="D54" t="str">
            <v>構築物－減価償却累計額</v>
          </cell>
        </row>
        <row r="55">
          <cell r="A55" t="str">
            <v>103500</v>
          </cell>
          <cell r="D55" t="str">
            <v>機械び装置</v>
          </cell>
        </row>
        <row r="56">
          <cell r="A56" t="str">
            <v>103600</v>
          </cell>
          <cell r="D56" t="str">
            <v>機械及び装置－減価償却累計額</v>
          </cell>
        </row>
        <row r="57">
          <cell r="A57" t="str">
            <v>103700</v>
          </cell>
          <cell r="D57" t="str">
            <v>車両運搬具</v>
          </cell>
        </row>
        <row r="58">
          <cell r="A58" t="str">
            <v>103800</v>
          </cell>
          <cell r="D58" t="str">
            <v>車両運搬具－減価償却累計額</v>
          </cell>
        </row>
        <row r="59">
          <cell r="A59" t="str">
            <v>103900</v>
          </cell>
          <cell r="D59" t="str">
            <v>工具・器具備品</v>
          </cell>
        </row>
        <row r="60">
          <cell r="A60" t="str">
            <v>103990</v>
          </cell>
          <cell r="D60" t="str">
            <v>工具・器具備品うち小額固定資産</v>
          </cell>
        </row>
        <row r="61">
          <cell r="A61" t="str">
            <v>104000</v>
          </cell>
          <cell r="D61" t="str">
            <v>工具・器具備品－減価償却累計額</v>
          </cell>
        </row>
        <row r="62">
          <cell r="A62" t="str">
            <v>104100</v>
          </cell>
          <cell r="D62" t="str">
            <v>土地</v>
          </cell>
        </row>
        <row r="63">
          <cell r="A63" t="str">
            <v>104200</v>
          </cell>
          <cell r="D63" t="str">
            <v>建設仮勘定</v>
          </cell>
        </row>
        <row r="64">
          <cell r="A64" t="str">
            <v>104300</v>
          </cell>
          <cell r="D64" t="str">
            <v>固定資産評価損失引当金</v>
          </cell>
        </row>
        <row r="65">
          <cell r="A65" t="str">
            <v>104990</v>
          </cell>
          <cell r="D65" t="str">
            <v>有形固定資産合計</v>
          </cell>
        </row>
        <row r="66">
          <cell r="A66" t="str">
            <v>105100</v>
          </cell>
          <cell r="D66" t="str">
            <v>電話加入権</v>
          </cell>
        </row>
        <row r="67">
          <cell r="A67" t="str">
            <v>105110</v>
          </cell>
          <cell r="D67" t="str">
            <v>電話加入権－減価償却累計額</v>
          </cell>
        </row>
        <row r="68">
          <cell r="A68" t="str">
            <v>105200</v>
          </cell>
          <cell r="D68" t="str">
            <v>施設利用権</v>
          </cell>
        </row>
        <row r="69">
          <cell r="A69" t="str">
            <v>105300</v>
          </cell>
          <cell r="D69" t="str">
            <v>施設利用権－減価償却累計額</v>
          </cell>
        </row>
        <row r="70">
          <cell r="A70" t="str">
            <v>105400</v>
          </cell>
          <cell r="D70" t="str">
            <v>土地使用権</v>
          </cell>
        </row>
        <row r="71">
          <cell r="A71" t="str">
            <v>105500</v>
          </cell>
          <cell r="D71" t="str">
            <v>その他無形固定資産</v>
          </cell>
        </row>
        <row r="72">
          <cell r="A72" t="str">
            <v>105700</v>
          </cell>
          <cell r="D72" t="str">
            <v>土地使用権－減価償却累計額</v>
          </cell>
        </row>
        <row r="73">
          <cell r="A73" t="str">
            <v>105800</v>
          </cell>
          <cell r="D73" t="str">
            <v>その他無形固定資産－減価償却累計額</v>
          </cell>
        </row>
        <row r="74">
          <cell r="A74" t="str">
            <v>105900</v>
          </cell>
          <cell r="D74" t="str">
            <v>無形固定資産評価損失引当金</v>
          </cell>
        </row>
        <row r="75">
          <cell r="A75" t="str">
            <v>105990</v>
          </cell>
          <cell r="D75" t="str">
            <v>無形固定資産合計</v>
          </cell>
        </row>
        <row r="76">
          <cell r="A76" t="str">
            <v>106100</v>
          </cell>
          <cell r="D76" t="str">
            <v>投資有価証券</v>
          </cell>
        </row>
        <row r="77">
          <cell r="A77" t="str">
            <v>106200</v>
          </cell>
          <cell r="D77" t="str">
            <v>出資金</v>
          </cell>
        </row>
        <row r="78">
          <cell r="A78" t="str">
            <v>106300</v>
          </cell>
          <cell r="D78" t="str">
            <v>長期貸付金</v>
          </cell>
        </row>
        <row r="79">
          <cell r="A79" t="str">
            <v>106400</v>
          </cell>
          <cell r="D79" t="str">
            <v>長期前払費用</v>
          </cell>
        </row>
        <row r="80">
          <cell r="A80" t="str">
            <v>106500</v>
          </cell>
          <cell r="D80" t="str">
            <v>長期定期預金</v>
          </cell>
        </row>
        <row r="81">
          <cell r="A81" t="str">
            <v>106600</v>
          </cell>
          <cell r="D81" t="str">
            <v>役員退職年金積立基金</v>
          </cell>
        </row>
        <row r="82">
          <cell r="A82" t="str">
            <v>106700</v>
          </cell>
          <cell r="D82" t="str">
            <v>役員保険積金</v>
          </cell>
        </row>
        <row r="83">
          <cell r="A83" t="str">
            <v>106800</v>
          </cell>
          <cell r="D83" t="str">
            <v>長期差入保証金</v>
          </cell>
        </row>
        <row r="84">
          <cell r="A84" t="str">
            <v>106900</v>
          </cell>
          <cell r="D84" t="str">
            <v>その他の投資</v>
          </cell>
        </row>
        <row r="85">
          <cell r="A85" t="str">
            <v>107000</v>
          </cell>
          <cell r="D85" t="str">
            <v>繰延税金</v>
          </cell>
        </row>
        <row r="86">
          <cell r="A86" t="str">
            <v>107100</v>
          </cell>
          <cell r="D86" t="str">
            <v>貸倒引当金（長期）</v>
          </cell>
        </row>
        <row r="87">
          <cell r="A87" t="str">
            <v>107990</v>
          </cell>
          <cell r="D87" t="str">
            <v>投資等合計</v>
          </cell>
        </row>
        <row r="88">
          <cell r="A88" t="str">
            <v>108990</v>
          </cell>
          <cell r="D88" t="str">
            <v>固定資産合計</v>
          </cell>
        </row>
        <row r="89">
          <cell r="A89" t="str">
            <v>109100</v>
          </cell>
          <cell r="D89" t="str">
            <v>開業費</v>
          </cell>
        </row>
        <row r="90">
          <cell r="A90" t="str">
            <v>109990</v>
          </cell>
          <cell r="D90" t="str">
            <v>繰延資産合計</v>
          </cell>
        </row>
        <row r="91">
          <cell r="A91" t="str">
            <v>119990</v>
          </cell>
          <cell r="D91" t="str">
            <v>資産合計</v>
          </cell>
        </row>
        <row r="92">
          <cell r="A92" t="str">
            <v>120100</v>
          </cell>
          <cell r="D92" t="str">
            <v>支払手形</v>
          </cell>
        </row>
        <row r="93">
          <cell r="A93" t="str">
            <v>120200</v>
          </cell>
          <cell r="D93" t="str">
            <v>買掛金</v>
          </cell>
        </row>
        <row r="94">
          <cell r="A94" t="str">
            <v>120300</v>
          </cell>
          <cell r="D94" t="str">
            <v>１年内償還の転換社債</v>
          </cell>
        </row>
        <row r="95">
          <cell r="A95" t="str">
            <v>120400</v>
          </cell>
          <cell r="D95" t="str">
            <v>短期借入金</v>
          </cell>
        </row>
        <row r="96">
          <cell r="A96" t="str">
            <v>120500</v>
          </cell>
          <cell r="D96" t="str">
            <v>未払金</v>
          </cell>
        </row>
        <row r="97">
          <cell r="A97" t="str">
            <v>120600</v>
          </cell>
          <cell r="D97" t="str">
            <v>未払配当金</v>
          </cell>
        </row>
        <row r="98">
          <cell r="A98" t="str">
            <v>120700</v>
          </cell>
          <cell r="D98" t="str">
            <v>関係会社勘定</v>
          </cell>
        </row>
        <row r="99">
          <cell r="A99" t="str">
            <v>120800</v>
          </cell>
          <cell r="D99" t="str">
            <v>未払事業税等</v>
          </cell>
        </row>
        <row r="100">
          <cell r="A100" t="str">
            <v>120900</v>
          </cell>
          <cell r="D100" t="str">
            <v>未払法人税等</v>
          </cell>
        </row>
        <row r="101">
          <cell r="A101" t="str">
            <v>121000</v>
          </cell>
          <cell r="D101" t="str">
            <v>未払費用</v>
          </cell>
        </row>
        <row r="102">
          <cell r="A102" t="str">
            <v>121050</v>
          </cell>
          <cell r="D102" t="str">
            <v>未払利息</v>
          </cell>
        </row>
        <row r="103">
          <cell r="A103" t="str">
            <v>121100</v>
          </cell>
          <cell r="D103" t="str">
            <v>前受金</v>
          </cell>
        </row>
        <row r="104">
          <cell r="A104" t="str">
            <v>121200</v>
          </cell>
          <cell r="D104" t="str">
            <v>預り金</v>
          </cell>
        </row>
        <row r="105">
          <cell r="A105" t="str">
            <v>121300</v>
          </cell>
          <cell r="D105" t="str">
            <v>前受収益</v>
          </cell>
        </row>
        <row r="106">
          <cell r="A106" t="str">
            <v>121400</v>
          </cell>
          <cell r="D106" t="str">
            <v>賞与引当金</v>
          </cell>
        </row>
        <row r="107">
          <cell r="A107" t="str">
            <v>121500</v>
          </cell>
          <cell r="D107" t="str">
            <v>仮受金</v>
          </cell>
        </row>
        <row r="108">
          <cell r="A108" t="str">
            <v>121600</v>
          </cell>
          <cell r="D108" t="str">
            <v>預り消費税</v>
          </cell>
        </row>
        <row r="109">
          <cell r="A109" t="str">
            <v>121700</v>
          </cell>
          <cell r="D109" t="str">
            <v>未払消費税</v>
          </cell>
        </row>
        <row r="110">
          <cell r="A110" t="str">
            <v>121800</v>
          </cell>
          <cell r="D110" t="str">
            <v>その他の流動負債</v>
          </cell>
        </row>
        <row r="111">
          <cell r="A111" t="str">
            <v>121900</v>
          </cell>
          <cell r="D111" t="str">
            <v>繰延税金</v>
          </cell>
        </row>
        <row r="112">
          <cell r="A112" t="str">
            <v>122100</v>
          </cell>
          <cell r="D112" t="str">
            <v>デリバティブ債務</v>
          </cell>
        </row>
        <row r="113">
          <cell r="A113" t="str">
            <v>122200</v>
          </cell>
          <cell r="D113" t="str">
            <v>資産除去債務（流動負債）</v>
          </cell>
        </row>
        <row r="114">
          <cell r="A114" t="str">
            <v>122990</v>
          </cell>
          <cell r="D114" t="str">
            <v>流動負債合計</v>
          </cell>
        </row>
        <row r="115">
          <cell r="A115" t="str">
            <v>123100</v>
          </cell>
          <cell r="D115" t="str">
            <v>資産除去債務（固定負債）</v>
          </cell>
        </row>
        <row r="116">
          <cell r="A116" t="str">
            <v>123200</v>
          </cell>
          <cell r="D116" t="str">
            <v>長期借入金</v>
          </cell>
        </row>
        <row r="117">
          <cell r="A117" t="str">
            <v>123300</v>
          </cell>
          <cell r="D117" t="str">
            <v>長期前受収益</v>
          </cell>
        </row>
        <row r="118">
          <cell r="A118" t="str">
            <v>123400</v>
          </cell>
          <cell r="D118" t="str">
            <v>退職給与引当金</v>
          </cell>
        </row>
        <row r="119">
          <cell r="A119" t="str">
            <v>123450</v>
          </cell>
          <cell r="D119" t="str">
            <v>退職給付引当金</v>
          </cell>
        </row>
        <row r="120">
          <cell r="A120" t="str">
            <v>123500</v>
          </cell>
          <cell r="D120" t="str">
            <v>役員退職給与引当金</v>
          </cell>
        </row>
        <row r="121">
          <cell r="A121" t="str">
            <v>123600</v>
          </cell>
          <cell r="D121" t="str">
            <v>預り保証金</v>
          </cell>
        </row>
        <row r="122">
          <cell r="A122" t="str">
            <v>123700</v>
          </cell>
          <cell r="D122" t="str">
            <v>その他の固定負債</v>
          </cell>
        </row>
        <row r="123">
          <cell r="A123" t="str">
            <v>123800</v>
          </cell>
          <cell r="D123" t="str">
            <v>繰延税金</v>
          </cell>
        </row>
        <row r="124">
          <cell r="A124" t="str">
            <v>123990</v>
          </cell>
          <cell r="D124" t="str">
            <v>固定負債合計</v>
          </cell>
        </row>
        <row r="125">
          <cell r="A125" t="str">
            <v>129990</v>
          </cell>
          <cell r="D125" t="str">
            <v>負債合計</v>
          </cell>
        </row>
        <row r="126">
          <cell r="A126" t="str">
            <v>131100</v>
          </cell>
          <cell r="D126" t="str">
            <v>資本金</v>
          </cell>
        </row>
        <row r="127">
          <cell r="A127" t="str">
            <v>131100</v>
          </cell>
          <cell r="D127" t="str">
            <v>資本金</v>
          </cell>
        </row>
        <row r="128">
          <cell r="A128" t="str">
            <v>131200</v>
          </cell>
          <cell r="D128" t="str">
            <v>資本剰余金</v>
          </cell>
        </row>
        <row r="129">
          <cell r="A129" t="str">
            <v>131210</v>
          </cell>
          <cell r="D129" t="str">
            <v>資本準備金</v>
          </cell>
        </row>
        <row r="130">
          <cell r="A130" t="str">
            <v>131210</v>
          </cell>
          <cell r="D130" t="str">
            <v>資本準備金</v>
          </cell>
        </row>
        <row r="131">
          <cell r="A131" t="str">
            <v>131220</v>
          </cell>
          <cell r="D131" t="str">
            <v>その他資本剰余金</v>
          </cell>
        </row>
        <row r="132">
          <cell r="A132" t="str">
            <v>131230</v>
          </cell>
          <cell r="D132" t="str">
            <v>自己株式処分差損益</v>
          </cell>
        </row>
        <row r="133">
          <cell r="A133" t="str">
            <v>131300</v>
          </cell>
          <cell r="D133" t="str">
            <v>利益剰余金</v>
          </cell>
        </row>
        <row r="134">
          <cell r="A134" t="str">
            <v>131310</v>
          </cell>
          <cell r="D134" t="str">
            <v>利益準備金</v>
          </cell>
        </row>
        <row r="135">
          <cell r="A135" t="str">
            <v>131310</v>
          </cell>
          <cell r="D135" t="str">
            <v>利益準備金</v>
          </cell>
        </row>
        <row r="136">
          <cell r="A136" t="str">
            <v>131319</v>
          </cell>
          <cell r="D136" t="str">
            <v>うち固定資産圧縮記帳積立金</v>
          </cell>
        </row>
        <row r="137">
          <cell r="A137" t="str">
            <v>131320</v>
          </cell>
          <cell r="D137" t="str">
            <v>その他の剰余金</v>
          </cell>
        </row>
        <row r="138">
          <cell r="A138" t="str">
            <v>131329</v>
          </cell>
          <cell r="D138" t="str">
            <v>うち海外投資等損失準備金</v>
          </cell>
        </row>
        <row r="139">
          <cell r="A139" t="str">
            <v>131339</v>
          </cell>
          <cell r="D139" t="str">
            <v>うち別途積立金</v>
          </cell>
        </row>
        <row r="140">
          <cell r="A140" t="str">
            <v>131349</v>
          </cell>
          <cell r="D140" t="str">
            <v>うちその他積立金</v>
          </cell>
        </row>
        <row r="141">
          <cell r="A141" t="str">
            <v>131359</v>
          </cell>
          <cell r="D141" t="str">
            <v>うち繰越利益</v>
          </cell>
        </row>
        <row r="142">
          <cell r="A142" t="str">
            <v>131369</v>
          </cell>
          <cell r="D142" t="str">
            <v>うち当期利益</v>
          </cell>
        </row>
        <row r="143">
          <cell r="A143" t="str">
            <v>131400</v>
          </cell>
          <cell r="D143" t="str">
            <v>自己株式</v>
          </cell>
        </row>
        <row r="144">
          <cell r="A144" t="str">
            <v>131990</v>
          </cell>
          <cell r="D144" t="str">
            <v>株主資本合計</v>
          </cell>
        </row>
        <row r="145">
          <cell r="A145" t="str">
            <v>132100</v>
          </cell>
          <cell r="D145" t="str">
            <v>その他有価証券評価差額</v>
          </cell>
        </row>
        <row r="146">
          <cell r="A146" t="str">
            <v>132200</v>
          </cell>
          <cell r="D146" t="str">
            <v>為替差額</v>
          </cell>
        </row>
        <row r="147">
          <cell r="A147" t="str">
            <v>132300</v>
          </cell>
          <cell r="D147" t="str">
            <v>繰延ヘッジ損益</v>
          </cell>
        </row>
        <row r="148">
          <cell r="A148" t="str">
            <v>132400</v>
          </cell>
          <cell r="D148" t="str">
            <v>新株予約権</v>
          </cell>
        </row>
        <row r="149">
          <cell r="A149" t="str">
            <v>132990</v>
          </cell>
          <cell r="D149" t="str">
            <v>評価・換算差額合計</v>
          </cell>
        </row>
        <row r="150">
          <cell r="A150" t="str">
            <v>135000</v>
          </cell>
          <cell r="D150" t="str">
            <v>少数株主持分</v>
          </cell>
        </row>
        <row r="151">
          <cell r="A151" t="str">
            <v>139990</v>
          </cell>
          <cell r="D151" t="str">
            <v>純資産合計</v>
          </cell>
        </row>
        <row r="152">
          <cell r="A152" t="str">
            <v>149990</v>
          </cell>
          <cell r="D152" t="str">
            <v>資本・純資産合計</v>
          </cell>
        </row>
        <row r="153">
          <cell r="A153" t="str">
            <v>200000</v>
          </cell>
          <cell r="D153" t="str">
            <v>売上高</v>
          </cell>
        </row>
        <row r="154">
          <cell r="A154" t="str">
            <v>201000</v>
          </cell>
          <cell r="D154" t="str">
            <v>製品売上高</v>
          </cell>
        </row>
        <row r="155">
          <cell r="A155" t="str">
            <v>203000</v>
          </cell>
          <cell r="D155" t="str">
            <v>商品売上高</v>
          </cell>
        </row>
        <row r="156">
          <cell r="A156" t="str">
            <v>206000</v>
          </cell>
          <cell r="D156" t="str">
            <v>半製品売上高</v>
          </cell>
        </row>
        <row r="157">
          <cell r="A157" t="str">
            <v>207000</v>
          </cell>
          <cell r="D157" t="str">
            <v>材料売上高</v>
          </cell>
        </row>
        <row r="158">
          <cell r="A158" t="str">
            <v>208000</v>
          </cell>
          <cell r="D158" t="str">
            <v>受取手数料</v>
          </cell>
        </row>
        <row r="159">
          <cell r="A159" t="str">
            <v>209000</v>
          </cell>
          <cell r="D159" t="str">
            <v>受取技術援助料</v>
          </cell>
        </row>
        <row r="160">
          <cell r="A160" t="str">
            <v>210000</v>
          </cell>
          <cell r="D160" t="str">
            <v>支援/加工収入</v>
          </cell>
        </row>
        <row r="161">
          <cell r="A161" t="str">
            <v>211000</v>
          </cell>
          <cell r="D161" t="str">
            <v>加工収入(DWMのみ)</v>
          </cell>
        </row>
        <row r="162">
          <cell r="A162" t="str">
            <v>220000</v>
          </cell>
          <cell r="D162" t="str">
            <v>売上原価</v>
          </cell>
        </row>
        <row r="163">
          <cell r="A163" t="str">
            <v>229990</v>
          </cell>
          <cell r="D163" t="str">
            <v>売上総利益A</v>
          </cell>
        </row>
        <row r="164">
          <cell r="A164" t="str">
            <v>230990</v>
          </cell>
          <cell r="D164" t="str">
            <v>原価差額等</v>
          </cell>
        </row>
        <row r="165">
          <cell r="A165" t="str">
            <v>231100</v>
          </cell>
          <cell r="D165" t="str">
            <v>原価差額</v>
          </cell>
        </row>
        <row r="166">
          <cell r="A166" t="str">
            <v>231200</v>
          </cell>
          <cell r="D166" t="str">
            <v>輸入諸掛</v>
          </cell>
        </row>
        <row r="167">
          <cell r="A167" t="str">
            <v>231300</v>
          </cell>
          <cell r="D167" t="str">
            <v>購入差益</v>
          </cell>
        </row>
        <row r="168">
          <cell r="A168" t="str">
            <v>231400</v>
          </cell>
          <cell r="D168" t="str">
            <v>材料払出差異</v>
          </cell>
        </row>
        <row r="169">
          <cell r="A169" t="str">
            <v>231500</v>
          </cell>
          <cell r="D169" t="str">
            <v>その他差額</v>
          </cell>
        </row>
        <row r="170">
          <cell r="A170" t="str">
            <v>239990</v>
          </cell>
          <cell r="D170" t="str">
            <v>売上総利益B</v>
          </cell>
        </row>
        <row r="171">
          <cell r="A171" t="str">
            <v>240000</v>
          </cell>
          <cell r="D171" t="str">
            <v>販売費及び一般管理費</v>
          </cell>
        </row>
        <row r="172">
          <cell r="A172" t="str">
            <v>249990</v>
          </cell>
          <cell r="D172" t="str">
            <v>営業利益</v>
          </cell>
        </row>
        <row r="173">
          <cell r="A173" t="str">
            <v>250000</v>
          </cell>
          <cell r="D173" t="str">
            <v>営業外収益</v>
          </cell>
        </row>
        <row r="174">
          <cell r="A174" t="str">
            <v>250100</v>
          </cell>
          <cell r="D174" t="str">
            <v>受取利息及び割引料</v>
          </cell>
        </row>
        <row r="175">
          <cell r="A175" t="str">
            <v>250200</v>
          </cell>
          <cell r="D175" t="str">
            <v>有価証券利息</v>
          </cell>
        </row>
        <row r="176">
          <cell r="A176" t="str">
            <v>250300</v>
          </cell>
          <cell r="D176" t="str">
            <v>有価証券売却益</v>
          </cell>
        </row>
        <row r="177">
          <cell r="A177" t="str">
            <v>250400</v>
          </cell>
          <cell r="D177" t="str">
            <v>受取配当金</v>
          </cell>
        </row>
        <row r="178">
          <cell r="A178" t="str">
            <v>250500</v>
          </cell>
          <cell r="D178" t="str">
            <v>賃貸収入</v>
          </cell>
        </row>
        <row r="179">
          <cell r="A179" t="str">
            <v>250600</v>
          </cell>
          <cell r="D179" t="str">
            <v>リース収入</v>
          </cell>
        </row>
        <row r="180">
          <cell r="A180" t="str">
            <v>250700</v>
          </cell>
          <cell r="D180" t="str">
            <v>受取賠償金</v>
          </cell>
        </row>
        <row r="181">
          <cell r="A181" t="str">
            <v>250800</v>
          </cell>
          <cell r="D181" t="str">
            <v>為替差益</v>
          </cell>
        </row>
        <row r="182">
          <cell r="A182" t="str">
            <v>251000</v>
          </cell>
          <cell r="D182" t="str">
            <v>翻訳収入</v>
          </cell>
        </row>
        <row r="183">
          <cell r="A183" t="str">
            <v>251100</v>
          </cell>
          <cell r="D183" t="str">
            <v>その他業務収入</v>
          </cell>
        </row>
        <row r="184">
          <cell r="A184" t="str">
            <v>251200</v>
          </cell>
          <cell r="D184" t="str">
            <v>雑収入</v>
          </cell>
        </row>
        <row r="185">
          <cell r="A185" t="str">
            <v>251600</v>
          </cell>
          <cell r="D185" t="str">
            <v>有価証券評価益</v>
          </cell>
        </row>
        <row r="186">
          <cell r="A186" t="str">
            <v>251700</v>
          </cell>
          <cell r="D186" t="str">
            <v>投資有価証券評価益</v>
          </cell>
        </row>
        <row r="187">
          <cell r="A187" t="str">
            <v>260000</v>
          </cell>
          <cell r="D187" t="str">
            <v>営業外費用</v>
          </cell>
        </row>
        <row r="188">
          <cell r="A188" t="str">
            <v>260100</v>
          </cell>
          <cell r="D188" t="str">
            <v>支払利息及び割引料</v>
          </cell>
        </row>
        <row r="189">
          <cell r="A189" t="str">
            <v>260200</v>
          </cell>
          <cell r="D189" t="str">
            <v>社債利息</v>
          </cell>
        </row>
        <row r="190">
          <cell r="A190" t="str">
            <v>260300</v>
          </cell>
          <cell r="D190" t="str">
            <v>社債費用</v>
          </cell>
        </row>
        <row r="191">
          <cell r="A191" t="str">
            <v>260400</v>
          </cell>
          <cell r="D191" t="str">
            <v>有価証券売却損</v>
          </cell>
        </row>
        <row r="192">
          <cell r="A192" t="str">
            <v>260500</v>
          </cell>
          <cell r="D192" t="str">
            <v>有価証券評価損</v>
          </cell>
        </row>
        <row r="193">
          <cell r="A193" t="str">
            <v>260600</v>
          </cell>
          <cell r="D193" t="str">
            <v>為替差損</v>
          </cell>
        </row>
        <row r="194">
          <cell r="A194" t="str">
            <v>260700</v>
          </cell>
          <cell r="D194" t="str">
            <v>棚卸資産廃棄損</v>
          </cell>
        </row>
        <row r="195">
          <cell r="A195" t="str">
            <v>260800</v>
          </cell>
          <cell r="D195" t="str">
            <v>棚卸資産評価損</v>
          </cell>
        </row>
        <row r="196">
          <cell r="A196" t="str">
            <v>260900</v>
          </cell>
          <cell r="D196" t="str">
            <v>株式関係費</v>
          </cell>
        </row>
        <row r="197">
          <cell r="A197" t="str">
            <v>261000</v>
          </cell>
          <cell r="D197" t="str">
            <v>その他業務支出</v>
          </cell>
        </row>
        <row r="198">
          <cell r="A198" t="str">
            <v>261100</v>
          </cell>
          <cell r="D198" t="str">
            <v>債権償却特別勘定繰入</v>
          </cell>
        </row>
        <row r="199">
          <cell r="A199" t="str">
            <v>261200</v>
          </cell>
          <cell r="D199" t="str">
            <v>雑支出</v>
          </cell>
        </row>
        <row r="200">
          <cell r="A200" t="str">
            <v>261400</v>
          </cell>
          <cell r="D200" t="str">
            <v>投資有価証券評価損</v>
          </cell>
        </row>
        <row r="201">
          <cell r="A201" t="str">
            <v>261500</v>
          </cell>
          <cell r="D201" t="str">
            <v>貸倒引当金繰入額</v>
          </cell>
        </row>
        <row r="202">
          <cell r="A202" t="str">
            <v>269990</v>
          </cell>
          <cell r="D202" t="str">
            <v>経常利益</v>
          </cell>
        </row>
        <row r="203">
          <cell r="A203" t="str">
            <v>270000</v>
          </cell>
          <cell r="D203" t="str">
            <v>特別利益</v>
          </cell>
        </row>
        <row r="204">
          <cell r="A204" t="str">
            <v>270100</v>
          </cell>
          <cell r="D204" t="str">
            <v>固定資産売却益</v>
          </cell>
        </row>
        <row r="205">
          <cell r="A205" t="str">
            <v>270200</v>
          </cell>
          <cell r="D205" t="str">
            <v>投資有価証券売却益</v>
          </cell>
        </row>
        <row r="206">
          <cell r="A206" t="str">
            <v>270300</v>
          </cell>
          <cell r="D206" t="str">
            <v>退職給与引当金戻入益</v>
          </cell>
        </row>
        <row r="207">
          <cell r="A207" t="str">
            <v>270400</v>
          </cell>
          <cell r="D207" t="str">
            <v>貸倒引当金戻入額</v>
          </cell>
        </row>
        <row r="208">
          <cell r="A208" t="str">
            <v>270500</v>
          </cell>
          <cell r="D208" t="str">
            <v>前期損益修正益</v>
          </cell>
        </row>
        <row r="209">
          <cell r="A209" t="str">
            <v>270600</v>
          </cell>
          <cell r="D209" t="str">
            <v>その他特別利益</v>
          </cell>
        </row>
        <row r="210">
          <cell r="A210" t="str">
            <v>280000</v>
          </cell>
          <cell r="D210" t="str">
            <v>特別損失</v>
          </cell>
        </row>
        <row r="211">
          <cell r="A211" t="str">
            <v>280100</v>
          </cell>
          <cell r="D211" t="str">
            <v>固定資産売却損</v>
          </cell>
        </row>
        <row r="212">
          <cell r="A212" t="str">
            <v>280200</v>
          </cell>
          <cell r="D212" t="str">
            <v>固定資産除却損</v>
          </cell>
        </row>
        <row r="213">
          <cell r="A213" t="str">
            <v>280300</v>
          </cell>
          <cell r="D213" t="str">
            <v>投資有価証券売却損</v>
          </cell>
        </row>
        <row r="214">
          <cell r="A214" t="str">
            <v>280400</v>
          </cell>
          <cell r="D214" t="str">
            <v>臨時退職金</v>
          </cell>
        </row>
        <row r="215">
          <cell r="A215" t="str">
            <v>280500</v>
          </cell>
          <cell r="D215" t="str">
            <v>適格年金過去勤務掛金</v>
          </cell>
        </row>
        <row r="216">
          <cell r="A216" t="str">
            <v>280600</v>
          </cell>
          <cell r="D216" t="str">
            <v>前期損益修正損</v>
          </cell>
        </row>
        <row r="217">
          <cell r="A217" t="str">
            <v>280700</v>
          </cell>
          <cell r="D217" t="str">
            <v>その他特別損失</v>
          </cell>
        </row>
        <row r="218">
          <cell r="A218" t="str">
            <v>280800</v>
          </cell>
          <cell r="D218" t="str">
            <v>投資有価証券評価損</v>
          </cell>
        </row>
        <row r="219">
          <cell r="A219" t="str">
            <v>280900</v>
          </cell>
          <cell r="D219" t="str">
            <v>固定資産評価損失引当金繰入額</v>
          </cell>
        </row>
        <row r="220">
          <cell r="A220" t="str">
            <v>289990</v>
          </cell>
          <cell r="D220" t="str">
            <v>税金等調整前当期純利益</v>
          </cell>
        </row>
        <row r="221">
          <cell r="A221" t="str">
            <v>290100</v>
          </cell>
          <cell r="D221" t="str">
            <v>法人税及び住民税</v>
          </cell>
        </row>
        <row r="222">
          <cell r="A222" t="str">
            <v>290200</v>
          </cell>
          <cell r="D222" t="str">
            <v>法人税等調整額</v>
          </cell>
        </row>
        <row r="223">
          <cell r="A223" t="str">
            <v>290300</v>
          </cell>
          <cell r="D223" t="str">
            <v>事業税</v>
          </cell>
        </row>
        <row r="224">
          <cell r="A224" t="str">
            <v>299990</v>
          </cell>
          <cell r="D224" t="str">
            <v>当期純利益</v>
          </cell>
        </row>
        <row r="225">
          <cell r="A225" t="str">
            <v>200100</v>
          </cell>
          <cell r="D225" t="str">
            <v>期首</v>
          </cell>
        </row>
        <row r="226">
          <cell r="A226" t="str">
            <v>200200</v>
          </cell>
          <cell r="D226" t="str">
            <v>取得原価－取得</v>
          </cell>
        </row>
        <row r="227">
          <cell r="A227" t="str">
            <v>200221</v>
          </cell>
          <cell r="D227" t="str">
            <v>購入･製作</v>
          </cell>
        </row>
        <row r="228">
          <cell r="A228" t="str">
            <v>200222</v>
          </cell>
          <cell r="D228" t="str">
            <v>建設仮勘定の振替</v>
          </cell>
        </row>
        <row r="229">
          <cell r="A229" t="str">
            <v>200224</v>
          </cell>
          <cell r="D229" t="str">
            <v>その他（科目振替）</v>
          </cell>
        </row>
        <row r="230">
          <cell r="A230" t="str">
            <v>200239</v>
          </cell>
          <cell r="D230" t="str">
            <v>ｸﾞﾙｰﾌﾟ間中古固定資産(DLM/DWM用)</v>
          </cell>
        </row>
        <row r="231">
          <cell r="A231" t="str">
            <v>200300</v>
          </cell>
          <cell r="D231" t="str">
            <v>建物－取得原価－減少</v>
          </cell>
        </row>
        <row r="232">
          <cell r="A232" t="str">
            <v>200340</v>
          </cell>
          <cell r="D232" t="str">
            <v>売却(ｸﾞﾙｰﾌﾟ内)</v>
          </cell>
        </row>
        <row r="233">
          <cell r="A233" t="str">
            <v>200341</v>
          </cell>
          <cell r="D233" t="str">
            <v>売却(一般)</v>
          </cell>
        </row>
        <row r="234">
          <cell r="A234" t="str">
            <v>200342</v>
          </cell>
          <cell r="D234" t="str">
            <v>商品へ振替(MMKのみ)</v>
          </cell>
        </row>
        <row r="235">
          <cell r="A235" t="str">
            <v>200352</v>
          </cell>
          <cell r="D235" t="str">
            <v>除却</v>
          </cell>
        </row>
        <row r="236">
          <cell r="A236" t="str">
            <v>200353</v>
          </cell>
          <cell r="D236" t="str">
            <v>固定資産へ振替</v>
          </cell>
        </row>
        <row r="237">
          <cell r="A237" t="str">
            <v>200354</v>
          </cell>
          <cell r="D237" t="str">
            <v>その他（科目振替）</v>
          </cell>
        </row>
        <row r="238">
          <cell r="A238" t="str">
            <v>200355</v>
          </cell>
          <cell r="D238" t="str">
            <v>減損</v>
          </cell>
        </row>
        <row r="239">
          <cell r="A239" t="str">
            <v>200365</v>
          </cell>
          <cell r="D239" t="str">
            <v>経費へ振替</v>
          </cell>
        </row>
        <row r="240">
          <cell r="A240" t="str">
            <v>200500</v>
          </cell>
          <cell r="D240" t="str">
            <v>期末</v>
          </cell>
        </row>
        <row r="241">
          <cell r="A241" t="str">
            <v>210100</v>
          </cell>
          <cell r="D241" t="str">
            <v>期首</v>
          </cell>
        </row>
        <row r="242">
          <cell r="A242" t="str">
            <v>210200</v>
          </cell>
          <cell r="D242" t="str">
            <v>建物－減価償却累計額－増加</v>
          </cell>
        </row>
        <row r="243">
          <cell r="A243" t="str">
            <v>210223</v>
          </cell>
          <cell r="D243" t="str">
            <v>当期減価償却費</v>
          </cell>
        </row>
        <row r="244">
          <cell r="A244" t="str">
            <v>210224</v>
          </cell>
          <cell r="D244" t="str">
            <v>その他（科目振替）</v>
          </cell>
        </row>
        <row r="245">
          <cell r="A245" t="str">
            <v>210239</v>
          </cell>
          <cell r="D245" t="str">
            <v>ｸﾞﾙｰﾌﾟ間中古固定資産(DLM/DWM用)</v>
          </cell>
        </row>
        <row r="246">
          <cell r="A246" t="str">
            <v>210300</v>
          </cell>
          <cell r="D246" t="str">
            <v>建物－減価償却累計額－減少</v>
          </cell>
        </row>
        <row r="247">
          <cell r="A247" t="str">
            <v>210340</v>
          </cell>
          <cell r="D247" t="str">
            <v>売却(ｸﾞﾙｰﾌﾟ内)</v>
          </cell>
        </row>
        <row r="248">
          <cell r="A248" t="str">
            <v>210341</v>
          </cell>
          <cell r="D248" t="str">
            <v>売却(一般)</v>
          </cell>
        </row>
        <row r="249">
          <cell r="A249" t="str">
            <v>210342</v>
          </cell>
          <cell r="D249" t="str">
            <v>商品へ振替(MMKのみ)</v>
          </cell>
        </row>
        <row r="250">
          <cell r="A250" t="str">
            <v>210351</v>
          </cell>
          <cell r="D250" t="str">
            <v>売却</v>
          </cell>
        </row>
        <row r="251">
          <cell r="A251" t="str">
            <v>210352</v>
          </cell>
          <cell r="D251" t="str">
            <v>除却</v>
          </cell>
        </row>
        <row r="252">
          <cell r="A252" t="str">
            <v>210354</v>
          </cell>
          <cell r="D252" t="str">
            <v>その他（科目振替）</v>
          </cell>
        </row>
        <row r="253">
          <cell r="A253" t="str">
            <v>210355</v>
          </cell>
          <cell r="D253" t="str">
            <v>減損</v>
          </cell>
        </row>
        <row r="254">
          <cell r="A254" t="str">
            <v>210500</v>
          </cell>
          <cell r="D254" t="str">
            <v>期末</v>
          </cell>
        </row>
        <row r="255">
          <cell r="A255" t="str">
            <v>220100</v>
          </cell>
          <cell r="D255" t="str">
            <v>期首</v>
          </cell>
        </row>
        <row r="256">
          <cell r="A256" t="str">
            <v>220200</v>
          </cell>
          <cell r="D256" t="str">
            <v>増加</v>
          </cell>
        </row>
        <row r="257">
          <cell r="A257" t="str">
            <v>220300</v>
          </cell>
          <cell r="D257" t="str">
            <v>取得原価－減少</v>
          </cell>
        </row>
        <row r="258">
          <cell r="A258" t="str">
            <v>220351</v>
          </cell>
          <cell r="D258" t="str">
            <v>売却</v>
          </cell>
        </row>
        <row r="259">
          <cell r="A259" t="str">
            <v>220352</v>
          </cell>
          <cell r="D259" t="str">
            <v>除却</v>
          </cell>
        </row>
        <row r="260">
          <cell r="A260" t="str">
            <v>220354</v>
          </cell>
          <cell r="D260" t="str">
            <v>その他（科目振替）</v>
          </cell>
        </row>
        <row r="261">
          <cell r="A261" t="str">
            <v>220500</v>
          </cell>
          <cell r="D261" t="str">
            <v>期末</v>
          </cell>
        </row>
        <row r="262">
          <cell r="A262" t="str">
            <v>230100</v>
          </cell>
          <cell r="D262" t="str">
            <v>減価償却累計額－期首</v>
          </cell>
        </row>
        <row r="263">
          <cell r="A263" t="str">
            <v>230200</v>
          </cell>
          <cell r="D263" t="str">
            <v>減価償却累計額－増加</v>
          </cell>
        </row>
        <row r="264">
          <cell r="A264" t="str">
            <v>230221</v>
          </cell>
          <cell r="D264" t="str">
            <v>当期減価償却費</v>
          </cell>
        </row>
        <row r="265">
          <cell r="A265" t="str">
            <v>230222</v>
          </cell>
          <cell r="D265" t="str">
            <v>その他（科目振替）</v>
          </cell>
        </row>
        <row r="266">
          <cell r="A266" t="str">
            <v>230300</v>
          </cell>
          <cell r="D266" t="str">
            <v>減価償却累計額－減少</v>
          </cell>
        </row>
        <row r="267">
          <cell r="A267" t="str">
            <v>230351</v>
          </cell>
          <cell r="D267" t="str">
            <v>売却</v>
          </cell>
        </row>
        <row r="268">
          <cell r="A268" t="str">
            <v>230352</v>
          </cell>
          <cell r="D268" t="str">
            <v>除却</v>
          </cell>
        </row>
        <row r="269">
          <cell r="A269" t="str">
            <v>230354</v>
          </cell>
          <cell r="D269" t="str">
            <v>その他（科目振替）</v>
          </cell>
        </row>
        <row r="270">
          <cell r="A270" t="str">
            <v>230500</v>
          </cell>
          <cell r="D270" t="str">
            <v>期末</v>
          </cell>
        </row>
        <row r="271">
          <cell r="A271" t="str">
            <v>13010020</v>
          </cell>
          <cell r="C271" t="str">
            <v>20</v>
          </cell>
          <cell r="D271" t="str">
            <v>短期貸付金－期首</v>
          </cell>
        </row>
        <row r="272">
          <cell r="A272" t="str">
            <v>13022035</v>
          </cell>
          <cell r="C272" t="str">
            <v>35</v>
          </cell>
          <cell r="D272" t="str">
            <v>短期貸付金－貸付</v>
          </cell>
        </row>
        <row r="273">
          <cell r="A273" t="str">
            <v>13023548</v>
          </cell>
          <cell r="C273" t="str">
            <v>48</v>
          </cell>
          <cell r="D273" t="str">
            <v>短期貸付金－振替</v>
          </cell>
        </row>
        <row r="274">
          <cell r="A274" t="str">
            <v>13031060</v>
          </cell>
          <cell r="C274" t="str">
            <v>60</v>
          </cell>
          <cell r="D274" t="str">
            <v>短期貸付金－回収</v>
          </cell>
        </row>
        <row r="275">
          <cell r="A275" t="str">
            <v>13026767</v>
          </cell>
          <cell r="C275" t="str">
            <v>67</v>
          </cell>
          <cell r="D275" t="str">
            <v>短期貸付金－期末換算差損益</v>
          </cell>
        </row>
        <row r="276">
          <cell r="A276" t="str">
            <v>13010010</v>
          </cell>
          <cell r="C276" t="str">
            <v>10</v>
          </cell>
          <cell r="D276" t="str">
            <v>長期貸付金－期首</v>
          </cell>
        </row>
        <row r="277">
          <cell r="A277" t="str">
            <v>13022010</v>
          </cell>
          <cell r="C277" t="str">
            <v>10</v>
          </cell>
          <cell r="D277" t="str">
            <v>長期貸付金－貸付</v>
          </cell>
        </row>
        <row r="278">
          <cell r="A278" t="str">
            <v>13023510</v>
          </cell>
          <cell r="C278" t="str">
            <v>10</v>
          </cell>
          <cell r="D278" t="str">
            <v>長期貸付金－振替</v>
          </cell>
        </row>
        <row r="279">
          <cell r="A279" t="str">
            <v>13031010</v>
          </cell>
          <cell r="C279" t="str">
            <v>10</v>
          </cell>
          <cell r="D279" t="str">
            <v>長期貸付金－回収</v>
          </cell>
        </row>
        <row r="280">
          <cell r="A280" t="str">
            <v>13026710</v>
          </cell>
          <cell r="C280" t="str">
            <v>10</v>
          </cell>
          <cell r="D280" t="str">
            <v>長期貸付金－期末換算差損益</v>
          </cell>
        </row>
        <row r="281">
          <cell r="A281" t="str">
            <v>24010020</v>
          </cell>
          <cell r="C281" t="str">
            <v>20</v>
          </cell>
          <cell r="D281" t="str">
            <v>長期定期預金－期首</v>
          </cell>
        </row>
        <row r="282">
          <cell r="A282" t="str">
            <v>24023434</v>
          </cell>
          <cell r="C282" t="str">
            <v>34</v>
          </cell>
          <cell r="D282" t="str">
            <v>長期定期預金－取得</v>
          </cell>
        </row>
        <row r="283">
          <cell r="A283" t="str">
            <v>24024848</v>
          </cell>
          <cell r="C283" t="str">
            <v>48</v>
          </cell>
          <cell r="D283" t="str">
            <v>長期定期預金－振替</v>
          </cell>
        </row>
        <row r="284">
          <cell r="A284" t="str">
            <v>24026767</v>
          </cell>
          <cell r="C284" t="str">
            <v>67</v>
          </cell>
          <cell r="D284" t="str">
            <v>長期定期預金－期末換算差損益</v>
          </cell>
        </row>
        <row r="285">
          <cell r="A285" t="str">
            <v>24031064</v>
          </cell>
          <cell r="C285" t="str">
            <v>64</v>
          </cell>
          <cell r="D285" t="str">
            <v>長期定期預金－解約</v>
          </cell>
        </row>
        <row r="286">
          <cell r="A286" t="str">
            <v>25010020</v>
          </cell>
          <cell r="C286" t="str">
            <v>20</v>
          </cell>
          <cell r="D286" t="str">
            <v>有価証券－期首</v>
          </cell>
        </row>
        <row r="287">
          <cell r="A287" t="str">
            <v>25023434</v>
          </cell>
          <cell r="C287" t="str">
            <v>34</v>
          </cell>
          <cell r="D287" t="str">
            <v>有価証券－取得</v>
          </cell>
        </row>
        <row r="288">
          <cell r="A288" t="str">
            <v>25024444</v>
          </cell>
          <cell r="C288" t="str">
            <v>44</v>
          </cell>
          <cell r="D288" t="str">
            <v>有価証券－評価益</v>
          </cell>
        </row>
        <row r="289">
          <cell r="A289" t="str">
            <v>25024848</v>
          </cell>
          <cell r="C289" t="str">
            <v>48</v>
          </cell>
          <cell r="D289" t="str">
            <v>有価証券－振替</v>
          </cell>
        </row>
        <row r="290">
          <cell r="A290" t="str">
            <v>25026666</v>
          </cell>
          <cell r="C290" t="str">
            <v>66</v>
          </cell>
          <cell r="D290" t="str">
            <v>有価証券－評価差額</v>
          </cell>
        </row>
        <row r="291">
          <cell r="A291" t="str">
            <v>25026767</v>
          </cell>
          <cell r="C291" t="str">
            <v>67</v>
          </cell>
          <cell r="D291" t="str">
            <v>有価証券－期末換算差損益</v>
          </cell>
        </row>
        <row r="292">
          <cell r="A292" t="str">
            <v>25029934</v>
          </cell>
          <cell r="C292" t="str">
            <v>34</v>
          </cell>
          <cell r="D292" t="str">
            <v>有価証券－その他増減</v>
          </cell>
        </row>
        <row r="293">
          <cell r="A293" t="str">
            <v>25035151</v>
          </cell>
          <cell r="C293" t="str">
            <v>51</v>
          </cell>
          <cell r="D293" t="str">
            <v>有価証券－売却</v>
          </cell>
        </row>
        <row r="294">
          <cell r="A294" t="str">
            <v>25036161</v>
          </cell>
          <cell r="C294" t="str">
            <v>61</v>
          </cell>
          <cell r="D294" t="str">
            <v>有価証券－評価損</v>
          </cell>
        </row>
        <row r="295">
          <cell r="A295" t="str">
            <v>25099999</v>
          </cell>
          <cell r="C295" t="str">
            <v>99</v>
          </cell>
          <cell r="D295" t="str">
            <v>有価証券－同等物－その他増減</v>
          </cell>
        </row>
        <row r="296">
          <cell r="A296" t="str">
            <v>26010020</v>
          </cell>
          <cell r="C296" t="str">
            <v>20</v>
          </cell>
          <cell r="D296" t="str">
            <v>預金－期首</v>
          </cell>
        </row>
        <row r="297">
          <cell r="A297" t="str">
            <v>26023434</v>
          </cell>
          <cell r="C297" t="str">
            <v>34</v>
          </cell>
          <cell r="D297" t="str">
            <v>預金－取得</v>
          </cell>
        </row>
        <row r="298">
          <cell r="A298" t="str">
            <v>26024848</v>
          </cell>
          <cell r="C298" t="str">
            <v>48</v>
          </cell>
          <cell r="D298" t="str">
            <v>預金－振替</v>
          </cell>
        </row>
        <row r="299">
          <cell r="A299" t="str">
            <v>26026767</v>
          </cell>
          <cell r="C299" t="str">
            <v>67</v>
          </cell>
          <cell r="D299" t="str">
            <v>預金－期末換算差損益</v>
          </cell>
        </row>
        <row r="300">
          <cell r="A300" t="str">
            <v>26029934</v>
          </cell>
          <cell r="C300" t="str">
            <v>34</v>
          </cell>
          <cell r="D300" t="str">
            <v>預金－その他増減</v>
          </cell>
        </row>
        <row r="301">
          <cell r="A301" t="str">
            <v>26031064</v>
          </cell>
          <cell r="C301" t="str">
            <v>64</v>
          </cell>
          <cell r="D301" t="str">
            <v>預金－解約</v>
          </cell>
        </row>
        <row r="302">
          <cell r="A302" t="str">
            <v>26061067</v>
          </cell>
          <cell r="C302" t="str">
            <v>67</v>
          </cell>
          <cell r="D302" t="str">
            <v>預金－期末換算差損益</v>
          </cell>
        </row>
        <row r="303">
          <cell r="A303" t="str">
            <v>26099999</v>
          </cell>
          <cell r="C303" t="str">
            <v>99</v>
          </cell>
          <cell r="D303" t="str">
            <v>預金－現金同等物－その他増減</v>
          </cell>
        </row>
        <row r="304">
          <cell r="A304" t="str">
            <v>60028</v>
          </cell>
          <cell r="D304" t="str">
            <v>預金－期末</v>
          </cell>
        </row>
        <row r="305">
          <cell r="A305" t="str">
            <v>27010020</v>
          </cell>
          <cell r="C305" t="str">
            <v>20</v>
          </cell>
          <cell r="D305" t="str">
            <v>投資有価証券－期首</v>
          </cell>
        </row>
        <row r="306">
          <cell r="A306" t="str">
            <v>27023434</v>
          </cell>
          <cell r="C306" t="str">
            <v>34</v>
          </cell>
          <cell r="D306" t="str">
            <v>投資有価証券－取得</v>
          </cell>
        </row>
        <row r="307">
          <cell r="A307" t="str">
            <v>27024444</v>
          </cell>
          <cell r="C307" t="str">
            <v>44</v>
          </cell>
          <cell r="D307" t="str">
            <v>投資有価証券－評価益</v>
          </cell>
        </row>
        <row r="308">
          <cell r="A308" t="str">
            <v>27024848</v>
          </cell>
          <cell r="C308" t="str">
            <v>48</v>
          </cell>
          <cell r="D308" t="str">
            <v>投資有価証券－振替</v>
          </cell>
        </row>
        <row r="309">
          <cell r="A309" t="str">
            <v>27026767</v>
          </cell>
          <cell r="C309" t="str">
            <v>67</v>
          </cell>
          <cell r="D309" t="str">
            <v>投資有価証券－期末換算差損益</v>
          </cell>
        </row>
        <row r="310">
          <cell r="A310" t="str">
            <v>27035151</v>
          </cell>
          <cell r="C310" t="str">
            <v>51</v>
          </cell>
          <cell r="D310" t="str">
            <v>投資有価証券－売却</v>
          </cell>
        </row>
        <row r="311">
          <cell r="A311" t="str">
            <v>27036161</v>
          </cell>
          <cell r="C311" t="str">
            <v>61</v>
          </cell>
          <cell r="D311" t="str">
            <v>投資有価証券－評価損</v>
          </cell>
        </row>
        <row r="312">
          <cell r="A312" t="str">
            <v>27036262</v>
          </cell>
          <cell r="C312" t="str">
            <v>62</v>
          </cell>
          <cell r="D312" t="str">
            <v>投資有価証券－振出</v>
          </cell>
        </row>
        <row r="313">
          <cell r="A313" t="str">
            <v>27036666</v>
          </cell>
          <cell r="C313" t="str">
            <v>66</v>
          </cell>
          <cell r="D313" t="str">
            <v>投資有価証券－評価差額</v>
          </cell>
        </row>
        <row r="314">
          <cell r="A314" t="str">
            <v>28010020</v>
          </cell>
          <cell r="C314" t="str">
            <v>20</v>
          </cell>
          <cell r="D314" t="str">
            <v>出資金－期首</v>
          </cell>
        </row>
        <row r="315">
          <cell r="A315" t="str">
            <v>28023636</v>
          </cell>
          <cell r="C315" t="str">
            <v>36</v>
          </cell>
          <cell r="D315" t="str">
            <v>出資金－出資</v>
          </cell>
        </row>
        <row r="316">
          <cell r="A316" t="str">
            <v>28026767</v>
          </cell>
          <cell r="C316" t="str">
            <v>67</v>
          </cell>
          <cell r="D316" t="str">
            <v>出資金－期末換算差損益</v>
          </cell>
        </row>
        <row r="317">
          <cell r="A317" t="str">
            <v>28031055</v>
          </cell>
          <cell r="C317" t="str">
            <v>55</v>
          </cell>
          <cell r="D317" t="str">
            <v>出資金－減少</v>
          </cell>
        </row>
        <row r="318">
          <cell r="A318" t="str">
            <v>29010020</v>
          </cell>
          <cell r="C318" t="str">
            <v>20</v>
          </cell>
          <cell r="D318" t="str">
            <v>長期前払費用-期首</v>
          </cell>
        </row>
        <row r="319">
          <cell r="A319" t="str">
            <v>29023333</v>
          </cell>
          <cell r="C319" t="str">
            <v>33</v>
          </cell>
          <cell r="D319" t="str">
            <v>長期前払費用-繰入</v>
          </cell>
        </row>
        <row r="320">
          <cell r="A320" t="str">
            <v>29026767</v>
          </cell>
          <cell r="C320" t="str">
            <v>67</v>
          </cell>
          <cell r="D320" t="str">
            <v>長期前払費用-期末換算差損益</v>
          </cell>
        </row>
        <row r="321">
          <cell r="A321" t="str">
            <v>29031043</v>
          </cell>
          <cell r="C321" t="str">
            <v>43</v>
          </cell>
          <cell r="D321" t="str">
            <v>長期前払費用-当期減価償却費</v>
          </cell>
        </row>
        <row r="322">
          <cell r="A322" t="str">
            <v>30010010</v>
          </cell>
          <cell r="C322" t="str">
            <v>10</v>
          </cell>
          <cell r="D322" t="str">
            <v>役員退職年金積立基金－期首</v>
          </cell>
        </row>
        <row r="323">
          <cell r="A323" t="str">
            <v>30023310</v>
          </cell>
          <cell r="C323" t="str">
            <v>10</v>
          </cell>
          <cell r="D323" t="str">
            <v>役員退職年金積立基金－繰入</v>
          </cell>
        </row>
        <row r="324">
          <cell r="A324" t="str">
            <v>30024810</v>
          </cell>
          <cell r="C324" t="str">
            <v>10</v>
          </cell>
          <cell r="D324" t="str">
            <v>役員退職年金積立基金－振替</v>
          </cell>
        </row>
        <row r="325">
          <cell r="A325" t="str">
            <v>30031010</v>
          </cell>
          <cell r="C325" t="str">
            <v>10</v>
          </cell>
          <cell r="D325" t="str">
            <v>役員退職年金積立基金－解約</v>
          </cell>
        </row>
        <row r="326">
          <cell r="A326" t="str">
            <v>30010020</v>
          </cell>
          <cell r="C326" t="str">
            <v>20</v>
          </cell>
          <cell r="D326" t="str">
            <v>役員保険積金－期首</v>
          </cell>
        </row>
        <row r="327">
          <cell r="A327" t="str">
            <v>30023320</v>
          </cell>
          <cell r="C327" t="str">
            <v>20</v>
          </cell>
          <cell r="D327" t="str">
            <v>役員保険積金－取得</v>
          </cell>
        </row>
        <row r="328">
          <cell r="A328" t="str">
            <v>30023420</v>
          </cell>
          <cell r="C328" t="str">
            <v>20</v>
          </cell>
          <cell r="D328" t="str">
            <v>役員保険積金－繰入</v>
          </cell>
        </row>
        <row r="329">
          <cell r="A329" t="str">
            <v>30024820</v>
          </cell>
          <cell r="C329" t="str">
            <v>20</v>
          </cell>
          <cell r="D329" t="str">
            <v>役員保険積金－振替</v>
          </cell>
        </row>
        <row r="330">
          <cell r="A330" t="str">
            <v>30031020</v>
          </cell>
          <cell r="C330" t="str">
            <v>20</v>
          </cell>
          <cell r="D330" t="str">
            <v>役員保険積金－解約</v>
          </cell>
        </row>
        <row r="331">
          <cell r="A331" t="str">
            <v>31010020</v>
          </cell>
          <cell r="C331" t="str">
            <v>20</v>
          </cell>
          <cell r="D331" t="str">
            <v>その他の投資－期首</v>
          </cell>
        </row>
        <row r="332">
          <cell r="A332" t="str">
            <v>31023434</v>
          </cell>
          <cell r="C332" t="str">
            <v>34</v>
          </cell>
          <cell r="D332" t="str">
            <v>その他の投資－取得</v>
          </cell>
        </row>
        <row r="333">
          <cell r="A333" t="str">
            <v>31024848</v>
          </cell>
          <cell r="C333" t="str">
            <v>48</v>
          </cell>
          <cell r="D333" t="str">
            <v>その他の投資－振替</v>
          </cell>
        </row>
        <row r="334">
          <cell r="A334" t="str">
            <v>31026666</v>
          </cell>
          <cell r="C334" t="str">
            <v>66</v>
          </cell>
          <cell r="D334" t="str">
            <v>その他の投資－評価差額</v>
          </cell>
        </row>
        <row r="335">
          <cell r="A335" t="str">
            <v>31026767</v>
          </cell>
          <cell r="C335" t="str">
            <v>67</v>
          </cell>
          <cell r="D335" t="str">
            <v>その他の投資－期末換算差損益</v>
          </cell>
        </row>
        <row r="336">
          <cell r="A336" t="str">
            <v>31035151</v>
          </cell>
          <cell r="C336" t="str">
            <v>51</v>
          </cell>
          <cell r="D336" t="str">
            <v>その他の投資－売却</v>
          </cell>
        </row>
        <row r="337">
          <cell r="A337" t="str">
            <v>31036464</v>
          </cell>
          <cell r="C337" t="str">
            <v>64</v>
          </cell>
          <cell r="D337" t="str">
            <v>その他の投資－解約</v>
          </cell>
        </row>
        <row r="338">
          <cell r="A338" t="str">
            <v>32010020</v>
          </cell>
          <cell r="C338" t="str">
            <v>20</v>
          </cell>
          <cell r="D338" t="str">
            <v>開業費－期首</v>
          </cell>
        </row>
        <row r="339">
          <cell r="A339" t="str">
            <v>32023333</v>
          </cell>
          <cell r="C339" t="str">
            <v>33</v>
          </cell>
          <cell r="D339" t="str">
            <v>開業費－繰入</v>
          </cell>
        </row>
        <row r="340">
          <cell r="A340" t="str">
            <v>32026767</v>
          </cell>
          <cell r="C340" t="str">
            <v>67</v>
          </cell>
          <cell r="D340" t="str">
            <v>開業費－期末換算差損益</v>
          </cell>
        </row>
        <row r="341">
          <cell r="A341" t="str">
            <v>32034343</v>
          </cell>
          <cell r="C341" t="str">
            <v>43</v>
          </cell>
          <cell r="D341" t="str">
            <v>開業費-当期減価償却費</v>
          </cell>
        </row>
        <row r="342">
          <cell r="A342" t="str">
            <v>40010020</v>
          </cell>
          <cell r="C342" t="str">
            <v>20</v>
          </cell>
          <cell r="D342" t="str">
            <v>短期借入金－期首</v>
          </cell>
        </row>
        <row r="343">
          <cell r="A343" t="str">
            <v>40010010</v>
          </cell>
          <cell r="C343" t="str">
            <v>10</v>
          </cell>
          <cell r="D343" t="str">
            <v>長期借入金－期首</v>
          </cell>
        </row>
        <row r="344">
          <cell r="A344" t="str">
            <v>40022037</v>
          </cell>
          <cell r="C344" t="str">
            <v>37</v>
          </cell>
          <cell r="D344" t="str">
            <v>短期借入金－借入</v>
          </cell>
        </row>
        <row r="345">
          <cell r="A345" t="str">
            <v>40022010</v>
          </cell>
          <cell r="C345" t="str">
            <v>10</v>
          </cell>
          <cell r="D345" t="str">
            <v>長期借入金－借入</v>
          </cell>
        </row>
        <row r="346">
          <cell r="A346" t="str">
            <v>40024848</v>
          </cell>
          <cell r="C346" t="str">
            <v>48</v>
          </cell>
          <cell r="D346" t="str">
            <v>短期借入金－振替</v>
          </cell>
        </row>
        <row r="347">
          <cell r="A347" t="str">
            <v>40024810</v>
          </cell>
          <cell r="C347" t="str">
            <v>10</v>
          </cell>
          <cell r="D347" t="str">
            <v>長期借入金－振替</v>
          </cell>
        </row>
        <row r="348">
          <cell r="A348" t="str">
            <v>40026767</v>
          </cell>
          <cell r="C348" t="str">
            <v>67</v>
          </cell>
          <cell r="D348" t="str">
            <v>短期借入金－期末換算差損益</v>
          </cell>
        </row>
        <row r="349">
          <cell r="A349" t="str">
            <v>40026710</v>
          </cell>
          <cell r="C349" t="str">
            <v>10</v>
          </cell>
          <cell r="D349" t="str">
            <v>長期借入金－期末換算差損益</v>
          </cell>
        </row>
        <row r="350">
          <cell r="A350" t="str">
            <v>40031063</v>
          </cell>
          <cell r="C350" t="str">
            <v>63</v>
          </cell>
          <cell r="D350" t="str">
            <v>短期借入金－返済</v>
          </cell>
        </row>
        <row r="351">
          <cell r="A351" t="str">
            <v>40031010</v>
          </cell>
          <cell r="C351" t="str">
            <v>10</v>
          </cell>
          <cell r="D351" t="str">
            <v>長期借入金－返済</v>
          </cell>
        </row>
        <row r="352">
          <cell r="A352" t="str">
            <v>300000</v>
          </cell>
          <cell r="D352" t="str">
            <v>材料費</v>
          </cell>
        </row>
        <row r="353">
          <cell r="A353" t="str">
            <v>300100</v>
          </cell>
          <cell r="D353" t="str">
            <v>材料期首棚卸高</v>
          </cell>
        </row>
        <row r="354">
          <cell r="A354" t="str">
            <v>300200</v>
          </cell>
          <cell r="D354" t="str">
            <v>材料期首棚卸調整額</v>
          </cell>
        </row>
        <row r="355">
          <cell r="A355" t="str">
            <v>300300</v>
          </cell>
          <cell r="D355" t="str">
            <v>当期仕入高</v>
          </cell>
        </row>
        <row r="356">
          <cell r="A356" t="str">
            <v>300400</v>
          </cell>
          <cell r="D356" t="str">
            <v>外注加工費及び回収高</v>
          </cell>
        </row>
        <row r="357">
          <cell r="A357" t="str">
            <v>300500</v>
          </cell>
          <cell r="D357" t="str">
            <v>他勘定受入高</v>
          </cell>
        </row>
        <row r="358">
          <cell r="A358" t="str">
            <v>300990</v>
          </cell>
          <cell r="D358" t="str">
            <v>小計</v>
          </cell>
        </row>
        <row r="359">
          <cell r="A359" t="str">
            <v>301100</v>
          </cell>
          <cell r="D359" t="str">
            <v>材料期末棚卸高</v>
          </cell>
        </row>
        <row r="360">
          <cell r="A360" t="str">
            <v>301200</v>
          </cell>
          <cell r="D360" t="str">
            <v>材料期末棚卸調整額</v>
          </cell>
        </row>
        <row r="361">
          <cell r="A361" t="str">
            <v>301300</v>
          </cell>
          <cell r="D361" t="str">
            <v>材料売却高</v>
          </cell>
        </row>
        <row r="362">
          <cell r="A362" t="str">
            <v>301400</v>
          </cell>
          <cell r="D362" t="str">
            <v>材料払出差異</v>
          </cell>
        </row>
        <row r="363">
          <cell r="A363" t="str">
            <v>301500</v>
          </cell>
          <cell r="D363" t="str">
            <v>材料受入差異</v>
          </cell>
        </row>
        <row r="364">
          <cell r="A364" t="str">
            <v>301600</v>
          </cell>
          <cell r="D364" t="str">
            <v>他勘定振替高</v>
          </cell>
        </row>
        <row r="365">
          <cell r="A365" t="str">
            <v>301700</v>
          </cell>
          <cell r="D365" t="str">
            <v>材料有償支給高</v>
          </cell>
        </row>
        <row r="366">
          <cell r="A366" t="str">
            <v>310000</v>
          </cell>
          <cell r="D366" t="str">
            <v>直接労務費</v>
          </cell>
        </row>
        <row r="367">
          <cell r="A367" t="str">
            <v>320000</v>
          </cell>
          <cell r="D367" t="str">
            <v>製造間接費</v>
          </cell>
        </row>
        <row r="368">
          <cell r="A368" t="str">
            <v>320100</v>
          </cell>
          <cell r="D368" t="str">
            <v>間接労務費</v>
          </cell>
        </row>
        <row r="369">
          <cell r="A369" t="str">
            <v>320200</v>
          </cell>
          <cell r="D369" t="str">
            <v>間接経費</v>
          </cell>
        </row>
        <row r="370">
          <cell r="A370" t="str">
            <v>329990</v>
          </cell>
          <cell r="D370" t="str">
            <v>製造総費用</v>
          </cell>
        </row>
        <row r="371">
          <cell r="A371" t="str">
            <v>330100</v>
          </cell>
          <cell r="D371" t="str">
            <v>仕掛品・半製品期首棚卸高</v>
          </cell>
        </row>
        <row r="372">
          <cell r="A372" t="str">
            <v>330200</v>
          </cell>
          <cell r="D372" t="str">
            <v>仕掛品・半製品期首棚卸調整額</v>
          </cell>
        </row>
        <row r="373">
          <cell r="A373" t="str">
            <v>330300</v>
          </cell>
          <cell r="D373" t="str">
            <v>製品パーツ受入高</v>
          </cell>
        </row>
        <row r="374">
          <cell r="A374" t="str">
            <v>330400</v>
          </cell>
          <cell r="D374" t="str">
            <v>半製品外注加工費及び回収高</v>
          </cell>
        </row>
        <row r="375">
          <cell r="A375" t="str">
            <v>330500</v>
          </cell>
          <cell r="D375" t="str">
            <v>他勘定受入高</v>
          </cell>
        </row>
        <row r="376">
          <cell r="A376" t="str">
            <v>330990</v>
          </cell>
          <cell r="D376" t="str">
            <v>小計</v>
          </cell>
        </row>
        <row r="377">
          <cell r="A377" t="str">
            <v>331100</v>
          </cell>
          <cell r="D377" t="str">
            <v>仕掛品・半製品期末棚卸高</v>
          </cell>
        </row>
        <row r="378">
          <cell r="A378" t="str">
            <v>331200</v>
          </cell>
          <cell r="D378" t="str">
            <v>仕掛品・半製品期末棚卸調整額</v>
          </cell>
        </row>
        <row r="379">
          <cell r="A379" t="str">
            <v>331300</v>
          </cell>
          <cell r="D379" t="str">
            <v>半製品売却高</v>
          </cell>
        </row>
        <row r="380">
          <cell r="A380" t="str">
            <v>331400</v>
          </cell>
          <cell r="D380" t="str">
            <v>製品モーター振替高</v>
          </cell>
        </row>
        <row r="381">
          <cell r="A381" t="str">
            <v>331500</v>
          </cell>
          <cell r="D381" t="str">
            <v>半製品外注支給高</v>
          </cell>
        </row>
        <row r="382">
          <cell r="A382" t="str">
            <v>331600</v>
          </cell>
          <cell r="D382" t="str">
            <v>半製品受入差異</v>
          </cell>
        </row>
        <row r="383">
          <cell r="A383" t="str">
            <v>331700</v>
          </cell>
          <cell r="D383" t="str">
            <v>他勘定振替高</v>
          </cell>
        </row>
        <row r="384">
          <cell r="A384" t="str">
            <v>331800</v>
          </cell>
          <cell r="D384" t="str">
            <v>固定資産振替高</v>
          </cell>
        </row>
        <row r="385">
          <cell r="A385" t="str">
            <v>331900</v>
          </cell>
          <cell r="D385" t="str">
            <v>工作課用役費振替高</v>
          </cell>
        </row>
        <row r="386">
          <cell r="A386" t="str">
            <v>339990</v>
          </cell>
          <cell r="D386" t="str">
            <v>実際製造原価</v>
          </cell>
        </row>
        <row r="387">
          <cell r="A387" t="str">
            <v>349990</v>
          </cell>
          <cell r="D387" t="str">
            <v>予定製造原価</v>
          </cell>
        </row>
        <row r="388">
          <cell r="A388" t="str">
            <v>359990</v>
          </cell>
          <cell r="D388" t="str">
            <v>原価差額</v>
          </cell>
        </row>
        <row r="389">
          <cell r="A389" t="str">
            <v>360190</v>
          </cell>
          <cell r="D389" t="str">
            <v>うち仕損品額</v>
          </cell>
        </row>
        <row r="390">
          <cell r="A390" t="str">
            <v>400100</v>
          </cell>
          <cell r="D390" t="str">
            <v>給料手当</v>
          </cell>
        </row>
        <row r="391">
          <cell r="A391" t="str">
            <v>400200</v>
          </cell>
          <cell r="D391" t="str">
            <v>雑給</v>
          </cell>
        </row>
        <row r="392">
          <cell r="A392" t="str">
            <v>400300</v>
          </cell>
          <cell r="D392" t="str">
            <v>賞与金</v>
          </cell>
        </row>
        <row r="393">
          <cell r="A393" t="str">
            <v>400400</v>
          </cell>
          <cell r="D393" t="str">
            <v>賞与金繰入</v>
          </cell>
        </row>
        <row r="394">
          <cell r="A394" t="str">
            <v>400500</v>
          </cell>
          <cell r="D394" t="str">
            <v>退職金</v>
          </cell>
        </row>
        <row r="395">
          <cell r="A395" t="str">
            <v>400600</v>
          </cell>
          <cell r="D395" t="str">
            <v>退職金繰入</v>
          </cell>
        </row>
        <row r="396">
          <cell r="A396" t="str">
            <v>400700</v>
          </cell>
          <cell r="D396" t="str">
            <v>役員報酬</v>
          </cell>
        </row>
        <row r="397">
          <cell r="A397" t="str">
            <v>400800</v>
          </cell>
          <cell r="D397" t="str">
            <v>株式報酬費用</v>
          </cell>
        </row>
        <row r="398">
          <cell r="A398" t="str">
            <v>400900</v>
          </cell>
          <cell r="D398" t="str">
            <v>適格年金掛金</v>
          </cell>
        </row>
        <row r="399">
          <cell r="A399" t="str">
            <v>401000</v>
          </cell>
          <cell r="D399" t="str">
            <v>法定福利費</v>
          </cell>
        </row>
        <row r="400">
          <cell r="A400" t="str">
            <v>401100</v>
          </cell>
          <cell r="D400" t="str">
            <v>福利厚生費</v>
          </cell>
        </row>
        <row r="401">
          <cell r="A401" t="str">
            <v>401200</v>
          </cell>
          <cell r="D401" t="str">
            <v>教育訓練費</v>
          </cell>
        </row>
        <row r="402">
          <cell r="A402" t="str">
            <v>401300</v>
          </cell>
          <cell r="D402" t="str">
            <v>募集費</v>
          </cell>
        </row>
        <row r="403">
          <cell r="A403" t="str">
            <v>401400</v>
          </cell>
          <cell r="D403" t="str">
            <v>労務管理費</v>
          </cell>
        </row>
        <row r="404">
          <cell r="A404" t="str">
            <v>401500</v>
          </cell>
          <cell r="D404" t="str">
            <v>適格年金過去勤務掛金</v>
          </cell>
        </row>
        <row r="405">
          <cell r="A405" t="str">
            <v>401600</v>
          </cell>
          <cell r="D405" t="str">
            <v>退職給付引当金繰入額</v>
          </cell>
        </row>
        <row r="406">
          <cell r="A406" t="str">
            <v>401990</v>
          </cell>
          <cell r="D406" t="str">
            <v>労務費計</v>
          </cell>
        </row>
        <row r="407">
          <cell r="A407" t="str">
            <v>402100</v>
          </cell>
          <cell r="D407" t="str">
            <v>販売手数料</v>
          </cell>
        </row>
        <row r="408">
          <cell r="A408" t="str">
            <v>402200</v>
          </cell>
          <cell r="D408" t="str">
            <v>発送配達費</v>
          </cell>
        </row>
        <row r="409">
          <cell r="A409" t="str">
            <v>402300</v>
          </cell>
          <cell r="D409" t="str">
            <v>船積諸掛</v>
          </cell>
        </row>
        <row r="410">
          <cell r="A410" t="str">
            <v>402400</v>
          </cell>
          <cell r="D410" t="str">
            <v>見本品費</v>
          </cell>
        </row>
        <row r="411">
          <cell r="A411" t="str">
            <v>402500</v>
          </cell>
          <cell r="D411" t="str">
            <v>広告宣伝費</v>
          </cell>
        </row>
        <row r="412">
          <cell r="A412" t="str">
            <v>402600</v>
          </cell>
          <cell r="D412" t="str">
            <v>交際接待費</v>
          </cell>
        </row>
        <row r="413">
          <cell r="A413" t="str">
            <v>402700</v>
          </cell>
          <cell r="D413" t="str">
            <v>会議費</v>
          </cell>
        </row>
        <row r="414">
          <cell r="A414" t="str">
            <v>402800</v>
          </cell>
          <cell r="D414" t="str">
            <v>寄付金</v>
          </cell>
        </row>
        <row r="415">
          <cell r="A415" t="str">
            <v>402900</v>
          </cell>
          <cell r="D415" t="str">
            <v>電気代</v>
          </cell>
        </row>
        <row r="416">
          <cell r="A416" t="str">
            <v>403000</v>
          </cell>
          <cell r="D416" t="str">
            <v>ガス水道料</v>
          </cell>
        </row>
        <row r="417">
          <cell r="A417" t="str">
            <v>403100</v>
          </cell>
          <cell r="D417" t="str">
            <v>燃料費</v>
          </cell>
        </row>
        <row r="418">
          <cell r="A418" t="str">
            <v>403200</v>
          </cell>
          <cell r="D418" t="str">
            <v>旅費交通費</v>
          </cell>
        </row>
        <row r="419">
          <cell r="A419" t="str">
            <v>403300</v>
          </cell>
          <cell r="D419" t="str">
            <v>通信費</v>
          </cell>
        </row>
        <row r="420">
          <cell r="A420" t="str">
            <v>403400</v>
          </cell>
          <cell r="D420" t="str">
            <v>保険料</v>
          </cell>
        </row>
        <row r="421">
          <cell r="A421" t="str">
            <v>403500</v>
          </cell>
          <cell r="D421" t="str">
            <v>消耗品費</v>
          </cell>
        </row>
        <row r="422">
          <cell r="A422" t="str">
            <v>403600</v>
          </cell>
          <cell r="D422" t="str">
            <v>消耗工具・器具備品費</v>
          </cell>
        </row>
        <row r="423">
          <cell r="A423" t="str">
            <v>403700</v>
          </cell>
          <cell r="D423" t="str">
            <v>金型費</v>
          </cell>
        </row>
        <row r="424">
          <cell r="A424" t="str">
            <v>403800</v>
          </cell>
          <cell r="D424" t="str">
            <v>工作課用役費</v>
          </cell>
        </row>
        <row r="425">
          <cell r="A425" t="str">
            <v>403900</v>
          </cell>
          <cell r="D425" t="str">
            <v>修繕費</v>
          </cell>
        </row>
        <row r="426">
          <cell r="A426" t="str">
            <v>404000</v>
          </cell>
          <cell r="D426" t="str">
            <v>租税公課</v>
          </cell>
        </row>
        <row r="427">
          <cell r="A427" t="str">
            <v>404100</v>
          </cell>
          <cell r="D427" t="str">
            <v>減価償却費</v>
          </cell>
        </row>
        <row r="428">
          <cell r="A428" t="str">
            <v>404200</v>
          </cell>
          <cell r="D428" t="str">
            <v>繰延資産償却費</v>
          </cell>
        </row>
        <row r="429">
          <cell r="A429" t="str">
            <v>404300</v>
          </cell>
          <cell r="D429" t="str">
            <v>銀行関係手数料</v>
          </cell>
        </row>
        <row r="430">
          <cell r="A430" t="str">
            <v>404400</v>
          </cell>
          <cell r="D430" t="str">
            <v>支払手数料</v>
          </cell>
        </row>
        <row r="431">
          <cell r="A431" t="str">
            <v>404500</v>
          </cell>
          <cell r="D431" t="str">
            <v>業務委託費</v>
          </cell>
        </row>
        <row r="432">
          <cell r="A432" t="str">
            <v>404600</v>
          </cell>
          <cell r="D432" t="str">
            <v>会計士監査料</v>
          </cell>
        </row>
        <row r="433">
          <cell r="A433" t="str">
            <v>404700</v>
          </cell>
          <cell r="D433" t="str">
            <v>リース料</v>
          </cell>
        </row>
        <row r="434">
          <cell r="A434" t="str">
            <v>404800</v>
          </cell>
          <cell r="D434" t="str">
            <v>賃借料</v>
          </cell>
        </row>
        <row r="435">
          <cell r="A435" t="str">
            <v>404900</v>
          </cell>
          <cell r="D435" t="str">
            <v>図書新聞費</v>
          </cell>
        </row>
        <row r="436">
          <cell r="A436" t="str">
            <v>405000</v>
          </cell>
          <cell r="D436" t="str">
            <v>組合会費</v>
          </cell>
        </row>
        <row r="437">
          <cell r="A437" t="str">
            <v>405100</v>
          </cell>
          <cell r="D437" t="str">
            <v>工会費</v>
          </cell>
        </row>
        <row r="438">
          <cell r="A438" t="str">
            <v>405200</v>
          </cell>
          <cell r="D438" t="str">
            <v>外注加工費</v>
          </cell>
        </row>
        <row r="439">
          <cell r="A439" t="str">
            <v>405300</v>
          </cell>
          <cell r="D439" t="str">
            <v>技術援助料</v>
          </cell>
        </row>
        <row r="440">
          <cell r="A440" t="str">
            <v>405400</v>
          </cell>
          <cell r="D440" t="str">
            <v>経営援助料</v>
          </cell>
        </row>
        <row r="441">
          <cell r="A441" t="str">
            <v>405500</v>
          </cell>
          <cell r="D441" t="str">
            <v>顧問料</v>
          </cell>
        </row>
        <row r="442">
          <cell r="A442" t="str">
            <v>405600</v>
          </cell>
          <cell r="D442" t="str">
            <v>研究費</v>
          </cell>
        </row>
        <row r="443">
          <cell r="A443" t="str">
            <v>405700</v>
          </cell>
          <cell r="D443" t="str">
            <v>特許関係費</v>
          </cell>
        </row>
        <row r="444">
          <cell r="A444" t="str">
            <v>405800</v>
          </cell>
          <cell r="D444" t="str">
            <v>貸倒引当金繰入額</v>
          </cell>
        </row>
        <row r="445">
          <cell r="A445" t="str">
            <v>405900</v>
          </cell>
          <cell r="D445" t="str">
            <v>貸倒損失</v>
          </cell>
        </row>
        <row r="446">
          <cell r="A446" t="str">
            <v>406000</v>
          </cell>
          <cell r="D446" t="str">
            <v>債権償却特別勘定繰入</v>
          </cell>
        </row>
        <row r="447">
          <cell r="A447" t="str">
            <v>406100</v>
          </cell>
          <cell r="D447" t="str">
            <v>事業税引当金繰入</v>
          </cell>
        </row>
        <row r="448">
          <cell r="A448" t="str">
            <v>406200</v>
          </cell>
          <cell r="D448" t="str">
            <v>事業所税引当金繰入</v>
          </cell>
        </row>
        <row r="449">
          <cell r="A449" t="str">
            <v>406300</v>
          </cell>
          <cell r="D449" t="str">
            <v>支払賠償金</v>
          </cell>
        </row>
        <row r="450">
          <cell r="A450" t="str">
            <v>406400</v>
          </cell>
          <cell r="D450" t="str">
            <v>雑費</v>
          </cell>
        </row>
        <row r="451">
          <cell r="A451" t="str">
            <v>406500</v>
          </cell>
          <cell r="D451" t="str">
            <v>外労諸費</v>
          </cell>
        </row>
        <row r="452">
          <cell r="A452" t="str">
            <v>406600</v>
          </cell>
          <cell r="D452" t="str">
            <v>運賃</v>
          </cell>
        </row>
        <row r="453">
          <cell r="A453" t="str">
            <v>406990</v>
          </cell>
          <cell r="D453" t="str">
            <v>経費計</v>
          </cell>
        </row>
        <row r="454">
          <cell r="A454" t="str">
            <v>409990</v>
          </cell>
          <cell r="D454" t="str">
            <v>販売費・一般管理費合計</v>
          </cell>
        </row>
        <row r="455">
          <cell r="A455" t="str">
            <v>410100</v>
          </cell>
          <cell r="D455" t="str">
            <v>給料手当</v>
          </cell>
        </row>
        <row r="456">
          <cell r="A456" t="str">
            <v>410110</v>
          </cell>
          <cell r="D456" t="str">
            <v>給料手当－現地スタッフ</v>
          </cell>
        </row>
        <row r="457">
          <cell r="A457" t="str">
            <v>410120</v>
          </cell>
          <cell r="D457" t="str">
            <v>給料手当－日本人スタッフ</v>
          </cell>
        </row>
        <row r="458">
          <cell r="A458" t="str">
            <v>410200</v>
          </cell>
          <cell r="D458" t="str">
            <v>雑給</v>
          </cell>
        </row>
        <row r="459">
          <cell r="A459" t="str">
            <v>410300</v>
          </cell>
          <cell r="D459" t="str">
            <v>賞与金</v>
          </cell>
        </row>
        <row r="460">
          <cell r="A460" t="str">
            <v>410310</v>
          </cell>
          <cell r="D460" t="str">
            <v>賞与金－現地スタッフ</v>
          </cell>
        </row>
        <row r="461">
          <cell r="A461" t="str">
            <v>410320</v>
          </cell>
          <cell r="D461" t="str">
            <v>賞与金－日本人スタッフ</v>
          </cell>
        </row>
        <row r="462">
          <cell r="A462" t="str">
            <v>410400</v>
          </cell>
          <cell r="D462" t="str">
            <v>賞与金繰入</v>
          </cell>
        </row>
        <row r="463">
          <cell r="A463" t="str">
            <v>410500</v>
          </cell>
          <cell r="D463" t="str">
            <v>退職金</v>
          </cell>
        </row>
        <row r="464">
          <cell r="A464" t="str">
            <v>410600</v>
          </cell>
          <cell r="D464" t="str">
            <v>退職金繰入</v>
          </cell>
        </row>
        <row r="465">
          <cell r="A465" t="str">
            <v>410700</v>
          </cell>
          <cell r="D465" t="str">
            <v>役員報酬</v>
          </cell>
        </row>
        <row r="466">
          <cell r="A466" t="str">
            <v>410800</v>
          </cell>
          <cell r="D466" t="str">
            <v>役員退職慰労金</v>
          </cell>
        </row>
        <row r="467">
          <cell r="A467" t="str">
            <v>410900</v>
          </cell>
          <cell r="D467" t="str">
            <v>適格年金掛金</v>
          </cell>
        </row>
        <row r="468">
          <cell r="A468" t="str">
            <v>411000</v>
          </cell>
          <cell r="D468" t="str">
            <v>法定福利費</v>
          </cell>
        </row>
        <row r="469">
          <cell r="A469" t="str">
            <v>411100</v>
          </cell>
          <cell r="D469" t="str">
            <v>福利厚生費</v>
          </cell>
        </row>
        <row r="470">
          <cell r="A470" t="str">
            <v>411200</v>
          </cell>
          <cell r="D470" t="str">
            <v>教育訓練費</v>
          </cell>
        </row>
        <row r="471">
          <cell r="A471" t="str">
            <v>411300</v>
          </cell>
          <cell r="D471" t="str">
            <v>募集費</v>
          </cell>
        </row>
        <row r="472">
          <cell r="A472" t="str">
            <v>411400</v>
          </cell>
          <cell r="D472" t="str">
            <v>労務管理費</v>
          </cell>
        </row>
        <row r="473">
          <cell r="A473" t="str">
            <v>411500</v>
          </cell>
          <cell r="D473" t="str">
            <v>適格年金過去勤務掛金</v>
          </cell>
        </row>
        <row r="474">
          <cell r="A474" t="str">
            <v>411600</v>
          </cell>
          <cell r="D474" t="str">
            <v>退職給付引当金繰入額</v>
          </cell>
        </row>
        <row r="475">
          <cell r="A475" t="str">
            <v>412100</v>
          </cell>
          <cell r="D475" t="str">
            <v>販売手数料</v>
          </cell>
        </row>
        <row r="476">
          <cell r="A476" t="str">
            <v>412100</v>
          </cell>
          <cell r="D476" t="str">
            <v>販売手数料相手先あり</v>
          </cell>
        </row>
        <row r="477">
          <cell r="A477" t="str">
            <v>412100</v>
          </cell>
          <cell r="D477" t="str">
            <v>販売手数料その他</v>
          </cell>
        </row>
        <row r="478">
          <cell r="A478" t="str">
            <v>412200</v>
          </cell>
          <cell r="D478" t="str">
            <v>発送配達費</v>
          </cell>
        </row>
        <row r="479">
          <cell r="A479" t="str">
            <v>412300</v>
          </cell>
          <cell r="D479" t="str">
            <v>船積諸掛</v>
          </cell>
        </row>
        <row r="480">
          <cell r="A480" t="str">
            <v>412400</v>
          </cell>
          <cell r="D480" t="str">
            <v>見本品費</v>
          </cell>
        </row>
        <row r="481">
          <cell r="A481" t="str">
            <v>412500</v>
          </cell>
          <cell r="D481" t="str">
            <v>広告宣伝費</v>
          </cell>
        </row>
        <row r="482">
          <cell r="A482" t="str">
            <v>412600</v>
          </cell>
          <cell r="D482" t="str">
            <v>交際接待費</v>
          </cell>
        </row>
        <row r="483">
          <cell r="A483" t="str">
            <v>412700</v>
          </cell>
          <cell r="D483" t="str">
            <v>会議費</v>
          </cell>
        </row>
        <row r="484">
          <cell r="A484" t="str">
            <v>412800</v>
          </cell>
          <cell r="D484" t="str">
            <v>寄付金</v>
          </cell>
        </row>
        <row r="485">
          <cell r="A485" t="str">
            <v>412900</v>
          </cell>
          <cell r="D485" t="str">
            <v>電気代</v>
          </cell>
        </row>
        <row r="486">
          <cell r="A486" t="str">
            <v>413000</v>
          </cell>
          <cell r="D486" t="str">
            <v>ガス水道料</v>
          </cell>
        </row>
        <row r="487">
          <cell r="A487" t="str">
            <v>413100</v>
          </cell>
          <cell r="D487" t="str">
            <v>燃料費</v>
          </cell>
        </row>
        <row r="488">
          <cell r="A488" t="str">
            <v>413200</v>
          </cell>
          <cell r="D488" t="str">
            <v>旅費交通費</v>
          </cell>
        </row>
        <row r="489">
          <cell r="A489" t="str">
            <v>413300</v>
          </cell>
          <cell r="D489" t="str">
            <v>通信費</v>
          </cell>
        </row>
        <row r="490">
          <cell r="A490" t="str">
            <v>413400</v>
          </cell>
          <cell r="D490" t="str">
            <v>保険料</v>
          </cell>
        </row>
        <row r="491">
          <cell r="A491" t="str">
            <v>413500</v>
          </cell>
          <cell r="D491" t="str">
            <v>消耗品費</v>
          </cell>
        </row>
        <row r="492">
          <cell r="A492" t="str">
            <v>413600</v>
          </cell>
          <cell r="D492" t="str">
            <v>消耗工具・器具備品費</v>
          </cell>
        </row>
        <row r="493">
          <cell r="A493" t="str">
            <v>413700</v>
          </cell>
          <cell r="D493" t="str">
            <v>金型費</v>
          </cell>
        </row>
        <row r="494">
          <cell r="A494" t="str">
            <v>413800</v>
          </cell>
          <cell r="D494" t="str">
            <v>工作課用役費</v>
          </cell>
        </row>
        <row r="495">
          <cell r="A495" t="str">
            <v>413900</v>
          </cell>
          <cell r="D495" t="str">
            <v>修繕費</v>
          </cell>
        </row>
        <row r="496">
          <cell r="A496" t="str">
            <v>414000</v>
          </cell>
          <cell r="D496" t="str">
            <v>租税公課</v>
          </cell>
        </row>
        <row r="497">
          <cell r="A497" t="str">
            <v>414100</v>
          </cell>
          <cell r="D497" t="str">
            <v>減価償却費</v>
          </cell>
        </row>
        <row r="498">
          <cell r="A498" t="str">
            <v>414200</v>
          </cell>
          <cell r="D498" t="str">
            <v>繰延資産償却費</v>
          </cell>
        </row>
        <row r="499">
          <cell r="A499" t="str">
            <v>414300</v>
          </cell>
          <cell r="D499" t="str">
            <v>銀行関係手数料</v>
          </cell>
        </row>
        <row r="500">
          <cell r="A500" t="str">
            <v>414400</v>
          </cell>
          <cell r="D500" t="str">
            <v>支払手数料</v>
          </cell>
        </row>
        <row r="501">
          <cell r="A501" t="str">
            <v>414410</v>
          </cell>
          <cell r="D501" t="str">
            <v>支払手数料－翻訳料･図面開示料</v>
          </cell>
        </row>
        <row r="502">
          <cell r="A502" t="str">
            <v>414420</v>
          </cell>
          <cell r="D502" t="str">
            <v>支払手数料－その他</v>
          </cell>
        </row>
        <row r="503">
          <cell r="A503" t="str">
            <v>414500</v>
          </cell>
          <cell r="D503" t="str">
            <v>業務委託費</v>
          </cell>
        </row>
        <row r="504">
          <cell r="A504" t="str">
            <v>414600</v>
          </cell>
          <cell r="D504" t="str">
            <v>会計士監査料</v>
          </cell>
        </row>
        <row r="505">
          <cell r="A505" t="str">
            <v>414700</v>
          </cell>
          <cell r="D505" t="str">
            <v>リース料</v>
          </cell>
        </row>
        <row r="506">
          <cell r="A506" t="str">
            <v>414800</v>
          </cell>
          <cell r="D506" t="str">
            <v>賃借料</v>
          </cell>
        </row>
        <row r="507">
          <cell r="A507" t="str">
            <v>414900</v>
          </cell>
          <cell r="D507" t="str">
            <v>図書新聞費</v>
          </cell>
        </row>
        <row r="508">
          <cell r="A508" t="str">
            <v>415000</v>
          </cell>
          <cell r="D508" t="str">
            <v>組合会費</v>
          </cell>
        </row>
        <row r="509">
          <cell r="A509" t="str">
            <v>415100</v>
          </cell>
          <cell r="D509" t="str">
            <v>工会費</v>
          </cell>
        </row>
        <row r="510">
          <cell r="A510" t="str">
            <v>415200</v>
          </cell>
          <cell r="D510" t="str">
            <v>外注加工費</v>
          </cell>
        </row>
        <row r="511">
          <cell r="A511" t="str">
            <v>415300</v>
          </cell>
          <cell r="D511" t="str">
            <v>技術援助料</v>
          </cell>
        </row>
        <row r="512">
          <cell r="A512" t="str">
            <v>415400</v>
          </cell>
          <cell r="D512" t="str">
            <v>経営援助料</v>
          </cell>
        </row>
        <row r="513">
          <cell r="A513" t="str">
            <v>415410</v>
          </cell>
          <cell r="D513" t="str">
            <v>経営援助料-日本人給料・賞与</v>
          </cell>
        </row>
        <row r="514">
          <cell r="A514" t="str">
            <v>415420</v>
          </cell>
          <cell r="D514" t="str">
            <v>経営援助料-その他</v>
          </cell>
        </row>
        <row r="515">
          <cell r="A515" t="str">
            <v>415500</v>
          </cell>
          <cell r="D515" t="str">
            <v>顧問料</v>
          </cell>
        </row>
        <row r="516">
          <cell r="A516" t="str">
            <v>415600</v>
          </cell>
          <cell r="D516" t="str">
            <v>研究費</v>
          </cell>
        </row>
        <row r="517">
          <cell r="A517" t="str">
            <v>415700</v>
          </cell>
          <cell r="D517" t="str">
            <v>特許関係費</v>
          </cell>
        </row>
        <row r="518">
          <cell r="A518" t="str">
            <v>415800</v>
          </cell>
          <cell r="D518" t="str">
            <v>貸倒引当金繰入額</v>
          </cell>
        </row>
        <row r="519">
          <cell r="A519" t="str">
            <v>415900</v>
          </cell>
          <cell r="D519" t="str">
            <v>貸倒損失</v>
          </cell>
        </row>
        <row r="520">
          <cell r="A520" t="str">
            <v>416000</v>
          </cell>
          <cell r="D520" t="str">
            <v>債権償却特別勘定繰入</v>
          </cell>
        </row>
        <row r="521">
          <cell r="A521" t="str">
            <v>416100</v>
          </cell>
          <cell r="D521" t="str">
            <v>事業税引当金繰入</v>
          </cell>
        </row>
        <row r="522">
          <cell r="A522" t="str">
            <v>416200</v>
          </cell>
          <cell r="D522" t="str">
            <v>事業所税引当金繰入</v>
          </cell>
        </row>
        <row r="523">
          <cell r="A523" t="str">
            <v>416300</v>
          </cell>
          <cell r="D523" t="str">
            <v>支払賠償金</v>
          </cell>
        </row>
        <row r="524">
          <cell r="A524" t="str">
            <v>416400</v>
          </cell>
          <cell r="D524" t="str">
            <v>雑費</v>
          </cell>
        </row>
        <row r="525">
          <cell r="A525" t="str">
            <v>416500</v>
          </cell>
          <cell r="D525" t="str">
            <v>外労諸費</v>
          </cell>
        </row>
        <row r="526">
          <cell r="A526" t="str">
            <v>416600</v>
          </cell>
          <cell r="D526" t="str">
            <v>運賃</v>
          </cell>
        </row>
        <row r="527">
          <cell r="A527" t="str">
            <v>420700</v>
          </cell>
          <cell r="D527" t="str">
            <v>役員報酬</v>
          </cell>
        </row>
        <row r="528">
          <cell r="A528" t="str">
            <v>424410</v>
          </cell>
          <cell r="D528" t="str">
            <v>支払手数料－翻訳料･図面開示料</v>
          </cell>
        </row>
        <row r="529">
          <cell r="A529" t="str">
            <v>424700</v>
          </cell>
          <cell r="D529" t="str">
            <v>リース料</v>
          </cell>
        </row>
        <row r="530">
          <cell r="A530" t="str">
            <v>424800</v>
          </cell>
          <cell r="D530" t="str">
            <v>賃借料</v>
          </cell>
        </row>
        <row r="531">
          <cell r="A531" t="str">
            <v>425400</v>
          </cell>
          <cell r="D531" t="str">
            <v>経営援助料</v>
          </cell>
        </row>
        <row r="532">
          <cell r="A532" t="str">
            <v>425420</v>
          </cell>
          <cell r="D532" t="str">
            <v>経営援助料-その他</v>
          </cell>
        </row>
        <row r="533">
          <cell r="A533" t="str">
            <v>426300</v>
          </cell>
          <cell r="D533" t="str">
            <v>支払賠償金</v>
          </cell>
        </row>
        <row r="534">
          <cell r="A534" t="str">
            <v>430100</v>
          </cell>
          <cell r="D534" t="str">
            <v>給料手当</v>
          </cell>
        </row>
        <row r="535">
          <cell r="A535" t="str">
            <v>430110</v>
          </cell>
          <cell r="D535" t="str">
            <v>給料手当－現地スタッフ</v>
          </cell>
        </row>
        <row r="536">
          <cell r="A536" t="str">
            <v>430120</v>
          </cell>
          <cell r="D536" t="str">
            <v>給料手当－日本人スタッフ</v>
          </cell>
        </row>
        <row r="537">
          <cell r="A537" t="str">
            <v>430200</v>
          </cell>
          <cell r="D537" t="str">
            <v>雑給</v>
          </cell>
        </row>
        <row r="538">
          <cell r="A538" t="str">
            <v>430300</v>
          </cell>
          <cell r="D538" t="str">
            <v>賞与金</v>
          </cell>
        </row>
        <row r="539">
          <cell r="A539" t="str">
            <v>430310</v>
          </cell>
          <cell r="D539" t="str">
            <v>賞与金－現地スタッフ</v>
          </cell>
        </row>
        <row r="540">
          <cell r="A540" t="str">
            <v>430320</v>
          </cell>
          <cell r="D540" t="str">
            <v>賞与金－日本人スタッフ</v>
          </cell>
        </row>
        <row r="541">
          <cell r="A541" t="str">
            <v>430400</v>
          </cell>
          <cell r="D541" t="str">
            <v>賞与金繰入</v>
          </cell>
        </row>
        <row r="542">
          <cell r="A542" t="str">
            <v>430500</v>
          </cell>
          <cell r="D542" t="str">
            <v>退職金</v>
          </cell>
        </row>
        <row r="543">
          <cell r="A543" t="str">
            <v>430600</v>
          </cell>
          <cell r="D543" t="str">
            <v>退職金繰入</v>
          </cell>
        </row>
        <row r="544">
          <cell r="A544" t="str">
            <v>430700</v>
          </cell>
          <cell r="D544" t="str">
            <v>役員報酬</v>
          </cell>
        </row>
        <row r="545">
          <cell r="A545" t="str">
            <v>430800</v>
          </cell>
          <cell r="D545" t="str">
            <v>役員退職慰労金</v>
          </cell>
        </row>
        <row r="546">
          <cell r="A546" t="str">
            <v>430900</v>
          </cell>
          <cell r="D546" t="str">
            <v>適格年金掛金</v>
          </cell>
        </row>
        <row r="547">
          <cell r="A547" t="str">
            <v>431000</v>
          </cell>
          <cell r="D547" t="str">
            <v>法定福利費</v>
          </cell>
        </row>
        <row r="548">
          <cell r="A548" t="str">
            <v>431100</v>
          </cell>
          <cell r="D548" t="str">
            <v>福利厚生費</v>
          </cell>
        </row>
        <row r="549">
          <cell r="A549" t="str">
            <v>431200</v>
          </cell>
          <cell r="D549" t="str">
            <v>教育訓練費</v>
          </cell>
        </row>
        <row r="550">
          <cell r="A550" t="str">
            <v>431300</v>
          </cell>
          <cell r="D550" t="str">
            <v>募集費</v>
          </cell>
        </row>
        <row r="551">
          <cell r="A551" t="str">
            <v>431400</v>
          </cell>
          <cell r="D551" t="str">
            <v>労務管理費</v>
          </cell>
        </row>
        <row r="552">
          <cell r="A552" t="str">
            <v>431600</v>
          </cell>
          <cell r="D552" t="str">
            <v>退職給付引当金繰入額</v>
          </cell>
        </row>
        <row r="553">
          <cell r="A553" t="str">
            <v>431990</v>
          </cell>
          <cell r="D553" t="str">
            <v>労務費計</v>
          </cell>
        </row>
        <row r="554">
          <cell r="A554" t="str">
            <v>432100</v>
          </cell>
          <cell r="D554" t="str">
            <v>販売手数料</v>
          </cell>
        </row>
        <row r="555">
          <cell r="A555" t="str">
            <v>432200</v>
          </cell>
          <cell r="D555" t="str">
            <v>発送配達費</v>
          </cell>
        </row>
        <row r="556">
          <cell r="A556" t="str">
            <v>432300</v>
          </cell>
          <cell r="D556" t="str">
            <v>船積諸掛</v>
          </cell>
        </row>
        <row r="557">
          <cell r="A557" t="str">
            <v>432400</v>
          </cell>
          <cell r="D557" t="str">
            <v>見本品費</v>
          </cell>
        </row>
        <row r="558">
          <cell r="A558" t="str">
            <v>432500</v>
          </cell>
          <cell r="D558" t="str">
            <v>広告宣伝費</v>
          </cell>
        </row>
        <row r="559">
          <cell r="A559" t="str">
            <v>432600</v>
          </cell>
          <cell r="D559" t="str">
            <v>交際接待費</v>
          </cell>
        </row>
        <row r="560">
          <cell r="A560" t="str">
            <v>432700</v>
          </cell>
          <cell r="D560" t="str">
            <v>会議費</v>
          </cell>
        </row>
        <row r="561">
          <cell r="A561" t="str">
            <v>432800</v>
          </cell>
          <cell r="D561" t="str">
            <v>寄付金</v>
          </cell>
        </row>
        <row r="562">
          <cell r="A562" t="str">
            <v>432900</v>
          </cell>
          <cell r="D562" t="str">
            <v>電気代</v>
          </cell>
        </row>
        <row r="563">
          <cell r="A563" t="str">
            <v>433000</v>
          </cell>
          <cell r="D563" t="str">
            <v>ガス水道料</v>
          </cell>
        </row>
        <row r="564">
          <cell r="A564" t="str">
            <v>433100</v>
          </cell>
          <cell r="D564" t="str">
            <v>燃料費</v>
          </cell>
        </row>
        <row r="565">
          <cell r="A565" t="str">
            <v>433200</v>
          </cell>
          <cell r="D565" t="str">
            <v>旅費交通費</v>
          </cell>
        </row>
        <row r="566">
          <cell r="A566" t="str">
            <v>433300</v>
          </cell>
          <cell r="D566" t="str">
            <v>通信費</v>
          </cell>
        </row>
        <row r="567">
          <cell r="A567" t="str">
            <v>433400</v>
          </cell>
          <cell r="D567" t="str">
            <v>保険料</v>
          </cell>
        </row>
        <row r="568">
          <cell r="A568" t="str">
            <v>433500</v>
          </cell>
          <cell r="D568" t="str">
            <v>消耗品費</v>
          </cell>
        </row>
        <row r="569">
          <cell r="A569" t="str">
            <v>433600</v>
          </cell>
          <cell r="D569" t="str">
            <v>消耗工具・器具備品費</v>
          </cell>
        </row>
        <row r="570">
          <cell r="A570" t="str">
            <v>433700</v>
          </cell>
          <cell r="D570" t="str">
            <v>金型費</v>
          </cell>
        </row>
        <row r="571">
          <cell r="A571" t="str">
            <v>433800</v>
          </cell>
          <cell r="D571" t="str">
            <v>工作課用役費</v>
          </cell>
        </row>
        <row r="572">
          <cell r="A572" t="str">
            <v>433900</v>
          </cell>
          <cell r="D572" t="str">
            <v>修繕費</v>
          </cell>
        </row>
        <row r="573">
          <cell r="A573" t="str">
            <v>434000</v>
          </cell>
          <cell r="D573" t="str">
            <v>租税公課</v>
          </cell>
        </row>
        <row r="574">
          <cell r="A574" t="str">
            <v>434100</v>
          </cell>
          <cell r="D574" t="str">
            <v>減価償却費</v>
          </cell>
        </row>
        <row r="575">
          <cell r="A575" t="str">
            <v>434200</v>
          </cell>
          <cell r="D575" t="str">
            <v>繰延資産償却費</v>
          </cell>
        </row>
        <row r="576">
          <cell r="A576" t="str">
            <v>434300</v>
          </cell>
          <cell r="D576" t="str">
            <v>銀行関係手数料</v>
          </cell>
        </row>
        <row r="577">
          <cell r="A577" t="str">
            <v>434400</v>
          </cell>
          <cell r="D577" t="str">
            <v>支払手数料</v>
          </cell>
        </row>
        <row r="578">
          <cell r="A578" t="str">
            <v>434500</v>
          </cell>
          <cell r="D578" t="str">
            <v>業務委託費</v>
          </cell>
        </row>
        <row r="579">
          <cell r="A579" t="str">
            <v>434600</v>
          </cell>
          <cell r="D579" t="str">
            <v>会計士監査料</v>
          </cell>
        </row>
        <row r="580">
          <cell r="A580" t="str">
            <v>434700</v>
          </cell>
          <cell r="D580" t="str">
            <v>リース料</v>
          </cell>
        </row>
        <row r="581">
          <cell r="A581" t="str">
            <v>434800</v>
          </cell>
          <cell r="D581" t="str">
            <v>賃借料</v>
          </cell>
        </row>
        <row r="582">
          <cell r="A582" t="str">
            <v>434900</v>
          </cell>
          <cell r="D582" t="str">
            <v>図書新聞費</v>
          </cell>
        </row>
        <row r="583">
          <cell r="A583" t="str">
            <v>435000</v>
          </cell>
          <cell r="D583" t="str">
            <v>組合会費</v>
          </cell>
        </row>
        <row r="584">
          <cell r="A584" t="str">
            <v>435100</v>
          </cell>
          <cell r="D584" t="str">
            <v>工会費</v>
          </cell>
        </row>
        <row r="585">
          <cell r="A585" t="str">
            <v>435200</v>
          </cell>
          <cell r="D585" t="str">
            <v>外注加工費</v>
          </cell>
        </row>
        <row r="586">
          <cell r="A586" t="str">
            <v>435300</v>
          </cell>
          <cell r="D586" t="str">
            <v>技術援助料</v>
          </cell>
        </row>
        <row r="587">
          <cell r="A587" t="str">
            <v>435400</v>
          </cell>
          <cell r="D587" t="str">
            <v>経営援助料</v>
          </cell>
        </row>
        <row r="588">
          <cell r="A588" t="str">
            <v>435500</v>
          </cell>
          <cell r="D588" t="str">
            <v>顧問料</v>
          </cell>
        </row>
        <row r="589">
          <cell r="A589" t="str">
            <v>435600</v>
          </cell>
          <cell r="D589" t="str">
            <v>研究費</v>
          </cell>
        </row>
        <row r="590">
          <cell r="A590" t="str">
            <v>435700</v>
          </cell>
          <cell r="D590" t="str">
            <v>特許関係費</v>
          </cell>
        </row>
        <row r="591">
          <cell r="A591" t="str">
            <v>435800</v>
          </cell>
          <cell r="D591" t="str">
            <v>貸倒引当金繰入額</v>
          </cell>
        </row>
        <row r="592">
          <cell r="A592" t="str">
            <v>435900</v>
          </cell>
          <cell r="D592" t="str">
            <v>貸倒損失</v>
          </cell>
        </row>
        <row r="593">
          <cell r="A593" t="str">
            <v>436000</v>
          </cell>
          <cell r="D593" t="str">
            <v>債権償却特別勘定繰入</v>
          </cell>
        </row>
        <row r="594">
          <cell r="A594" t="str">
            <v>436100</v>
          </cell>
          <cell r="D594" t="str">
            <v>事業税引当金繰入</v>
          </cell>
        </row>
        <row r="595">
          <cell r="A595" t="str">
            <v>436200</v>
          </cell>
          <cell r="D595" t="str">
            <v>事業所税引当金繰入</v>
          </cell>
        </row>
        <row r="596">
          <cell r="A596" t="str">
            <v>436300</v>
          </cell>
          <cell r="D596" t="str">
            <v>支払賠償金</v>
          </cell>
        </row>
        <row r="597">
          <cell r="A597" t="str">
            <v>436400</v>
          </cell>
          <cell r="D597" t="str">
            <v>雑費</v>
          </cell>
        </row>
        <row r="598">
          <cell r="A598" t="str">
            <v>436500</v>
          </cell>
          <cell r="D598" t="str">
            <v>外労諸費</v>
          </cell>
        </row>
        <row r="599">
          <cell r="A599" t="str">
            <v>436600</v>
          </cell>
          <cell r="D599" t="str">
            <v>運賃</v>
          </cell>
        </row>
        <row r="600">
          <cell r="A600" t="str">
            <v>436990</v>
          </cell>
          <cell r="D600" t="str">
            <v>経費計</v>
          </cell>
        </row>
        <row r="601">
          <cell r="A601" t="str">
            <v>437990</v>
          </cell>
          <cell r="D601" t="str">
            <v>合計</v>
          </cell>
        </row>
        <row r="602">
          <cell r="A602" t="str">
            <v>450100</v>
          </cell>
          <cell r="D602" t="str">
            <v>直接給料手当</v>
          </cell>
        </row>
        <row r="603">
          <cell r="A603" t="str">
            <v>450200</v>
          </cell>
          <cell r="D603" t="str">
            <v>直接雑給</v>
          </cell>
        </row>
        <row r="604">
          <cell r="A604" t="str">
            <v>450300</v>
          </cell>
          <cell r="D604" t="str">
            <v>直接賞与金</v>
          </cell>
        </row>
        <row r="605">
          <cell r="A605" t="str">
            <v>450400</v>
          </cell>
          <cell r="D605" t="str">
            <v>直接賞与金繰入</v>
          </cell>
        </row>
        <row r="606">
          <cell r="A606" t="str">
            <v>450500</v>
          </cell>
          <cell r="D606" t="str">
            <v>直接退職金</v>
          </cell>
        </row>
        <row r="607">
          <cell r="A607" t="str">
            <v>450600</v>
          </cell>
          <cell r="D607" t="str">
            <v>直接退職金繰入</v>
          </cell>
        </row>
        <row r="608">
          <cell r="A608" t="str">
            <v>450900</v>
          </cell>
          <cell r="D608" t="str">
            <v>直接適格年金掛金</v>
          </cell>
        </row>
        <row r="609">
          <cell r="A609" t="str">
            <v>451000</v>
          </cell>
          <cell r="D609" t="str">
            <v>直接法定福利費</v>
          </cell>
        </row>
        <row r="610">
          <cell r="A610" t="str">
            <v>451100</v>
          </cell>
          <cell r="D610" t="str">
            <v>直接福利厚生費</v>
          </cell>
        </row>
        <row r="611">
          <cell r="A611" t="str">
            <v>451200</v>
          </cell>
          <cell r="D611" t="str">
            <v>直接教育訓練費</v>
          </cell>
        </row>
        <row r="612">
          <cell r="A612" t="str">
            <v>451400</v>
          </cell>
          <cell r="D612" t="str">
            <v>直接労務管理費</v>
          </cell>
        </row>
        <row r="613">
          <cell r="A613" t="str">
            <v>451500</v>
          </cell>
          <cell r="D613" t="str">
            <v>直接適格年金過去勤務掛金</v>
          </cell>
        </row>
        <row r="614">
          <cell r="A614" t="str">
            <v>451600</v>
          </cell>
          <cell r="D614" t="str">
            <v>直接退職給付引当金繰入額</v>
          </cell>
        </row>
        <row r="615">
          <cell r="A615" t="str">
            <v>451990</v>
          </cell>
          <cell r="D615" t="str">
            <v>直接労務費計</v>
          </cell>
        </row>
        <row r="616">
          <cell r="A616" t="str">
            <v>460100</v>
          </cell>
          <cell r="D616" t="str">
            <v>給料手当</v>
          </cell>
        </row>
        <row r="617">
          <cell r="A617" t="str">
            <v>460110</v>
          </cell>
          <cell r="D617" t="str">
            <v>給料手当－現地スタッフ</v>
          </cell>
        </row>
        <row r="618">
          <cell r="A618" t="str">
            <v>460120</v>
          </cell>
          <cell r="D618" t="str">
            <v>給料手当－日本人スタッフ</v>
          </cell>
        </row>
        <row r="619">
          <cell r="A619" t="str">
            <v>460200</v>
          </cell>
          <cell r="D619" t="str">
            <v>雑給</v>
          </cell>
        </row>
        <row r="620">
          <cell r="A620" t="str">
            <v>460300</v>
          </cell>
          <cell r="D620" t="str">
            <v>賞与金</v>
          </cell>
        </row>
        <row r="621">
          <cell r="A621" t="str">
            <v>460310</v>
          </cell>
          <cell r="D621" t="str">
            <v>賞与金－現地スタッフ</v>
          </cell>
        </row>
        <row r="622">
          <cell r="A622" t="str">
            <v>460320</v>
          </cell>
          <cell r="D622" t="str">
            <v>賞与金－日本人スタッフ</v>
          </cell>
        </row>
        <row r="623">
          <cell r="A623" t="str">
            <v>460400</v>
          </cell>
          <cell r="D623" t="str">
            <v>賞与金繰入</v>
          </cell>
        </row>
        <row r="624">
          <cell r="A624" t="str">
            <v>460500</v>
          </cell>
          <cell r="D624" t="str">
            <v>退職金</v>
          </cell>
        </row>
        <row r="625">
          <cell r="A625" t="str">
            <v>460600</v>
          </cell>
          <cell r="D625" t="str">
            <v>退職金繰入</v>
          </cell>
        </row>
        <row r="626">
          <cell r="A626" t="str">
            <v>460700</v>
          </cell>
          <cell r="D626" t="str">
            <v>役員報酬</v>
          </cell>
        </row>
        <row r="627">
          <cell r="A627" t="str">
            <v>460800</v>
          </cell>
          <cell r="D627" t="str">
            <v>役員退職慰労金</v>
          </cell>
        </row>
        <row r="628">
          <cell r="A628" t="str">
            <v>460900</v>
          </cell>
          <cell r="D628" t="str">
            <v>適格年金掛金</v>
          </cell>
        </row>
        <row r="629">
          <cell r="A629" t="str">
            <v>461000</v>
          </cell>
          <cell r="D629" t="str">
            <v>法定福利費</v>
          </cell>
        </row>
        <row r="630">
          <cell r="A630" t="str">
            <v>461100</v>
          </cell>
          <cell r="D630" t="str">
            <v>福利厚生費</v>
          </cell>
        </row>
        <row r="631">
          <cell r="A631" t="str">
            <v>461200</v>
          </cell>
          <cell r="D631" t="str">
            <v>教育訓練費</v>
          </cell>
        </row>
        <row r="632">
          <cell r="A632" t="str">
            <v>461300</v>
          </cell>
          <cell r="D632" t="str">
            <v>募集費</v>
          </cell>
        </row>
        <row r="633">
          <cell r="A633" t="str">
            <v>461400</v>
          </cell>
          <cell r="D633" t="str">
            <v>労務管理費</v>
          </cell>
        </row>
        <row r="634">
          <cell r="A634" t="str">
            <v>461500</v>
          </cell>
          <cell r="D634" t="str">
            <v>適格年金過去勤務掛金</v>
          </cell>
        </row>
        <row r="635">
          <cell r="A635" t="str">
            <v>461600</v>
          </cell>
          <cell r="D635" t="str">
            <v>退職給付引当金繰入額</v>
          </cell>
        </row>
        <row r="636">
          <cell r="A636" t="str">
            <v>461990</v>
          </cell>
          <cell r="D636" t="str">
            <v>間接労務費計</v>
          </cell>
        </row>
        <row r="637">
          <cell r="A637" t="str">
            <v>472100</v>
          </cell>
          <cell r="D637" t="str">
            <v>販売手数料</v>
          </cell>
        </row>
        <row r="638">
          <cell r="A638" t="str">
            <v>472200</v>
          </cell>
          <cell r="D638" t="str">
            <v>発送配達費</v>
          </cell>
        </row>
        <row r="639">
          <cell r="A639" t="str">
            <v>472300</v>
          </cell>
          <cell r="D639" t="str">
            <v>船積諸掛</v>
          </cell>
        </row>
        <row r="640">
          <cell r="A640" t="str">
            <v>472400</v>
          </cell>
          <cell r="D640" t="str">
            <v>見本品費</v>
          </cell>
        </row>
        <row r="641">
          <cell r="A641" t="str">
            <v>472500</v>
          </cell>
          <cell r="D641" t="str">
            <v>広告宣伝費</v>
          </cell>
        </row>
        <row r="642">
          <cell r="A642" t="str">
            <v>472600</v>
          </cell>
          <cell r="D642" t="str">
            <v>交際接待費</v>
          </cell>
        </row>
        <row r="643">
          <cell r="A643" t="str">
            <v>472700</v>
          </cell>
          <cell r="D643" t="str">
            <v>会議費</v>
          </cell>
        </row>
        <row r="644">
          <cell r="A644" t="str">
            <v>472800</v>
          </cell>
          <cell r="D644" t="str">
            <v>寄付金</v>
          </cell>
        </row>
        <row r="645">
          <cell r="A645" t="str">
            <v>472900</v>
          </cell>
          <cell r="D645" t="str">
            <v>電気代</v>
          </cell>
        </row>
        <row r="646">
          <cell r="A646" t="str">
            <v>473000</v>
          </cell>
          <cell r="D646" t="str">
            <v>ガス水道料</v>
          </cell>
        </row>
        <row r="647">
          <cell r="A647" t="str">
            <v>473100</v>
          </cell>
          <cell r="D647" t="str">
            <v>燃料費</v>
          </cell>
        </row>
        <row r="648">
          <cell r="A648" t="str">
            <v>473200</v>
          </cell>
          <cell r="D648" t="str">
            <v>旅費交通費</v>
          </cell>
        </row>
        <row r="649">
          <cell r="A649" t="str">
            <v>473300</v>
          </cell>
          <cell r="D649" t="str">
            <v>通信費</v>
          </cell>
        </row>
        <row r="650">
          <cell r="A650" t="str">
            <v>473400</v>
          </cell>
          <cell r="D650" t="str">
            <v>保険料</v>
          </cell>
        </row>
        <row r="651">
          <cell r="A651" t="str">
            <v>473500</v>
          </cell>
          <cell r="D651" t="str">
            <v>消耗品費</v>
          </cell>
        </row>
        <row r="652">
          <cell r="A652" t="str">
            <v>473600</v>
          </cell>
          <cell r="D652" t="str">
            <v>消耗工具・器具備品費</v>
          </cell>
        </row>
        <row r="653">
          <cell r="A653" t="str">
            <v>473700</v>
          </cell>
          <cell r="D653" t="str">
            <v>金型費</v>
          </cell>
        </row>
        <row r="654">
          <cell r="A654" t="str">
            <v>473800</v>
          </cell>
          <cell r="D654" t="str">
            <v>工作課用役費</v>
          </cell>
        </row>
        <row r="655">
          <cell r="A655" t="str">
            <v>473900</v>
          </cell>
          <cell r="D655" t="str">
            <v>修繕費</v>
          </cell>
        </row>
        <row r="656">
          <cell r="A656" t="str">
            <v>474000</v>
          </cell>
          <cell r="C656" t="str">
            <v>51</v>
          </cell>
          <cell r="D656" t="str">
            <v>租税公課</v>
          </cell>
        </row>
        <row r="657">
          <cell r="A657" t="str">
            <v>474100</v>
          </cell>
          <cell r="C657" t="str">
            <v>52</v>
          </cell>
          <cell r="D657" t="str">
            <v>減価償却費</v>
          </cell>
        </row>
        <row r="658">
          <cell r="A658" t="str">
            <v>474200</v>
          </cell>
          <cell r="C658" t="str">
            <v>54</v>
          </cell>
          <cell r="D658" t="str">
            <v>繰延資産償却費</v>
          </cell>
        </row>
        <row r="659">
          <cell r="A659" t="str">
            <v>474300</v>
          </cell>
          <cell r="D659" t="str">
            <v>銀行関係手数料</v>
          </cell>
        </row>
        <row r="660">
          <cell r="A660" t="str">
            <v>474400</v>
          </cell>
          <cell r="D660" t="str">
            <v>支払手数料</v>
          </cell>
        </row>
        <row r="661">
          <cell r="A661" t="str">
            <v>474410</v>
          </cell>
          <cell r="D661" t="str">
            <v>支払手数料－翻訳料･図面開示料</v>
          </cell>
        </row>
        <row r="662">
          <cell r="A662" t="str">
            <v>474420</v>
          </cell>
          <cell r="C662" t="str">
            <v>23</v>
          </cell>
          <cell r="D662" t="str">
            <v>支払手数料－その他</v>
          </cell>
        </row>
        <row r="663">
          <cell r="A663" t="str">
            <v>474500</v>
          </cell>
          <cell r="C663" t="str">
            <v>24</v>
          </cell>
          <cell r="D663" t="str">
            <v>業務委託費</v>
          </cell>
        </row>
        <row r="664">
          <cell r="A664" t="str">
            <v>474600</v>
          </cell>
          <cell r="C664" t="str">
            <v>51</v>
          </cell>
          <cell r="D664" t="str">
            <v>会計士監査料</v>
          </cell>
        </row>
        <row r="665">
          <cell r="A665" t="str">
            <v>474700</v>
          </cell>
          <cell r="C665" t="str">
            <v>52</v>
          </cell>
          <cell r="D665" t="str">
            <v>リース料</v>
          </cell>
        </row>
        <row r="666">
          <cell r="A666" t="str">
            <v>474800</v>
          </cell>
          <cell r="C666" t="str">
            <v>54</v>
          </cell>
          <cell r="D666" t="str">
            <v>賃借料</v>
          </cell>
        </row>
        <row r="667">
          <cell r="A667" t="str">
            <v>474900</v>
          </cell>
          <cell r="D667" t="str">
            <v>図書新聞費</v>
          </cell>
        </row>
        <row r="668">
          <cell r="A668" t="str">
            <v>475000</v>
          </cell>
          <cell r="D668" t="str">
            <v>組合会費</v>
          </cell>
        </row>
        <row r="669">
          <cell r="A669" t="str">
            <v>475100</v>
          </cell>
          <cell r="D669" t="str">
            <v>工会費</v>
          </cell>
        </row>
        <row r="670">
          <cell r="A670" t="str">
            <v>475200</v>
          </cell>
          <cell r="C670" t="str">
            <v>23</v>
          </cell>
          <cell r="D670" t="str">
            <v>外注加工費</v>
          </cell>
        </row>
        <row r="671">
          <cell r="A671" t="str">
            <v>475300</v>
          </cell>
          <cell r="C671" t="str">
            <v>24</v>
          </cell>
          <cell r="D671" t="str">
            <v>技術援助料</v>
          </cell>
        </row>
        <row r="672">
          <cell r="A672" t="str">
            <v>475400</v>
          </cell>
          <cell r="D672" t="str">
            <v>経営援助料</v>
          </cell>
        </row>
        <row r="673">
          <cell r="A673" t="str">
            <v>475410</v>
          </cell>
          <cell r="C673" t="str">
            <v>51</v>
          </cell>
          <cell r="D673" t="str">
            <v>経営援助料-日本人給料・賞与</v>
          </cell>
        </row>
        <row r="674">
          <cell r="A674" t="str">
            <v>475420</v>
          </cell>
          <cell r="C674" t="str">
            <v>52</v>
          </cell>
          <cell r="D674" t="str">
            <v>経営援助料-その他</v>
          </cell>
        </row>
        <row r="675">
          <cell r="A675" t="str">
            <v>475500</v>
          </cell>
          <cell r="C675" t="str">
            <v>54</v>
          </cell>
          <cell r="D675" t="str">
            <v>顧問料</v>
          </cell>
        </row>
        <row r="676">
          <cell r="A676" t="str">
            <v>475600</v>
          </cell>
          <cell r="D676" t="str">
            <v>研究費</v>
          </cell>
        </row>
        <row r="677">
          <cell r="A677" t="str">
            <v>475700</v>
          </cell>
          <cell r="D677" t="str">
            <v>特許関係費</v>
          </cell>
        </row>
        <row r="678">
          <cell r="A678" t="str">
            <v>475800</v>
          </cell>
          <cell r="D678" t="str">
            <v>貸倒引当金繰入額</v>
          </cell>
        </row>
        <row r="679">
          <cell r="A679" t="str">
            <v>475900</v>
          </cell>
          <cell r="D679" t="str">
            <v>貸倒損失</v>
          </cell>
        </row>
        <row r="680">
          <cell r="A680" t="str">
            <v>476000</v>
          </cell>
          <cell r="D680" t="str">
            <v>債権償却特別勘定繰入</v>
          </cell>
        </row>
        <row r="681">
          <cell r="A681" t="str">
            <v>476100</v>
          </cell>
          <cell r="D681" t="str">
            <v>事業税引当金繰入</v>
          </cell>
        </row>
        <row r="682">
          <cell r="A682" t="str">
            <v>476200</v>
          </cell>
          <cell r="C682" t="str">
            <v>20</v>
          </cell>
          <cell r="D682" t="str">
            <v>事業所税引当金繰入</v>
          </cell>
        </row>
        <row r="683">
          <cell r="A683" t="str">
            <v>476300</v>
          </cell>
          <cell r="C683" t="str">
            <v>34</v>
          </cell>
          <cell r="D683" t="str">
            <v>支払賠償金</v>
          </cell>
        </row>
        <row r="684">
          <cell r="A684" t="str">
            <v>476400</v>
          </cell>
          <cell r="C684" t="str">
            <v>48</v>
          </cell>
          <cell r="D684" t="str">
            <v>雑費</v>
          </cell>
        </row>
        <row r="685">
          <cell r="A685" t="str">
            <v>476500</v>
          </cell>
          <cell r="C685" t="str">
            <v>64</v>
          </cell>
          <cell r="D685" t="str">
            <v>外労諸費</v>
          </cell>
        </row>
        <row r="686">
          <cell r="A686" t="str">
            <v>476600</v>
          </cell>
          <cell r="C686" t="str">
            <v>67</v>
          </cell>
          <cell r="D686" t="str">
            <v>運賃</v>
          </cell>
        </row>
        <row r="687">
          <cell r="A687" t="str">
            <v>476990</v>
          </cell>
          <cell r="C687" t="str">
            <v>69</v>
          </cell>
          <cell r="D687" t="str">
            <v>経費計</v>
          </cell>
        </row>
        <row r="688">
          <cell r="A688" t="str">
            <v>521000</v>
          </cell>
          <cell r="C688" t="str">
            <v>20</v>
          </cell>
          <cell r="D688" t="str">
            <v>売上原価</v>
          </cell>
        </row>
        <row r="689">
          <cell r="A689" t="str">
            <v>521100</v>
          </cell>
          <cell r="C689" t="str">
            <v>34</v>
          </cell>
          <cell r="D689" t="str">
            <v>期首棚卸高</v>
          </cell>
        </row>
        <row r="690">
          <cell r="A690" t="str">
            <v>521200</v>
          </cell>
          <cell r="C690" t="str">
            <v>48</v>
          </cell>
          <cell r="D690" t="str">
            <v>期首棚卸調整額</v>
          </cell>
        </row>
        <row r="691">
          <cell r="A691" t="str">
            <v>521300</v>
          </cell>
          <cell r="C691" t="str">
            <v>64</v>
          </cell>
          <cell r="D691" t="str">
            <v>当期製品製造原価</v>
          </cell>
        </row>
        <row r="692">
          <cell r="A692" t="str">
            <v>521400</v>
          </cell>
          <cell r="C692" t="str">
            <v>67</v>
          </cell>
          <cell r="D692" t="str">
            <v>当期製品モーター受入高</v>
          </cell>
        </row>
        <row r="693">
          <cell r="A693" t="str">
            <v>521500</v>
          </cell>
          <cell r="D693" t="str">
            <v>当期商品仕入高</v>
          </cell>
        </row>
        <row r="694">
          <cell r="A694" t="str">
            <v>521510</v>
          </cell>
          <cell r="D694" t="str">
            <v>当期輸入諸掛</v>
          </cell>
        </row>
        <row r="695">
          <cell r="A695" t="str">
            <v>521600</v>
          </cell>
          <cell r="D695" t="str">
            <v>他勘定受入高</v>
          </cell>
        </row>
        <row r="696">
          <cell r="A696" t="str">
            <v>521610</v>
          </cell>
          <cell r="D696" t="str">
            <v>他勘定相殺高</v>
          </cell>
        </row>
        <row r="697">
          <cell r="A697" t="str">
            <v>521990</v>
          </cell>
          <cell r="C697" t="str">
            <v>20</v>
          </cell>
          <cell r="D697" t="str">
            <v>小計</v>
          </cell>
        </row>
        <row r="698">
          <cell r="A698" t="str">
            <v>522100</v>
          </cell>
          <cell r="C698" t="str">
            <v>34</v>
          </cell>
          <cell r="D698" t="str">
            <v>製品パーツ投入高</v>
          </cell>
        </row>
        <row r="699">
          <cell r="A699" t="str">
            <v>522200</v>
          </cell>
          <cell r="C699" t="str">
            <v>44</v>
          </cell>
          <cell r="D699" t="str">
            <v>他勘定振替高</v>
          </cell>
        </row>
        <row r="700">
          <cell r="A700" t="str">
            <v>522210</v>
          </cell>
          <cell r="C700" t="str">
            <v>48</v>
          </cell>
          <cell r="D700" t="str">
            <v>他勘定相殺高</v>
          </cell>
        </row>
        <row r="701">
          <cell r="A701" t="str">
            <v>522300</v>
          </cell>
          <cell r="C701" t="str">
            <v>51</v>
          </cell>
          <cell r="D701" t="str">
            <v>期末棚卸高</v>
          </cell>
        </row>
        <row r="702">
          <cell r="A702" t="str">
            <v>522400</v>
          </cell>
          <cell r="C702" t="str">
            <v>61</v>
          </cell>
          <cell r="D702" t="str">
            <v>期末棚卸調整額</v>
          </cell>
        </row>
        <row r="703">
          <cell r="A703" t="str">
            <v>522500</v>
          </cell>
          <cell r="C703" t="str">
            <v>66</v>
          </cell>
          <cell r="D703" t="str">
            <v>製品パーツ外注支給高</v>
          </cell>
        </row>
        <row r="704">
          <cell r="A704" t="str">
            <v>523100</v>
          </cell>
          <cell r="C704" t="str">
            <v>67</v>
          </cell>
          <cell r="D704" t="str">
            <v>商品期首棚卸高</v>
          </cell>
        </row>
        <row r="705">
          <cell r="A705" t="str">
            <v>523200</v>
          </cell>
          <cell r="C705" t="str">
            <v>69</v>
          </cell>
          <cell r="D705" t="str">
            <v>商品期首棚卸調整額</v>
          </cell>
        </row>
        <row r="706">
          <cell r="A706" t="str">
            <v>540000</v>
          </cell>
          <cell r="C706" t="str">
            <v>20</v>
          </cell>
          <cell r="D706" t="str">
            <v>支援費用</v>
          </cell>
        </row>
        <row r="707">
          <cell r="A707" t="str">
            <v>541000</v>
          </cell>
          <cell r="C707" t="str">
            <v>34</v>
          </cell>
          <cell r="D707" t="str">
            <v>加工費用</v>
          </cell>
        </row>
        <row r="708">
          <cell r="A708" t="str">
            <v>500100</v>
          </cell>
          <cell r="C708" t="str">
            <v>44</v>
          </cell>
          <cell r="D708" t="str">
            <v>資本金－期首</v>
          </cell>
        </row>
        <row r="709">
          <cell r="A709" t="str">
            <v>500226</v>
          </cell>
          <cell r="C709" t="str">
            <v>48</v>
          </cell>
          <cell r="D709" t="str">
            <v>資本金－増資</v>
          </cell>
        </row>
        <row r="710">
          <cell r="A710" t="str">
            <v>500227</v>
          </cell>
          <cell r="C710" t="str">
            <v>51</v>
          </cell>
          <cell r="D710" t="str">
            <v>資本金－転換社債から転換</v>
          </cell>
        </row>
        <row r="711">
          <cell r="A711" t="str">
            <v>500228</v>
          </cell>
          <cell r="C711" t="str">
            <v>61</v>
          </cell>
          <cell r="D711" t="str">
            <v>資本金－資本準備金から振替</v>
          </cell>
        </row>
        <row r="712">
          <cell r="A712" t="str">
            <v>500268</v>
          </cell>
          <cell r="C712" t="str">
            <v>66</v>
          </cell>
          <cell r="D712" t="str">
            <v>資本金－その他増減</v>
          </cell>
        </row>
        <row r="713">
          <cell r="A713" t="str">
            <v>500310</v>
          </cell>
          <cell r="C713" t="str">
            <v>67</v>
          </cell>
          <cell r="D713" t="str">
            <v>資本金－減資</v>
          </cell>
        </row>
        <row r="714">
          <cell r="A714" t="str">
            <v>1311000</v>
          </cell>
          <cell r="C714" t="str">
            <v>20</v>
          </cell>
          <cell r="D714" t="str">
            <v>資本金－期末</v>
          </cell>
        </row>
        <row r="715">
          <cell r="A715" t="str">
            <v>530100</v>
          </cell>
          <cell r="C715" t="str">
            <v>34</v>
          </cell>
          <cell r="D715" t="str">
            <v>自己株式－期首</v>
          </cell>
        </row>
        <row r="716">
          <cell r="A716" t="str">
            <v>530110</v>
          </cell>
          <cell r="C716" t="str">
            <v>48</v>
          </cell>
          <cell r="D716" t="str">
            <v>自己株式－減少</v>
          </cell>
        </row>
        <row r="717">
          <cell r="A717" t="str">
            <v>530234</v>
          </cell>
          <cell r="C717" t="str">
            <v>51</v>
          </cell>
          <cell r="D717" t="str">
            <v>自己株式－取得</v>
          </cell>
        </row>
        <row r="718">
          <cell r="A718" t="str">
            <v>530248</v>
          </cell>
          <cell r="D718" t="str">
            <v>自己株式－振替</v>
          </cell>
        </row>
        <row r="719">
          <cell r="A719" t="str">
            <v>530310</v>
          </cell>
          <cell r="D719" t="str">
            <v>自己株式－売却</v>
          </cell>
        </row>
        <row r="720">
          <cell r="A720" t="str">
            <v>530500</v>
          </cell>
          <cell r="D720" t="str">
            <v>自己株式－期末</v>
          </cell>
        </row>
        <row r="721">
          <cell r="A721" t="str">
            <v>550000</v>
          </cell>
          <cell r="D721" t="str">
            <v>剰余金－期首</v>
          </cell>
        </row>
        <row r="722">
          <cell r="A722" t="str">
            <v>550100</v>
          </cell>
          <cell r="D722" t="str">
            <v>剰余金－期首増加</v>
          </cell>
        </row>
        <row r="723">
          <cell r="A723" t="str">
            <v>550200</v>
          </cell>
          <cell r="D723" t="str">
            <v>剰余金－過年度税効果調整</v>
          </cell>
        </row>
        <row r="724">
          <cell r="A724" t="str">
            <v>551000</v>
          </cell>
          <cell r="D724" t="str">
            <v>剰余金－減少高</v>
          </cell>
        </row>
        <row r="725">
          <cell r="A725" t="str">
            <v>552000</v>
          </cell>
          <cell r="D725" t="str">
            <v>剰余金－利益準備金繰入</v>
          </cell>
        </row>
        <row r="726">
          <cell r="A726" t="str">
            <v>552100</v>
          </cell>
          <cell r="D726" t="str">
            <v>剰余金-利益準備金繰入-期末分</v>
          </cell>
        </row>
        <row r="727">
          <cell r="A727" t="str">
            <v>552200</v>
          </cell>
          <cell r="D727" t="str">
            <v>剰余金-利益準備金繰入-中間分</v>
          </cell>
        </row>
        <row r="728">
          <cell r="A728" t="str">
            <v>553000</v>
          </cell>
          <cell r="C728" t="str">
            <v>20</v>
          </cell>
          <cell r="D728" t="str">
            <v>剰余金－配当金</v>
          </cell>
        </row>
        <row r="729">
          <cell r="A729" t="str">
            <v>553100</v>
          </cell>
          <cell r="C729" t="str">
            <v>35</v>
          </cell>
          <cell r="D729" t="str">
            <v>剰余金-配当金-期末分</v>
          </cell>
        </row>
        <row r="730">
          <cell r="A730" t="str">
            <v>553200</v>
          </cell>
          <cell r="C730" t="str">
            <v>48</v>
          </cell>
          <cell r="D730" t="str">
            <v>剰余金-配当金-中間分</v>
          </cell>
        </row>
        <row r="731">
          <cell r="A731" t="str">
            <v>555000</v>
          </cell>
          <cell r="C731" t="str">
            <v>60</v>
          </cell>
          <cell r="D731" t="str">
            <v>剰余金－資本準備金繰入額</v>
          </cell>
        </row>
        <row r="732">
          <cell r="A732" t="str">
            <v>555300</v>
          </cell>
          <cell r="C732" t="str">
            <v>67</v>
          </cell>
          <cell r="D732" t="str">
            <v>剰余金－過年度修正－増加</v>
          </cell>
        </row>
        <row r="733">
          <cell r="A733" t="str">
            <v>555400</v>
          </cell>
          <cell r="C733" t="str">
            <v>20</v>
          </cell>
          <cell r="D733" t="str">
            <v>剰余金－過年度修正－減少</v>
          </cell>
        </row>
        <row r="734">
          <cell r="A734" t="str">
            <v>555500</v>
          </cell>
          <cell r="C734" t="str">
            <v>35</v>
          </cell>
          <cell r="D734" t="str">
            <v>剰余金－自己株式の消却</v>
          </cell>
        </row>
        <row r="735">
          <cell r="A735" t="str">
            <v>555600</v>
          </cell>
          <cell r="C735" t="str">
            <v>48</v>
          </cell>
          <cell r="D735" t="str">
            <v>剰余金－その他－増加</v>
          </cell>
        </row>
        <row r="736">
          <cell r="A736" t="str">
            <v>555700</v>
          </cell>
          <cell r="C736" t="str">
            <v>60</v>
          </cell>
          <cell r="D736" t="str">
            <v>剰余金－その他－減少</v>
          </cell>
        </row>
        <row r="737">
          <cell r="A737" t="str">
            <v>556200</v>
          </cell>
          <cell r="C737" t="str">
            <v>67</v>
          </cell>
          <cell r="D737" t="str">
            <v>剰余金－当期純利益</v>
          </cell>
        </row>
        <row r="738">
          <cell r="A738" t="str">
            <v>5563000</v>
          </cell>
          <cell r="D738" t="str">
            <v>剰余金－期末残高</v>
          </cell>
        </row>
        <row r="739">
          <cell r="A739" t="str">
            <v>599101</v>
          </cell>
          <cell r="D739" t="str">
            <v>資本準備金－期首</v>
          </cell>
        </row>
        <row r="740">
          <cell r="A740" t="str">
            <v>599102</v>
          </cell>
          <cell r="C740" t="str">
            <v>20</v>
          </cell>
          <cell r="D740" t="str">
            <v>資本準備金－増加</v>
          </cell>
        </row>
        <row r="741">
          <cell r="A741" t="str">
            <v>599103</v>
          </cell>
          <cell r="C741" t="str">
            <v>34</v>
          </cell>
          <cell r="D741" t="str">
            <v>資本準備金－減少</v>
          </cell>
        </row>
        <row r="742">
          <cell r="A742" t="str">
            <v>1312100</v>
          </cell>
          <cell r="C742" t="str">
            <v>44</v>
          </cell>
          <cell r="D742" t="str">
            <v>資本準備金－期末</v>
          </cell>
        </row>
        <row r="743">
          <cell r="A743" t="str">
            <v>599201</v>
          </cell>
          <cell r="C743" t="str">
            <v>48</v>
          </cell>
          <cell r="D743" t="str">
            <v>その他資本剰余金－期首</v>
          </cell>
        </row>
        <row r="744">
          <cell r="A744" t="str">
            <v>599202</v>
          </cell>
          <cell r="C744" t="str">
            <v>51</v>
          </cell>
          <cell r="D744" t="str">
            <v>その他資本剰余金－増加</v>
          </cell>
        </row>
        <row r="745">
          <cell r="A745" t="str">
            <v>599203</v>
          </cell>
          <cell r="C745" t="str">
            <v>61</v>
          </cell>
          <cell r="D745" t="str">
            <v>その他資本剰余金－減少</v>
          </cell>
        </row>
        <row r="746">
          <cell r="A746" t="str">
            <v>1312200</v>
          </cell>
          <cell r="C746" t="str">
            <v>62</v>
          </cell>
          <cell r="D746" t="str">
            <v>その他資本剰余金－期末</v>
          </cell>
        </row>
        <row r="747">
          <cell r="A747" t="str">
            <v>599301</v>
          </cell>
          <cell r="C747" t="str">
            <v>66</v>
          </cell>
          <cell r="D747" t="str">
            <v>自己株式－期首</v>
          </cell>
        </row>
        <row r="748">
          <cell r="A748" t="str">
            <v>599302</v>
          </cell>
          <cell r="C748" t="str">
            <v>67</v>
          </cell>
          <cell r="D748" t="str">
            <v>自己株式－取得</v>
          </cell>
        </row>
        <row r="749">
          <cell r="A749" t="str">
            <v>599303</v>
          </cell>
          <cell r="D749" t="str">
            <v>自己株式－消却</v>
          </cell>
        </row>
        <row r="750">
          <cell r="A750" t="str">
            <v>1333000</v>
          </cell>
          <cell r="D750" t="str">
            <v>自己株式－期末</v>
          </cell>
        </row>
        <row r="751">
          <cell r="A751" t="str">
            <v>599401</v>
          </cell>
          <cell r="C751" t="str">
            <v>20</v>
          </cell>
          <cell r="D751" t="str">
            <v>その他有価証券評価差額金－期首</v>
          </cell>
        </row>
        <row r="752">
          <cell r="A752" t="str">
            <v>599402</v>
          </cell>
          <cell r="C752" t="str">
            <v>36</v>
          </cell>
          <cell r="D752" t="str">
            <v>その他有価証券評価差額金－増加</v>
          </cell>
        </row>
        <row r="753">
          <cell r="A753" t="str">
            <v>599403</v>
          </cell>
          <cell r="C753" t="str">
            <v>55</v>
          </cell>
          <cell r="D753" t="str">
            <v>その他有価証券評価差額金－減少</v>
          </cell>
        </row>
        <row r="754">
          <cell r="A754" t="str">
            <v>132100</v>
          </cell>
          <cell r="C754" t="str">
            <v>67</v>
          </cell>
          <cell r="D754" t="str">
            <v>その他有価証券評価差額金－期末</v>
          </cell>
        </row>
        <row r="755">
          <cell r="A755" t="str">
            <v>1313100</v>
          </cell>
          <cell r="D755" t="str">
            <v>利益準備金－期末</v>
          </cell>
        </row>
        <row r="756">
          <cell r="A756" t="str">
            <v>shihonkin</v>
          </cell>
          <cell r="D756" t="str">
            <v>＜資本金＞</v>
          </cell>
        </row>
        <row r="757">
          <cell r="A757" t="str">
            <v>shihonjyunbi</v>
          </cell>
          <cell r="C757" t="str">
            <v>20</v>
          </cell>
          <cell r="D757" t="str">
            <v>＜資本準備金＞</v>
          </cell>
        </row>
        <row r="758">
          <cell r="A758" t="str">
            <v>sonotashihon</v>
          </cell>
          <cell r="C758" t="str">
            <v>35</v>
          </cell>
          <cell r="D758" t="str">
            <v>＜その他資本剰余金＞</v>
          </cell>
        </row>
        <row r="759">
          <cell r="A759" t="str">
            <v>jikokabu</v>
          </cell>
          <cell r="C759" t="str">
            <v>48</v>
          </cell>
          <cell r="D759" t="str">
            <v>＜自己株式＞</v>
          </cell>
        </row>
        <row r="760">
          <cell r="A760" t="str">
            <v>sonotayuuka</v>
          </cell>
          <cell r="C760" t="str">
            <v>60</v>
          </cell>
          <cell r="D760" t="str">
            <v>＜その他有価証券評価差額金＞</v>
          </cell>
        </row>
        <row r="761">
          <cell r="A761" t="str">
            <v>riekijyunbi</v>
          </cell>
          <cell r="C761" t="str">
            <v>67</v>
          </cell>
          <cell r="D761" t="str">
            <v>＜利益準備金＞</v>
          </cell>
        </row>
        <row r="762">
          <cell r="A762" t="str">
            <v>sonotajyouyo</v>
          </cell>
          <cell r="C762" t="str">
            <v>20</v>
          </cell>
          <cell r="D762" t="str">
            <v>＜その他剰余金＞</v>
          </cell>
        </row>
        <row r="763">
          <cell r="A763" t="str">
            <v>zougensyousai</v>
          </cell>
          <cell r="C763" t="str">
            <v>35</v>
          </cell>
          <cell r="D763" t="str">
            <v>＜剰余金－その他－増減の詳細＞</v>
          </cell>
        </row>
        <row r="764">
          <cell r="A764" t="str">
            <v>700000</v>
          </cell>
          <cell r="C764" t="str">
            <v>48</v>
          </cell>
          <cell r="D764" t="str">
            <v>売上高</v>
          </cell>
        </row>
        <row r="765">
          <cell r="A765" t="str">
            <v>703100</v>
          </cell>
          <cell r="C765" t="str">
            <v>60</v>
          </cell>
          <cell r="D765" t="str">
            <v>MMK製</v>
          </cell>
        </row>
        <row r="766">
          <cell r="A766" t="str">
            <v>703200</v>
          </cell>
          <cell r="C766" t="str">
            <v>67</v>
          </cell>
          <cell r="D766" t="str">
            <v>HKM製</v>
          </cell>
        </row>
        <row r="767">
          <cell r="A767" t="str">
            <v>703300</v>
          </cell>
          <cell r="C767" t="str">
            <v>20</v>
          </cell>
          <cell r="D767" t="str">
            <v>TWM製</v>
          </cell>
        </row>
        <row r="768">
          <cell r="A768" t="str">
            <v>703400</v>
          </cell>
          <cell r="C768" t="str">
            <v>33</v>
          </cell>
          <cell r="D768" t="str">
            <v>TKM製</v>
          </cell>
        </row>
        <row r="769">
          <cell r="A769" t="str">
            <v>703500</v>
          </cell>
          <cell r="C769" t="str">
            <v>43</v>
          </cell>
          <cell r="D769" t="str">
            <v>DLM製</v>
          </cell>
        </row>
        <row r="770">
          <cell r="A770" t="str">
            <v>703600</v>
          </cell>
          <cell r="C770" t="str">
            <v>67</v>
          </cell>
          <cell r="D770" t="str">
            <v>MLM製</v>
          </cell>
        </row>
        <row r="771">
          <cell r="A771" t="str">
            <v>703700</v>
          </cell>
          <cell r="C771" t="str">
            <v>20</v>
          </cell>
          <cell r="D771" t="str">
            <v>JSM製</v>
          </cell>
        </row>
        <row r="772">
          <cell r="A772" t="str">
            <v>703800</v>
          </cell>
          <cell r="C772" t="str">
            <v>34</v>
          </cell>
          <cell r="D772" t="str">
            <v>VNM製</v>
          </cell>
        </row>
        <row r="773">
          <cell r="A773" t="str">
            <v>703900</v>
          </cell>
          <cell r="C773" t="str">
            <v>48</v>
          </cell>
          <cell r="D773" t="str">
            <v>DWM製</v>
          </cell>
        </row>
        <row r="774">
          <cell r="A774" t="str">
            <v>703950</v>
          </cell>
          <cell r="C774" t="str">
            <v>64</v>
          </cell>
          <cell r="D774" t="str">
            <v>VDM製</v>
          </cell>
        </row>
        <row r="775">
          <cell r="A775" t="str">
            <v>703250</v>
          </cell>
          <cell r="D775" t="str">
            <v>DGM製</v>
          </cell>
        </row>
        <row r="776">
          <cell r="A776" t="str">
            <v>703260</v>
          </cell>
          <cell r="D776" t="str">
            <v>YTM製</v>
          </cell>
        </row>
        <row r="777">
          <cell r="A777" t="str">
            <v>703270</v>
          </cell>
          <cell r="D777" t="str">
            <v>DDM製</v>
          </cell>
        </row>
        <row r="778">
          <cell r="A778" t="str">
            <v>703280</v>
          </cell>
          <cell r="D778" t="str">
            <v>JXM製</v>
          </cell>
        </row>
        <row r="779">
          <cell r="A779" t="str">
            <v>708000</v>
          </cell>
          <cell r="C779" t="str">
            <v>67</v>
          </cell>
          <cell r="D779" t="str">
            <v>受取手数料(ＣＯＭＭ)</v>
          </cell>
        </row>
        <row r="780">
          <cell r="A780" t="str">
            <v>709000</v>
          </cell>
          <cell r="C780" t="str">
            <v>20</v>
          </cell>
          <cell r="D780" t="str">
            <v>受取技術援助料(ＲＯＹ)</v>
          </cell>
        </row>
        <row r="781">
          <cell r="A781" t="str">
            <v>720000</v>
          </cell>
          <cell r="C781" t="str">
            <v>33</v>
          </cell>
          <cell r="D781" t="str">
            <v>仕入高</v>
          </cell>
        </row>
        <row r="782">
          <cell r="A782" t="str">
            <v>721000</v>
          </cell>
          <cell r="C782" t="str">
            <v>48</v>
          </cell>
          <cell r="D782" t="str">
            <v>製品売上原価</v>
          </cell>
        </row>
        <row r="783">
          <cell r="A783" t="str">
            <v>723000</v>
          </cell>
          <cell r="C783" t="str">
            <v>64</v>
          </cell>
          <cell r="D783" t="str">
            <v>商品売上原価</v>
          </cell>
        </row>
        <row r="784">
          <cell r="A784" t="str">
            <v>725100</v>
          </cell>
          <cell r="C784" t="str">
            <v>20</v>
          </cell>
          <cell r="D784" t="str">
            <v>MMK製</v>
          </cell>
        </row>
        <row r="785">
          <cell r="A785" t="str">
            <v>725200</v>
          </cell>
          <cell r="C785" t="str">
            <v>33</v>
          </cell>
          <cell r="D785" t="str">
            <v>HKM製</v>
          </cell>
        </row>
        <row r="786">
          <cell r="A786" t="str">
            <v>725300</v>
          </cell>
          <cell r="C786" t="str">
            <v>34</v>
          </cell>
          <cell r="D786" t="str">
            <v>TWM製</v>
          </cell>
        </row>
        <row r="787">
          <cell r="A787" t="str">
            <v>725400</v>
          </cell>
          <cell r="C787" t="str">
            <v>48</v>
          </cell>
          <cell r="D787" t="str">
            <v>TKM製</v>
          </cell>
        </row>
        <row r="788">
          <cell r="A788" t="str">
            <v>725500</v>
          </cell>
          <cell r="C788" t="str">
            <v>64</v>
          </cell>
          <cell r="D788" t="str">
            <v>DLM製</v>
          </cell>
        </row>
        <row r="789">
          <cell r="A789" t="str">
            <v>725600</v>
          </cell>
          <cell r="C789" t="str">
            <v>20</v>
          </cell>
          <cell r="D789" t="str">
            <v>MLM製</v>
          </cell>
        </row>
        <row r="790">
          <cell r="A790" t="str">
            <v>725700</v>
          </cell>
          <cell r="C790" t="str">
            <v>34</v>
          </cell>
          <cell r="D790" t="str">
            <v>JSM製</v>
          </cell>
        </row>
        <row r="791">
          <cell r="A791" t="str">
            <v>725800</v>
          </cell>
          <cell r="C791" t="str">
            <v>48</v>
          </cell>
          <cell r="D791" t="str">
            <v>VNM製</v>
          </cell>
        </row>
        <row r="792">
          <cell r="A792" t="str">
            <v>725900</v>
          </cell>
          <cell r="C792" t="str">
            <v>51</v>
          </cell>
          <cell r="D792" t="str">
            <v>DWM製</v>
          </cell>
        </row>
        <row r="793">
          <cell r="A793" t="str">
            <v>725950</v>
          </cell>
          <cell r="C793" t="str">
            <v>64</v>
          </cell>
          <cell r="D793" t="str">
            <v>VDM製</v>
          </cell>
        </row>
        <row r="794">
          <cell r="A794" t="str">
            <v>725250</v>
          </cell>
          <cell r="D794" t="str">
            <v>DGM製</v>
          </cell>
        </row>
        <row r="795">
          <cell r="A795" t="str">
            <v>725260</v>
          </cell>
          <cell r="D795" t="str">
            <v>YTM製</v>
          </cell>
        </row>
        <row r="796">
          <cell r="A796" t="str">
            <v>725270</v>
          </cell>
          <cell r="D796" t="str">
            <v>DDM製</v>
          </cell>
        </row>
        <row r="797">
          <cell r="A797" t="str">
            <v>725280</v>
          </cell>
          <cell r="D797" t="str">
            <v>JXM製</v>
          </cell>
        </row>
        <row r="798">
          <cell r="A798" t="str">
            <v>726000</v>
          </cell>
          <cell r="C798" t="str">
            <v>66</v>
          </cell>
          <cell r="D798" t="str">
            <v>半製品売上原価</v>
          </cell>
        </row>
        <row r="799">
          <cell r="A799" t="str">
            <v>727000</v>
          </cell>
          <cell r="C799" t="str">
            <v>67</v>
          </cell>
          <cell r="D799" t="str">
            <v>材料売上原価</v>
          </cell>
        </row>
        <row r="800">
          <cell r="A800" t="str">
            <v>732000</v>
          </cell>
          <cell r="C800" t="str">
            <v>20</v>
          </cell>
          <cell r="D800" t="str">
            <v>仕入商品支払手数料</v>
          </cell>
        </row>
        <row r="801">
          <cell r="A801" t="str">
            <v>733000</v>
          </cell>
          <cell r="C801" t="str">
            <v>33</v>
          </cell>
          <cell r="D801" t="str">
            <v>増値税売上原価</v>
          </cell>
        </row>
        <row r="802">
          <cell r="A802" t="str">
            <v>734000</v>
          </cell>
          <cell r="C802" t="str">
            <v>43</v>
          </cell>
          <cell r="D802" t="str">
            <v>棚卸資産廃棄損</v>
          </cell>
        </row>
        <row r="803">
          <cell r="A803" t="str">
            <v>736000</v>
          </cell>
          <cell r="C803" t="str">
            <v>67</v>
          </cell>
          <cell r="D803" t="str">
            <v>棚卸資産評価損</v>
          </cell>
        </row>
        <row r="804">
          <cell r="A804" t="str">
            <v>740000</v>
          </cell>
          <cell r="D804" t="str">
            <v>支援/加工費用</v>
          </cell>
        </row>
        <row r="805">
          <cell r="A805" t="str">
            <v>741000</v>
          </cell>
          <cell r="D805" t="str">
            <v>加工費用(DWMのみ)</v>
          </cell>
        </row>
        <row r="806">
          <cell r="A806" t="str">
            <v>750400</v>
          </cell>
          <cell r="D806" t="str">
            <v>受取配当金</v>
          </cell>
        </row>
        <row r="807">
          <cell r="A807" t="str">
            <v>812100</v>
          </cell>
          <cell r="C807" t="str">
            <v>20</v>
          </cell>
          <cell r="D807" t="str">
            <v>販売手数料</v>
          </cell>
        </row>
        <row r="808">
          <cell r="A808" t="str">
            <v>875300</v>
          </cell>
          <cell r="C808" t="str">
            <v>37</v>
          </cell>
          <cell r="D808" t="str">
            <v>技術援助料</v>
          </cell>
        </row>
        <row r="809">
          <cell r="A809" t="str">
            <v>880000</v>
          </cell>
          <cell r="C809" t="str">
            <v>48</v>
          </cell>
          <cell r="D809" t="str">
            <v>輸出手形割引</v>
          </cell>
        </row>
        <row r="810">
          <cell r="A810" t="str">
            <v>880100</v>
          </cell>
          <cell r="C810" t="str">
            <v>63</v>
          </cell>
          <cell r="D810" t="str">
            <v>従業員住宅資金</v>
          </cell>
        </row>
        <row r="811">
          <cell r="A811" t="str">
            <v>880200</v>
          </cell>
          <cell r="C811" t="str">
            <v>67</v>
          </cell>
          <cell r="D811" t="str">
            <v>外国人労働者の債務保証</v>
          </cell>
        </row>
        <row r="812">
          <cell r="A812" t="str">
            <v>880300</v>
          </cell>
          <cell r="C812" t="str">
            <v>20</v>
          </cell>
          <cell r="D812" t="str">
            <v>貴金属先物買付契約</v>
          </cell>
        </row>
        <row r="813">
          <cell r="A813" t="str">
            <v>880400</v>
          </cell>
          <cell r="C813" t="str">
            <v>37</v>
          </cell>
          <cell r="D813" t="str">
            <v>退職年金資産</v>
          </cell>
        </row>
        <row r="814">
          <cell r="A814" t="str">
            <v>880500</v>
          </cell>
          <cell r="C814" t="str">
            <v>48</v>
          </cell>
          <cell r="D814" t="str">
            <v>法人ｸﾚｼﾞｯﾄｶｰﾄﾞ</v>
          </cell>
        </row>
        <row r="815">
          <cell r="A815" t="str">
            <v>880600</v>
          </cell>
          <cell r="C815" t="str">
            <v>63</v>
          </cell>
          <cell r="D815" t="str">
            <v>政府当局への保証</v>
          </cell>
        </row>
        <row r="816">
          <cell r="A816" t="str">
            <v>881000</v>
          </cell>
          <cell r="C816" t="str">
            <v>67</v>
          </cell>
          <cell r="D816" t="str">
            <v>増加</v>
          </cell>
        </row>
        <row r="817">
          <cell r="A817" t="str">
            <v>881100</v>
          </cell>
          <cell r="D817" t="str">
            <v>減少</v>
          </cell>
        </row>
        <row r="818">
          <cell r="A818" t="str">
            <v>881200</v>
          </cell>
          <cell r="D818" t="str">
            <v>増加</v>
          </cell>
        </row>
        <row r="819">
          <cell r="A819" t="str">
            <v>881300</v>
          </cell>
          <cell r="C819" t="str">
            <v>20</v>
          </cell>
          <cell r="D819" t="str">
            <v>減少</v>
          </cell>
        </row>
        <row r="820">
          <cell r="A820" t="str">
            <v>890000</v>
          </cell>
          <cell r="C820" t="str">
            <v>37</v>
          </cell>
          <cell r="D820" t="str">
            <v>期中平均発行済株式数</v>
          </cell>
        </row>
        <row r="821">
          <cell r="A821" t="str">
            <v>890100</v>
          </cell>
          <cell r="C821" t="str">
            <v>48</v>
          </cell>
          <cell r="D821" t="str">
            <v>期中平均自己株式数</v>
          </cell>
        </row>
        <row r="822">
          <cell r="A822" t="str">
            <v>890200</v>
          </cell>
          <cell r="C822" t="str">
            <v>63</v>
          </cell>
          <cell r="D822" t="str">
            <v>期末発行済株式数</v>
          </cell>
        </row>
        <row r="823">
          <cell r="A823" t="str">
            <v>890300</v>
          </cell>
          <cell r="C823" t="str">
            <v>67</v>
          </cell>
          <cell r="D823" t="str">
            <v>期末自己株式数</v>
          </cell>
        </row>
        <row r="824">
          <cell r="A824" t="str">
            <v>890400</v>
          </cell>
          <cell r="C824" t="str">
            <v>20</v>
          </cell>
          <cell r="D824" t="str">
            <v>期首発行済株式数</v>
          </cell>
        </row>
        <row r="825">
          <cell r="A825" t="str">
            <v>890500</v>
          </cell>
          <cell r="C825" t="str">
            <v>37</v>
          </cell>
          <cell r="D825" t="str">
            <v>潜在株式数</v>
          </cell>
        </row>
        <row r="826">
          <cell r="A826" t="str">
            <v>890600</v>
          </cell>
          <cell r="C826" t="str">
            <v>48</v>
          </cell>
          <cell r="D826" t="str">
            <v>潜在株式調整額</v>
          </cell>
        </row>
        <row r="827">
          <cell r="A827" t="str">
            <v>891000</v>
          </cell>
          <cell r="C827" t="str">
            <v>63</v>
          </cell>
          <cell r="D827" t="str">
            <v>研究開発費</v>
          </cell>
        </row>
        <row r="828">
          <cell r="A828" t="str">
            <v>891100</v>
          </cell>
          <cell r="C828" t="str">
            <v>67</v>
          </cell>
          <cell r="D828" t="str">
            <v>研究開発人員</v>
          </cell>
        </row>
        <row r="829">
          <cell r="A829" t="str">
            <v>903000</v>
          </cell>
          <cell r="D829" t="str">
            <v>総労働時間</v>
          </cell>
        </row>
        <row r="830">
          <cell r="A830" t="str">
            <v>903010</v>
          </cell>
          <cell r="D830" t="str">
            <v>総所定内時間</v>
          </cell>
        </row>
        <row r="831">
          <cell r="A831" t="str">
            <v>903020</v>
          </cell>
          <cell r="D831" t="str">
            <v>総残業時間</v>
          </cell>
        </row>
        <row r="832">
          <cell r="A832" t="str">
            <v>903100</v>
          </cell>
          <cell r="D832" t="str">
            <v>直接労働時間計</v>
          </cell>
        </row>
        <row r="833">
          <cell r="A833" t="str">
            <v>903110</v>
          </cell>
          <cell r="D833" t="str">
            <v>直接所定内時間</v>
          </cell>
        </row>
        <row r="834">
          <cell r="A834" t="str">
            <v>903120</v>
          </cell>
          <cell r="D834" t="str">
            <v>直接残業時間</v>
          </cell>
        </row>
        <row r="835">
          <cell r="A835" t="str">
            <v>903200</v>
          </cell>
          <cell r="D835" t="str">
            <v>間接労働時間計（製造）</v>
          </cell>
        </row>
        <row r="836">
          <cell r="A836" t="str">
            <v>903210</v>
          </cell>
          <cell r="D836" t="str">
            <v>間接所定内時間（製造）</v>
          </cell>
        </row>
        <row r="837">
          <cell r="A837" t="str">
            <v>903220</v>
          </cell>
          <cell r="D837" t="str">
            <v>間接残業時間（製造）</v>
          </cell>
        </row>
        <row r="838">
          <cell r="A838" t="str">
            <v>903300</v>
          </cell>
          <cell r="D838" t="str">
            <v>管理労働時間計</v>
          </cell>
        </row>
        <row r="839">
          <cell r="A839" t="str">
            <v>903310</v>
          </cell>
          <cell r="D839" t="str">
            <v>管理所定内時間</v>
          </cell>
        </row>
        <row r="840">
          <cell r="A840" t="str">
            <v>903320</v>
          </cell>
          <cell r="D840" t="str">
            <v>管理残業時間</v>
          </cell>
        </row>
        <row r="841">
          <cell r="A841" t="str">
            <v>6313020</v>
          </cell>
          <cell r="D841" t="str">
            <v>利益準備金－期首</v>
          </cell>
        </row>
        <row r="842">
          <cell r="A842" t="str">
            <v>6313033</v>
          </cell>
          <cell r="D842" t="str">
            <v>利益準備金－繰入</v>
          </cell>
        </row>
        <row r="843">
          <cell r="A843" t="str">
            <v>6313059</v>
          </cell>
          <cell r="D843" t="str">
            <v>利益準備金－取崩</v>
          </cell>
        </row>
        <row r="844">
          <cell r="A844" t="str">
            <v>72900A0</v>
          </cell>
          <cell r="D844" t="str">
            <v>技術援助料</v>
          </cell>
        </row>
        <row r="845">
          <cell r="A845" t="str">
            <v>72900B0</v>
          </cell>
          <cell r="D845" t="str">
            <v>技術援助料</v>
          </cell>
        </row>
        <row r="846">
          <cell r="A846" t="str">
            <v>111</v>
          </cell>
          <cell r="D846" t="str">
            <v>モーター部門</v>
          </cell>
        </row>
        <row r="847">
          <cell r="A847" t="str">
            <v>112</v>
          </cell>
          <cell r="D847" t="str">
            <v>パーツ部門</v>
          </cell>
        </row>
        <row r="848">
          <cell r="A848" t="str">
            <v>121</v>
          </cell>
          <cell r="D848" t="str">
            <v>モーター部門</v>
          </cell>
        </row>
        <row r="849">
          <cell r="A849" t="str">
            <v>122</v>
          </cell>
          <cell r="D849" t="str">
            <v>パーツ部門</v>
          </cell>
        </row>
        <row r="850">
          <cell r="A850" t="str">
            <v>131</v>
          </cell>
          <cell r="D850" t="str">
            <v>半製品</v>
          </cell>
        </row>
        <row r="851">
          <cell r="A851" t="str">
            <v>141</v>
          </cell>
          <cell r="D851" t="str">
            <v>材料</v>
          </cell>
        </row>
        <row r="852">
          <cell r="A852" t="str">
            <v>211</v>
          </cell>
          <cell r="D852" t="str">
            <v>工具・機器部門</v>
          </cell>
        </row>
        <row r="853">
          <cell r="A853" t="str">
            <v>221</v>
          </cell>
          <cell r="D853" t="str">
            <v>工具・機器部門</v>
          </cell>
        </row>
        <row r="854">
          <cell r="A854" t="str">
            <v>311</v>
          </cell>
          <cell r="D854" t="str">
            <v>その他</v>
          </cell>
        </row>
        <row r="855">
          <cell r="A855" t="str">
            <v>600810</v>
          </cell>
          <cell r="D855" t="str">
            <v>モーター</v>
          </cell>
        </row>
        <row r="856">
          <cell r="A856" t="str">
            <v>600820</v>
          </cell>
          <cell r="D856" t="str">
            <v>生産機器</v>
          </cell>
        </row>
        <row r="857">
          <cell r="A857" t="str">
            <v>600830</v>
          </cell>
          <cell r="D857" t="str">
            <v>モーター部品</v>
          </cell>
        </row>
        <row r="858">
          <cell r="A858" t="str">
            <v>600910</v>
          </cell>
          <cell r="D858" t="str">
            <v>モーター</v>
          </cell>
        </row>
        <row r="859">
          <cell r="A859" t="str">
            <v>600920</v>
          </cell>
          <cell r="D859" t="str">
            <v>モーター部品</v>
          </cell>
        </row>
        <row r="860">
          <cell r="A860" t="str">
            <v>600930</v>
          </cell>
          <cell r="D860" t="str">
            <v>生産機器</v>
          </cell>
        </row>
        <row r="861">
          <cell r="A861" t="str">
            <v>601010</v>
          </cell>
          <cell r="D861" t="str">
            <v>半製品</v>
          </cell>
        </row>
        <row r="862">
          <cell r="A862" t="str">
            <v>601110</v>
          </cell>
          <cell r="D862" t="str">
            <v>モーター部品</v>
          </cell>
        </row>
        <row r="863">
          <cell r="A863" t="str">
            <v>dgm</v>
          </cell>
          <cell r="D863" t="str">
            <v>DGM</v>
          </cell>
        </row>
        <row r="864">
          <cell r="A864" t="str">
            <v>DGM</v>
          </cell>
          <cell r="D864" t="str">
            <v>DGM</v>
          </cell>
        </row>
        <row r="865">
          <cell r="A865" t="str">
            <v>dlm</v>
          </cell>
          <cell r="D865" t="str">
            <v>DLM</v>
          </cell>
        </row>
        <row r="866">
          <cell r="A866" t="str">
            <v>DLM</v>
          </cell>
          <cell r="D866" t="str">
            <v>DLM</v>
          </cell>
        </row>
        <row r="867">
          <cell r="A867" t="str">
            <v>dwm</v>
          </cell>
          <cell r="D867" t="str">
            <v>DWM</v>
          </cell>
        </row>
        <row r="868">
          <cell r="A868" t="str">
            <v>DWM</v>
          </cell>
          <cell r="D868" t="str">
            <v>DWM</v>
          </cell>
        </row>
        <row r="869">
          <cell r="A869" t="str">
            <v>hdr100001</v>
          </cell>
          <cell r="D869" t="str">
            <v>0～ 1ヵ月未満</v>
          </cell>
        </row>
        <row r="870">
          <cell r="A870" t="str">
            <v>hdr100002</v>
          </cell>
          <cell r="D870" t="str">
            <v>0～ 6ヵ月未満</v>
          </cell>
        </row>
        <row r="871">
          <cell r="A871" t="str">
            <v>hdr100003</v>
          </cell>
          <cell r="D871" t="str">
            <v>0～ 3ヵ月未満</v>
          </cell>
        </row>
        <row r="872">
          <cell r="A872" t="str">
            <v>hdr101001</v>
          </cell>
          <cell r="D872" t="str">
            <v>1ヵ月以上 ～ 2ヵ月未満</v>
          </cell>
        </row>
        <row r="873">
          <cell r="A873" t="str">
            <v>hdr101002</v>
          </cell>
          <cell r="D873" t="str">
            <v>1年以上 ～ 2年未満</v>
          </cell>
        </row>
        <row r="874">
          <cell r="A874" t="str">
            <v>hdr101003</v>
          </cell>
          <cell r="D874" t="str">
            <v>1回あたりの支払リース料</v>
          </cell>
        </row>
        <row r="875">
          <cell r="A875" t="str">
            <v>hdr101004</v>
          </cell>
          <cell r="D875" t="str">
            <v>1年内償還の転換社債</v>
          </cell>
        </row>
        <row r="876">
          <cell r="A876" t="str">
            <v>hdr101005</v>
          </cell>
          <cell r="D876" t="str">
            <v>1年内償還の転換社債－期末</v>
          </cell>
        </row>
        <row r="877">
          <cell r="A877" t="str">
            <v>hdr101006</v>
          </cell>
          <cell r="D877" t="str">
            <v>1年以上 ～</v>
          </cell>
        </row>
        <row r="878">
          <cell r="A878" t="str">
            <v>hdr101007</v>
          </cell>
          <cell r="D878" t="str">
            <v>1年超2年以内</v>
          </cell>
        </row>
        <row r="879">
          <cell r="A879" t="str">
            <v>hdr102001</v>
          </cell>
          <cell r="D879" t="str">
            <v>2ヵ月以上 ～ 3ヵ月未満</v>
          </cell>
        </row>
        <row r="880">
          <cell r="A880" t="str">
            <v>hdr102002</v>
          </cell>
          <cell r="D880" t="str">
            <v>2年以上 ～</v>
          </cell>
        </row>
        <row r="881">
          <cell r="A881" t="str">
            <v>hdr102003</v>
          </cell>
          <cell r="D881" t="str">
            <v>2年超3年以内</v>
          </cell>
        </row>
        <row r="882">
          <cell r="A882" t="str">
            <v>hdr103001</v>
          </cell>
          <cell r="D882" t="str">
            <v>3ヵ月以上 ～</v>
          </cell>
        </row>
        <row r="883">
          <cell r="A883" t="str">
            <v>hdr103002</v>
          </cell>
          <cell r="D883" t="str">
            <v>3ヵ月以上 ～ 6ヵ月未満</v>
          </cell>
        </row>
        <row r="884">
          <cell r="A884" t="str">
            <v>hdr103003</v>
          </cell>
          <cell r="D884" t="str">
            <v>3年超4年以内</v>
          </cell>
        </row>
        <row r="885">
          <cell r="A885" t="str">
            <v>hdr104001</v>
          </cell>
          <cell r="D885" t="str">
            <v>4年超5年以内</v>
          </cell>
        </row>
        <row r="886">
          <cell r="A886" t="str">
            <v>hdr105001</v>
          </cell>
          <cell r="D886" t="str">
            <v>5年超</v>
          </cell>
        </row>
        <row r="887">
          <cell r="A887" t="str">
            <v>hdr106001</v>
          </cell>
          <cell r="D887" t="str">
            <v>6ヵ月以上 ～  1年未満</v>
          </cell>
        </row>
        <row r="888">
          <cell r="A888" t="str">
            <v>hdr126001</v>
          </cell>
          <cell r="D888" t="str">
            <v>263A SGA UNICAP(NYO)</v>
          </cell>
        </row>
        <row r="889">
          <cell r="A889" t="str">
            <v>hdr2cc001</v>
          </cell>
          <cell r="D889" t="str">
            <v>C1利益処分明細・資本増加明細</v>
          </cell>
        </row>
        <row r="890">
          <cell r="A890" t="str">
            <v>hdr2cc002</v>
          </cell>
          <cell r="D890" t="str">
            <v>C9MMK,TKM供給材料割合計算書</v>
          </cell>
        </row>
        <row r="891">
          <cell r="A891" t="str">
            <v>hdr2dg001</v>
          </cell>
          <cell r="D891" t="str">
            <v>DGM供給材料費割合計算書</v>
          </cell>
        </row>
        <row r="892">
          <cell r="A892" t="str">
            <v>hdr2dg002</v>
          </cell>
          <cell r="D892" t="str">
            <v>DGMより仕入高</v>
          </cell>
        </row>
        <row r="893">
          <cell r="A893" t="str">
            <v>hdr2dg003</v>
          </cell>
          <cell r="D893" t="str">
            <v>DGM仕入在庫－期首</v>
          </cell>
        </row>
        <row r="894">
          <cell r="A894" t="str">
            <v>hdr2dg004</v>
          </cell>
          <cell r="D894" t="str">
            <v>DGM仕入在庫－期末</v>
          </cell>
        </row>
        <row r="895">
          <cell r="A895" t="str">
            <v>hdr2dg005</v>
          </cell>
          <cell r="D895" t="str">
            <v>DGM材料費割合</v>
          </cell>
        </row>
        <row r="896">
          <cell r="A896" t="str">
            <v>hdr2ld001</v>
          </cell>
          <cell r="D896" t="str">
            <v>LDM供給材料費割合計算書</v>
          </cell>
        </row>
        <row r="897">
          <cell r="A897" t="str">
            <v>hdr2ld002</v>
          </cell>
          <cell r="D897" t="str">
            <v>LDMより仕入高</v>
          </cell>
        </row>
        <row r="898">
          <cell r="A898" t="str">
            <v>hdr2ld003</v>
          </cell>
          <cell r="D898" t="str">
            <v>LDM仕入在庫－期首</v>
          </cell>
        </row>
        <row r="899">
          <cell r="A899" t="str">
            <v>hdr2ld004</v>
          </cell>
          <cell r="D899" t="str">
            <v>LDM仕入在庫－期末</v>
          </cell>
        </row>
        <row r="900">
          <cell r="A900" t="str">
            <v>hdr2ld005</v>
          </cell>
          <cell r="D900" t="str">
            <v>LDM材料費割合</v>
          </cell>
        </row>
        <row r="901">
          <cell r="A901" t="str">
            <v>hdr2dr001</v>
          </cell>
          <cell r="D901" t="str">
            <v>DR/CR取引明細表</v>
          </cell>
        </row>
        <row r="902">
          <cell r="A902" t="str">
            <v>hdr2dr002</v>
          </cell>
          <cell r="D902" t="str">
            <v>IGS明細表</v>
          </cell>
        </row>
        <row r="903">
          <cell r="A903" t="str">
            <v>hdr2hh001</v>
          </cell>
          <cell r="D903" t="str">
            <v>供給材料費割合計算書</v>
          </cell>
        </row>
        <row r="904">
          <cell r="A904" t="str">
            <v>hdr2hh002</v>
          </cell>
          <cell r="D904" t="str">
            <v>HKSEIKOより仕入高</v>
          </cell>
        </row>
        <row r="905">
          <cell r="A905" t="str">
            <v>hdr2hh003</v>
          </cell>
          <cell r="D905" t="str">
            <v>HKSEIKO仕入在庫－期首</v>
          </cell>
        </row>
        <row r="906">
          <cell r="A906" t="str">
            <v>hdr2hh004</v>
          </cell>
          <cell r="D906" t="str">
            <v>HKSEIKO仕入在庫－期末</v>
          </cell>
        </row>
        <row r="907">
          <cell r="A907" t="str">
            <v>hdr2hh005</v>
          </cell>
          <cell r="D907" t="str">
            <v>HKSEIKO材料費割合</v>
          </cell>
        </row>
        <row r="908">
          <cell r="A908" t="str">
            <v>hdr2mm001</v>
          </cell>
          <cell r="D908" t="str">
            <v>MMK供給材料費割合計算書（工場のみ）</v>
          </cell>
        </row>
        <row r="909">
          <cell r="A909" t="str">
            <v>hdr2mm002</v>
          </cell>
          <cell r="D909" t="str">
            <v>MMKより仕入高</v>
          </cell>
        </row>
        <row r="910">
          <cell r="A910" t="str">
            <v>hdr2mm003</v>
          </cell>
          <cell r="D910" t="str">
            <v>MMK仕入在庫－期首</v>
          </cell>
        </row>
        <row r="911">
          <cell r="A911" t="str">
            <v>hdr2mm004</v>
          </cell>
          <cell r="D911" t="str">
            <v>MMK仕入在庫－期末</v>
          </cell>
        </row>
        <row r="912">
          <cell r="A912" t="str">
            <v>hdr2mm005</v>
          </cell>
          <cell r="D912" t="str">
            <v>MMK材料費割合</v>
          </cell>
        </row>
        <row r="913">
          <cell r="A913" t="str">
            <v>hdr2mm006</v>
          </cell>
          <cell r="D913" t="str">
            <v>MMK</v>
          </cell>
        </row>
        <row r="914">
          <cell r="A914" t="str">
            <v>hdr2mm007</v>
          </cell>
          <cell r="D914" t="str">
            <v>MMKから購入した棚卸資産－期首</v>
          </cell>
        </row>
        <row r="915">
          <cell r="A915" t="str">
            <v>hdr2ro001</v>
          </cell>
          <cell r="D915" t="str">
            <v>ROY･COMM受取明細（MMK/TWMのみ）</v>
          </cell>
        </row>
        <row r="916">
          <cell r="A916" t="str">
            <v>hdr2ss001</v>
          </cell>
          <cell r="D916" t="str">
            <v>S2売上原価計算書</v>
          </cell>
        </row>
        <row r="917">
          <cell r="A917" t="str">
            <v>hdr2ss002</v>
          </cell>
          <cell r="D917" t="str">
            <v>S5製造原価報告書</v>
          </cell>
        </row>
        <row r="918">
          <cell r="A918" t="str">
            <v>hdr2ss003</v>
          </cell>
          <cell r="D918" t="str">
            <v>S9固定資産増減明細</v>
          </cell>
        </row>
        <row r="919">
          <cell r="A919" t="str">
            <v>hdr2tt001</v>
          </cell>
          <cell r="D919" t="str">
            <v>T1資産負債増減明細</v>
          </cell>
        </row>
        <row r="920">
          <cell r="A920" t="str">
            <v>hdr2tt003</v>
          </cell>
          <cell r="D920" t="str">
            <v>TKM供給材料費割合計算書（工場のみ）</v>
          </cell>
        </row>
        <row r="921">
          <cell r="A921" t="str">
            <v>hdr2tt004</v>
          </cell>
          <cell r="D921" t="str">
            <v>TKMより仕入高</v>
          </cell>
        </row>
        <row r="922">
          <cell r="A922" t="str">
            <v>hdr2tt005</v>
          </cell>
          <cell r="D922" t="str">
            <v>TKM仕入在庫－期首</v>
          </cell>
        </row>
        <row r="923">
          <cell r="A923" t="str">
            <v>hdr2tt006</v>
          </cell>
          <cell r="D923" t="str">
            <v>TKM仕入在庫－期末</v>
          </cell>
        </row>
        <row r="924">
          <cell r="A924" t="str">
            <v>hdr2tt007</v>
          </cell>
          <cell r="D924" t="str">
            <v>TKM材料費割合</v>
          </cell>
        </row>
        <row r="925">
          <cell r="A925" t="str">
            <v>hdr2tt008</v>
          </cell>
          <cell r="D925" t="str">
            <v>TKMから購入した棚卸資産－期首</v>
          </cell>
        </row>
        <row r="926">
          <cell r="A926" t="str">
            <v>hdr3gu001</v>
          </cell>
          <cell r="D926" t="str">
            <v>グループ</v>
          </cell>
        </row>
        <row r="927">
          <cell r="A927" t="str">
            <v>hdr3gu002</v>
          </cell>
          <cell r="C927" t="str">
            <v>00001</v>
          </cell>
          <cell r="D927" t="str">
            <v>グループ向け</v>
          </cell>
        </row>
        <row r="928">
          <cell r="A928" t="str">
            <v>hdr3ku001</v>
          </cell>
          <cell r="C928" t="str">
            <v>00002</v>
          </cell>
          <cell r="D928" t="str">
            <v>クレーム</v>
          </cell>
        </row>
        <row r="929">
          <cell r="A929" t="str">
            <v>hdr3ku002</v>
          </cell>
          <cell r="C929" t="str">
            <v>00003</v>
          </cell>
          <cell r="D929" t="str">
            <v>クレーム工数明細</v>
          </cell>
        </row>
        <row r="930">
          <cell r="A930" t="str">
            <v>hdr3ku003</v>
          </cell>
          <cell r="C930" t="str">
            <v>01001</v>
          </cell>
          <cell r="D930" t="str">
            <v>クレーム小計</v>
          </cell>
        </row>
        <row r="931">
          <cell r="A931" t="str">
            <v>hdr3ku004</v>
          </cell>
          <cell r="C931" t="str">
            <v>01002</v>
          </cell>
          <cell r="D931" t="str">
            <v>クレーム番号</v>
          </cell>
        </row>
        <row r="932">
          <cell r="A932" t="str">
            <v>hdr3ku005</v>
          </cell>
          <cell r="C932" t="str">
            <v>01003</v>
          </cell>
          <cell r="D932" t="str">
            <v>クレーム明細</v>
          </cell>
        </row>
        <row r="933">
          <cell r="A933" t="str">
            <v>hdr3ma001</v>
          </cell>
          <cell r="C933" t="str">
            <v>01004</v>
          </cell>
          <cell r="D933" t="str">
            <v>マネージメント・レポート</v>
          </cell>
        </row>
        <row r="934">
          <cell r="A934" t="str">
            <v>hdr3mo001</v>
          </cell>
          <cell r="C934" t="str">
            <v>01005</v>
          </cell>
          <cell r="D934" t="str">
            <v>モーター販売数量</v>
          </cell>
        </row>
        <row r="935">
          <cell r="A935" t="str">
            <v>hdr3mo002</v>
          </cell>
          <cell r="C935" t="str">
            <v>01006</v>
          </cell>
          <cell r="D935" t="str">
            <v>モーター販売数量（千個）</v>
          </cell>
        </row>
        <row r="936">
          <cell r="A936" t="str">
            <v>hdr3mo003</v>
          </cell>
          <cell r="C936" t="str">
            <v>01007</v>
          </cell>
          <cell r="D936" t="str">
            <v>モーター生産数量（千個）</v>
          </cell>
        </row>
        <row r="937">
          <cell r="A937" t="str">
            <v>hdr3mo004</v>
          </cell>
          <cell r="C937" t="str">
            <v>02001</v>
          </cell>
          <cell r="D937" t="str">
            <v>モーター期末在庫数量（千個）</v>
          </cell>
        </row>
        <row r="938">
          <cell r="A938" t="str">
            <v>hdr3mo005</v>
          </cell>
          <cell r="C938" t="str">
            <v>02002</v>
          </cell>
          <cell r="D938" t="str">
            <v>モーター１個当りの販売単価（現地通貨）</v>
          </cell>
        </row>
        <row r="939">
          <cell r="A939" t="str">
            <v>hdr3mo006</v>
          </cell>
          <cell r="C939" t="str">
            <v>02003</v>
          </cell>
          <cell r="D939" t="str">
            <v>モーター１個当りの製造原価（現地通貨）</v>
          </cell>
        </row>
        <row r="940">
          <cell r="A940" t="str">
            <v>hdr3pe001</v>
          </cell>
          <cell r="C940" t="str">
            <v>03001</v>
          </cell>
          <cell r="D940" t="str">
            <v>ページ</v>
          </cell>
        </row>
        <row r="941">
          <cell r="A941" t="str">
            <v>hdr3re001</v>
          </cell>
          <cell r="C941" t="str">
            <v>03002</v>
          </cell>
          <cell r="D941" t="str">
            <v>レポーティング・パッケージ</v>
          </cell>
        </row>
        <row r="942">
          <cell r="A942" t="str">
            <v>hdr3re002</v>
          </cell>
          <cell r="C942" t="str">
            <v>03003</v>
          </cell>
          <cell r="D942" t="str">
            <v>レート損益</v>
          </cell>
        </row>
        <row r="943">
          <cell r="A943" t="str">
            <v>hdr3ri001</v>
          </cell>
          <cell r="C943" t="str">
            <v>04001</v>
          </cell>
          <cell r="D943" t="str">
            <v>リース解約明細</v>
          </cell>
        </row>
        <row r="944">
          <cell r="A944" t="str">
            <v>hdr3ri002</v>
          </cell>
          <cell r="C944" t="str">
            <v>05001</v>
          </cell>
          <cell r="D944" t="str">
            <v>リース契約新規・変更明細</v>
          </cell>
        </row>
        <row r="945">
          <cell r="A945" t="str">
            <v>hdr3ri003</v>
          </cell>
          <cell r="C945" t="str">
            <v>06001</v>
          </cell>
          <cell r="D945" t="str">
            <v>リース開始日</v>
          </cell>
        </row>
        <row r="946">
          <cell r="A946" t="str">
            <v>hdr3ri004</v>
          </cell>
          <cell r="C946" t="str">
            <v>26001</v>
          </cell>
          <cell r="D946" t="str">
            <v>リース開始日の為替レート</v>
          </cell>
        </row>
        <row r="947">
          <cell r="A947" t="str">
            <v>hdr3ri005</v>
          </cell>
          <cell r="C947" t="str">
            <v>cc001</v>
          </cell>
          <cell r="D947" t="str">
            <v>リース期間 （月数）</v>
          </cell>
        </row>
        <row r="948">
          <cell r="A948" t="str">
            <v>hdr3ri006</v>
          </cell>
          <cell r="C948" t="str">
            <v>cc002</v>
          </cell>
          <cell r="D948" t="str">
            <v>リース料総額</v>
          </cell>
        </row>
        <row r="949">
          <cell r="A949" t="str">
            <v>hdr3ri007</v>
          </cell>
          <cell r="C949" t="str">
            <v>dg001</v>
          </cell>
          <cell r="D949" t="str">
            <v>リース契約新規・変更明細</v>
          </cell>
        </row>
        <row r="950">
          <cell r="A950" t="str">
            <v>hdr3ri008</v>
          </cell>
          <cell r="C950" t="str">
            <v>dg002</v>
          </cell>
          <cell r="D950" t="str">
            <v>リース契約明細</v>
          </cell>
        </row>
        <row r="951">
          <cell r="A951" t="str">
            <v>hdr3ri009</v>
          </cell>
          <cell r="C951" t="str">
            <v>dg003</v>
          </cell>
          <cell r="D951" t="str">
            <v>リース契約期間</v>
          </cell>
        </row>
        <row r="952">
          <cell r="A952" t="str">
            <v>hdr3se001</v>
          </cell>
          <cell r="C952" t="str">
            <v>dg004</v>
          </cell>
          <cell r="D952" t="str">
            <v>セグメント・レポート</v>
          </cell>
        </row>
        <row r="953">
          <cell r="A953" t="str">
            <v>hdr3se002</v>
          </cell>
          <cell r="C953" t="str">
            <v>dg005</v>
          </cell>
          <cell r="D953" t="str">
            <v>セル位置</v>
          </cell>
        </row>
        <row r="954">
          <cell r="A954" t="str">
            <v>hdr3se003</v>
          </cell>
          <cell r="C954" t="str">
            <v>dr001</v>
          </cell>
          <cell r="D954" t="str">
            <v>セグメント</v>
          </cell>
        </row>
        <row r="955">
          <cell r="A955" t="str">
            <v>hdr3si001</v>
          </cell>
          <cell r="C955" t="str">
            <v>hh001</v>
          </cell>
          <cell r="D955" t="str">
            <v>シート番号</v>
          </cell>
        </row>
        <row r="956">
          <cell r="A956" t="str">
            <v>hdr3si002</v>
          </cell>
          <cell r="C956" t="str">
            <v>hh002</v>
          </cell>
          <cell r="D956" t="str">
            <v>シート名</v>
          </cell>
        </row>
        <row r="957">
          <cell r="A957" t="str">
            <v>hdr3so001</v>
          </cell>
          <cell r="C957" t="str">
            <v>hh003</v>
          </cell>
          <cell r="D957" t="str">
            <v>その他</v>
          </cell>
        </row>
        <row r="958">
          <cell r="A958" t="str">
            <v>hdr3so002</v>
          </cell>
          <cell r="C958" t="str">
            <v>hh004</v>
          </cell>
          <cell r="D958" t="str">
            <v>(その他)</v>
          </cell>
        </row>
        <row r="959">
          <cell r="A959" t="str">
            <v>hdr3ta001</v>
          </cell>
          <cell r="C959" t="str">
            <v>hh005</v>
          </cell>
          <cell r="D959" t="str">
            <v>タイプ</v>
          </cell>
        </row>
        <row r="960">
          <cell r="A960" t="str">
            <v>hdr3yu001</v>
          </cell>
          <cell r="C960" t="str">
            <v>mm001</v>
          </cell>
          <cell r="D960" t="str">
            <v>ユーザー保証残価</v>
          </cell>
        </row>
        <row r="961">
          <cell r="A961" t="str">
            <v>hdr4aa001</v>
          </cell>
          <cell r="C961" t="str">
            <v>mm002</v>
          </cell>
          <cell r="D961" t="str">
            <v>相手会社</v>
          </cell>
        </row>
        <row r="962">
          <cell r="A962" t="str">
            <v>hdr4aa002</v>
          </cell>
          <cell r="C962" t="str">
            <v>mm003</v>
          </cell>
          <cell r="D962" t="str">
            <v>相手先／債権額</v>
          </cell>
        </row>
        <row r="963">
          <cell r="A963" t="str">
            <v>hdr4aa003</v>
          </cell>
          <cell r="C963" t="str">
            <v>mm004</v>
          </cell>
          <cell r="D963" t="str">
            <v>相手先</v>
          </cell>
        </row>
        <row r="964">
          <cell r="A964" t="str">
            <v>hdr4aa004</v>
          </cell>
          <cell r="C964" t="str">
            <v>mm005</v>
          </cell>
          <cell r="D964" t="str">
            <v>圧縮記帳加算額</v>
          </cell>
        </row>
        <row r="965">
          <cell r="A965" t="str">
            <v>hdr4aa005</v>
          </cell>
          <cell r="C965" t="str">
            <v>mm006</v>
          </cell>
          <cell r="D965" t="str">
            <v>圧縮記帳額</v>
          </cell>
        </row>
        <row r="966">
          <cell r="A966" t="str">
            <v>hdr4ba001</v>
          </cell>
          <cell r="C966" t="str">
            <v>mm007</v>
          </cell>
          <cell r="D966" t="str">
            <v>売却損益</v>
          </cell>
        </row>
        <row r="967">
          <cell r="A967" t="str">
            <v>hdr4ba002</v>
          </cell>
          <cell r="C967" t="str">
            <v>ro001</v>
          </cell>
          <cell r="D967" t="str">
            <v>売却額</v>
          </cell>
        </row>
        <row r="968">
          <cell r="A968" t="str">
            <v>hdr4ba003</v>
          </cell>
          <cell r="C968" t="str">
            <v>ss001</v>
          </cell>
          <cell r="D968" t="str">
            <v>売却理由</v>
          </cell>
        </row>
        <row r="969">
          <cell r="A969" t="str">
            <v>hdr4ba004</v>
          </cell>
          <cell r="C969" t="str">
            <v>ss002</v>
          </cell>
          <cell r="D969" t="str">
            <v>売却原価</v>
          </cell>
        </row>
        <row r="970">
          <cell r="A970" t="str">
            <v>hdr4bi001</v>
          </cell>
          <cell r="C970" t="str">
            <v>ss003</v>
          </cell>
          <cell r="D970" t="str">
            <v>備考情報</v>
          </cell>
        </row>
        <row r="971">
          <cell r="A971" t="str">
            <v>hdr4bu001</v>
          </cell>
          <cell r="C971" t="str">
            <v>tt001</v>
          </cell>
          <cell r="D971" t="str">
            <v>部門コード</v>
          </cell>
        </row>
        <row r="972">
          <cell r="A972" t="str">
            <v>hdr4bu002</v>
          </cell>
          <cell r="C972" t="str">
            <v>tt003</v>
          </cell>
          <cell r="D972" t="str">
            <v>部門名</v>
          </cell>
        </row>
        <row r="973">
          <cell r="A973" t="str">
            <v>hdr4bu003</v>
          </cell>
          <cell r="C973" t="str">
            <v>tt004</v>
          </cell>
          <cell r="D973" t="str">
            <v>分解</v>
          </cell>
        </row>
        <row r="974">
          <cell r="A974" t="str">
            <v>hdr4bu004</v>
          </cell>
          <cell r="C974" t="str">
            <v>tt005</v>
          </cell>
          <cell r="D974" t="str">
            <v>物件情報</v>
          </cell>
        </row>
        <row r="975">
          <cell r="A975" t="str">
            <v>hdr4bu005</v>
          </cell>
          <cell r="C975" t="str">
            <v>tt006</v>
          </cell>
          <cell r="D975" t="str">
            <v>物件名称</v>
          </cell>
        </row>
        <row r="976">
          <cell r="A976" t="str">
            <v>hdr4bu006</v>
          </cell>
          <cell r="C976" t="str">
            <v>tt007</v>
          </cell>
          <cell r="D976" t="str">
            <v>分類</v>
          </cell>
        </row>
        <row r="977">
          <cell r="A977" t="str">
            <v>hdr4de001</v>
          </cell>
          <cell r="C977" t="str">
            <v>tt008</v>
          </cell>
          <cell r="D977" t="str">
            <v>電話加入権</v>
          </cell>
        </row>
        <row r="978">
          <cell r="A978" t="str">
            <v>hdr4de002</v>
          </cell>
          <cell r="C978" t="str">
            <v>ku001</v>
          </cell>
          <cell r="D978" t="str">
            <v>電話加入権－取得原価－期首</v>
          </cell>
        </row>
        <row r="979">
          <cell r="A979" t="str">
            <v>hdr4de003</v>
          </cell>
          <cell r="C979" t="str">
            <v>ku002</v>
          </cell>
          <cell r="D979" t="str">
            <v>電話加入権－減価償却累計額－期首</v>
          </cell>
        </row>
        <row r="980">
          <cell r="A980" t="str">
            <v>hdr4ee001</v>
          </cell>
          <cell r="C980" t="str">
            <v>ku003</v>
          </cell>
          <cell r="D980" t="str">
            <v>営業レポート</v>
          </cell>
        </row>
        <row r="981">
          <cell r="A981" t="str">
            <v>hdr4ee002</v>
          </cell>
          <cell r="C981" t="str">
            <v>ku004</v>
          </cell>
          <cell r="D981" t="str">
            <v>営業外明細（相手先別）</v>
          </cell>
        </row>
        <row r="982">
          <cell r="A982" t="str">
            <v>hdr4ee003</v>
          </cell>
          <cell r="C982" t="str">
            <v>ku005</v>
          </cell>
          <cell r="D982" t="str">
            <v>営業外収益</v>
          </cell>
        </row>
        <row r="983">
          <cell r="A983" t="str">
            <v>hdr4ee004</v>
          </cell>
          <cell r="C983" t="str">
            <v>gu001</v>
          </cell>
          <cell r="D983" t="str">
            <v>営業外費用</v>
          </cell>
        </row>
        <row r="984">
          <cell r="A984" t="str">
            <v>hdr4ee005</v>
          </cell>
          <cell r="C984" t="str">
            <v>gu002</v>
          </cell>
          <cell r="D984" t="str">
            <v>(永久差異-費用)</v>
          </cell>
        </row>
        <row r="985">
          <cell r="A985" t="str">
            <v>hdr4ee006</v>
          </cell>
          <cell r="C985" t="str">
            <v>si001</v>
          </cell>
          <cell r="D985" t="str">
            <v>(永久差異-収益)</v>
          </cell>
        </row>
        <row r="986">
          <cell r="A986" t="str">
            <v>hdr4ee007</v>
          </cell>
          <cell r="C986" t="str">
            <v>si002</v>
          </cell>
          <cell r="D986" t="str">
            <v>営業外収入課税(MLM)</v>
          </cell>
        </row>
        <row r="987">
          <cell r="A987" t="str">
            <v>hdr4ge001</v>
          </cell>
          <cell r="C987" t="str">
            <v>se001</v>
          </cell>
          <cell r="D987" t="str">
            <v>月次</v>
          </cell>
        </row>
        <row r="988">
          <cell r="A988" t="str">
            <v>hdr4ge002</v>
          </cell>
          <cell r="C988" t="str">
            <v>se002</v>
          </cell>
          <cell r="D988" t="str">
            <v>月末在籍者数</v>
          </cell>
        </row>
        <row r="989">
          <cell r="A989" t="str">
            <v>hdr4ge003</v>
          </cell>
          <cell r="C989" t="str">
            <v>se003</v>
          </cell>
          <cell r="D989" t="str">
            <v>原材料</v>
          </cell>
        </row>
        <row r="990">
          <cell r="A990" t="str">
            <v>hdr4ge004</v>
          </cell>
          <cell r="C990" t="str">
            <v>so001</v>
          </cell>
          <cell r="D990" t="str">
            <v>現地科目コード</v>
          </cell>
        </row>
        <row r="991">
          <cell r="A991" t="str">
            <v>hdr4ge005</v>
          </cell>
          <cell r="C991" t="str">
            <v>so002</v>
          </cell>
          <cell r="D991" t="str">
            <v>現地科目名称</v>
          </cell>
        </row>
        <row r="992">
          <cell r="A992" t="str">
            <v>hdr4ge006</v>
          </cell>
          <cell r="C992" t="str">
            <v>ta001</v>
          </cell>
          <cell r="D992" t="str">
            <v>減少</v>
          </cell>
        </row>
        <row r="993">
          <cell r="A993" t="str">
            <v>hdr4ge007</v>
          </cell>
          <cell r="C993" t="str">
            <v>pe001</v>
          </cell>
          <cell r="D993" t="str">
            <v>減価償却累計額</v>
          </cell>
        </row>
        <row r="994">
          <cell r="A994" t="str">
            <v>hdr4ge008</v>
          </cell>
          <cell r="C994" t="str">
            <v>ma001</v>
          </cell>
          <cell r="D994" t="str">
            <v>現地会計処理</v>
          </cell>
        </row>
        <row r="995">
          <cell r="A995" t="str">
            <v>hdr4ge009</v>
          </cell>
          <cell r="C995" t="str">
            <v>mo001</v>
          </cell>
          <cell r="D995" t="str">
            <v>月次決算報告書</v>
          </cell>
        </row>
        <row r="996">
          <cell r="A996" t="str">
            <v>hdr4ge010</v>
          </cell>
          <cell r="C996" t="str">
            <v>mo002</v>
          </cell>
          <cell r="D996" t="str">
            <v>減算</v>
          </cell>
        </row>
        <row r="997">
          <cell r="A997" t="str">
            <v>hdr4ge011</v>
          </cell>
          <cell r="C997" t="str">
            <v>mo003</v>
          </cell>
          <cell r="D997" t="str">
            <v>減価償却超過額</v>
          </cell>
        </row>
        <row r="998">
          <cell r="A998" t="str">
            <v>hdr4ge012</v>
          </cell>
          <cell r="C998" t="str">
            <v>mo004</v>
          </cell>
          <cell r="D998" t="str">
            <v>減価償却超過額認容</v>
          </cell>
        </row>
        <row r="999">
          <cell r="A999" t="str">
            <v>hdr4ge013</v>
          </cell>
          <cell r="C999" t="str">
            <v>mo005</v>
          </cell>
          <cell r="D999" t="str">
            <v>現金同等物</v>
          </cell>
        </row>
        <row r="1000">
          <cell r="A1000" t="str">
            <v>hdr4ge014</v>
          </cell>
          <cell r="C1000" t="str">
            <v>mo006</v>
          </cell>
          <cell r="D1000" t="str">
            <v>減価償却費会社計算(HKM,MLM)</v>
          </cell>
        </row>
        <row r="1001">
          <cell r="A1001" t="str">
            <v>hdr4ge015</v>
          </cell>
          <cell r="C1001" t="str">
            <v>yu001</v>
          </cell>
          <cell r="D1001" t="str">
            <v>減価償却費法定計算(HKM,MLM)</v>
          </cell>
        </row>
        <row r="1002">
          <cell r="A1002" t="str">
            <v>hdr4ge016</v>
          </cell>
          <cell r="C1002" t="str">
            <v>ri001</v>
          </cell>
          <cell r="D1002" t="str">
            <v>月額リース料</v>
          </cell>
        </row>
        <row r="1003">
          <cell r="A1003" t="str">
            <v>hdr4gi001</v>
          </cell>
          <cell r="C1003" t="str">
            <v>ri002</v>
          </cell>
          <cell r="D1003" t="str">
            <v>技術援助料</v>
          </cell>
        </row>
        <row r="1004">
          <cell r="A1004" t="str">
            <v>hdr4go001</v>
          </cell>
          <cell r="C1004" t="str">
            <v>ri003</v>
          </cell>
          <cell r="D1004" t="str">
            <v>合計</v>
          </cell>
        </row>
        <row r="1005">
          <cell r="A1005" t="str">
            <v>hdr4go002</v>
          </cell>
          <cell r="C1005" t="str">
            <v>ri004</v>
          </cell>
          <cell r="D1005" t="str">
            <v>合計の内、既支払額</v>
          </cell>
        </row>
        <row r="1006">
          <cell r="A1006" t="str">
            <v>hdr4gu001</v>
          </cell>
          <cell r="C1006" t="str">
            <v>ri005</v>
          </cell>
          <cell r="D1006" t="str">
            <v>偶発債務明細</v>
          </cell>
        </row>
        <row r="1007">
          <cell r="A1007" t="str">
            <v>hdr4gu002</v>
          </cell>
          <cell r="C1007" t="str">
            <v>ri006</v>
          </cell>
          <cell r="D1007" t="str">
            <v>偶発債務</v>
          </cell>
        </row>
        <row r="1008">
          <cell r="A1008" t="str">
            <v>hdr4ha001</v>
          </cell>
          <cell r="C1008" t="str">
            <v>ri007</v>
          </cell>
          <cell r="D1008" t="str">
            <v>発生理由</v>
          </cell>
        </row>
        <row r="1009">
          <cell r="A1009" t="str">
            <v>hdr4ha002</v>
          </cell>
          <cell r="C1009" t="str">
            <v>ri008</v>
          </cell>
          <cell r="D1009" t="str">
            <v>半製品</v>
          </cell>
        </row>
        <row r="1010">
          <cell r="A1010" t="str">
            <v>hdr4ha003</v>
          </cell>
          <cell r="C1010" t="str">
            <v>ri009</v>
          </cell>
          <cell r="D1010" t="str">
            <v>販売費</v>
          </cell>
        </row>
        <row r="1011">
          <cell r="A1011" t="str">
            <v>hdr4ha004</v>
          </cell>
          <cell r="C1011" t="str">
            <v>re001</v>
          </cell>
          <cell r="D1011" t="str">
            <v>販売費及び一般管理費明細</v>
          </cell>
        </row>
        <row r="1012">
          <cell r="A1012" t="str">
            <v>hdr4ha005</v>
          </cell>
          <cell r="C1012" t="str">
            <v>re002</v>
          </cell>
          <cell r="D1012" t="str">
            <v>販売費及び一般管理費明細（部門別）</v>
          </cell>
        </row>
        <row r="1013">
          <cell r="A1013" t="str">
            <v>hdr4ha006</v>
          </cell>
          <cell r="C1013" t="str">
            <v>aa001</v>
          </cell>
          <cell r="D1013" t="str">
            <v>販売費及び一般管理費</v>
          </cell>
        </row>
        <row r="1014">
          <cell r="A1014" t="str">
            <v>hdr4ha007</v>
          </cell>
          <cell r="C1014" t="str">
            <v>aa002</v>
          </cell>
          <cell r="D1014" t="str">
            <v>配当元／配当額</v>
          </cell>
        </row>
        <row r="1015">
          <cell r="A1015" t="str">
            <v>hdr4ha008</v>
          </cell>
          <cell r="C1015" t="str">
            <v>aa003</v>
          </cell>
          <cell r="D1015" t="str">
            <v>半期</v>
          </cell>
        </row>
        <row r="1016">
          <cell r="A1016" t="str">
            <v>hdr4ha009</v>
          </cell>
          <cell r="C1016" t="str">
            <v>aa004</v>
          </cell>
          <cell r="D1016" t="str">
            <v>半製品売上</v>
          </cell>
        </row>
        <row r="1017">
          <cell r="A1017" t="str">
            <v>hdr4ha010</v>
          </cell>
          <cell r="C1017" t="str">
            <v>aa005</v>
          </cell>
          <cell r="D1017" t="str">
            <v>半製品－期首</v>
          </cell>
        </row>
        <row r="1018">
          <cell r="A1018" t="str">
            <v>hdr4ha011</v>
          </cell>
          <cell r="C1018" t="str">
            <v>ii001</v>
          </cell>
          <cell r="D1018" t="str">
            <v>販売費及び一般管理費明細（相手先別）</v>
          </cell>
        </row>
        <row r="1019">
          <cell r="A1019" t="str">
            <v>hdr4ha012</v>
          </cell>
          <cell r="C1019" t="str">
            <v>ii002</v>
          </cell>
          <cell r="D1019" t="str">
            <v>販売管理（人）</v>
          </cell>
        </row>
        <row r="1020">
          <cell r="A1020" t="str">
            <v>hdr4ha013</v>
          </cell>
          <cell r="C1020" t="str">
            <v>aa006</v>
          </cell>
          <cell r="D1020" t="str">
            <v>期末</v>
          </cell>
        </row>
        <row r="1021">
          <cell r="A1021" t="str">
            <v>hdr4he001</v>
          </cell>
          <cell r="C1021" t="str">
            <v>ii003</v>
          </cell>
          <cell r="D1021" t="str">
            <v>平均為替レート（対ＵＳ$）</v>
          </cell>
        </row>
        <row r="1022">
          <cell r="A1022" t="str">
            <v>hdr4he002</v>
          </cell>
          <cell r="C1022" t="str">
            <v>ii004</v>
          </cell>
          <cell r="D1022" t="str">
            <v>平均賃上率（年換算％）</v>
          </cell>
        </row>
        <row r="1023">
          <cell r="A1023" t="str">
            <v>hdr4hi001</v>
          </cell>
          <cell r="C1023" t="str">
            <v>ii005</v>
          </cell>
          <cell r="D1023" t="str">
            <v>比率</v>
          </cell>
        </row>
        <row r="1024">
          <cell r="A1024" t="str">
            <v>hdr4hi002</v>
          </cell>
          <cell r="C1024" t="str">
            <v>ii006</v>
          </cell>
          <cell r="D1024" t="str">
            <v>品目</v>
          </cell>
        </row>
        <row r="1025">
          <cell r="A1025" t="str">
            <v>hdr4hi003</v>
          </cell>
          <cell r="C1025" t="str">
            <v>ii007</v>
          </cell>
          <cell r="D1025" t="str">
            <v>品目code</v>
          </cell>
        </row>
        <row r="1026">
          <cell r="A1026" t="str">
            <v>hdr4hi004</v>
          </cell>
          <cell r="C1026" t="str">
            <v>ii008</v>
          </cell>
          <cell r="D1026" t="str">
            <v>品目コード</v>
          </cell>
        </row>
        <row r="1027">
          <cell r="A1027" t="str">
            <v>hdr4hi005</v>
          </cell>
          <cell r="C1027" t="str">
            <v>ii009</v>
          </cell>
          <cell r="D1027" t="str">
            <v>日付</v>
          </cell>
        </row>
        <row r="1028">
          <cell r="A1028" t="str">
            <v>hdr4hi006</v>
          </cell>
          <cell r="C1028" t="str">
            <v>uu001</v>
          </cell>
          <cell r="D1028" t="str">
            <v>費用で計上</v>
          </cell>
        </row>
        <row r="1029">
          <cell r="A1029" t="str">
            <v>hdr4ho001</v>
          </cell>
          <cell r="C1029" t="str">
            <v>uu002</v>
          </cell>
          <cell r="D1029" t="str">
            <v>報告書上の期首剰余金</v>
          </cell>
        </row>
        <row r="1030">
          <cell r="A1030" t="str">
            <v>hdr4ho002</v>
          </cell>
          <cell r="C1030" t="str">
            <v>uu003</v>
          </cell>
          <cell r="D1030" t="str">
            <v>法人税及び住民税</v>
          </cell>
        </row>
        <row r="1031">
          <cell r="A1031" t="str">
            <v>hdr4ho003</v>
          </cell>
          <cell r="C1031" t="str">
            <v>uu004</v>
          </cell>
          <cell r="D1031" t="str">
            <v>法定実効税率</v>
          </cell>
        </row>
        <row r="1032">
          <cell r="A1032" t="str">
            <v>hdr4ho004</v>
          </cell>
          <cell r="C1032" t="str">
            <v>uu005</v>
          </cell>
          <cell r="D1032" t="str">
            <v>法定実効税率の税金費用</v>
          </cell>
        </row>
        <row r="1033">
          <cell r="A1033" t="str">
            <v>hdr4ho005</v>
          </cell>
          <cell r="C1033" t="str">
            <v>uu006</v>
          </cell>
          <cell r="D1033" t="str">
            <v>法人税+法人税等調整額</v>
          </cell>
        </row>
        <row r="1034">
          <cell r="A1034" t="str">
            <v>hdr4hy001</v>
          </cell>
          <cell r="C1034" t="str">
            <v>uu007</v>
          </cell>
          <cell r="D1034" t="str">
            <v>評価損益</v>
          </cell>
        </row>
        <row r="1035">
          <cell r="A1035" t="str">
            <v>hdr4ii001</v>
          </cell>
          <cell r="C1035" t="str">
            <v>uu008</v>
          </cell>
          <cell r="D1035" t="str">
            <v>一般</v>
          </cell>
        </row>
        <row r="1036">
          <cell r="A1036" t="str">
            <v>hdr4ii002</v>
          </cell>
          <cell r="C1036" t="str">
            <v>uu009</v>
          </cell>
          <cell r="D1036" t="str">
            <v>一般管理費</v>
          </cell>
        </row>
        <row r="1037">
          <cell r="A1037" t="str">
            <v>hdr4ii003</v>
          </cell>
          <cell r="C1037" t="str">
            <v>uu010</v>
          </cell>
          <cell r="D1037" t="str">
            <v>一般小計</v>
          </cell>
        </row>
        <row r="1038">
          <cell r="A1038" t="str">
            <v>hdr4ii004</v>
          </cell>
          <cell r="C1038" t="str">
            <v>uu011</v>
          </cell>
          <cell r="D1038" t="str">
            <v>一般地場</v>
          </cell>
        </row>
        <row r="1039">
          <cell r="A1039" t="str">
            <v>hdr4ii005</v>
          </cell>
          <cell r="C1039" t="str">
            <v>uu012</v>
          </cell>
          <cell r="D1039" t="str">
            <v>一般輸出</v>
          </cell>
        </row>
        <row r="1040">
          <cell r="A1040" t="str">
            <v>hdr4ii006</v>
          </cell>
          <cell r="C1040" t="str">
            <v>uu013</v>
          </cell>
          <cell r="D1040" t="str">
            <v>一部解約</v>
          </cell>
        </row>
        <row r="1041">
          <cell r="A1041" t="str">
            <v>hdr4ii007</v>
          </cell>
          <cell r="C1041" t="str">
            <v>uu014</v>
          </cell>
          <cell r="D1041" t="str">
            <v>一般地場計</v>
          </cell>
        </row>
        <row r="1042">
          <cell r="A1042" t="str">
            <v>hdr4ii008</v>
          </cell>
          <cell r="C1042" t="str">
            <v>uu015</v>
          </cell>
          <cell r="D1042" t="str">
            <v>一般輸出計</v>
          </cell>
        </row>
        <row r="1043">
          <cell r="A1043" t="str">
            <v>hdr4ii009</v>
          </cell>
          <cell r="C1043" t="str">
            <v>ee001</v>
          </cell>
          <cell r="D1043" t="str">
            <v>一般向け</v>
          </cell>
        </row>
        <row r="1044">
          <cell r="A1044" t="str">
            <v>hdr4ji001</v>
          </cell>
          <cell r="C1044" t="str">
            <v>ee002</v>
          </cell>
          <cell r="D1044" t="str">
            <v>自工場責任</v>
          </cell>
        </row>
        <row r="1045">
          <cell r="A1045" t="str">
            <v>hdr4ji002</v>
          </cell>
          <cell r="C1045" t="str">
            <v>ee003</v>
          </cell>
          <cell r="D1045" t="str">
            <v>自社発行株式明細、研究開発明細（MMKのみ）</v>
          </cell>
        </row>
        <row r="1046">
          <cell r="A1046" t="str">
            <v>hdr4ji003</v>
          </cell>
          <cell r="C1046" t="str">
            <v>ee004</v>
          </cell>
          <cell r="D1046" t="str">
            <v>実績</v>
          </cell>
        </row>
        <row r="1047">
          <cell r="A1047" t="str">
            <v>hdr4ji004</v>
          </cell>
          <cell r="C1047" t="str">
            <v>ee005</v>
          </cell>
          <cell r="D1047" t="str">
            <v>人事レポート</v>
          </cell>
        </row>
        <row r="1048">
          <cell r="A1048" t="str">
            <v>hdr4ji005</v>
          </cell>
          <cell r="C1048" t="str">
            <v>ee006</v>
          </cell>
          <cell r="D1048" t="str">
            <v>自社発行株式</v>
          </cell>
        </row>
        <row r="1049">
          <cell r="A1049" t="str">
            <v>hdr4ji006</v>
          </cell>
          <cell r="C1049" t="str">
            <v>ee007</v>
          </cell>
          <cell r="D1049" t="str">
            <v>自己株式</v>
          </cell>
        </row>
        <row r="1050">
          <cell r="A1050" t="str">
            <v>hdr4ji007</v>
          </cell>
          <cell r="C1050" t="str">
            <v>ka001</v>
          </cell>
          <cell r="D1050" t="str">
            <v>自己株式－期末</v>
          </cell>
        </row>
        <row r="1051">
          <cell r="A1051" t="str">
            <v>hdr4ji008</v>
          </cell>
          <cell r="C1051" t="str">
            <v>ka002</v>
          </cell>
          <cell r="D1051" t="str">
            <v>（実績）</v>
          </cell>
        </row>
        <row r="1052">
          <cell r="A1052" t="str">
            <v>hdr4ji009</v>
          </cell>
          <cell r="C1052" t="str">
            <v>ka003</v>
          </cell>
          <cell r="D1052" t="str">
            <v>（実績/実績予測）</v>
          </cell>
        </row>
        <row r="1053">
          <cell r="A1053" t="str">
            <v>hdr4ji010</v>
          </cell>
          <cell r="C1053" t="str">
            <v>ka004</v>
          </cell>
          <cell r="D1053" t="str">
            <v>時価</v>
          </cell>
        </row>
        <row r="1054">
          <cell r="A1054" t="str">
            <v>hdr4jy001</v>
          </cell>
          <cell r="C1054" t="str">
            <v>ka005</v>
          </cell>
          <cell r="D1054" t="str">
            <v>剰余金</v>
          </cell>
        </row>
        <row r="1055">
          <cell r="A1055" t="str">
            <v>hdr4jy002</v>
          </cell>
          <cell r="C1055" t="str">
            <v>ka006</v>
          </cell>
          <cell r="D1055" t="str">
            <v>除却</v>
          </cell>
        </row>
        <row r="1056">
          <cell r="A1056" t="str">
            <v>hdr4jy003</v>
          </cell>
          <cell r="C1056" t="str">
            <v>ka007</v>
          </cell>
          <cell r="D1056" t="str">
            <v>除却年月</v>
          </cell>
        </row>
        <row r="1057">
          <cell r="A1057" t="str">
            <v>hdr4jy004</v>
          </cell>
          <cell r="C1057" t="str">
            <v>ka008</v>
          </cell>
          <cell r="D1057" t="str">
            <v>除却年月Code</v>
          </cell>
        </row>
        <row r="1058">
          <cell r="A1058" t="str">
            <v>hdr4jy005</v>
          </cell>
          <cell r="C1058" t="str">
            <v>ka009</v>
          </cell>
          <cell r="D1058" t="str">
            <v>従業員数（期末人員）</v>
          </cell>
        </row>
        <row r="1059">
          <cell r="A1059" t="str">
            <v>hdr4jy006</v>
          </cell>
          <cell r="C1059" t="str">
            <v>ka010</v>
          </cell>
          <cell r="D1059" t="str">
            <v>情報化関連</v>
          </cell>
        </row>
        <row r="1060">
          <cell r="A1060" t="str">
            <v>hdr4ka001</v>
          </cell>
          <cell r="C1060" t="str">
            <v>ka011</v>
          </cell>
          <cell r="D1060" t="str">
            <v>非連子小計</v>
          </cell>
        </row>
        <row r="1061">
          <cell r="A1061" t="str">
            <v>hdr4ka002</v>
          </cell>
          <cell r="C1061" t="str">
            <v>ka012</v>
          </cell>
          <cell r="D1061" t="str">
            <v>勘定科目</v>
          </cell>
        </row>
        <row r="1062">
          <cell r="A1062" t="str">
            <v>hdr4ka003</v>
          </cell>
          <cell r="C1062" t="str">
            <v>ka013</v>
          </cell>
          <cell r="D1062" t="str">
            <v>勘定明細表</v>
          </cell>
        </row>
        <row r="1063">
          <cell r="A1063" t="str">
            <v>hdr4ka004</v>
          </cell>
          <cell r="C1063" t="str">
            <v>ka014</v>
          </cell>
          <cell r="D1063" t="str">
            <v>借方科目</v>
          </cell>
        </row>
        <row r="1064">
          <cell r="A1064" t="str">
            <v>hdr4ka005</v>
          </cell>
          <cell r="C1064" t="str">
            <v>ka015</v>
          </cell>
          <cell r="D1064" t="str">
            <v>貸方科目</v>
          </cell>
        </row>
        <row r="1065">
          <cell r="A1065" t="str">
            <v>hdr4ka006</v>
          </cell>
          <cell r="C1065" t="str">
            <v>ka016</v>
          </cell>
          <cell r="D1065" t="str">
            <v>関係会社株式</v>
          </cell>
        </row>
        <row r="1066">
          <cell r="A1066" t="str">
            <v>hdr4ka007</v>
          </cell>
          <cell r="C1066" t="str">
            <v>ka017</v>
          </cell>
          <cell r="D1066" t="str">
            <v>関係会社出資金</v>
          </cell>
        </row>
        <row r="1067">
          <cell r="A1067" t="str">
            <v>hdr4ka008</v>
          </cell>
          <cell r="C1067" t="str">
            <v>ka018</v>
          </cell>
          <cell r="D1067" t="str">
            <v>解約</v>
          </cell>
        </row>
        <row r="1068">
          <cell r="A1068" t="str">
            <v>hdr4ka009</v>
          </cell>
          <cell r="C1068" t="str">
            <v>ka019</v>
          </cell>
          <cell r="D1068" t="str">
            <v>解約日</v>
          </cell>
        </row>
        <row r="1069">
          <cell r="A1069" t="str">
            <v>hdr4ka010</v>
          </cell>
          <cell r="C1069" t="str">
            <v>ka020</v>
          </cell>
          <cell r="D1069" t="str">
            <v>関連／一般会社</v>
          </cell>
        </row>
        <row r="1070">
          <cell r="A1070" t="str">
            <v>hdr4ka011</v>
          </cell>
          <cell r="C1070" t="str">
            <v>ka021</v>
          </cell>
          <cell r="D1070" t="str">
            <v>借方</v>
          </cell>
        </row>
        <row r="1071">
          <cell r="A1071" t="str">
            <v>hdr4ka012</v>
          </cell>
          <cell r="C1071" t="str">
            <v>ka022</v>
          </cell>
          <cell r="D1071" t="str">
            <v>貸方</v>
          </cell>
        </row>
        <row r="1072">
          <cell r="A1072" t="str">
            <v>hdr4ka013</v>
          </cell>
          <cell r="C1072" t="str">
            <v>ka023</v>
          </cell>
          <cell r="D1072" t="str">
            <v>科目</v>
          </cell>
        </row>
        <row r="1073">
          <cell r="A1073" t="str">
            <v>hdr4ka014</v>
          </cell>
          <cell r="C1073" t="str">
            <v>ka024</v>
          </cell>
          <cell r="D1073" t="str">
            <v>勘定コード</v>
          </cell>
        </row>
        <row r="1074">
          <cell r="A1074" t="str">
            <v>hdr4ka015</v>
          </cell>
          <cell r="C1074" t="str">
            <v>ka025</v>
          </cell>
          <cell r="D1074" t="str">
            <v>貸倒引当金（長期）</v>
          </cell>
        </row>
        <row r="1075">
          <cell r="A1075" t="str">
            <v>hdr4ka016</v>
          </cell>
          <cell r="C1075" t="str">
            <v>ka026</v>
          </cell>
          <cell r="D1075" t="str">
            <v>会計士調整分－前期修正益</v>
          </cell>
        </row>
        <row r="1076">
          <cell r="A1076" t="str">
            <v>hdr4ka017</v>
          </cell>
          <cell r="C1076" t="str">
            <v>ka027</v>
          </cell>
          <cell r="D1076" t="str">
            <v>会計士調整分－前期修正損</v>
          </cell>
        </row>
        <row r="1077">
          <cell r="A1077" t="str">
            <v>hdr4ka018</v>
          </cell>
          <cell r="C1077" t="str">
            <v>ka028</v>
          </cell>
          <cell r="D1077" t="str">
            <v>会計士調整後の期首剰余金</v>
          </cell>
        </row>
        <row r="1078">
          <cell r="A1078" t="str">
            <v>hdr4ka019</v>
          </cell>
          <cell r="C1078" t="str">
            <v>ka029</v>
          </cell>
          <cell r="D1078" t="str">
            <v>会社名</v>
          </cell>
        </row>
        <row r="1079">
          <cell r="A1079" t="str">
            <v>hdr4ka020</v>
          </cell>
          <cell r="C1079" t="str">
            <v>ka030</v>
          </cell>
          <cell r="D1079" t="str">
            <v>加算</v>
          </cell>
        </row>
        <row r="1080">
          <cell r="A1080" t="str">
            <v>hdr4ka021</v>
          </cell>
          <cell r="C1080" t="str">
            <v>ka031</v>
          </cell>
          <cell r="D1080" t="str">
            <v>課税所得</v>
          </cell>
        </row>
        <row r="1081">
          <cell r="A1081" t="str">
            <v>hdr4ka022</v>
          </cell>
          <cell r="C1081" t="str">
            <v>ka032</v>
          </cell>
          <cell r="D1081" t="str">
            <v>貸倒引当金超過額</v>
          </cell>
        </row>
        <row r="1082">
          <cell r="A1082" t="str">
            <v>hdr4ka023</v>
          </cell>
          <cell r="C1082" t="str">
            <v>ka033</v>
          </cell>
          <cell r="D1082" t="str">
            <v>貸倒引当金超過額認容</v>
          </cell>
        </row>
        <row r="1083">
          <cell r="A1083" t="str">
            <v>hdr4ka024</v>
          </cell>
          <cell r="C1083" t="str">
            <v>ka034</v>
          </cell>
          <cell r="D1083" t="str">
            <v>海外投資等損失準備金取崩額</v>
          </cell>
        </row>
        <row r="1084">
          <cell r="A1084" t="str">
            <v>hdr4ka025</v>
          </cell>
          <cell r="C1084" t="str">
            <v>ka035</v>
          </cell>
          <cell r="D1084" t="str">
            <v>海外投資等損失準備金繰入額</v>
          </cell>
        </row>
        <row r="1085">
          <cell r="A1085" t="str">
            <v>hdr4ka026</v>
          </cell>
          <cell r="C1085" t="str">
            <v>ka036</v>
          </cell>
          <cell r="D1085" t="str">
            <v>開業費</v>
          </cell>
        </row>
        <row r="1086">
          <cell r="A1086" t="str">
            <v>hdr4ka027</v>
          </cell>
          <cell r="C1086" t="str">
            <v>ki001</v>
          </cell>
          <cell r="D1086" t="str">
            <v>開業費－期末</v>
          </cell>
        </row>
        <row r="1087">
          <cell r="A1087" t="str">
            <v>hdr4ka028</v>
          </cell>
          <cell r="C1087" t="str">
            <v>ki002</v>
          </cell>
          <cell r="D1087" t="str">
            <v>加工費用(DWMのみ)</v>
          </cell>
        </row>
        <row r="1088">
          <cell r="A1088" t="str">
            <v>hdr4ka029</v>
          </cell>
          <cell r="C1088" t="str">
            <v>ki003</v>
          </cell>
          <cell r="D1088" t="str">
            <v>（上半期）</v>
          </cell>
        </row>
        <row r="1089">
          <cell r="A1089" t="str">
            <v>hdr4ka030</v>
          </cell>
          <cell r="C1089" t="str">
            <v>ki004</v>
          </cell>
          <cell r="D1089" t="str">
            <v>上期計画ＶＳ下期計画</v>
          </cell>
        </row>
        <row r="1090">
          <cell r="A1090" t="str">
            <v>hdr4ka031</v>
          </cell>
          <cell r="C1090" t="str">
            <v>ki005</v>
          </cell>
          <cell r="D1090" t="str">
            <v>上期実績ＶＳ下期計画</v>
          </cell>
        </row>
        <row r="1091">
          <cell r="A1091" t="str">
            <v>hdr4ka032</v>
          </cell>
          <cell r="C1091" t="str">
            <v>ki006</v>
          </cell>
          <cell r="D1091" t="str">
            <v>海外投資損失準備金</v>
          </cell>
        </row>
        <row r="1092">
          <cell r="A1092" t="str">
            <v>hdr4ka033</v>
          </cell>
          <cell r="C1092" t="str">
            <v>ki007</v>
          </cell>
          <cell r="D1092" t="str">
            <v>過年度税金調整</v>
          </cell>
        </row>
        <row r="1093">
          <cell r="A1093" t="str">
            <v>hdr4ka034</v>
          </cell>
          <cell r="C1093" t="str">
            <v>ki008</v>
          </cell>
          <cell r="D1093" t="str">
            <v>借入金5年以内返済総額</v>
          </cell>
        </row>
        <row r="1094">
          <cell r="A1094" t="str">
            <v>hdr4ka035</v>
          </cell>
          <cell r="C1094" t="str">
            <v>ki009</v>
          </cell>
          <cell r="D1094" t="str">
            <v>環境関連</v>
          </cell>
        </row>
        <row r="1095">
          <cell r="A1095" t="str">
            <v>hdr4ka036</v>
          </cell>
          <cell r="C1095" t="str">
            <v>ki010</v>
          </cell>
          <cell r="D1095" t="str">
            <v>株式</v>
          </cell>
        </row>
        <row r="1096">
          <cell r="A1096" t="str">
            <v>hdr4ke001</v>
          </cell>
          <cell r="C1096" t="str">
            <v>ki011</v>
          </cell>
          <cell r="D1096" t="str">
            <v>経費明細（相手先別）</v>
          </cell>
        </row>
        <row r="1097">
          <cell r="A1097" t="str">
            <v>hdr4ke002</v>
          </cell>
          <cell r="C1097" t="str">
            <v>ki012</v>
          </cell>
          <cell r="D1097" t="str">
            <v>建設仮勘定</v>
          </cell>
        </row>
        <row r="1098">
          <cell r="A1098" t="str">
            <v>hdr4ke003</v>
          </cell>
          <cell r="C1098" t="str">
            <v>ki013</v>
          </cell>
          <cell r="D1098" t="str">
            <v>契約 No．</v>
          </cell>
        </row>
        <row r="1099">
          <cell r="A1099" t="str">
            <v>hdr4ke004</v>
          </cell>
          <cell r="C1099" t="str">
            <v>ki014</v>
          </cell>
          <cell r="D1099" t="str">
            <v>契約書参照</v>
          </cell>
        </row>
        <row r="1100">
          <cell r="A1100" t="str">
            <v>hdr4ke005</v>
          </cell>
          <cell r="C1100" t="str">
            <v>ki015</v>
          </cell>
          <cell r="D1100" t="str">
            <v>契約取消の場合</v>
          </cell>
        </row>
        <row r="1101">
          <cell r="A1101" t="str">
            <v>hdr4ke006</v>
          </cell>
          <cell r="C1101" t="str">
            <v>ki016</v>
          </cell>
          <cell r="D1101" t="str">
            <v>契約書参照</v>
          </cell>
        </row>
        <row r="1102">
          <cell r="A1102" t="str">
            <v>hdr4ke007</v>
          </cell>
          <cell r="C1102" t="str">
            <v>gi001</v>
          </cell>
          <cell r="D1102" t="str">
            <v>研究開発</v>
          </cell>
        </row>
        <row r="1103">
          <cell r="A1103" t="str">
            <v>hdr4ke008</v>
          </cell>
          <cell r="C1103" t="str">
            <v>ku001</v>
          </cell>
          <cell r="D1103" t="str">
            <v>建設仮勘定の振替</v>
          </cell>
        </row>
        <row r="1104">
          <cell r="A1104" t="str">
            <v>hdr4ke009</v>
          </cell>
          <cell r="C1104" t="str">
            <v>ku002</v>
          </cell>
          <cell r="D1104" t="str">
            <v>経費計</v>
          </cell>
        </row>
        <row r="1105">
          <cell r="A1105" t="str">
            <v>hdr4ke010</v>
          </cell>
          <cell r="C1105" t="str">
            <v>ku003</v>
          </cell>
          <cell r="D1105" t="str">
            <v>建設仮勘定残高（連結会社のみ）</v>
          </cell>
        </row>
        <row r="1106">
          <cell r="A1106" t="str">
            <v>hdr4ke011</v>
          </cell>
          <cell r="C1106" t="str">
            <v>ku004</v>
          </cell>
          <cell r="D1106" t="str">
            <v>建設仮勘定－期首</v>
          </cell>
        </row>
        <row r="1107">
          <cell r="A1107" t="str">
            <v>hdr4ke012</v>
          </cell>
          <cell r="C1107" t="str">
            <v>ku005</v>
          </cell>
          <cell r="D1107" t="str">
            <v>経営課題・リスク等</v>
          </cell>
        </row>
        <row r="1108">
          <cell r="A1108" t="str">
            <v>hdr4ke013</v>
          </cell>
          <cell r="C1108" t="str">
            <v>ku006</v>
          </cell>
          <cell r="D1108" t="str">
            <v>経費</v>
          </cell>
        </row>
        <row r="1109">
          <cell r="A1109" t="str">
            <v>hdr4ke014</v>
          </cell>
          <cell r="C1109" t="str">
            <v>ky001</v>
          </cell>
          <cell r="D1109" t="str">
            <v>(計画)</v>
          </cell>
        </row>
        <row r="1110">
          <cell r="A1110" t="str">
            <v>hdr4ke015</v>
          </cell>
          <cell r="C1110" t="str">
            <v>ky002</v>
          </cell>
          <cell r="D1110" t="str">
            <v>契約継続中</v>
          </cell>
        </row>
        <row r="1111">
          <cell r="A1111" t="str">
            <v>hdr4ke016</v>
          </cell>
          <cell r="C1111" t="str">
            <v>gu001</v>
          </cell>
          <cell r="D1111" t="str">
            <v>契約更新中</v>
          </cell>
        </row>
        <row r="1112">
          <cell r="A1112" t="str">
            <v>hdr4ke017</v>
          </cell>
          <cell r="C1112" t="str">
            <v>gu002</v>
          </cell>
          <cell r="D1112" t="str">
            <v>契約終了</v>
          </cell>
        </row>
        <row r="1113">
          <cell r="A1113" t="str">
            <v>hdr4ki001</v>
          </cell>
          <cell r="C1113" t="str">
            <v>ke001</v>
          </cell>
          <cell r="D1113" t="str">
            <v>期日内売掛債権</v>
          </cell>
        </row>
        <row r="1114">
          <cell r="A1114" t="str">
            <v>hdr4ki002</v>
          </cell>
          <cell r="C1114" t="str">
            <v>ke002</v>
          </cell>
          <cell r="D1114" t="str">
            <v>金額</v>
          </cell>
        </row>
        <row r="1115">
          <cell r="A1115" t="str">
            <v>hdr4ki003</v>
          </cell>
          <cell r="C1115" t="str">
            <v>ke003</v>
          </cell>
          <cell r="D1115" t="str">
            <v>期間</v>
          </cell>
        </row>
        <row r="1116">
          <cell r="A1116" t="str">
            <v>hdr4ki004</v>
          </cell>
          <cell r="C1116" t="str">
            <v>ke004</v>
          </cell>
          <cell r="D1116" t="str">
            <v>記帳通貨</v>
          </cell>
        </row>
        <row r="1117">
          <cell r="A1117" t="str">
            <v>hdr4ki005</v>
          </cell>
          <cell r="C1117" t="str">
            <v>ke005</v>
          </cell>
          <cell r="D1117" t="str">
            <v>期首設定シート</v>
          </cell>
        </row>
        <row r="1118">
          <cell r="A1118" t="str">
            <v>hdr4ki006</v>
          </cell>
          <cell r="C1118" t="str">
            <v>ke006</v>
          </cell>
          <cell r="D1118" t="str">
            <v>期首棚卸高</v>
          </cell>
        </row>
        <row r="1119">
          <cell r="A1119" t="str">
            <v>hdr4ki007</v>
          </cell>
          <cell r="C1119" t="str">
            <v>ke007</v>
          </cell>
          <cell r="D1119" t="str">
            <v>期首棚卸調整額</v>
          </cell>
        </row>
        <row r="1120">
          <cell r="A1120" t="str">
            <v>hdr4ki008</v>
          </cell>
          <cell r="C1120" t="str">
            <v>ke008</v>
          </cell>
          <cell r="D1120" t="str">
            <v>期末棚卸高</v>
          </cell>
        </row>
        <row r="1121">
          <cell r="A1121" t="str">
            <v>hdr4ki009</v>
          </cell>
          <cell r="C1121" t="str">
            <v>ke009</v>
          </cell>
          <cell r="D1121" t="str">
            <v>期末棚卸調整額</v>
          </cell>
        </row>
        <row r="1122">
          <cell r="A1122" t="str">
            <v>hdr4ki010</v>
          </cell>
          <cell r="C1122" t="str">
            <v>ke010</v>
          </cell>
          <cell r="D1122" t="str">
            <v>期首</v>
          </cell>
        </row>
        <row r="1123">
          <cell r="A1123" t="str">
            <v>hdr4ki011</v>
          </cell>
          <cell r="C1123" t="str">
            <v>ke011</v>
          </cell>
          <cell r="D1123" t="str">
            <v>期末</v>
          </cell>
        </row>
        <row r="1124">
          <cell r="A1124" t="str">
            <v>hdr4ki012</v>
          </cell>
          <cell r="C1124" t="str">
            <v>ke012</v>
          </cell>
          <cell r="D1124" t="str">
            <v>機械及び装置</v>
          </cell>
        </row>
        <row r="1125">
          <cell r="A1125" t="str">
            <v>hdr4ki013</v>
          </cell>
          <cell r="C1125" t="str">
            <v>ke013</v>
          </cell>
          <cell r="D1125" t="str">
            <v>機械及び装置購入明細（連結会社のみ）</v>
          </cell>
        </row>
        <row r="1126">
          <cell r="A1126" t="str">
            <v>hdr4ki014</v>
          </cell>
          <cell r="C1126" t="str">
            <v>ke014</v>
          </cell>
          <cell r="D1126" t="str">
            <v>機械及び装置除却明細（連結会社のみ）</v>
          </cell>
        </row>
        <row r="1127">
          <cell r="A1127" t="str">
            <v>hdr4ki015</v>
          </cell>
          <cell r="C1127" t="str">
            <v>ke015</v>
          </cell>
          <cell r="D1127" t="str">
            <v>期末所有の土地</v>
          </cell>
        </row>
        <row r="1128">
          <cell r="A1128" t="str">
            <v>hdr4ki016</v>
          </cell>
          <cell r="C1128" t="str">
            <v>ke016</v>
          </cell>
          <cell r="D1128" t="str">
            <v>期末賃貸の土地</v>
          </cell>
        </row>
        <row r="1129">
          <cell r="A1129" t="str">
            <v>hdr4ko001</v>
          </cell>
          <cell r="C1129" t="str">
            <v>ke017</v>
          </cell>
          <cell r="D1129" t="str">
            <v>固定資産購入明細（連結会社のみ）</v>
          </cell>
        </row>
        <row r="1130">
          <cell r="A1130" t="str">
            <v>hdr4ko002</v>
          </cell>
          <cell r="C1130" t="str">
            <v>ge001</v>
          </cell>
          <cell r="D1130" t="str">
            <v>固定資産除却明細（連結会社のみ）</v>
          </cell>
        </row>
        <row r="1131">
          <cell r="A1131" t="str">
            <v>hdr4ko003</v>
          </cell>
          <cell r="C1131" t="str">
            <v>ge002</v>
          </cell>
          <cell r="D1131" t="str">
            <v>固定資産増減明細</v>
          </cell>
        </row>
        <row r="1132">
          <cell r="A1132" t="str">
            <v>hdr4ko004</v>
          </cell>
          <cell r="C1132" t="str">
            <v>ge003</v>
          </cell>
          <cell r="D1132" t="str">
            <v>顧客名</v>
          </cell>
        </row>
        <row r="1133">
          <cell r="A1133" t="str">
            <v>hdr4ko005</v>
          </cell>
          <cell r="C1133" t="str">
            <v>ge004</v>
          </cell>
          <cell r="D1133" t="str">
            <v>構成比率</v>
          </cell>
        </row>
        <row r="1134">
          <cell r="A1134" t="str">
            <v>hdr4ko006</v>
          </cell>
          <cell r="C1134" t="str">
            <v>ge005</v>
          </cell>
          <cell r="D1134" t="str">
            <v>工具・機器部門</v>
          </cell>
        </row>
        <row r="1135">
          <cell r="A1135" t="str">
            <v>hdr4ko007</v>
          </cell>
          <cell r="C1135" t="str">
            <v>ge006</v>
          </cell>
          <cell r="D1135" t="str">
            <v>行使価格 （金額）</v>
          </cell>
        </row>
        <row r="1136">
          <cell r="A1136" t="str">
            <v>hdr4ko008</v>
          </cell>
          <cell r="C1136" t="str">
            <v>ge007</v>
          </cell>
          <cell r="D1136" t="str">
            <v>購入</v>
          </cell>
        </row>
        <row r="1137">
          <cell r="A1137" t="str">
            <v>hdr4ko009</v>
          </cell>
          <cell r="C1137" t="str">
            <v>ge008</v>
          </cell>
          <cell r="D1137" t="str">
            <v>固定資産へ振替</v>
          </cell>
        </row>
        <row r="1138">
          <cell r="A1138" t="str">
            <v>hdr4ko010</v>
          </cell>
          <cell r="C1138" t="str">
            <v>ge009</v>
          </cell>
          <cell r="D1138" t="str">
            <v>構築物</v>
          </cell>
        </row>
        <row r="1139">
          <cell r="A1139" t="str">
            <v>hdr4ko011</v>
          </cell>
          <cell r="C1139" t="str">
            <v>ge010</v>
          </cell>
          <cell r="D1139" t="str">
            <v>工具・器具備品</v>
          </cell>
        </row>
        <row r="1140">
          <cell r="A1140" t="str">
            <v>hdr4ko012</v>
          </cell>
          <cell r="C1140" t="str">
            <v>ge011</v>
          </cell>
          <cell r="D1140" t="str">
            <v>購入年月</v>
          </cell>
        </row>
        <row r="1141">
          <cell r="A1141" t="str">
            <v>hdr4ko013</v>
          </cell>
          <cell r="C1141" t="str">
            <v>ge012</v>
          </cell>
          <cell r="D1141" t="str">
            <v>購入元</v>
          </cell>
        </row>
        <row r="1142">
          <cell r="A1142" t="str">
            <v>hdr4ko014</v>
          </cell>
          <cell r="C1142" t="str">
            <v>ge013</v>
          </cell>
          <cell r="D1142" t="str">
            <v>購入金額</v>
          </cell>
        </row>
        <row r="1143">
          <cell r="A1143" t="str">
            <v>hdr4ko015</v>
          </cell>
          <cell r="C1143" t="str">
            <v>ge014</v>
          </cell>
          <cell r="D1143" t="str">
            <v>工具・器具備品購入明細（連結会社のみ）</v>
          </cell>
        </row>
        <row r="1144">
          <cell r="A1144" t="str">
            <v>hdr4ko016</v>
          </cell>
          <cell r="C1144" t="str">
            <v>ge015</v>
          </cell>
          <cell r="D1144" t="str">
            <v>工具･機器備品除却明細（連結会社のみ）</v>
          </cell>
        </row>
        <row r="1145">
          <cell r="A1145" t="str">
            <v>hdr4ko017</v>
          </cell>
          <cell r="C1145" t="str">
            <v>ge016</v>
          </cell>
          <cell r="D1145" t="str">
            <v>項目</v>
          </cell>
        </row>
        <row r="1146">
          <cell r="A1146" t="str">
            <v>hdr4ko018</v>
          </cell>
          <cell r="C1146" t="str">
            <v>ko001</v>
          </cell>
          <cell r="D1146" t="str">
            <v>購入年月Code</v>
          </cell>
        </row>
        <row r="1147">
          <cell r="A1147" t="str">
            <v>hdr4ko019</v>
          </cell>
          <cell r="C1147" t="str">
            <v>ko002</v>
          </cell>
          <cell r="D1147" t="str">
            <v>購入元Code</v>
          </cell>
        </row>
        <row r="1148">
          <cell r="A1148" t="str">
            <v>hdr4ko020</v>
          </cell>
          <cell r="C1148" t="str">
            <v>ko003</v>
          </cell>
          <cell r="D1148" t="str">
            <v>固定</v>
          </cell>
        </row>
        <row r="1149">
          <cell r="A1149" t="str">
            <v>hdr4ko021</v>
          </cell>
          <cell r="C1149" t="str">
            <v>ko004</v>
          </cell>
          <cell r="D1149" t="str">
            <v>固定資産処分益(売却益)の内訳</v>
          </cell>
        </row>
        <row r="1150">
          <cell r="A1150" t="str">
            <v>hdr4ko022</v>
          </cell>
          <cell r="C1150" t="str">
            <v>ko005</v>
          </cell>
          <cell r="D1150" t="str">
            <v>固定資産処分損(売却損･除却損)の内訳</v>
          </cell>
        </row>
        <row r="1151">
          <cell r="A1151" t="str">
            <v>hdr4ko023</v>
          </cell>
          <cell r="C1151" t="str">
            <v>ko006</v>
          </cell>
          <cell r="D1151" t="str">
            <v>後発事象</v>
          </cell>
        </row>
        <row r="1152">
          <cell r="A1152" t="str">
            <v>hdr4ku001</v>
          </cell>
          <cell r="C1152" t="str">
            <v>ko007</v>
          </cell>
          <cell r="D1152" t="str">
            <v>繰延税金資産</v>
          </cell>
        </row>
        <row r="1153">
          <cell r="A1153" t="str">
            <v>hdr4ku002</v>
          </cell>
          <cell r="C1153" t="str">
            <v>ko008</v>
          </cell>
          <cell r="D1153" t="str">
            <v>繰延税金負債</v>
          </cell>
        </row>
        <row r="1154">
          <cell r="A1154" t="str">
            <v>hdr4ku003</v>
          </cell>
          <cell r="C1154" t="str">
            <v>ko009</v>
          </cell>
          <cell r="D1154" t="str">
            <v>繰越欠損金</v>
          </cell>
        </row>
        <row r="1155">
          <cell r="A1155" t="str">
            <v>hdr4ku004</v>
          </cell>
          <cell r="C1155" t="str">
            <v>ko010</v>
          </cell>
          <cell r="D1155" t="str">
            <v>繰越税額控除(税額記入)</v>
          </cell>
        </row>
        <row r="1156">
          <cell r="A1156" t="str">
            <v>hdr4ku005</v>
          </cell>
          <cell r="C1156" t="str">
            <v>ko011</v>
          </cell>
          <cell r="D1156" t="str">
            <v>(繰延税金資産負債未計上)</v>
          </cell>
        </row>
        <row r="1157">
          <cell r="A1157" t="str">
            <v>hdr4ku006</v>
          </cell>
          <cell r="C1157" t="str">
            <v>ko012</v>
          </cell>
          <cell r="D1157" t="str">
            <v>区分</v>
          </cell>
        </row>
        <row r="1158">
          <cell r="A1158" t="str">
            <v>hdr4ky001</v>
          </cell>
          <cell r="C1158" t="str">
            <v>ko013</v>
          </cell>
          <cell r="D1158" t="str">
            <v>客先</v>
          </cell>
        </row>
        <row r="1159">
          <cell r="A1159" t="str">
            <v>hdr4ky002</v>
          </cell>
          <cell r="C1159" t="str">
            <v>ko014</v>
          </cell>
          <cell r="D1159" t="str">
            <v>供給材料費割合計算書(工場のみ)</v>
          </cell>
        </row>
        <row r="1160">
          <cell r="A1160" t="str">
            <v>hdr4ma001</v>
          </cell>
          <cell r="C1160" t="str">
            <v>ko015</v>
          </cell>
          <cell r="D1160" t="str">
            <v>前払リース料</v>
          </cell>
        </row>
        <row r="1161">
          <cell r="A1161" t="str">
            <v>hdr4me001</v>
          </cell>
          <cell r="C1161" t="str">
            <v>ko016</v>
          </cell>
          <cell r="D1161" t="str">
            <v>明細レポート</v>
          </cell>
        </row>
        <row r="1162">
          <cell r="A1162" t="str">
            <v>hdr4me002</v>
          </cell>
          <cell r="C1162" t="str">
            <v>ko017</v>
          </cell>
          <cell r="D1162" t="str">
            <v>(面積㎡)</v>
          </cell>
        </row>
        <row r="1163">
          <cell r="A1163" t="str">
            <v>hdr4mi001</v>
          </cell>
          <cell r="C1163" t="str">
            <v>ko018</v>
          </cell>
          <cell r="D1163" t="str">
            <v>未着品</v>
          </cell>
        </row>
        <row r="1164">
          <cell r="A1164" t="str">
            <v>hdr4mi002</v>
          </cell>
          <cell r="C1164" t="str">
            <v>ko019</v>
          </cell>
          <cell r="D1164" t="str">
            <v>未払法人税</v>
          </cell>
        </row>
        <row r="1165">
          <cell r="A1165" t="str">
            <v>hdr4mi003</v>
          </cell>
          <cell r="C1165" t="str">
            <v>ko020</v>
          </cell>
          <cell r="D1165" t="str">
            <v>未払事業税</v>
          </cell>
        </row>
        <row r="1166">
          <cell r="A1166" t="str">
            <v>hdr4mi004</v>
          </cell>
          <cell r="C1166" t="str">
            <v>ko021</v>
          </cell>
          <cell r="D1166" t="str">
            <v>未払配当金</v>
          </cell>
        </row>
        <row r="1167">
          <cell r="A1167" t="str">
            <v>hdr4mi005</v>
          </cell>
          <cell r="C1167" t="str">
            <v>ko022</v>
          </cell>
          <cell r="D1167" t="str">
            <v>見積現金購入価額</v>
          </cell>
        </row>
        <row r="1168">
          <cell r="A1168" t="str">
            <v>hdr4mi006</v>
          </cell>
          <cell r="C1168" t="str">
            <v>ko023</v>
          </cell>
          <cell r="D1168" t="str">
            <v>未払設備金</v>
          </cell>
        </row>
        <row r="1169">
          <cell r="A1169" t="str">
            <v>hdr4mi007</v>
          </cell>
          <cell r="C1169" t="str">
            <v>go001</v>
          </cell>
          <cell r="D1169" t="str">
            <v>未払利息</v>
          </cell>
        </row>
        <row r="1170">
          <cell r="A1170" t="str">
            <v>hdr4mi008</v>
          </cell>
          <cell r="C1170" t="str">
            <v>go002</v>
          </cell>
          <cell r="D1170" t="str">
            <v>未実現為替レート差損</v>
          </cell>
        </row>
        <row r="1171">
          <cell r="A1171" t="str">
            <v>hdr4mi009</v>
          </cell>
          <cell r="C1171" t="str">
            <v>sa001</v>
          </cell>
          <cell r="D1171" t="str">
            <v>未控除の減価償却費(MLM)</v>
          </cell>
        </row>
        <row r="1172">
          <cell r="A1172" t="str">
            <v>hdr4mi010</v>
          </cell>
          <cell r="C1172" t="str">
            <v>sa002</v>
          </cell>
          <cell r="D1172" t="str">
            <v>未控除の再投資控除(MLM)</v>
          </cell>
        </row>
        <row r="1173">
          <cell r="A1173" t="str">
            <v>hdr4mi011</v>
          </cell>
          <cell r="C1173" t="str">
            <v>sa003</v>
          </cell>
          <cell r="D1173" t="str">
            <v>未実現為替レート差益</v>
          </cell>
        </row>
        <row r="1174">
          <cell r="A1174" t="str">
            <v>hdr4mi012</v>
          </cell>
          <cell r="C1174" t="str">
            <v>sa004</v>
          </cell>
          <cell r="D1174" t="str">
            <v>未実現為替レート差損益(TWM)</v>
          </cell>
        </row>
        <row r="1175">
          <cell r="A1175" t="str">
            <v>hdr4mi013</v>
          </cell>
          <cell r="C1175" t="str">
            <v>sa005</v>
          </cell>
          <cell r="D1175" t="str">
            <v>未分配利益課税(TWM,TKM)</v>
          </cell>
        </row>
        <row r="1176">
          <cell r="A1176" t="str">
            <v>hdr4mi014</v>
          </cell>
          <cell r="C1176" t="str">
            <v>sa006</v>
          </cell>
          <cell r="D1176" t="str">
            <v>見積実効税率</v>
          </cell>
        </row>
        <row r="1177">
          <cell r="A1177" t="str">
            <v>hdr4mi015</v>
          </cell>
          <cell r="C1177" t="str">
            <v>sa007</v>
          </cell>
          <cell r="D1177" t="str">
            <v>未経過リース料</v>
          </cell>
        </row>
        <row r="1178">
          <cell r="A1178" t="str">
            <v>hdr4mo001</v>
          </cell>
          <cell r="C1178" t="str">
            <v>sa008</v>
          </cell>
          <cell r="D1178" t="str">
            <v>目次</v>
          </cell>
        </row>
        <row r="1179">
          <cell r="A1179" t="str">
            <v>hdr4mu001</v>
          </cell>
          <cell r="C1179" t="str">
            <v>sa009</v>
          </cell>
          <cell r="D1179" t="str">
            <v>無形固定資産</v>
          </cell>
        </row>
        <row r="1180">
          <cell r="A1180" t="str">
            <v>hdr4na001</v>
          </cell>
          <cell r="C1180" t="str">
            <v>sa010</v>
          </cell>
          <cell r="D1180" t="str">
            <v>内容</v>
          </cell>
        </row>
        <row r="1181">
          <cell r="A1181" t="str">
            <v>hdr4ne001</v>
          </cell>
          <cell r="C1181" t="str">
            <v>sa011</v>
          </cell>
          <cell r="D1181" t="str">
            <v>年次</v>
          </cell>
        </row>
        <row r="1182">
          <cell r="A1182" t="str">
            <v>hdr4ne002</v>
          </cell>
          <cell r="C1182" t="str">
            <v>sa012</v>
          </cell>
          <cell r="D1182" t="str">
            <v>（年間）</v>
          </cell>
        </row>
        <row r="1183">
          <cell r="A1183" t="str">
            <v>hdr4ne003</v>
          </cell>
          <cell r="C1183" t="str">
            <v>za001</v>
          </cell>
          <cell r="D1183" t="str">
            <v>年間計画ＶＳ前期実績</v>
          </cell>
        </row>
        <row r="1184">
          <cell r="A1184" t="str">
            <v>hdr4ne004</v>
          </cell>
          <cell r="C1184" t="str">
            <v>za002</v>
          </cell>
          <cell r="D1184" t="str">
            <v>年次決算報告書</v>
          </cell>
        </row>
        <row r="1185">
          <cell r="A1185" t="str">
            <v>hdr4ne005</v>
          </cell>
          <cell r="C1185" t="str">
            <v>za003</v>
          </cell>
          <cell r="D1185" t="str">
            <v>年間見通し</v>
          </cell>
        </row>
        <row r="1186">
          <cell r="A1186" t="str">
            <v>hdr4ni001</v>
          </cell>
          <cell r="C1186" t="str">
            <v>za004</v>
          </cell>
          <cell r="D1186" t="str">
            <v>日報記号</v>
          </cell>
        </row>
        <row r="1187">
          <cell r="A1187" t="str">
            <v>hdr4ni002</v>
          </cell>
          <cell r="C1187" t="str">
            <v>za005</v>
          </cell>
          <cell r="D1187" t="str">
            <v>日本</v>
          </cell>
        </row>
        <row r="1188">
          <cell r="A1188" t="str">
            <v>hdr4ny001</v>
          </cell>
          <cell r="C1188" t="str">
            <v>za006</v>
          </cell>
          <cell r="D1188" t="str">
            <v>入力シート</v>
          </cell>
        </row>
        <row r="1189">
          <cell r="A1189" t="str">
            <v>hdr4ny002</v>
          </cell>
          <cell r="C1189" t="str">
            <v>za007</v>
          </cell>
          <cell r="D1189" t="str">
            <v>入力必須項目</v>
          </cell>
        </row>
        <row r="1190">
          <cell r="A1190" t="str">
            <v>hdr4re001</v>
          </cell>
          <cell r="C1190" t="str">
            <v>si001</v>
          </cell>
          <cell r="D1190" t="str">
            <v>連結レポート</v>
          </cell>
        </row>
        <row r="1191">
          <cell r="A1191" t="str">
            <v>hdr4re002</v>
          </cell>
          <cell r="C1191" t="str">
            <v>si002</v>
          </cell>
          <cell r="D1191" t="str">
            <v>連結勘定コード</v>
          </cell>
        </row>
        <row r="1192">
          <cell r="A1192" t="str">
            <v>hdr4re003</v>
          </cell>
          <cell r="C1192" t="str">
            <v>si003</v>
          </cell>
          <cell r="D1192" t="str">
            <v>連結勘定名称</v>
          </cell>
        </row>
        <row r="1193">
          <cell r="A1193" t="str">
            <v>hdr4re004</v>
          </cell>
          <cell r="C1193" t="str">
            <v>si004</v>
          </cell>
          <cell r="D1193" t="str">
            <v>連結子会社小計</v>
          </cell>
        </row>
        <row r="1194">
          <cell r="A1194" t="str">
            <v>hdr4ri001</v>
          </cell>
          <cell r="C1194" t="str">
            <v>si005</v>
          </cell>
          <cell r="D1194" t="str">
            <v>利益処分・資本増減明細</v>
          </cell>
        </row>
        <row r="1195">
          <cell r="A1195" t="str">
            <v>hdr4ri002</v>
          </cell>
          <cell r="C1195" t="str">
            <v>si006</v>
          </cell>
          <cell r="D1195" t="str">
            <v>利益準備金</v>
          </cell>
        </row>
        <row r="1196">
          <cell r="A1196" t="str">
            <v>hdr4ri003</v>
          </cell>
          <cell r="C1196" t="str">
            <v>si007</v>
          </cell>
          <cell r="D1196" t="str">
            <v>利益準備金－期末</v>
          </cell>
        </row>
        <row r="1197">
          <cell r="A1197" t="str">
            <v>hdr4ri004</v>
          </cell>
          <cell r="C1197" t="str">
            <v>si008</v>
          </cell>
          <cell r="D1197" t="str">
            <v>利益計画の要約</v>
          </cell>
        </row>
        <row r="1198">
          <cell r="A1198" t="str">
            <v>hdr4ri005</v>
          </cell>
          <cell r="C1198" t="str">
            <v>si009</v>
          </cell>
          <cell r="D1198" t="str">
            <v>利益計画の概況</v>
          </cell>
        </row>
        <row r="1199">
          <cell r="A1199" t="str">
            <v>hdr4ri006</v>
          </cell>
          <cell r="C1199" t="str">
            <v>si010</v>
          </cell>
          <cell r="D1199" t="str">
            <v>（率）</v>
          </cell>
        </row>
        <row r="1200">
          <cell r="A1200" t="str">
            <v>hdr4ri007</v>
          </cell>
          <cell r="C1200" t="str">
            <v>si011</v>
          </cell>
          <cell r="D1200" t="str">
            <v>(理由及び設備の内容)</v>
          </cell>
        </row>
        <row r="1201">
          <cell r="A1201" t="str">
            <v>hdr4ro001</v>
          </cell>
          <cell r="C1201" t="str">
            <v>si012</v>
          </cell>
          <cell r="D1201" t="str">
            <v>労務費計</v>
          </cell>
        </row>
        <row r="1202">
          <cell r="A1202" t="str">
            <v>hdr4ro002</v>
          </cell>
          <cell r="C1202" t="str">
            <v>si013</v>
          </cell>
          <cell r="D1202" t="str">
            <v>労務費</v>
          </cell>
        </row>
        <row r="1203">
          <cell r="A1203" t="str">
            <v>hdr4ro003</v>
          </cell>
          <cell r="C1203" t="str">
            <v>si014</v>
          </cell>
          <cell r="D1203" t="str">
            <v>労働時間内訳</v>
          </cell>
        </row>
        <row r="1204">
          <cell r="A1204" t="str">
            <v>hdr4ru001</v>
          </cell>
          <cell r="C1204" t="str">
            <v>si015</v>
          </cell>
          <cell r="D1204" t="str">
            <v>累計支払リース料</v>
          </cell>
        </row>
        <row r="1205">
          <cell r="A1205" t="str">
            <v>hdr4ry001</v>
          </cell>
          <cell r="C1205" t="str">
            <v>si016</v>
          </cell>
          <cell r="D1205" t="str">
            <v>旅費</v>
          </cell>
        </row>
        <row r="1206">
          <cell r="A1206" t="str">
            <v>hdr4ry002</v>
          </cell>
          <cell r="C1206" t="str">
            <v>si017</v>
          </cell>
          <cell r="D1206" t="str">
            <v>流動</v>
          </cell>
        </row>
        <row r="1207">
          <cell r="A1207" t="str">
            <v>hdr4sa001</v>
          </cell>
          <cell r="C1207" t="str">
            <v>si018</v>
          </cell>
          <cell r="D1207" t="str">
            <v>差額</v>
          </cell>
        </row>
        <row r="1208">
          <cell r="A1208" t="str">
            <v>hdr4sa002</v>
          </cell>
          <cell r="C1208" t="str">
            <v>si019</v>
          </cell>
          <cell r="D1208" t="str">
            <v>債権明細(相手先別）</v>
          </cell>
        </row>
        <row r="1209">
          <cell r="A1209" t="str">
            <v>hdr4sa003</v>
          </cell>
          <cell r="C1209" t="str">
            <v>si020</v>
          </cell>
          <cell r="D1209" t="str">
            <v>債務明細（相手先別）</v>
          </cell>
        </row>
        <row r="1210">
          <cell r="A1210" t="str">
            <v>hdr4sa004</v>
          </cell>
          <cell r="C1210" t="str">
            <v>si021</v>
          </cell>
          <cell r="D1210" t="str">
            <v>再検／選別／手直</v>
          </cell>
        </row>
        <row r="1211">
          <cell r="A1211" t="str">
            <v>hdr4sa005</v>
          </cell>
          <cell r="C1211" t="str">
            <v>si022</v>
          </cell>
          <cell r="D1211" t="str">
            <v>作業日／内容</v>
          </cell>
        </row>
        <row r="1212">
          <cell r="A1212" t="str">
            <v>hdr4sa006</v>
          </cell>
          <cell r="C1212" t="str">
            <v>si023</v>
          </cell>
          <cell r="D1212" t="str">
            <v>再リース</v>
          </cell>
        </row>
        <row r="1213">
          <cell r="A1213" t="str">
            <v>hdr4sa007</v>
          </cell>
          <cell r="C1213" t="str">
            <v>si024</v>
          </cell>
          <cell r="D1213" t="str">
            <v>作成日</v>
          </cell>
        </row>
        <row r="1214">
          <cell r="A1214" t="str">
            <v>hdr4sa008</v>
          </cell>
          <cell r="C1214" t="str">
            <v>si025</v>
          </cell>
          <cell r="D1214" t="str">
            <v>債務保証</v>
          </cell>
        </row>
        <row r="1215">
          <cell r="A1215" t="str">
            <v>hdr4sa009</v>
          </cell>
          <cell r="C1215" t="str">
            <v>si026</v>
          </cell>
          <cell r="D1215" t="str">
            <v>&lt;債務保証残高&gt;</v>
          </cell>
        </row>
        <row r="1216">
          <cell r="A1216" t="str">
            <v>hdr4sa010</v>
          </cell>
          <cell r="C1216" t="str">
            <v>si027</v>
          </cell>
          <cell r="D1216" t="str">
            <v>債権</v>
          </cell>
        </row>
        <row r="1217">
          <cell r="A1217" t="str">
            <v>hdr4sa011</v>
          </cell>
          <cell r="C1217" t="str">
            <v>si028</v>
          </cell>
          <cell r="D1217" t="str">
            <v>算定方法</v>
          </cell>
        </row>
        <row r="1218">
          <cell r="A1218" t="str">
            <v>hdr4sa012</v>
          </cell>
          <cell r="C1218" t="str">
            <v>si029</v>
          </cell>
          <cell r="D1218" t="str">
            <v>債券</v>
          </cell>
        </row>
        <row r="1219">
          <cell r="A1219" t="str">
            <v>hdr4se001</v>
          </cell>
          <cell r="C1219" t="str">
            <v>ji001</v>
          </cell>
          <cell r="D1219" t="str">
            <v>正常在庫</v>
          </cell>
        </row>
        <row r="1220">
          <cell r="A1220" t="str">
            <v>hdr4se002</v>
          </cell>
          <cell r="C1220" t="str">
            <v>ji002</v>
          </cell>
          <cell r="D1220" t="str">
            <v>製造経費</v>
          </cell>
        </row>
        <row r="1221">
          <cell r="A1221" t="str">
            <v>hdr4se003</v>
          </cell>
          <cell r="C1221" t="str">
            <v>ji003</v>
          </cell>
          <cell r="D1221" t="str">
            <v>生産機器</v>
          </cell>
        </row>
        <row r="1222">
          <cell r="A1222" t="str">
            <v>hdr4se004</v>
          </cell>
          <cell r="C1222" t="str">
            <v>ji004</v>
          </cell>
          <cell r="D1222" t="str">
            <v>製造経費明細</v>
          </cell>
        </row>
        <row r="1223">
          <cell r="A1223" t="str">
            <v>hdr4se005</v>
          </cell>
          <cell r="C1223" t="str">
            <v>ji005</v>
          </cell>
          <cell r="D1223" t="str">
            <v>製造経費明細（部門別）</v>
          </cell>
        </row>
        <row r="1224">
          <cell r="A1224" t="str">
            <v>hdr4se006</v>
          </cell>
          <cell r="C1224" t="str">
            <v>ji006</v>
          </cell>
          <cell r="D1224" t="str">
            <v>製造原価報告書</v>
          </cell>
        </row>
        <row r="1225">
          <cell r="A1225" t="str">
            <v>hdr4se007</v>
          </cell>
          <cell r="C1225" t="str">
            <v>ji007</v>
          </cell>
          <cell r="D1225" t="str">
            <v>製造原価報告書（部門別）</v>
          </cell>
        </row>
        <row r="1226">
          <cell r="A1226" t="str">
            <v>hdr4se008</v>
          </cell>
          <cell r="C1226" t="str">
            <v>ji008</v>
          </cell>
          <cell r="D1226" t="str">
            <v>製品</v>
          </cell>
        </row>
        <row r="1227">
          <cell r="A1227" t="str">
            <v>hdr4se009</v>
          </cell>
          <cell r="C1227" t="str">
            <v>ji009</v>
          </cell>
          <cell r="D1227" t="str">
            <v>製品・商品(モーター)</v>
          </cell>
        </row>
        <row r="1228">
          <cell r="A1228" t="str">
            <v>hdr4se010</v>
          </cell>
          <cell r="C1228" t="str">
            <v>ji010</v>
          </cell>
          <cell r="D1228" t="str">
            <v>責任区分</v>
          </cell>
        </row>
        <row r="1229">
          <cell r="A1229" t="str">
            <v>hdr4se011</v>
          </cell>
          <cell r="C1229" t="str">
            <v>jy001</v>
          </cell>
          <cell r="D1229" t="str">
            <v>生産地</v>
          </cell>
        </row>
        <row r="1230">
          <cell r="A1230" t="str">
            <v>hdr4se012</v>
          </cell>
          <cell r="C1230" t="str">
            <v>jy002</v>
          </cell>
          <cell r="D1230" t="str">
            <v>製品売上</v>
          </cell>
        </row>
        <row r="1231">
          <cell r="A1231" t="str">
            <v>hdr4se013</v>
          </cell>
          <cell r="C1231" t="str">
            <v>jy003</v>
          </cell>
          <cell r="D1231" t="str">
            <v>製品売上原価</v>
          </cell>
        </row>
        <row r="1232">
          <cell r="A1232" t="str">
            <v>hdr4se014</v>
          </cell>
          <cell r="C1232" t="str">
            <v>jy004</v>
          </cell>
          <cell r="D1232" t="str">
            <v>製造経費明細（相手先別）</v>
          </cell>
        </row>
        <row r="1233">
          <cell r="A1233" t="str">
            <v>hdr4se015</v>
          </cell>
          <cell r="C1233" t="str">
            <v>jy005</v>
          </cell>
          <cell r="D1233" t="str">
            <v>責任者印</v>
          </cell>
        </row>
        <row r="1234">
          <cell r="A1234" t="str">
            <v>hdr4se016</v>
          </cell>
          <cell r="C1234" t="str">
            <v>jy006</v>
          </cell>
          <cell r="D1234" t="str">
            <v>製造経費合計</v>
          </cell>
        </row>
        <row r="1235">
          <cell r="A1235" t="str">
            <v>hdr4se017</v>
          </cell>
          <cell r="C1235" t="str">
            <v>sy001</v>
          </cell>
          <cell r="D1235" t="str">
            <v>製造総費用</v>
          </cell>
        </row>
        <row r="1236">
          <cell r="A1236" t="str">
            <v>hdr4se018</v>
          </cell>
          <cell r="C1236" t="str">
            <v>sy002</v>
          </cell>
          <cell r="D1236" t="str">
            <v>製造間接費</v>
          </cell>
        </row>
        <row r="1237">
          <cell r="A1237" t="str">
            <v>hdr4se019</v>
          </cell>
          <cell r="C1237" t="str">
            <v>sy003</v>
          </cell>
          <cell r="D1237" t="str">
            <v>製造直接（人）</v>
          </cell>
        </row>
        <row r="1238">
          <cell r="A1238" t="str">
            <v>hdr4se020</v>
          </cell>
          <cell r="C1238" t="str">
            <v>sy004</v>
          </cell>
          <cell r="D1238" t="str">
            <v>製造間接（人）</v>
          </cell>
        </row>
        <row r="1239">
          <cell r="A1239" t="str">
            <v>hdr4se021</v>
          </cell>
          <cell r="C1239" t="str">
            <v>sy005</v>
          </cell>
          <cell r="D1239" t="str">
            <v>政府向罰金</v>
          </cell>
        </row>
        <row r="1240">
          <cell r="A1240" t="str">
            <v>hdr4se022</v>
          </cell>
          <cell r="C1240" t="str">
            <v>sy006</v>
          </cell>
          <cell r="D1240" t="str">
            <v>生産者利益オフショア(HKM,HKSEIKO)</v>
          </cell>
        </row>
        <row r="1241">
          <cell r="A1241" t="str">
            <v>hdr4se023</v>
          </cell>
          <cell r="C1241" t="str">
            <v>sy007</v>
          </cell>
          <cell r="D1241" t="str">
            <v>設備投資明細</v>
          </cell>
        </row>
        <row r="1242">
          <cell r="A1242" t="str">
            <v>hdr4se024</v>
          </cell>
          <cell r="C1242" t="str">
            <v>sy008</v>
          </cell>
          <cell r="D1242" t="str">
            <v>設備投資</v>
          </cell>
        </row>
        <row r="1243">
          <cell r="A1243" t="str">
            <v>hdr4se025</v>
          </cell>
          <cell r="C1243" t="str">
            <v>sy009</v>
          </cell>
          <cell r="D1243" t="str">
            <v>設備の売却・除却等</v>
          </cell>
        </row>
        <row r="1244">
          <cell r="A1244" t="str">
            <v>hdr4se026</v>
          </cell>
          <cell r="C1244" t="str">
            <v>sy010</v>
          </cell>
          <cell r="D1244" t="str">
            <v>設備の新設・改修等</v>
          </cell>
        </row>
        <row r="1245">
          <cell r="A1245" t="str">
            <v>hdr4se027</v>
          </cell>
          <cell r="C1245" t="str">
            <v>sy011</v>
          </cell>
          <cell r="D1245" t="str">
            <v>生産能力の増強・維持</v>
          </cell>
        </row>
        <row r="1246">
          <cell r="A1246" t="str">
            <v>hdr4si001</v>
          </cell>
          <cell r="C1246" t="str">
            <v>sy012</v>
          </cell>
          <cell r="D1246" t="str">
            <v>仕掛品</v>
          </cell>
        </row>
        <row r="1247">
          <cell r="A1247" t="str">
            <v>hdr4si002</v>
          </cell>
          <cell r="C1247" t="str">
            <v>sy013</v>
          </cell>
          <cell r="D1247" t="str">
            <v>仕入先</v>
          </cell>
        </row>
        <row r="1248">
          <cell r="A1248" t="str">
            <v>hdr4si003</v>
          </cell>
          <cell r="C1248" t="str">
            <v>sy014</v>
          </cell>
          <cell r="D1248" t="str">
            <v>四半期</v>
          </cell>
        </row>
        <row r="1249">
          <cell r="A1249" t="str">
            <v>hdr4si004</v>
          </cell>
          <cell r="C1249" t="str">
            <v>sy015</v>
          </cell>
          <cell r="D1249" t="str">
            <v>資産・負債増減明細</v>
          </cell>
        </row>
        <row r="1250">
          <cell r="A1250" t="str">
            <v>hdr4si005</v>
          </cell>
          <cell r="C1250" t="str">
            <v>sy016</v>
          </cell>
          <cell r="D1250" t="str">
            <v>支払賠償金</v>
          </cell>
        </row>
        <row r="1251">
          <cell r="A1251" t="str">
            <v>hdr4si006</v>
          </cell>
          <cell r="C1251" t="str">
            <v>sy017</v>
          </cell>
          <cell r="D1251" t="str">
            <v>支払賠償金・旅費明細</v>
          </cell>
        </row>
        <row r="1252">
          <cell r="A1252" t="str">
            <v>hdr4si007</v>
          </cell>
          <cell r="C1252" t="str">
            <v>sy018</v>
          </cell>
          <cell r="D1252" t="str">
            <v>資本金</v>
          </cell>
        </row>
        <row r="1253">
          <cell r="A1253" t="str">
            <v>hdr4si008</v>
          </cell>
          <cell r="C1253" t="str">
            <v>sy019</v>
          </cell>
          <cell r="D1253" t="str">
            <v>資本準備金</v>
          </cell>
        </row>
        <row r="1254">
          <cell r="A1254" t="str">
            <v>hdr4si009</v>
          </cell>
          <cell r="C1254" t="str">
            <v>se001</v>
          </cell>
          <cell r="D1254" t="str">
            <v>支払スケジュール</v>
          </cell>
        </row>
        <row r="1255">
          <cell r="A1255" t="str">
            <v>hdr4si010</v>
          </cell>
          <cell r="C1255" t="str">
            <v>se002</v>
          </cell>
          <cell r="D1255" t="str">
            <v>支払回数</v>
          </cell>
        </row>
        <row r="1256">
          <cell r="A1256" t="str">
            <v>hdr4si011</v>
          </cell>
          <cell r="C1256" t="str">
            <v>se003</v>
          </cell>
          <cell r="D1256" t="str">
            <v>支払間隔 （月数）</v>
          </cell>
        </row>
        <row r="1257">
          <cell r="A1257" t="str">
            <v>hdr4si012</v>
          </cell>
          <cell r="C1257" t="str">
            <v>se004</v>
          </cell>
          <cell r="D1257" t="str">
            <v>支払開始年月</v>
          </cell>
        </row>
        <row r="1258">
          <cell r="A1258" t="str">
            <v>hdr4si013</v>
          </cell>
          <cell r="C1258" t="str">
            <v>se005</v>
          </cell>
          <cell r="D1258" t="str">
            <v>支払終了年月</v>
          </cell>
        </row>
        <row r="1259">
          <cell r="A1259" t="str">
            <v>hdr4si014</v>
          </cell>
          <cell r="C1259" t="str">
            <v>se006</v>
          </cell>
          <cell r="D1259" t="str">
            <v>新規・変更</v>
          </cell>
        </row>
        <row r="1260">
          <cell r="A1260" t="str">
            <v>hdr4si015</v>
          </cell>
          <cell r="C1260" t="str">
            <v>se007</v>
          </cell>
          <cell r="D1260" t="str">
            <v>支払元／配当額</v>
          </cell>
        </row>
        <row r="1261">
          <cell r="A1261" t="str">
            <v>hdr4si016</v>
          </cell>
          <cell r="C1261" t="str">
            <v>se008</v>
          </cell>
          <cell r="D1261" t="str">
            <v>仕入商品支払手数料</v>
          </cell>
        </row>
        <row r="1262">
          <cell r="A1262" t="str">
            <v>hdr4si017</v>
          </cell>
          <cell r="C1262" t="str">
            <v>se009</v>
          </cell>
          <cell r="D1262" t="str">
            <v>支援収入</v>
          </cell>
        </row>
        <row r="1263">
          <cell r="A1263" t="str">
            <v>hdr4si018</v>
          </cell>
          <cell r="C1263" t="str">
            <v>se010</v>
          </cell>
          <cell r="D1263" t="str">
            <v>仕掛品－期首</v>
          </cell>
        </row>
        <row r="1264">
          <cell r="A1264" t="str">
            <v>hdr4si019</v>
          </cell>
          <cell r="C1264" t="str">
            <v>se011</v>
          </cell>
          <cell r="D1264" t="str">
            <v>施設利用権</v>
          </cell>
        </row>
        <row r="1265">
          <cell r="A1265" t="str">
            <v>hdr4si020</v>
          </cell>
          <cell r="C1265" t="str">
            <v>se012</v>
          </cell>
          <cell r="D1265" t="str">
            <v>資本金－期末</v>
          </cell>
        </row>
        <row r="1266">
          <cell r="A1266" t="str">
            <v>hdr4si021</v>
          </cell>
          <cell r="C1266" t="str">
            <v>se013</v>
          </cell>
          <cell r="D1266" t="str">
            <v>資本準備金－期末</v>
          </cell>
        </row>
        <row r="1267">
          <cell r="A1267" t="str">
            <v>hdr4si022</v>
          </cell>
          <cell r="C1267" t="str">
            <v>se014</v>
          </cell>
          <cell r="D1267" t="str">
            <v>施設利用権－減価償却累計額－期首</v>
          </cell>
        </row>
        <row r="1268">
          <cell r="A1268" t="str">
            <v>hdr4si023</v>
          </cell>
          <cell r="C1268" t="str">
            <v>se015</v>
          </cell>
          <cell r="D1268" t="str">
            <v>新契約No.</v>
          </cell>
        </row>
        <row r="1269">
          <cell r="A1269" t="str">
            <v>hdr4si024</v>
          </cell>
          <cell r="C1269" t="str">
            <v>se016</v>
          </cell>
          <cell r="D1269" t="str">
            <v>支援/加工費明細（DGM/DWM/TWM/TKMのみ）</v>
          </cell>
        </row>
        <row r="1270">
          <cell r="A1270" t="str">
            <v>hdr4si025</v>
          </cell>
          <cell r="C1270" t="str">
            <v>se017</v>
          </cell>
          <cell r="D1270" t="str">
            <v>支援/加工費用</v>
          </cell>
        </row>
        <row r="1271">
          <cell r="A1271" t="str">
            <v>hdr4si026</v>
          </cell>
          <cell r="C1271" t="str">
            <v>se018</v>
          </cell>
          <cell r="D1271" t="str">
            <v>支援費</v>
          </cell>
        </row>
        <row r="1272">
          <cell r="A1272" t="str">
            <v>hdr4si027</v>
          </cell>
          <cell r="C1272" t="str">
            <v>se019</v>
          </cell>
          <cell r="D1272" t="str">
            <v>（下半期）</v>
          </cell>
        </row>
        <row r="1273">
          <cell r="A1273" t="str">
            <v>hdr4si028</v>
          </cell>
          <cell r="C1273" t="str">
            <v>se020</v>
          </cell>
          <cell r="D1273" t="str">
            <v>資産で計上</v>
          </cell>
        </row>
        <row r="1274">
          <cell r="A1274" t="str">
            <v>hdr4si029</v>
          </cell>
          <cell r="C1274" t="str">
            <v>se021</v>
          </cell>
          <cell r="D1274" t="str">
            <v>新製品の生産</v>
          </cell>
        </row>
        <row r="1275">
          <cell r="A1275" t="str">
            <v>hdr4so001</v>
          </cell>
          <cell r="C1275" t="str">
            <v>se022</v>
          </cell>
          <cell r="D1275" t="str">
            <v>損益計算書  （前期対比）</v>
          </cell>
        </row>
        <row r="1276">
          <cell r="A1276" t="str">
            <v>hdr4so002</v>
          </cell>
          <cell r="C1276" t="str">
            <v>se023</v>
          </cell>
          <cell r="D1276" t="str">
            <v>損益計算書  （予算対比）</v>
          </cell>
        </row>
        <row r="1277">
          <cell r="A1277" t="str">
            <v>hdr4so003</v>
          </cell>
          <cell r="C1277" t="str">
            <v>se024</v>
          </cell>
          <cell r="D1277" t="str">
            <v>その他</v>
          </cell>
        </row>
        <row r="1278">
          <cell r="A1278" t="str">
            <v>hdr4so004</v>
          </cell>
          <cell r="C1278" t="str">
            <v>se025</v>
          </cell>
          <cell r="D1278" t="str">
            <v>その他固定負債</v>
          </cell>
        </row>
        <row r="1279">
          <cell r="A1279" t="str">
            <v>hdr4so005</v>
          </cell>
          <cell r="C1279" t="str">
            <v>se026</v>
          </cell>
          <cell r="D1279" t="str">
            <v>総合計</v>
          </cell>
        </row>
        <row r="1280">
          <cell r="A1280" t="str">
            <v>hdr4so006</v>
          </cell>
          <cell r="C1280" t="str">
            <v>se027</v>
          </cell>
          <cell r="D1280" t="str">
            <v>その他（科目振替）</v>
          </cell>
        </row>
        <row r="1281">
          <cell r="A1281" t="str">
            <v>hdr4so007</v>
          </cell>
          <cell r="C1281" t="str">
            <v>ze001</v>
          </cell>
          <cell r="D1281" t="str">
            <v>その他無形固定資産</v>
          </cell>
        </row>
        <row r="1282">
          <cell r="A1282" t="str">
            <v>hdr4so008</v>
          </cell>
          <cell r="C1282" t="str">
            <v>ze002</v>
          </cell>
          <cell r="D1282" t="str">
            <v>その他固定負債－期末</v>
          </cell>
        </row>
        <row r="1283">
          <cell r="A1283" t="str">
            <v>hdr4so009</v>
          </cell>
          <cell r="C1283" t="str">
            <v>ze003</v>
          </cell>
          <cell r="D1283" t="str">
            <v>その他の項目</v>
          </cell>
        </row>
        <row r="1284">
          <cell r="A1284" t="str">
            <v>hdr4so010</v>
          </cell>
          <cell r="C1284" t="str">
            <v>ze004</v>
          </cell>
          <cell r="D1284" t="str">
            <v>その他の投資</v>
          </cell>
        </row>
        <row r="1285">
          <cell r="A1285" t="str">
            <v>hdr4so011</v>
          </cell>
          <cell r="C1285" t="str">
            <v>ze005</v>
          </cell>
          <cell r="D1285" t="str">
            <v>その他の投資－期末</v>
          </cell>
        </row>
        <row r="1286">
          <cell r="A1286" t="str">
            <v>hdr4so012</v>
          </cell>
          <cell r="C1286" t="str">
            <v>ze006</v>
          </cell>
          <cell r="D1286" t="str">
            <v>その他の注記事項</v>
          </cell>
        </row>
        <row r="1287">
          <cell r="A1287" t="str">
            <v>hdr4so013</v>
          </cell>
          <cell r="C1287" t="str">
            <v>ze007</v>
          </cell>
          <cell r="D1287" t="str">
            <v>損益計算書に関する事項</v>
          </cell>
        </row>
        <row r="1288">
          <cell r="A1288" t="str">
            <v>hdr4sy001</v>
          </cell>
          <cell r="C1288" t="str">
            <v>ze008</v>
          </cell>
          <cell r="D1288" t="str">
            <v>主要増減分析</v>
          </cell>
        </row>
        <row r="1289">
          <cell r="A1289" t="str">
            <v>hdr4sy002</v>
          </cell>
          <cell r="C1289" t="str">
            <v>ze009</v>
          </cell>
          <cell r="D1289" t="str">
            <v>収集のタイミング</v>
          </cell>
        </row>
        <row r="1290">
          <cell r="A1290" t="str">
            <v>hdr4sy003</v>
          </cell>
          <cell r="C1290" t="str">
            <v>ze010</v>
          </cell>
          <cell r="D1290" t="str">
            <v>商品</v>
          </cell>
        </row>
        <row r="1291">
          <cell r="A1291" t="str">
            <v>hdr4sy004</v>
          </cell>
          <cell r="C1291" t="str">
            <v>ze011</v>
          </cell>
          <cell r="D1291" t="str">
            <v>商品モーター売上・売上原価明細（生産地別）</v>
          </cell>
        </row>
        <row r="1292">
          <cell r="A1292" t="str">
            <v>hdr4sy005</v>
          </cell>
          <cell r="C1292" t="str">
            <v>ze012</v>
          </cell>
          <cell r="D1292" t="str">
            <v>商品売上</v>
          </cell>
        </row>
        <row r="1293">
          <cell r="A1293" t="str">
            <v>hdr4sy006</v>
          </cell>
          <cell r="C1293" t="str">
            <v>zo001</v>
          </cell>
          <cell r="D1293" t="str">
            <v>商品売上原価</v>
          </cell>
        </row>
        <row r="1294">
          <cell r="A1294" t="str">
            <v>hdr4sy007</v>
          </cell>
          <cell r="C1294" t="str">
            <v>zo002</v>
          </cell>
          <cell r="D1294" t="str">
            <v>取得原価</v>
          </cell>
        </row>
        <row r="1295">
          <cell r="A1295" t="str">
            <v>hdr4sy008</v>
          </cell>
          <cell r="C1295" t="str">
            <v>zo003</v>
          </cell>
          <cell r="D1295" t="str">
            <v>取得</v>
          </cell>
        </row>
        <row r="1296">
          <cell r="A1296" t="str">
            <v>hdr4sy009</v>
          </cell>
          <cell r="C1296" t="str">
            <v>zo004</v>
          </cell>
          <cell r="D1296" t="str">
            <v>出資金</v>
          </cell>
        </row>
        <row r="1297">
          <cell r="A1297" t="str">
            <v>hdr4sy010</v>
          </cell>
          <cell r="C1297" t="str">
            <v>so001</v>
          </cell>
          <cell r="D1297" t="str">
            <v>少額資産</v>
          </cell>
        </row>
        <row r="1298">
          <cell r="A1298" t="str">
            <v>hdr4sy011</v>
          </cell>
          <cell r="C1298" t="str">
            <v>so002</v>
          </cell>
          <cell r="D1298" t="str">
            <v>所有権移転条項</v>
          </cell>
        </row>
        <row r="1299">
          <cell r="A1299" t="str">
            <v>hdr4sy012</v>
          </cell>
          <cell r="C1299" t="str">
            <v>so003</v>
          </cell>
          <cell r="D1299" t="str">
            <v>詳細</v>
          </cell>
        </row>
        <row r="1300">
          <cell r="A1300" t="str">
            <v>hdr4sy013</v>
          </cell>
          <cell r="C1300" t="str">
            <v>so004</v>
          </cell>
          <cell r="D1300" t="str">
            <v>車輌運搬具</v>
          </cell>
        </row>
        <row r="1301">
          <cell r="A1301" t="str">
            <v>hdr4sy014</v>
          </cell>
          <cell r="C1301" t="str">
            <v>so005</v>
          </cell>
          <cell r="D1301" t="str">
            <v>出資金－期末</v>
          </cell>
        </row>
        <row r="1302">
          <cell r="A1302" t="str">
            <v>hdr4sy015</v>
          </cell>
          <cell r="C1302" t="str">
            <v>so006</v>
          </cell>
          <cell r="D1302" t="str">
            <v>賞与引当金超過額</v>
          </cell>
        </row>
        <row r="1303">
          <cell r="A1303" t="str">
            <v>hdr4sy016</v>
          </cell>
          <cell r="C1303" t="str">
            <v>so007</v>
          </cell>
          <cell r="D1303" t="str">
            <v>賞与引当金超過額認容</v>
          </cell>
        </row>
        <row r="1304">
          <cell r="A1304" t="str">
            <v>hdr4sy017</v>
          </cell>
          <cell r="C1304" t="str">
            <v>so008</v>
          </cell>
          <cell r="D1304" t="str">
            <v>主要経営指標</v>
          </cell>
        </row>
        <row r="1305">
          <cell r="A1305" t="str">
            <v>hdr4sy018</v>
          </cell>
          <cell r="C1305" t="str">
            <v>so009</v>
          </cell>
          <cell r="D1305" t="str">
            <v>主要な設備の取得内容</v>
          </cell>
        </row>
        <row r="1306">
          <cell r="A1306" t="str">
            <v>hdr4sy019</v>
          </cell>
          <cell r="C1306" t="str">
            <v>so010</v>
          </cell>
          <cell r="D1306" t="str">
            <v>主要な設備の売却･除却内容</v>
          </cell>
        </row>
        <row r="1307">
          <cell r="A1307" t="str">
            <v>hdr4ta001</v>
          </cell>
          <cell r="C1307" t="str">
            <v>so011</v>
          </cell>
          <cell r="D1307" t="str">
            <v>他工場責任</v>
          </cell>
        </row>
        <row r="1308">
          <cell r="A1308" t="str">
            <v>hdr4ta002</v>
          </cell>
          <cell r="C1308" t="str">
            <v>so012</v>
          </cell>
          <cell r="D1308" t="str">
            <v>滞留月数</v>
          </cell>
        </row>
        <row r="1309">
          <cell r="A1309" t="str">
            <v>hdr4ta003</v>
          </cell>
          <cell r="C1309" t="str">
            <v>so013</v>
          </cell>
          <cell r="D1309" t="str">
            <v>滞留棚卸資産リスト</v>
          </cell>
        </row>
        <row r="1310">
          <cell r="A1310" t="str">
            <v>hdr4ta004</v>
          </cell>
          <cell r="C1310" t="str">
            <v>ta001</v>
          </cell>
          <cell r="D1310" t="str">
            <v>滞留理由及び売上可能性</v>
          </cell>
        </row>
        <row r="1311">
          <cell r="A1311" t="str">
            <v>hdr4ta005</v>
          </cell>
          <cell r="C1311" t="str">
            <v>ta002</v>
          </cell>
          <cell r="D1311" t="str">
            <v>貸借対照表 （資産）</v>
          </cell>
        </row>
        <row r="1312">
          <cell r="A1312" t="str">
            <v>hdr4ta006</v>
          </cell>
          <cell r="C1312" t="str">
            <v>ta003</v>
          </cell>
          <cell r="D1312" t="str">
            <v>貸借対照表 （負債･資本）</v>
          </cell>
        </row>
        <row r="1313">
          <cell r="A1313" t="str">
            <v>hdr4ta007</v>
          </cell>
          <cell r="C1313" t="str">
            <v>ta004</v>
          </cell>
          <cell r="D1313" t="str">
            <v>棚卸資産残高明細 （品目別）</v>
          </cell>
        </row>
        <row r="1314">
          <cell r="A1314" t="str">
            <v>hdr4ta008</v>
          </cell>
          <cell r="C1314" t="str">
            <v>ta005</v>
          </cell>
          <cell r="D1314" t="str">
            <v>棚卸資産滞留明細</v>
          </cell>
        </row>
        <row r="1315">
          <cell r="A1315" t="str">
            <v>hdr4ta009</v>
          </cell>
          <cell r="C1315" t="str">
            <v>ta006</v>
          </cell>
          <cell r="D1315" t="str">
            <v>棚卸資産滞留明細</v>
          </cell>
        </row>
        <row r="1316">
          <cell r="A1316" t="str">
            <v>hdr4ta010</v>
          </cell>
          <cell r="C1316" t="str">
            <v>ta007</v>
          </cell>
          <cell r="D1316" t="str">
            <v>棚卸資産廃棄損</v>
          </cell>
        </row>
        <row r="1317">
          <cell r="A1317" t="str">
            <v>hdr4ta011</v>
          </cell>
          <cell r="C1317" t="str">
            <v>ta008</v>
          </cell>
          <cell r="D1317" t="str">
            <v>棚卸資産廃棄損明細</v>
          </cell>
        </row>
        <row r="1318">
          <cell r="A1318" t="str">
            <v>hdr4ta012</v>
          </cell>
          <cell r="C1318" t="str">
            <v>ta009</v>
          </cell>
          <cell r="D1318" t="str">
            <v>棚卸資産評価損</v>
          </cell>
        </row>
        <row r="1319">
          <cell r="A1319" t="str">
            <v>hdr4ta013</v>
          </cell>
          <cell r="C1319" t="str">
            <v>ta010</v>
          </cell>
          <cell r="D1319" t="str">
            <v>棚卸資産評価損明細</v>
          </cell>
        </row>
        <row r="1320">
          <cell r="A1320" t="str">
            <v>hdr4ta014</v>
          </cell>
          <cell r="C1320" t="str">
            <v>ta011</v>
          </cell>
          <cell r="D1320" t="str">
            <v>滞留在庫</v>
          </cell>
        </row>
        <row r="1321">
          <cell r="A1321" t="str">
            <v>hdr4ta015</v>
          </cell>
          <cell r="C1321" t="str">
            <v>ta012</v>
          </cell>
          <cell r="D1321" t="str">
            <v>短期</v>
          </cell>
        </row>
        <row r="1322">
          <cell r="A1322" t="str">
            <v>hdr4ta016</v>
          </cell>
          <cell r="C1322" t="str">
            <v>ta013</v>
          </cell>
          <cell r="D1322" t="str">
            <v>短期貸付金</v>
          </cell>
        </row>
        <row r="1323">
          <cell r="A1323" t="str">
            <v>hdr4ta017</v>
          </cell>
          <cell r="C1323" t="str">
            <v>ta014</v>
          </cell>
          <cell r="D1323" t="str">
            <v>短期借入金</v>
          </cell>
        </row>
        <row r="1324">
          <cell r="A1324" t="str">
            <v>hdr4ta018</v>
          </cell>
          <cell r="C1324" t="str">
            <v>ta015</v>
          </cell>
          <cell r="D1324" t="str">
            <v>退職給与引当金</v>
          </cell>
        </row>
        <row r="1325">
          <cell r="A1325" t="str">
            <v>hdr4ta019</v>
          </cell>
          <cell r="C1325" t="str">
            <v>ta016</v>
          </cell>
          <cell r="D1325" t="str">
            <v>棚卸資産</v>
          </cell>
        </row>
        <row r="1326">
          <cell r="A1326" t="str">
            <v>hdr4ta020</v>
          </cell>
          <cell r="C1326" t="str">
            <v>ta017</v>
          </cell>
          <cell r="D1326" t="str">
            <v>建物</v>
          </cell>
        </row>
        <row r="1327">
          <cell r="A1327" t="str">
            <v>hdr4ta021</v>
          </cell>
          <cell r="C1327" t="str">
            <v>ta018</v>
          </cell>
          <cell r="D1327" t="str">
            <v>短期貸付金－期末</v>
          </cell>
        </row>
        <row r="1328">
          <cell r="A1328" t="str">
            <v>hdr4ta022</v>
          </cell>
          <cell r="C1328" t="str">
            <v>ta019</v>
          </cell>
          <cell r="D1328" t="str">
            <v>短期借入金－期末</v>
          </cell>
        </row>
        <row r="1329">
          <cell r="A1329" t="str">
            <v>hdr4ta023</v>
          </cell>
          <cell r="C1329" t="str">
            <v>ta020</v>
          </cell>
          <cell r="D1329" t="str">
            <v>退職給与引当金－期末</v>
          </cell>
        </row>
        <row r="1330">
          <cell r="A1330" t="str">
            <v>hdr4ta024</v>
          </cell>
          <cell r="C1330" t="str">
            <v>ta021</v>
          </cell>
          <cell r="D1330" t="str">
            <v>棚卸資産評価損認容</v>
          </cell>
        </row>
        <row r="1331">
          <cell r="A1331" t="str">
            <v>hdr4ta025</v>
          </cell>
          <cell r="C1331" t="str">
            <v>ta022</v>
          </cell>
          <cell r="D1331" t="str">
            <v>退職給与引当金超過額</v>
          </cell>
        </row>
        <row r="1332">
          <cell r="A1332" t="str">
            <v>hdr4ta026</v>
          </cell>
          <cell r="C1332" t="str">
            <v>ta023</v>
          </cell>
          <cell r="D1332" t="str">
            <v>退職給与引当金超過額認容</v>
          </cell>
        </row>
        <row r="1333">
          <cell r="A1333" t="str">
            <v>hdr4ta027</v>
          </cell>
          <cell r="C1333" t="str">
            <v>ta024</v>
          </cell>
          <cell r="D1333" t="str">
            <v>建物－取得原価－期首</v>
          </cell>
        </row>
        <row r="1334">
          <cell r="A1334" t="str">
            <v>hdr4ta028</v>
          </cell>
          <cell r="C1334" t="str">
            <v>ta025</v>
          </cell>
          <cell r="D1334" t="str">
            <v>建物－減価償却累計額－期首</v>
          </cell>
        </row>
        <row r="1335">
          <cell r="A1335" t="str">
            <v>hdr4ta029</v>
          </cell>
          <cell r="C1335" t="str">
            <v>ta026</v>
          </cell>
          <cell r="D1335" t="str">
            <v>短期貸付金－ｸﾞﾙｰﾌﾟ－期首</v>
          </cell>
        </row>
        <row r="1336">
          <cell r="A1336" t="str">
            <v>hdr4ta030</v>
          </cell>
          <cell r="C1336" t="str">
            <v>ta027</v>
          </cell>
          <cell r="D1336" t="str">
            <v>短期貸付金－一般－期首</v>
          </cell>
        </row>
        <row r="1337">
          <cell r="A1337" t="str">
            <v>hdr4ta031</v>
          </cell>
          <cell r="C1337" t="str">
            <v>ta028</v>
          </cell>
          <cell r="D1337" t="str">
            <v>短期借入金－ｸﾞﾙｰﾌﾟ－期首</v>
          </cell>
        </row>
        <row r="1338">
          <cell r="A1338" t="str">
            <v>hdr4ta032</v>
          </cell>
          <cell r="C1338" t="str">
            <v>ta029</v>
          </cell>
          <cell r="D1338" t="str">
            <v>短期借入金－一般－期首</v>
          </cell>
        </row>
        <row r="1339">
          <cell r="A1339" t="str">
            <v>hdr4ta033</v>
          </cell>
          <cell r="C1339" t="str">
            <v>ta030</v>
          </cell>
          <cell r="D1339" t="str">
            <v>耐用年数</v>
          </cell>
        </row>
        <row r="1340">
          <cell r="A1340" t="str">
            <v>hdr4ta034</v>
          </cell>
          <cell r="C1340" t="str">
            <v>ta031</v>
          </cell>
          <cell r="D1340" t="str">
            <v>棚卸資産廃棄損</v>
          </cell>
        </row>
        <row r="1341">
          <cell r="A1341" t="str">
            <v>hdr4ta035</v>
          </cell>
          <cell r="C1341" t="str">
            <v>ta032</v>
          </cell>
          <cell r="D1341" t="str">
            <v>棚卸資産評価損</v>
          </cell>
        </row>
        <row r="1342">
          <cell r="A1342" t="str">
            <v>hdr4ta036</v>
          </cell>
          <cell r="C1342" t="str">
            <v>ta033</v>
          </cell>
          <cell r="D1342" t="str">
            <v>短期貸付金－ｸﾞﾙｰﾌﾟ</v>
          </cell>
        </row>
        <row r="1343">
          <cell r="A1343" t="str">
            <v>hdr4ta037</v>
          </cell>
          <cell r="C1343" t="str">
            <v>ta034</v>
          </cell>
          <cell r="D1343" t="str">
            <v>短期貸付金－一般</v>
          </cell>
        </row>
        <row r="1344">
          <cell r="A1344" t="str">
            <v>hdr4ta038</v>
          </cell>
          <cell r="C1344" t="str">
            <v>ta035</v>
          </cell>
          <cell r="D1344" t="str">
            <v>短期借入金－ｸﾞﾙｰﾌﾟ</v>
          </cell>
        </row>
        <row r="1345">
          <cell r="A1345" t="str">
            <v>hdr4ta039</v>
          </cell>
          <cell r="C1345" t="str">
            <v>ta036</v>
          </cell>
          <cell r="D1345" t="str">
            <v>短期借入金－一般</v>
          </cell>
        </row>
        <row r="1346">
          <cell r="A1346" t="str">
            <v>hdr4ta040</v>
          </cell>
          <cell r="C1346" t="str">
            <v>ta037</v>
          </cell>
          <cell r="D1346" t="str">
            <v>退休準備基金(TWM)</v>
          </cell>
        </row>
        <row r="1347">
          <cell r="A1347" t="str">
            <v>hdr4ta041</v>
          </cell>
          <cell r="C1347" t="str">
            <v>ta038</v>
          </cell>
          <cell r="D1347" t="str">
            <v>短期票券利息収入(TWM)</v>
          </cell>
        </row>
        <row r="1348">
          <cell r="A1348" t="str">
            <v>hdr4ta042</v>
          </cell>
          <cell r="C1348" t="str">
            <v>ta039</v>
          </cell>
          <cell r="D1348" t="str">
            <v>貸借対照表に関する事項</v>
          </cell>
        </row>
        <row r="1349">
          <cell r="A1349" t="str">
            <v>hdr4ta043</v>
          </cell>
          <cell r="C1349" t="str">
            <v>ta040</v>
          </cell>
          <cell r="D1349" t="str">
            <v>&lt;担保資産残高&gt;</v>
          </cell>
        </row>
        <row r="1350">
          <cell r="A1350" t="str">
            <v>hdr4ta044</v>
          </cell>
          <cell r="C1350" t="str">
            <v>ta041</v>
          </cell>
          <cell r="D1350" t="str">
            <v>&lt;担保付債務残高&gt;</v>
          </cell>
        </row>
        <row r="1351">
          <cell r="A1351" t="str">
            <v>hdr4te001</v>
          </cell>
          <cell r="C1351" t="str">
            <v>ta042</v>
          </cell>
          <cell r="D1351" t="str">
            <v>転換社債</v>
          </cell>
        </row>
        <row r="1352">
          <cell r="A1352" t="str">
            <v>hdr4te002</v>
          </cell>
          <cell r="C1352" t="str">
            <v>ta043</v>
          </cell>
          <cell r="D1352" t="str">
            <v>摘要</v>
          </cell>
        </row>
        <row r="1353">
          <cell r="A1353" t="str">
            <v>hdr4te003</v>
          </cell>
          <cell r="C1353" t="str">
            <v>ta044</v>
          </cell>
          <cell r="D1353" t="str">
            <v>転リース</v>
          </cell>
        </row>
        <row r="1354">
          <cell r="A1354" t="str">
            <v>hdr4te004</v>
          </cell>
          <cell r="C1354" t="str">
            <v>ti001</v>
          </cell>
          <cell r="D1354" t="str">
            <v>転換社債－期末</v>
          </cell>
        </row>
        <row r="1355">
          <cell r="A1355" t="str">
            <v>hdr4te005</v>
          </cell>
          <cell r="C1355" t="str">
            <v>ti002</v>
          </cell>
          <cell r="D1355" t="str">
            <v>定率法(D)/定額法(S)</v>
          </cell>
        </row>
        <row r="1356">
          <cell r="A1356" t="str">
            <v>hdr4te006</v>
          </cell>
          <cell r="C1356" t="str">
            <v>ti003</v>
          </cell>
          <cell r="D1356" t="str">
            <v>手形割引高</v>
          </cell>
        </row>
        <row r="1357">
          <cell r="A1357" t="str">
            <v>hdr4ti001</v>
          </cell>
          <cell r="C1357" t="str">
            <v>ti004</v>
          </cell>
          <cell r="D1357" t="str">
            <v>遅延日数</v>
          </cell>
        </row>
        <row r="1358">
          <cell r="A1358" t="str">
            <v>hdr4ti002</v>
          </cell>
          <cell r="C1358" t="str">
            <v>ti005</v>
          </cell>
          <cell r="D1358" t="str">
            <v>遅延顧客リスト</v>
          </cell>
        </row>
        <row r="1359">
          <cell r="A1359" t="str">
            <v>hdr4ti003</v>
          </cell>
          <cell r="C1359" t="str">
            <v>ti006</v>
          </cell>
          <cell r="D1359" t="str">
            <v>遅延理由及び回収可能性</v>
          </cell>
        </row>
        <row r="1360">
          <cell r="A1360" t="str">
            <v>hdr4ti004</v>
          </cell>
          <cell r="C1360" t="str">
            <v>te001</v>
          </cell>
          <cell r="D1360" t="str">
            <v>遅延売掛金</v>
          </cell>
        </row>
        <row r="1361">
          <cell r="A1361" t="str">
            <v>hdr4ti005</v>
          </cell>
          <cell r="C1361" t="str">
            <v>te002</v>
          </cell>
          <cell r="D1361" t="str">
            <v>賃上実施月</v>
          </cell>
        </row>
        <row r="1362">
          <cell r="A1362" t="str">
            <v>hdr4ti006</v>
          </cell>
          <cell r="C1362" t="str">
            <v>te003</v>
          </cell>
          <cell r="D1362" t="str">
            <v>賃貸収入(MLM)</v>
          </cell>
        </row>
        <row r="1363">
          <cell r="A1363" t="str">
            <v>hdr4to001</v>
          </cell>
          <cell r="C1363" t="str">
            <v>te004</v>
          </cell>
          <cell r="D1363" t="str">
            <v>当期</v>
          </cell>
        </row>
        <row r="1364">
          <cell r="A1364" t="str">
            <v>hdr4to002</v>
          </cell>
          <cell r="C1364" t="str">
            <v>te005</v>
          </cell>
          <cell r="D1364" t="str">
            <v>当月の主要事象</v>
          </cell>
        </row>
        <row r="1365">
          <cell r="A1365" t="str">
            <v>hdr4to003</v>
          </cell>
          <cell r="C1365" t="str">
            <v>te006</v>
          </cell>
          <cell r="D1365" t="str">
            <v>当月振替</v>
          </cell>
        </row>
        <row r="1366">
          <cell r="A1366" t="str">
            <v>hdr4to004</v>
          </cell>
          <cell r="C1366" t="str">
            <v>de001</v>
          </cell>
          <cell r="D1366" t="str">
            <v>当月発生</v>
          </cell>
        </row>
        <row r="1367">
          <cell r="A1367" t="str">
            <v>hdr4to005</v>
          </cell>
          <cell r="C1367" t="str">
            <v>de002</v>
          </cell>
          <cell r="D1367" t="str">
            <v>当月末現在</v>
          </cell>
        </row>
        <row r="1368">
          <cell r="A1368" t="str">
            <v>hdr4to006</v>
          </cell>
          <cell r="C1368" t="str">
            <v>de003</v>
          </cell>
          <cell r="D1368" t="str">
            <v>取引通貨明細</v>
          </cell>
        </row>
        <row r="1369">
          <cell r="A1369" t="str">
            <v>hdr4to007</v>
          </cell>
          <cell r="C1369" t="str">
            <v>ty001</v>
          </cell>
          <cell r="D1369" t="str">
            <v>取引通貨</v>
          </cell>
        </row>
        <row r="1370">
          <cell r="A1370" t="str">
            <v>hdr4to008</v>
          </cell>
          <cell r="C1370" t="str">
            <v>ty002</v>
          </cell>
          <cell r="D1370" t="str">
            <v>取引通貨コード</v>
          </cell>
        </row>
        <row r="1371">
          <cell r="A1371" t="str">
            <v>hdr4to009</v>
          </cell>
          <cell r="C1371" t="str">
            <v>ty003</v>
          </cell>
          <cell r="D1371" t="str">
            <v>投資有価証券</v>
          </cell>
        </row>
        <row r="1372">
          <cell r="A1372" t="str">
            <v>hdr4to010</v>
          </cell>
          <cell r="C1372" t="str">
            <v>ty004</v>
          </cell>
          <cell r="D1372" t="str">
            <v>特別仕様</v>
          </cell>
        </row>
        <row r="1373">
          <cell r="A1373" t="str">
            <v>hdr4to011</v>
          </cell>
          <cell r="C1373" t="str">
            <v>ty005</v>
          </cell>
          <cell r="D1373" t="str">
            <v>東南アジア</v>
          </cell>
        </row>
        <row r="1374">
          <cell r="A1374" t="str">
            <v>hdr4to012</v>
          </cell>
          <cell r="C1374" t="str">
            <v>ty006</v>
          </cell>
          <cell r="D1374" t="str">
            <v>当期製品製造原価</v>
          </cell>
        </row>
        <row r="1375">
          <cell r="A1375" t="str">
            <v>hdr4to013</v>
          </cell>
          <cell r="C1375" t="str">
            <v>ty007</v>
          </cell>
          <cell r="D1375" t="str">
            <v>当期製造原価中のMMK供給材料費</v>
          </cell>
        </row>
        <row r="1376">
          <cell r="A1376" t="str">
            <v>hdr4to014</v>
          </cell>
          <cell r="C1376" t="str">
            <v>ty008</v>
          </cell>
          <cell r="D1376" t="str">
            <v>当期間発生</v>
          </cell>
        </row>
        <row r="1377">
          <cell r="A1377" t="str">
            <v>hdr4to015</v>
          </cell>
          <cell r="C1377" t="str">
            <v>ty009</v>
          </cell>
          <cell r="D1377" t="str">
            <v>当期減価償却費</v>
          </cell>
        </row>
        <row r="1378">
          <cell r="A1378" t="str">
            <v>hdr4to016</v>
          </cell>
          <cell r="C1378" t="str">
            <v>ty010</v>
          </cell>
          <cell r="D1378" t="str">
            <v>土地</v>
          </cell>
        </row>
        <row r="1379">
          <cell r="A1379" t="str">
            <v>hdr4to017</v>
          </cell>
          <cell r="C1379" t="str">
            <v>ty011</v>
          </cell>
          <cell r="D1379" t="str">
            <v>土地使用権</v>
          </cell>
        </row>
        <row r="1380">
          <cell r="A1380" t="str">
            <v>hdr4to018</v>
          </cell>
          <cell r="C1380" t="str">
            <v>ty012</v>
          </cell>
          <cell r="D1380" t="str">
            <v>投資有価証券－期末</v>
          </cell>
        </row>
        <row r="1381">
          <cell r="A1381" t="str">
            <v>hdr4to019</v>
          </cell>
          <cell r="C1381" t="str">
            <v>ty013</v>
          </cell>
          <cell r="D1381" t="str">
            <v>当期製造原価中のTKM供給材料費</v>
          </cell>
        </row>
        <row r="1382">
          <cell r="A1382" t="str">
            <v>hdr4to020</v>
          </cell>
          <cell r="C1382" t="str">
            <v>ty014</v>
          </cell>
          <cell r="D1382" t="str">
            <v>当期製造原価中のHKSEIKO供給材料費</v>
          </cell>
        </row>
        <row r="1383">
          <cell r="A1383" t="str">
            <v>hdr4to021</v>
          </cell>
          <cell r="C1383" t="str">
            <v>ty015</v>
          </cell>
          <cell r="D1383" t="str">
            <v>投資低減税額(TWM,TKM)</v>
          </cell>
        </row>
        <row r="1384">
          <cell r="A1384" t="str">
            <v>hdr4to022</v>
          </cell>
          <cell r="C1384" t="str">
            <v>ty016</v>
          </cell>
          <cell r="D1384" t="str">
            <v>当期支払リース料</v>
          </cell>
        </row>
        <row r="1385">
          <cell r="A1385" t="str">
            <v>hdr4to023</v>
          </cell>
          <cell r="C1385" t="str">
            <v>ty017</v>
          </cell>
          <cell r="D1385" t="str">
            <v>当期製造原価中のDGM供給材料費</v>
          </cell>
        </row>
        <row r="1386">
          <cell r="A1386" t="str">
            <v>hdr4to024</v>
          </cell>
          <cell r="C1386" t="str">
            <v>ty018</v>
          </cell>
          <cell r="D1386" t="str">
            <v>当期製造原価中のLDM供給材料費</v>
          </cell>
        </row>
        <row r="1387">
          <cell r="A1387" t="str">
            <v>hdr4ty001</v>
          </cell>
          <cell r="C1387" t="str">
            <v>ty018</v>
          </cell>
          <cell r="D1387" t="str">
            <v>貯蔵品</v>
          </cell>
        </row>
        <row r="1388">
          <cell r="A1388" t="str">
            <v>hdr4ty002</v>
          </cell>
          <cell r="C1388" t="str">
            <v>ty019</v>
          </cell>
          <cell r="D1388" t="str">
            <v>調整額</v>
          </cell>
        </row>
        <row r="1389">
          <cell r="A1389" t="str">
            <v>hdr4ty003</v>
          </cell>
          <cell r="C1389" t="str">
            <v>ty020</v>
          </cell>
          <cell r="D1389" t="str">
            <v>長期</v>
          </cell>
        </row>
        <row r="1390">
          <cell r="A1390" t="str">
            <v>hdr4ty004</v>
          </cell>
          <cell r="C1390" t="str">
            <v>ty021</v>
          </cell>
          <cell r="D1390" t="str">
            <v>長期貸付金</v>
          </cell>
        </row>
        <row r="1391">
          <cell r="A1391" t="str">
            <v>hdr4ty005</v>
          </cell>
          <cell r="C1391" t="str">
            <v>ty022</v>
          </cell>
          <cell r="D1391" t="str">
            <v>長期借入金</v>
          </cell>
        </row>
        <row r="1392">
          <cell r="A1392" t="str">
            <v>hdr4ty006</v>
          </cell>
          <cell r="C1392" t="str">
            <v>ty023</v>
          </cell>
          <cell r="D1392" t="str">
            <v>中途解約　（Ｙ:可、Ｎ:不可）</v>
          </cell>
        </row>
        <row r="1393">
          <cell r="A1393" t="str">
            <v>hdr4ty007</v>
          </cell>
          <cell r="C1393" t="str">
            <v>ty024</v>
          </cell>
          <cell r="D1393" t="str">
            <v>長期貸付金－期末</v>
          </cell>
        </row>
        <row r="1394">
          <cell r="A1394" t="str">
            <v>hdr4ty008</v>
          </cell>
          <cell r="C1394" t="str">
            <v>ty025</v>
          </cell>
          <cell r="D1394" t="str">
            <v>長期借入金－期末</v>
          </cell>
        </row>
        <row r="1395">
          <cell r="A1395" t="str">
            <v>hdr4ty009</v>
          </cell>
          <cell r="C1395" t="str">
            <v>ty026</v>
          </cell>
          <cell r="D1395" t="str">
            <v>長期貸付金－ｸﾞﾙｰﾌﾟ－期首</v>
          </cell>
        </row>
        <row r="1396">
          <cell r="A1396" t="str">
            <v>hdr4ty010</v>
          </cell>
          <cell r="C1396" t="str">
            <v>ty027</v>
          </cell>
          <cell r="D1396" t="str">
            <v>長期貸付金－一般－期首</v>
          </cell>
        </row>
        <row r="1397">
          <cell r="A1397" t="str">
            <v>hdr4ty011</v>
          </cell>
          <cell r="C1397" t="str">
            <v>ty028</v>
          </cell>
          <cell r="D1397" t="str">
            <v>長期借入金－ｸﾞﾙｰﾌﾟ－期首</v>
          </cell>
        </row>
        <row r="1398">
          <cell r="A1398" t="str">
            <v>hdr4ty012</v>
          </cell>
          <cell r="C1398" t="str">
            <v>to001</v>
          </cell>
          <cell r="D1398" t="str">
            <v>長期借入金－一般－期首</v>
          </cell>
        </row>
        <row r="1399">
          <cell r="A1399" t="str">
            <v>hdr4ty013</v>
          </cell>
          <cell r="C1399" t="str">
            <v>to002</v>
          </cell>
          <cell r="D1399" t="str">
            <v>長期定期預金</v>
          </cell>
        </row>
        <row r="1400">
          <cell r="A1400" t="str">
            <v>hdr4ty014</v>
          </cell>
          <cell r="C1400" t="str">
            <v>to003</v>
          </cell>
          <cell r="D1400" t="str">
            <v>長期定期預金－期末</v>
          </cell>
        </row>
        <row r="1401">
          <cell r="A1401" t="str">
            <v>hdr4ty015</v>
          </cell>
          <cell r="C1401" t="str">
            <v>to004</v>
          </cell>
          <cell r="D1401" t="str">
            <v>長期前払費用</v>
          </cell>
        </row>
        <row r="1402">
          <cell r="A1402" t="str">
            <v>hdr4ty016</v>
          </cell>
          <cell r="C1402" t="str">
            <v>to005</v>
          </cell>
          <cell r="D1402" t="str">
            <v>長期前払費用－期末</v>
          </cell>
        </row>
        <row r="1403">
          <cell r="A1403" t="str">
            <v>hdr4ty017</v>
          </cell>
          <cell r="C1403" t="str">
            <v>to006</v>
          </cell>
          <cell r="D1403" t="str">
            <v>長期貸付金－ｸﾞﾙｰﾌﾟ</v>
          </cell>
        </row>
        <row r="1404">
          <cell r="A1404" t="str">
            <v>hdr4ty018</v>
          </cell>
          <cell r="C1404" t="str">
            <v>to007</v>
          </cell>
          <cell r="D1404" t="str">
            <v>長期貸付金－一般</v>
          </cell>
        </row>
        <row r="1405">
          <cell r="A1405" t="str">
            <v>hdr4ty019</v>
          </cell>
          <cell r="C1405" t="str">
            <v>to008</v>
          </cell>
          <cell r="D1405" t="str">
            <v>長期借入金－ｸﾞﾙｰﾌﾟ</v>
          </cell>
        </row>
        <row r="1406">
          <cell r="A1406" t="str">
            <v>hdr4ty020</v>
          </cell>
          <cell r="C1406" t="str">
            <v>to009</v>
          </cell>
          <cell r="D1406" t="str">
            <v>長期借入金－一般</v>
          </cell>
        </row>
        <row r="1407">
          <cell r="A1407" t="str">
            <v>hdr4ty021</v>
          </cell>
          <cell r="C1407" t="str">
            <v>to010</v>
          </cell>
          <cell r="D1407" t="str">
            <v>直接労務費</v>
          </cell>
        </row>
        <row r="1408">
          <cell r="A1408" t="str">
            <v>hdr4ty022</v>
          </cell>
          <cell r="C1408" t="str">
            <v>to011</v>
          </cell>
          <cell r="D1408" t="str">
            <v>(調整項目)</v>
          </cell>
        </row>
        <row r="1409">
          <cell r="A1409" t="str">
            <v>hdr4ty023</v>
          </cell>
          <cell r="C1409" t="str">
            <v>to012</v>
          </cell>
          <cell r="D1409" t="str">
            <v>(中間決算用)</v>
          </cell>
        </row>
        <row r="1410">
          <cell r="A1410" t="str">
            <v>hdr4ty024</v>
          </cell>
          <cell r="C1410" t="str">
            <v>to013</v>
          </cell>
          <cell r="D1410" t="str">
            <v>(中間税金費用)</v>
          </cell>
        </row>
        <row r="1411">
          <cell r="A1411" t="str">
            <v>hdr4ty025</v>
          </cell>
          <cell r="C1411" t="str">
            <v>to014</v>
          </cell>
          <cell r="D1411" t="str">
            <v>中間税金費用</v>
          </cell>
        </row>
        <row r="1412">
          <cell r="A1412" t="str">
            <v>hdr4ty026</v>
          </cell>
          <cell r="C1412" t="str">
            <v>to015</v>
          </cell>
          <cell r="D1412" t="str">
            <v>中間</v>
          </cell>
        </row>
        <row r="1413">
          <cell r="A1413" t="str">
            <v>hdr4ty027</v>
          </cell>
          <cell r="C1413" t="str">
            <v>to016</v>
          </cell>
          <cell r="D1413" t="str">
            <v>注記明細</v>
          </cell>
        </row>
        <row r="1414">
          <cell r="A1414" t="str">
            <v>hdr4ty028</v>
          </cell>
          <cell r="C1414" t="str">
            <v>to017</v>
          </cell>
          <cell r="D1414" t="str">
            <v>帳簿金額</v>
          </cell>
        </row>
        <row r="1415">
          <cell r="A1415" t="str">
            <v>hdr4uu001</v>
          </cell>
          <cell r="C1415" t="str">
            <v>to018</v>
          </cell>
          <cell r="D1415" t="str">
            <v>受取配当金明細（MMK/HKM/TWM/TKM/DLMのみ）</v>
          </cell>
        </row>
        <row r="1416">
          <cell r="A1416" t="str">
            <v>hdr4uu002</v>
          </cell>
          <cell r="C1416" t="str">
            <v>to019</v>
          </cell>
          <cell r="D1416" t="str">
            <v>売掛債権残高</v>
          </cell>
        </row>
        <row r="1417">
          <cell r="A1417" t="str">
            <v>hdr4uu003</v>
          </cell>
          <cell r="C1417" t="str">
            <v>to020</v>
          </cell>
          <cell r="D1417" t="str">
            <v>売掛債権遅延明細</v>
          </cell>
        </row>
        <row r="1418">
          <cell r="A1418" t="str">
            <v>hdr4uu004</v>
          </cell>
          <cell r="C1418" t="str">
            <v>to021</v>
          </cell>
          <cell r="D1418" t="str">
            <v>売上原価計算書（科目別・部門別）</v>
          </cell>
        </row>
        <row r="1419">
          <cell r="A1419" t="str">
            <v>hdr4uu005</v>
          </cell>
          <cell r="C1419" t="str">
            <v>to022</v>
          </cell>
          <cell r="D1419" t="str">
            <v>売上原価明細</v>
          </cell>
        </row>
        <row r="1420">
          <cell r="A1420" t="str">
            <v>hdr4uu006</v>
          </cell>
          <cell r="C1420" t="str">
            <v>to023</v>
          </cell>
          <cell r="D1420" t="str">
            <v>売上原価明細（科目別・部門別）</v>
          </cell>
        </row>
        <row r="1421">
          <cell r="A1421" t="str">
            <v>hdr4uu007</v>
          </cell>
          <cell r="C1421" t="str">
            <v>na001</v>
          </cell>
          <cell r="D1421" t="str">
            <v>売上明細</v>
          </cell>
        </row>
        <row r="1422">
          <cell r="A1422" t="str">
            <v>hdr4uu008</v>
          </cell>
          <cell r="C1422" t="str">
            <v>ni001</v>
          </cell>
          <cell r="D1422" t="str">
            <v>売上明細（科目別・部門別）</v>
          </cell>
        </row>
        <row r="1423">
          <cell r="A1423" t="str">
            <v>hdr4uu009</v>
          </cell>
          <cell r="C1423" t="str">
            <v>ni002</v>
          </cell>
          <cell r="D1423" t="str">
            <v>売上先 ／ 売上高</v>
          </cell>
        </row>
        <row r="1424">
          <cell r="A1424" t="str">
            <v>hdr4uu010</v>
          </cell>
          <cell r="C1424" t="str">
            <v>ny001</v>
          </cell>
          <cell r="D1424" t="str">
            <v>売上先 ／ 売上原価</v>
          </cell>
        </row>
        <row r="1425">
          <cell r="A1425" t="str">
            <v>hdr4uu011</v>
          </cell>
          <cell r="C1425" t="str">
            <v>ny002</v>
          </cell>
          <cell r="D1425" t="str">
            <v>受取手数料</v>
          </cell>
        </row>
        <row r="1426">
          <cell r="A1426" t="str">
            <v>hdr4uu012</v>
          </cell>
          <cell r="C1426" t="str">
            <v>ne001</v>
          </cell>
          <cell r="D1426" t="str">
            <v>受取技術援助料</v>
          </cell>
        </row>
        <row r="1427">
          <cell r="A1427" t="str">
            <v>hdr4uu013</v>
          </cell>
          <cell r="C1427" t="str">
            <v>ne002</v>
          </cell>
          <cell r="D1427" t="str">
            <v>売上原価</v>
          </cell>
        </row>
        <row r="1428">
          <cell r="A1428" t="str">
            <v>hdr4uu014</v>
          </cell>
          <cell r="C1428" t="str">
            <v>ne003</v>
          </cell>
          <cell r="D1428" t="str">
            <v>売上高</v>
          </cell>
        </row>
        <row r="1429">
          <cell r="A1429" t="str">
            <v>hdr4uu015</v>
          </cell>
          <cell r="C1429" t="str">
            <v>ne004</v>
          </cell>
          <cell r="D1429" t="str">
            <v>受取利息(MLM)</v>
          </cell>
        </row>
        <row r="1430">
          <cell r="A1430" t="str">
            <v>hdr4wa001</v>
          </cell>
          <cell r="C1430" t="str">
            <v>ne005</v>
          </cell>
          <cell r="D1430" t="str">
            <v>割安購入選択権</v>
          </cell>
        </row>
        <row r="1431">
          <cell r="A1431" t="str">
            <v>hdr4ya001</v>
          </cell>
          <cell r="C1431" t="str">
            <v>ha001</v>
          </cell>
          <cell r="D1431" t="str">
            <v>役員退職金繰入額</v>
          </cell>
        </row>
        <row r="1432">
          <cell r="A1432" t="str">
            <v>hdr4ya002</v>
          </cell>
          <cell r="C1432" t="str">
            <v>ha002</v>
          </cell>
          <cell r="D1432" t="str">
            <v>役員退職金取崩額</v>
          </cell>
        </row>
        <row r="1433">
          <cell r="A1433" t="str">
            <v>hdr4ya003</v>
          </cell>
          <cell r="C1433" t="str">
            <v>ha003</v>
          </cell>
          <cell r="D1433" t="str">
            <v>役員退職年金積立基金</v>
          </cell>
        </row>
        <row r="1434">
          <cell r="A1434" t="str">
            <v>hdr4ya004</v>
          </cell>
          <cell r="C1434" t="str">
            <v>ha004</v>
          </cell>
          <cell r="D1434" t="str">
            <v>役員退職年金積立基金－期末</v>
          </cell>
        </row>
        <row r="1435">
          <cell r="A1435" t="str">
            <v>hdr4ya005</v>
          </cell>
          <cell r="C1435" t="str">
            <v>ha005</v>
          </cell>
          <cell r="D1435" t="str">
            <v>役員保険積金</v>
          </cell>
        </row>
        <row r="1436">
          <cell r="A1436" t="str">
            <v>hdr4ya006</v>
          </cell>
          <cell r="C1436" t="str">
            <v>ha006</v>
          </cell>
          <cell r="D1436" t="str">
            <v>役員保険積金－期末</v>
          </cell>
        </row>
        <row r="1437">
          <cell r="A1437" t="str">
            <v>hdr4yo001</v>
          </cell>
          <cell r="C1437" t="str">
            <v>ha007</v>
          </cell>
          <cell r="D1437" t="str">
            <v>予算</v>
          </cell>
        </row>
        <row r="1438">
          <cell r="A1438" t="str">
            <v>hdr4yo002</v>
          </cell>
          <cell r="C1438" t="str">
            <v>ha008</v>
          </cell>
          <cell r="D1438" t="str">
            <v>予算対比</v>
          </cell>
        </row>
        <row r="1439">
          <cell r="A1439" t="str">
            <v>hdr4yo003</v>
          </cell>
          <cell r="C1439" t="str">
            <v>ha009</v>
          </cell>
          <cell r="D1439" t="str">
            <v>預金－現金同等物－期首</v>
          </cell>
        </row>
        <row r="1440">
          <cell r="A1440" t="str">
            <v>hdr4yo004</v>
          </cell>
          <cell r="C1440" t="str">
            <v>ha010</v>
          </cell>
          <cell r="D1440" t="str">
            <v>預金－その他－期首</v>
          </cell>
        </row>
        <row r="1441">
          <cell r="A1441" t="str">
            <v>hdr4yo005</v>
          </cell>
          <cell r="C1441" t="str">
            <v>ha011</v>
          </cell>
          <cell r="D1441" t="str">
            <v>預金</v>
          </cell>
        </row>
        <row r="1442">
          <cell r="A1442" t="str">
            <v>hdr4yo006</v>
          </cell>
          <cell r="C1442" t="str">
            <v>ha012</v>
          </cell>
          <cell r="D1442" t="str">
            <v>預金－現金同等物</v>
          </cell>
        </row>
        <row r="1443">
          <cell r="A1443" t="str">
            <v>hdr4yo007</v>
          </cell>
          <cell r="C1443" t="str">
            <v>ba001</v>
          </cell>
          <cell r="D1443" t="str">
            <v>預金－その他</v>
          </cell>
        </row>
        <row r="1444">
          <cell r="A1444" t="str">
            <v>hdr4yo008</v>
          </cell>
          <cell r="C1444" t="str">
            <v>ba002</v>
          </cell>
          <cell r="D1444" t="str">
            <v>預金－期末</v>
          </cell>
        </row>
        <row r="1445">
          <cell r="A1445" t="str">
            <v>hdr4yo009</v>
          </cell>
          <cell r="C1445" t="str">
            <v>ba003</v>
          </cell>
          <cell r="D1445" t="str">
            <v>翌期</v>
          </cell>
        </row>
        <row r="1446">
          <cell r="A1446" t="str">
            <v>hdr4yo010</v>
          </cell>
          <cell r="C1446" t="str">
            <v>ba004</v>
          </cell>
          <cell r="D1446" t="str">
            <v>予想年間税引前当期純利益</v>
          </cell>
        </row>
        <row r="1447">
          <cell r="A1447" t="str">
            <v>hdr4yo011</v>
          </cell>
          <cell r="C1447" t="str">
            <v>hi001</v>
          </cell>
          <cell r="D1447" t="str">
            <v>予想年間税額控除額</v>
          </cell>
        </row>
        <row r="1448">
          <cell r="A1448" t="str">
            <v>hdr4yo012</v>
          </cell>
          <cell r="C1448" t="str">
            <v>hi002</v>
          </cell>
          <cell r="D1448" t="str">
            <v>予想年間その他税額</v>
          </cell>
        </row>
        <row r="1449">
          <cell r="A1449" t="str">
            <v>hdr4yo013</v>
          </cell>
          <cell r="C1449" t="str">
            <v>hi003</v>
          </cell>
          <cell r="D1449" t="str">
            <v>予想年間税金費用</v>
          </cell>
        </row>
        <row r="1450">
          <cell r="A1450" t="str">
            <v>hdr4yo014</v>
          </cell>
          <cell r="C1450" t="str">
            <v>hi004</v>
          </cell>
          <cell r="D1450" t="str">
            <v>要約</v>
          </cell>
        </row>
        <row r="1451">
          <cell r="A1451" t="str">
            <v>hdr4yu001</v>
          </cell>
          <cell r="C1451" t="str">
            <v>hi005</v>
          </cell>
          <cell r="D1451" t="str">
            <v>有価証券報告書（受注残）</v>
          </cell>
        </row>
        <row r="1452">
          <cell r="A1452" t="str">
            <v>hdr4yu002</v>
          </cell>
          <cell r="C1452" t="str">
            <v>hi006</v>
          </cell>
          <cell r="D1452" t="str">
            <v>有価証券報告書（生産計画）</v>
          </cell>
        </row>
        <row r="1453">
          <cell r="A1453" t="str">
            <v>hdr4yu003</v>
          </cell>
          <cell r="C1453" t="str">
            <v>hy001</v>
          </cell>
          <cell r="D1453" t="str">
            <v>有形固定資産</v>
          </cell>
        </row>
        <row r="1454">
          <cell r="A1454" t="str">
            <v>hdr4yu004</v>
          </cell>
          <cell r="C1454" t="str">
            <v>bi001</v>
          </cell>
          <cell r="D1454" t="str">
            <v>有価証券</v>
          </cell>
        </row>
        <row r="1455">
          <cell r="A1455" t="str">
            <v>hdr4yu005</v>
          </cell>
          <cell r="C1455" t="str">
            <v>bu001</v>
          </cell>
          <cell r="D1455" t="str">
            <v>有価証券－期末</v>
          </cell>
        </row>
        <row r="1456">
          <cell r="A1456" t="str">
            <v>hdr4yu006</v>
          </cell>
          <cell r="C1456" t="str">
            <v>bu002</v>
          </cell>
          <cell r="D1456" t="str">
            <v>有価証券－現金同等物－期首</v>
          </cell>
        </row>
        <row r="1457">
          <cell r="A1457" t="str">
            <v>hdr4yu007</v>
          </cell>
          <cell r="C1457" t="str">
            <v>bu003</v>
          </cell>
          <cell r="D1457" t="str">
            <v>有価証券－その他－期首</v>
          </cell>
        </row>
        <row r="1458">
          <cell r="A1458" t="str">
            <v>hdr4yu008</v>
          </cell>
          <cell r="C1458" t="str">
            <v>bu004</v>
          </cell>
          <cell r="D1458" t="str">
            <v>有価証券－現金同等物</v>
          </cell>
        </row>
        <row r="1459">
          <cell r="A1459" t="str">
            <v>hdr4yu009</v>
          </cell>
          <cell r="C1459" t="str">
            <v>bu005</v>
          </cell>
          <cell r="D1459" t="str">
            <v>有価証券－その他</v>
          </cell>
        </row>
        <row r="1460">
          <cell r="A1460" t="str">
            <v>hdr4yu010</v>
          </cell>
          <cell r="C1460" t="str">
            <v>bu006</v>
          </cell>
          <cell r="D1460" t="str">
            <v>有価証券関係</v>
          </cell>
        </row>
        <row r="1461">
          <cell r="A1461" t="str">
            <v>hdr4yu011</v>
          </cell>
          <cell r="C1461" t="str">
            <v>ho001</v>
          </cell>
          <cell r="D1461" t="str">
            <v>有価証券関係－時価の算定方法</v>
          </cell>
        </row>
        <row r="1462">
          <cell r="A1462" t="str">
            <v>hdr4yu012</v>
          </cell>
          <cell r="C1462" t="str">
            <v>ho002</v>
          </cell>
          <cell r="D1462" t="str">
            <v>有価証券関係－有価証券の売却</v>
          </cell>
        </row>
        <row r="1463">
          <cell r="A1463" t="str">
            <v>hdr4za001</v>
          </cell>
          <cell r="C1463" t="str">
            <v>ho003</v>
          </cell>
          <cell r="D1463" t="str">
            <v>材料</v>
          </cell>
        </row>
        <row r="1464">
          <cell r="A1464" t="str">
            <v>hdr4za002</v>
          </cell>
          <cell r="C1464" t="str">
            <v>ho004</v>
          </cell>
          <cell r="D1464" t="str">
            <v>財務諸表入力シート</v>
          </cell>
        </row>
        <row r="1465">
          <cell r="A1465" t="str">
            <v>hdr4za003</v>
          </cell>
          <cell r="C1465" t="str">
            <v>ho005</v>
          </cell>
          <cell r="D1465" t="str">
            <v>材料売上</v>
          </cell>
        </row>
        <row r="1466">
          <cell r="A1466" t="str">
            <v>hdr4za004</v>
          </cell>
          <cell r="C1466" t="str">
            <v>ma001</v>
          </cell>
          <cell r="D1466" t="str">
            <v>材料－期首</v>
          </cell>
        </row>
        <row r="1467">
          <cell r="A1467" t="str">
            <v>hdr4za005</v>
          </cell>
          <cell r="C1467" t="str">
            <v>mi001</v>
          </cell>
          <cell r="D1467" t="str">
            <v>残存価格</v>
          </cell>
        </row>
        <row r="1468">
          <cell r="A1468" t="str">
            <v>hdr4za006</v>
          </cell>
          <cell r="C1468" t="str">
            <v>mi002</v>
          </cell>
          <cell r="D1468" t="str">
            <v>残存価格(%)</v>
          </cell>
        </row>
        <row r="1469">
          <cell r="A1469" t="str">
            <v>hdr4za007</v>
          </cell>
          <cell r="C1469" t="str">
            <v>mi003</v>
          </cell>
          <cell r="D1469" t="str">
            <v>材料費</v>
          </cell>
        </row>
        <row r="1470">
          <cell r="A1470" t="str">
            <v>hdr4ze001</v>
          </cell>
          <cell r="C1470" t="str">
            <v>mi004</v>
          </cell>
          <cell r="D1470" t="str">
            <v>税効果明細</v>
          </cell>
        </row>
        <row r="1471">
          <cell r="A1471" t="str">
            <v>hdr4ze002</v>
          </cell>
          <cell r="C1471" t="str">
            <v>mi005</v>
          </cell>
          <cell r="D1471" t="str">
            <v>前期</v>
          </cell>
        </row>
        <row r="1472">
          <cell r="A1472" t="str">
            <v>hdr4ze003</v>
          </cell>
          <cell r="C1472" t="str">
            <v>mi006</v>
          </cell>
          <cell r="D1472" t="str">
            <v>前期対比</v>
          </cell>
        </row>
        <row r="1473">
          <cell r="A1473" t="str">
            <v>hdr4ze004</v>
          </cell>
          <cell r="C1473" t="str">
            <v>mi007</v>
          </cell>
          <cell r="D1473" t="str">
            <v>前期末</v>
          </cell>
        </row>
        <row r="1474">
          <cell r="A1474" t="str">
            <v>hdr4ze005</v>
          </cell>
          <cell r="C1474" t="str">
            <v>mi008</v>
          </cell>
          <cell r="D1474" t="str">
            <v>税金等調整前当期純利益</v>
          </cell>
        </row>
        <row r="1475">
          <cell r="A1475" t="str">
            <v>hdr4ze006</v>
          </cell>
          <cell r="C1475" t="str">
            <v>mi009</v>
          </cell>
          <cell r="D1475" t="str">
            <v>税務上計算数値</v>
          </cell>
        </row>
        <row r="1476">
          <cell r="A1476" t="str">
            <v>hdr4ze007</v>
          </cell>
          <cell r="C1476" t="str">
            <v>mi010</v>
          </cell>
          <cell r="D1476" t="str">
            <v>税率</v>
          </cell>
        </row>
        <row r="1477">
          <cell r="A1477" t="str">
            <v>hdr4ze008</v>
          </cell>
          <cell r="C1477" t="str">
            <v>mi011</v>
          </cell>
          <cell r="D1477" t="str">
            <v>税額</v>
          </cell>
        </row>
        <row r="1478">
          <cell r="A1478" t="str">
            <v>hdr4ze009</v>
          </cell>
          <cell r="C1478" t="str">
            <v>mi012</v>
          </cell>
          <cell r="D1478" t="str">
            <v>(税金計算後)</v>
          </cell>
        </row>
        <row r="1479">
          <cell r="A1479" t="str">
            <v>hdr4ze010</v>
          </cell>
          <cell r="C1479" t="str">
            <v>mi013</v>
          </cell>
          <cell r="D1479" t="str">
            <v>(税金費用差異分析)</v>
          </cell>
        </row>
        <row r="1480">
          <cell r="A1480" t="str">
            <v>hdr4ze011</v>
          </cell>
          <cell r="C1480" t="str">
            <v>mi014</v>
          </cell>
          <cell r="D1480" t="str">
            <v>(税金調整)</v>
          </cell>
        </row>
        <row r="1481">
          <cell r="A1481" t="str">
            <v>hdr4ze012</v>
          </cell>
          <cell r="C1481" t="str">
            <v>mi015</v>
          </cell>
          <cell r="D1481" t="str">
            <v>税引前中間純利益</v>
          </cell>
        </row>
        <row r="1482">
          <cell r="A1482" t="str">
            <v>hdr4zo001</v>
          </cell>
          <cell r="C1482" t="str">
            <v>mu001</v>
          </cell>
          <cell r="D1482" t="str">
            <v>増減率</v>
          </cell>
        </row>
        <row r="1483">
          <cell r="A1483" t="str">
            <v>hdr4zo002</v>
          </cell>
          <cell r="C1483" t="str">
            <v>me001</v>
          </cell>
          <cell r="D1483" t="str">
            <v>増加</v>
          </cell>
        </row>
        <row r="1484">
          <cell r="A1484" t="str">
            <v>hdr4zo003</v>
          </cell>
          <cell r="C1484" t="str">
            <v>me002</v>
          </cell>
          <cell r="D1484" t="str">
            <v>増減分析</v>
          </cell>
        </row>
        <row r="1485">
          <cell r="A1485" t="str">
            <v>hdr4zo004</v>
          </cell>
          <cell r="C1485" t="str">
            <v>mo001</v>
          </cell>
          <cell r="D1485" t="str">
            <v>増値税売上原価</v>
          </cell>
        </row>
        <row r="1486">
          <cell r="A1486" t="str">
            <v>hkm</v>
          </cell>
          <cell r="C1486" t="str">
            <v>ya001</v>
          </cell>
          <cell r="D1486" t="str">
            <v>HKM</v>
          </cell>
        </row>
        <row r="1487">
          <cell r="A1487" t="str">
            <v>HKM</v>
          </cell>
          <cell r="C1487" t="str">
            <v>ya002</v>
          </cell>
          <cell r="D1487" t="str">
            <v>HKM</v>
          </cell>
        </row>
        <row r="1488">
          <cell r="A1488" t="str">
            <v>hkseiko</v>
          </cell>
          <cell r="C1488" t="str">
            <v>ya003</v>
          </cell>
          <cell r="D1488" t="str">
            <v>HKSEIKO</v>
          </cell>
        </row>
        <row r="1489">
          <cell r="A1489" t="str">
            <v>HKSEIKO</v>
          </cell>
          <cell r="C1489" t="str">
            <v>ya004</v>
          </cell>
          <cell r="D1489" t="str">
            <v>HKSEIKO</v>
          </cell>
        </row>
        <row r="1490">
          <cell r="A1490" t="str">
            <v>jsm</v>
          </cell>
          <cell r="C1490" t="str">
            <v>ya005</v>
          </cell>
          <cell r="D1490" t="str">
            <v>JSM</v>
          </cell>
        </row>
        <row r="1491">
          <cell r="A1491" t="str">
            <v>JSM</v>
          </cell>
          <cell r="C1491" t="str">
            <v>ya006</v>
          </cell>
          <cell r="D1491" t="str">
            <v>JSM</v>
          </cell>
        </row>
        <row r="1492">
          <cell r="A1492" t="str">
            <v>mlm</v>
          </cell>
          <cell r="C1492" t="str">
            <v>yu001</v>
          </cell>
          <cell r="D1492" t="str">
            <v>MLM</v>
          </cell>
        </row>
        <row r="1493">
          <cell r="A1493" t="str">
            <v>MLM</v>
          </cell>
          <cell r="C1493" t="str">
            <v>yu002</v>
          </cell>
          <cell r="D1493" t="str">
            <v>MLM</v>
          </cell>
        </row>
        <row r="1494">
          <cell r="A1494" t="str">
            <v>mmk</v>
          </cell>
          <cell r="C1494" t="str">
            <v>yu003</v>
          </cell>
          <cell r="D1494" t="str">
            <v>MMK</v>
          </cell>
        </row>
        <row r="1495">
          <cell r="A1495" t="str">
            <v>MMK</v>
          </cell>
          <cell r="C1495" t="str">
            <v>yu004</v>
          </cell>
          <cell r="D1495" t="str">
            <v>MMK</v>
          </cell>
        </row>
        <row r="1496">
          <cell r="A1496" t="str">
            <v>nyo</v>
          </cell>
          <cell r="C1496" t="str">
            <v>yu005</v>
          </cell>
          <cell r="D1496" t="str">
            <v>NYO</v>
          </cell>
        </row>
        <row r="1497">
          <cell r="A1497" t="str">
            <v>NYO</v>
          </cell>
          <cell r="C1497" t="str">
            <v>yu006</v>
          </cell>
          <cell r="D1497" t="str">
            <v>NYO</v>
          </cell>
        </row>
        <row r="1498">
          <cell r="A1498" t="str">
            <v>seiko</v>
          </cell>
          <cell r="C1498" t="str">
            <v>yu007</v>
          </cell>
          <cell r="D1498" t="str">
            <v>SEIKO</v>
          </cell>
        </row>
        <row r="1499">
          <cell r="A1499" t="str">
            <v>SEIKO</v>
          </cell>
          <cell r="C1499" t="str">
            <v>yu008</v>
          </cell>
          <cell r="D1499" t="str">
            <v>SEIKO</v>
          </cell>
        </row>
        <row r="1500">
          <cell r="A1500" t="str">
            <v>spo</v>
          </cell>
          <cell r="C1500" t="str">
            <v>yu009</v>
          </cell>
          <cell r="D1500" t="str">
            <v>SPO</v>
          </cell>
        </row>
        <row r="1501">
          <cell r="A1501" t="str">
            <v>SPO</v>
          </cell>
          <cell r="C1501" t="str">
            <v>yu010</v>
          </cell>
          <cell r="D1501" t="str">
            <v>SPO</v>
          </cell>
        </row>
        <row r="1502">
          <cell r="A1502" t="str">
            <v>tkm</v>
          </cell>
          <cell r="C1502" t="str">
            <v>yu011</v>
          </cell>
          <cell r="D1502" t="str">
            <v>TKM</v>
          </cell>
        </row>
        <row r="1503">
          <cell r="A1503" t="str">
            <v>TKM</v>
          </cell>
          <cell r="C1503" t="str">
            <v>yu012</v>
          </cell>
          <cell r="D1503" t="str">
            <v>TKM</v>
          </cell>
        </row>
        <row r="1504">
          <cell r="A1504" t="str">
            <v>twm</v>
          </cell>
          <cell r="C1504" t="str">
            <v>yo001</v>
          </cell>
          <cell r="D1504" t="str">
            <v>TWM</v>
          </cell>
        </row>
        <row r="1505">
          <cell r="A1505" t="str">
            <v>TWM</v>
          </cell>
          <cell r="C1505" t="str">
            <v>yo002</v>
          </cell>
          <cell r="D1505" t="str">
            <v>TWM</v>
          </cell>
        </row>
        <row r="1506">
          <cell r="A1506" t="str">
            <v>twmhk</v>
          </cell>
          <cell r="C1506" t="str">
            <v>yo003</v>
          </cell>
          <cell r="D1506" t="str">
            <v>TWMHK</v>
          </cell>
        </row>
        <row r="1507">
          <cell r="A1507" t="str">
            <v>TWMHK</v>
          </cell>
          <cell r="C1507" t="str">
            <v>yo004</v>
          </cell>
          <cell r="D1507" t="str">
            <v>TWMHK</v>
          </cell>
        </row>
        <row r="1508">
          <cell r="A1508" t="str">
            <v>upo</v>
          </cell>
          <cell r="C1508" t="str">
            <v>yo005</v>
          </cell>
          <cell r="D1508" t="str">
            <v>UPO</v>
          </cell>
        </row>
        <row r="1509">
          <cell r="A1509" t="str">
            <v>UPO</v>
          </cell>
          <cell r="C1509" t="str">
            <v>yo006</v>
          </cell>
          <cell r="D1509" t="str">
            <v>UPO</v>
          </cell>
        </row>
        <row r="1510">
          <cell r="A1510" t="str">
            <v>vnm</v>
          </cell>
          <cell r="C1510" t="str">
            <v>yo007</v>
          </cell>
          <cell r="D1510" t="str">
            <v>VNM</v>
          </cell>
        </row>
        <row r="1511">
          <cell r="A1511" t="str">
            <v>VNM</v>
          </cell>
          <cell r="C1511" t="str">
            <v>yo008</v>
          </cell>
          <cell r="D1511" t="str">
            <v>VNM</v>
          </cell>
        </row>
        <row r="1512">
          <cell r="A1512" t="str">
            <v>vnm</v>
          </cell>
          <cell r="C1512" t="str">
            <v>yo009</v>
          </cell>
          <cell r="D1512" t="str">
            <v>資本合計</v>
          </cell>
        </row>
        <row r="1513">
          <cell r="A1513" t="str">
            <v>VNM</v>
          </cell>
          <cell r="C1513" t="str">
            <v>yo010</v>
          </cell>
          <cell r="D1513" t="str">
            <v>資本・負債合計</v>
          </cell>
        </row>
        <row r="1514">
          <cell r="C1514" t="str">
            <v>yo011</v>
          </cell>
          <cell r="D1514" t="str">
            <v>資本金－期末</v>
          </cell>
        </row>
        <row r="1515">
          <cell r="C1515" t="str">
            <v>yo012</v>
          </cell>
          <cell r="D1515" t="str">
            <v>資本準備金－期末</v>
          </cell>
        </row>
        <row r="1516">
          <cell r="C1516" t="str">
            <v>yo013</v>
          </cell>
          <cell r="D1516" t="str">
            <v>その他資本剰余金－期末</v>
          </cell>
        </row>
        <row r="1517">
          <cell r="C1517" t="str">
            <v>yo014</v>
          </cell>
          <cell r="D1517" t="str">
            <v>利益準備金－期末</v>
          </cell>
        </row>
        <row r="1518">
          <cell r="C1518" t="str">
            <v>ri001</v>
          </cell>
          <cell r="D1518" t="str">
            <v>その他有価証券評価差額金－期末</v>
          </cell>
        </row>
        <row r="1519">
          <cell r="C1519" t="str">
            <v>ri002</v>
          </cell>
          <cell r="D1519" t="str">
            <v>預金－期首</v>
          </cell>
        </row>
        <row r="1520">
          <cell r="C1520" t="str">
            <v>ri003</v>
          </cell>
          <cell r="D1520" t="str">
            <v>預金－振替</v>
          </cell>
        </row>
        <row r="1521">
          <cell r="C1521" t="str">
            <v>ri004</v>
          </cell>
          <cell r="D1521" t="str">
            <v>預金－解約</v>
          </cell>
        </row>
        <row r="1522">
          <cell r="C1522" t="str">
            <v>ri005</v>
          </cell>
          <cell r="D1522" t="str">
            <v>預金－期末</v>
          </cell>
        </row>
        <row r="1523">
          <cell r="C1523" t="str">
            <v>ri006</v>
          </cell>
          <cell r="D1523" t="str">
            <v>有価証券－期首</v>
          </cell>
        </row>
        <row r="1524">
          <cell r="C1524" t="str">
            <v>ri007</v>
          </cell>
          <cell r="D1524" t="str">
            <v>有価証券－評価益</v>
          </cell>
        </row>
        <row r="1525">
          <cell r="C1525" t="str">
            <v>ru001</v>
          </cell>
          <cell r="D1525" t="str">
            <v>有価証券－振替</v>
          </cell>
        </row>
        <row r="1526">
          <cell r="C1526" t="str">
            <v>re001</v>
          </cell>
          <cell r="D1526" t="str">
            <v>有価証券－売却</v>
          </cell>
        </row>
        <row r="1527">
          <cell r="C1527" t="str">
            <v>re002</v>
          </cell>
          <cell r="D1527" t="str">
            <v>有価証券－評価損</v>
          </cell>
        </row>
        <row r="1528">
          <cell r="C1528" t="str">
            <v>re003</v>
          </cell>
          <cell r="D1528" t="str">
            <v>有価証券－評価差額</v>
          </cell>
        </row>
        <row r="1529">
          <cell r="C1529" t="str">
            <v>re004</v>
          </cell>
          <cell r="D1529" t="str">
            <v>有価証券－期末換算差損益</v>
          </cell>
        </row>
        <row r="1530">
          <cell r="C1530" t="str">
            <v>ro001</v>
          </cell>
          <cell r="D1530" t="str">
            <v>有価証券－期末</v>
          </cell>
        </row>
        <row r="1531">
          <cell r="A1531" t="str">
            <v>*******</v>
          </cell>
          <cell r="C1531" t="str">
            <v>ro002</v>
          </cell>
          <cell r="D1531" t="str">
            <v>****</v>
          </cell>
        </row>
        <row r="1532">
          <cell r="C1532" t="str">
            <v>ro003</v>
          </cell>
          <cell r="D1532" t="str">
            <v>有価証券－期末</v>
          </cell>
        </row>
        <row r="1533">
          <cell r="A1533" t="str">
            <v>*******</v>
          </cell>
          <cell r="C1533" t="str">
            <v>ry001</v>
          </cell>
          <cell r="D1533" t="str">
            <v>****</v>
          </cell>
        </row>
        <row r="1534">
          <cell r="C1534" t="str">
            <v>ry002</v>
          </cell>
        </row>
        <row r="1535">
          <cell r="C1535" t="str">
            <v>wa001</v>
          </cell>
        </row>
        <row r="1536">
          <cell r="C1536" t="str">
            <v>he001</v>
          </cell>
        </row>
        <row r="1537">
          <cell r="C1537" t="str">
            <v>he002</v>
          </cell>
        </row>
        <row r="1538">
          <cell r="C1538" t="str">
            <v>he001</v>
          </cell>
        </row>
        <row r="1539">
          <cell r="C1539" t="str">
            <v>he002</v>
          </cell>
        </row>
        <row r="1579">
          <cell r="C1579" t="str">
            <v>**</v>
          </cell>
        </row>
        <row r="1581">
          <cell r="C1581" t="str">
            <v>**</v>
          </cell>
        </row>
      </sheetData>
      <sheetData sheetId="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ế hoạch nội tác TK "/>
      <sheetName val="NOI TAC 2026"/>
    </sheetNames>
    <sheetDataSet>
      <sheetData sheetId="0"/>
      <sheetData sheetId="1">
        <row r="7">
          <cell r="B7" t="str">
            <v>S442628</v>
          </cell>
          <cell r="F7">
            <v>1</v>
          </cell>
          <cell r="AL7">
            <v>16.947839999999996</v>
          </cell>
        </row>
        <row r="8">
          <cell r="B8" t="str">
            <v>S785023</v>
          </cell>
          <cell r="F8">
            <v>1</v>
          </cell>
          <cell r="AL8">
            <v>8.5326400000000007</v>
          </cell>
        </row>
        <row r="9">
          <cell r="B9" t="str">
            <v>S012373</v>
          </cell>
          <cell r="F9">
            <v>1</v>
          </cell>
          <cell r="AL9">
            <v>21.99784</v>
          </cell>
        </row>
        <row r="10">
          <cell r="B10" t="str">
            <v>S030900</v>
          </cell>
          <cell r="F10">
            <v>1</v>
          </cell>
          <cell r="AL10">
            <v>21.99784</v>
          </cell>
        </row>
        <row r="11">
          <cell r="B11" t="str">
            <v>S030909</v>
          </cell>
          <cell r="F11">
            <v>1</v>
          </cell>
          <cell r="AL11">
            <v>22.377839999999996</v>
          </cell>
        </row>
        <row r="12">
          <cell r="B12" t="str">
            <v>R061193</v>
          </cell>
          <cell r="F12">
            <v>3</v>
          </cell>
          <cell r="AL12">
            <v>17.101840000000003</v>
          </cell>
        </row>
        <row r="13">
          <cell r="B13" t="str">
            <v>S063800</v>
          </cell>
          <cell r="F13">
            <v>1</v>
          </cell>
          <cell r="AL13">
            <v>25.157622857142854</v>
          </cell>
        </row>
        <row r="14">
          <cell r="B14" t="str">
            <v>S763490</v>
          </cell>
          <cell r="F14">
            <v>3</v>
          </cell>
          <cell r="AL14">
            <v>29.812639999999995</v>
          </cell>
        </row>
        <row r="15">
          <cell r="B15" t="str">
            <v>S763484</v>
          </cell>
          <cell r="F15">
            <v>1</v>
          </cell>
          <cell r="AL15">
            <v>31.332640000000005</v>
          </cell>
        </row>
        <row r="16">
          <cell r="B16" t="str">
            <v>S013300</v>
          </cell>
          <cell r="F16">
            <v>1</v>
          </cell>
          <cell r="AL16">
            <v>36.667999999999999</v>
          </cell>
        </row>
        <row r="17">
          <cell r="B17" t="str">
            <v>S417746</v>
          </cell>
          <cell r="F17">
            <v>1</v>
          </cell>
          <cell r="AL17">
            <v>52.851679999999995</v>
          </cell>
        </row>
        <row r="18">
          <cell r="B18" t="str">
            <v>S417748</v>
          </cell>
          <cell r="F18">
            <v>1</v>
          </cell>
          <cell r="AL18">
            <v>54.571679999999994</v>
          </cell>
        </row>
        <row r="19">
          <cell r="B19" t="str">
            <v>R062214</v>
          </cell>
          <cell r="F19">
            <v>1</v>
          </cell>
          <cell r="AL19">
            <v>55.553640000000001</v>
          </cell>
        </row>
        <row r="20">
          <cell r="B20" t="str">
            <v>R062217</v>
          </cell>
          <cell r="F20">
            <v>1</v>
          </cell>
          <cell r="AL20">
            <v>72.7042</v>
          </cell>
        </row>
        <row r="21">
          <cell r="B21" t="str">
            <v>R369692</v>
          </cell>
          <cell r="F21">
            <v>1</v>
          </cell>
          <cell r="AL21">
            <v>54.753119999999996</v>
          </cell>
        </row>
        <row r="22">
          <cell r="B22" t="str">
            <v>R337601</v>
          </cell>
          <cell r="F22">
            <v>1</v>
          </cell>
          <cell r="AL22">
            <v>86.264280000000014</v>
          </cell>
        </row>
        <row r="23">
          <cell r="B23" t="str">
            <v>R009210</v>
          </cell>
          <cell r="F23">
            <v>1</v>
          </cell>
          <cell r="AL23">
            <v>137.97264000000001</v>
          </cell>
        </row>
        <row r="24">
          <cell r="B24" t="str">
            <v>S210886</v>
          </cell>
          <cell r="F24">
            <v>1</v>
          </cell>
          <cell r="AL24">
            <v>126.60041423076922</v>
          </cell>
        </row>
        <row r="25">
          <cell r="B25" t="str">
            <v>R061781</v>
          </cell>
          <cell r="F25">
            <v>1</v>
          </cell>
          <cell r="AL25">
            <v>166.59895999999998</v>
          </cell>
        </row>
        <row r="26">
          <cell r="B26" t="str">
            <v>R021019</v>
          </cell>
          <cell r="F26">
            <v>5</v>
          </cell>
          <cell r="AL26">
            <v>137.70420192307691</v>
          </cell>
        </row>
        <row r="27">
          <cell r="B27" t="str">
            <v>R029254</v>
          </cell>
          <cell r="F27">
            <v>1</v>
          </cell>
          <cell r="AL27">
            <v>277.48540000000003</v>
          </cell>
        </row>
        <row r="28">
          <cell r="B28" t="str">
            <v>S919918</v>
          </cell>
          <cell r="F28">
            <v>1</v>
          </cell>
          <cell r="AL28">
            <v>340.15280000000001</v>
          </cell>
        </row>
        <row r="29">
          <cell r="B29" t="str">
            <v>S814330</v>
          </cell>
          <cell r="F29">
            <v>1</v>
          </cell>
          <cell r="AL29">
            <v>388.68711999999999</v>
          </cell>
        </row>
        <row r="30">
          <cell r="B30" t="str">
            <v>S945605</v>
          </cell>
          <cell r="F30">
            <v>1</v>
          </cell>
          <cell r="AL30">
            <v>324.71083999999996</v>
          </cell>
        </row>
        <row r="31">
          <cell r="B31" t="str">
            <v>R031206</v>
          </cell>
          <cell r="F31">
            <v>1</v>
          </cell>
          <cell r="AL31">
            <v>390.59956000000005</v>
          </cell>
        </row>
        <row r="32">
          <cell r="B32" t="str">
            <v>S919631</v>
          </cell>
          <cell r="F32">
            <v>1</v>
          </cell>
          <cell r="AL32">
            <v>450.93883999999997</v>
          </cell>
        </row>
        <row r="33">
          <cell r="B33" t="str">
            <v>S029583</v>
          </cell>
          <cell r="F33">
            <v>1</v>
          </cell>
          <cell r="AL33">
            <v>483.10575999999998</v>
          </cell>
        </row>
        <row r="34">
          <cell r="B34" t="str">
            <v>R462231</v>
          </cell>
          <cell r="F34">
            <v>1</v>
          </cell>
          <cell r="AL34">
            <v>2.1008575752508136</v>
          </cell>
        </row>
        <row r="35">
          <cell r="B35" t="str">
            <v>R028995</v>
          </cell>
          <cell r="F35">
            <v>1</v>
          </cell>
          <cell r="AL35">
            <v>59.678271304347845</v>
          </cell>
        </row>
        <row r="36">
          <cell r="B36" t="str">
            <v>R408546</v>
          </cell>
          <cell r="F36">
            <v>1</v>
          </cell>
          <cell r="AL36">
            <v>34.102066086956512</v>
          </cell>
        </row>
        <row r="37">
          <cell r="B37" t="str">
            <v>R173347</v>
          </cell>
          <cell r="F37">
            <v>1</v>
          </cell>
          <cell r="AL37">
            <v>52.34683130434783</v>
          </cell>
        </row>
        <row r="38">
          <cell r="B38" t="str">
            <v>S445272</v>
          </cell>
          <cell r="F38">
            <v>2</v>
          </cell>
          <cell r="AL38">
            <v>51.651455652173908</v>
          </cell>
        </row>
        <row r="39">
          <cell r="B39" t="str">
            <v>R028307</v>
          </cell>
          <cell r="F39">
            <v>1</v>
          </cell>
          <cell r="AL39">
            <v>316.44079999999997</v>
          </cell>
        </row>
        <row r="40">
          <cell r="B40" t="str">
            <v>R063169</v>
          </cell>
          <cell r="F40">
            <v>1</v>
          </cell>
          <cell r="AL40">
            <v>851.55439999999999</v>
          </cell>
        </row>
        <row r="41">
          <cell r="B41" t="str">
            <v>R422776</v>
          </cell>
          <cell r="F41">
            <v>4</v>
          </cell>
          <cell r="AL41">
            <v>164.37479999999999</v>
          </cell>
        </row>
        <row r="42">
          <cell r="B42" t="str">
            <v>R530898</v>
          </cell>
          <cell r="F42">
            <v>1</v>
          </cell>
          <cell r="AL42">
            <v>172.28359999999998</v>
          </cell>
        </row>
        <row r="43">
          <cell r="B43" t="str">
            <v>R558748</v>
          </cell>
          <cell r="F43">
            <v>1</v>
          </cell>
          <cell r="AL43">
            <v>230.97564543269232</v>
          </cell>
        </row>
        <row r="44">
          <cell r="B44" t="str">
            <v>S156674</v>
          </cell>
          <cell r="F44">
            <v>1</v>
          </cell>
          <cell r="AL44">
            <v>227.13943846153848</v>
          </cell>
        </row>
        <row r="45">
          <cell r="B45" t="str">
            <v>S740084</v>
          </cell>
          <cell r="F45">
            <v>2</v>
          </cell>
          <cell r="AL45">
            <v>97.460800000000006</v>
          </cell>
        </row>
        <row r="46">
          <cell r="B46" t="str">
            <v>S880855</v>
          </cell>
          <cell r="F46">
            <v>25</v>
          </cell>
          <cell r="AL46">
            <v>213.67079999999999</v>
          </cell>
        </row>
        <row r="47">
          <cell r="B47" t="str">
            <v>S899744</v>
          </cell>
          <cell r="F47">
            <v>1</v>
          </cell>
          <cell r="AL47">
            <v>376.53480000000002</v>
          </cell>
        </row>
        <row r="48">
          <cell r="B48" t="str">
            <v>S788281</v>
          </cell>
          <cell r="F48">
            <v>1</v>
          </cell>
          <cell r="AL48">
            <v>1219.4599999999998</v>
          </cell>
        </row>
        <row r="49">
          <cell r="B49" t="str">
            <v>S870534</v>
          </cell>
          <cell r="F49">
            <v>1</v>
          </cell>
          <cell r="AL49">
            <v>636.08823846153837</v>
          </cell>
        </row>
        <row r="50">
          <cell r="B50" t="str">
            <v>R063124</v>
          </cell>
          <cell r="F50">
            <v>1</v>
          </cell>
          <cell r="AL50">
            <v>540.6882384615385</v>
          </cell>
        </row>
        <row r="51">
          <cell r="B51" t="str">
            <v>R028300</v>
          </cell>
          <cell r="F51">
            <v>1</v>
          </cell>
          <cell r="AL51">
            <v>697.14800000000002</v>
          </cell>
        </row>
        <row r="52">
          <cell r="B52" t="str">
            <v>R410256</v>
          </cell>
          <cell r="F52">
            <v>1</v>
          </cell>
          <cell r="AL52">
            <v>356.61143846153846</v>
          </cell>
        </row>
        <row r="53">
          <cell r="B53" t="str">
            <v>R021021</v>
          </cell>
          <cell r="F53">
            <v>4</v>
          </cell>
          <cell r="AL53">
            <v>785.53313846153844</v>
          </cell>
        </row>
        <row r="54">
          <cell r="B54" t="str">
            <v>S911086</v>
          </cell>
          <cell r="F54">
            <v>2</v>
          </cell>
          <cell r="AL54">
            <v>968.88986205128208</v>
          </cell>
        </row>
        <row r="55">
          <cell r="B55" t="str">
            <v>R116174</v>
          </cell>
          <cell r="F55">
            <v>3</v>
          </cell>
          <cell r="AL55">
            <v>836.04620192307675</v>
          </cell>
        </row>
        <row r="56">
          <cell r="B56" t="str">
            <v>S937542</v>
          </cell>
          <cell r="F56">
            <v>3</v>
          </cell>
          <cell r="AL56">
            <v>416.45654205128199</v>
          </cell>
        </row>
        <row r="57">
          <cell r="B57" t="str">
            <v>S439169</v>
          </cell>
          <cell r="F57">
            <v>2</v>
          </cell>
          <cell r="AL57">
            <v>500.80999846153838</v>
          </cell>
        </row>
        <row r="58">
          <cell r="B58" t="str">
            <v>R179385</v>
          </cell>
          <cell r="F58">
            <v>3</v>
          </cell>
          <cell r="AL58">
            <v>477.53020192307696</v>
          </cell>
        </row>
        <row r="59">
          <cell r="B59" t="str">
            <v>S799035</v>
          </cell>
          <cell r="F59">
            <v>2</v>
          </cell>
          <cell r="AL59">
            <v>363.57119999999998</v>
          </cell>
        </row>
        <row r="60">
          <cell r="B60" t="str">
            <v>S933931</v>
          </cell>
          <cell r="F60">
            <v>3</v>
          </cell>
          <cell r="AL60">
            <v>349.77057423076917</v>
          </cell>
        </row>
        <row r="61">
          <cell r="B61" t="str">
            <v>S847749</v>
          </cell>
          <cell r="F61">
            <v>1</v>
          </cell>
          <cell r="AL61">
            <v>502.33328192307698</v>
          </cell>
        </row>
        <row r="62">
          <cell r="B62" t="str">
            <v>S938435</v>
          </cell>
          <cell r="F62">
            <v>2</v>
          </cell>
          <cell r="AL62">
            <v>184.77919192307684</v>
          </cell>
        </row>
        <row r="63">
          <cell r="B63" t="str">
            <v>S028119</v>
          </cell>
          <cell r="F63">
            <v>2</v>
          </cell>
          <cell r="AL63">
            <v>338.99541423076926</v>
          </cell>
        </row>
        <row r="64">
          <cell r="B64" t="str">
            <v>R337025</v>
          </cell>
          <cell r="F64">
            <v>3</v>
          </cell>
          <cell r="AL64">
            <v>311.61673423076923</v>
          </cell>
        </row>
        <row r="65">
          <cell r="B65" t="str">
            <v>R062772</v>
          </cell>
          <cell r="F65">
            <v>2</v>
          </cell>
          <cell r="AL65">
            <v>336.41595192307693</v>
          </cell>
        </row>
        <row r="66">
          <cell r="B66" t="str">
            <v>S764009</v>
          </cell>
          <cell r="F66">
            <v>3</v>
          </cell>
          <cell r="AL66">
            <v>284.6670680769231</v>
          </cell>
        </row>
        <row r="67">
          <cell r="B67" t="str">
            <v>R351899</v>
          </cell>
          <cell r="F67">
            <v>8</v>
          </cell>
          <cell r="AL67">
            <v>201.57333423076915</v>
          </cell>
        </row>
        <row r="68">
          <cell r="B68" t="str">
            <v>R307560</v>
          </cell>
          <cell r="F68">
            <v>2</v>
          </cell>
          <cell r="AL68">
            <v>242.23635192307688</v>
          </cell>
        </row>
        <row r="69">
          <cell r="B69" t="str">
            <v>S938430</v>
          </cell>
          <cell r="F69">
            <v>2</v>
          </cell>
          <cell r="AL69">
            <v>13.037431923076952</v>
          </cell>
        </row>
        <row r="70">
          <cell r="B70" t="str">
            <v>S299835</v>
          </cell>
          <cell r="F70">
            <v>1</v>
          </cell>
          <cell r="AL70">
            <v>377.77292</v>
          </cell>
        </row>
        <row r="71">
          <cell r="B71" t="str">
            <v>S884105</v>
          </cell>
          <cell r="F71">
            <v>6</v>
          </cell>
          <cell r="AL71">
            <v>305.38920000000002</v>
          </cell>
        </row>
        <row r="72">
          <cell r="B72" t="str">
            <v>R009185</v>
          </cell>
          <cell r="F72">
            <v>3</v>
          </cell>
          <cell r="AL72">
            <v>350.00308000000001</v>
          </cell>
        </row>
        <row r="73">
          <cell r="B73" t="str">
            <v>S059015</v>
          </cell>
          <cell r="F73">
            <v>2</v>
          </cell>
          <cell r="AL73">
            <v>212.27444543269229</v>
          </cell>
        </row>
        <row r="74">
          <cell r="B74" t="str">
            <v>S862626</v>
          </cell>
          <cell r="F74">
            <v>1</v>
          </cell>
          <cell r="AL74">
            <v>296.73320000000001</v>
          </cell>
        </row>
        <row r="75">
          <cell r="B75" t="str">
            <v>S764013</v>
          </cell>
          <cell r="F75">
            <v>2</v>
          </cell>
          <cell r="AL75">
            <v>140.21146807692304</v>
          </cell>
        </row>
        <row r="76">
          <cell r="B76" t="str">
            <v>R009204</v>
          </cell>
          <cell r="F76">
            <v>5</v>
          </cell>
          <cell r="AL76">
            <v>288.12768</v>
          </cell>
        </row>
        <row r="77">
          <cell r="B77" t="str">
            <v>S911094</v>
          </cell>
          <cell r="F77">
            <v>2</v>
          </cell>
          <cell r="AL77">
            <v>160.25715192307689</v>
          </cell>
        </row>
        <row r="78">
          <cell r="B78" t="str">
            <v>R003078</v>
          </cell>
          <cell r="F78">
            <v>8</v>
          </cell>
          <cell r="AL78">
            <v>100.90823192307693</v>
          </cell>
        </row>
        <row r="79">
          <cell r="B79" t="str">
            <v>R172140</v>
          </cell>
          <cell r="F79">
            <v>2</v>
          </cell>
          <cell r="AL79">
            <v>188.88360000000003</v>
          </cell>
        </row>
        <row r="80">
          <cell r="B80" t="str">
            <v>R341026</v>
          </cell>
          <cell r="F80">
            <v>2</v>
          </cell>
          <cell r="AL80">
            <v>161.21984000000003</v>
          </cell>
        </row>
        <row r="81">
          <cell r="B81" t="str">
            <v>S473898</v>
          </cell>
          <cell r="F81">
            <v>2</v>
          </cell>
          <cell r="AL81">
            <v>172.16116</v>
          </cell>
        </row>
        <row r="82">
          <cell r="B82" t="str">
            <v>R176671</v>
          </cell>
          <cell r="F82">
            <v>2</v>
          </cell>
          <cell r="AL82">
            <v>89.487151923076908</v>
          </cell>
        </row>
        <row r="83">
          <cell r="B83" t="str">
            <v>R341202</v>
          </cell>
          <cell r="F83">
            <v>8</v>
          </cell>
          <cell r="AL83">
            <v>217.54844000000003</v>
          </cell>
        </row>
        <row r="84">
          <cell r="B84" t="str">
            <v>R403433</v>
          </cell>
          <cell r="F84">
            <v>2</v>
          </cell>
          <cell r="AL84">
            <v>153.2341619230769</v>
          </cell>
        </row>
        <row r="85">
          <cell r="B85" t="str">
            <v>R175057</v>
          </cell>
          <cell r="F85">
            <v>3</v>
          </cell>
          <cell r="AL85">
            <v>203.93243999999999</v>
          </cell>
        </row>
        <row r="86">
          <cell r="B86" t="str">
            <v>R067539</v>
          </cell>
          <cell r="F86">
            <v>1</v>
          </cell>
          <cell r="AL86">
            <v>67.399151923076886</v>
          </cell>
        </row>
        <row r="87">
          <cell r="B87" t="str">
            <v>R175052</v>
          </cell>
          <cell r="F87">
            <v>1</v>
          </cell>
          <cell r="AL87">
            <v>150.86276820512825</v>
          </cell>
        </row>
        <row r="88">
          <cell r="B88" t="str">
            <v>R171362</v>
          </cell>
          <cell r="F88">
            <v>2</v>
          </cell>
          <cell r="AL88">
            <v>74.788839999999993</v>
          </cell>
        </row>
        <row r="89">
          <cell r="B89" t="str">
            <v>R009220</v>
          </cell>
          <cell r="F89">
            <v>3</v>
          </cell>
          <cell r="AL89">
            <v>203.27664000000001</v>
          </cell>
        </row>
        <row r="90">
          <cell r="B90" t="str">
            <v>S833640</v>
          </cell>
          <cell r="F90">
            <v>2</v>
          </cell>
          <cell r="AL90">
            <v>160.79303999999999</v>
          </cell>
        </row>
        <row r="91">
          <cell r="B91" t="str">
            <v>S609462</v>
          </cell>
          <cell r="F91">
            <v>2</v>
          </cell>
          <cell r="AL91">
            <v>131.27884</v>
          </cell>
        </row>
        <row r="92">
          <cell r="B92" t="str">
            <v>R341198</v>
          </cell>
          <cell r="F92">
            <v>8</v>
          </cell>
          <cell r="AL92">
            <v>43.551466153846121</v>
          </cell>
        </row>
        <row r="93">
          <cell r="B93" t="str">
            <v>R316203</v>
          </cell>
          <cell r="F93">
            <v>2</v>
          </cell>
          <cell r="AL93">
            <v>86.524839999999983</v>
          </cell>
        </row>
        <row r="94">
          <cell r="B94" t="str">
            <v>S416593</v>
          </cell>
          <cell r="F94">
            <v>3</v>
          </cell>
          <cell r="AL94">
            <v>45.322651923076904</v>
          </cell>
        </row>
        <row r="95">
          <cell r="B95" t="str">
            <v>R152945</v>
          </cell>
          <cell r="F95">
            <v>2</v>
          </cell>
          <cell r="AL95">
            <v>65.093961923076932</v>
          </cell>
        </row>
        <row r="96">
          <cell r="B96" t="str">
            <v>R172139</v>
          </cell>
          <cell r="F96">
            <v>2</v>
          </cell>
          <cell r="AL96">
            <v>116.23384000000001</v>
          </cell>
        </row>
        <row r="97">
          <cell r="B97" t="str">
            <v>R009208</v>
          </cell>
          <cell r="F97">
            <v>5</v>
          </cell>
          <cell r="AL97">
            <v>118.94159999999999</v>
          </cell>
        </row>
        <row r="98">
          <cell r="B98" t="str">
            <v>S015137</v>
          </cell>
          <cell r="F98">
            <v>2</v>
          </cell>
          <cell r="AL98">
            <v>117.71199999999999</v>
          </cell>
        </row>
        <row r="99">
          <cell r="B99" t="str">
            <v>R030339</v>
          </cell>
          <cell r="F99">
            <v>4</v>
          </cell>
          <cell r="AL99">
            <v>100.08620000000001</v>
          </cell>
        </row>
        <row r="100">
          <cell r="B100" t="str">
            <v>S100314</v>
          </cell>
          <cell r="F100">
            <v>2</v>
          </cell>
          <cell r="AL100">
            <v>89.041899999999998</v>
          </cell>
        </row>
        <row r="101">
          <cell r="B101" t="str">
            <v>S621125</v>
          </cell>
          <cell r="F101">
            <v>2</v>
          </cell>
          <cell r="AL101">
            <v>57.517700000000005</v>
          </cell>
        </row>
        <row r="102">
          <cell r="B102" t="str">
            <v>S252742</v>
          </cell>
          <cell r="F102">
            <v>2</v>
          </cell>
          <cell r="AL102">
            <v>89.38176</v>
          </cell>
        </row>
        <row r="103">
          <cell r="B103" t="str">
            <v>S868063</v>
          </cell>
          <cell r="F103">
            <v>2</v>
          </cell>
          <cell r="AL103">
            <v>86.812559999999991</v>
          </cell>
        </row>
        <row r="104">
          <cell r="B104" t="str">
            <v>S064670</v>
          </cell>
          <cell r="F104">
            <v>2</v>
          </cell>
          <cell r="AL104">
            <v>60.610999999999997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ế hoạch nôi tác LK-TH"/>
      <sheetName val="LIST S.NO"/>
      <sheetName val="TỔNG LK CHẾ TẠO"/>
    </sheetNames>
    <sheetDataSet>
      <sheetData sheetId="0"/>
      <sheetData sheetId="1">
        <row r="7">
          <cell r="C7" t="str">
            <v>R067135</v>
          </cell>
          <cell r="AM7">
            <v>1112.041217948718</v>
          </cell>
        </row>
        <row r="8">
          <cell r="C8" t="str">
            <v>R062763</v>
          </cell>
          <cell r="AM8">
            <v>1291.8607403846154</v>
          </cell>
        </row>
        <row r="9">
          <cell r="C9" t="str">
            <v>S031476</v>
          </cell>
          <cell r="AM9">
            <v>1040.0568256410259</v>
          </cell>
        </row>
        <row r="10">
          <cell r="C10" t="str">
            <v>S899529</v>
          </cell>
          <cell r="AM10">
            <v>1079.1915096153846</v>
          </cell>
        </row>
        <row r="11">
          <cell r="C11" t="str">
            <v>S742878</v>
          </cell>
          <cell r="AM11">
            <v>639.56458653846153</v>
          </cell>
        </row>
        <row r="12">
          <cell r="C12" t="str">
            <v>S899525</v>
          </cell>
          <cell r="AM12">
            <v>847.60756410256408</v>
          </cell>
        </row>
        <row r="13">
          <cell r="C13" t="str">
            <v>S202159</v>
          </cell>
          <cell r="AM13">
            <v>201.93641025641026</v>
          </cell>
        </row>
        <row r="14">
          <cell r="C14" t="str">
            <v>R485016</v>
          </cell>
          <cell r="AM14">
            <v>411.30381730769227</v>
          </cell>
        </row>
        <row r="15">
          <cell r="C15" t="str">
            <v>R485011</v>
          </cell>
          <cell r="AM15">
            <v>62.352179487179484</v>
          </cell>
        </row>
        <row r="16">
          <cell r="C16" t="str">
            <v>R059797</v>
          </cell>
          <cell r="AM16">
            <v>348.68871794871791</v>
          </cell>
        </row>
        <row r="17">
          <cell r="C17" t="str">
            <v>R067136</v>
          </cell>
          <cell r="AM17">
            <v>462.11179487179487</v>
          </cell>
        </row>
        <row r="18">
          <cell r="C18" t="str">
            <v>R067143</v>
          </cell>
          <cell r="AM18">
            <v>123.58064102564103</v>
          </cell>
        </row>
        <row r="19">
          <cell r="C19" t="str">
            <v>R062773</v>
          </cell>
          <cell r="AM19">
            <v>127.1298717948718</v>
          </cell>
        </row>
        <row r="20">
          <cell r="C20" t="str">
            <v>R070100</v>
          </cell>
          <cell r="AM20">
            <v>513.20381730769236</v>
          </cell>
        </row>
        <row r="21">
          <cell r="C21" t="str">
            <v>R175058</v>
          </cell>
          <cell r="AM21">
            <v>2534.7908096153847</v>
          </cell>
        </row>
        <row r="22">
          <cell r="C22" t="str">
            <v>R021024</v>
          </cell>
          <cell r="AM22">
            <v>1432.8029852564105</v>
          </cell>
        </row>
        <row r="23">
          <cell r="C23" t="str">
            <v>R307558</v>
          </cell>
          <cell r="AM23">
            <v>310.24109717948716</v>
          </cell>
        </row>
        <row r="24">
          <cell r="C24" t="str">
            <v>R324592</v>
          </cell>
          <cell r="AM24">
            <v>1274.8222807692307</v>
          </cell>
        </row>
        <row r="25">
          <cell r="C25" t="str">
            <v>R070109</v>
          </cell>
          <cell r="AM25">
            <v>364.8907737179486</v>
          </cell>
        </row>
        <row r="26">
          <cell r="C26" t="str">
            <v>R067554</v>
          </cell>
          <cell r="AM26">
            <v>332.03944102564105</v>
          </cell>
        </row>
        <row r="27">
          <cell r="C27" t="str">
            <v>S939685</v>
          </cell>
          <cell r="AM27">
            <v>1034.6751326923077</v>
          </cell>
        </row>
        <row r="28">
          <cell r="C28" t="str">
            <v>R480421</v>
          </cell>
          <cell r="AM28">
            <v>479.31151923076931</v>
          </cell>
        </row>
        <row r="29">
          <cell r="C29" t="str">
            <v>R372298</v>
          </cell>
          <cell r="AM29">
            <v>359.31127500000002</v>
          </cell>
        </row>
        <row r="30">
          <cell r="C30" t="str">
            <v>R067142</v>
          </cell>
          <cell r="AM30">
            <v>384.25929615384609</v>
          </cell>
        </row>
        <row r="31">
          <cell r="C31" t="str">
            <v>S837815</v>
          </cell>
          <cell r="AM31">
            <v>401.82805192307694</v>
          </cell>
        </row>
        <row r="32">
          <cell r="C32" t="str">
            <v>R440397</v>
          </cell>
          <cell r="AM32">
            <v>197.42458141025642</v>
          </cell>
        </row>
        <row r="33">
          <cell r="C33" t="str">
            <v>S844919</v>
          </cell>
          <cell r="AM33">
            <v>450.24074038461538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ế hoạch gia công LK khuôn dập"/>
      <sheetName val="Linh Kiện"/>
      <sheetName val="NEW-LK1"/>
    </sheetNames>
    <sheetDataSet>
      <sheetData sheetId="0"/>
      <sheetData sheetId="1">
        <row r="7">
          <cell r="D7" t="str">
            <v>R171379</v>
          </cell>
          <cell r="E7">
            <v>1</v>
          </cell>
          <cell r="AK7">
            <v>72.92</v>
          </cell>
        </row>
        <row r="8">
          <cell r="D8" t="str">
            <v>S792796</v>
          </cell>
          <cell r="E8">
            <v>1</v>
          </cell>
          <cell r="AK8">
            <v>424.45907999999997</v>
          </cell>
        </row>
        <row r="9">
          <cell r="D9" t="str">
            <v>S332383</v>
          </cell>
          <cell r="E9">
            <v>1</v>
          </cell>
          <cell r="AK9">
            <v>56.502400000000002</v>
          </cell>
        </row>
        <row r="10">
          <cell r="D10" t="str">
            <v>S947762</v>
          </cell>
          <cell r="E10">
            <v>1</v>
          </cell>
          <cell r="AK10">
            <v>36.872800000000005</v>
          </cell>
        </row>
        <row r="11">
          <cell r="D11" t="str">
            <v>R061779</v>
          </cell>
          <cell r="E11">
            <v>1</v>
          </cell>
          <cell r="AK11">
            <v>94.930400000000006</v>
          </cell>
        </row>
        <row r="12">
          <cell r="D12" t="str">
            <v>S759985</v>
          </cell>
          <cell r="E12">
            <v>1</v>
          </cell>
          <cell r="AK12">
            <v>107.26439999999999</v>
          </cell>
        </row>
        <row r="13">
          <cell r="D13" t="str">
            <v>R061772</v>
          </cell>
          <cell r="E13">
            <v>1</v>
          </cell>
          <cell r="AK13">
            <v>146.5436</v>
          </cell>
        </row>
        <row r="14">
          <cell r="D14" t="str">
            <v>S759979</v>
          </cell>
          <cell r="E14">
            <v>1</v>
          </cell>
          <cell r="AK14">
            <v>147.5436</v>
          </cell>
        </row>
        <row r="15">
          <cell r="D15" t="str">
            <v>S759990</v>
          </cell>
          <cell r="E15">
            <v>1</v>
          </cell>
          <cell r="AK15">
            <v>158.29199999999997</v>
          </cell>
        </row>
        <row r="16">
          <cell r="D16" t="str">
            <v>R061784</v>
          </cell>
          <cell r="E16">
            <v>1</v>
          </cell>
          <cell r="AK16">
            <v>170.34800000000001</v>
          </cell>
        </row>
        <row r="17">
          <cell r="D17" t="str">
            <v>R061775</v>
          </cell>
          <cell r="E17">
            <v>1</v>
          </cell>
          <cell r="AK17">
            <v>262.02719999999999</v>
          </cell>
        </row>
        <row r="18">
          <cell r="D18" t="str">
            <v>R061777</v>
          </cell>
          <cell r="E18">
            <v>1</v>
          </cell>
          <cell r="AK18">
            <v>355.27440000000001</v>
          </cell>
        </row>
        <row r="19">
          <cell r="D19" t="str">
            <v>S329382</v>
          </cell>
          <cell r="E19">
            <v>1</v>
          </cell>
          <cell r="AK19">
            <v>390.01959999999997</v>
          </cell>
        </row>
        <row r="20">
          <cell r="D20" t="str">
            <v>R332878</v>
          </cell>
          <cell r="E20">
            <v>2</v>
          </cell>
          <cell r="AK20">
            <v>422.42959999999994</v>
          </cell>
        </row>
        <row r="21">
          <cell r="D21" t="str">
            <v>S919916</v>
          </cell>
          <cell r="E21">
            <v>2</v>
          </cell>
          <cell r="AK21">
            <v>523.93520000000001</v>
          </cell>
        </row>
        <row r="22">
          <cell r="D22" t="str">
            <v>S077647</v>
          </cell>
          <cell r="E22">
            <v>1</v>
          </cell>
          <cell r="AK22">
            <v>512.83280000000002</v>
          </cell>
        </row>
        <row r="23">
          <cell r="D23" t="str">
            <v>R173278</v>
          </cell>
          <cell r="E23">
            <v>1</v>
          </cell>
          <cell r="AK23">
            <v>427.048</v>
          </cell>
        </row>
        <row r="24">
          <cell r="D24" t="str">
            <v>R058139</v>
          </cell>
          <cell r="E24">
            <v>1</v>
          </cell>
          <cell r="AK24">
            <v>873.30623846153844</v>
          </cell>
        </row>
        <row r="25">
          <cell r="D25" t="str">
            <v>S792594</v>
          </cell>
          <cell r="E25">
            <v>1</v>
          </cell>
          <cell r="AK25">
            <v>491.63319999999999</v>
          </cell>
        </row>
        <row r="26">
          <cell r="D26" t="str">
            <v>S206843</v>
          </cell>
          <cell r="E26">
            <v>1</v>
          </cell>
          <cell r="AK26">
            <v>2695.6779999999999</v>
          </cell>
        </row>
        <row r="27">
          <cell r="D27" t="str">
            <v>S206840</v>
          </cell>
          <cell r="E27">
            <v>1</v>
          </cell>
          <cell r="AK27">
            <v>2472.9718019230768</v>
          </cell>
        </row>
        <row r="28">
          <cell r="D28" t="str">
            <v>S156672</v>
          </cell>
          <cell r="E28">
            <v>1</v>
          </cell>
          <cell r="AK28">
            <v>324.35023846153842</v>
          </cell>
        </row>
        <row r="29">
          <cell r="D29" t="str">
            <v>S763089</v>
          </cell>
          <cell r="E29">
            <v>2</v>
          </cell>
          <cell r="AK29">
            <v>81.207038461538446</v>
          </cell>
        </row>
        <row r="30">
          <cell r="D30" t="str">
            <v>S814328</v>
          </cell>
          <cell r="E30">
            <v>1</v>
          </cell>
          <cell r="AK30">
            <v>235.21480000000003</v>
          </cell>
        </row>
        <row r="31">
          <cell r="D31" t="str">
            <v>S895708</v>
          </cell>
          <cell r="E31">
            <v>1</v>
          </cell>
          <cell r="AK31">
            <v>47.466399999999993</v>
          </cell>
        </row>
        <row r="32">
          <cell r="D32" t="str">
            <v>S895686</v>
          </cell>
          <cell r="E32">
            <v>1</v>
          </cell>
          <cell r="AK32">
            <v>182.04180192307695</v>
          </cell>
        </row>
        <row r="33">
          <cell r="D33" t="str">
            <v>S029213</v>
          </cell>
          <cell r="E33">
            <v>1</v>
          </cell>
          <cell r="AK33">
            <v>25.501801923076982</v>
          </cell>
        </row>
        <row r="34">
          <cell r="D34" t="str">
            <v>S028567</v>
          </cell>
          <cell r="E34">
            <v>1</v>
          </cell>
          <cell r="AK34">
            <v>119.55799999999999</v>
          </cell>
        </row>
        <row r="35">
          <cell r="D35" t="str">
            <v>S204742</v>
          </cell>
          <cell r="E35">
            <v>1</v>
          </cell>
          <cell r="AK35">
            <v>124.54180192307695</v>
          </cell>
        </row>
        <row r="36">
          <cell r="D36" t="str">
            <v>S799077</v>
          </cell>
          <cell r="E36">
            <v>1</v>
          </cell>
          <cell r="AK36">
            <v>187.07180192307692</v>
          </cell>
        </row>
        <row r="37">
          <cell r="D37" t="str">
            <v>S204746</v>
          </cell>
          <cell r="E37">
            <v>1</v>
          </cell>
          <cell r="AK37">
            <v>120.94</v>
          </cell>
        </row>
        <row r="38">
          <cell r="D38" t="str">
            <v>S611125</v>
          </cell>
          <cell r="E38">
            <v>1</v>
          </cell>
          <cell r="AK38">
            <v>126.71480000000001</v>
          </cell>
        </row>
        <row r="39">
          <cell r="D39" t="str">
            <v>R105773</v>
          </cell>
          <cell r="E39">
            <v>1</v>
          </cell>
          <cell r="AK39">
            <v>502.67903846153854</v>
          </cell>
        </row>
        <row r="40">
          <cell r="D40" t="str">
            <v>R105242</v>
          </cell>
          <cell r="E40">
            <v>1</v>
          </cell>
          <cell r="AK40">
            <v>606.47860192307689</v>
          </cell>
        </row>
        <row r="41">
          <cell r="D41" t="str">
            <v>R477244</v>
          </cell>
          <cell r="E41">
            <v>1</v>
          </cell>
          <cell r="AK41">
            <v>1031.8546384615383</v>
          </cell>
        </row>
        <row r="42">
          <cell r="D42" t="str">
            <v>R058132</v>
          </cell>
          <cell r="E42">
            <v>1</v>
          </cell>
          <cell r="AK42">
            <v>674.05523846153847</v>
          </cell>
        </row>
        <row r="43">
          <cell r="D43" t="str">
            <v>R408691</v>
          </cell>
          <cell r="E43">
            <v>1</v>
          </cell>
          <cell r="AK43">
            <v>413.76023846153851</v>
          </cell>
        </row>
        <row r="44">
          <cell r="D44" t="str">
            <v>R029206</v>
          </cell>
          <cell r="E44">
            <v>1</v>
          </cell>
          <cell r="AK44">
            <v>385.88560000000001</v>
          </cell>
        </row>
        <row r="45">
          <cell r="D45" t="str">
            <v>R487257</v>
          </cell>
          <cell r="E45">
            <v>1</v>
          </cell>
          <cell r="AK45">
            <v>682.02214807692303</v>
          </cell>
        </row>
        <row r="46">
          <cell r="D46" t="str">
            <v>R568495</v>
          </cell>
          <cell r="E46">
            <v>1</v>
          </cell>
          <cell r="AK46">
            <v>461.03329423076923</v>
          </cell>
        </row>
        <row r="47">
          <cell r="D47" t="str">
            <v>R568490</v>
          </cell>
          <cell r="E47">
            <v>1</v>
          </cell>
          <cell r="AK47">
            <v>472.8356</v>
          </cell>
        </row>
        <row r="48">
          <cell r="D48" t="str">
            <v>R104415</v>
          </cell>
          <cell r="E48">
            <v>1</v>
          </cell>
          <cell r="AK48">
            <v>931.13343846153839</v>
          </cell>
        </row>
        <row r="49">
          <cell r="D49" t="str">
            <v>S933608</v>
          </cell>
          <cell r="E49">
            <v>2</v>
          </cell>
          <cell r="AK49">
            <v>56.312638461538427</v>
          </cell>
        </row>
        <row r="50">
          <cell r="D50" t="str">
            <v>R058142</v>
          </cell>
          <cell r="E50">
            <v>1</v>
          </cell>
          <cell r="AK50">
            <v>593.99003846153846</v>
          </cell>
        </row>
        <row r="51">
          <cell r="D51" t="str">
            <v>S856500</v>
          </cell>
          <cell r="E51">
            <v>1</v>
          </cell>
          <cell r="AK51">
            <v>436.49643846153845</v>
          </cell>
        </row>
        <row r="52">
          <cell r="D52" t="str">
            <v>R477713</v>
          </cell>
          <cell r="E52">
            <v>1</v>
          </cell>
          <cell r="AK52">
            <v>976.67003846153852</v>
          </cell>
        </row>
        <row r="53">
          <cell r="D53" t="str">
            <v>R551914</v>
          </cell>
          <cell r="E53">
            <v>1</v>
          </cell>
          <cell r="AK53">
            <v>427.74080000000004</v>
          </cell>
        </row>
        <row r="54">
          <cell r="D54" t="str">
            <v>R063081</v>
          </cell>
          <cell r="E54">
            <v>1</v>
          </cell>
          <cell r="AK54">
            <v>334.95263846153853</v>
          </cell>
        </row>
        <row r="55">
          <cell r="D55" t="str">
            <v>S056253</v>
          </cell>
          <cell r="E55">
            <v>1</v>
          </cell>
          <cell r="AK55">
            <v>551.52654807692306</v>
          </cell>
        </row>
        <row r="56">
          <cell r="D56" t="str">
            <v>R486449</v>
          </cell>
          <cell r="E56">
            <v>2</v>
          </cell>
          <cell r="AK56">
            <v>131.78300192307694</v>
          </cell>
        </row>
        <row r="57">
          <cell r="D57" t="str">
            <v>R487084</v>
          </cell>
          <cell r="E57">
            <v>2</v>
          </cell>
          <cell r="AK57">
            <v>144.16759999999999</v>
          </cell>
        </row>
        <row r="58">
          <cell r="D58" t="str">
            <v>S157558</v>
          </cell>
          <cell r="E58">
            <v>2</v>
          </cell>
          <cell r="AK58">
            <v>215.71764543269231</v>
          </cell>
        </row>
        <row r="59">
          <cell r="D59" t="str">
            <v>R551864</v>
          </cell>
          <cell r="E59">
            <v>3</v>
          </cell>
          <cell r="AK59">
            <v>153.57889423076921</v>
          </cell>
        </row>
        <row r="60">
          <cell r="D60" t="str">
            <v>S845562</v>
          </cell>
          <cell r="E60">
            <v>2</v>
          </cell>
          <cell r="AK60">
            <v>411.10120000000001</v>
          </cell>
        </row>
        <row r="61">
          <cell r="D61" t="str">
            <v>R478851</v>
          </cell>
          <cell r="E61">
            <v>2</v>
          </cell>
          <cell r="AK61">
            <v>123.5164</v>
          </cell>
        </row>
        <row r="62">
          <cell r="D62" t="str">
            <v>R394374</v>
          </cell>
          <cell r="E62">
            <v>2</v>
          </cell>
          <cell r="AK62">
            <v>170.06639999999999</v>
          </cell>
        </row>
        <row r="63">
          <cell r="D63" t="str">
            <v>S817484</v>
          </cell>
          <cell r="E63">
            <v>1</v>
          </cell>
          <cell r="AK63">
            <v>604.89120000000003</v>
          </cell>
        </row>
        <row r="64">
          <cell r="D64" t="str">
            <v>R058194</v>
          </cell>
          <cell r="E64">
            <v>1</v>
          </cell>
          <cell r="AK64">
            <v>788.89120000000003</v>
          </cell>
        </row>
        <row r="65">
          <cell r="D65" t="str">
            <v>R418572</v>
          </cell>
          <cell r="E65">
            <v>1</v>
          </cell>
          <cell r="AK65">
            <v>788.89120000000003</v>
          </cell>
        </row>
        <row r="66">
          <cell r="D66" t="str">
            <v>S723748</v>
          </cell>
          <cell r="E66">
            <v>1</v>
          </cell>
          <cell r="AK66">
            <v>581.73180192307689</v>
          </cell>
        </row>
        <row r="67">
          <cell r="D67" t="str">
            <v>S723746</v>
          </cell>
          <cell r="E67">
            <v>1</v>
          </cell>
          <cell r="AK67">
            <v>416.60719999999992</v>
          </cell>
        </row>
        <row r="68">
          <cell r="D68" t="str">
            <v>S868074</v>
          </cell>
          <cell r="E68">
            <v>1</v>
          </cell>
          <cell r="AK68">
            <v>794.08159999999998</v>
          </cell>
        </row>
        <row r="69">
          <cell r="D69" t="str">
            <v>S895697</v>
          </cell>
          <cell r="E69">
            <v>2</v>
          </cell>
          <cell r="AK69">
            <v>643.69799999999998</v>
          </cell>
        </row>
        <row r="70">
          <cell r="D70" t="str">
            <v>S895704</v>
          </cell>
          <cell r="E70">
            <v>2</v>
          </cell>
          <cell r="AK70">
            <v>332</v>
          </cell>
        </row>
        <row r="71">
          <cell r="D71" t="str">
            <v>S895706</v>
          </cell>
          <cell r="E71">
            <v>2</v>
          </cell>
          <cell r="AK71">
            <v>654.298</v>
          </cell>
        </row>
        <row r="72">
          <cell r="D72" t="str">
            <v>S895703</v>
          </cell>
          <cell r="E72">
            <v>2</v>
          </cell>
          <cell r="AK72">
            <v>248.0008</v>
          </cell>
        </row>
        <row r="73">
          <cell r="D73" t="str">
            <v>S799127</v>
          </cell>
          <cell r="E73">
            <v>2</v>
          </cell>
          <cell r="AK73">
            <v>52.000799999999998</v>
          </cell>
        </row>
        <row r="74">
          <cell r="D74" t="str">
            <v>S799137</v>
          </cell>
          <cell r="E74">
            <v>2</v>
          </cell>
          <cell r="AK74">
            <v>107.0008</v>
          </cell>
        </row>
        <row r="75">
          <cell r="D75" t="str">
            <v>S799139</v>
          </cell>
          <cell r="E75">
            <v>2</v>
          </cell>
          <cell r="AK75">
            <v>150.0008</v>
          </cell>
        </row>
        <row r="76">
          <cell r="D76" t="str">
            <v>S609460</v>
          </cell>
          <cell r="E76">
            <v>2</v>
          </cell>
          <cell r="AK76">
            <v>133.17079999999999</v>
          </cell>
        </row>
        <row r="77">
          <cell r="D77" t="str">
            <v>S849263</v>
          </cell>
          <cell r="E77">
            <v>2</v>
          </cell>
          <cell r="AK77">
            <v>4.8820000000000014</v>
          </cell>
        </row>
        <row r="78">
          <cell r="D78" t="str">
            <v>R063006</v>
          </cell>
          <cell r="E78">
            <v>2</v>
          </cell>
          <cell r="AK78">
            <v>48.0792</v>
          </cell>
        </row>
        <row r="79">
          <cell r="D79" t="str">
            <v>R063005</v>
          </cell>
          <cell r="E79">
            <v>2</v>
          </cell>
          <cell r="AK79">
            <v>50.279200000000003</v>
          </cell>
        </row>
        <row r="80">
          <cell r="D80" t="str">
            <v>S858546</v>
          </cell>
          <cell r="E80">
            <v>2</v>
          </cell>
          <cell r="AK80">
            <v>85.130400000000009</v>
          </cell>
        </row>
        <row r="81">
          <cell r="D81" t="str">
            <v>S064348</v>
          </cell>
          <cell r="E81">
            <v>2</v>
          </cell>
          <cell r="AK81">
            <v>299.15732820512824</v>
          </cell>
        </row>
        <row r="82">
          <cell r="D82" t="str">
            <v>S165735</v>
          </cell>
          <cell r="E82">
            <v>2</v>
          </cell>
          <cell r="AK82">
            <v>426.7568</v>
          </cell>
        </row>
        <row r="83">
          <cell r="D83" t="str">
            <v>S885188</v>
          </cell>
          <cell r="E83">
            <v>2</v>
          </cell>
          <cell r="AK83">
            <v>492.31423846153848</v>
          </cell>
        </row>
        <row r="84">
          <cell r="D84" t="str">
            <v>R182970</v>
          </cell>
          <cell r="E84">
            <v>2</v>
          </cell>
          <cell r="AK84">
            <v>30.168399999999998</v>
          </cell>
        </row>
        <row r="85">
          <cell r="D85" t="str">
            <v>R435090</v>
          </cell>
          <cell r="E85">
            <v>2</v>
          </cell>
          <cell r="AK85">
            <v>226.03960000000001</v>
          </cell>
        </row>
        <row r="86">
          <cell r="D86" t="str">
            <v>S210889</v>
          </cell>
          <cell r="E86">
            <v>2</v>
          </cell>
          <cell r="AK86">
            <v>168.45359999999999</v>
          </cell>
        </row>
        <row r="87">
          <cell r="D87" t="str">
            <v>S763491</v>
          </cell>
          <cell r="E87">
            <v>2</v>
          </cell>
          <cell r="AK87">
            <v>18.912400000000005</v>
          </cell>
        </row>
        <row r="88">
          <cell r="D88" t="str">
            <v>R104695</v>
          </cell>
          <cell r="E88">
            <v>2</v>
          </cell>
          <cell r="AK88">
            <v>52.634799999999998</v>
          </cell>
        </row>
        <row r="89">
          <cell r="D89" t="str">
            <v>R152939</v>
          </cell>
          <cell r="E89">
            <v>2</v>
          </cell>
          <cell r="AK89">
            <v>579.38760000000002</v>
          </cell>
        </row>
        <row r="90">
          <cell r="D90" t="str">
            <v>R105679</v>
          </cell>
          <cell r="E90">
            <v>2</v>
          </cell>
          <cell r="AK90">
            <v>478.29014807692306</v>
          </cell>
        </row>
        <row r="91">
          <cell r="D91" t="str">
            <v>S941289</v>
          </cell>
          <cell r="E91">
            <v>2</v>
          </cell>
          <cell r="AK91">
            <v>165.8364</v>
          </cell>
        </row>
        <row r="92">
          <cell r="D92" t="str">
            <v>R152943</v>
          </cell>
          <cell r="E92">
            <v>2</v>
          </cell>
          <cell r="AK92">
            <v>199.38580192307694</v>
          </cell>
        </row>
        <row r="93">
          <cell r="D93" t="str">
            <v>S775354</v>
          </cell>
          <cell r="E93">
            <v>2</v>
          </cell>
          <cell r="AK93">
            <v>396.0970019230769</v>
          </cell>
        </row>
        <row r="94">
          <cell r="D94" t="str">
            <v>S161757</v>
          </cell>
          <cell r="E94">
            <v>2</v>
          </cell>
          <cell r="AK94">
            <v>396.0970019230769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ách kỳ hạn BV sắp trễ hẹn"/>
    </sheetNames>
    <sheetDataSet>
      <sheetData sheetId="0" refreshError="1">
        <row r="2">
          <cell r="C2" t="str">
            <v>213508187A27</v>
          </cell>
          <cell r="D2">
            <v>800</v>
          </cell>
          <cell r="E2" t="str">
            <v>Bình thường</v>
          </cell>
          <cell r="F2" t="str">
            <v>LN1</v>
          </cell>
          <cell r="G2" t="str">
            <v>VP</v>
          </cell>
        </row>
        <row r="3">
          <cell r="C3" t="str">
            <v>62450700121</v>
          </cell>
          <cell r="D3">
            <v>710</v>
          </cell>
          <cell r="E3" t="str">
            <v>Khẩn</v>
          </cell>
          <cell r="F3" t="str">
            <v>MA1</v>
          </cell>
          <cell r="G3" t="str">
            <v>GS1, MC1, AA2, BJ1, DA1, HT1, AF1</v>
          </cell>
        </row>
        <row r="4">
          <cell r="C4" t="str">
            <v>213509152A40</v>
          </cell>
          <cell r="D4">
            <v>643</v>
          </cell>
          <cell r="E4" t="str">
            <v>Bình thường</v>
          </cell>
          <cell r="F4" t="str">
            <v>GS1</v>
          </cell>
          <cell r="G4" t="str">
            <v>GC1, ED1, LN1, BJ1, GC2, GS2, GP1, AF1, AL1</v>
          </cell>
        </row>
        <row r="5">
          <cell r="C5" t="str">
            <v>213509123A21</v>
          </cell>
          <cell r="D5">
            <v>600</v>
          </cell>
          <cell r="E5" t="str">
            <v>Bình thường</v>
          </cell>
          <cell r="F5" t="str">
            <v>LN1</v>
          </cell>
          <cell r="G5" t="str">
            <v>KA1, HT1</v>
          </cell>
        </row>
        <row r="6">
          <cell r="C6" t="str">
            <v>R6225070061</v>
          </cell>
          <cell r="D6">
            <v>550</v>
          </cell>
          <cell r="E6" t="str">
            <v>Bình thường</v>
          </cell>
          <cell r="F6" t="str">
            <v>MC1</v>
          </cell>
          <cell r="G6" t="str">
            <v>AF1, AB1</v>
          </cell>
        </row>
        <row r="7">
          <cell r="C7" t="str">
            <v>R6225090031</v>
          </cell>
          <cell r="D7">
            <v>540</v>
          </cell>
          <cell r="E7" t="str">
            <v>Bình thường</v>
          </cell>
          <cell r="F7" t="str">
            <v>MC1</v>
          </cell>
          <cell r="G7" t="str">
            <v>AF1, AB1</v>
          </cell>
        </row>
        <row r="8">
          <cell r="C8" t="str">
            <v>61250700091</v>
          </cell>
          <cell r="D8">
            <v>500</v>
          </cell>
          <cell r="E8" t="str">
            <v>Bình thường</v>
          </cell>
          <cell r="F8" t="str">
            <v>LN1</v>
          </cell>
          <cell r="G8" t="str">
            <v>KA1, HT1</v>
          </cell>
        </row>
        <row r="9">
          <cell r="C9" t="str">
            <v>L6125070142</v>
          </cell>
          <cell r="D9">
            <v>500</v>
          </cell>
          <cell r="E9" t="str">
            <v>Bình thường</v>
          </cell>
          <cell r="F9" t="str">
            <v>LN1</v>
          </cell>
          <cell r="G9" t="str">
            <v>KA1, HT1</v>
          </cell>
        </row>
        <row r="10">
          <cell r="C10" t="str">
            <v>L6125080012</v>
          </cell>
          <cell r="D10">
            <v>500</v>
          </cell>
          <cell r="E10" t="str">
            <v>Bình thường</v>
          </cell>
          <cell r="F10" t="str">
            <v>KA1</v>
          </cell>
          <cell r="G10" t="str">
            <v>HT1</v>
          </cell>
        </row>
        <row r="11">
          <cell r="C11" t="str">
            <v>61250900101</v>
          </cell>
          <cell r="D11">
            <v>500</v>
          </cell>
          <cell r="E11" t="str">
            <v>Bình thường</v>
          </cell>
          <cell r="F11" t="str">
            <v>LN1</v>
          </cell>
          <cell r="G11" t="str">
            <v>KA1, HT1</v>
          </cell>
        </row>
        <row r="12">
          <cell r="C12" t="str">
            <v>213509124A22</v>
          </cell>
          <cell r="D12">
            <v>500</v>
          </cell>
          <cell r="E12" t="str">
            <v>Bình thường</v>
          </cell>
          <cell r="F12" t="str">
            <v>LN1</v>
          </cell>
          <cell r="G12" t="str">
            <v>KA1, HT1</v>
          </cell>
        </row>
        <row r="13">
          <cell r="C13" t="str">
            <v>R6245100011</v>
          </cell>
          <cell r="D13">
            <v>500</v>
          </cell>
          <cell r="E13" t="str">
            <v>Bình thường</v>
          </cell>
          <cell r="F13" t="str">
            <v>GC1</v>
          </cell>
          <cell r="G13" t="str">
            <v>GS2, AF1</v>
          </cell>
        </row>
        <row r="14">
          <cell r="C14" t="str">
            <v>213508076B9</v>
          </cell>
          <cell r="D14">
            <v>400</v>
          </cell>
          <cell r="E14" t="str">
            <v>Bình thường</v>
          </cell>
          <cell r="F14" t="str">
            <v>GS1</v>
          </cell>
          <cell r="G14" t="str">
            <v>AF1, AL1</v>
          </cell>
        </row>
        <row r="15">
          <cell r="C15" t="str">
            <v>L6125080011</v>
          </cell>
          <cell r="D15">
            <v>400</v>
          </cell>
          <cell r="E15" t="str">
            <v>Bình thường</v>
          </cell>
          <cell r="F15" t="str">
            <v>LN1</v>
          </cell>
          <cell r="G15" t="str">
            <v>KT</v>
          </cell>
        </row>
        <row r="16">
          <cell r="C16" t="str">
            <v>213508139A30</v>
          </cell>
          <cell r="D16">
            <v>400</v>
          </cell>
          <cell r="E16" t="str">
            <v>Bình thường</v>
          </cell>
          <cell r="F16" t="str">
            <v>LN1</v>
          </cell>
          <cell r="G16" t="str">
            <v>KA1, HT1</v>
          </cell>
        </row>
        <row r="17">
          <cell r="C17" t="str">
            <v>61250300051</v>
          </cell>
          <cell r="D17">
            <v>350</v>
          </cell>
          <cell r="E17" t="str">
            <v>Bình thường</v>
          </cell>
          <cell r="F17" t="str">
            <v>LT1</v>
          </cell>
          <cell r="G17" t="str">
            <v>AF2</v>
          </cell>
        </row>
        <row r="18">
          <cell r="C18" t="str">
            <v>L2135023075</v>
          </cell>
          <cell r="D18">
            <v>310</v>
          </cell>
          <cell r="E18" t="str">
            <v>Bình thường</v>
          </cell>
          <cell r="F18" t="str">
            <v>LA1</v>
          </cell>
          <cell r="G18" t="str">
            <v>VP</v>
          </cell>
        </row>
        <row r="19">
          <cell r="C19" t="str">
            <v>213508005A7</v>
          </cell>
          <cell r="D19">
            <v>300</v>
          </cell>
          <cell r="E19" t="str">
            <v>Bình thường</v>
          </cell>
          <cell r="F19" t="str">
            <v>GC1</v>
          </cell>
          <cell r="G19" t="str">
            <v>AF1</v>
          </cell>
        </row>
        <row r="20">
          <cell r="C20" t="str">
            <v>L6245080061</v>
          </cell>
          <cell r="D20">
            <v>300</v>
          </cell>
          <cell r="E20" t="str">
            <v>Bình thường</v>
          </cell>
          <cell r="F20" t="str">
            <v>AA1</v>
          </cell>
          <cell r="G20" t="str">
            <v>MC1, GS1, AF1</v>
          </cell>
        </row>
        <row r="21">
          <cell r="C21" t="str">
            <v>62250300481</v>
          </cell>
          <cell r="D21">
            <v>300</v>
          </cell>
          <cell r="E21" t="str">
            <v>Bình thường</v>
          </cell>
          <cell r="F21" t="str">
            <v>GP1</v>
          </cell>
          <cell r="G21" t="str">
            <v>GS2, AF1</v>
          </cell>
        </row>
        <row r="22">
          <cell r="C22" t="str">
            <v>213507065A25</v>
          </cell>
          <cell r="D22">
            <v>300</v>
          </cell>
          <cell r="E22" t="str">
            <v>Bình thường</v>
          </cell>
          <cell r="F22" t="str">
            <v>LN1</v>
          </cell>
          <cell r="G22" t="str">
            <v>KT</v>
          </cell>
        </row>
        <row r="23">
          <cell r="C23" t="str">
            <v>L6125090191</v>
          </cell>
          <cell r="D23">
            <v>300</v>
          </cell>
          <cell r="E23" t="str">
            <v>Bình thường</v>
          </cell>
          <cell r="F23" t="str">
            <v>HT1</v>
          </cell>
          <cell r="G23" t="str">
            <v>LN1, MC1, AF1</v>
          </cell>
        </row>
        <row r="24">
          <cell r="C24" t="str">
            <v>R6125090041</v>
          </cell>
          <cell r="D24">
            <v>240</v>
          </cell>
          <cell r="E24" t="str">
            <v>Bình thường</v>
          </cell>
          <cell r="F24" t="str">
            <v>BJ1</v>
          </cell>
          <cell r="G24" t="str">
            <v>VP</v>
          </cell>
        </row>
        <row r="25">
          <cell r="C25" t="str">
            <v>62451000081</v>
          </cell>
          <cell r="D25">
            <v>240</v>
          </cell>
          <cell r="E25" t="str">
            <v>Bình thường</v>
          </cell>
          <cell r="F25" t="str">
            <v>AA1</v>
          </cell>
          <cell r="G25" t="str">
            <v>MA1, GS1, AA2, BJ1, AF1, AB1</v>
          </cell>
        </row>
        <row r="26">
          <cell r="C26" t="str">
            <v>L6235070312</v>
          </cell>
          <cell r="D26">
            <v>224</v>
          </cell>
          <cell r="E26" t="str">
            <v>Bình thường</v>
          </cell>
          <cell r="F26" t="str">
            <v>LN1</v>
          </cell>
          <cell r="G26" t="str">
            <v>HT1, AF1, AB1</v>
          </cell>
        </row>
        <row r="27">
          <cell r="C27" t="str">
            <v>213506203A19</v>
          </cell>
          <cell r="D27">
            <v>205</v>
          </cell>
          <cell r="E27" t="str">
            <v>Bình thường</v>
          </cell>
          <cell r="F27" t="str">
            <v>GS1</v>
          </cell>
          <cell r="G27" t="str">
            <v>AF1, AL1</v>
          </cell>
        </row>
        <row r="28">
          <cell r="C28" t="str">
            <v>R6215100071</v>
          </cell>
          <cell r="D28">
            <v>200</v>
          </cell>
          <cell r="E28" t="str">
            <v>Bình thường</v>
          </cell>
          <cell r="F28" t="str">
            <v>AL1</v>
          </cell>
          <cell r="G28" t="str">
            <v>VP</v>
          </cell>
        </row>
        <row r="29">
          <cell r="C29" t="str">
            <v>L6225060042</v>
          </cell>
          <cell r="D29">
            <v>200</v>
          </cell>
          <cell r="E29" t="str">
            <v>Bình thường</v>
          </cell>
          <cell r="F29" t="str">
            <v>GC1</v>
          </cell>
          <cell r="G29" t="str">
            <v>GS2, GP1, AF1</v>
          </cell>
        </row>
        <row r="30">
          <cell r="C30" t="str">
            <v>62250600331</v>
          </cell>
          <cell r="D30">
            <v>200</v>
          </cell>
          <cell r="E30" t="str">
            <v>Bình thường</v>
          </cell>
          <cell r="F30" t="str">
            <v>AF1</v>
          </cell>
          <cell r="G30" t="str">
            <v>AB1</v>
          </cell>
        </row>
        <row r="31">
          <cell r="C31" t="str">
            <v>213508022B28</v>
          </cell>
          <cell r="D31">
            <v>200</v>
          </cell>
          <cell r="E31" t="str">
            <v>Bình thường</v>
          </cell>
          <cell r="F31" t="str">
            <v>MC1</v>
          </cell>
          <cell r="G31" t="str">
            <v>GP1, AF1, AL1</v>
          </cell>
        </row>
        <row r="32">
          <cell r="C32" t="str">
            <v>62250600211</v>
          </cell>
          <cell r="D32">
            <v>200</v>
          </cell>
          <cell r="E32" t="str">
            <v>Bình thường</v>
          </cell>
          <cell r="F32" t="str">
            <v>GC1</v>
          </cell>
          <cell r="G32" t="str">
            <v>EN1, GS1</v>
          </cell>
        </row>
        <row r="33">
          <cell r="C33" t="str">
            <v>213507060B24</v>
          </cell>
          <cell r="D33">
            <v>200</v>
          </cell>
          <cell r="E33" t="str">
            <v>Bình thường</v>
          </cell>
          <cell r="F33" t="str">
            <v>GS2</v>
          </cell>
          <cell r="G33" t="str">
            <v>MC1, GP1, AF1, AL1</v>
          </cell>
        </row>
        <row r="34">
          <cell r="C34" t="str">
            <v>R6305080221</v>
          </cell>
          <cell r="D34">
            <v>200</v>
          </cell>
          <cell r="E34" t="str">
            <v>Bình thường</v>
          </cell>
          <cell r="F34" t="str">
            <v>LA1</v>
          </cell>
          <cell r="G34" t="str">
            <v>VP</v>
          </cell>
        </row>
        <row r="35">
          <cell r="C35" t="str">
            <v>213507055B12</v>
          </cell>
          <cell r="D35">
            <v>200</v>
          </cell>
          <cell r="E35" t="str">
            <v>Bình thường</v>
          </cell>
          <cell r="F35" t="str">
            <v>LN1</v>
          </cell>
          <cell r="G35" t="str">
            <v>BJ1, GC2, GS2, GP1, AF1, AL1</v>
          </cell>
        </row>
        <row r="36">
          <cell r="C36" t="str">
            <v>L6115070371</v>
          </cell>
          <cell r="D36">
            <v>200</v>
          </cell>
          <cell r="E36" t="str">
            <v>Bình thường</v>
          </cell>
          <cell r="F36" t="str">
            <v>MA1</v>
          </cell>
          <cell r="G36" t="str">
            <v>MC1</v>
          </cell>
        </row>
        <row r="37">
          <cell r="C37" t="str">
            <v>L6115070372</v>
          </cell>
          <cell r="D37">
            <v>200</v>
          </cell>
          <cell r="E37" t="str">
            <v>Bình thường</v>
          </cell>
          <cell r="F37" t="str">
            <v>MA1</v>
          </cell>
          <cell r="G37" t="str">
            <v>MC1</v>
          </cell>
        </row>
        <row r="38">
          <cell r="C38" t="str">
            <v>61150700541</v>
          </cell>
          <cell r="D38">
            <v>200</v>
          </cell>
          <cell r="E38" t="str">
            <v>Bình thường</v>
          </cell>
          <cell r="F38" t="str">
            <v>MC1</v>
          </cell>
          <cell r="G38" t="str">
            <v>AF1</v>
          </cell>
        </row>
        <row r="39">
          <cell r="C39" t="str">
            <v>213507079B19</v>
          </cell>
          <cell r="D39">
            <v>200</v>
          </cell>
          <cell r="E39" t="str">
            <v>Bình thường</v>
          </cell>
          <cell r="F39" t="str">
            <v>GC1</v>
          </cell>
          <cell r="G39" t="str">
            <v>GS2, MC1, GP1, AF1, AL1</v>
          </cell>
        </row>
        <row r="40">
          <cell r="C40" t="str">
            <v>213509014B15</v>
          </cell>
          <cell r="D40">
            <v>200</v>
          </cell>
          <cell r="E40" t="str">
            <v>Bình thường</v>
          </cell>
          <cell r="F40" t="str">
            <v>GS1</v>
          </cell>
          <cell r="G40" t="str">
            <v>AF1, AL1</v>
          </cell>
        </row>
        <row r="41">
          <cell r="C41" t="str">
            <v>213509036A14</v>
          </cell>
          <cell r="D41">
            <v>200</v>
          </cell>
          <cell r="E41" t="str">
            <v>Bình thường</v>
          </cell>
          <cell r="F41" t="str">
            <v>GS1</v>
          </cell>
          <cell r="G41" t="str">
            <v>AF1, AL1</v>
          </cell>
        </row>
        <row r="42">
          <cell r="C42" t="str">
            <v>213506125A18</v>
          </cell>
          <cell r="D42">
            <v>200</v>
          </cell>
          <cell r="E42" t="str">
            <v>Bình thường</v>
          </cell>
          <cell r="F42" t="str">
            <v>LT1</v>
          </cell>
          <cell r="G42" t="str">
            <v>AF2</v>
          </cell>
        </row>
        <row r="43">
          <cell r="C43" t="str">
            <v>213507079A13</v>
          </cell>
          <cell r="D43">
            <v>200</v>
          </cell>
          <cell r="E43" t="str">
            <v>Bình thường</v>
          </cell>
          <cell r="F43" t="str">
            <v>GC1</v>
          </cell>
          <cell r="G43" t="str">
            <v>AF1</v>
          </cell>
        </row>
        <row r="44">
          <cell r="C44" t="str">
            <v>213506107B16</v>
          </cell>
          <cell r="D44">
            <v>200</v>
          </cell>
          <cell r="E44" t="str">
            <v>Bình thường</v>
          </cell>
          <cell r="F44" t="str">
            <v>GC1</v>
          </cell>
          <cell r="G44" t="str">
            <v>AF1</v>
          </cell>
        </row>
        <row r="45">
          <cell r="C45" t="str">
            <v>213508169A5</v>
          </cell>
          <cell r="D45">
            <v>200</v>
          </cell>
          <cell r="E45" t="str">
            <v>Bình thường</v>
          </cell>
          <cell r="F45" t="str">
            <v>GS1</v>
          </cell>
          <cell r="G45" t="str">
            <v>GC1, GS2, GP1, AL1, AF1</v>
          </cell>
        </row>
        <row r="46">
          <cell r="C46" t="str">
            <v>213510007A9</v>
          </cell>
          <cell r="D46">
            <v>200</v>
          </cell>
          <cell r="E46" t="str">
            <v>Bình thường</v>
          </cell>
          <cell r="F46" t="str">
            <v>GS1</v>
          </cell>
          <cell r="G46" t="str">
            <v>AF1, AL1</v>
          </cell>
        </row>
        <row r="47">
          <cell r="C47" t="str">
            <v>213509085A18</v>
          </cell>
          <cell r="D47">
            <v>200</v>
          </cell>
          <cell r="E47" t="str">
            <v>Bình thường</v>
          </cell>
          <cell r="F47" t="str">
            <v>LN1</v>
          </cell>
          <cell r="G47" t="str">
            <v>KA1, HT1</v>
          </cell>
        </row>
        <row r="48">
          <cell r="C48" t="str">
            <v>213508082B35</v>
          </cell>
          <cell r="D48">
            <v>200</v>
          </cell>
          <cell r="E48" t="str">
            <v>Bình thường</v>
          </cell>
          <cell r="F48" t="str">
            <v>GS1</v>
          </cell>
          <cell r="G48" t="str">
            <v>GC1, GS2, MC1, GP1, AF1, AL1</v>
          </cell>
        </row>
        <row r="49">
          <cell r="C49" t="str">
            <v>213508181A21</v>
          </cell>
          <cell r="D49">
            <v>200</v>
          </cell>
          <cell r="E49" t="str">
            <v>Bình thường</v>
          </cell>
          <cell r="F49" t="str">
            <v>GS1</v>
          </cell>
          <cell r="G49" t="str">
            <v>GC1, ED1, LN1, BJ1, GC2, GS2, GP1, AF1, AL1</v>
          </cell>
        </row>
        <row r="50">
          <cell r="C50" t="str">
            <v>213509125A23</v>
          </cell>
          <cell r="D50">
            <v>200</v>
          </cell>
          <cell r="E50" t="str">
            <v>Bình thường</v>
          </cell>
          <cell r="F50" t="str">
            <v>LN1</v>
          </cell>
          <cell r="G50" t="str">
            <v>KA1, HT1</v>
          </cell>
        </row>
        <row r="51">
          <cell r="C51" t="str">
            <v>213509094A31</v>
          </cell>
          <cell r="D51">
            <v>200</v>
          </cell>
          <cell r="E51" t="str">
            <v>Bình thường</v>
          </cell>
          <cell r="F51" t="str">
            <v>LN1</v>
          </cell>
          <cell r="G51" t="str">
            <v>KA1, HT1</v>
          </cell>
        </row>
        <row r="52">
          <cell r="C52" t="str">
            <v>213509109A7</v>
          </cell>
          <cell r="D52">
            <v>200</v>
          </cell>
          <cell r="E52" t="str">
            <v>Bình thường</v>
          </cell>
          <cell r="F52" t="str">
            <v>GS2</v>
          </cell>
          <cell r="G52" t="str">
            <v>GP1, AF1, AL1</v>
          </cell>
        </row>
        <row r="53">
          <cell r="C53" t="str">
            <v>213509052A28</v>
          </cell>
          <cell r="D53">
            <v>200</v>
          </cell>
          <cell r="E53" t="str">
            <v>Bình thường</v>
          </cell>
          <cell r="F53" t="str">
            <v>GS1</v>
          </cell>
          <cell r="G53" t="str">
            <v>GC1, ED1, LN1, BJ2, GC2, GS2, GP1, AF1, AL1</v>
          </cell>
        </row>
        <row r="54">
          <cell r="C54" t="str">
            <v>213509292A11</v>
          </cell>
          <cell r="D54">
            <v>200</v>
          </cell>
          <cell r="E54" t="str">
            <v>Bình thường</v>
          </cell>
          <cell r="F54" t="str">
            <v>LN1</v>
          </cell>
          <cell r="G54" t="str">
            <v>GS1</v>
          </cell>
        </row>
        <row r="55">
          <cell r="C55" t="str">
            <v>213510003B31</v>
          </cell>
          <cell r="D55">
            <v>200</v>
          </cell>
          <cell r="E55" t="str">
            <v>Bình thường</v>
          </cell>
          <cell r="F55" t="str">
            <v>GS1</v>
          </cell>
          <cell r="G55" t="str">
            <v>GC1, AF1</v>
          </cell>
        </row>
        <row r="56">
          <cell r="C56" t="str">
            <v>213508008A15</v>
          </cell>
          <cell r="D56">
            <v>182</v>
          </cell>
          <cell r="E56" t="str">
            <v>Bình thường</v>
          </cell>
          <cell r="F56" t="str">
            <v>LN1</v>
          </cell>
          <cell r="G56" t="str">
            <v>AF1</v>
          </cell>
        </row>
        <row r="57">
          <cell r="C57" t="str">
            <v>R6125010071</v>
          </cell>
          <cell r="D57">
            <v>173</v>
          </cell>
          <cell r="E57" t="str">
            <v>Bình thường</v>
          </cell>
          <cell r="F57" t="str">
            <v>BJ1</v>
          </cell>
          <cell r="G57" t="str">
            <v>VP</v>
          </cell>
        </row>
        <row r="58">
          <cell r="C58" t="str">
            <v>R21351094A3</v>
          </cell>
          <cell r="D58">
            <v>170</v>
          </cell>
          <cell r="E58" t="str">
            <v>Bình thường</v>
          </cell>
          <cell r="F58" t="str">
            <v>AF1</v>
          </cell>
          <cell r="G58" t="str">
            <v>AL1</v>
          </cell>
        </row>
        <row r="59">
          <cell r="C59" t="str">
            <v>213506078B40</v>
          </cell>
          <cell r="D59">
            <v>160</v>
          </cell>
          <cell r="E59" t="str">
            <v>Bình thường</v>
          </cell>
          <cell r="F59" t="str">
            <v>GS1</v>
          </cell>
          <cell r="G59" t="str">
            <v>AF1, AL1</v>
          </cell>
        </row>
        <row r="60">
          <cell r="C60" t="str">
            <v>L6245080062</v>
          </cell>
          <cell r="D60">
            <v>150</v>
          </cell>
          <cell r="E60" t="str">
            <v>Bình thường</v>
          </cell>
          <cell r="F60" t="str">
            <v>AF1</v>
          </cell>
          <cell r="G60" t="str">
            <v>VP</v>
          </cell>
        </row>
        <row r="61">
          <cell r="C61" t="str">
            <v>213506907A1</v>
          </cell>
          <cell r="D61">
            <v>150</v>
          </cell>
          <cell r="E61" t="str">
            <v>Bình thường</v>
          </cell>
          <cell r="F61" t="str">
            <v>ED1</v>
          </cell>
          <cell r="G61" t="str">
            <v>EW1, GS3, AF1, AL1</v>
          </cell>
        </row>
        <row r="62">
          <cell r="C62" t="str">
            <v>213509267A25</v>
          </cell>
          <cell r="D62">
            <v>150</v>
          </cell>
          <cell r="E62" t="str">
            <v>Bình thường</v>
          </cell>
          <cell r="F62" t="str">
            <v>LA1</v>
          </cell>
          <cell r="G62" t="str">
            <v>VP</v>
          </cell>
        </row>
        <row r="63">
          <cell r="C63" t="str">
            <v>L6125090061</v>
          </cell>
          <cell r="D63">
            <v>150</v>
          </cell>
          <cell r="E63" t="str">
            <v>Bình thường</v>
          </cell>
          <cell r="F63" t="str">
            <v>LN1</v>
          </cell>
          <cell r="G63" t="str">
            <v>BJ1, AF1</v>
          </cell>
        </row>
        <row r="64">
          <cell r="C64" t="str">
            <v>62350400541</v>
          </cell>
          <cell r="D64">
            <v>150</v>
          </cell>
          <cell r="E64" t="str">
            <v>Bình thường</v>
          </cell>
          <cell r="F64" t="str">
            <v>GS2</v>
          </cell>
          <cell r="G64" t="str">
            <v>AF1</v>
          </cell>
        </row>
        <row r="65">
          <cell r="C65" t="str">
            <v>213509218A19</v>
          </cell>
          <cell r="D65">
            <v>150</v>
          </cell>
          <cell r="E65" t="str">
            <v>Bình thường</v>
          </cell>
          <cell r="F65" t="str">
            <v>GS1</v>
          </cell>
          <cell r="G65" t="str">
            <v>GC1, ED1, LN1, BJ1, GC2, GS2, AF1, AL1</v>
          </cell>
        </row>
        <row r="66">
          <cell r="C66" t="str">
            <v>213509158A46</v>
          </cell>
          <cell r="D66">
            <v>146</v>
          </cell>
          <cell r="E66" t="str">
            <v>Bình thường</v>
          </cell>
          <cell r="F66" t="str">
            <v>MA1</v>
          </cell>
          <cell r="G66" t="str">
            <v>BJ1, HT1, EW1, GS1, WG1, GS2, EW2, AF1, AL1</v>
          </cell>
        </row>
        <row r="67">
          <cell r="C67" t="str">
            <v>R21351092A1</v>
          </cell>
          <cell r="D67">
            <v>144</v>
          </cell>
          <cell r="E67" t="str">
            <v>Bình thường</v>
          </cell>
          <cell r="F67" t="str">
            <v>AF1</v>
          </cell>
          <cell r="G67" t="str">
            <v>AL1</v>
          </cell>
        </row>
        <row r="68">
          <cell r="C68" t="str">
            <v>R21351095A4</v>
          </cell>
          <cell r="D68">
            <v>144</v>
          </cell>
          <cell r="E68" t="str">
            <v>Bình thường</v>
          </cell>
          <cell r="F68" t="str">
            <v>GS1</v>
          </cell>
          <cell r="G68" t="str">
            <v>AF1, AL1</v>
          </cell>
        </row>
        <row r="69">
          <cell r="C69" t="str">
            <v>213504147B79</v>
          </cell>
          <cell r="D69">
            <v>134</v>
          </cell>
          <cell r="E69" t="str">
            <v>Bình thường</v>
          </cell>
          <cell r="F69" t="str">
            <v>EW2</v>
          </cell>
          <cell r="G69" t="str">
            <v>AF1, AL1, GS3</v>
          </cell>
        </row>
        <row r="70">
          <cell r="C70" t="str">
            <v>R21351098A7</v>
          </cell>
          <cell r="D70">
            <v>125</v>
          </cell>
          <cell r="E70" t="str">
            <v>Bình thường</v>
          </cell>
          <cell r="F70" t="str">
            <v>GS1</v>
          </cell>
          <cell r="G70" t="str">
            <v>AF1, AL1</v>
          </cell>
        </row>
        <row r="71">
          <cell r="C71" t="str">
            <v>L2135023076</v>
          </cell>
          <cell r="D71">
            <v>124</v>
          </cell>
          <cell r="E71" t="str">
            <v>Bình thường</v>
          </cell>
          <cell r="F71" t="str">
            <v>MA1</v>
          </cell>
          <cell r="G71" t="str">
            <v>BJ1, AB1</v>
          </cell>
        </row>
        <row r="72">
          <cell r="C72" t="str">
            <v>L6245070202</v>
          </cell>
          <cell r="D72">
            <v>120</v>
          </cell>
          <cell r="E72" t="str">
            <v>Bình thường</v>
          </cell>
          <cell r="F72" t="str">
            <v>MA1</v>
          </cell>
          <cell r="G72" t="str">
            <v>BJ1, GS1, AB1</v>
          </cell>
        </row>
        <row r="73">
          <cell r="C73" t="str">
            <v>62350500791</v>
          </cell>
          <cell r="D73">
            <v>120</v>
          </cell>
          <cell r="E73" t="str">
            <v>Bình thường</v>
          </cell>
          <cell r="F73" t="str">
            <v>MA1</v>
          </cell>
          <cell r="G73" t="str">
            <v>BJ1, AF1, GS1, AB1</v>
          </cell>
        </row>
        <row r="74">
          <cell r="C74" t="str">
            <v>L6245070201</v>
          </cell>
          <cell r="D74">
            <v>120</v>
          </cell>
          <cell r="E74" t="str">
            <v>Bình thường</v>
          </cell>
          <cell r="F74" t="str">
            <v>BJ1</v>
          </cell>
          <cell r="G74" t="str">
            <v>DA1, AB1</v>
          </cell>
        </row>
        <row r="75">
          <cell r="C75" t="str">
            <v>L6235070052</v>
          </cell>
          <cell r="D75">
            <v>120</v>
          </cell>
          <cell r="E75" t="str">
            <v>Bình thường</v>
          </cell>
          <cell r="F75" t="str">
            <v>LN1</v>
          </cell>
          <cell r="G75" t="str">
            <v>MC1, AB1</v>
          </cell>
        </row>
        <row r="76">
          <cell r="C76" t="str">
            <v>L6245080022</v>
          </cell>
          <cell r="D76">
            <v>120</v>
          </cell>
          <cell r="E76" t="str">
            <v>Bình thường</v>
          </cell>
          <cell r="F76" t="str">
            <v>ED1</v>
          </cell>
          <cell r="G76" t="str">
            <v>EW1, GS2, AF1</v>
          </cell>
        </row>
        <row r="77">
          <cell r="C77" t="str">
            <v>62450800081</v>
          </cell>
          <cell r="D77">
            <v>120</v>
          </cell>
          <cell r="E77" t="str">
            <v>Bình thường</v>
          </cell>
          <cell r="F77" t="str">
            <v>LN1</v>
          </cell>
          <cell r="G77" t="str">
            <v>MC1, AF1, AB1</v>
          </cell>
        </row>
        <row r="78">
          <cell r="C78" t="str">
            <v>L6245080021</v>
          </cell>
          <cell r="D78">
            <v>120</v>
          </cell>
          <cell r="E78" t="str">
            <v>Bình thường</v>
          </cell>
          <cell r="F78" t="str">
            <v>MA1</v>
          </cell>
          <cell r="G78" t="str">
            <v>BJ1, AF1, GS1, AB1</v>
          </cell>
        </row>
        <row r="79">
          <cell r="C79" t="str">
            <v>62450800061</v>
          </cell>
          <cell r="D79">
            <v>120</v>
          </cell>
          <cell r="E79" t="str">
            <v>Bình thường</v>
          </cell>
          <cell r="F79" t="str">
            <v>LN1</v>
          </cell>
          <cell r="G79" t="str">
            <v>GS1, MC1, AF1</v>
          </cell>
        </row>
        <row r="80">
          <cell r="C80" t="str">
            <v>L6235070053</v>
          </cell>
          <cell r="D80">
            <v>120</v>
          </cell>
          <cell r="E80" t="str">
            <v>Bình thường</v>
          </cell>
          <cell r="F80" t="str">
            <v>BJ1</v>
          </cell>
          <cell r="G80" t="str">
            <v>GS1, MC1, AF1</v>
          </cell>
        </row>
        <row r="81">
          <cell r="C81" t="str">
            <v>R21351091A1</v>
          </cell>
          <cell r="D81">
            <v>119</v>
          </cell>
          <cell r="E81" t="str">
            <v>Bình thường</v>
          </cell>
          <cell r="F81" t="str">
            <v>GS1</v>
          </cell>
          <cell r="G81" t="str">
            <v>GC1, GP1, AF1, AL1</v>
          </cell>
        </row>
        <row r="82">
          <cell r="C82" t="str">
            <v>L6235070311</v>
          </cell>
          <cell r="D82">
            <v>112</v>
          </cell>
          <cell r="E82" t="str">
            <v>Bình thường</v>
          </cell>
          <cell r="F82" t="str">
            <v>LN1</v>
          </cell>
          <cell r="G82" t="str">
            <v>HT1, AF1, AB1</v>
          </cell>
        </row>
        <row r="83">
          <cell r="C83" t="str">
            <v>L6235070313</v>
          </cell>
          <cell r="D83">
            <v>112</v>
          </cell>
          <cell r="E83" t="str">
            <v>Bình thường</v>
          </cell>
          <cell r="F83" t="str">
            <v>LN1</v>
          </cell>
          <cell r="G83" t="str">
            <v>GS1, BJ1, AF1, AB1</v>
          </cell>
        </row>
        <row r="84">
          <cell r="C84" t="str">
            <v>213508509A21</v>
          </cell>
          <cell r="D84">
            <v>110</v>
          </cell>
          <cell r="E84" t="str">
            <v>Bình thường</v>
          </cell>
          <cell r="F84" t="str">
            <v>ED1</v>
          </cell>
          <cell r="G84" t="str">
            <v>EW1, GS2, AF1, AL1</v>
          </cell>
        </row>
        <row r="85">
          <cell r="C85" t="str">
            <v>213508027B43</v>
          </cell>
          <cell r="D85">
            <v>100</v>
          </cell>
          <cell r="E85" t="str">
            <v>Bình thường</v>
          </cell>
          <cell r="F85" t="str">
            <v>MA1</v>
          </cell>
          <cell r="G85" t="str">
            <v>BJ1, GS1, AF1, AB1</v>
          </cell>
        </row>
        <row r="86">
          <cell r="C86" t="str">
            <v>213507173A33</v>
          </cell>
          <cell r="D86">
            <v>100</v>
          </cell>
          <cell r="E86" t="str">
            <v>Bình thường</v>
          </cell>
          <cell r="F86" t="str">
            <v>GS1</v>
          </cell>
          <cell r="G86" t="str">
            <v>AF1, AL1</v>
          </cell>
        </row>
        <row r="87">
          <cell r="C87" t="str">
            <v>213509906A1</v>
          </cell>
          <cell r="D87">
            <v>100</v>
          </cell>
          <cell r="E87" t="str">
            <v>Bình thường</v>
          </cell>
          <cell r="F87" t="str">
            <v>GP1</v>
          </cell>
          <cell r="G87" t="str">
            <v>VP</v>
          </cell>
        </row>
        <row r="88">
          <cell r="C88" t="str">
            <v>61250700061</v>
          </cell>
          <cell r="D88">
            <v>100</v>
          </cell>
          <cell r="E88" t="str">
            <v>Bình thường</v>
          </cell>
          <cell r="F88" t="str">
            <v>LN1</v>
          </cell>
          <cell r="G88" t="str">
            <v>BJ1, DA1, HT1, AF1</v>
          </cell>
        </row>
        <row r="89">
          <cell r="C89" t="str">
            <v>213504067B70</v>
          </cell>
          <cell r="D89">
            <v>100</v>
          </cell>
          <cell r="E89" t="str">
            <v>Bình thường</v>
          </cell>
          <cell r="F89" t="str">
            <v>LN1</v>
          </cell>
          <cell r="G89" t="str">
            <v>BJ1, GC2, GS2, AF1, AL1</v>
          </cell>
        </row>
        <row r="90">
          <cell r="C90" t="str">
            <v>213507036B10</v>
          </cell>
          <cell r="D90">
            <v>100</v>
          </cell>
          <cell r="E90" t="str">
            <v>Bình thường</v>
          </cell>
          <cell r="F90" t="str">
            <v>BJ1</v>
          </cell>
          <cell r="G90" t="str">
            <v>GC2, GS2, AF1, AL1</v>
          </cell>
        </row>
        <row r="91">
          <cell r="C91" t="str">
            <v>213508016B14</v>
          </cell>
          <cell r="D91">
            <v>100</v>
          </cell>
          <cell r="E91" t="str">
            <v>Bình thường</v>
          </cell>
          <cell r="F91" t="str">
            <v>ED1</v>
          </cell>
          <cell r="G91" t="str">
            <v>LN1, BJ1, GC2, GS2, AF1, AL1</v>
          </cell>
        </row>
        <row r="92">
          <cell r="C92" t="str">
            <v>62250500381</v>
          </cell>
          <cell r="D92">
            <v>100</v>
          </cell>
          <cell r="E92" t="str">
            <v>Bình thường</v>
          </cell>
          <cell r="F92" t="str">
            <v>AA1</v>
          </cell>
          <cell r="G92" t="str">
            <v>MA1, MC1, AF1</v>
          </cell>
        </row>
        <row r="93">
          <cell r="C93" t="str">
            <v>213505025B19</v>
          </cell>
          <cell r="D93">
            <v>100</v>
          </cell>
          <cell r="E93" t="str">
            <v>Bình thường</v>
          </cell>
          <cell r="F93" t="str">
            <v>GS2</v>
          </cell>
          <cell r="G93" t="str">
            <v>AF1</v>
          </cell>
        </row>
        <row r="94">
          <cell r="C94" t="str">
            <v>61250900331</v>
          </cell>
          <cell r="D94">
            <v>100</v>
          </cell>
          <cell r="E94" t="str">
            <v>Bình thường</v>
          </cell>
          <cell r="F94" t="str">
            <v>LN1</v>
          </cell>
          <cell r="G94" t="str">
            <v>BJ1</v>
          </cell>
        </row>
        <row r="95">
          <cell r="C95" t="str">
            <v>213509095A32</v>
          </cell>
          <cell r="D95">
            <v>100</v>
          </cell>
          <cell r="E95" t="str">
            <v>Bình thường</v>
          </cell>
          <cell r="F95" t="str">
            <v>GS2</v>
          </cell>
          <cell r="G95" t="str">
            <v>GP1, AF1, AL1</v>
          </cell>
        </row>
        <row r="96">
          <cell r="C96" t="str">
            <v>213507075B10</v>
          </cell>
          <cell r="D96">
            <v>100</v>
          </cell>
          <cell r="E96" t="str">
            <v>Bình thường</v>
          </cell>
          <cell r="F96" t="str">
            <v>GS1</v>
          </cell>
          <cell r="G96" t="str">
            <v>AF1, AL1</v>
          </cell>
        </row>
        <row r="97">
          <cell r="C97" t="str">
            <v>213510022A21</v>
          </cell>
          <cell r="D97">
            <v>100</v>
          </cell>
          <cell r="E97" t="str">
            <v>Bình thường</v>
          </cell>
          <cell r="F97" t="str">
            <v>AA1</v>
          </cell>
          <cell r="G97" t="str">
            <v>BJ1, HT1, GS1, AF1, AL1</v>
          </cell>
        </row>
        <row r="98">
          <cell r="C98" t="str">
            <v>213508046B49</v>
          </cell>
          <cell r="D98">
            <v>100</v>
          </cell>
          <cell r="E98" t="str">
            <v>Bình thường</v>
          </cell>
          <cell r="F98" t="str">
            <v>GS1</v>
          </cell>
          <cell r="G98" t="str">
            <v>ED1, EW1, GS2, AF1</v>
          </cell>
        </row>
        <row r="99">
          <cell r="C99" t="str">
            <v>213505901B1</v>
          </cell>
          <cell r="D99">
            <v>100</v>
          </cell>
          <cell r="E99" t="str">
            <v>Bình thường</v>
          </cell>
          <cell r="F99" t="str">
            <v>GC1</v>
          </cell>
          <cell r="G99" t="str">
            <v>GS1, AF2</v>
          </cell>
        </row>
        <row r="100">
          <cell r="C100" t="str">
            <v>L6125090101</v>
          </cell>
          <cell r="D100">
            <v>100</v>
          </cell>
          <cell r="E100" t="str">
            <v>Bình thường</v>
          </cell>
          <cell r="F100" t="str">
            <v>LN1</v>
          </cell>
          <cell r="G100" t="str">
            <v>KT</v>
          </cell>
        </row>
        <row r="101">
          <cell r="C101" t="str">
            <v>213509231A33</v>
          </cell>
          <cell r="D101">
            <v>100</v>
          </cell>
          <cell r="E101" t="str">
            <v>Bình thường</v>
          </cell>
          <cell r="F101" t="str">
            <v>AA1</v>
          </cell>
          <cell r="G101" t="str">
            <v>MA1, MC1, AF1</v>
          </cell>
        </row>
        <row r="102">
          <cell r="C102" t="str">
            <v>L6125090102</v>
          </cell>
          <cell r="D102">
            <v>100</v>
          </cell>
          <cell r="E102" t="str">
            <v>Bình thường</v>
          </cell>
          <cell r="F102" t="str">
            <v>LN1</v>
          </cell>
          <cell r="G102" t="str">
            <v>KT</v>
          </cell>
        </row>
        <row r="103">
          <cell r="C103" t="str">
            <v>213510034A34</v>
          </cell>
          <cell r="D103">
            <v>100</v>
          </cell>
          <cell r="E103" t="str">
            <v>Bình thường</v>
          </cell>
          <cell r="F103" t="str">
            <v>AA1</v>
          </cell>
          <cell r="G103" t="str">
            <v>MA1, MC1, AF1</v>
          </cell>
        </row>
        <row r="104">
          <cell r="C104" t="str">
            <v>62451000091</v>
          </cell>
          <cell r="D104">
            <v>100</v>
          </cell>
          <cell r="E104" t="str">
            <v>Bình thường</v>
          </cell>
          <cell r="F104" t="str">
            <v>LN1</v>
          </cell>
          <cell r="G104" t="str">
            <v>BJ1, AF1</v>
          </cell>
        </row>
        <row r="105">
          <cell r="C105" t="str">
            <v>213510001B25</v>
          </cell>
          <cell r="D105">
            <v>100</v>
          </cell>
          <cell r="E105" t="str">
            <v>Bình thường</v>
          </cell>
          <cell r="F105" t="str">
            <v>GS1</v>
          </cell>
          <cell r="G105" t="str">
            <v>GC1, ED1, LN1, GC2, BJ1, AF1, AL1</v>
          </cell>
        </row>
        <row r="106">
          <cell r="C106" t="str">
            <v>L6125090052</v>
          </cell>
          <cell r="D106">
            <v>100</v>
          </cell>
          <cell r="E106" t="str">
            <v>Bình thường</v>
          </cell>
          <cell r="F106" t="str">
            <v>LN1</v>
          </cell>
          <cell r="G106" t="str">
            <v>BJ1, KA1, LT1, AF1</v>
          </cell>
        </row>
        <row r="107">
          <cell r="C107" t="str">
            <v>L6125090051</v>
          </cell>
          <cell r="D107">
            <v>100</v>
          </cell>
          <cell r="E107" t="str">
            <v>Bình thường</v>
          </cell>
          <cell r="F107" t="str">
            <v>LN1</v>
          </cell>
          <cell r="G107" t="str">
            <v>BJ1, KA1, LT1, AF1</v>
          </cell>
        </row>
        <row r="108">
          <cell r="C108" t="str">
            <v>213507091B9</v>
          </cell>
          <cell r="D108">
            <v>95</v>
          </cell>
          <cell r="E108" t="str">
            <v>Bình thường</v>
          </cell>
          <cell r="F108" t="str">
            <v>GC1</v>
          </cell>
          <cell r="G108" t="str">
            <v>GS2, GP1, AF1</v>
          </cell>
        </row>
        <row r="109">
          <cell r="C109" t="str">
            <v>L4155090023</v>
          </cell>
          <cell r="D109">
            <v>80</v>
          </cell>
          <cell r="E109" t="str">
            <v>Bình thường</v>
          </cell>
          <cell r="F109" t="str">
            <v>BJ1</v>
          </cell>
          <cell r="G109" t="str">
            <v>AF1</v>
          </cell>
        </row>
        <row r="110">
          <cell r="C110" t="str">
            <v>L6225060031</v>
          </cell>
          <cell r="D110">
            <v>80</v>
          </cell>
          <cell r="E110" t="str">
            <v>Bình thường</v>
          </cell>
          <cell r="F110" t="str">
            <v>DA1</v>
          </cell>
          <cell r="G110" t="str">
            <v>WG1, AB1</v>
          </cell>
        </row>
        <row r="111">
          <cell r="C111" t="str">
            <v>L6225080011</v>
          </cell>
          <cell r="D111">
            <v>80</v>
          </cell>
          <cell r="E111" t="str">
            <v>Bình thường</v>
          </cell>
          <cell r="F111" t="str">
            <v>MA1</v>
          </cell>
          <cell r="G111" t="str">
            <v>MC1, AF1</v>
          </cell>
        </row>
        <row r="112">
          <cell r="C112" t="str">
            <v>L6245040131</v>
          </cell>
          <cell r="D112">
            <v>80</v>
          </cell>
          <cell r="E112" t="str">
            <v>Bình thường</v>
          </cell>
          <cell r="F112" t="str">
            <v>MA1</v>
          </cell>
          <cell r="G112" t="str">
            <v>BJ1, AF1</v>
          </cell>
        </row>
        <row r="113">
          <cell r="C113" t="str">
            <v>62451000101</v>
          </cell>
          <cell r="D113">
            <v>79</v>
          </cell>
          <cell r="E113" t="str">
            <v>Bình thường</v>
          </cell>
          <cell r="F113" t="str">
            <v>LN1</v>
          </cell>
          <cell r="G113" t="str">
            <v>BJ1, DA1, AF1, AB1</v>
          </cell>
        </row>
        <row r="114">
          <cell r="C114" t="str">
            <v>62451000141</v>
          </cell>
          <cell r="D114">
            <v>79</v>
          </cell>
          <cell r="E114" t="str">
            <v>Bình thường</v>
          </cell>
          <cell r="F114" t="str">
            <v>AA1</v>
          </cell>
          <cell r="G114" t="str">
            <v>MA1, AA2, BJ1, HT1, GS1</v>
          </cell>
        </row>
        <row r="115">
          <cell r="C115" t="str">
            <v>62451000131</v>
          </cell>
          <cell r="D115">
            <v>79</v>
          </cell>
          <cell r="E115" t="str">
            <v>Bình thường</v>
          </cell>
          <cell r="F115" t="str">
            <v>LN1</v>
          </cell>
          <cell r="G115" t="str">
            <v>BJ1, MC1, HT1, AB1</v>
          </cell>
        </row>
        <row r="116">
          <cell r="C116" t="str">
            <v>L2135023081</v>
          </cell>
          <cell r="D116">
            <v>74</v>
          </cell>
          <cell r="E116" t="str">
            <v>Bình thường</v>
          </cell>
          <cell r="F116" t="str">
            <v>MA1</v>
          </cell>
          <cell r="G116" t="str">
            <v>MC1</v>
          </cell>
        </row>
        <row r="117">
          <cell r="C117" t="str">
            <v>L2135023082</v>
          </cell>
          <cell r="D117">
            <v>74</v>
          </cell>
          <cell r="E117" t="str">
            <v>Bình thường</v>
          </cell>
          <cell r="F117" t="str">
            <v>MA1</v>
          </cell>
          <cell r="G117" t="str">
            <v>MC1</v>
          </cell>
        </row>
        <row r="118">
          <cell r="C118" t="str">
            <v>L63050205411</v>
          </cell>
          <cell r="D118">
            <v>72</v>
          </cell>
          <cell r="E118" t="str">
            <v>Bình thường</v>
          </cell>
          <cell r="F118" t="str">
            <v>MC1</v>
          </cell>
          <cell r="G118" t="str">
            <v>AF1, AB1</v>
          </cell>
        </row>
        <row r="119">
          <cell r="C119" t="str">
            <v>L6225090085</v>
          </cell>
          <cell r="D119">
            <v>72</v>
          </cell>
          <cell r="E119" t="str">
            <v>Bình thường</v>
          </cell>
          <cell r="F119" t="str">
            <v>LN1</v>
          </cell>
          <cell r="G119" t="str">
            <v>MC1, AF1, AB1</v>
          </cell>
        </row>
        <row r="120">
          <cell r="C120" t="str">
            <v>213507093B11</v>
          </cell>
          <cell r="D120">
            <v>70</v>
          </cell>
          <cell r="E120" t="str">
            <v>Bình thường</v>
          </cell>
          <cell r="F120" t="str">
            <v>GC1</v>
          </cell>
          <cell r="G120" t="str">
            <v>GP1, AF1</v>
          </cell>
        </row>
        <row r="121">
          <cell r="C121" t="str">
            <v>L6225030031</v>
          </cell>
          <cell r="D121">
            <v>68</v>
          </cell>
          <cell r="E121" t="str">
            <v>Bình thường</v>
          </cell>
          <cell r="F121" t="str">
            <v>AF1</v>
          </cell>
          <cell r="G121" t="str">
            <v>VP</v>
          </cell>
        </row>
        <row r="122">
          <cell r="C122" t="str">
            <v>41351000391</v>
          </cell>
          <cell r="D122">
            <v>64</v>
          </cell>
          <cell r="E122" t="str">
            <v>Khẩn</v>
          </cell>
          <cell r="F122" t="str">
            <v>AA1</v>
          </cell>
          <cell r="G122" t="str">
            <v>MA1, BJ1, AF1</v>
          </cell>
        </row>
        <row r="123">
          <cell r="C123" t="str">
            <v>L4155090021</v>
          </cell>
          <cell r="D123">
            <v>64</v>
          </cell>
          <cell r="E123" t="str">
            <v>Bình thường</v>
          </cell>
          <cell r="F123" t="str">
            <v>LN1</v>
          </cell>
          <cell r="G123" t="str">
            <v>BJ1, AB1</v>
          </cell>
        </row>
        <row r="124">
          <cell r="C124" t="str">
            <v>L4155090022</v>
          </cell>
          <cell r="D124">
            <v>64</v>
          </cell>
          <cell r="E124" t="str">
            <v>Bình thường</v>
          </cell>
          <cell r="F124" t="str">
            <v>AF1</v>
          </cell>
          <cell r="G124" t="str">
            <v>KT</v>
          </cell>
        </row>
        <row r="125">
          <cell r="C125" t="str">
            <v>213507510A15</v>
          </cell>
          <cell r="D125">
            <v>64</v>
          </cell>
          <cell r="E125" t="str">
            <v>Bình thường</v>
          </cell>
          <cell r="F125" t="str">
            <v>MC1</v>
          </cell>
          <cell r="G125" t="str">
            <v>KA1, AF1, MC2, AF2, AL1</v>
          </cell>
        </row>
        <row r="126">
          <cell r="C126" t="str">
            <v>L2135023074</v>
          </cell>
          <cell r="D126">
            <v>62</v>
          </cell>
          <cell r="E126" t="str">
            <v>Bình thường</v>
          </cell>
          <cell r="F126" t="str">
            <v>BJ1</v>
          </cell>
          <cell r="G126" t="str">
            <v>DA1</v>
          </cell>
        </row>
        <row r="127">
          <cell r="C127" t="str">
            <v>L2135023071</v>
          </cell>
          <cell r="D127">
            <v>62</v>
          </cell>
          <cell r="E127" t="str">
            <v>Bình thường</v>
          </cell>
          <cell r="F127" t="str">
            <v>MA1</v>
          </cell>
          <cell r="G127" t="str">
            <v>MC1</v>
          </cell>
        </row>
        <row r="128">
          <cell r="C128" t="str">
            <v>L2135023072</v>
          </cell>
          <cell r="D128">
            <v>62</v>
          </cell>
          <cell r="E128" t="str">
            <v>Bình thường</v>
          </cell>
          <cell r="F128" t="str">
            <v>MC1</v>
          </cell>
          <cell r="G128" t="str">
            <v>VP</v>
          </cell>
        </row>
        <row r="129">
          <cell r="C129" t="str">
            <v>L6245080081</v>
          </cell>
          <cell r="D129">
            <v>60</v>
          </cell>
          <cell r="E129" t="str">
            <v>Bình thường</v>
          </cell>
          <cell r="F129" t="str">
            <v>MC1</v>
          </cell>
          <cell r="G129" t="str">
            <v>AB1</v>
          </cell>
        </row>
        <row r="130">
          <cell r="C130" t="str">
            <v>L6245080083</v>
          </cell>
          <cell r="D130">
            <v>60</v>
          </cell>
          <cell r="E130" t="str">
            <v>Bình thường</v>
          </cell>
          <cell r="F130" t="str">
            <v>AA1</v>
          </cell>
          <cell r="G130" t="str">
            <v>MA1, BJ1, HT1, GS1, AF1</v>
          </cell>
        </row>
        <row r="131">
          <cell r="C131" t="str">
            <v>21350781051</v>
          </cell>
          <cell r="D131">
            <v>60</v>
          </cell>
          <cell r="E131" t="str">
            <v>Bình thường</v>
          </cell>
          <cell r="F131" t="str">
            <v>MC1</v>
          </cell>
          <cell r="G131" t="str">
            <v>KA1, AF1, MC2, AF2</v>
          </cell>
        </row>
        <row r="132">
          <cell r="C132" t="str">
            <v>L6235010172</v>
          </cell>
          <cell r="D132">
            <v>60</v>
          </cell>
          <cell r="E132" t="str">
            <v>Bình thường</v>
          </cell>
          <cell r="F132" t="str">
            <v>BJ1</v>
          </cell>
          <cell r="G132" t="str">
            <v>DA1, AB1</v>
          </cell>
        </row>
        <row r="133">
          <cell r="C133" t="str">
            <v>L6245080082</v>
          </cell>
          <cell r="D133">
            <v>60</v>
          </cell>
          <cell r="E133" t="str">
            <v>Bình thường</v>
          </cell>
          <cell r="F133" t="str">
            <v>LN1</v>
          </cell>
          <cell r="G133" t="str">
            <v>BJ1, MC1, HT1, AF1, AB1</v>
          </cell>
        </row>
        <row r="134">
          <cell r="C134" t="str">
            <v>L6235090024</v>
          </cell>
          <cell r="D134">
            <v>60</v>
          </cell>
          <cell r="E134" t="str">
            <v>Bình thường</v>
          </cell>
          <cell r="F134" t="str">
            <v>MA1</v>
          </cell>
          <cell r="G134" t="str">
            <v>GS1, MC1, AB1</v>
          </cell>
        </row>
        <row r="135">
          <cell r="C135" t="str">
            <v>L6235090022</v>
          </cell>
          <cell r="D135">
            <v>60</v>
          </cell>
          <cell r="E135" t="str">
            <v>Bình thường</v>
          </cell>
          <cell r="F135" t="str">
            <v>MA1</v>
          </cell>
          <cell r="G135" t="str">
            <v>BJ1, DA1, GS1, GJ1, AB1</v>
          </cell>
        </row>
        <row r="136">
          <cell r="C136" t="str">
            <v>L6115060213</v>
          </cell>
          <cell r="D136">
            <v>60</v>
          </cell>
          <cell r="E136" t="str">
            <v>Bình thường</v>
          </cell>
          <cell r="F136" t="str">
            <v>BJ1</v>
          </cell>
          <cell r="G136" t="str">
            <v>HT1, AF1, AB1</v>
          </cell>
        </row>
        <row r="137">
          <cell r="C137" t="str">
            <v>21350981001</v>
          </cell>
          <cell r="D137">
            <v>60</v>
          </cell>
          <cell r="E137" t="str">
            <v>Bình thường</v>
          </cell>
          <cell r="F137" t="str">
            <v>MC1</v>
          </cell>
          <cell r="G137" t="str">
            <v>AF1</v>
          </cell>
        </row>
        <row r="138">
          <cell r="C138" t="str">
            <v>L6245070081</v>
          </cell>
          <cell r="D138">
            <v>60</v>
          </cell>
          <cell r="E138" t="str">
            <v>Bình thường</v>
          </cell>
          <cell r="F138" t="str">
            <v>AA1</v>
          </cell>
          <cell r="G138" t="str">
            <v>MC1, GS1, AF1</v>
          </cell>
        </row>
        <row r="139">
          <cell r="C139" t="str">
            <v>213509088A21</v>
          </cell>
          <cell r="D139">
            <v>60</v>
          </cell>
          <cell r="E139" t="str">
            <v>Bình thường</v>
          </cell>
          <cell r="F139" t="str">
            <v>LN1</v>
          </cell>
          <cell r="G139" t="str">
            <v>AF1</v>
          </cell>
        </row>
        <row r="140">
          <cell r="C140" t="str">
            <v>213508122A9</v>
          </cell>
          <cell r="D140">
            <v>60</v>
          </cell>
          <cell r="E140" t="str">
            <v>Bình thường</v>
          </cell>
          <cell r="F140" t="str">
            <v>GS1</v>
          </cell>
          <cell r="G140" t="str">
            <v>GC1, AF1</v>
          </cell>
        </row>
        <row r="141">
          <cell r="C141" t="str">
            <v>213506111B24</v>
          </cell>
          <cell r="D141">
            <v>60</v>
          </cell>
          <cell r="E141" t="str">
            <v>Bình thường</v>
          </cell>
          <cell r="F141" t="str">
            <v>MC2</v>
          </cell>
          <cell r="G141" t="str">
            <v>AF2, AL1</v>
          </cell>
        </row>
        <row r="142">
          <cell r="C142" t="str">
            <v>21351081001</v>
          </cell>
          <cell r="D142">
            <v>60</v>
          </cell>
          <cell r="E142" t="str">
            <v>Bình thường</v>
          </cell>
          <cell r="F142" t="str">
            <v>LN1</v>
          </cell>
          <cell r="G142" t="str">
            <v>AF1</v>
          </cell>
        </row>
        <row r="143">
          <cell r="C143" t="str">
            <v>R21351080A35</v>
          </cell>
          <cell r="D143">
            <v>58</v>
          </cell>
          <cell r="E143" t="str">
            <v>Bình thường</v>
          </cell>
          <cell r="F143" t="str">
            <v>GS1</v>
          </cell>
          <cell r="G143" t="str">
            <v>GP1, AF1, AL1</v>
          </cell>
        </row>
        <row r="144">
          <cell r="C144" t="str">
            <v>L6235060111</v>
          </cell>
          <cell r="D144">
            <v>54</v>
          </cell>
          <cell r="E144" t="str">
            <v>Bình thường</v>
          </cell>
          <cell r="F144" t="str">
            <v>BJ1</v>
          </cell>
          <cell r="G144" t="str">
            <v>AB1</v>
          </cell>
        </row>
        <row r="145">
          <cell r="C145" t="str">
            <v>R21351099A2</v>
          </cell>
          <cell r="D145">
            <v>54</v>
          </cell>
          <cell r="E145" t="str">
            <v>Bình thường</v>
          </cell>
          <cell r="F145" t="str">
            <v>GP1</v>
          </cell>
          <cell r="G145" t="str">
            <v>AF1, AL1</v>
          </cell>
        </row>
        <row r="146">
          <cell r="C146" t="str">
            <v>L6235060113</v>
          </cell>
          <cell r="D146">
            <v>54</v>
          </cell>
          <cell r="E146" t="str">
            <v>Bình thường</v>
          </cell>
          <cell r="F146" t="str">
            <v>GR1</v>
          </cell>
          <cell r="G146" t="str">
            <v>GS1, EW1, AF1, AB1</v>
          </cell>
        </row>
        <row r="147">
          <cell r="C147" t="str">
            <v>R21351093A2</v>
          </cell>
          <cell r="D147">
            <v>52</v>
          </cell>
          <cell r="E147" t="str">
            <v>Bình thường</v>
          </cell>
          <cell r="F147" t="str">
            <v>GS1</v>
          </cell>
          <cell r="G147" t="str">
            <v>GC1, AF1, AL1</v>
          </cell>
        </row>
        <row r="148">
          <cell r="C148" t="str">
            <v>62250900221</v>
          </cell>
          <cell r="D148">
            <v>50</v>
          </cell>
          <cell r="E148" t="str">
            <v>Bình thường</v>
          </cell>
          <cell r="F148" t="str">
            <v>LA1</v>
          </cell>
          <cell r="G148" t="str">
            <v>VP</v>
          </cell>
        </row>
        <row r="149">
          <cell r="C149" t="str">
            <v>L6245070182</v>
          </cell>
          <cell r="D149">
            <v>50</v>
          </cell>
          <cell r="E149" t="str">
            <v>Bình thường</v>
          </cell>
          <cell r="F149" t="str">
            <v>LA1</v>
          </cell>
          <cell r="G149" t="str">
            <v>VP</v>
          </cell>
        </row>
        <row r="150">
          <cell r="C150" t="str">
            <v>213509237A40</v>
          </cell>
          <cell r="D150">
            <v>50</v>
          </cell>
          <cell r="E150" t="str">
            <v>Bình thường</v>
          </cell>
          <cell r="F150" t="str">
            <v>LA1</v>
          </cell>
          <cell r="G150" t="str">
            <v>VP</v>
          </cell>
        </row>
        <row r="151">
          <cell r="C151" t="str">
            <v>62350800761</v>
          </cell>
          <cell r="D151">
            <v>50</v>
          </cell>
          <cell r="E151" t="str">
            <v>Bình thường</v>
          </cell>
          <cell r="F151" t="str">
            <v>GS1</v>
          </cell>
          <cell r="G151" t="str">
            <v>AB1</v>
          </cell>
        </row>
        <row r="152">
          <cell r="C152" t="str">
            <v>213509233A36</v>
          </cell>
          <cell r="D152">
            <v>50</v>
          </cell>
          <cell r="E152" t="str">
            <v>Bình thường</v>
          </cell>
          <cell r="F152" t="str">
            <v>AF1</v>
          </cell>
          <cell r="G152" t="str">
            <v>ED1, EW1</v>
          </cell>
        </row>
        <row r="153">
          <cell r="C153" t="str">
            <v>213508161A19</v>
          </cell>
          <cell r="D153">
            <v>50</v>
          </cell>
          <cell r="E153" t="str">
            <v>Bình thường</v>
          </cell>
          <cell r="F153" t="str">
            <v>GS1</v>
          </cell>
          <cell r="G153" t="str">
            <v>AF1, AL1</v>
          </cell>
        </row>
        <row r="154">
          <cell r="C154" t="str">
            <v>L6305060021</v>
          </cell>
          <cell r="D154">
            <v>50</v>
          </cell>
          <cell r="E154" t="str">
            <v>Bình thường</v>
          </cell>
          <cell r="F154" t="str">
            <v>MA1</v>
          </cell>
          <cell r="G154" t="str">
            <v>BJ1, HT1, GS1, AF1, AB1</v>
          </cell>
        </row>
        <row r="155">
          <cell r="C155" t="str">
            <v>213506911B1</v>
          </cell>
          <cell r="D155">
            <v>50</v>
          </cell>
          <cell r="E155" t="str">
            <v>Bình thường</v>
          </cell>
          <cell r="F155" t="str">
            <v>HT2</v>
          </cell>
          <cell r="G155" t="str">
            <v>AF2, AL1</v>
          </cell>
        </row>
        <row r="156">
          <cell r="C156" t="str">
            <v>213508024B30</v>
          </cell>
          <cell r="D156">
            <v>50</v>
          </cell>
          <cell r="E156" t="str">
            <v>Bình thường</v>
          </cell>
          <cell r="F156" t="str">
            <v>GS1</v>
          </cell>
          <cell r="G156" t="str">
            <v>AF1, AL1</v>
          </cell>
        </row>
        <row r="157">
          <cell r="C157" t="str">
            <v>213507097B21</v>
          </cell>
          <cell r="D157">
            <v>50</v>
          </cell>
          <cell r="E157" t="str">
            <v>Bình thường</v>
          </cell>
          <cell r="F157" t="str">
            <v>WG1</v>
          </cell>
          <cell r="G157" t="str">
            <v>GS2, EW2, AF1, AL1</v>
          </cell>
        </row>
        <row r="158">
          <cell r="C158" t="str">
            <v>L6235090161</v>
          </cell>
          <cell r="D158">
            <v>50</v>
          </cell>
          <cell r="E158" t="str">
            <v>Bình thường</v>
          </cell>
          <cell r="F158" t="str">
            <v>AA1</v>
          </cell>
          <cell r="G158" t="str">
            <v>MA1, LA1, BJ1, DA1</v>
          </cell>
        </row>
        <row r="159">
          <cell r="C159" t="str">
            <v>L6235090251</v>
          </cell>
          <cell r="D159">
            <v>50</v>
          </cell>
          <cell r="E159" t="str">
            <v>Bình thường</v>
          </cell>
          <cell r="F159" t="str">
            <v>AA1</v>
          </cell>
          <cell r="G159" t="str">
            <v>MA1, BJ1, DA1</v>
          </cell>
        </row>
        <row r="160">
          <cell r="C160" t="str">
            <v>62450800231</v>
          </cell>
          <cell r="D160">
            <v>50</v>
          </cell>
          <cell r="E160" t="str">
            <v>Bình thường</v>
          </cell>
          <cell r="F160" t="str">
            <v>MA1</v>
          </cell>
          <cell r="G160" t="str">
            <v>BJ1, WG1, AB1</v>
          </cell>
        </row>
        <row r="161">
          <cell r="C161" t="str">
            <v>213506116B25</v>
          </cell>
          <cell r="D161">
            <v>50</v>
          </cell>
          <cell r="E161" t="str">
            <v>Bình thường</v>
          </cell>
          <cell r="F161" t="str">
            <v>WG1</v>
          </cell>
          <cell r="G161" t="str">
            <v>GS2, EW2, AF1, AL1</v>
          </cell>
        </row>
        <row r="162">
          <cell r="C162" t="str">
            <v>62350800751</v>
          </cell>
          <cell r="D162">
            <v>50</v>
          </cell>
          <cell r="E162" t="str">
            <v>Bình thường</v>
          </cell>
          <cell r="F162" t="str">
            <v>GS1</v>
          </cell>
          <cell r="G162" t="str">
            <v>AF1</v>
          </cell>
        </row>
        <row r="163">
          <cell r="C163" t="str">
            <v>L6245070181</v>
          </cell>
          <cell r="D163">
            <v>50</v>
          </cell>
          <cell r="E163" t="str">
            <v>Bình thường</v>
          </cell>
          <cell r="F163" t="str">
            <v>MC1</v>
          </cell>
          <cell r="G163" t="str">
            <v>AF1</v>
          </cell>
        </row>
        <row r="164">
          <cell r="C164" t="str">
            <v>213509015B19</v>
          </cell>
          <cell r="D164">
            <v>50</v>
          </cell>
          <cell r="E164" t="str">
            <v>Bình thường</v>
          </cell>
          <cell r="F164" t="str">
            <v>AA1</v>
          </cell>
          <cell r="G164" t="str">
            <v>BJ1, HT1, GS1, AF1, AL1</v>
          </cell>
        </row>
        <row r="165">
          <cell r="C165" t="str">
            <v>213509020B39</v>
          </cell>
          <cell r="D165">
            <v>50</v>
          </cell>
          <cell r="E165" t="str">
            <v>Bình thường</v>
          </cell>
          <cell r="F165" t="str">
            <v>GS1</v>
          </cell>
          <cell r="G165" t="str">
            <v>AF1, AL1</v>
          </cell>
        </row>
        <row r="166">
          <cell r="C166" t="str">
            <v>213507101B25</v>
          </cell>
          <cell r="D166">
            <v>50</v>
          </cell>
          <cell r="E166" t="str">
            <v>Bình thường</v>
          </cell>
          <cell r="F166" t="str">
            <v>GC1</v>
          </cell>
          <cell r="G166" t="str">
            <v>GS2, KA1, GS3</v>
          </cell>
        </row>
        <row r="167">
          <cell r="C167" t="str">
            <v>21350881001</v>
          </cell>
          <cell r="D167">
            <v>50</v>
          </cell>
          <cell r="E167" t="str">
            <v>Bình thường</v>
          </cell>
          <cell r="F167" t="str">
            <v>MA1</v>
          </cell>
          <cell r="G167" t="str">
            <v>BJ1, GS1, MC1, EW1, AF1</v>
          </cell>
        </row>
        <row r="168">
          <cell r="C168" t="str">
            <v>213509305A30</v>
          </cell>
          <cell r="D168">
            <v>50</v>
          </cell>
          <cell r="E168" t="str">
            <v>Bình thường</v>
          </cell>
          <cell r="F168" t="str">
            <v>MA1</v>
          </cell>
          <cell r="G168" t="str">
            <v>AA2, BJ1, DA1, GS1, AB1</v>
          </cell>
        </row>
        <row r="169">
          <cell r="C169" t="str">
            <v>213508075A19</v>
          </cell>
          <cell r="D169">
            <v>50</v>
          </cell>
          <cell r="E169" t="str">
            <v>Bình thường</v>
          </cell>
          <cell r="F169" t="str">
            <v>GS1</v>
          </cell>
          <cell r="G169" t="str">
            <v>GC1, GP1, GS2</v>
          </cell>
        </row>
        <row r="170">
          <cell r="C170" t="str">
            <v>213505093A20</v>
          </cell>
          <cell r="D170">
            <v>50</v>
          </cell>
          <cell r="E170" t="str">
            <v>Bình thường</v>
          </cell>
          <cell r="F170" t="str">
            <v>LN1</v>
          </cell>
          <cell r="G170" t="str">
            <v>KT</v>
          </cell>
        </row>
        <row r="171">
          <cell r="C171" t="str">
            <v>L6305080871</v>
          </cell>
          <cell r="D171">
            <v>50</v>
          </cell>
          <cell r="E171" t="str">
            <v>Bình thường</v>
          </cell>
          <cell r="F171" t="str">
            <v>MA1</v>
          </cell>
          <cell r="G171" t="str">
            <v>BJ1, HT1, GS1, AF1, AB1</v>
          </cell>
        </row>
        <row r="172">
          <cell r="C172" t="str">
            <v>213507084B7</v>
          </cell>
          <cell r="D172">
            <v>50</v>
          </cell>
          <cell r="E172" t="str">
            <v>Bình thường</v>
          </cell>
          <cell r="F172" t="str">
            <v>EW1</v>
          </cell>
          <cell r="G172" t="str">
            <v>GS2, MC1, AF1, AL1</v>
          </cell>
        </row>
        <row r="173">
          <cell r="C173" t="str">
            <v>213505084B27</v>
          </cell>
          <cell r="D173">
            <v>50</v>
          </cell>
          <cell r="E173" t="str">
            <v>Bình thường</v>
          </cell>
          <cell r="F173" t="str">
            <v>GS2</v>
          </cell>
          <cell r="G173" t="str">
            <v>MC1, AF1, AL1</v>
          </cell>
        </row>
        <row r="174">
          <cell r="C174" t="str">
            <v>213509219A20</v>
          </cell>
          <cell r="D174">
            <v>50</v>
          </cell>
          <cell r="E174" t="str">
            <v>Bình thường</v>
          </cell>
          <cell r="F174" t="str">
            <v>AA1</v>
          </cell>
          <cell r="G174" t="str">
            <v>BJ1, HT1, GS1, AF1, AL1</v>
          </cell>
        </row>
        <row r="175">
          <cell r="C175" t="str">
            <v>213506058A13</v>
          </cell>
          <cell r="D175">
            <v>50</v>
          </cell>
          <cell r="E175" t="str">
            <v>Bình thường</v>
          </cell>
          <cell r="F175" t="str">
            <v>GS2</v>
          </cell>
          <cell r="G175" t="str">
            <v>KT</v>
          </cell>
        </row>
        <row r="176">
          <cell r="C176" t="str">
            <v>L6245070183</v>
          </cell>
          <cell r="D176">
            <v>50</v>
          </cell>
          <cell r="E176" t="str">
            <v>Bình thường</v>
          </cell>
          <cell r="F176" t="str">
            <v>MA1</v>
          </cell>
          <cell r="G176" t="str">
            <v>GS1, BJ1, DA1</v>
          </cell>
        </row>
        <row r="177">
          <cell r="C177" t="str">
            <v>213503012B44</v>
          </cell>
          <cell r="D177">
            <v>50</v>
          </cell>
          <cell r="E177" t="str">
            <v>Bình thường</v>
          </cell>
          <cell r="F177" t="str">
            <v>GS3</v>
          </cell>
          <cell r="G177" t="str">
            <v>KT</v>
          </cell>
        </row>
        <row r="178">
          <cell r="C178" t="str">
            <v>213509012B6</v>
          </cell>
          <cell r="D178">
            <v>50</v>
          </cell>
          <cell r="E178" t="str">
            <v>Bình thường</v>
          </cell>
          <cell r="F178" t="str">
            <v>MC1</v>
          </cell>
          <cell r="G178" t="str">
            <v>AF1</v>
          </cell>
        </row>
        <row r="179">
          <cell r="C179" t="str">
            <v>21351070011</v>
          </cell>
          <cell r="D179">
            <v>50</v>
          </cell>
          <cell r="E179" t="str">
            <v>Bình thường</v>
          </cell>
          <cell r="F179" t="str">
            <v>LN1</v>
          </cell>
          <cell r="G179" t="str">
            <v>BJ1, AF1</v>
          </cell>
        </row>
        <row r="180">
          <cell r="C180" t="str">
            <v>213505034B31</v>
          </cell>
          <cell r="D180">
            <v>50</v>
          </cell>
          <cell r="E180" t="str">
            <v>Bình thường</v>
          </cell>
          <cell r="F180" t="str">
            <v>GS2</v>
          </cell>
          <cell r="G180" t="str">
            <v>EW2, AF1, AL1, GS3</v>
          </cell>
        </row>
        <row r="181">
          <cell r="C181" t="str">
            <v>213509054B2</v>
          </cell>
          <cell r="D181">
            <v>50</v>
          </cell>
          <cell r="E181" t="str">
            <v>Bình thường</v>
          </cell>
          <cell r="F181" t="str">
            <v>MC1</v>
          </cell>
          <cell r="G181" t="str">
            <v>AF1</v>
          </cell>
        </row>
        <row r="182">
          <cell r="C182" t="str">
            <v>213507062A21</v>
          </cell>
          <cell r="D182">
            <v>50</v>
          </cell>
          <cell r="E182" t="str">
            <v>Bình thường</v>
          </cell>
          <cell r="F182" t="str">
            <v>GC1</v>
          </cell>
          <cell r="G182" t="str">
            <v>GS2, GC2, AF1</v>
          </cell>
        </row>
        <row r="183">
          <cell r="C183" t="str">
            <v>213509034B37</v>
          </cell>
          <cell r="D183">
            <v>50</v>
          </cell>
          <cell r="E183" t="str">
            <v>Bình thường</v>
          </cell>
          <cell r="F183" t="str">
            <v>MA1</v>
          </cell>
          <cell r="G183" t="str">
            <v>HT1, GS1, ED1, EW1, GS2, AF1</v>
          </cell>
        </row>
        <row r="184">
          <cell r="C184" t="str">
            <v>21350981042</v>
          </cell>
          <cell r="D184">
            <v>50</v>
          </cell>
          <cell r="E184" t="str">
            <v>Bình thường</v>
          </cell>
          <cell r="F184" t="str">
            <v>LN1</v>
          </cell>
          <cell r="G184" t="str">
            <v>AF1</v>
          </cell>
        </row>
        <row r="185">
          <cell r="C185" t="str">
            <v>21350981031</v>
          </cell>
          <cell r="D185">
            <v>50</v>
          </cell>
          <cell r="E185" t="str">
            <v>Bình thường</v>
          </cell>
          <cell r="F185" t="str">
            <v>AA1</v>
          </cell>
          <cell r="G185" t="str">
            <v>MC1, KA1, AF1, MC2, AF2, AL1</v>
          </cell>
        </row>
        <row r="186">
          <cell r="C186" t="str">
            <v>213509029B13</v>
          </cell>
          <cell r="D186">
            <v>50</v>
          </cell>
          <cell r="E186" t="str">
            <v>Bình thường</v>
          </cell>
          <cell r="F186" t="str">
            <v>GS1</v>
          </cell>
          <cell r="G186" t="str">
            <v>GC1, GS2, GP1, AF1</v>
          </cell>
        </row>
        <row r="187">
          <cell r="C187" t="str">
            <v>213509091A24</v>
          </cell>
          <cell r="D187">
            <v>50</v>
          </cell>
          <cell r="E187" t="str">
            <v>Bình thường</v>
          </cell>
          <cell r="F187" t="str">
            <v>MA1</v>
          </cell>
          <cell r="G187" t="str">
            <v>BJ1, HT1, EW1, GS1, WG1, GS2, EW2, AF1, AL1, GS3</v>
          </cell>
        </row>
        <row r="188">
          <cell r="C188" t="str">
            <v>L6235090252</v>
          </cell>
          <cell r="D188">
            <v>50</v>
          </cell>
          <cell r="E188" t="str">
            <v>Bình thường</v>
          </cell>
          <cell r="F188" t="str">
            <v>AA1</v>
          </cell>
          <cell r="G188" t="str">
            <v>MA1, MC1, GS1, AF1</v>
          </cell>
        </row>
        <row r="189">
          <cell r="C189" t="str">
            <v>213510024A23</v>
          </cell>
          <cell r="D189">
            <v>50</v>
          </cell>
          <cell r="E189" t="str">
            <v>Bình thường</v>
          </cell>
          <cell r="F189" t="str">
            <v>GS1</v>
          </cell>
          <cell r="G189" t="str">
            <v>GC1, GS2, MC1, AF1, AL1</v>
          </cell>
        </row>
        <row r="190">
          <cell r="C190" t="str">
            <v>L6305090451</v>
          </cell>
          <cell r="D190">
            <v>50</v>
          </cell>
          <cell r="E190" t="str">
            <v>Bình thường</v>
          </cell>
          <cell r="F190" t="str">
            <v>MA1</v>
          </cell>
          <cell r="G190" t="str">
            <v>GS1, MC1, HT1, AF1, AB1</v>
          </cell>
        </row>
        <row r="191">
          <cell r="C191" t="str">
            <v>L6235090162</v>
          </cell>
          <cell r="D191">
            <v>50</v>
          </cell>
          <cell r="E191" t="str">
            <v>Bình thường</v>
          </cell>
          <cell r="F191" t="str">
            <v>LN1</v>
          </cell>
          <cell r="G191" t="str">
            <v>BJ1</v>
          </cell>
        </row>
        <row r="192">
          <cell r="C192" t="str">
            <v>L6235090163</v>
          </cell>
          <cell r="D192">
            <v>50</v>
          </cell>
          <cell r="E192" t="str">
            <v>Bình thường</v>
          </cell>
          <cell r="F192" t="str">
            <v>LN1</v>
          </cell>
          <cell r="G192" t="str">
            <v>VP</v>
          </cell>
        </row>
        <row r="193">
          <cell r="C193" t="str">
            <v>213510002B27</v>
          </cell>
          <cell r="D193">
            <v>50</v>
          </cell>
          <cell r="E193" t="str">
            <v>Bình thường</v>
          </cell>
          <cell r="F193" t="str">
            <v>GS1</v>
          </cell>
          <cell r="G193" t="str">
            <v>GC1, GS2, KA1, GS3</v>
          </cell>
        </row>
        <row r="194">
          <cell r="C194" t="str">
            <v>213509529A15</v>
          </cell>
          <cell r="D194">
            <v>50</v>
          </cell>
          <cell r="E194" t="str">
            <v>Bình thường</v>
          </cell>
          <cell r="F194" t="str">
            <v>LN1</v>
          </cell>
          <cell r="G194" t="str">
            <v>HT1, LN2, KA1, AF1, MC1, BJ1, HT2, AF2, AL1</v>
          </cell>
        </row>
        <row r="195">
          <cell r="C195" t="str">
            <v>213506910B1</v>
          </cell>
          <cell r="D195">
            <v>50</v>
          </cell>
          <cell r="E195" t="str">
            <v>Bình thường</v>
          </cell>
          <cell r="F195" t="str">
            <v>LN2</v>
          </cell>
          <cell r="G195" t="str">
            <v>KA1, AF1, MC1, BJ1, HT2, AF2, AL1</v>
          </cell>
        </row>
        <row r="196">
          <cell r="C196" t="str">
            <v>R21351097A6</v>
          </cell>
          <cell r="D196">
            <v>49</v>
          </cell>
          <cell r="E196" t="str">
            <v>Bình thường</v>
          </cell>
          <cell r="F196" t="str">
            <v>GS1</v>
          </cell>
          <cell r="G196" t="str">
            <v>AF1, AL1</v>
          </cell>
        </row>
        <row r="197">
          <cell r="C197" t="str">
            <v>213509266A24</v>
          </cell>
          <cell r="D197">
            <v>46</v>
          </cell>
          <cell r="E197" t="str">
            <v>Bình thường</v>
          </cell>
          <cell r="F197" t="str">
            <v>LN1</v>
          </cell>
          <cell r="G197" t="str">
            <v>AF1</v>
          </cell>
        </row>
        <row r="198">
          <cell r="C198" t="str">
            <v>21350781031</v>
          </cell>
          <cell r="D198">
            <v>45</v>
          </cell>
          <cell r="E198" t="str">
            <v>Bình thường</v>
          </cell>
          <cell r="F198" t="str">
            <v>LN1</v>
          </cell>
          <cell r="G198" t="str">
            <v>AF1</v>
          </cell>
        </row>
        <row r="199">
          <cell r="C199" t="str">
            <v>R21351096A5</v>
          </cell>
          <cell r="D199">
            <v>45</v>
          </cell>
          <cell r="E199" t="str">
            <v>Bình thường</v>
          </cell>
          <cell r="F199" t="str">
            <v>GS1</v>
          </cell>
          <cell r="G199" t="str">
            <v>AF1, AL1</v>
          </cell>
        </row>
        <row r="200">
          <cell r="C200" t="str">
            <v>21351081012</v>
          </cell>
          <cell r="D200">
            <v>45</v>
          </cell>
          <cell r="E200" t="str">
            <v>Bình thường</v>
          </cell>
          <cell r="F200" t="str">
            <v>AA1</v>
          </cell>
          <cell r="G200" t="str">
            <v>MC1, AF1</v>
          </cell>
        </row>
        <row r="201">
          <cell r="C201" t="str">
            <v>213507029B26</v>
          </cell>
          <cell r="D201">
            <v>45</v>
          </cell>
          <cell r="E201" t="str">
            <v>Bình thường</v>
          </cell>
          <cell r="F201" t="str">
            <v>MC1</v>
          </cell>
          <cell r="G201" t="str">
            <v>KA1, AF1, MC2, AF2, AL1</v>
          </cell>
        </row>
        <row r="202">
          <cell r="C202" t="str">
            <v>213509174A52</v>
          </cell>
          <cell r="D202">
            <v>44</v>
          </cell>
          <cell r="E202" t="str">
            <v>Bình thường</v>
          </cell>
          <cell r="F202" t="str">
            <v>EW1</v>
          </cell>
          <cell r="G202" t="str">
            <v>GC1, GS1, AF1</v>
          </cell>
        </row>
        <row r="203">
          <cell r="C203" t="str">
            <v>L6215020191</v>
          </cell>
          <cell r="D203">
            <v>40</v>
          </cell>
          <cell r="E203" t="str">
            <v>Bình thường</v>
          </cell>
          <cell r="F203" t="str">
            <v>BJ1</v>
          </cell>
          <cell r="G203" t="str">
            <v>AF1</v>
          </cell>
        </row>
        <row r="204">
          <cell r="C204" t="str">
            <v>L6245070071</v>
          </cell>
          <cell r="D204">
            <v>40</v>
          </cell>
          <cell r="E204" t="str">
            <v>Bình thường</v>
          </cell>
          <cell r="F204" t="str">
            <v>MC1</v>
          </cell>
          <cell r="G204" t="str">
            <v>VP</v>
          </cell>
        </row>
        <row r="205">
          <cell r="C205" t="str">
            <v>L6245070072</v>
          </cell>
          <cell r="D205">
            <v>40</v>
          </cell>
          <cell r="E205" t="str">
            <v>Bình thường</v>
          </cell>
          <cell r="F205" t="str">
            <v>AA1</v>
          </cell>
          <cell r="G205" t="str">
            <v>MA1, MC1, AF1</v>
          </cell>
        </row>
        <row r="206">
          <cell r="C206" t="str">
            <v>63050600161</v>
          </cell>
          <cell r="D206">
            <v>40</v>
          </cell>
          <cell r="E206" t="str">
            <v>Bình thường</v>
          </cell>
          <cell r="F206" t="str">
            <v>EW1</v>
          </cell>
          <cell r="G206" t="str">
            <v>AF1</v>
          </cell>
        </row>
        <row r="207">
          <cell r="C207" t="str">
            <v>L6245070074</v>
          </cell>
          <cell r="D207">
            <v>40</v>
          </cell>
          <cell r="E207" t="str">
            <v>Bình thường</v>
          </cell>
          <cell r="F207" t="str">
            <v>MA1</v>
          </cell>
          <cell r="G207" t="str">
            <v>MC1</v>
          </cell>
        </row>
        <row r="208">
          <cell r="C208" t="str">
            <v>L6235060211</v>
          </cell>
          <cell r="D208">
            <v>40</v>
          </cell>
          <cell r="E208" t="str">
            <v>Bình thường</v>
          </cell>
          <cell r="F208" t="str">
            <v>MA1</v>
          </cell>
          <cell r="G208" t="str">
            <v>MC1, AF1</v>
          </cell>
        </row>
        <row r="209">
          <cell r="C209" t="str">
            <v>21350781073</v>
          </cell>
          <cell r="D209">
            <v>40</v>
          </cell>
          <cell r="E209" t="str">
            <v>Bình thường</v>
          </cell>
          <cell r="F209" t="str">
            <v>BJ1</v>
          </cell>
          <cell r="G209" t="str">
            <v>HT1, GS1, AF1</v>
          </cell>
        </row>
        <row r="210">
          <cell r="C210" t="str">
            <v>62350800741</v>
          </cell>
          <cell r="D210">
            <v>40</v>
          </cell>
          <cell r="E210" t="str">
            <v>Bình thường</v>
          </cell>
          <cell r="F210" t="str">
            <v>AA1</v>
          </cell>
          <cell r="G210" t="str">
            <v>MC1, GS1, AF1</v>
          </cell>
        </row>
        <row r="211">
          <cell r="C211" t="str">
            <v>L4125100031</v>
          </cell>
          <cell r="D211">
            <v>40</v>
          </cell>
          <cell r="E211" t="str">
            <v>Khẩn</v>
          </cell>
          <cell r="F211" t="str">
            <v>AA1</v>
          </cell>
          <cell r="G211" t="str">
            <v>MC1</v>
          </cell>
        </row>
        <row r="212">
          <cell r="C212" t="str">
            <v>L6235090044</v>
          </cell>
          <cell r="D212">
            <v>40</v>
          </cell>
          <cell r="E212" t="str">
            <v>Bình thường</v>
          </cell>
          <cell r="F212" t="str">
            <v>MA1</v>
          </cell>
          <cell r="G212" t="str">
            <v>GS1, BJ1, DA1, AB1</v>
          </cell>
        </row>
        <row r="213">
          <cell r="C213" t="str">
            <v>L6235090042</v>
          </cell>
          <cell r="D213">
            <v>40</v>
          </cell>
          <cell r="E213" t="str">
            <v>Bình thường</v>
          </cell>
          <cell r="F213" t="str">
            <v>AA1</v>
          </cell>
          <cell r="G213" t="str">
            <v>BJ1, DA1, GS1, BJ2, AB1</v>
          </cell>
        </row>
        <row r="214">
          <cell r="C214" t="str">
            <v>R6235100171</v>
          </cell>
          <cell r="D214">
            <v>40</v>
          </cell>
          <cell r="E214" t="str">
            <v>Bình thường</v>
          </cell>
          <cell r="F214" t="str">
            <v>GC1</v>
          </cell>
          <cell r="G214" t="str">
            <v>AL1</v>
          </cell>
        </row>
        <row r="215">
          <cell r="C215" t="str">
            <v>L6225080013</v>
          </cell>
          <cell r="D215">
            <v>40</v>
          </cell>
          <cell r="E215" t="str">
            <v>Bình thường</v>
          </cell>
          <cell r="F215" t="str">
            <v>LN1</v>
          </cell>
          <cell r="G215" t="str">
            <v>BJ1, DA1, HT1, AB1</v>
          </cell>
        </row>
        <row r="216">
          <cell r="C216" t="str">
            <v>62250400281</v>
          </cell>
          <cell r="D216">
            <v>40</v>
          </cell>
          <cell r="E216" t="str">
            <v>Bình thường</v>
          </cell>
          <cell r="F216" t="str">
            <v>BJ1</v>
          </cell>
          <cell r="G216" t="str">
            <v>HT1, GS1, EW1, AF1</v>
          </cell>
        </row>
        <row r="217">
          <cell r="C217" t="str">
            <v>63050900131</v>
          </cell>
          <cell r="D217">
            <v>40</v>
          </cell>
          <cell r="E217" t="str">
            <v>Bình thường</v>
          </cell>
          <cell r="F217" t="str">
            <v>BJ1</v>
          </cell>
          <cell r="G217" t="str">
            <v>DA1, HT1, GS1, EW1, AF1</v>
          </cell>
        </row>
        <row r="218">
          <cell r="C218" t="str">
            <v>62250500101</v>
          </cell>
          <cell r="D218">
            <v>40</v>
          </cell>
          <cell r="E218" t="str">
            <v>Bình thường</v>
          </cell>
          <cell r="F218" t="str">
            <v>GS2</v>
          </cell>
          <cell r="G218" t="str">
            <v>EW1, AF1</v>
          </cell>
        </row>
        <row r="219">
          <cell r="C219" t="str">
            <v>L6235060151</v>
          </cell>
          <cell r="D219">
            <v>36</v>
          </cell>
          <cell r="E219" t="str">
            <v>Bình thường</v>
          </cell>
          <cell r="F219" t="str">
            <v>LN1</v>
          </cell>
          <cell r="G219" t="str">
            <v>AF1</v>
          </cell>
        </row>
        <row r="220">
          <cell r="C220" t="str">
            <v>L6125050147</v>
          </cell>
          <cell r="D220">
            <v>36</v>
          </cell>
          <cell r="E220" t="str">
            <v>Bình thường</v>
          </cell>
          <cell r="F220" t="str">
            <v>BJ1</v>
          </cell>
          <cell r="G220" t="str">
            <v>VP</v>
          </cell>
        </row>
        <row r="221">
          <cell r="C221" t="str">
            <v>L6115020194</v>
          </cell>
          <cell r="D221">
            <v>34</v>
          </cell>
          <cell r="E221" t="str">
            <v>Bình thường</v>
          </cell>
          <cell r="F221" t="str">
            <v>GR1</v>
          </cell>
          <cell r="G221" t="str">
            <v>GS1, GC1, AF1</v>
          </cell>
        </row>
        <row r="222">
          <cell r="C222" t="str">
            <v>213509003B14</v>
          </cell>
          <cell r="D222">
            <v>33</v>
          </cell>
          <cell r="E222" t="str">
            <v>Bình thường</v>
          </cell>
          <cell r="F222" t="str">
            <v>GC1</v>
          </cell>
          <cell r="G222" t="str">
            <v>GS2, GP1, AF1</v>
          </cell>
        </row>
        <row r="223">
          <cell r="C223" t="str">
            <v>41351000221</v>
          </cell>
          <cell r="D223">
            <v>32</v>
          </cell>
          <cell r="E223" t="str">
            <v>Khẩn</v>
          </cell>
          <cell r="F223" t="str">
            <v>MA1</v>
          </cell>
          <cell r="G223" t="str">
            <v>BJ1, AF1</v>
          </cell>
        </row>
        <row r="224">
          <cell r="C224" t="str">
            <v>L4135100442</v>
          </cell>
          <cell r="D224">
            <v>32</v>
          </cell>
          <cell r="E224" t="str">
            <v>Khẩn</v>
          </cell>
          <cell r="F224" t="str">
            <v>LA1</v>
          </cell>
          <cell r="G224" t="str">
            <v>AB1</v>
          </cell>
        </row>
        <row r="225">
          <cell r="C225" t="str">
            <v>R6125060051</v>
          </cell>
          <cell r="D225">
            <v>32</v>
          </cell>
          <cell r="E225" t="str">
            <v>Bình thường</v>
          </cell>
          <cell r="F225" t="str">
            <v>WG1</v>
          </cell>
          <cell r="G225" t="str">
            <v>VP</v>
          </cell>
        </row>
        <row r="226">
          <cell r="C226" t="str">
            <v>R21351071A26</v>
          </cell>
          <cell r="D226">
            <v>31</v>
          </cell>
          <cell r="E226" t="str">
            <v>Bình thường</v>
          </cell>
          <cell r="F226" t="str">
            <v>GS1</v>
          </cell>
          <cell r="G226" t="str">
            <v>GC1, AF1, AL1</v>
          </cell>
        </row>
        <row r="227">
          <cell r="C227" t="str">
            <v>R21351076A31</v>
          </cell>
          <cell r="D227">
            <v>31</v>
          </cell>
          <cell r="E227" t="str">
            <v>Bình thường</v>
          </cell>
          <cell r="F227" t="str">
            <v>GS1</v>
          </cell>
          <cell r="G227" t="str">
            <v>AF1, AL1</v>
          </cell>
        </row>
        <row r="228">
          <cell r="C228" t="str">
            <v>WL25060D0510</v>
          </cell>
          <cell r="D228">
            <v>30</v>
          </cell>
          <cell r="E228" t="str">
            <v>Bình thường</v>
          </cell>
          <cell r="F228" t="str">
            <v>LA1</v>
          </cell>
          <cell r="G228" t="str">
            <v>AB1</v>
          </cell>
        </row>
        <row r="229">
          <cell r="C229" t="str">
            <v>213506914B1</v>
          </cell>
          <cell r="D229">
            <v>30</v>
          </cell>
          <cell r="E229" t="str">
            <v>Bình thường</v>
          </cell>
          <cell r="F229" t="str">
            <v>HT2</v>
          </cell>
          <cell r="G229" t="str">
            <v>AF2, AL1</v>
          </cell>
        </row>
        <row r="230">
          <cell r="C230" t="str">
            <v>21350981012</v>
          </cell>
          <cell r="D230">
            <v>30</v>
          </cell>
          <cell r="E230" t="str">
            <v>Bình thường</v>
          </cell>
          <cell r="F230" t="str">
            <v>BJ1</v>
          </cell>
          <cell r="G230" t="str">
            <v>DA1</v>
          </cell>
        </row>
        <row r="231">
          <cell r="C231" t="str">
            <v>L6225070052</v>
          </cell>
          <cell r="D231">
            <v>30</v>
          </cell>
          <cell r="E231" t="str">
            <v>Bình thường</v>
          </cell>
          <cell r="F231" t="str">
            <v>BJ1</v>
          </cell>
          <cell r="G231" t="str">
            <v>DA1, AB1</v>
          </cell>
        </row>
        <row r="232">
          <cell r="C232" t="str">
            <v>213506124B12</v>
          </cell>
          <cell r="D232">
            <v>30</v>
          </cell>
          <cell r="E232" t="str">
            <v>Bình thường</v>
          </cell>
          <cell r="F232" t="str">
            <v>AF1</v>
          </cell>
          <cell r="G232" t="str">
            <v>KT</v>
          </cell>
        </row>
        <row r="233">
          <cell r="C233" t="str">
            <v>63050800081</v>
          </cell>
          <cell r="D233">
            <v>30</v>
          </cell>
          <cell r="E233" t="str">
            <v>Bình thường</v>
          </cell>
          <cell r="F233" t="str">
            <v>LA1</v>
          </cell>
          <cell r="G233" t="str">
            <v>KT</v>
          </cell>
        </row>
        <row r="234">
          <cell r="C234" t="str">
            <v>L6225090042</v>
          </cell>
          <cell r="D234">
            <v>30</v>
          </cell>
          <cell r="E234" t="str">
            <v>Bình thường</v>
          </cell>
          <cell r="F234" t="str">
            <v>MA1</v>
          </cell>
          <cell r="G234" t="str">
            <v>BJ1, HT1, GS1, AF1, AB1</v>
          </cell>
        </row>
        <row r="235">
          <cell r="C235" t="str">
            <v>L6115080402</v>
          </cell>
          <cell r="D235">
            <v>30</v>
          </cell>
          <cell r="E235" t="str">
            <v>Bình thường</v>
          </cell>
          <cell r="F235" t="str">
            <v>ED1</v>
          </cell>
          <cell r="G235" t="str">
            <v>VP</v>
          </cell>
        </row>
        <row r="236">
          <cell r="C236" t="str">
            <v>62350400061</v>
          </cell>
          <cell r="D236">
            <v>30</v>
          </cell>
          <cell r="E236" t="str">
            <v>Bình thường</v>
          </cell>
          <cell r="F236" t="str">
            <v>GC1</v>
          </cell>
          <cell r="G236" t="str">
            <v>GS2, AF1</v>
          </cell>
        </row>
        <row r="237">
          <cell r="C237" t="str">
            <v>L6305100041</v>
          </cell>
          <cell r="D237">
            <v>30</v>
          </cell>
          <cell r="E237" t="str">
            <v>Bình thường</v>
          </cell>
          <cell r="F237" t="str">
            <v>LA1</v>
          </cell>
          <cell r="G237" t="str">
            <v>GS1, AB1</v>
          </cell>
        </row>
        <row r="238">
          <cell r="C238" t="str">
            <v>L6225090074</v>
          </cell>
          <cell r="D238">
            <v>30</v>
          </cell>
          <cell r="E238" t="str">
            <v>Bình thường</v>
          </cell>
          <cell r="F238" t="str">
            <v>MA1</v>
          </cell>
          <cell r="G238" t="str">
            <v>BJ1, WG1, AB1</v>
          </cell>
        </row>
        <row r="239">
          <cell r="C239" t="str">
            <v>63050700961</v>
          </cell>
          <cell r="D239">
            <v>30</v>
          </cell>
          <cell r="E239" t="str">
            <v>Bình thường</v>
          </cell>
          <cell r="F239" t="str">
            <v>LN1</v>
          </cell>
          <cell r="G239" t="str">
            <v>HT1, GC1, AF1</v>
          </cell>
        </row>
        <row r="240">
          <cell r="C240" t="str">
            <v>62350500821</v>
          </cell>
          <cell r="D240">
            <v>30</v>
          </cell>
          <cell r="E240" t="str">
            <v>Bình thường</v>
          </cell>
          <cell r="F240" t="str">
            <v>LN1</v>
          </cell>
          <cell r="G240" t="str">
            <v>BJ1</v>
          </cell>
        </row>
        <row r="241">
          <cell r="C241" t="str">
            <v>L6225090045</v>
          </cell>
          <cell r="D241">
            <v>30</v>
          </cell>
          <cell r="E241" t="str">
            <v>Bình thường</v>
          </cell>
          <cell r="F241" t="str">
            <v>MC1</v>
          </cell>
          <cell r="G241" t="str">
            <v>AF1</v>
          </cell>
        </row>
        <row r="242">
          <cell r="C242" t="str">
            <v>213505085B28</v>
          </cell>
          <cell r="D242">
            <v>30</v>
          </cell>
          <cell r="E242" t="str">
            <v>Bình thường</v>
          </cell>
          <cell r="F242" t="str">
            <v>GC1</v>
          </cell>
          <cell r="G242" t="str">
            <v>GP1, GS2, AF1</v>
          </cell>
        </row>
        <row r="243">
          <cell r="C243" t="str">
            <v>L6225090041</v>
          </cell>
          <cell r="D243">
            <v>30</v>
          </cell>
          <cell r="E243" t="str">
            <v>Bình thường</v>
          </cell>
          <cell r="F243" t="str">
            <v>BJ1</v>
          </cell>
          <cell r="G243" t="str">
            <v>AF1, HT1, GS1, AF2, AB1</v>
          </cell>
        </row>
        <row r="244">
          <cell r="C244" t="str">
            <v>L6225050241</v>
          </cell>
          <cell r="D244">
            <v>30</v>
          </cell>
          <cell r="E244" t="str">
            <v>Bình thường</v>
          </cell>
          <cell r="F244" t="str">
            <v>MC1</v>
          </cell>
          <cell r="G244" t="str">
            <v>BJ1, HT1, AF1, AB1</v>
          </cell>
        </row>
        <row r="245">
          <cell r="C245" t="str">
            <v>L6115060214</v>
          </cell>
          <cell r="D245">
            <v>30</v>
          </cell>
          <cell r="E245" t="str">
            <v>Bình thường</v>
          </cell>
          <cell r="F245" t="str">
            <v>GR1</v>
          </cell>
          <cell r="G245" t="str">
            <v>GS1, GJ1, AF1, AB1</v>
          </cell>
        </row>
        <row r="246">
          <cell r="C246" t="str">
            <v>R6305080161</v>
          </cell>
          <cell r="D246">
            <v>30</v>
          </cell>
          <cell r="E246" t="str">
            <v>Bình thường</v>
          </cell>
          <cell r="F246" t="str">
            <v>GS1</v>
          </cell>
          <cell r="G246" t="str">
            <v>WG1, GR1, GS2, EN1, AF1, ED1, EW1, AF3, WG2</v>
          </cell>
        </row>
        <row r="247">
          <cell r="C247" t="str">
            <v>R21350901A1</v>
          </cell>
          <cell r="D247">
            <v>30</v>
          </cell>
          <cell r="E247" t="str">
            <v>Bình thường</v>
          </cell>
          <cell r="F247" t="str">
            <v>GR1</v>
          </cell>
          <cell r="G247" t="str">
            <v>GS1, LA2, AF2, ED1, EW1, AF3</v>
          </cell>
        </row>
        <row r="248">
          <cell r="C248" t="str">
            <v>21350881023</v>
          </cell>
          <cell r="D248">
            <v>30</v>
          </cell>
          <cell r="E248" t="str">
            <v>Bình thường</v>
          </cell>
          <cell r="F248" t="str">
            <v>GS1</v>
          </cell>
          <cell r="G248" t="str">
            <v>EW1, AF1, AL1</v>
          </cell>
        </row>
        <row r="249">
          <cell r="C249" t="str">
            <v>213509278A37</v>
          </cell>
          <cell r="D249">
            <v>30</v>
          </cell>
          <cell r="E249" t="str">
            <v>Bình thường</v>
          </cell>
          <cell r="F249" t="str">
            <v>GC1</v>
          </cell>
          <cell r="G249" t="str">
            <v>MC1, GS2, AF1, AL1</v>
          </cell>
        </row>
        <row r="250">
          <cell r="C250" t="str">
            <v>L6115060212</v>
          </cell>
          <cell r="D250">
            <v>30</v>
          </cell>
          <cell r="E250" t="str">
            <v>Bình thường</v>
          </cell>
          <cell r="F250" t="str">
            <v>MC1</v>
          </cell>
          <cell r="G250" t="str">
            <v>HT1, GS1, AF1, AB1</v>
          </cell>
        </row>
        <row r="251">
          <cell r="C251" t="str">
            <v>213509046A23</v>
          </cell>
          <cell r="D251">
            <v>30</v>
          </cell>
          <cell r="E251" t="str">
            <v>Bình thường</v>
          </cell>
          <cell r="F251" t="str">
            <v>EW1</v>
          </cell>
          <cell r="G251" t="str">
            <v>ED1, EW2, EN1, ED2, AF1</v>
          </cell>
        </row>
        <row r="252">
          <cell r="C252" t="str">
            <v>L6225100191</v>
          </cell>
          <cell r="D252">
            <v>28</v>
          </cell>
          <cell r="E252" t="str">
            <v>Khẩn</v>
          </cell>
          <cell r="F252" t="str">
            <v>AC1</v>
          </cell>
          <cell r="G252" t="str">
            <v>VP</v>
          </cell>
        </row>
        <row r="253">
          <cell r="C253" t="str">
            <v>L4125100032</v>
          </cell>
          <cell r="D253">
            <v>28</v>
          </cell>
          <cell r="E253" t="str">
            <v>Khẩn</v>
          </cell>
          <cell r="F253" t="str">
            <v>AA1</v>
          </cell>
          <cell r="G253" t="str">
            <v>MC1</v>
          </cell>
        </row>
        <row r="254">
          <cell r="C254" t="str">
            <v>L6225090075</v>
          </cell>
          <cell r="D254">
            <v>28</v>
          </cell>
          <cell r="E254" t="str">
            <v>Bình thường</v>
          </cell>
          <cell r="F254" t="str">
            <v>BJ1</v>
          </cell>
          <cell r="G254" t="str">
            <v>DA1, WG1, AB1</v>
          </cell>
        </row>
        <row r="255">
          <cell r="C255" t="str">
            <v>L2135098041</v>
          </cell>
          <cell r="D255">
            <v>27</v>
          </cell>
          <cell r="E255" t="str">
            <v>Bình thường</v>
          </cell>
          <cell r="F255" t="str">
            <v>LA1</v>
          </cell>
          <cell r="G255" t="str">
            <v>VP</v>
          </cell>
        </row>
        <row r="256">
          <cell r="C256" t="str">
            <v>R21351068A24</v>
          </cell>
          <cell r="D256">
            <v>27</v>
          </cell>
          <cell r="E256" t="str">
            <v>Bình thường</v>
          </cell>
          <cell r="F256" t="str">
            <v>GS1</v>
          </cell>
          <cell r="G256" t="str">
            <v>GP1, AF1, AL1</v>
          </cell>
        </row>
        <row r="257">
          <cell r="C257" t="str">
            <v>L6225100051</v>
          </cell>
          <cell r="D257">
            <v>25</v>
          </cell>
          <cell r="E257" t="str">
            <v>Khẩn</v>
          </cell>
          <cell r="F257" t="str">
            <v>WG1</v>
          </cell>
          <cell r="G257" t="str">
            <v>AB1</v>
          </cell>
        </row>
        <row r="258">
          <cell r="C258" t="str">
            <v>L6305090391</v>
          </cell>
          <cell r="D258">
            <v>25</v>
          </cell>
          <cell r="E258" t="str">
            <v>Bình thường</v>
          </cell>
          <cell r="F258" t="str">
            <v>MA1</v>
          </cell>
          <cell r="G258" t="str">
            <v>BJ1</v>
          </cell>
        </row>
        <row r="259">
          <cell r="C259" t="str">
            <v>R6225070021</v>
          </cell>
          <cell r="D259">
            <v>25</v>
          </cell>
          <cell r="E259" t="str">
            <v>Bình thường</v>
          </cell>
          <cell r="F259" t="str">
            <v>AC1</v>
          </cell>
          <cell r="G259" t="str">
            <v>WG1</v>
          </cell>
        </row>
        <row r="260">
          <cell r="C260" t="str">
            <v>L6115040123</v>
          </cell>
          <cell r="D260">
            <v>25</v>
          </cell>
          <cell r="E260" t="str">
            <v>Bình thường</v>
          </cell>
          <cell r="F260" t="str">
            <v>GC1</v>
          </cell>
          <cell r="G260" t="str">
            <v>GS1, AF1</v>
          </cell>
        </row>
        <row r="261">
          <cell r="C261" t="str">
            <v>213509002B13</v>
          </cell>
          <cell r="D261">
            <v>25</v>
          </cell>
          <cell r="E261" t="str">
            <v>Bình thường</v>
          </cell>
          <cell r="F261" t="str">
            <v>GC1</v>
          </cell>
          <cell r="G261" t="str">
            <v>GP1, GS2, AF1</v>
          </cell>
        </row>
        <row r="262">
          <cell r="C262" t="str">
            <v>R21351027A24</v>
          </cell>
          <cell r="D262">
            <v>25</v>
          </cell>
          <cell r="E262" t="str">
            <v>Bình thường</v>
          </cell>
          <cell r="F262" t="str">
            <v>GS1</v>
          </cell>
          <cell r="G262" t="str">
            <v>GP1, AF1, AL1</v>
          </cell>
        </row>
        <row r="263">
          <cell r="C263" t="str">
            <v>R6245030072</v>
          </cell>
          <cell r="D263">
            <v>24</v>
          </cell>
          <cell r="E263" t="str">
            <v>Bình thường</v>
          </cell>
          <cell r="F263" t="str">
            <v>BJ1</v>
          </cell>
          <cell r="G263" t="str">
            <v>VP</v>
          </cell>
        </row>
        <row r="264">
          <cell r="C264" t="str">
            <v>L4135100381</v>
          </cell>
          <cell r="D264">
            <v>24</v>
          </cell>
          <cell r="E264" t="str">
            <v>Khẩn</v>
          </cell>
          <cell r="F264" t="str">
            <v>MA1</v>
          </cell>
          <cell r="G264" t="str">
            <v>BJ1, AB1</v>
          </cell>
        </row>
        <row r="265">
          <cell r="C265" t="str">
            <v>62250600111</v>
          </cell>
          <cell r="D265">
            <v>24</v>
          </cell>
          <cell r="E265" t="str">
            <v>Bình thường</v>
          </cell>
          <cell r="F265" t="str">
            <v>EW1</v>
          </cell>
          <cell r="G265" t="str">
            <v>AF1</v>
          </cell>
        </row>
        <row r="266">
          <cell r="C266" t="str">
            <v>62450600211</v>
          </cell>
          <cell r="D266">
            <v>24</v>
          </cell>
          <cell r="E266" t="str">
            <v>Bình thường</v>
          </cell>
          <cell r="F266" t="str">
            <v>GS1</v>
          </cell>
          <cell r="G266" t="str">
            <v>AB1</v>
          </cell>
        </row>
        <row r="267">
          <cell r="C267" t="str">
            <v>L6225080303</v>
          </cell>
          <cell r="D267">
            <v>24</v>
          </cell>
          <cell r="E267" t="str">
            <v>Bình thường</v>
          </cell>
          <cell r="F267" t="str">
            <v>AA1</v>
          </cell>
          <cell r="G267" t="str">
            <v>BJ1, DA1, AB1</v>
          </cell>
        </row>
        <row r="268">
          <cell r="C268" t="str">
            <v>R21350748A34</v>
          </cell>
          <cell r="D268">
            <v>24</v>
          </cell>
          <cell r="E268" t="str">
            <v>Bình thường</v>
          </cell>
          <cell r="F268" t="str">
            <v>GP1</v>
          </cell>
          <cell r="G268" t="str">
            <v>AF1, AL1</v>
          </cell>
        </row>
        <row r="269">
          <cell r="C269" t="str">
            <v>62250600341</v>
          </cell>
          <cell r="D269">
            <v>24</v>
          </cell>
          <cell r="E269" t="str">
            <v>Bình thường</v>
          </cell>
          <cell r="F269" t="str">
            <v>BJ1</v>
          </cell>
          <cell r="G269" t="str">
            <v>HT1, GS1, EW1, AF1</v>
          </cell>
        </row>
        <row r="270">
          <cell r="C270" t="str">
            <v>L6305070611</v>
          </cell>
          <cell r="D270">
            <v>24</v>
          </cell>
          <cell r="E270" t="str">
            <v>Bình thường</v>
          </cell>
          <cell r="F270" t="str">
            <v>MC1</v>
          </cell>
          <cell r="G270" t="str">
            <v>HT1, GS1, AF1, AB1</v>
          </cell>
        </row>
        <row r="271">
          <cell r="C271" t="str">
            <v>62250700311</v>
          </cell>
          <cell r="D271">
            <v>24</v>
          </cell>
          <cell r="E271" t="str">
            <v>Bình thường</v>
          </cell>
          <cell r="F271" t="str">
            <v>BJ1</v>
          </cell>
          <cell r="G271" t="str">
            <v>HT1, GS1, EW1, AF1</v>
          </cell>
        </row>
        <row r="272">
          <cell r="C272" t="str">
            <v>L6305070612</v>
          </cell>
          <cell r="D272">
            <v>24</v>
          </cell>
          <cell r="E272" t="str">
            <v>Bình thường</v>
          </cell>
          <cell r="F272" t="str">
            <v>MA1</v>
          </cell>
          <cell r="G272" t="str">
            <v>BJ1, GS1, EW1, AF1, AB1</v>
          </cell>
        </row>
        <row r="273">
          <cell r="C273" t="str">
            <v>L6305070213</v>
          </cell>
          <cell r="D273">
            <v>24</v>
          </cell>
          <cell r="E273" t="str">
            <v>Bình thường</v>
          </cell>
          <cell r="F273" t="str">
            <v>MA1</v>
          </cell>
          <cell r="G273" t="str">
            <v>GS1, MC1, AB1</v>
          </cell>
        </row>
        <row r="274">
          <cell r="C274" t="str">
            <v>213509149A37</v>
          </cell>
          <cell r="D274">
            <v>23</v>
          </cell>
          <cell r="E274" t="str">
            <v>Bình thường</v>
          </cell>
          <cell r="F274" t="str">
            <v>EW1</v>
          </cell>
          <cell r="G274" t="str">
            <v>ED1, EW2, EN1, ED2, AF1</v>
          </cell>
        </row>
        <row r="275">
          <cell r="C275" t="str">
            <v>213504562A39</v>
          </cell>
          <cell r="D275">
            <v>22</v>
          </cell>
          <cell r="E275" t="str">
            <v>Bình thường</v>
          </cell>
          <cell r="F275" t="str">
            <v>LT1</v>
          </cell>
          <cell r="G275" t="str">
            <v>KT</v>
          </cell>
        </row>
        <row r="276">
          <cell r="C276" t="str">
            <v>L6115070183</v>
          </cell>
          <cell r="D276">
            <v>22</v>
          </cell>
          <cell r="E276" t="str">
            <v>Bình thường</v>
          </cell>
          <cell r="F276" t="str">
            <v>EW1</v>
          </cell>
          <cell r="G276" t="str">
            <v>GC1, GS1, AF1</v>
          </cell>
        </row>
        <row r="277">
          <cell r="C277" t="str">
            <v>213508007A12</v>
          </cell>
          <cell r="D277">
            <v>21</v>
          </cell>
          <cell r="E277" t="str">
            <v>Bình thường</v>
          </cell>
          <cell r="F277" t="str">
            <v>GS2</v>
          </cell>
          <cell r="G277" t="str">
            <v>MC1, EW1, AF1</v>
          </cell>
        </row>
        <row r="278">
          <cell r="C278" t="str">
            <v>213504093B39</v>
          </cell>
          <cell r="D278">
            <v>20</v>
          </cell>
          <cell r="E278" t="str">
            <v>Bình thường</v>
          </cell>
          <cell r="F278" t="str">
            <v>LT1</v>
          </cell>
          <cell r="G278" t="str">
            <v>KT</v>
          </cell>
        </row>
        <row r="279">
          <cell r="C279" t="str">
            <v>213505159B45</v>
          </cell>
          <cell r="D279">
            <v>20</v>
          </cell>
          <cell r="E279" t="str">
            <v>Bình thường</v>
          </cell>
          <cell r="F279" t="str">
            <v>KA1</v>
          </cell>
          <cell r="G279" t="str">
            <v>BJ1, HT2, AF2, AL1</v>
          </cell>
        </row>
        <row r="280">
          <cell r="C280" t="str">
            <v>63051000531</v>
          </cell>
          <cell r="D280">
            <v>20</v>
          </cell>
          <cell r="E280" t="str">
            <v>Bình thường</v>
          </cell>
          <cell r="F280" t="str">
            <v>AC1</v>
          </cell>
          <cell r="G280" t="str">
            <v>BJ1, DA1</v>
          </cell>
        </row>
        <row r="281">
          <cell r="C281" t="str">
            <v>213506093B36</v>
          </cell>
          <cell r="D281">
            <v>20</v>
          </cell>
          <cell r="E281" t="str">
            <v>Bình thường</v>
          </cell>
          <cell r="F281" t="str">
            <v>LN1</v>
          </cell>
          <cell r="G281" t="str">
            <v>HT1, LN2, KA1, AF1, MC1, BJ1, HT2, AF2, AL1</v>
          </cell>
        </row>
        <row r="282">
          <cell r="C282" t="str">
            <v>62250900061</v>
          </cell>
          <cell r="D282">
            <v>20</v>
          </cell>
          <cell r="E282" t="str">
            <v>Bình thường</v>
          </cell>
          <cell r="F282" t="str">
            <v>MA1</v>
          </cell>
          <cell r="G282" t="str">
            <v>BJ1, DA1, AB1</v>
          </cell>
        </row>
        <row r="283">
          <cell r="C283" t="str">
            <v>213507902B1</v>
          </cell>
          <cell r="D283">
            <v>20</v>
          </cell>
          <cell r="E283" t="str">
            <v>Bình thường</v>
          </cell>
          <cell r="F283" t="str">
            <v>LN1</v>
          </cell>
          <cell r="G283" t="str">
            <v>GR1, GS1, GC1, GJ1, KA1, AF1, BJ2, HT2, AF2, AL1</v>
          </cell>
        </row>
        <row r="284">
          <cell r="C284" t="str">
            <v>213507099B23</v>
          </cell>
          <cell r="D284">
            <v>20</v>
          </cell>
          <cell r="E284" t="str">
            <v>Bình thường</v>
          </cell>
          <cell r="F284" t="str">
            <v>BJ1</v>
          </cell>
          <cell r="G284" t="str">
            <v>EN1, HT2, AF1, AL1</v>
          </cell>
        </row>
        <row r="285">
          <cell r="C285" t="str">
            <v>213507066A28</v>
          </cell>
          <cell r="D285">
            <v>20</v>
          </cell>
          <cell r="E285" t="str">
            <v>Bình thường</v>
          </cell>
          <cell r="F285" t="str">
            <v>GR1</v>
          </cell>
          <cell r="G285" t="str">
            <v>GS2, GC1, AF1</v>
          </cell>
        </row>
        <row r="286">
          <cell r="C286" t="str">
            <v>213506047B4</v>
          </cell>
          <cell r="D286">
            <v>20</v>
          </cell>
          <cell r="E286" t="str">
            <v>Bình thường</v>
          </cell>
          <cell r="F286" t="str">
            <v>GR1</v>
          </cell>
          <cell r="G286" t="str">
            <v>GS1, GC1, GP1, AF1, LA1, WG1, GS2, GC2, AF2</v>
          </cell>
        </row>
        <row r="287">
          <cell r="C287" t="str">
            <v>213506050B17</v>
          </cell>
          <cell r="D287">
            <v>20</v>
          </cell>
          <cell r="E287" t="str">
            <v>Bình thường</v>
          </cell>
          <cell r="F287" t="str">
            <v>AL1</v>
          </cell>
          <cell r="G287" t="str">
            <v>KT</v>
          </cell>
        </row>
        <row r="288">
          <cell r="C288" t="str">
            <v>213503053B29</v>
          </cell>
          <cell r="D288">
            <v>20</v>
          </cell>
          <cell r="E288" t="str">
            <v>Bình thường</v>
          </cell>
          <cell r="F288" t="str">
            <v>AF1</v>
          </cell>
          <cell r="G288" t="str">
            <v>GS1</v>
          </cell>
        </row>
        <row r="289">
          <cell r="C289" t="str">
            <v>L6305100323</v>
          </cell>
          <cell r="D289">
            <v>20</v>
          </cell>
          <cell r="E289" t="str">
            <v>Khẩn</v>
          </cell>
          <cell r="F289" t="str">
            <v>MA1</v>
          </cell>
          <cell r="G289" t="str">
            <v>BJ1</v>
          </cell>
        </row>
        <row r="290">
          <cell r="C290" t="str">
            <v>213510906A1</v>
          </cell>
          <cell r="D290">
            <v>20</v>
          </cell>
          <cell r="E290" t="str">
            <v>Khẩn</v>
          </cell>
          <cell r="F290" t="str">
            <v>AL1</v>
          </cell>
          <cell r="G290" t="str">
            <v>EW1, GP1, AF1</v>
          </cell>
        </row>
        <row r="291">
          <cell r="C291" t="str">
            <v>L6245090142</v>
          </cell>
          <cell r="D291">
            <v>20</v>
          </cell>
          <cell r="E291" t="str">
            <v>Bình thường</v>
          </cell>
          <cell r="F291" t="str">
            <v>BJ1</v>
          </cell>
          <cell r="G291" t="str">
            <v>VP</v>
          </cell>
        </row>
        <row r="292">
          <cell r="C292" t="str">
            <v>213508061B22</v>
          </cell>
          <cell r="D292">
            <v>20</v>
          </cell>
          <cell r="E292" t="str">
            <v>Bình thường</v>
          </cell>
          <cell r="F292" t="str">
            <v>MC1</v>
          </cell>
          <cell r="G292" t="str">
            <v>AF1, GS1</v>
          </cell>
        </row>
        <row r="293">
          <cell r="C293" t="str">
            <v>L6305100322</v>
          </cell>
          <cell r="D293">
            <v>20</v>
          </cell>
          <cell r="E293" t="str">
            <v>Khẩn</v>
          </cell>
          <cell r="F293" t="str">
            <v>MA1</v>
          </cell>
          <cell r="G293" t="str">
            <v>BJ1, DA1, AB1</v>
          </cell>
        </row>
        <row r="294">
          <cell r="C294" t="str">
            <v>213506098B53</v>
          </cell>
          <cell r="D294">
            <v>20</v>
          </cell>
          <cell r="E294" t="str">
            <v>Bình thường</v>
          </cell>
          <cell r="F294" t="str">
            <v>ED1</v>
          </cell>
          <cell r="G294" t="str">
            <v>EW1, GS2, GC1, GJ1, KA1, AF1, GS3, HT2, ED2, EW2, EN1, AF2, AL1</v>
          </cell>
        </row>
        <row r="295">
          <cell r="C295" t="str">
            <v>213509234A37</v>
          </cell>
          <cell r="D295">
            <v>20</v>
          </cell>
          <cell r="E295" t="str">
            <v>Bình thường</v>
          </cell>
          <cell r="F295" t="str">
            <v>AF1</v>
          </cell>
          <cell r="G295" t="str">
            <v>ED1, EW1, AF2</v>
          </cell>
        </row>
        <row r="296">
          <cell r="C296" t="str">
            <v>62351000161</v>
          </cell>
          <cell r="D296">
            <v>20</v>
          </cell>
          <cell r="E296" t="str">
            <v>Bình thường</v>
          </cell>
          <cell r="F296" t="str">
            <v>LA1</v>
          </cell>
          <cell r="G296" t="str">
            <v>AB1</v>
          </cell>
        </row>
        <row r="297">
          <cell r="C297" t="str">
            <v>213507163A7</v>
          </cell>
          <cell r="D297">
            <v>20</v>
          </cell>
          <cell r="E297" t="str">
            <v>Bình thường</v>
          </cell>
          <cell r="F297" t="str">
            <v>GC1</v>
          </cell>
          <cell r="G297" t="str">
            <v>GP1, GS2</v>
          </cell>
        </row>
        <row r="298">
          <cell r="C298" t="str">
            <v>L6225100043</v>
          </cell>
          <cell r="D298">
            <v>20</v>
          </cell>
          <cell r="E298" t="str">
            <v>Khẩn</v>
          </cell>
          <cell r="F298" t="str">
            <v>LA1</v>
          </cell>
          <cell r="G298" t="str">
            <v>BJ1, DA1, WG1, GS1, AB1</v>
          </cell>
        </row>
        <row r="299">
          <cell r="C299" t="str">
            <v>213508062B23</v>
          </cell>
          <cell r="D299">
            <v>20</v>
          </cell>
          <cell r="E299" t="str">
            <v>Bình thường</v>
          </cell>
          <cell r="F299" t="str">
            <v>LN1</v>
          </cell>
          <cell r="G299" t="str">
            <v>HT1, LN2, MC1, AF1, KA1, BJ1, HT2, AF2, AL1</v>
          </cell>
        </row>
        <row r="300">
          <cell r="C300" t="str">
            <v>213506127B15</v>
          </cell>
          <cell r="D300">
            <v>20</v>
          </cell>
          <cell r="E300" t="str">
            <v>Bình thường</v>
          </cell>
          <cell r="F300" t="str">
            <v>BJ1</v>
          </cell>
          <cell r="G300" t="str">
            <v>EN1, HT2, AF2, AL1</v>
          </cell>
        </row>
        <row r="301">
          <cell r="C301" t="str">
            <v>213504147A30</v>
          </cell>
          <cell r="D301">
            <v>20</v>
          </cell>
          <cell r="E301" t="str">
            <v>Bình thường</v>
          </cell>
          <cell r="F301" t="str">
            <v>GR1</v>
          </cell>
          <cell r="G301" t="str">
            <v>GS2, GC1, AF1</v>
          </cell>
        </row>
        <row r="302">
          <cell r="C302" t="str">
            <v>213505096B33</v>
          </cell>
          <cell r="D302">
            <v>20</v>
          </cell>
          <cell r="E302" t="str">
            <v>Bình thường</v>
          </cell>
          <cell r="F302" t="str">
            <v>BJ1</v>
          </cell>
          <cell r="G302" t="str">
            <v>EN1, HT2, AF1, AL1</v>
          </cell>
        </row>
        <row r="303">
          <cell r="C303" t="str">
            <v>L6305090192</v>
          </cell>
          <cell r="D303">
            <v>20</v>
          </cell>
          <cell r="E303" t="str">
            <v>Bình thường</v>
          </cell>
          <cell r="F303" t="str">
            <v>MA1</v>
          </cell>
          <cell r="G303" t="str">
            <v>BJ1, HT1, GS1, AF1, AB1</v>
          </cell>
        </row>
        <row r="304">
          <cell r="C304" t="str">
            <v>L6305020041</v>
          </cell>
          <cell r="D304">
            <v>20</v>
          </cell>
          <cell r="E304" t="str">
            <v>Bình thường</v>
          </cell>
          <cell r="F304" t="str">
            <v>EN1</v>
          </cell>
          <cell r="G304" t="str">
            <v>GP1, AF1</v>
          </cell>
        </row>
        <row r="305">
          <cell r="C305" t="str">
            <v>213508048B51</v>
          </cell>
          <cell r="D305">
            <v>20</v>
          </cell>
          <cell r="E305" t="str">
            <v>Bình thường</v>
          </cell>
          <cell r="F305" t="str">
            <v>GS1</v>
          </cell>
          <cell r="G305" t="str">
            <v>AF1, AB1</v>
          </cell>
        </row>
        <row r="306">
          <cell r="C306" t="str">
            <v>213507103B29</v>
          </cell>
          <cell r="D306">
            <v>20</v>
          </cell>
          <cell r="E306" t="str">
            <v>Bình thường</v>
          </cell>
          <cell r="F306" t="str">
            <v>GS2</v>
          </cell>
          <cell r="G306" t="str">
            <v>EN1, AF1</v>
          </cell>
        </row>
        <row r="307">
          <cell r="C307" t="str">
            <v>L6305090193</v>
          </cell>
          <cell r="D307">
            <v>20</v>
          </cell>
          <cell r="E307" t="str">
            <v>Bình thường</v>
          </cell>
          <cell r="F307" t="str">
            <v>MA1</v>
          </cell>
          <cell r="G307" t="str">
            <v>BJ1, HT1, GS1, AF1, AB1</v>
          </cell>
        </row>
        <row r="308">
          <cell r="C308" t="str">
            <v>L6115080185</v>
          </cell>
          <cell r="D308">
            <v>20</v>
          </cell>
          <cell r="E308" t="str">
            <v>Bình thường</v>
          </cell>
          <cell r="F308" t="str">
            <v>ED1</v>
          </cell>
          <cell r="G308" t="str">
            <v>VP</v>
          </cell>
        </row>
        <row r="309">
          <cell r="C309" t="str">
            <v>213504087A15</v>
          </cell>
          <cell r="D309">
            <v>20</v>
          </cell>
          <cell r="E309" t="str">
            <v>Bình thường</v>
          </cell>
          <cell r="F309" t="str">
            <v>MC1</v>
          </cell>
          <cell r="G309" t="str">
            <v>AF1</v>
          </cell>
        </row>
        <row r="310">
          <cell r="C310" t="str">
            <v>213506042B55</v>
          </cell>
          <cell r="D310">
            <v>20</v>
          </cell>
          <cell r="E310" t="str">
            <v>Bình thường</v>
          </cell>
          <cell r="F310" t="str">
            <v>GS1</v>
          </cell>
          <cell r="G310" t="str">
            <v>AF1, AB1</v>
          </cell>
        </row>
        <row r="311">
          <cell r="C311" t="str">
            <v>213508009B22</v>
          </cell>
          <cell r="D311">
            <v>20</v>
          </cell>
          <cell r="E311" t="str">
            <v>Bình thường</v>
          </cell>
          <cell r="F311" t="str">
            <v>MC1</v>
          </cell>
          <cell r="G311" t="str">
            <v>AF1, AL1</v>
          </cell>
        </row>
        <row r="312">
          <cell r="C312" t="str">
            <v>L6245090141</v>
          </cell>
          <cell r="D312">
            <v>20</v>
          </cell>
          <cell r="E312" t="str">
            <v>Bình thường</v>
          </cell>
          <cell r="F312" t="str">
            <v>AA1</v>
          </cell>
          <cell r="G312" t="str">
            <v>MA1, LA1, BJ1, DA1, MA1, LA1, BJ1, DA1</v>
          </cell>
        </row>
        <row r="313">
          <cell r="C313" t="str">
            <v>213507048B20</v>
          </cell>
          <cell r="D313">
            <v>20</v>
          </cell>
          <cell r="E313" t="str">
            <v>Bình thường</v>
          </cell>
          <cell r="F313" t="str">
            <v>LN1</v>
          </cell>
          <cell r="G313" t="str">
            <v>HT1, LN2, KA1, AF1, MC1, BJ1, HT2, AF2, AL1</v>
          </cell>
        </row>
        <row r="314">
          <cell r="C314" t="str">
            <v>213508028B9</v>
          </cell>
          <cell r="D314">
            <v>20</v>
          </cell>
          <cell r="E314" t="str">
            <v>Bình thường</v>
          </cell>
          <cell r="F314" t="str">
            <v>GC1</v>
          </cell>
          <cell r="G314" t="str">
            <v>AF1</v>
          </cell>
        </row>
        <row r="315">
          <cell r="C315" t="str">
            <v>L6215060021</v>
          </cell>
          <cell r="D315">
            <v>20</v>
          </cell>
          <cell r="E315" t="str">
            <v>Bình thường</v>
          </cell>
          <cell r="F315" t="str">
            <v>GR1</v>
          </cell>
          <cell r="G315" t="str">
            <v>GS1, AF1</v>
          </cell>
        </row>
        <row r="316">
          <cell r="C316" t="str">
            <v>L6305090392</v>
          </cell>
          <cell r="D316">
            <v>20</v>
          </cell>
          <cell r="E316" t="str">
            <v>Bình thường</v>
          </cell>
          <cell r="F316" t="str">
            <v>MA1</v>
          </cell>
          <cell r="G316" t="str">
            <v>BJ1, DA1, AB1</v>
          </cell>
        </row>
        <row r="317">
          <cell r="C317" t="str">
            <v>L6305090393</v>
          </cell>
          <cell r="D317">
            <v>20</v>
          </cell>
          <cell r="E317" t="str">
            <v>Bình thường</v>
          </cell>
          <cell r="F317" t="str">
            <v>MA1</v>
          </cell>
          <cell r="G317" t="str">
            <v>BJ1, DA1, AB1</v>
          </cell>
        </row>
        <row r="318">
          <cell r="C318" t="str">
            <v>L6305100143</v>
          </cell>
          <cell r="D318">
            <v>20</v>
          </cell>
          <cell r="E318" t="str">
            <v>Bình thường</v>
          </cell>
          <cell r="F318" t="str">
            <v>LA1</v>
          </cell>
          <cell r="G318" t="str">
            <v>BJ1, DA1, GS1, AB1</v>
          </cell>
        </row>
        <row r="319">
          <cell r="C319" t="str">
            <v>WL25060F052</v>
          </cell>
          <cell r="D319">
            <v>20</v>
          </cell>
          <cell r="E319" t="str">
            <v>Bình thường</v>
          </cell>
          <cell r="F319" t="str">
            <v>MA1</v>
          </cell>
          <cell r="G319" t="str">
            <v>BJ1, HT1, GS1</v>
          </cell>
        </row>
        <row r="320">
          <cell r="C320" t="str">
            <v>213507905B1</v>
          </cell>
          <cell r="D320">
            <v>20</v>
          </cell>
          <cell r="E320" t="str">
            <v>Bình thường</v>
          </cell>
          <cell r="F320" t="str">
            <v>LN1</v>
          </cell>
          <cell r="G320" t="str">
            <v>GR1, GS1, GC1, GJ1, KA1, AF1, BJ2, HT2, AF2, AL1</v>
          </cell>
        </row>
        <row r="321">
          <cell r="C321" t="str">
            <v>213508049B53</v>
          </cell>
          <cell r="D321">
            <v>20</v>
          </cell>
          <cell r="E321" t="str">
            <v>Bình thường</v>
          </cell>
          <cell r="F321" t="str">
            <v>AA1</v>
          </cell>
          <cell r="G321" t="str">
            <v>MA1, MC1, AF1</v>
          </cell>
        </row>
        <row r="322">
          <cell r="C322" t="str">
            <v>213509035B40</v>
          </cell>
          <cell r="D322">
            <v>20</v>
          </cell>
          <cell r="E322" t="str">
            <v>Bình thường</v>
          </cell>
          <cell r="F322" t="str">
            <v>AA1</v>
          </cell>
          <cell r="G322" t="str">
            <v>MA1, MC1, AF1</v>
          </cell>
        </row>
        <row r="323">
          <cell r="C323" t="str">
            <v>213509202A4</v>
          </cell>
          <cell r="D323">
            <v>20</v>
          </cell>
          <cell r="E323" t="str">
            <v>Bình thường</v>
          </cell>
          <cell r="F323" t="str">
            <v>AA1</v>
          </cell>
          <cell r="G323" t="str">
            <v>MA1, BJ1, HT1, GS1, AF1</v>
          </cell>
        </row>
        <row r="324">
          <cell r="C324" t="str">
            <v>213506012A14</v>
          </cell>
          <cell r="D324">
            <v>20</v>
          </cell>
          <cell r="E324" t="str">
            <v>Bình thường</v>
          </cell>
          <cell r="F324" t="str">
            <v>GC1</v>
          </cell>
          <cell r="G324" t="str">
            <v>GS2, GC2, AF1</v>
          </cell>
        </row>
        <row r="325">
          <cell r="C325" t="str">
            <v>213509223A25</v>
          </cell>
          <cell r="D325">
            <v>20</v>
          </cell>
          <cell r="E325" t="str">
            <v>Bình thường</v>
          </cell>
          <cell r="F325" t="str">
            <v>AF1</v>
          </cell>
          <cell r="G325" t="str">
            <v>HT1, LN1, KA1, BJ1, EN1, AF2, AL1</v>
          </cell>
        </row>
        <row r="326">
          <cell r="C326" t="str">
            <v>213508160A18</v>
          </cell>
          <cell r="D326">
            <v>20</v>
          </cell>
          <cell r="E326" t="str">
            <v>Bình thường</v>
          </cell>
          <cell r="F326" t="str">
            <v>GC1</v>
          </cell>
          <cell r="G326" t="str">
            <v>GS2, EW1, AF1, AL1</v>
          </cell>
        </row>
        <row r="327">
          <cell r="C327" t="str">
            <v>213507171A26</v>
          </cell>
          <cell r="D327">
            <v>20</v>
          </cell>
          <cell r="E327" t="str">
            <v>Bình thường</v>
          </cell>
          <cell r="F327" t="str">
            <v>GC1</v>
          </cell>
          <cell r="G327" t="str">
            <v>GS2, AF1</v>
          </cell>
        </row>
        <row r="328">
          <cell r="C328" t="str">
            <v>L6115030323</v>
          </cell>
          <cell r="D328">
            <v>20</v>
          </cell>
          <cell r="E328" t="str">
            <v>Bình thường</v>
          </cell>
          <cell r="F328" t="str">
            <v>LA1</v>
          </cell>
          <cell r="G328" t="str">
            <v>HT1, EW1, GC1, GS1, AF1</v>
          </cell>
        </row>
        <row r="329">
          <cell r="C329" t="str">
            <v>213509225A27</v>
          </cell>
          <cell r="D329">
            <v>20</v>
          </cell>
          <cell r="E329" t="str">
            <v>Bình thường</v>
          </cell>
          <cell r="F329" t="str">
            <v>AA1</v>
          </cell>
          <cell r="G329" t="str">
            <v>MA1, BJ1, AF1, GS1, GJ1, AF2</v>
          </cell>
        </row>
        <row r="330">
          <cell r="C330" t="str">
            <v>L6305080763</v>
          </cell>
          <cell r="D330">
            <v>20</v>
          </cell>
          <cell r="E330" t="str">
            <v>Bình thường</v>
          </cell>
          <cell r="F330" t="str">
            <v>AA1</v>
          </cell>
          <cell r="G330" t="str">
            <v>MA1, HT1, GS1, ED1, EW1, AF1, AB1</v>
          </cell>
        </row>
        <row r="331">
          <cell r="C331" t="str">
            <v>213509016B33</v>
          </cell>
          <cell r="D331">
            <v>20</v>
          </cell>
          <cell r="E331" t="str">
            <v>Bình thường</v>
          </cell>
          <cell r="F331" t="str">
            <v>MA1</v>
          </cell>
          <cell r="G331" t="str">
            <v>HT1, GS1, GP1, GS2, EN1, AF1</v>
          </cell>
        </row>
        <row r="332">
          <cell r="C332" t="str">
            <v>L63050305010</v>
          </cell>
          <cell r="D332">
            <v>20</v>
          </cell>
          <cell r="E332" t="str">
            <v>Bình thường</v>
          </cell>
          <cell r="F332" t="str">
            <v>GS1</v>
          </cell>
          <cell r="G332" t="str">
            <v>BJ1, EW1, AF1</v>
          </cell>
        </row>
        <row r="333">
          <cell r="C333" t="str">
            <v>L6225090071</v>
          </cell>
          <cell r="D333">
            <v>20</v>
          </cell>
          <cell r="E333" t="str">
            <v>Bình thường</v>
          </cell>
          <cell r="F333" t="str">
            <v>MA1</v>
          </cell>
          <cell r="G333" t="str">
            <v>MC1</v>
          </cell>
        </row>
        <row r="334">
          <cell r="C334" t="str">
            <v>213509086A19</v>
          </cell>
          <cell r="D334">
            <v>20</v>
          </cell>
          <cell r="E334" t="str">
            <v>Bình thường</v>
          </cell>
          <cell r="F334" t="str">
            <v>LN1</v>
          </cell>
          <cell r="G334" t="str">
            <v>KA1, BJ1, EN1, HT2, AF2, AL1</v>
          </cell>
        </row>
        <row r="335">
          <cell r="C335" t="str">
            <v>213508909A2</v>
          </cell>
          <cell r="D335">
            <v>20</v>
          </cell>
          <cell r="E335" t="str">
            <v>Bình thường</v>
          </cell>
          <cell r="F335" t="str">
            <v>EW1</v>
          </cell>
          <cell r="G335" t="str">
            <v>GS1, WG1, GS2, EW2, AF1</v>
          </cell>
        </row>
        <row r="336">
          <cell r="C336" t="str">
            <v>L6215050172</v>
          </cell>
          <cell r="D336">
            <v>20</v>
          </cell>
          <cell r="E336" t="str">
            <v>Bình thường</v>
          </cell>
          <cell r="F336" t="str">
            <v>GR1</v>
          </cell>
          <cell r="G336" t="str">
            <v>GS2, ED1, GJ1, EN1, AF1</v>
          </cell>
        </row>
        <row r="337">
          <cell r="C337" t="str">
            <v>213509062A44</v>
          </cell>
          <cell r="D337">
            <v>20</v>
          </cell>
          <cell r="E337" t="str">
            <v>Bình thường</v>
          </cell>
          <cell r="F337" t="str">
            <v>GR1</v>
          </cell>
          <cell r="G337" t="str">
            <v>GS2, GC1, AF1</v>
          </cell>
        </row>
        <row r="338">
          <cell r="C338" t="str">
            <v>L6225090141</v>
          </cell>
          <cell r="D338">
            <v>20</v>
          </cell>
          <cell r="E338" t="str">
            <v>Bình thường</v>
          </cell>
          <cell r="F338" t="str">
            <v>AA1</v>
          </cell>
          <cell r="G338" t="str">
            <v>MA1, MC1</v>
          </cell>
        </row>
        <row r="339">
          <cell r="C339" t="str">
            <v>L6225090131</v>
          </cell>
          <cell r="D339">
            <v>20</v>
          </cell>
          <cell r="E339" t="str">
            <v>Bình thường</v>
          </cell>
          <cell r="F339" t="str">
            <v>AA1</v>
          </cell>
          <cell r="G339" t="str">
            <v>MA1, MC1</v>
          </cell>
        </row>
        <row r="340">
          <cell r="C340" t="str">
            <v>213509239A42</v>
          </cell>
          <cell r="D340">
            <v>20</v>
          </cell>
          <cell r="E340" t="str">
            <v>Bình thường</v>
          </cell>
          <cell r="F340" t="str">
            <v>AA1</v>
          </cell>
          <cell r="G340" t="str">
            <v>MC1, AF1</v>
          </cell>
        </row>
        <row r="341">
          <cell r="C341" t="str">
            <v>213509240A43</v>
          </cell>
          <cell r="D341">
            <v>20</v>
          </cell>
          <cell r="E341" t="str">
            <v>Bình thường</v>
          </cell>
          <cell r="F341" t="str">
            <v>AA1</v>
          </cell>
          <cell r="G341" t="str">
            <v>MA1, MC1</v>
          </cell>
        </row>
        <row r="342">
          <cell r="C342" t="str">
            <v>63050500591</v>
          </cell>
          <cell r="D342">
            <v>20</v>
          </cell>
          <cell r="E342" t="str">
            <v>Bình thường</v>
          </cell>
          <cell r="F342" t="str">
            <v>GR1</v>
          </cell>
          <cell r="G342" t="str">
            <v>GP1, GS1, EN1, AF1</v>
          </cell>
        </row>
        <row r="343">
          <cell r="C343" t="str">
            <v>213509030A7</v>
          </cell>
          <cell r="D343">
            <v>20</v>
          </cell>
          <cell r="E343" t="str">
            <v>Bình thường</v>
          </cell>
          <cell r="F343" t="str">
            <v>MA1</v>
          </cell>
          <cell r="G343" t="str">
            <v>HT1, GS1, EW1, GS2, AF1</v>
          </cell>
        </row>
        <row r="344">
          <cell r="C344" t="str">
            <v>L6305100142</v>
          </cell>
          <cell r="D344">
            <v>20</v>
          </cell>
          <cell r="E344" t="str">
            <v>Bình thường</v>
          </cell>
          <cell r="F344" t="str">
            <v>AA1</v>
          </cell>
          <cell r="G344" t="str">
            <v>MA1, MC1</v>
          </cell>
        </row>
        <row r="345">
          <cell r="C345" t="str">
            <v>L6305100141</v>
          </cell>
          <cell r="D345">
            <v>20</v>
          </cell>
          <cell r="E345" t="str">
            <v>Bình thường</v>
          </cell>
          <cell r="F345" t="str">
            <v>AA1</v>
          </cell>
          <cell r="G345" t="str">
            <v>MA1, MC1</v>
          </cell>
        </row>
        <row r="346">
          <cell r="C346" t="str">
            <v>63050600401</v>
          </cell>
          <cell r="D346">
            <v>20</v>
          </cell>
          <cell r="E346" t="str">
            <v>Bình thường</v>
          </cell>
          <cell r="F346" t="str">
            <v>LN1</v>
          </cell>
          <cell r="G346" t="str">
            <v>GC1, AF1</v>
          </cell>
        </row>
        <row r="347">
          <cell r="C347" t="str">
            <v>213509226A28</v>
          </cell>
          <cell r="D347">
            <v>20</v>
          </cell>
          <cell r="E347" t="str">
            <v>Bình thường</v>
          </cell>
          <cell r="F347" t="str">
            <v>LN1</v>
          </cell>
          <cell r="G347" t="str">
            <v>HT1, LN2, MC1, AF1, KA1, BJ1, HT2, AF2, AL1</v>
          </cell>
        </row>
        <row r="348">
          <cell r="C348" t="str">
            <v>213509247A3</v>
          </cell>
          <cell r="D348">
            <v>20</v>
          </cell>
          <cell r="E348" t="str">
            <v>Bình thường</v>
          </cell>
          <cell r="F348" t="str">
            <v>MA1</v>
          </cell>
          <cell r="G348" t="str">
            <v>HT1, EW1, AF1</v>
          </cell>
        </row>
        <row r="349">
          <cell r="C349" t="str">
            <v>L6305090253</v>
          </cell>
          <cell r="D349">
            <v>20</v>
          </cell>
          <cell r="E349" t="str">
            <v>Bình thường</v>
          </cell>
          <cell r="F349" t="str">
            <v>LN1</v>
          </cell>
          <cell r="G349" t="str">
            <v>AB1</v>
          </cell>
        </row>
        <row r="350">
          <cell r="C350" t="str">
            <v>213507038B13</v>
          </cell>
          <cell r="D350">
            <v>20</v>
          </cell>
          <cell r="E350" t="str">
            <v>Bình thường</v>
          </cell>
          <cell r="F350" t="str">
            <v>GJ1</v>
          </cell>
          <cell r="G350" t="str">
            <v>EW1, AF1, KA1, LT1</v>
          </cell>
        </row>
        <row r="351">
          <cell r="C351" t="str">
            <v>63050901031</v>
          </cell>
          <cell r="D351">
            <v>20</v>
          </cell>
          <cell r="E351" t="str">
            <v>Bình thường</v>
          </cell>
          <cell r="F351" t="str">
            <v>AA1</v>
          </cell>
          <cell r="G351" t="str">
            <v>MA1, HT1, GS1, ED1, EW1, AF1, EW2, GS2, AB1</v>
          </cell>
        </row>
        <row r="352">
          <cell r="C352" t="str">
            <v>213506908B1</v>
          </cell>
          <cell r="D352">
            <v>20</v>
          </cell>
          <cell r="E352" t="str">
            <v>Bình thường</v>
          </cell>
          <cell r="F352" t="str">
            <v>GR1</v>
          </cell>
          <cell r="G352" t="str">
            <v>GS1, LA2, AF1, ED1, EW1, AF2, WG1</v>
          </cell>
        </row>
        <row r="353">
          <cell r="C353" t="str">
            <v>213507066B13</v>
          </cell>
          <cell r="D353">
            <v>20</v>
          </cell>
          <cell r="E353" t="str">
            <v>Bình thường</v>
          </cell>
          <cell r="F353" t="str">
            <v>LT1</v>
          </cell>
          <cell r="G353" t="str">
            <v>KT</v>
          </cell>
        </row>
        <row r="354">
          <cell r="C354" t="str">
            <v>213508071B12</v>
          </cell>
          <cell r="D354">
            <v>20</v>
          </cell>
          <cell r="E354" t="str">
            <v>Bình thường</v>
          </cell>
          <cell r="F354" t="str">
            <v>LT1</v>
          </cell>
          <cell r="G354" t="str">
            <v>KT</v>
          </cell>
        </row>
        <row r="355">
          <cell r="C355" t="str">
            <v>L4135090571</v>
          </cell>
          <cell r="D355">
            <v>18</v>
          </cell>
          <cell r="E355" t="str">
            <v>Khẩn</v>
          </cell>
          <cell r="F355" t="str">
            <v>MA1</v>
          </cell>
          <cell r="G355" t="str">
            <v>BJ1, AB1</v>
          </cell>
        </row>
        <row r="356">
          <cell r="C356" t="str">
            <v>L62250500112</v>
          </cell>
          <cell r="D356">
            <v>18</v>
          </cell>
          <cell r="E356" t="str">
            <v>Bình thường</v>
          </cell>
          <cell r="F356" t="str">
            <v>GC1</v>
          </cell>
          <cell r="G356" t="str">
            <v>AF1</v>
          </cell>
        </row>
        <row r="357">
          <cell r="C357" t="str">
            <v>L63050810011</v>
          </cell>
          <cell r="D357">
            <v>18</v>
          </cell>
          <cell r="E357" t="str">
            <v>Bình thường</v>
          </cell>
          <cell r="F357" t="str">
            <v>GR1</v>
          </cell>
          <cell r="G357" t="str">
            <v>GS2, AF1, AB1</v>
          </cell>
        </row>
        <row r="358">
          <cell r="C358" t="str">
            <v>213507056B17</v>
          </cell>
          <cell r="D358">
            <v>18</v>
          </cell>
          <cell r="E358" t="str">
            <v>Bình thường</v>
          </cell>
          <cell r="F358" t="str">
            <v>GS2</v>
          </cell>
          <cell r="G358" t="str">
            <v>EN1, AF1</v>
          </cell>
        </row>
        <row r="359">
          <cell r="C359" t="str">
            <v>L2135078062</v>
          </cell>
          <cell r="D359">
            <v>18</v>
          </cell>
          <cell r="E359" t="str">
            <v>Bình thường</v>
          </cell>
          <cell r="F359" t="str">
            <v>LN1</v>
          </cell>
          <cell r="G359" t="str">
            <v>BJ1, EW1, AF1, AB1</v>
          </cell>
        </row>
        <row r="360">
          <cell r="C360" t="str">
            <v>213508038B37</v>
          </cell>
          <cell r="D360">
            <v>18</v>
          </cell>
          <cell r="E360" t="str">
            <v>Bình thường</v>
          </cell>
          <cell r="F360" t="str">
            <v>MA1</v>
          </cell>
          <cell r="G360" t="str">
            <v>HT1, GS1, GP1, GS2, EN1, AF1</v>
          </cell>
        </row>
        <row r="361">
          <cell r="C361" t="str">
            <v>L6115080412</v>
          </cell>
          <cell r="D361">
            <v>18</v>
          </cell>
          <cell r="E361" t="str">
            <v>Bình thường</v>
          </cell>
          <cell r="F361" t="str">
            <v>EW1</v>
          </cell>
          <cell r="G361" t="str">
            <v>GC1, GS1, AF1</v>
          </cell>
        </row>
        <row r="362">
          <cell r="C362" t="str">
            <v>62250900141</v>
          </cell>
          <cell r="D362">
            <v>17</v>
          </cell>
          <cell r="E362" t="str">
            <v>Bình thường</v>
          </cell>
          <cell r="F362" t="str">
            <v>GS1</v>
          </cell>
          <cell r="G362" t="str">
            <v>EW1, AF1, AB1</v>
          </cell>
        </row>
        <row r="363">
          <cell r="C363" t="str">
            <v>213509190A57</v>
          </cell>
          <cell r="D363">
            <v>16</v>
          </cell>
          <cell r="E363" t="str">
            <v>Bình thường</v>
          </cell>
          <cell r="F363" t="str">
            <v>MC1</v>
          </cell>
          <cell r="G363" t="str">
            <v>AF1</v>
          </cell>
        </row>
        <row r="364">
          <cell r="C364" t="str">
            <v>L6245090017</v>
          </cell>
          <cell r="D364">
            <v>16</v>
          </cell>
          <cell r="E364" t="str">
            <v>Khẩn</v>
          </cell>
          <cell r="F364" t="str">
            <v>MA1</v>
          </cell>
          <cell r="G364" t="str">
            <v>MC1</v>
          </cell>
        </row>
        <row r="365">
          <cell r="C365" t="str">
            <v>63050801271</v>
          </cell>
          <cell r="D365">
            <v>16</v>
          </cell>
          <cell r="E365" t="str">
            <v>Bình thường</v>
          </cell>
          <cell r="F365" t="str">
            <v>MA1</v>
          </cell>
          <cell r="G365" t="str">
            <v>BJ1, DA1, WG1, AB1</v>
          </cell>
        </row>
        <row r="366">
          <cell r="C366" t="str">
            <v>L21350570826</v>
          </cell>
          <cell r="D366">
            <v>16</v>
          </cell>
          <cell r="E366" t="str">
            <v>Bình thường</v>
          </cell>
          <cell r="F366" t="str">
            <v>MA1</v>
          </cell>
          <cell r="G366" t="str">
            <v>BJ1, AB1</v>
          </cell>
        </row>
        <row r="367">
          <cell r="C367" t="str">
            <v>L6115080372</v>
          </cell>
          <cell r="D367">
            <v>16</v>
          </cell>
          <cell r="E367" t="str">
            <v>Bình thường</v>
          </cell>
          <cell r="F367" t="str">
            <v>LA1</v>
          </cell>
          <cell r="G367" t="str">
            <v>BJ1</v>
          </cell>
        </row>
        <row r="368">
          <cell r="C368" t="str">
            <v>L6305100571</v>
          </cell>
          <cell r="D368">
            <v>16</v>
          </cell>
          <cell r="E368" t="str">
            <v>Khẩn</v>
          </cell>
          <cell r="F368" t="str">
            <v>AA1</v>
          </cell>
          <cell r="G368" t="str">
            <v>MA1, BJ1, AF1, AB1</v>
          </cell>
        </row>
        <row r="369">
          <cell r="C369" t="str">
            <v>62250400031</v>
          </cell>
          <cell r="D369">
            <v>16</v>
          </cell>
          <cell r="E369" t="str">
            <v>Bình thường</v>
          </cell>
          <cell r="F369" t="str">
            <v>GS1</v>
          </cell>
          <cell r="G369" t="str">
            <v>GJ1, GS2, AF1</v>
          </cell>
        </row>
        <row r="370">
          <cell r="C370" t="str">
            <v>41351000341</v>
          </cell>
          <cell r="D370">
            <v>16</v>
          </cell>
          <cell r="E370" t="str">
            <v>Khẩn</v>
          </cell>
          <cell r="F370" t="str">
            <v>MA1</v>
          </cell>
          <cell r="G370" t="str">
            <v>GS1, MC1, HT1, AF1, AB1</v>
          </cell>
        </row>
        <row r="371">
          <cell r="C371" t="str">
            <v>L6225070391</v>
          </cell>
          <cell r="D371">
            <v>16</v>
          </cell>
          <cell r="E371" t="str">
            <v>Bình thường</v>
          </cell>
          <cell r="F371" t="str">
            <v>AA1</v>
          </cell>
          <cell r="G371" t="str">
            <v>MA1, BJ1, DA1</v>
          </cell>
        </row>
        <row r="372">
          <cell r="C372" t="str">
            <v>L6305080402</v>
          </cell>
          <cell r="D372">
            <v>16</v>
          </cell>
          <cell r="E372" t="str">
            <v>Bình thường</v>
          </cell>
          <cell r="F372" t="str">
            <v>GR1</v>
          </cell>
          <cell r="G372" t="str">
            <v>GS1, AF1, AB1</v>
          </cell>
        </row>
        <row r="373">
          <cell r="C373" t="str">
            <v>R6305080101</v>
          </cell>
          <cell r="D373">
            <v>16</v>
          </cell>
          <cell r="E373" t="str">
            <v>Bình thường</v>
          </cell>
          <cell r="F373" t="str">
            <v>MC1</v>
          </cell>
          <cell r="G373" t="str">
            <v>AF1, AB1</v>
          </cell>
        </row>
        <row r="374">
          <cell r="C374" t="str">
            <v>61250600021</v>
          </cell>
          <cell r="D374">
            <v>16</v>
          </cell>
          <cell r="E374" t="str">
            <v>Bình thường</v>
          </cell>
          <cell r="F374" t="str">
            <v>GR1</v>
          </cell>
          <cell r="G374" t="str">
            <v>GP1, GS1, EN1, GJ1, AF1, AB1</v>
          </cell>
        </row>
        <row r="375">
          <cell r="C375" t="str">
            <v>L6305070212</v>
          </cell>
          <cell r="D375">
            <v>16</v>
          </cell>
          <cell r="E375" t="str">
            <v>Bình thường</v>
          </cell>
          <cell r="F375" t="str">
            <v>EW1</v>
          </cell>
          <cell r="G375" t="str">
            <v>GS1, WG1, GS2, EW2, AF2</v>
          </cell>
        </row>
        <row r="376">
          <cell r="C376" t="str">
            <v>L4135100463</v>
          </cell>
          <cell r="D376">
            <v>16</v>
          </cell>
          <cell r="E376" t="str">
            <v>Khẩn</v>
          </cell>
          <cell r="F376" t="str">
            <v>WG1</v>
          </cell>
          <cell r="G376" t="str">
            <v>GS2, ED1, EN1, AF1</v>
          </cell>
        </row>
        <row r="377">
          <cell r="C377" t="str">
            <v>R21350629A11</v>
          </cell>
          <cell r="D377">
            <v>16</v>
          </cell>
          <cell r="E377" t="str">
            <v>Bình thường</v>
          </cell>
          <cell r="F377" t="str">
            <v>EW1</v>
          </cell>
          <cell r="G377" t="str">
            <v>GS1, EN1</v>
          </cell>
        </row>
        <row r="378">
          <cell r="C378" t="str">
            <v>62250800251</v>
          </cell>
          <cell r="D378">
            <v>16</v>
          </cell>
          <cell r="E378" t="str">
            <v>Bình thường</v>
          </cell>
          <cell r="F378" t="str">
            <v>GR1</v>
          </cell>
          <cell r="G378" t="str">
            <v>GS1, EN1, GJ1, AF1, AB1</v>
          </cell>
        </row>
        <row r="379">
          <cell r="C379" t="str">
            <v>L6305090241</v>
          </cell>
          <cell r="D379">
            <v>16</v>
          </cell>
          <cell r="E379" t="str">
            <v>Bình thường</v>
          </cell>
          <cell r="F379" t="str">
            <v>EW1</v>
          </cell>
          <cell r="G379" t="str">
            <v>GS1, AF1</v>
          </cell>
        </row>
        <row r="380">
          <cell r="C380" t="str">
            <v>R6225100051</v>
          </cell>
          <cell r="D380">
            <v>15</v>
          </cell>
          <cell r="E380" t="str">
            <v>Khẩn</v>
          </cell>
          <cell r="F380" t="str">
            <v>EN1</v>
          </cell>
          <cell r="G380" t="str">
            <v>VP</v>
          </cell>
        </row>
        <row r="381">
          <cell r="C381" t="str">
            <v>213508020A9</v>
          </cell>
          <cell r="D381">
            <v>15</v>
          </cell>
          <cell r="E381" t="str">
            <v>Bình thường</v>
          </cell>
          <cell r="F381" t="str">
            <v>GC1</v>
          </cell>
          <cell r="G381" t="str">
            <v>AF1, GS2</v>
          </cell>
        </row>
        <row r="382">
          <cell r="C382" t="str">
            <v>62350900311</v>
          </cell>
          <cell r="D382">
            <v>15</v>
          </cell>
          <cell r="E382" t="str">
            <v>Bình thường</v>
          </cell>
          <cell r="F382" t="str">
            <v>LA1</v>
          </cell>
          <cell r="G382" t="str">
            <v>AB1</v>
          </cell>
        </row>
        <row r="383">
          <cell r="C383" t="str">
            <v>213505161B47</v>
          </cell>
          <cell r="D383">
            <v>15</v>
          </cell>
          <cell r="E383" t="str">
            <v>Bình thường</v>
          </cell>
          <cell r="F383" t="str">
            <v>BJ1</v>
          </cell>
          <cell r="G383" t="str">
            <v>HT2, AF2, AL1</v>
          </cell>
        </row>
        <row r="384">
          <cell r="C384" t="str">
            <v>R6245090011</v>
          </cell>
          <cell r="D384">
            <v>15</v>
          </cell>
          <cell r="E384" t="str">
            <v>Bình thường</v>
          </cell>
          <cell r="F384" t="str">
            <v>WG1</v>
          </cell>
          <cell r="G384" t="str">
            <v>BJ1, DA1</v>
          </cell>
        </row>
        <row r="385">
          <cell r="C385" t="str">
            <v>R21350855A20</v>
          </cell>
          <cell r="D385">
            <v>15</v>
          </cell>
          <cell r="E385" t="str">
            <v>Bình thường</v>
          </cell>
          <cell r="F385" t="str">
            <v>GP1</v>
          </cell>
          <cell r="G385" t="str">
            <v>AF1, AL1</v>
          </cell>
        </row>
        <row r="386">
          <cell r="C386" t="str">
            <v>213504157A2</v>
          </cell>
          <cell r="D386">
            <v>15</v>
          </cell>
          <cell r="E386" t="str">
            <v>Bình thường</v>
          </cell>
          <cell r="F386" t="str">
            <v>GR1</v>
          </cell>
          <cell r="G386" t="str">
            <v>GP1, GS1, EN1, GJ1, AF1, AB1</v>
          </cell>
        </row>
        <row r="387">
          <cell r="C387" t="str">
            <v>62350700561</v>
          </cell>
          <cell r="D387">
            <v>15</v>
          </cell>
          <cell r="E387" t="str">
            <v>Bình thường</v>
          </cell>
          <cell r="F387" t="str">
            <v>EW1</v>
          </cell>
          <cell r="G387" t="str">
            <v>AF2</v>
          </cell>
        </row>
        <row r="388">
          <cell r="C388" t="str">
            <v>R6305100031</v>
          </cell>
          <cell r="D388">
            <v>15</v>
          </cell>
          <cell r="E388" t="str">
            <v>Bình thường</v>
          </cell>
          <cell r="F388" t="str">
            <v>GS1</v>
          </cell>
          <cell r="G388" t="str">
            <v>WG1, GS2, GR1</v>
          </cell>
        </row>
        <row r="389">
          <cell r="C389" t="str">
            <v>L6215050171</v>
          </cell>
          <cell r="D389">
            <v>15</v>
          </cell>
          <cell r="E389" t="str">
            <v>Bình thường</v>
          </cell>
          <cell r="F389" t="str">
            <v>MA1</v>
          </cell>
          <cell r="G389" t="str">
            <v>GS1, BJ1, DA1, GJ1, AB1</v>
          </cell>
        </row>
        <row r="390">
          <cell r="C390" t="str">
            <v>213507040B22</v>
          </cell>
          <cell r="D390">
            <v>15</v>
          </cell>
          <cell r="E390" t="str">
            <v>Bình thường</v>
          </cell>
          <cell r="F390" t="str">
            <v>LN2</v>
          </cell>
          <cell r="G390" t="str">
            <v>EW1, KA1, MC1, AF1, BJ1, HT2, AF2, AL1</v>
          </cell>
        </row>
        <row r="391">
          <cell r="C391" t="str">
            <v>63050700051</v>
          </cell>
          <cell r="D391">
            <v>15</v>
          </cell>
          <cell r="E391" t="str">
            <v>Bình thường</v>
          </cell>
          <cell r="F391" t="str">
            <v>GS1</v>
          </cell>
          <cell r="G391" t="str">
            <v>AF1, AB1</v>
          </cell>
        </row>
        <row r="392">
          <cell r="C392" t="str">
            <v>63051000201</v>
          </cell>
          <cell r="D392">
            <v>15</v>
          </cell>
          <cell r="E392" t="str">
            <v>Bình thường</v>
          </cell>
          <cell r="F392" t="str">
            <v>AA1</v>
          </cell>
          <cell r="G392" t="str">
            <v>MA1, BJ1, DA1, GS1, GJ1, AF1</v>
          </cell>
        </row>
        <row r="393">
          <cell r="C393" t="str">
            <v>L6235070095</v>
          </cell>
          <cell r="D393">
            <v>15</v>
          </cell>
          <cell r="E393" t="str">
            <v>Bình thường</v>
          </cell>
          <cell r="F393" t="str">
            <v>GR1</v>
          </cell>
          <cell r="G393" t="str">
            <v>GS1, BJ1, AB1</v>
          </cell>
        </row>
        <row r="394">
          <cell r="C394" t="str">
            <v>213509911A3</v>
          </cell>
          <cell r="D394">
            <v>15</v>
          </cell>
          <cell r="E394" t="str">
            <v>Bình thường</v>
          </cell>
          <cell r="F394" t="str">
            <v>EW2</v>
          </cell>
          <cell r="G394" t="str">
            <v>GS2</v>
          </cell>
        </row>
        <row r="395">
          <cell r="C395" t="str">
            <v>213509910A2</v>
          </cell>
          <cell r="D395">
            <v>15</v>
          </cell>
          <cell r="E395" t="str">
            <v>Bình thường</v>
          </cell>
          <cell r="F395" t="str">
            <v>EW1</v>
          </cell>
          <cell r="G395" t="str">
            <v>GS1, EW2, GS2</v>
          </cell>
        </row>
        <row r="396">
          <cell r="C396" t="str">
            <v>213509059A36</v>
          </cell>
          <cell r="D396">
            <v>15</v>
          </cell>
          <cell r="E396" t="str">
            <v>Bình thường</v>
          </cell>
          <cell r="F396" t="str">
            <v>LN2</v>
          </cell>
          <cell r="G396" t="str">
            <v>EW1, KA1, MC1, BJ1, HT2, AF2, AL1</v>
          </cell>
        </row>
        <row r="397">
          <cell r="C397" t="str">
            <v>213505081B24</v>
          </cell>
          <cell r="D397">
            <v>15</v>
          </cell>
          <cell r="E397" t="str">
            <v>Bình thường</v>
          </cell>
          <cell r="F397" t="str">
            <v>WG1</v>
          </cell>
          <cell r="G397" t="str">
            <v>GS2, GC2, AF2</v>
          </cell>
        </row>
        <row r="398">
          <cell r="C398" t="str">
            <v>213509271A29</v>
          </cell>
          <cell r="D398">
            <v>15</v>
          </cell>
          <cell r="E398" t="str">
            <v>Bình thường</v>
          </cell>
          <cell r="F398" t="str">
            <v>GC1</v>
          </cell>
          <cell r="G398" t="str">
            <v>GS2, GC2, AF1</v>
          </cell>
        </row>
        <row r="399">
          <cell r="C399" t="str">
            <v>L4135060481</v>
          </cell>
          <cell r="D399">
            <v>14</v>
          </cell>
          <cell r="E399" t="str">
            <v>Bình thường</v>
          </cell>
          <cell r="F399" t="str">
            <v>AA1</v>
          </cell>
          <cell r="G399" t="str">
            <v>MA1, MC1</v>
          </cell>
        </row>
        <row r="400">
          <cell r="C400" t="str">
            <v>L2135078052</v>
          </cell>
          <cell r="D400">
            <v>14</v>
          </cell>
          <cell r="E400" t="str">
            <v>Bình thường</v>
          </cell>
          <cell r="F400" t="str">
            <v>EW1</v>
          </cell>
          <cell r="G400" t="str">
            <v>GR1, EN1, GS2, GP1</v>
          </cell>
        </row>
        <row r="401">
          <cell r="C401" t="str">
            <v>213508150A6</v>
          </cell>
          <cell r="D401">
            <v>14</v>
          </cell>
          <cell r="E401" t="str">
            <v>Bình thường</v>
          </cell>
          <cell r="F401" t="str">
            <v>GS1</v>
          </cell>
          <cell r="G401" t="str">
            <v>BJ1, HT1, GS2, EN1, EW1, AF1</v>
          </cell>
        </row>
        <row r="402">
          <cell r="C402" t="str">
            <v>62251000151</v>
          </cell>
          <cell r="D402">
            <v>13</v>
          </cell>
          <cell r="E402" t="str">
            <v>Khẩn</v>
          </cell>
          <cell r="F402" t="str">
            <v>GP1</v>
          </cell>
          <cell r="G402" t="str">
            <v>AF1, AB1</v>
          </cell>
        </row>
        <row r="403">
          <cell r="C403" t="str">
            <v>L6115060193</v>
          </cell>
          <cell r="D403">
            <v>13</v>
          </cell>
          <cell r="E403" t="str">
            <v>Bình thường</v>
          </cell>
          <cell r="F403" t="str">
            <v>GC1</v>
          </cell>
          <cell r="G403" t="str">
            <v>GS1, AF1</v>
          </cell>
        </row>
        <row r="404">
          <cell r="C404" t="str">
            <v>L6235030094</v>
          </cell>
          <cell r="D404">
            <v>13</v>
          </cell>
          <cell r="E404" t="str">
            <v>Bình thường</v>
          </cell>
          <cell r="F404" t="str">
            <v>GS1</v>
          </cell>
          <cell r="G404" t="str">
            <v>MC1, AB1</v>
          </cell>
        </row>
        <row r="405">
          <cell r="C405" t="str">
            <v>L6235030091</v>
          </cell>
          <cell r="D405">
            <v>13</v>
          </cell>
          <cell r="E405" t="str">
            <v>Bình thường</v>
          </cell>
          <cell r="F405" t="str">
            <v>MC1</v>
          </cell>
          <cell r="G405" t="str">
            <v>GS1, AB1</v>
          </cell>
        </row>
        <row r="406">
          <cell r="C406" t="str">
            <v>L6115080172</v>
          </cell>
          <cell r="D406">
            <v>12</v>
          </cell>
          <cell r="E406" t="str">
            <v>Bình thường</v>
          </cell>
          <cell r="F406" t="str">
            <v>LA1</v>
          </cell>
          <cell r="G406" t="str">
            <v>BJ1, AF1</v>
          </cell>
        </row>
        <row r="407">
          <cell r="C407" t="str">
            <v>L6305050563</v>
          </cell>
          <cell r="D407">
            <v>12</v>
          </cell>
          <cell r="E407" t="str">
            <v>Bình thường</v>
          </cell>
          <cell r="F407" t="str">
            <v>LT1</v>
          </cell>
          <cell r="G407" t="str">
            <v>KT</v>
          </cell>
        </row>
        <row r="408">
          <cell r="C408" t="str">
            <v>63050600981</v>
          </cell>
          <cell r="D408">
            <v>12</v>
          </cell>
          <cell r="E408" t="str">
            <v>Bình thường</v>
          </cell>
          <cell r="F408" t="str">
            <v>MA1</v>
          </cell>
          <cell r="G408" t="str">
            <v>BJ1, AB1</v>
          </cell>
        </row>
        <row r="409">
          <cell r="C409" t="str">
            <v>213509006B28</v>
          </cell>
          <cell r="D409">
            <v>12</v>
          </cell>
          <cell r="E409" t="str">
            <v>Bình thường</v>
          </cell>
          <cell r="F409" t="str">
            <v>GS1</v>
          </cell>
          <cell r="G409" t="str">
            <v>AF1</v>
          </cell>
        </row>
        <row r="410">
          <cell r="C410" t="str">
            <v>R6225080051</v>
          </cell>
          <cell r="D410">
            <v>12</v>
          </cell>
          <cell r="E410" t="str">
            <v>Khẩn</v>
          </cell>
          <cell r="F410" t="str">
            <v>AC1</v>
          </cell>
          <cell r="G410" t="str">
            <v>VP</v>
          </cell>
        </row>
        <row r="411">
          <cell r="C411" t="str">
            <v>L6305070451</v>
          </cell>
          <cell r="D411">
            <v>12</v>
          </cell>
          <cell r="E411" t="str">
            <v>Bình thường</v>
          </cell>
          <cell r="F411" t="str">
            <v>GR1</v>
          </cell>
          <cell r="G411" t="str">
            <v>GS1, GC1, AF1</v>
          </cell>
        </row>
        <row r="412">
          <cell r="C412" t="str">
            <v>L6115050259</v>
          </cell>
          <cell r="D412">
            <v>12</v>
          </cell>
          <cell r="E412" t="str">
            <v>Bình thường</v>
          </cell>
          <cell r="F412" t="str">
            <v>MC1</v>
          </cell>
          <cell r="G412" t="str">
            <v>AF1</v>
          </cell>
        </row>
        <row r="413">
          <cell r="C413" t="str">
            <v>L63050810014</v>
          </cell>
          <cell r="D413">
            <v>12</v>
          </cell>
          <cell r="E413" t="str">
            <v>Bình thường</v>
          </cell>
          <cell r="F413" t="str">
            <v>GS1</v>
          </cell>
          <cell r="G413" t="str">
            <v>AF1, AB1</v>
          </cell>
        </row>
        <row r="414">
          <cell r="C414" t="str">
            <v>L6305080984</v>
          </cell>
          <cell r="D414">
            <v>12</v>
          </cell>
          <cell r="E414" t="str">
            <v>Bình thường</v>
          </cell>
          <cell r="F414" t="str">
            <v>GR1</v>
          </cell>
          <cell r="G414" t="str">
            <v>GS1, BJ1, GS2, AF1</v>
          </cell>
        </row>
        <row r="415">
          <cell r="C415" t="str">
            <v>L6115070134</v>
          </cell>
          <cell r="D415">
            <v>12</v>
          </cell>
          <cell r="E415" t="str">
            <v>Bình thường</v>
          </cell>
          <cell r="F415" t="str">
            <v>GR1</v>
          </cell>
          <cell r="G415" t="str">
            <v>GS1, AF1, AB1</v>
          </cell>
        </row>
        <row r="416">
          <cell r="C416" t="str">
            <v>L6305070452</v>
          </cell>
          <cell r="D416">
            <v>12</v>
          </cell>
          <cell r="E416" t="str">
            <v>Bình thường</v>
          </cell>
          <cell r="F416" t="str">
            <v>GS1</v>
          </cell>
          <cell r="G416" t="str">
            <v>AF1, AB1</v>
          </cell>
        </row>
        <row r="417">
          <cell r="C417" t="str">
            <v>L6305070103</v>
          </cell>
          <cell r="D417">
            <v>12</v>
          </cell>
          <cell r="E417" t="str">
            <v>Bình thường</v>
          </cell>
          <cell r="F417" t="str">
            <v>GS1</v>
          </cell>
          <cell r="G417" t="str">
            <v>VP</v>
          </cell>
        </row>
        <row r="418">
          <cell r="C418" t="str">
            <v>L4135100116</v>
          </cell>
          <cell r="D418">
            <v>12</v>
          </cell>
          <cell r="E418" t="str">
            <v>Khẩn</v>
          </cell>
          <cell r="F418" t="str">
            <v>GC1</v>
          </cell>
          <cell r="G418" t="str">
            <v>LA1, AB1</v>
          </cell>
        </row>
        <row r="419">
          <cell r="C419" t="str">
            <v>L6115080102</v>
          </cell>
          <cell r="D419">
            <v>12</v>
          </cell>
          <cell r="E419" t="str">
            <v>Bình thường</v>
          </cell>
          <cell r="F419" t="str">
            <v>GS1</v>
          </cell>
          <cell r="G419" t="str">
            <v>KT</v>
          </cell>
        </row>
        <row r="420">
          <cell r="C420" t="str">
            <v>L6115070358</v>
          </cell>
          <cell r="D420">
            <v>12</v>
          </cell>
          <cell r="E420" t="str">
            <v>Bình thường</v>
          </cell>
          <cell r="F420" t="str">
            <v>GS1</v>
          </cell>
          <cell r="G420" t="str">
            <v>AF1</v>
          </cell>
        </row>
        <row r="421">
          <cell r="C421" t="str">
            <v>L6305100052</v>
          </cell>
          <cell r="D421">
            <v>12</v>
          </cell>
          <cell r="E421" t="str">
            <v>Bình thường</v>
          </cell>
          <cell r="F421" t="str">
            <v>LA1</v>
          </cell>
          <cell r="G421" t="str">
            <v>HT1, GR1, GS1, AF1</v>
          </cell>
        </row>
        <row r="422">
          <cell r="C422" t="str">
            <v>L6305080285</v>
          </cell>
          <cell r="D422">
            <v>12</v>
          </cell>
          <cell r="E422" t="str">
            <v>Bình thường</v>
          </cell>
          <cell r="F422" t="str">
            <v>GS2</v>
          </cell>
          <cell r="G422" t="str">
            <v>AF1</v>
          </cell>
        </row>
        <row r="423">
          <cell r="C423" t="str">
            <v>63050401121</v>
          </cell>
          <cell r="D423">
            <v>12</v>
          </cell>
          <cell r="E423" t="str">
            <v>Bình thường</v>
          </cell>
          <cell r="F423" t="str">
            <v>GS1</v>
          </cell>
          <cell r="G423" t="str">
            <v>GJ1, AF1</v>
          </cell>
        </row>
        <row r="424">
          <cell r="C424" t="str">
            <v>L6305050623</v>
          </cell>
          <cell r="D424">
            <v>12</v>
          </cell>
          <cell r="E424" t="str">
            <v>Bình thường</v>
          </cell>
          <cell r="F424" t="str">
            <v>KA1</v>
          </cell>
          <cell r="G424" t="str">
            <v>WG1, AF1, AB1</v>
          </cell>
        </row>
        <row r="425">
          <cell r="C425" t="str">
            <v>L6305060293</v>
          </cell>
          <cell r="D425">
            <v>12</v>
          </cell>
          <cell r="E425" t="str">
            <v>Bình thường</v>
          </cell>
          <cell r="F425" t="str">
            <v>MA1</v>
          </cell>
          <cell r="G425" t="str">
            <v>GS1, MC1, AB1</v>
          </cell>
        </row>
        <row r="426">
          <cell r="C426" t="str">
            <v>63050600991</v>
          </cell>
          <cell r="D426">
            <v>12</v>
          </cell>
          <cell r="E426" t="str">
            <v>Bình thường</v>
          </cell>
          <cell r="F426" t="str">
            <v>AF1</v>
          </cell>
          <cell r="G426" t="str">
            <v>GS1, GJ1, AF2</v>
          </cell>
        </row>
        <row r="427">
          <cell r="C427" t="str">
            <v>L6305100043</v>
          </cell>
          <cell r="D427">
            <v>12</v>
          </cell>
          <cell r="E427" t="str">
            <v>Bình thường</v>
          </cell>
          <cell r="F427" t="str">
            <v>AA1</v>
          </cell>
          <cell r="G427" t="str">
            <v>MA1, BJ1, HT1, GS1, GJ1, AF1, AB1</v>
          </cell>
        </row>
        <row r="428">
          <cell r="C428" t="str">
            <v>213509001A1</v>
          </cell>
          <cell r="D428">
            <v>12</v>
          </cell>
          <cell r="E428" t="str">
            <v>Bình thường</v>
          </cell>
          <cell r="F428" t="str">
            <v>GC1</v>
          </cell>
          <cell r="G428" t="str">
            <v>GP1, EN1, AF1</v>
          </cell>
        </row>
        <row r="429">
          <cell r="C429" t="str">
            <v>63050900121</v>
          </cell>
          <cell r="D429">
            <v>12</v>
          </cell>
          <cell r="E429" t="str">
            <v>Bình thường</v>
          </cell>
          <cell r="F429" t="str">
            <v>MC1</v>
          </cell>
          <cell r="G429" t="str">
            <v>HT1, EW1, GS2, AF1</v>
          </cell>
        </row>
        <row r="430">
          <cell r="C430" t="str">
            <v>L6305081007</v>
          </cell>
          <cell r="D430">
            <v>12</v>
          </cell>
          <cell r="E430" t="str">
            <v>Bình thường</v>
          </cell>
          <cell r="F430" t="str">
            <v>HT1</v>
          </cell>
          <cell r="G430" t="str">
            <v>GS1, ED1, EW1, GS2, AF1, AB1</v>
          </cell>
        </row>
        <row r="431">
          <cell r="C431" t="str">
            <v>L6115070203</v>
          </cell>
          <cell r="D431">
            <v>12</v>
          </cell>
          <cell r="E431" t="str">
            <v>Bình thường</v>
          </cell>
          <cell r="F431" t="str">
            <v>EW1</v>
          </cell>
          <cell r="G431" t="str">
            <v>GS1, ED1, EW2, GS2, EN1</v>
          </cell>
        </row>
        <row r="432">
          <cell r="C432" t="str">
            <v>L6305080762</v>
          </cell>
          <cell r="D432">
            <v>12</v>
          </cell>
          <cell r="E432" t="str">
            <v>Bình thường</v>
          </cell>
          <cell r="F432" t="str">
            <v>GS1</v>
          </cell>
          <cell r="G432" t="str">
            <v>EW1, AF1</v>
          </cell>
        </row>
        <row r="433">
          <cell r="C433" t="str">
            <v>213509146A35</v>
          </cell>
          <cell r="D433">
            <v>12</v>
          </cell>
          <cell r="E433" t="str">
            <v>Bình thường</v>
          </cell>
          <cell r="F433" t="str">
            <v>LA1</v>
          </cell>
          <cell r="G433" t="str">
            <v>BJ1, HT1, GR1, GS1, GJ1, GP1, ED1, EW1, EN1, KA1, GS2, HT2, AF1</v>
          </cell>
        </row>
        <row r="434">
          <cell r="C434" t="str">
            <v>213508066B38</v>
          </cell>
          <cell r="D434">
            <v>11</v>
          </cell>
          <cell r="E434" t="str">
            <v>Bình thường</v>
          </cell>
          <cell r="F434" t="str">
            <v>AF1</v>
          </cell>
          <cell r="G434" t="str">
            <v>VP</v>
          </cell>
        </row>
        <row r="435">
          <cell r="C435" t="str">
            <v>L6305100591</v>
          </cell>
          <cell r="D435">
            <v>11</v>
          </cell>
          <cell r="E435" t="str">
            <v>Khẩn</v>
          </cell>
          <cell r="F435" t="str">
            <v>AA1</v>
          </cell>
          <cell r="G435" t="str">
            <v>MA1, BJ1, AB1</v>
          </cell>
        </row>
        <row r="436">
          <cell r="C436" t="str">
            <v>L6305100592</v>
          </cell>
          <cell r="D436">
            <v>11</v>
          </cell>
          <cell r="E436" t="str">
            <v>Khẩn</v>
          </cell>
          <cell r="F436" t="str">
            <v>AA1</v>
          </cell>
          <cell r="G436" t="str">
            <v>MA1, BJ1, DA1, AB1</v>
          </cell>
        </row>
        <row r="437">
          <cell r="C437" t="str">
            <v>L6305100601</v>
          </cell>
          <cell r="D437">
            <v>11</v>
          </cell>
          <cell r="E437" t="str">
            <v>Khẩn</v>
          </cell>
          <cell r="F437" t="str">
            <v>AA1</v>
          </cell>
          <cell r="G437" t="str">
            <v>MA1, BJ1, AB1</v>
          </cell>
        </row>
        <row r="438">
          <cell r="C438" t="str">
            <v>L6305100602</v>
          </cell>
          <cell r="D438">
            <v>11</v>
          </cell>
          <cell r="E438" t="str">
            <v>Khẩn</v>
          </cell>
          <cell r="F438" t="str">
            <v>AA1</v>
          </cell>
          <cell r="G438" t="str">
            <v>MA1, BJ1, DA1, AB1</v>
          </cell>
        </row>
        <row r="439">
          <cell r="C439" t="str">
            <v>L6115030363</v>
          </cell>
          <cell r="D439">
            <v>11</v>
          </cell>
          <cell r="E439" t="str">
            <v>Bình thường</v>
          </cell>
          <cell r="F439" t="str">
            <v>MA1</v>
          </cell>
          <cell r="G439" t="str">
            <v>MC1, AC1, WG1</v>
          </cell>
        </row>
        <row r="440">
          <cell r="C440" t="str">
            <v>213507077B13</v>
          </cell>
          <cell r="D440">
            <v>11</v>
          </cell>
          <cell r="E440" t="str">
            <v>Bình thường</v>
          </cell>
          <cell r="F440" t="str">
            <v>MC1</v>
          </cell>
          <cell r="G440" t="str">
            <v>AF1, GS1</v>
          </cell>
        </row>
        <row r="441">
          <cell r="C441" t="str">
            <v>213507140A17</v>
          </cell>
          <cell r="D441">
            <v>11</v>
          </cell>
          <cell r="E441" t="str">
            <v>Bình thường</v>
          </cell>
          <cell r="F441" t="str">
            <v>GC1</v>
          </cell>
          <cell r="G441" t="str">
            <v>GS2, GC2, AF1</v>
          </cell>
        </row>
        <row r="442">
          <cell r="C442" t="str">
            <v>213509246A1</v>
          </cell>
          <cell r="D442">
            <v>11</v>
          </cell>
          <cell r="E442" t="str">
            <v>Bình thường</v>
          </cell>
          <cell r="F442" t="str">
            <v>LN1</v>
          </cell>
          <cell r="G442" t="str">
            <v>GC1</v>
          </cell>
        </row>
        <row r="443">
          <cell r="C443" t="str">
            <v>213505266A17</v>
          </cell>
          <cell r="D443">
            <v>10</v>
          </cell>
          <cell r="E443" t="str">
            <v>Bình thường</v>
          </cell>
          <cell r="F443" t="str">
            <v>GC1</v>
          </cell>
          <cell r="G443" t="str">
            <v>GP1, AF1, LA1, WG1, GS2, GC2, GP2, AF2</v>
          </cell>
        </row>
        <row r="444">
          <cell r="C444" t="str">
            <v>213505117A6</v>
          </cell>
          <cell r="D444">
            <v>10</v>
          </cell>
          <cell r="E444" t="str">
            <v>Bình thường</v>
          </cell>
          <cell r="F444" t="str">
            <v>BJ1</v>
          </cell>
          <cell r="G444" t="str">
            <v>VP</v>
          </cell>
        </row>
        <row r="445">
          <cell r="C445" t="str">
            <v>63050801261</v>
          </cell>
          <cell r="D445">
            <v>10</v>
          </cell>
          <cell r="E445" t="str">
            <v>Bình thường</v>
          </cell>
          <cell r="F445" t="str">
            <v>BJ1</v>
          </cell>
          <cell r="G445" t="str">
            <v>EW1, AB1</v>
          </cell>
        </row>
        <row r="446">
          <cell r="C446" t="str">
            <v>213507006A9</v>
          </cell>
          <cell r="D446">
            <v>10</v>
          </cell>
          <cell r="E446" t="str">
            <v>Bình thường</v>
          </cell>
          <cell r="F446" t="str">
            <v>BJ1</v>
          </cell>
          <cell r="G446" t="str">
            <v>VP</v>
          </cell>
        </row>
        <row r="447">
          <cell r="C447" t="str">
            <v>62350600631</v>
          </cell>
          <cell r="D447">
            <v>10</v>
          </cell>
          <cell r="E447" t="str">
            <v>Bình thường</v>
          </cell>
          <cell r="F447" t="str">
            <v>AA1</v>
          </cell>
          <cell r="G447" t="str">
            <v>MA1, BJ1, DA1</v>
          </cell>
        </row>
        <row r="448">
          <cell r="C448" t="str">
            <v>L6305080065</v>
          </cell>
          <cell r="D448">
            <v>10</v>
          </cell>
          <cell r="E448" t="str">
            <v>Bình thường</v>
          </cell>
          <cell r="F448" t="str">
            <v>AF1</v>
          </cell>
          <cell r="G448" t="str">
            <v>VP</v>
          </cell>
        </row>
        <row r="449">
          <cell r="C449" t="str">
            <v>63050801721</v>
          </cell>
          <cell r="D449">
            <v>10</v>
          </cell>
          <cell r="E449" t="str">
            <v>Bình thường</v>
          </cell>
          <cell r="F449" t="str">
            <v>MA1</v>
          </cell>
          <cell r="G449" t="str">
            <v>BJ1, DA1, AB1</v>
          </cell>
        </row>
        <row r="450">
          <cell r="C450" t="str">
            <v>62350700591</v>
          </cell>
          <cell r="D450">
            <v>10</v>
          </cell>
          <cell r="E450" t="str">
            <v>Bình thường</v>
          </cell>
          <cell r="F450" t="str">
            <v>BJ1</v>
          </cell>
          <cell r="G450" t="str">
            <v>HT2, AF2</v>
          </cell>
        </row>
        <row r="451">
          <cell r="C451" t="str">
            <v>L6305070582</v>
          </cell>
          <cell r="D451">
            <v>10</v>
          </cell>
          <cell r="E451" t="str">
            <v>Bình thường</v>
          </cell>
          <cell r="F451" t="str">
            <v>GS1</v>
          </cell>
          <cell r="G451" t="str">
            <v>BJ1, AB1</v>
          </cell>
        </row>
        <row r="452">
          <cell r="C452" t="str">
            <v>62450600011</v>
          </cell>
          <cell r="D452">
            <v>10</v>
          </cell>
          <cell r="E452" t="str">
            <v>Bình thường</v>
          </cell>
          <cell r="F452" t="str">
            <v>AA1</v>
          </cell>
          <cell r="G452" t="str">
            <v>MA1, BJ1, DA1, GS1</v>
          </cell>
        </row>
        <row r="453">
          <cell r="C453" t="str">
            <v>L63051003210</v>
          </cell>
          <cell r="D453">
            <v>10</v>
          </cell>
          <cell r="E453" t="str">
            <v>Khẩn</v>
          </cell>
          <cell r="F453" t="str">
            <v>MA1</v>
          </cell>
          <cell r="G453" t="str">
            <v>BJ1, WG1, AB1</v>
          </cell>
        </row>
        <row r="454">
          <cell r="C454" t="str">
            <v>L4125100061</v>
          </cell>
          <cell r="D454">
            <v>10</v>
          </cell>
          <cell r="E454" t="str">
            <v>Bình thường</v>
          </cell>
          <cell r="F454" t="str">
            <v>GS1</v>
          </cell>
          <cell r="G454" t="str">
            <v>VP</v>
          </cell>
        </row>
        <row r="455">
          <cell r="C455" t="str">
            <v>213507114A1</v>
          </cell>
          <cell r="D455">
            <v>10</v>
          </cell>
          <cell r="E455" t="str">
            <v>Bình thường</v>
          </cell>
          <cell r="F455" t="str">
            <v>LN1</v>
          </cell>
          <cell r="G455" t="str">
            <v>KT</v>
          </cell>
        </row>
        <row r="456">
          <cell r="C456" t="str">
            <v>213509030B25</v>
          </cell>
          <cell r="D456">
            <v>10</v>
          </cell>
          <cell r="E456" t="str">
            <v>Bình thường</v>
          </cell>
          <cell r="F456" t="str">
            <v>LA1</v>
          </cell>
          <cell r="G456" t="str">
            <v>GR1, GP1</v>
          </cell>
        </row>
        <row r="457">
          <cell r="C457" t="str">
            <v>WL25060D0565</v>
          </cell>
          <cell r="D457">
            <v>10</v>
          </cell>
          <cell r="E457" t="str">
            <v>Bình thường</v>
          </cell>
          <cell r="F457" t="str">
            <v>MA1</v>
          </cell>
          <cell r="G457" t="str">
            <v>BJ1, AB1</v>
          </cell>
        </row>
        <row r="458">
          <cell r="C458" t="str">
            <v>L6305100054</v>
          </cell>
          <cell r="D458">
            <v>10</v>
          </cell>
          <cell r="E458" t="str">
            <v>Bình thường</v>
          </cell>
          <cell r="F458" t="str">
            <v>MA1</v>
          </cell>
          <cell r="G458" t="str">
            <v>BJ1, AF1</v>
          </cell>
        </row>
        <row r="459">
          <cell r="C459" t="str">
            <v>63050801431</v>
          </cell>
          <cell r="D459">
            <v>10</v>
          </cell>
          <cell r="E459" t="str">
            <v>Bình thường</v>
          </cell>
          <cell r="F459" t="str">
            <v>GR1</v>
          </cell>
          <cell r="G459" t="str">
            <v>GS3</v>
          </cell>
        </row>
        <row r="460">
          <cell r="C460" t="str">
            <v>213506502B12</v>
          </cell>
          <cell r="D460">
            <v>10</v>
          </cell>
          <cell r="E460" t="str">
            <v>Bình thường</v>
          </cell>
          <cell r="F460" t="str">
            <v>AF1</v>
          </cell>
          <cell r="G460" t="str">
            <v>AB1</v>
          </cell>
        </row>
        <row r="461">
          <cell r="C461" t="str">
            <v>63050801741</v>
          </cell>
          <cell r="D461">
            <v>10</v>
          </cell>
          <cell r="E461" t="str">
            <v>Bình thường</v>
          </cell>
          <cell r="F461" t="str">
            <v>MA1</v>
          </cell>
          <cell r="G461" t="str">
            <v>BJ1, MC1, HT1, GS1, AF1, AB1</v>
          </cell>
        </row>
        <row r="462">
          <cell r="C462" t="str">
            <v>61250800091</v>
          </cell>
          <cell r="D462">
            <v>10</v>
          </cell>
          <cell r="E462" t="str">
            <v>Bình thường</v>
          </cell>
          <cell r="F462" t="str">
            <v>BJ1</v>
          </cell>
          <cell r="G462" t="str">
            <v>KT</v>
          </cell>
        </row>
        <row r="463">
          <cell r="C463" t="str">
            <v>L6125070111</v>
          </cell>
          <cell r="D463">
            <v>10</v>
          </cell>
          <cell r="E463" t="str">
            <v>Bình thường</v>
          </cell>
          <cell r="F463" t="str">
            <v>BJ1</v>
          </cell>
          <cell r="G463" t="str">
            <v>DA1, HT1, AF1, AB1</v>
          </cell>
        </row>
        <row r="464">
          <cell r="C464" t="str">
            <v>213506510A29</v>
          </cell>
          <cell r="D464">
            <v>10</v>
          </cell>
          <cell r="E464" t="str">
            <v>Bình thường</v>
          </cell>
          <cell r="F464" t="str">
            <v>GS1</v>
          </cell>
          <cell r="G464" t="str">
            <v>EN1, KA1, AF1, GS2</v>
          </cell>
        </row>
        <row r="465">
          <cell r="C465" t="str">
            <v>L21350570217</v>
          </cell>
          <cell r="D465">
            <v>10</v>
          </cell>
          <cell r="E465" t="str">
            <v>Bình thường</v>
          </cell>
          <cell r="F465" t="str">
            <v>MA1</v>
          </cell>
          <cell r="G465" t="str">
            <v>BJ1, DA1, AB1</v>
          </cell>
        </row>
        <row r="466">
          <cell r="C466" t="str">
            <v>L21350570258</v>
          </cell>
          <cell r="D466">
            <v>10</v>
          </cell>
          <cell r="E466" t="str">
            <v>Bình thường</v>
          </cell>
          <cell r="F466" t="str">
            <v>BJ1</v>
          </cell>
          <cell r="G466" t="str">
            <v>DA1, AB1</v>
          </cell>
        </row>
        <row r="467">
          <cell r="C467" t="str">
            <v>L21350570241</v>
          </cell>
          <cell r="D467">
            <v>10</v>
          </cell>
          <cell r="E467" t="str">
            <v>Bình thường</v>
          </cell>
          <cell r="F467" t="str">
            <v>MA1</v>
          </cell>
          <cell r="G467" t="str">
            <v>BJ1, DA1, AB1</v>
          </cell>
        </row>
        <row r="468">
          <cell r="C468" t="str">
            <v>L21350570231</v>
          </cell>
          <cell r="D468">
            <v>10</v>
          </cell>
          <cell r="E468" t="str">
            <v>Bình thường</v>
          </cell>
          <cell r="F468" t="str">
            <v>MA1</v>
          </cell>
          <cell r="G468" t="str">
            <v>BJ1, DA1, AB1</v>
          </cell>
        </row>
        <row r="469">
          <cell r="C469" t="str">
            <v>213506053B24</v>
          </cell>
          <cell r="D469">
            <v>10</v>
          </cell>
          <cell r="E469" t="str">
            <v>Bình thường</v>
          </cell>
          <cell r="F469" t="str">
            <v>EW1</v>
          </cell>
          <cell r="G469" t="str">
            <v>GS1, EN1, AF1</v>
          </cell>
        </row>
        <row r="470">
          <cell r="C470" t="str">
            <v>213507014A21</v>
          </cell>
          <cell r="D470">
            <v>10</v>
          </cell>
          <cell r="E470" t="str">
            <v>Bình thường</v>
          </cell>
          <cell r="F470" t="str">
            <v>LN1</v>
          </cell>
          <cell r="G470" t="str">
            <v>BJ1</v>
          </cell>
        </row>
        <row r="471">
          <cell r="C471" t="str">
            <v>213506512A31</v>
          </cell>
          <cell r="D471">
            <v>10</v>
          </cell>
          <cell r="E471" t="str">
            <v>Bình thường</v>
          </cell>
          <cell r="F471" t="str">
            <v>EN1</v>
          </cell>
          <cell r="G471" t="str">
            <v>KA1, AF1, GS2</v>
          </cell>
        </row>
        <row r="472">
          <cell r="C472" t="str">
            <v>62250900071</v>
          </cell>
          <cell r="D472">
            <v>10</v>
          </cell>
          <cell r="E472" t="str">
            <v>Khẩn</v>
          </cell>
          <cell r="F472" t="str">
            <v>LA1</v>
          </cell>
          <cell r="G472" t="str">
            <v>VP</v>
          </cell>
        </row>
        <row r="473">
          <cell r="C473" t="str">
            <v>21351082033</v>
          </cell>
          <cell r="D473">
            <v>10</v>
          </cell>
          <cell r="E473" t="str">
            <v>Bình thường</v>
          </cell>
          <cell r="F473" t="str">
            <v>LA1</v>
          </cell>
          <cell r="G473" t="str">
            <v>AB1</v>
          </cell>
        </row>
        <row r="474">
          <cell r="C474" t="str">
            <v>21351082011</v>
          </cell>
          <cell r="D474">
            <v>10</v>
          </cell>
          <cell r="E474" t="str">
            <v>Bình thường</v>
          </cell>
          <cell r="F474" t="str">
            <v>LA1</v>
          </cell>
          <cell r="G474" t="str">
            <v>VP</v>
          </cell>
        </row>
        <row r="475">
          <cell r="C475" t="str">
            <v>L6225010184</v>
          </cell>
          <cell r="D475">
            <v>10</v>
          </cell>
          <cell r="E475" t="str">
            <v>Bình thường</v>
          </cell>
          <cell r="F475" t="str">
            <v>LA1</v>
          </cell>
          <cell r="G475" t="str">
            <v>BJ1, AF1, HT1, AB1</v>
          </cell>
        </row>
        <row r="476">
          <cell r="C476" t="str">
            <v>L6225070181</v>
          </cell>
          <cell r="D476">
            <v>10</v>
          </cell>
          <cell r="E476" t="str">
            <v>Bình thường</v>
          </cell>
          <cell r="F476" t="str">
            <v>MA1</v>
          </cell>
          <cell r="G476" t="str">
            <v>BJ1, AF1, HT1, GS1, GJ1, AF2, AB1</v>
          </cell>
        </row>
        <row r="477">
          <cell r="C477" t="str">
            <v>213506099B57</v>
          </cell>
          <cell r="D477">
            <v>10</v>
          </cell>
          <cell r="E477" t="str">
            <v>Bình thường</v>
          </cell>
          <cell r="F477" t="str">
            <v>GC1</v>
          </cell>
          <cell r="G477" t="str">
            <v>GS2, AF1</v>
          </cell>
        </row>
        <row r="478">
          <cell r="C478" t="str">
            <v>WL25060I057</v>
          </cell>
          <cell r="D478">
            <v>10</v>
          </cell>
          <cell r="E478" t="str">
            <v>Bình thường</v>
          </cell>
          <cell r="F478" t="str">
            <v>GS1</v>
          </cell>
          <cell r="G478" t="str">
            <v>AF1, AB1</v>
          </cell>
        </row>
        <row r="479">
          <cell r="C479" t="str">
            <v>213509216A17</v>
          </cell>
          <cell r="D479">
            <v>10</v>
          </cell>
          <cell r="E479" t="str">
            <v>Bình thường</v>
          </cell>
          <cell r="F479" t="str">
            <v>GC1</v>
          </cell>
          <cell r="G479" t="str">
            <v>AF1</v>
          </cell>
        </row>
        <row r="480">
          <cell r="C480" t="str">
            <v>WL25060G0512</v>
          </cell>
          <cell r="D480">
            <v>10</v>
          </cell>
          <cell r="E480" t="str">
            <v>Bình thường</v>
          </cell>
          <cell r="F480" t="str">
            <v>MA1</v>
          </cell>
          <cell r="G480" t="str">
            <v>BJ1, DA1, AB1</v>
          </cell>
        </row>
        <row r="481">
          <cell r="C481" t="str">
            <v>213505157B43</v>
          </cell>
          <cell r="D481">
            <v>10</v>
          </cell>
          <cell r="E481" t="str">
            <v>Bình thường</v>
          </cell>
          <cell r="F481" t="str">
            <v>AF2</v>
          </cell>
          <cell r="G481" t="str">
            <v>AL1</v>
          </cell>
        </row>
        <row r="482">
          <cell r="C482" t="str">
            <v>213506071B27</v>
          </cell>
          <cell r="D482">
            <v>10</v>
          </cell>
          <cell r="E482" t="str">
            <v>Bình thường</v>
          </cell>
          <cell r="F482" t="str">
            <v>MC1</v>
          </cell>
          <cell r="G482" t="str">
            <v>AL1</v>
          </cell>
        </row>
        <row r="483">
          <cell r="C483" t="str">
            <v>WL25060I0518</v>
          </cell>
          <cell r="D483">
            <v>10</v>
          </cell>
          <cell r="E483" t="str">
            <v>Bình thường</v>
          </cell>
          <cell r="F483" t="str">
            <v>AF1</v>
          </cell>
          <cell r="G483" t="str">
            <v>VP</v>
          </cell>
        </row>
        <row r="484">
          <cell r="C484" t="str">
            <v>WL25060G0519</v>
          </cell>
          <cell r="D484">
            <v>10</v>
          </cell>
          <cell r="E484" t="str">
            <v>Bình thường</v>
          </cell>
          <cell r="F484" t="str">
            <v>MA1</v>
          </cell>
          <cell r="G484" t="str">
            <v>BJ1, DA1, AB1</v>
          </cell>
        </row>
        <row r="485">
          <cell r="C485" t="str">
            <v>213508006A11</v>
          </cell>
          <cell r="D485">
            <v>10</v>
          </cell>
          <cell r="E485" t="str">
            <v>Bình thường</v>
          </cell>
          <cell r="F485" t="str">
            <v>MC1</v>
          </cell>
          <cell r="G485" t="str">
            <v>AF1</v>
          </cell>
        </row>
        <row r="486">
          <cell r="C486" t="str">
            <v>L6225090143</v>
          </cell>
          <cell r="D486">
            <v>10</v>
          </cell>
          <cell r="E486" t="str">
            <v>Bình thường</v>
          </cell>
          <cell r="F486" t="str">
            <v>LA1</v>
          </cell>
          <cell r="G486" t="str">
            <v>BJ1, DA1, HT1, GS1, AB1</v>
          </cell>
        </row>
        <row r="487">
          <cell r="C487" t="str">
            <v>213509244A46</v>
          </cell>
          <cell r="D487">
            <v>10</v>
          </cell>
          <cell r="E487" t="str">
            <v>Bình thường</v>
          </cell>
          <cell r="F487" t="str">
            <v>LA1</v>
          </cell>
          <cell r="G487" t="str">
            <v>BJ1, HT1, AF1, AB1</v>
          </cell>
        </row>
        <row r="488">
          <cell r="C488" t="str">
            <v>L6215010054</v>
          </cell>
          <cell r="D488">
            <v>10</v>
          </cell>
          <cell r="E488" t="str">
            <v>Bình thường</v>
          </cell>
          <cell r="F488" t="str">
            <v>GP1</v>
          </cell>
          <cell r="G488" t="str">
            <v>AF1</v>
          </cell>
        </row>
        <row r="489">
          <cell r="C489" t="str">
            <v>L6215010055</v>
          </cell>
          <cell r="D489">
            <v>10</v>
          </cell>
          <cell r="E489" t="str">
            <v>Bình thường</v>
          </cell>
          <cell r="F489" t="str">
            <v>GP1</v>
          </cell>
          <cell r="G489" t="str">
            <v>AF1</v>
          </cell>
        </row>
        <row r="490">
          <cell r="C490" t="str">
            <v>WL25060D0547</v>
          </cell>
          <cell r="D490">
            <v>10</v>
          </cell>
          <cell r="E490" t="str">
            <v>Bình thường</v>
          </cell>
          <cell r="F490" t="str">
            <v>MA1</v>
          </cell>
          <cell r="G490" t="str">
            <v>BJ1</v>
          </cell>
        </row>
        <row r="491">
          <cell r="C491" t="str">
            <v>WL25060D0515</v>
          </cell>
          <cell r="D491">
            <v>10</v>
          </cell>
          <cell r="E491" t="str">
            <v>Bình thường</v>
          </cell>
          <cell r="F491" t="str">
            <v>MA1</v>
          </cell>
          <cell r="G491" t="str">
            <v>BJ1, DA1, AB1</v>
          </cell>
        </row>
        <row r="492">
          <cell r="C492" t="str">
            <v>WL25060D059</v>
          </cell>
          <cell r="D492">
            <v>10</v>
          </cell>
          <cell r="E492" t="str">
            <v>Bình thường</v>
          </cell>
          <cell r="F492" t="str">
            <v>BJ1</v>
          </cell>
          <cell r="G492" t="str">
            <v>DA1, AB1</v>
          </cell>
        </row>
        <row r="493">
          <cell r="C493" t="str">
            <v>WL25060D0534</v>
          </cell>
          <cell r="D493">
            <v>10</v>
          </cell>
          <cell r="E493" t="str">
            <v>Bình thường</v>
          </cell>
          <cell r="F493" t="str">
            <v>BJ1</v>
          </cell>
          <cell r="G493" t="str">
            <v>AB1</v>
          </cell>
        </row>
        <row r="494">
          <cell r="C494" t="str">
            <v>WL25060D0558</v>
          </cell>
          <cell r="D494">
            <v>10</v>
          </cell>
          <cell r="E494" t="str">
            <v>Bình thường</v>
          </cell>
          <cell r="F494" t="str">
            <v>AA1</v>
          </cell>
          <cell r="G494" t="str">
            <v>MA1, BJ1, DA1</v>
          </cell>
        </row>
        <row r="495">
          <cell r="C495" t="str">
            <v>L6305040224</v>
          </cell>
          <cell r="D495">
            <v>10</v>
          </cell>
          <cell r="E495" t="str">
            <v>Bình thường</v>
          </cell>
          <cell r="F495" t="str">
            <v>MC1</v>
          </cell>
          <cell r="G495" t="str">
            <v>AF1</v>
          </cell>
        </row>
        <row r="496">
          <cell r="C496" t="str">
            <v>WL25060D0554</v>
          </cell>
          <cell r="D496">
            <v>10</v>
          </cell>
          <cell r="E496" t="str">
            <v>Bình thường</v>
          </cell>
          <cell r="F496" t="str">
            <v>AA1</v>
          </cell>
          <cell r="G496" t="str">
            <v>MA1, BJ1, AB1</v>
          </cell>
        </row>
        <row r="497">
          <cell r="C497" t="str">
            <v>WL25060D0522</v>
          </cell>
          <cell r="D497">
            <v>10</v>
          </cell>
          <cell r="E497" t="str">
            <v>Bình thường</v>
          </cell>
          <cell r="F497" t="str">
            <v>MA1</v>
          </cell>
          <cell r="G497" t="str">
            <v>BJ1, DA1, AB1</v>
          </cell>
        </row>
        <row r="498">
          <cell r="C498" t="str">
            <v>WL25060D0543</v>
          </cell>
          <cell r="D498">
            <v>10</v>
          </cell>
          <cell r="E498" t="str">
            <v>Bình thường</v>
          </cell>
          <cell r="F498" t="str">
            <v>AA1</v>
          </cell>
          <cell r="G498" t="str">
            <v>MA1, BJ1, AB1</v>
          </cell>
        </row>
        <row r="499">
          <cell r="C499" t="str">
            <v>WL25060D0555</v>
          </cell>
          <cell r="D499">
            <v>10</v>
          </cell>
          <cell r="E499" t="str">
            <v>Bình thường</v>
          </cell>
          <cell r="F499" t="str">
            <v>AA1</v>
          </cell>
          <cell r="G499" t="str">
            <v>MA1, BJ1, AB1</v>
          </cell>
        </row>
        <row r="500">
          <cell r="C500" t="str">
            <v>WL25060D0559</v>
          </cell>
          <cell r="D500">
            <v>10</v>
          </cell>
          <cell r="E500" t="str">
            <v>Bình thường</v>
          </cell>
          <cell r="F500" t="str">
            <v>AA1</v>
          </cell>
          <cell r="G500" t="str">
            <v>MA1, BJ1, AB1</v>
          </cell>
        </row>
        <row r="501">
          <cell r="C501" t="str">
            <v>WL25060D0557</v>
          </cell>
          <cell r="D501">
            <v>10</v>
          </cell>
          <cell r="E501" t="str">
            <v>Bình thường</v>
          </cell>
          <cell r="F501" t="str">
            <v>AA1</v>
          </cell>
          <cell r="G501" t="str">
            <v>MA1, BJ1, AB1</v>
          </cell>
        </row>
        <row r="502">
          <cell r="C502" t="str">
            <v>WL25060D0545</v>
          </cell>
          <cell r="D502">
            <v>10</v>
          </cell>
          <cell r="E502" t="str">
            <v>Bình thường</v>
          </cell>
          <cell r="F502" t="str">
            <v>MA1</v>
          </cell>
          <cell r="G502" t="str">
            <v>BJ1, AB1</v>
          </cell>
        </row>
        <row r="503">
          <cell r="C503" t="str">
            <v>WL25060D0523</v>
          </cell>
          <cell r="D503">
            <v>10</v>
          </cell>
          <cell r="E503" t="str">
            <v>Bình thường</v>
          </cell>
          <cell r="F503" t="str">
            <v>MA1</v>
          </cell>
          <cell r="G503" t="str">
            <v>BJ1, DA1, AB1</v>
          </cell>
        </row>
        <row r="504">
          <cell r="C504" t="str">
            <v>213502141B39</v>
          </cell>
          <cell r="D504">
            <v>10</v>
          </cell>
          <cell r="E504" t="str">
            <v>Bình thường</v>
          </cell>
          <cell r="F504" t="str">
            <v>GS2</v>
          </cell>
          <cell r="G504" t="str">
            <v>KT</v>
          </cell>
        </row>
        <row r="505">
          <cell r="C505" t="str">
            <v>213506058B32</v>
          </cell>
          <cell r="D505">
            <v>10</v>
          </cell>
          <cell r="E505" t="str">
            <v>Bình thường</v>
          </cell>
          <cell r="F505" t="str">
            <v>GS1</v>
          </cell>
          <cell r="G505" t="str">
            <v>AF1, AB1</v>
          </cell>
        </row>
        <row r="506">
          <cell r="C506" t="str">
            <v>L6305080191</v>
          </cell>
          <cell r="D506">
            <v>10</v>
          </cell>
          <cell r="E506" t="str">
            <v>Bình thường</v>
          </cell>
          <cell r="F506" t="str">
            <v>AA1</v>
          </cell>
          <cell r="G506" t="str">
            <v>MA1, BJ1, DA1, AB1</v>
          </cell>
        </row>
        <row r="507">
          <cell r="C507" t="str">
            <v>WL25060D0542</v>
          </cell>
          <cell r="D507">
            <v>10</v>
          </cell>
          <cell r="E507" t="str">
            <v>Bình thường</v>
          </cell>
          <cell r="F507" t="str">
            <v>AB1</v>
          </cell>
          <cell r="G507" t="str">
            <v>VP</v>
          </cell>
        </row>
        <row r="508">
          <cell r="C508" t="str">
            <v>213506054B25</v>
          </cell>
          <cell r="D508">
            <v>10</v>
          </cell>
          <cell r="E508" t="str">
            <v>Bình thường</v>
          </cell>
          <cell r="F508" t="str">
            <v>LT1</v>
          </cell>
          <cell r="G508" t="str">
            <v>KT</v>
          </cell>
        </row>
        <row r="509">
          <cell r="C509" t="str">
            <v>L6235050031</v>
          </cell>
          <cell r="D509">
            <v>10</v>
          </cell>
          <cell r="E509" t="str">
            <v>Bình thường</v>
          </cell>
          <cell r="F509" t="str">
            <v>AA1</v>
          </cell>
          <cell r="G509" t="str">
            <v>MA1, MC1</v>
          </cell>
        </row>
        <row r="510">
          <cell r="C510" t="str">
            <v>L6305090162</v>
          </cell>
          <cell r="D510">
            <v>10</v>
          </cell>
          <cell r="E510" t="str">
            <v>Bình thường</v>
          </cell>
          <cell r="F510" t="str">
            <v>MA1</v>
          </cell>
          <cell r="G510" t="str">
            <v>BJ1, DA1, WG1, AB1</v>
          </cell>
        </row>
        <row r="511">
          <cell r="C511" t="str">
            <v>213509082A15</v>
          </cell>
          <cell r="D511">
            <v>10</v>
          </cell>
          <cell r="E511" t="str">
            <v>Bình thường</v>
          </cell>
          <cell r="F511" t="str">
            <v>LN1</v>
          </cell>
          <cell r="G511" t="str">
            <v>BJ1</v>
          </cell>
        </row>
        <row r="512">
          <cell r="C512" t="str">
            <v>213508037A37</v>
          </cell>
          <cell r="D512">
            <v>10</v>
          </cell>
          <cell r="E512" t="str">
            <v>Bình thường</v>
          </cell>
          <cell r="F512" t="str">
            <v>MC1</v>
          </cell>
          <cell r="G512" t="str">
            <v>VP</v>
          </cell>
        </row>
        <row r="513">
          <cell r="C513" t="str">
            <v>R21350993A1</v>
          </cell>
          <cell r="D513">
            <v>10</v>
          </cell>
          <cell r="E513" t="str">
            <v>Bình thường</v>
          </cell>
          <cell r="F513" t="str">
            <v>MC1</v>
          </cell>
          <cell r="G513" t="str">
            <v>AF1</v>
          </cell>
        </row>
        <row r="514">
          <cell r="C514" t="str">
            <v>213508058B17</v>
          </cell>
          <cell r="D514">
            <v>10</v>
          </cell>
          <cell r="E514" t="str">
            <v>Bình thường</v>
          </cell>
          <cell r="F514" t="str">
            <v>WG1</v>
          </cell>
          <cell r="G514" t="str">
            <v>GS2, EW2, AF2, GS3, AL1</v>
          </cell>
        </row>
        <row r="515">
          <cell r="C515" t="str">
            <v>213510003A5</v>
          </cell>
          <cell r="D515">
            <v>10</v>
          </cell>
          <cell r="E515" t="str">
            <v>Bình thường</v>
          </cell>
          <cell r="F515" t="str">
            <v>GS1</v>
          </cell>
          <cell r="G515" t="str">
            <v>GC1, AF1</v>
          </cell>
        </row>
        <row r="516">
          <cell r="C516" t="str">
            <v>213507904B1</v>
          </cell>
          <cell r="D516">
            <v>10</v>
          </cell>
          <cell r="E516" t="str">
            <v>Bình thường</v>
          </cell>
          <cell r="F516" t="str">
            <v>AF1</v>
          </cell>
          <cell r="G516" t="str">
            <v>KT</v>
          </cell>
        </row>
        <row r="517">
          <cell r="C517" t="str">
            <v>L6305090231</v>
          </cell>
          <cell r="D517">
            <v>10</v>
          </cell>
          <cell r="E517" t="str">
            <v>Bình thường</v>
          </cell>
          <cell r="F517" t="str">
            <v>AA1</v>
          </cell>
          <cell r="G517" t="str">
            <v>MA1, GS1, BJ1, AB1</v>
          </cell>
        </row>
        <row r="518">
          <cell r="C518" t="str">
            <v>L6225090133</v>
          </cell>
          <cell r="D518">
            <v>10</v>
          </cell>
          <cell r="E518" t="str">
            <v>Bình thường</v>
          </cell>
          <cell r="F518" t="str">
            <v>LA1</v>
          </cell>
          <cell r="G518" t="str">
            <v>MC1, HT1, AF1, AB1</v>
          </cell>
        </row>
        <row r="519">
          <cell r="C519" t="str">
            <v>213509053A29</v>
          </cell>
          <cell r="D519">
            <v>10</v>
          </cell>
          <cell r="E519" t="str">
            <v>Bình thường</v>
          </cell>
          <cell r="F519" t="str">
            <v>MA1</v>
          </cell>
          <cell r="G519" t="str">
            <v>BJ1, DA1, GS1, MC1, AL1</v>
          </cell>
        </row>
        <row r="520">
          <cell r="C520" t="str">
            <v>213510027A24</v>
          </cell>
          <cell r="D520">
            <v>10</v>
          </cell>
          <cell r="E520" t="str">
            <v>Bình thường</v>
          </cell>
          <cell r="F520" t="str">
            <v>EW1</v>
          </cell>
          <cell r="G520" t="str">
            <v>ED1, EW2, EN1, ED2, AF1</v>
          </cell>
        </row>
        <row r="521">
          <cell r="C521" t="str">
            <v>213506005B18</v>
          </cell>
          <cell r="D521">
            <v>10</v>
          </cell>
          <cell r="E521" t="str">
            <v>Bình thường</v>
          </cell>
          <cell r="F521" t="str">
            <v>GS2</v>
          </cell>
          <cell r="G521" t="str">
            <v>AF1, AB1</v>
          </cell>
        </row>
        <row r="522">
          <cell r="C522" t="str">
            <v>213508500A14</v>
          </cell>
          <cell r="D522">
            <v>10</v>
          </cell>
          <cell r="E522" t="str">
            <v>Bình thường</v>
          </cell>
          <cell r="F522" t="str">
            <v>GS1</v>
          </cell>
          <cell r="G522" t="str">
            <v>AF1</v>
          </cell>
        </row>
        <row r="523">
          <cell r="C523" t="str">
            <v>213509235A38</v>
          </cell>
          <cell r="D523">
            <v>10</v>
          </cell>
          <cell r="E523" t="str">
            <v>Bình thường</v>
          </cell>
          <cell r="F523" t="str">
            <v>MA1</v>
          </cell>
          <cell r="G523" t="str">
            <v>HT1, BJ1, AF1, GS1, AF2</v>
          </cell>
        </row>
        <row r="524">
          <cell r="C524" t="str">
            <v>213507505A26</v>
          </cell>
          <cell r="D524">
            <v>10</v>
          </cell>
          <cell r="E524" t="str">
            <v>Bình thường</v>
          </cell>
          <cell r="F524" t="str">
            <v>GC1</v>
          </cell>
          <cell r="G524" t="str">
            <v>GS2, AF1</v>
          </cell>
        </row>
        <row r="525">
          <cell r="C525" t="str">
            <v>213510032A33</v>
          </cell>
          <cell r="D525">
            <v>10</v>
          </cell>
          <cell r="E525" t="str">
            <v>Bình thường</v>
          </cell>
          <cell r="F525" t="str">
            <v>AC1</v>
          </cell>
          <cell r="G525" t="str">
            <v>ED1, EW1</v>
          </cell>
        </row>
        <row r="526">
          <cell r="C526" t="str">
            <v>213509229A31</v>
          </cell>
          <cell r="D526">
            <v>10</v>
          </cell>
          <cell r="E526" t="str">
            <v>Bình thường</v>
          </cell>
          <cell r="F526" t="str">
            <v>GS1</v>
          </cell>
          <cell r="G526" t="str">
            <v>GC1, EN1, AF1, GS2</v>
          </cell>
        </row>
        <row r="527">
          <cell r="C527" t="str">
            <v>213509019A21</v>
          </cell>
          <cell r="D527">
            <v>10</v>
          </cell>
          <cell r="E527" t="str">
            <v>Bình thường</v>
          </cell>
          <cell r="F527" t="str">
            <v>MA1</v>
          </cell>
          <cell r="G527" t="str">
            <v>HT1, GS1, MC1, AF1</v>
          </cell>
        </row>
        <row r="528">
          <cell r="C528" t="str">
            <v>L6225070183</v>
          </cell>
          <cell r="D528">
            <v>10</v>
          </cell>
          <cell r="E528" t="str">
            <v>Bình thường</v>
          </cell>
          <cell r="F528" t="str">
            <v>GS2</v>
          </cell>
          <cell r="G528" t="str">
            <v>GJ1, AF1, AB1</v>
          </cell>
        </row>
        <row r="529">
          <cell r="C529" t="str">
            <v>213509236A39</v>
          </cell>
          <cell r="D529">
            <v>10</v>
          </cell>
          <cell r="E529" t="str">
            <v>Bình thường</v>
          </cell>
          <cell r="F529" t="str">
            <v>LA1</v>
          </cell>
          <cell r="G529" t="str">
            <v>BJ1, DA1, GS1, AB1</v>
          </cell>
        </row>
        <row r="530">
          <cell r="C530" t="str">
            <v>213506122B2</v>
          </cell>
          <cell r="D530">
            <v>10</v>
          </cell>
          <cell r="E530" t="str">
            <v>Bình thường</v>
          </cell>
          <cell r="F530" t="str">
            <v>GS2</v>
          </cell>
          <cell r="G530" t="str">
            <v>AF1</v>
          </cell>
        </row>
        <row r="531">
          <cell r="C531" t="str">
            <v>213509099A36</v>
          </cell>
          <cell r="D531">
            <v>10</v>
          </cell>
          <cell r="E531" t="str">
            <v>Bình thường</v>
          </cell>
          <cell r="F531" t="str">
            <v>GS1</v>
          </cell>
          <cell r="G531" t="str">
            <v>ED1, EN1, AF1</v>
          </cell>
        </row>
        <row r="532">
          <cell r="C532" t="str">
            <v>R21350932A19</v>
          </cell>
          <cell r="D532">
            <v>10</v>
          </cell>
          <cell r="E532" t="str">
            <v>Bình thường</v>
          </cell>
          <cell r="F532" t="str">
            <v>GS1</v>
          </cell>
          <cell r="G532" t="str">
            <v>GP1, AF1, AL1</v>
          </cell>
        </row>
        <row r="533">
          <cell r="C533" t="str">
            <v>62350800211</v>
          </cell>
          <cell r="D533">
            <v>10</v>
          </cell>
          <cell r="E533" t="str">
            <v>Bình thường</v>
          </cell>
          <cell r="F533" t="str">
            <v>EW1</v>
          </cell>
          <cell r="G533" t="str">
            <v>BJ1, MC1, AF1</v>
          </cell>
        </row>
        <row r="534">
          <cell r="C534" t="str">
            <v>L6225070182</v>
          </cell>
          <cell r="D534">
            <v>10</v>
          </cell>
          <cell r="E534" t="str">
            <v>Bình thường</v>
          </cell>
          <cell r="F534" t="str">
            <v>GS1</v>
          </cell>
          <cell r="G534" t="str">
            <v>GJ1, AF1, AB1</v>
          </cell>
        </row>
        <row r="535">
          <cell r="C535" t="str">
            <v>R21350987A10</v>
          </cell>
          <cell r="D535">
            <v>10</v>
          </cell>
          <cell r="E535" t="str">
            <v>Bình thường</v>
          </cell>
          <cell r="F535" t="str">
            <v>GS1</v>
          </cell>
          <cell r="G535" t="str">
            <v>GP1, AF1, AL1</v>
          </cell>
        </row>
        <row r="536">
          <cell r="C536" t="str">
            <v>213508134A26</v>
          </cell>
          <cell r="D536">
            <v>10</v>
          </cell>
          <cell r="E536" t="str">
            <v>Bình thường</v>
          </cell>
          <cell r="F536" t="str">
            <v>GR1</v>
          </cell>
          <cell r="G536" t="str">
            <v>KT</v>
          </cell>
        </row>
        <row r="537">
          <cell r="C537" t="str">
            <v>R6305050271</v>
          </cell>
          <cell r="D537">
            <v>10</v>
          </cell>
          <cell r="E537" t="str">
            <v>Bình thường</v>
          </cell>
          <cell r="F537" t="str">
            <v>MC1</v>
          </cell>
          <cell r="G537" t="str">
            <v>ED1, EN1</v>
          </cell>
        </row>
        <row r="538">
          <cell r="C538" t="str">
            <v>213505010B28</v>
          </cell>
          <cell r="D538">
            <v>10</v>
          </cell>
          <cell r="E538" t="str">
            <v>Bình thường</v>
          </cell>
          <cell r="F538" t="str">
            <v>EN1</v>
          </cell>
          <cell r="G538" t="str">
            <v>AF1</v>
          </cell>
        </row>
        <row r="539">
          <cell r="C539" t="str">
            <v>213509056B32</v>
          </cell>
          <cell r="D539">
            <v>10</v>
          </cell>
          <cell r="E539" t="str">
            <v>Bình thường</v>
          </cell>
          <cell r="F539" t="str">
            <v>MA1</v>
          </cell>
          <cell r="G539" t="str">
            <v>MC1</v>
          </cell>
        </row>
        <row r="540">
          <cell r="C540" t="str">
            <v>213508085B43</v>
          </cell>
          <cell r="D540">
            <v>10</v>
          </cell>
          <cell r="E540" t="str">
            <v>Bình thường</v>
          </cell>
          <cell r="F540" t="str">
            <v>GS1</v>
          </cell>
          <cell r="G540" t="str">
            <v>EW1, AF1</v>
          </cell>
        </row>
        <row r="541">
          <cell r="C541" t="str">
            <v>213508079A24</v>
          </cell>
          <cell r="D541">
            <v>10</v>
          </cell>
          <cell r="E541" t="str">
            <v>Bình thường</v>
          </cell>
          <cell r="F541" t="str">
            <v>LN1</v>
          </cell>
          <cell r="G541" t="str">
            <v>BJ1, HT1, GR1, GC1, GJ1, KA1, AF1, BJ2, HT2, AF2</v>
          </cell>
        </row>
        <row r="542">
          <cell r="C542" t="str">
            <v>L6305100081</v>
          </cell>
          <cell r="D542">
            <v>10</v>
          </cell>
          <cell r="E542" t="str">
            <v>Bình thường</v>
          </cell>
          <cell r="F542" t="str">
            <v>AA1</v>
          </cell>
          <cell r="G542" t="str">
            <v>MA1, GS1, MC1, HT1, AB1</v>
          </cell>
        </row>
        <row r="543">
          <cell r="C543" t="str">
            <v>213509514A39</v>
          </cell>
          <cell r="D543">
            <v>10</v>
          </cell>
          <cell r="E543" t="str">
            <v>Bình thường</v>
          </cell>
          <cell r="F543" t="str">
            <v>LA1</v>
          </cell>
          <cell r="G543" t="str">
            <v>HT1, GS1, WG1, GR1, GS2, EN1, AF1, ED1, EW1, AF2, WG2</v>
          </cell>
        </row>
        <row r="544">
          <cell r="C544" t="str">
            <v>R21351048A5</v>
          </cell>
          <cell r="D544">
            <v>10</v>
          </cell>
          <cell r="E544" t="str">
            <v>Bình thường</v>
          </cell>
          <cell r="F544" t="str">
            <v>GP1</v>
          </cell>
          <cell r="G544" t="str">
            <v>AF1, AL1</v>
          </cell>
        </row>
        <row r="545">
          <cell r="C545" t="str">
            <v>213507045B9</v>
          </cell>
          <cell r="D545">
            <v>10</v>
          </cell>
          <cell r="E545" t="str">
            <v>Bình thường</v>
          </cell>
          <cell r="F545" t="str">
            <v>GC1</v>
          </cell>
          <cell r="G545" t="str">
            <v>EN1, AF1, ED1, AF2</v>
          </cell>
        </row>
        <row r="546">
          <cell r="C546" t="str">
            <v>L6235090181</v>
          </cell>
          <cell r="D546">
            <v>10</v>
          </cell>
          <cell r="E546" t="str">
            <v>Bình thường</v>
          </cell>
          <cell r="F546" t="str">
            <v>AA1</v>
          </cell>
          <cell r="G546" t="str">
            <v>MA1, MC1, AB1</v>
          </cell>
        </row>
        <row r="547">
          <cell r="C547" t="str">
            <v>213509222A23</v>
          </cell>
          <cell r="D547">
            <v>10</v>
          </cell>
          <cell r="E547" t="str">
            <v>Bình thường</v>
          </cell>
          <cell r="F547" t="str">
            <v>MA1</v>
          </cell>
          <cell r="G547" t="str">
            <v>BJ1, DA, GS1, MC1, AL1</v>
          </cell>
        </row>
        <row r="548">
          <cell r="C548" t="str">
            <v>213508081B34</v>
          </cell>
          <cell r="D548">
            <v>10</v>
          </cell>
          <cell r="E548" t="str">
            <v>Bình thường</v>
          </cell>
          <cell r="F548" t="str">
            <v>LN1</v>
          </cell>
          <cell r="G548" t="str">
            <v>HT1, LN2, MC1, EW1, AF1, KA1, BJ1, HT2, AF2, AL1</v>
          </cell>
        </row>
        <row r="549">
          <cell r="C549" t="str">
            <v>213510014A14</v>
          </cell>
          <cell r="D549">
            <v>10</v>
          </cell>
          <cell r="E549" t="str">
            <v>Bình thường</v>
          </cell>
          <cell r="F549" t="str">
            <v>EW1</v>
          </cell>
          <cell r="G549" t="str">
            <v>GS1, EW2, GS2</v>
          </cell>
        </row>
        <row r="550">
          <cell r="C550" t="str">
            <v>21351082022</v>
          </cell>
          <cell r="D550">
            <v>10</v>
          </cell>
          <cell r="E550" t="str">
            <v>Bình thường</v>
          </cell>
          <cell r="F550" t="str">
            <v>LN1</v>
          </cell>
          <cell r="G550" t="str">
            <v>BJ1, AB1</v>
          </cell>
        </row>
        <row r="551">
          <cell r="C551" t="str">
            <v>213509043A20</v>
          </cell>
          <cell r="D551">
            <v>10</v>
          </cell>
          <cell r="E551" t="str">
            <v>Bình thường</v>
          </cell>
          <cell r="F551" t="str">
            <v>MA1</v>
          </cell>
          <cell r="G551" t="str">
            <v>BJ1, HT1, EW1, GS1, WG1, GS2, EW2, AF1, AL1, GS3</v>
          </cell>
        </row>
        <row r="552">
          <cell r="C552" t="str">
            <v>L6305070581</v>
          </cell>
          <cell r="D552">
            <v>10</v>
          </cell>
          <cell r="E552" t="str">
            <v>Bình thường</v>
          </cell>
          <cell r="F552" t="str">
            <v>EW1</v>
          </cell>
          <cell r="G552" t="str">
            <v>AB1</v>
          </cell>
        </row>
        <row r="553">
          <cell r="C553" t="str">
            <v>213510021A20</v>
          </cell>
          <cell r="D553">
            <v>10</v>
          </cell>
          <cell r="E553" t="str">
            <v>Bình thường</v>
          </cell>
          <cell r="F553" t="str">
            <v>EW1</v>
          </cell>
          <cell r="G553" t="str">
            <v>GS1, EN1, KA1, AF1, GS2</v>
          </cell>
        </row>
        <row r="554">
          <cell r="C554" t="str">
            <v>213509909A1</v>
          </cell>
          <cell r="D554">
            <v>10</v>
          </cell>
          <cell r="E554" t="str">
            <v>Bình thường</v>
          </cell>
          <cell r="F554" t="str">
            <v>LN1</v>
          </cell>
          <cell r="G554" t="str">
            <v>ED1, LA1, BJ1, HT1, GR1, GC1, GJ1, KA1, GS1, HT2, AF1, AL1</v>
          </cell>
        </row>
        <row r="555">
          <cell r="C555" t="str">
            <v>L6305090251</v>
          </cell>
          <cell r="D555">
            <v>10</v>
          </cell>
          <cell r="E555" t="str">
            <v>Bình thường</v>
          </cell>
          <cell r="F555" t="str">
            <v>LA1</v>
          </cell>
          <cell r="G555" t="str">
            <v>HT1, GR1, GP1, EN1</v>
          </cell>
        </row>
        <row r="556">
          <cell r="C556" t="str">
            <v>213506013B6</v>
          </cell>
          <cell r="D556">
            <v>10</v>
          </cell>
          <cell r="E556" t="str">
            <v>Bình thường</v>
          </cell>
          <cell r="F556" t="str">
            <v>GP1</v>
          </cell>
          <cell r="G556" t="str">
            <v>GS2, AF1, AL1</v>
          </cell>
        </row>
        <row r="557">
          <cell r="C557" t="str">
            <v>213509528A20</v>
          </cell>
          <cell r="D557">
            <v>10</v>
          </cell>
          <cell r="E557" t="str">
            <v>Bình thường</v>
          </cell>
          <cell r="F557" t="str">
            <v>MA1</v>
          </cell>
          <cell r="G557" t="str">
            <v>BJ1, HT1, EW1, GS1, WG1, GS2, EW2, AF2, AL1, GS3</v>
          </cell>
        </row>
        <row r="558">
          <cell r="C558" t="str">
            <v>213509297A18</v>
          </cell>
          <cell r="D558">
            <v>10</v>
          </cell>
          <cell r="E558" t="str">
            <v>Bình thường</v>
          </cell>
          <cell r="F558" t="str">
            <v>GC1</v>
          </cell>
          <cell r="G558" t="str">
            <v>GS2, MC1, EW1, AF1</v>
          </cell>
        </row>
        <row r="559">
          <cell r="C559" t="str">
            <v>213506048B5</v>
          </cell>
          <cell r="D559">
            <v>10</v>
          </cell>
          <cell r="E559" t="str">
            <v>Bình thường</v>
          </cell>
          <cell r="F559" t="str">
            <v>GS2</v>
          </cell>
          <cell r="G559" t="str">
            <v>EN1, AF1</v>
          </cell>
        </row>
        <row r="560">
          <cell r="C560" t="str">
            <v>213509061B25</v>
          </cell>
          <cell r="D560">
            <v>10</v>
          </cell>
          <cell r="E560" t="str">
            <v>Bình thường</v>
          </cell>
          <cell r="F560" t="str">
            <v>GS3</v>
          </cell>
          <cell r="G560" t="str">
            <v>KT</v>
          </cell>
        </row>
        <row r="561">
          <cell r="C561" t="str">
            <v>213509064A49</v>
          </cell>
          <cell r="D561">
            <v>10</v>
          </cell>
          <cell r="E561" t="str">
            <v>Bình thường</v>
          </cell>
          <cell r="F561" t="str">
            <v>GR1</v>
          </cell>
          <cell r="G561" t="str">
            <v>GS1, ED1, EW1, GS2, GC1, GJ1, KA1, AF1, GS3, HT2, ED2, EW2, EN1, AF2, AL1</v>
          </cell>
        </row>
        <row r="562">
          <cell r="C562" t="str">
            <v>213505258A9</v>
          </cell>
          <cell r="D562">
            <v>10</v>
          </cell>
          <cell r="E562" t="str">
            <v>Bình thường</v>
          </cell>
          <cell r="F562" t="str">
            <v>GR1</v>
          </cell>
          <cell r="G562" t="str">
            <v>GS1, GC1, GP1</v>
          </cell>
        </row>
        <row r="563">
          <cell r="C563" t="str">
            <v>213510901A1</v>
          </cell>
          <cell r="D563">
            <v>10</v>
          </cell>
          <cell r="E563" t="str">
            <v>Bình thường</v>
          </cell>
          <cell r="F563" t="str">
            <v>GS1</v>
          </cell>
          <cell r="G563" t="str">
            <v>EN1, KA1, AF1, GS2</v>
          </cell>
        </row>
        <row r="564">
          <cell r="C564" t="str">
            <v>213509053B35</v>
          </cell>
          <cell r="D564">
            <v>10</v>
          </cell>
          <cell r="E564" t="str">
            <v>Bình thường</v>
          </cell>
          <cell r="F564" t="str">
            <v>LN1</v>
          </cell>
          <cell r="G564" t="str">
            <v>HT1, LN2, MC1, AF1, EW1, KA1, BJ1, HT2, AF2, AL1</v>
          </cell>
        </row>
        <row r="565">
          <cell r="C565" t="str">
            <v>213509224A26</v>
          </cell>
          <cell r="D565">
            <v>10</v>
          </cell>
          <cell r="E565" t="str">
            <v>Bình thường</v>
          </cell>
          <cell r="F565" t="str">
            <v>LN1</v>
          </cell>
          <cell r="G565" t="str">
            <v>HT1, LN2, AF1, MC1, KA1, EW1, BJ1, HT2, AF2, AL1</v>
          </cell>
        </row>
        <row r="566">
          <cell r="C566" t="str">
            <v>213506016B13</v>
          </cell>
          <cell r="D566">
            <v>10</v>
          </cell>
          <cell r="E566" t="str">
            <v>Bình thường</v>
          </cell>
          <cell r="F566" t="str">
            <v>GS1</v>
          </cell>
          <cell r="G566" t="str">
            <v>EW1, EN1, AF1</v>
          </cell>
        </row>
        <row r="567">
          <cell r="C567" t="str">
            <v>213508078A23</v>
          </cell>
          <cell r="D567">
            <v>10</v>
          </cell>
          <cell r="E567" t="str">
            <v>Bình thường</v>
          </cell>
          <cell r="F567" t="str">
            <v>GC1</v>
          </cell>
          <cell r="G567" t="str">
            <v>GS2, AF1</v>
          </cell>
        </row>
        <row r="568">
          <cell r="C568" t="str">
            <v>L6305090252</v>
          </cell>
          <cell r="D568">
            <v>10</v>
          </cell>
          <cell r="E568" t="str">
            <v>Bình thường</v>
          </cell>
          <cell r="F568" t="str">
            <v>LA1</v>
          </cell>
          <cell r="G568" t="str">
            <v>GJ1, EW1, AF1, KA1, LT1</v>
          </cell>
        </row>
        <row r="569">
          <cell r="C569" t="str">
            <v>213505104B40</v>
          </cell>
          <cell r="D569">
            <v>10</v>
          </cell>
          <cell r="E569" t="str">
            <v>Bình thường</v>
          </cell>
          <cell r="F569" t="str">
            <v>GC1</v>
          </cell>
          <cell r="G569" t="str">
            <v>GJ1, KA1, AF1, GS3, HT2, ED2, EW2, EN1, AF2, AL1</v>
          </cell>
        </row>
        <row r="570">
          <cell r="C570" t="str">
            <v>213506029B8</v>
          </cell>
          <cell r="D570">
            <v>10</v>
          </cell>
          <cell r="E570" t="str">
            <v>Bình thường</v>
          </cell>
          <cell r="F570" t="str">
            <v>GR1</v>
          </cell>
          <cell r="G570" t="str">
            <v>GS1, GC1, GP1, GS2, AF1, AL1</v>
          </cell>
        </row>
        <row r="571">
          <cell r="C571" t="str">
            <v>213510045A7</v>
          </cell>
          <cell r="D571">
            <v>10</v>
          </cell>
          <cell r="E571" t="str">
            <v>Bình thường</v>
          </cell>
          <cell r="F571" t="str">
            <v>GR1</v>
          </cell>
          <cell r="G571" t="str">
            <v>GS1, GC1, GP1, AF1, LA1, WG1, GS2, GC2, AF2</v>
          </cell>
        </row>
        <row r="572">
          <cell r="C572" t="str">
            <v>62351000151</v>
          </cell>
          <cell r="D572">
            <v>9</v>
          </cell>
          <cell r="E572" t="str">
            <v>Khẩn</v>
          </cell>
          <cell r="F572" t="str">
            <v>AA1</v>
          </cell>
          <cell r="G572" t="str">
            <v>MA1, MC1</v>
          </cell>
        </row>
        <row r="573">
          <cell r="C573" t="str">
            <v>L4135090572</v>
          </cell>
          <cell r="D573">
            <v>9</v>
          </cell>
          <cell r="E573" t="str">
            <v>Khẩn</v>
          </cell>
          <cell r="F573" t="str">
            <v>BJ1</v>
          </cell>
          <cell r="G573" t="str">
            <v>WG1, AB1</v>
          </cell>
        </row>
        <row r="574">
          <cell r="C574" t="str">
            <v>L6215100103</v>
          </cell>
          <cell r="D574">
            <v>9</v>
          </cell>
          <cell r="E574" t="str">
            <v>Khẩn</v>
          </cell>
          <cell r="F574" t="str">
            <v>AA1</v>
          </cell>
          <cell r="G574" t="str">
            <v>BJ1, AB1</v>
          </cell>
        </row>
        <row r="575">
          <cell r="C575" t="str">
            <v>L4135090574</v>
          </cell>
          <cell r="D575">
            <v>9</v>
          </cell>
          <cell r="E575" t="str">
            <v>Khẩn</v>
          </cell>
          <cell r="F575" t="str">
            <v>MA1</v>
          </cell>
          <cell r="G575" t="str">
            <v>BJ1, DA1, AB1</v>
          </cell>
        </row>
        <row r="576">
          <cell r="C576" t="str">
            <v>L4135090576</v>
          </cell>
          <cell r="D576">
            <v>9</v>
          </cell>
          <cell r="E576" t="str">
            <v>Khẩn</v>
          </cell>
          <cell r="F576" t="str">
            <v>MA1</v>
          </cell>
          <cell r="G576" t="str">
            <v>BJ1, DA1, AB1</v>
          </cell>
        </row>
        <row r="577">
          <cell r="C577" t="str">
            <v>62351000271</v>
          </cell>
          <cell r="D577">
            <v>9</v>
          </cell>
          <cell r="E577" t="str">
            <v>Khẩn</v>
          </cell>
          <cell r="F577" t="str">
            <v>AA1</v>
          </cell>
          <cell r="G577" t="str">
            <v>MA1, BJ1, WG1, GS1, BJ2, AB1</v>
          </cell>
        </row>
        <row r="578">
          <cell r="C578" t="str">
            <v>L6235070392</v>
          </cell>
          <cell r="D578">
            <v>9</v>
          </cell>
          <cell r="E578" t="str">
            <v>Bình thường</v>
          </cell>
          <cell r="F578" t="str">
            <v>AA1</v>
          </cell>
          <cell r="G578" t="str">
            <v>MA1, BJ1, DA1, AB1</v>
          </cell>
        </row>
        <row r="579">
          <cell r="C579" t="str">
            <v>L4165070071</v>
          </cell>
          <cell r="D579">
            <v>9</v>
          </cell>
          <cell r="E579" t="str">
            <v>Khẩn</v>
          </cell>
          <cell r="F579" t="str">
            <v>AF1</v>
          </cell>
          <cell r="G579" t="str">
            <v>MC2, AF2</v>
          </cell>
        </row>
        <row r="580">
          <cell r="C580" t="str">
            <v>62251000091</v>
          </cell>
          <cell r="D580">
            <v>9</v>
          </cell>
          <cell r="E580" t="str">
            <v>Khẩn</v>
          </cell>
          <cell r="F580" t="str">
            <v>GS1</v>
          </cell>
          <cell r="G580" t="str">
            <v>AF1</v>
          </cell>
        </row>
        <row r="581">
          <cell r="C581" t="str">
            <v>62351000321</v>
          </cell>
          <cell r="D581">
            <v>9</v>
          </cell>
          <cell r="E581" t="str">
            <v>Khẩn</v>
          </cell>
          <cell r="F581" t="str">
            <v>BJ1</v>
          </cell>
          <cell r="G581" t="str">
            <v>DA1, HT1, ED1, AF1</v>
          </cell>
        </row>
        <row r="582">
          <cell r="C582" t="str">
            <v>L6245050161</v>
          </cell>
          <cell r="D582">
            <v>9</v>
          </cell>
          <cell r="E582" t="str">
            <v>Bình thường</v>
          </cell>
          <cell r="F582" t="str">
            <v>GC1</v>
          </cell>
          <cell r="G582" t="str">
            <v>GS2, AF1</v>
          </cell>
        </row>
        <row r="583">
          <cell r="C583" t="str">
            <v>213508008B18</v>
          </cell>
          <cell r="D583">
            <v>9</v>
          </cell>
          <cell r="E583" t="str">
            <v>Bình thường</v>
          </cell>
          <cell r="F583" t="str">
            <v>EW1</v>
          </cell>
          <cell r="G583" t="str">
            <v>GS1, AF1, AL1</v>
          </cell>
        </row>
        <row r="584">
          <cell r="C584" t="str">
            <v>L6235070393</v>
          </cell>
          <cell r="D584">
            <v>9</v>
          </cell>
          <cell r="E584" t="str">
            <v>Bình thường</v>
          </cell>
          <cell r="F584" t="str">
            <v>AA1</v>
          </cell>
          <cell r="G584" t="str">
            <v>MA1, BJ1, AF1, AB1</v>
          </cell>
        </row>
        <row r="585">
          <cell r="C585" t="str">
            <v>L4155080035</v>
          </cell>
          <cell r="D585">
            <v>9</v>
          </cell>
          <cell r="E585" t="str">
            <v>Bình thường</v>
          </cell>
          <cell r="F585" t="str">
            <v>GS1</v>
          </cell>
          <cell r="G585" t="str">
            <v>ED1, EW1</v>
          </cell>
        </row>
        <row r="586">
          <cell r="C586" t="str">
            <v>L4165070074</v>
          </cell>
          <cell r="D586">
            <v>9</v>
          </cell>
          <cell r="E586" t="str">
            <v>Khẩn</v>
          </cell>
          <cell r="F586" t="str">
            <v>GS1</v>
          </cell>
          <cell r="G586" t="str">
            <v>EW1, MC1, AF1</v>
          </cell>
        </row>
        <row r="587">
          <cell r="C587" t="str">
            <v>L6115030033</v>
          </cell>
          <cell r="D587">
            <v>9</v>
          </cell>
          <cell r="E587" t="str">
            <v>Bình thường</v>
          </cell>
          <cell r="F587" t="str">
            <v>GR1</v>
          </cell>
          <cell r="G587" t="str">
            <v>KT</v>
          </cell>
        </row>
        <row r="588">
          <cell r="C588" t="str">
            <v>L6235070391</v>
          </cell>
          <cell r="D588">
            <v>9</v>
          </cell>
          <cell r="E588" t="str">
            <v>Bình thường</v>
          </cell>
          <cell r="F588" t="str">
            <v>AA1</v>
          </cell>
          <cell r="G588" t="str">
            <v>MA1, BJ1, WG1, AB1</v>
          </cell>
        </row>
        <row r="589">
          <cell r="C589" t="str">
            <v>L6224120133</v>
          </cell>
          <cell r="D589">
            <v>9</v>
          </cell>
          <cell r="E589" t="str">
            <v>Bình thường</v>
          </cell>
          <cell r="F589" t="str">
            <v>LA1</v>
          </cell>
          <cell r="G589" t="str">
            <v>BJ1, DA1, HT5, GS1, GJ1, AF1, AB1</v>
          </cell>
        </row>
        <row r="590">
          <cell r="C590" t="str">
            <v>213505045A19</v>
          </cell>
          <cell r="D590">
            <v>9</v>
          </cell>
          <cell r="E590" t="str">
            <v>Bình thường</v>
          </cell>
          <cell r="F590" t="str">
            <v>AF1</v>
          </cell>
          <cell r="G590" t="str">
            <v>KT</v>
          </cell>
        </row>
        <row r="591">
          <cell r="C591" t="str">
            <v>L6115040402</v>
          </cell>
          <cell r="D591">
            <v>9</v>
          </cell>
          <cell r="E591" t="str">
            <v>Bình thường</v>
          </cell>
          <cell r="F591" t="str">
            <v>GP1</v>
          </cell>
          <cell r="G591" t="str">
            <v>KT</v>
          </cell>
        </row>
        <row r="592">
          <cell r="C592" t="str">
            <v>L6115080411</v>
          </cell>
          <cell r="D592">
            <v>9</v>
          </cell>
          <cell r="E592" t="str">
            <v>Bình thường</v>
          </cell>
          <cell r="F592" t="str">
            <v>GS1</v>
          </cell>
          <cell r="G592" t="str">
            <v>EW2, GS2, EN1</v>
          </cell>
        </row>
        <row r="593">
          <cell r="C593" t="str">
            <v>L6305030081</v>
          </cell>
          <cell r="D593">
            <v>8</v>
          </cell>
          <cell r="E593" t="str">
            <v>Bình thường</v>
          </cell>
          <cell r="F593" t="str">
            <v>AB1</v>
          </cell>
          <cell r="G593" t="str">
            <v>VP</v>
          </cell>
        </row>
        <row r="594">
          <cell r="C594" t="str">
            <v>63050600791</v>
          </cell>
          <cell r="D594">
            <v>8</v>
          </cell>
          <cell r="E594" t="str">
            <v>Bình thường</v>
          </cell>
          <cell r="F594" t="str">
            <v>MC1</v>
          </cell>
          <cell r="G594" t="str">
            <v>AB1</v>
          </cell>
        </row>
        <row r="595">
          <cell r="C595" t="str">
            <v>63050500541</v>
          </cell>
          <cell r="D595">
            <v>8</v>
          </cell>
          <cell r="E595" t="str">
            <v>Bình thường</v>
          </cell>
          <cell r="F595" t="str">
            <v>ED2</v>
          </cell>
          <cell r="G595" t="str">
            <v>EW2, EN1, LA1, AF2</v>
          </cell>
        </row>
        <row r="596">
          <cell r="C596" t="str">
            <v>63050900781</v>
          </cell>
          <cell r="D596">
            <v>8</v>
          </cell>
          <cell r="E596" t="str">
            <v>Bình thường</v>
          </cell>
          <cell r="F596" t="str">
            <v>AF1</v>
          </cell>
          <cell r="G596" t="str">
            <v>GS1</v>
          </cell>
        </row>
        <row r="597">
          <cell r="C597" t="str">
            <v>R6305100111</v>
          </cell>
          <cell r="D597">
            <v>8</v>
          </cell>
          <cell r="E597" t="str">
            <v>Khẩn</v>
          </cell>
          <cell r="F597" t="str">
            <v>EN1</v>
          </cell>
          <cell r="G597" t="str">
            <v>VP</v>
          </cell>
        </row>
        <row r="598">
          <cell r="C598" t="str">
            <v>L6235070258</v>
          </cell>
          <cell r="D598">
            <v>8</v>
          </cell>
          <cell r="E598" t="str">
            <v>Bình thường</v>
          </cell>
          <cell r="F598" t="str">
            <v>MA1</v>
          </cell>
          <cell r="G598" t="str">
            <v>MC1, AB1</v>
          </cell>
        </row>
        <row r="599">
          <cell r="C599" t="str">
            <v>63050700271</v>
          </cell>
          <cell r="D599">
            <v>8</v>
          </cell>
          <cell r="E599" t="str">
            <v>Bình thường</v>
          </cell>
          <cell r="F599" t="str">
            <v>EN1</v>
          </cell>
          <cell r="G599" t="str">
            <v>AF1, AB1</v>
          </cell>
        </row>
        <row r="600">
          <cell r="C600" t="str">
            <v>L6115040513</v>
          </cell>
          <cell r="D600">
            <v>8</v>
          </cell>
          <cell r="E600" t="str">
            <v>Bình thường</v>
          </cell>
          <cell r="F600" t="str">
            <v>BJ1</v>
          </cell>
          <cell r="G600" t="str">
            <v>VP</v>
          </cell>
        </row>
        <row r="601">
          <cell r="C601" t="str">
            <v>63050900601</v>
          </cell>
          <cell r="D601">
            <v>8</v>
          </cell>
          <cell r="E601" t="str">
            <v>Bình thường</v>
          </cell>
          <cell r="F601" t="str">
            <v>LA1</v>
          </cell>
          <cell r="G601" t="str">
            <v>EW1, BJ1</v>
          </cell>
        </row>
        <row r="602">
          <cell r="C602" t="str">
            <v>L6305020786</v>
          </cell>
          <cell r="D602">
            <v>8</v>
          </cell>
          <cell r="E602" t="str">
            <v>Bình thường</v>
          </cell>
          <cell r="F602" t="str">
            <v>WG1</v>
          </cell>
          <cell r="G602" t="str">
            <v>GS2, EW2, AF1, AB1</v>
          </cell>
        </row>
        <row r="603">
          <cell r="C603" t="str">
            <v>L63050806011</v>
          </cell>
          <cell r="D603">
            <v>8</v>
          </cell>
          <cell r="E603" t="str">
            <v>Bình thường</v>
          </cell>
          <cell r="F603" t="str">
            <v>MC1</v>
          </cell>
          <cell r="G603" t="str">
            <v>AF1</v>
          </cell>
        </row>
        <row r="604">
          <cell r="C604" t="str">
            <v>L6305090507</v>
          </cell>
          <cell r="D604">
            <v>8</v>
          </cell>
          <cell r="E604" t="str">
            <v>Khẩn</v>
          </cell>
          <cell r="F604" t="str">
            <v>MA1</v>
          </cell>
          <cell r="G604" t="str">
            <v>MC1, AF1</v>
          </cell>
        </row>
        <row r="605">
          <cell r="C605" t="str">
            <v>62150900151</v>
          </cell>
          <cell r="D605">
            <v>8</v>
          </cell>
          <cell r="E605" t="str">
            <v>Khẩn</v>
          </cell>
          <cell r="F605" t="str">
            <v>HT2</v>
          </cell>
          <cell r="G605" t="str">
            <v>AF2</v>
          </cell>
        </row>
        <row r="606">
          <cell r="C606" t="str">
            <v>L6225070394</v>
          </cell>
          <cell r="D606">
            <v>8</v>
          </cell>
          <cell r="E606" t="str">
            <v>Bình thường</v>
          </cell>
          <cell r="F606" t="str">
            <v>BJ1</v>
          </cell>
          <cell r="G606" t="str">
            <v>DA1</v>
          </cell>
        </row>
        <row r="607">
          <cell r="C607" t="str">
            <v>L6305090508</v>
          </cell>
          <cell r="D607">
            <v>8</v>
          </cell>
          <cell r="E607" t="str">
            <v>Khẩn</v>
          </cell>
          <cell r="F607" t="str">
            <v>MC1</v>
          </cell>
          <cell r="G607" t="str">
            <v>AF1</v>
          </cell>
        </row>
        <row r="608">
          <cell r="C608" t="str">
            <v>62251000081</v>
          </cell>
          <cell r="D608">
            <v>8</v>
          </cell>
          <cell r="E608" t="str">
            <v>Khẩn</v>
          </cell>
          <cell r="F608" t="str">
            <v>EN1</v>
          </cell>
          <cell r="G608" t="str">
            <v>AF1</v>
          </cell>
        </row>
        <row r="609">
          <cell r="C609" t="str">
            <v>61250700271</v>
          </cell>
          <cell r="D609">
            <v>8</v>
          </cell>
          <cell r="E609" t="str">
            <v>Bình thường</v>
          </cell>
          <cell r="F609" t="str">
            <v>MC1</v>
          </cell>
          <cell r="G609" t="str">
            <v>HT1, GS2</v>
          </cell>
        </row>
        <row r="610">
          <cell r="C610" t="str">
            <v>L6305070042</v>
          </cell>
          <cell r="D610">
            <v>8</v>
          </cell>
          <cell r="E610" t="str">
            <v>Bình thường</v>
          </cell>
          <cell r="F610" t="str">
            <v>BJ1</v>
          </cell>
          <cell r="G610" t="str">
            <v>HT1, GS1, EW1, AF1, AB1</v>
          </cell>
        </row>
        <row r="611">
          <cell r="C611" t="str">
            <v>L6115070164</v>
          </cell>
          <cell r="D611">
            <v>8</v>
          </cell>
          <cell r="E611" t="str">
            <v>Bình thường</v>
          </cell>
          <cell r="F611" t="str">
            <v>LA1</v>
          </cell>
          <cell r="G611" t="str">
            <v>BJ1</v>
          </cell>
        </row>
        <row r="612">
          <cell r="C612" t="str">
            <v>41351000381</v>
          </cell>
          <cell r="D612">
            <v>8</v>
          </cell>
          <cell r="E612" t="str">
            <v>Khẩn</v>
          </cell>
          <cell r="F612" t="str">
            <v>AF1</v>
          </cell>
          <cell r="G612" t="str">
            <v>VP</v>
          </cell>
        </row>
        <row r="613">
          <cell r="C613" t="str">
            <v>L6225100192</v>
          </cell>
          <cell r="D613">
            <v>8</v>
          </cell>
          <cell r="E613" t="str">
            <v>Khẩn</v>
          </cell>
          <cell r="F613" t="str">
            <v>AA1</v>
          </cell>
          <cell r="G613" t="str">
            <v>MA1, BJ1, DA1, WG1, AB1</v>
          </cell>
        </row>
        <row r="614">
          <cell r="C614" t="str">
            <v>213509501A3</v>
          </cell>
          <cell r="D614">
            <v>8</v>
          </cell>
          <cell r="E614" t="str">
            <v>Bình thường</v>
          </cell>
          <cell r="F614" t="str">
            <v>MC1</v>
          </cell>
          <cell r="G614" t="str">
            <v>AB1</v>
          </cell>
        </row>
        <row r="615">
          <cell r="C615" t="str">
            <v>L6225100193</v>
          </cell>
          <cell r="D615">
            <v>8</v>
          </cell>
          <cell r="E615" t="str">
            <v>Khẩn</v>
          </cell>
          <cell r="F615" t="str">
            <v>AA1</v>
          </cell>
          <cell r="G615" t="str">
            <v>MA1, BJ1, DA1, WG1, AB1</v>
          </cell>
        </row>
        <row r="616">
          <cell r="C616" t="str">
            <v>R6235070231</v>
          </cell>
          <cell r="D616">
            <v>8</v>
          </cell>
          <cell r="E616" t="str">
            <v>Bình thường</v>
          </cell>
          <cell r="F616" t="str">
            <v>AB1</v>
          </cell>
          <cell r="G616" t="str">
            <v>VP</v>
          </cell>
        </row>
        <row r="617">
          <cell r="C617" t="str">
            <v>L4165080285</v>
          </cell>
          <cell r="D617">
            <v>8</v>
          </cell>
          <cell r="E617" t="str">
            <v>Khẩn</v>
          </cell>
          <cell r="F617" t="str">
            <v>AB1</v>
          </cell>
          <cell r="G617" t="str">
            <v>KT</v>
          </cell>
        </row>
        <row r="618">
          <cell r="C618" t="str">
            <v>L4135100375</v>
          </cell>
          <cell r="D618">
            <v>8</v>
          </cell>
          <cell r="E618" t="str">
            <v>Khẩn</v>
          </cell>
          <cell r="F618" t="str">
            <v>MA1</v>
          </cell>
          <cell r="G618" t="str">
            <v>BJ1, DA1, WG1, AB1</v>
          </cell>
        </row>
        <row r="619">
          <cell r="C619" t="str">
            <v>61150600121</v>
          </cell>
          <cell r="D619">
            <v>8</v>
          </cell>
          <cell r="E619" t="str">
            <v>Bình thường</v>
          </cell>
          <cell r="F619" t="str">
            <v>GS1</v>
          </cell>
          <cell r="G619" t="str">
            <v>GC1, GS2, ED1</v>
          </cell>
        </row>
        <row r="620">
          <cell r="C620" t="str">
            <v>213509106A5</v>
          </cell>
          <cell r="D620">
            <v>8</v>
          </cell>
          <cell r="E620" t="str">
            <v>Bình thường</v>
          </cell>
          <cell r="F620" t="str">
            <v>MA1</v>
          </cell>
          <cell r="G620" t="str">
            <v>BJ1, AF1</v>
          </cell>
        </row>
        <row r="621">
          <cell r="C621" t="str">
            <v>63050301361</v>
          </cell>
          <cell r="D621">
            <v>8</v>
          </cell>
          <cell r="E621" t="str">
            <v>Bình thường</v>
          </cell>
          <cell r="F621" t="str">
            <v>BJ1</v>
          </cell>
          <cell r="G621" t="str">
            <v>DA1, AB1</v>
          </cell>
        </row>
        <row r="622">
          <cell r="C622" t="str">
            <v>63050600891</v>
          </cell>
          <cell r="D622">
            <v>8</v>
          </cell>
          <cell r="E622" t="str">
            <v>Bình thường</v>
          </cell>
          <cell r="F622" t="str">
            <v>EW1</v>
          </cell>
          <cell r="G622" t="str">
            <v>EN1, GP1, AF1, AL1</v>
          </cell>
        </row>
        <row r="623">
          <cell r="C623" t="str">
            <v>L4135100441</v>
          </cell>
          <cell r="D623">
            <v>8</v>
          </cell>
          <cell r="E623" t="str">
            <v>Khẩn</v>
          </cell>
          <cell r="F623" t="str">
            <v>AA1</v>
          </cell>
          <cell r="G623" t="str">
            <v>MA1, GS1, BJ1, AB1</v>
          </cell>
        </row>
        <row r="624">
          <cell r="C624" t="str">
            <v>213510500A3</v>
          </cell>
          <cell r="D624">
            <v>8</v>
          </cell>
          <cell r="E624" t="str">
            <v>Bình thường</v>
          </cell>
          <cell r="F624" t="str">
            <v>LN1</v>
          </cell>
          <cell r="G624" t="str">
            <v>BJ1, DA1, AB1</v>
          </cell>
        </row>
        <row r="625">
          <cell r="C625" t="str">
            <v>L6115030022</v>
          </cell>
          <cell r="D625">
            <v>8</v>
          </cell>
          <cell r="E625" t="str">
            <v>Bình thường</v>
          </cell>
          <cell r="F625" t="str">
            <v>LA1</v>
          </cell>
          <cell r="G625" t="str">
            <v>BJ1, AF1</v>
          </cell>
        </row>
        <row r="626">
          <cell r="C626" t="str">
            <v>L6305060291</v>
          </cell>
          <cell r="D626">
            <v>8</v>
          </cell>
          <cell r="E626" t="str">
            <v>Bình thường</v>
          </cell>
          <cell r="F626" t="str">
            <v>EW1</v>
          </cell>
          <cell r="G626" t="str">
            <v>GS1, WG1, GS2, EW2, AF1</v>
          </cell>
        </row>
        <row r="627">
          <cell r="C627" t="str">
            <v>L6305080262</v>
          </cell>
          <cell r="D627">
            <v>8</v>
          </cell>
          <cell r="E627" t="str">
            <v>Bình thường</v>
          </cell>
          <cell r="F627" t="str">
            <v>GR1</v>
          </cell>
          <cell r="G627" t="str">
            <v>GS1, AF1, AB1</v>
          </cell>
        </row>
        <row r="628">
          <cell r="C628" t="str">
            <v>L6115070154</v>
          </cell>
          <cell r="D628">
            <v>8</v>
          </cell>
          <cell r="E628" t="str">
            <v>Bình thường</v>
          </cell>
          <cell r="F628" t="str">
            <v>LA1</v>
          </cell>
          <cell r="G628" t="str">
            <v>BJ1</v>
          </cell>
        </row>
        <row r="629">
          <cell r="C629" t="str">
            <v>41351000461</v>
          </cell>
          <cell r="D629">
            <v>8</v>
          </cell>
          <cell r="E629" t="str">
            <v>Khẩn</v>
          </cell>
          <cell r="F629" t="str">
            <v>AA1</v>
          </cell>
          <cell r="G629" t="str">
            <v>MA1, BJ1, GS1, AF1, AB1</v>
          </cell>
        </row>
        <row r="630">
          <cell r="C630" t="str">
            <v>L6305070541</v>
          </cell>
          <cell r="D630">
            <v>8</v>
          </cell>
          <cell r="E630" t="str">
            <v>Bình thường</v>
          </cell>
          <cell r="F630" t="str">
            <v>GS1</v>
          </cell>
          <cell r="G630" t="str">
            <v>GJ1, AF1, AB1</v>
          </cell>
        </row>
        <row r="631">
          <cell r="C631" t="str">
            <v>L6215060128</v>
          </cell>
          <cell r="D631">
            <v>8</v>
          </cell>
          <cell r="E631" t="str">
            <v>Bình thường</v>
          </cell>
          <cell r="F631" t="str">
            <v>AF1</v>
          </cell>
          <cell r="G631" t="str">
            <v>AB1</v>
          </cell>
        </row>
        <row r="632">
          <cell r="C632" t="str">
            <v>L6225070393</v>
          </cell>
          <cell r="D632">
            <v>8</v>
          </cell>
          <cell r="E632" t="str">
            <v>Bình thường</v>
          </cell>
          <cell r="F632" t="str">
            <v>AA1</v>
          </cell>
          <cell r="G632" t="str">
            <v>MA1, MC1</v>
          </cell>
        </row>
        <row r="633">
          <cell r="C633" t="str">
            <v>63050701171</v>
          </cell>
          <cell r="D633">
            <v>8</v>
          </cell>
          <cell r="E633" t="str">
            <v>Bình thường</v>
          </cell>
          <cell r="F633" t="str">
            <v>MA1</v>
          </cell>
          <cell r="G633" t="str">
            <v>MC1, AB1</v>
          </cell>
        </row>
        <row r="634">
          <cell r="C634" t="str">
            <v>L6225070395</v>
          </cell>
          <cell r="D634">
            <v>8</v>
          </cell>
          <cell r="E634" t="str">
            <v>Bình thường</v>
          </cell>
          <cell r="F634" t="str">
            <v>AA1</v>
          </cell>
          <cell r="G634" t="str">
            <v>MA1, MC1</v>
          </cell>
        </row>
        <row r="635">
          <cell r="C635" t="str">
            <v>62351000051</v>
          </cell>
          <cell r="D635">
            <v>8</v>
          </cell>
          <cell r="E635" t="str">
            <v>Bình thường</v>
          </cell>
          <cell r="F635" t="str">
            <v>MA1</v>
          </cell>
          <cell r="G635" t="str">
            <v>BJ1, HT1, GS1, EW1, AF1</v>
          </cell>
        </row>
        <row r="636">
          <cell r="C636" t="str">
            <v>L4135100465</v>
          </cell>
          <cell r="D636">
            <v>8</v>
          </cell>
          <cell r="E636" t="str">
            <v>Khẩn</v>
          </cell>
          <cell r="F636" t="str">
            <v>HT1</v>
          </cell>
          <cell r="G636" t="str">
            <v>EW1, GS2, GR1, AF1, AB1</v>
          </cell>
        </row>
        <row r="637">
          <cell r="C637" t="str">
            <v>63050700551</v>
          </cell>
          <cell r="D637">
            <v>8</v>
          </cell>
          <cell r="E637" t="str">
            <v>Bình thường</v>
          </cell>
          <cell r="F637" t="str">
            <v>GR1</v>
          </cell>
          <cell r="G637" t="str">
            <v>GS1, EW1, EN1, GP1, AF1</v>
          </cell>
        </row>
        <row r="638">
          <cell r="C638" t="str">
            <v>213510501A4</v>
          </cell>
          <cell r="D638">
            <v>8</v>
          </cell>
          <cell r="E638" t="str">
            <v>Bình thường</v>
          </cell>
          <cell r="F638" t="str">
            <v>AA1</v>
          </cell>
          <cell r="G638" t="str">
            <v>MA1, BJ1, AB1</v>
          </cell>
        </row>
        <row r="639">
          <cell r="C639" t="str">
            <v>63050200021</v>
          </cell>
          <cell r="D639">
            <v>8</v>
          </cell>
          <cell r="E639" t="str">
            <v>Bình thường</v>
          </cell>
          <cell r="F639" t="str">
            <v>GS1</v>
          </cell>
          <cell r="G639" t="str">
            <v>KT</v>
          </cell>
        </row>
        <row r="640">
          <cell r="C640" t="str">
            <v>63051000851</v>
          </cell>
          <cell r="D640">
            <v>8</v>
          </cell>
          <cell r="E640" t="str">
            <v>Bình thường</v>
          </cell>
          <cell r="F640" t="str">
            <v>AA1</v>
          </cell>
          <cell r="G640" t="str">
            <v>MA1, BJ1, DA1, AB1</v>
          </cell>
        </row>
        <row r="641">
          <cell r="C641" t="str">
            <v>L63050807412</v>
          </cell>
          <cell r="D641">
            <v>8</v>
          </cell>
          <cell r="E641" t="str">
            <v>Bình thường</v>
          </cell>
          <cell r="F641" t="str">
            <v>MC1</v>
          </cell>
          <cell r="G641" t="str">
            <v>AF1</v>
          </cell>
        </row>
        <row r="642">
          <cell r="C642" t="str">
            <v>213509503A5</v>
          </cell>
          <cell r="D642">
            <v>8</v>
          </cell>
          <cell r="E642" t="str">
            <v>Bình thường</v>
          </cell>
          <cell r="F642" t="str">
            <v>ED1</v>
          </cell>
          <cell r="G642" t="str">
            <v>EW1, GS2, AF1</v>
          </cell>
        </row>
        <row r="643">
          <cell r="C643" t="str">
            <v>213509502A4</v>
          </cell>
          <cell r="D643">
            <v>8</v>
          </cell>
          <cell r="E643" t="str">
            <v>Bình thường</v>
          </cell>
          <cell r="F643" t="str">
            <v>MA1</v>
          </cell>
          <cell r="G643" t="str">
            <v>BJ1, AF1, GS1, AB1</v>
          </cell>
        </row>
        <row r="644">
          <cell r="C644" t="str">
            <v>L4135100464</v>
          </cell>
          <cell r="D644">
            <v>8</v>
          </cell>
          <cell r="E644" t="str">
            <v>Khẩn</v>
          </cell>
          <cell r="F644" t="str">
            <v>EW1</v>
          </cell>
          <cell r="G644" t="str">
            <v>GS2, GR1, AF1</v>
          </cell>
        </row>
        <row r="645">
          <cell r="C645" t="str">
            <v>63051000861</v>
          </cell>
          <cell r="D645">
            <v>8</v>
          </cell>
          <cell r="E645" t="str">
            <v>Bình thường</v>
          </cell>
          <cell r="F645" t="str">
            <v>AA1</v>
          </cell>
          <cell r="G645" t="str">
            <v>MA1, BJ1, DA1, AB1</v>
          </cell>
        </row>
        <row r="646">
          <cell r="C646" t="str">
            <v>63050301871</v>
          </cell>
          <cell r="D646">
            <v>8</v>
          </cell>
          <cell r="E646" t="str">
            <v>Bình thường</v>
          </cell>
          <cell r="F646" t="str">
            <v>MC1</v>
          </cell>
          <cell r="G646" t="str">
            <v>ED1, EW1, EN1, AF1</v>
          </cell>
        </row>
        <row r="647">
          <cell r="C647" t="str">
            <v>L6305080263</v>
          </cell>
          <cell r="D647">
            <v>8</v>
          </cell>
          <cell r="E647" t="str">
            <v>Bình thường</v>
          </cell>
          <cell r="F647" t="str">
            <v>MC1</v>
          </cell>
          <cell r="G647" t="str">
            <v>HT1, AF1, AB1</v>
          </cell>
        </row>
        <row r="648">
          <cell r="C648" t="str">
            <v>61150900731</v>
          </cell>
          <cell r="D648">
            <v>8</v>
          </cell>
          <cell r="E648" t="str">
            <v>Bình thường</v>
          </cell>
          <cell r="F648" t="str">
            <v>MA1</v>
          </cell>
          <cell r="G648" t="str">
            <v>BJ1, GS1, AF1</v>
          </cell>
        </row>
        <row r="649">
          <cell r="C649" t="str">
            <v>L6235100041</v>
          </cell>
          <cell r="D649">
            <v>8</v>
          </cell>
          <cell r="E649" t="str">
            <v>Bình thường</v>
          </cell>
          <cell r="F649" t="str">
            <v>AA1</v>
          </cell>
          <cell r="G649" t="str">
            <v>MA1, GS1, BJ1, AF1, HT1, AF2</v>
          </cell>
        </row>
        <row r="650">
          <cell r="C650" t="str">
            <v>L6305070211</v>
          </cell>
          <cell r="D650">
            <v>8</v>
          </cell>
          <cell r="E650" t="str">
            <v>Bình thường</v>
          </cell>
          <cell r="F650" t="str">
            <v>EW1</v>
          </cell>
          <cell r="G650" t="str">
            <v>GS1, WG1, GS2, EW2, AF2</v>
          </cell>
        </row>
        <row r="651">
          <cell r="C651" t="str">
            <v>L6305020787</v>
          </cell>
          <cell r="D651">
            <v>8</v>
          </cell>
          <cell r="E651" t="str">
            <v>Bình thường</v>
          </cell>
          <cell r="F651" t="str">
            <v>EW2</v>
          </cell>
          <cell r="G651" t="str">
            <v>AF1, AB1</v>
          </cell>
        </row>
        <row r="652">
          <cell r="C652" t="str">
            <v>L6225090086</v>
          </cell>
          <cell r="D652">
            <v>8</v>
          </cell>
          <cell r="E652" t="str">
            <v>Bình thường</v>
          </cell>
          <cell r="F652" t="str">
            <v>EW1</v>
          </cell>
          <cell r="G652" t="str">
            <v>GS1, AF1</v>
          </cell>
        </row>
        <row r="653">
          <cell r="C653" t="str">
            <v>L6215090304</v>
          </cell>
          <cell r="D653">
            <v>8</v>
          </cell>
          <cell r="E653" t="str">
            <v>Bình thường</v>
          </cell>
          <cell r="F653" t="str">
            <v>MA1</v>
          </cell>
          <cell r="G653" t="str">
            <v>BJ1, DA1, HT1, AF1</v>
          </cell>
        </row>
        <row r="654">
          <cell r="C654" t="str">
            <v>L4135100461</v>
          </cell>
          <cell r="D654">
            <v>8</v>
          </cell>
          <cell r="E654" t="str">
            <v>Khẩn</v>
          </cell>
          <cell r="F654" t="str">
            <v>EW1</v>
          </cell>
          <cell r="G654" t="str">
            <v>GS1, WG1, GR1, GS2, EW2, EN1, AF1, AB1</v>
          </cell>
        </row>
        <row r="655">
          <cell r="C655" t="str">
            <v>63050700561</v>
          </cell>
          <cell r="D655">
            <v>8</v>
          </cell>
          <cell r="E655" t="str">
            <v>Bình thường</v>
          </cell>
          <cell r="F655" t="str">
            <v>MC1</v>
          </cell>
          <cell r="G655" t="str">
            <v>ED1, EW1, EN1, AF1</v>
          </cell>
        </row>
        <row r="656">
          <cell r="C656" t="str">
            <v>L4135100462</v>
          </cell>
          <cell r="D656">
            <v>8</v>
          </cell>
          <cell r="E656" t="str">
            <v>Khẩn</v>
          </cell>
          <cell r="F656" t="str">
            <v>EW1</v>
          </cell>
          <cell r="G656" t="str">
            <v>GS1, WG1, GR1, GS2, EW2, EN1, AF1, AB1</v>
          </cell>
        </row>
        <row r="657">
          <cell r="C657" t="str">
            <v>L6305060622</v>
          </cell>
          <cell r="D657">
            <v>8</v>
          </cell>
          <cell r="E657" t="str">
            <v>Bình thường</v>
          </cell>
          <cell r="F657" t="str">
            <v>MA1</v>
          </cell>
          <cell r="G657" t="str">
            <v>MC1, AB1</v>
          </cell>
        </row>
        <row r="658">
          <cell r="C658" t="str">
            <v>213508907A3</v>
          </cell>
          <cell r="D658">
            <v>8</v>
          </cell>
          <cell r="E658" t="str">
            <v>Bình thường</v>
          </cell>
          <cell r="F658" t="str">
            <v>GR1</v>
          </cell>
          <cell r="G658" t="str">
            <v>GS1, GC1, GP1, GS2</v>
          </cell>
        </row>
        <row r="659">
          <cell r="C659" t="str">
            <v>L6305021111</v>
          </cell>
          <cell r="D659">
            <v>8</v>
          </cell>
          <cell r="E659" t="str">
            <v>Bình thường</v>
          </cell>
          <cell r="F659" t="str">
            <v>LT1</v>
          </cell>
          <cell r="G659" t="str">
            <v>KT</v>
          </cell>
        </row>
        <row r="660">
          <cell r="C660" t="str">
            <v>63050700571</v>
          </cell>
          <cell r="D660">
            <v>8</v>
          </cell>
          <cell r="E660" t="str">
            <v>Bình thường</v>
          </cell>
          <cell r="F660" t="str">
            <v>BJ1</v>
          </cell>
          <cell r="G660" t="str">
            <v>HT1, GR1, ED1, EW1, GS1, EN1, GP1, AF1</v>
          </cell>
        </row>
        <row r="661">
          <cell r="C661" t="str">
            <v>L4135050071</v>
          </cell>
          <cell r="D661">
            <v>8</v>
          </cell>
          <cell r="E661" t="str">
            <v>Bình thường</v>
          </cell>
          <cell r="F661" t="str">
            <v>LA1</v>
          </cell>
          <cell r="G661" t="str">
            <v>BJ1, HT1, GR1, GS1, EW1, GJ1, EN1, GS2, AF1, AB1</v>
          </cell>
        </row>
        <row r="662">
          <cell r="C662" t="str">
            <v>213505098B35</v>
          </cell>
          <cell r="D662">
            <v>8</v>
          </cell>
          <cell r="E662" t="str">
            <v>Bình thường</v>
          </cell>
          <cell r="F662" t="str">
            <v>LA1</v>
          </cell>
          <cell r="G662" t="str">
            <v>HT1, GR1, GP1, EN1</v>
          </cell>
        </row>
        <row r="663">
          <cell r="C663" t="str">
            <v>213506027B5</v>
          </cell>
          <cell r="D663">
            <v>8</v>
          </cell>
          <cell r="E663" t="str">
            <v>Bình thường</v>
          </cell>
          <cell r="F663" t="str">
            <v>LT1</v>
          </cell>
          <cell r="G663" t="str">
            <v>KT</v>
          </cell>
        </row>
        <row r="664">
          <cell r="C664" t="str">
            <v>62350900221</v>
          </cell>
          <cell r="D664">
            <v>8</v>
          </cell>
          <cell r="E664" t="str">
            <v>Bình thường</v>
          </cell>
          <cell r="F664" t="str">
            <v>MA1</v>
          </cell>
          <cell r="G664" t="str">
            <v>BJ1, HT1, EW1, GS1, WG1, GS2, EW2, AF1, GS3</v>
          </cell>
        </row>
        <row r="665">
          <cell r="C665" t="str">
            <v>62350100361</v>
          </cell>
          <cell r="D665">
            <v>8</v>
          </cell>
          <cell r="E665" t="str">
            <v>Bình thường</v>
          </cell>
          <cell r="F665" t="str">
            <v>EW1</v>
          </cell>
          <cell r="G665" t="str">
            <v>GS1, AF1</v>
          </cell>
        </row>
        <row r="666">
          <cell r="C666" t="str">
            <v>L6305010352</v>
          </cell>
          <cell r="D666">
            <v>8</v>
          </cell>
          <cell r="E666" t="str">
            <v>Bình thường</v>
          </cell>
          <cell r="F666" t="str">
            <v>EW1</v>
          </cell>
          <cell r="G666" t="str">
            <v>EN1, AF1, AB1</v>
          </cell>
        </row>
        <row r="667">
          <cell r="C667" t="str">
            <v>L6235100042</v>
          </cell>
          <cell r="D667">
            <v>8</v>
          </cell>
          <cell r="E667" t="str">
            <v>Bình thường</v>
          </cell>
          <cell r="F667" t="str">
            <v>AA1</v>
          </cell>
          <cell r="G667" t="str">
            <v>MA1, GS1, BJ1, AF1, HT1, AF2</v>
          </cell>
        </row>
        <row r="668">
          <cell r="C668" t="str">
            <v>L6305100051</v>
          </cell>
          <cell r="D668">
            <v>8</v>
          </cell>
          <cell r="E668" t="str">
            <v>Bình thường</v>
          </cell>
          <cell r="F668" t="str">
            <v>GS1</v>
          </cell>
          <cell r="G668" t="str">
            <v>EN1, GP1, AF1</v>
          </cell>
        </row>
        <row r="669">
          <cell r="C669" t="str">
            <v>L63050807411</v>
          </cell>
          <cell r="D669">
            <v>8</v>
          </cell>
          <cell r="E669" t="str">
            <v>Bình thường</v>
          </cell>
          <cell r="F669" t="str">
            <v>MC1</v>
          </cell>
          <cell r="G669" t="str">
            <v>AF1</v>
          </cell>
        </row>
        <row r="670">
          <cell r="C670" t="str">
            <v>L6305021112</v>
          </cell>
          <cell r="D670">
            <v>8</v>
          </cell>
          <cell r="E670" t="str">
            <v>Bình thường</v>
          </cell>
          <cell r="F670" t="str">
            <v>LT1</v>
          </cell>
          <cell r="G670" t="str">
            <v>AL1</v>
          </cell>
        </row>
        <row r="671">
          <cell r="C671" t="str">
            <v>213508176A16</v>
          </cell>
          <cell r="D671">
            <v>8</v>
          </cell>
          <cell r="E671" t="str">
            <v>Bình thường</v>
          </cell>
          <cell r="F671" t="str">
            <v>GR1</v>
          </cell>
          <cell r="G671" t="str">
            <v>GS1, GC1, GS2, GP1</v>
          </cell>
        </row>
        <row r="672">
          <cell r="C672" t="str">
            <v>L6305100044</v>
          </cell>
          <cell r="D672">
            <v>8</v>
          </cell>
          <cell r="E672" t="str">
            <v>Bình thường</v>
          </cell>
          <cell r="F672" t="str">
            <v>LA1</v>
          </cell>
          <cell r="G672" t="str">
            <v>BJ1, GR1, AB1</v>
          </cell>
        </row>
        <row r="673">
          <cell r="C673" t="str">
            <v>L6115080092</v>
          </cell>
          <cell r="D673">
            <v>8</v>
          </cell>
          <cell r="E673" t="str">
            <v>Bình thường</v>
          </cell>
          <cell r="F673" t="str">
            <v>GC1</v>
          </cell>
          <cell r="G673" t="str">
            <v>GS2</v>
          </cell>
        </row>
        <row r="674">
          <cell r="C674" t="str">
            <v>L6115060191</v>
          </cell>
          <cell r="D674">
            <v>8</v>
          </cell>
          <cell r="E674" t="str">
            <v>Bình thường</v>
          </cell>
          <cell r="F674" t="str">
            <v>GS1</v>
          </cell>
          <cell r="G674" t="str">
            <v>ED1, EW2, GS2, EN1</v>
          </cell>
        </row>
        <row r="675">
          <cell r="C675" t="str">
            <v>L63050806012</v>
          </cell>
          <cell r="D675">
            <v>8</v>
          </cell>
          <cell r="E675" t="str">
            <v>Bình thường</v>
          </cell>
          <cell r="F675" t="str">
            <v>AA1</v>
          </cell>
          <cell r="G675" t="str">
            <v>MA1, MC1, AF1</v>
          </cell>
        </row>
        <row r="676">
          <cell r="C676" t="str">
            <v>21350581011</v>
          </cell>
          <cell r="D676">
            <v>8</v>
          </cell>
          <cell r="E676" t="str">
            <v>Bình thường</v>
          </cell>
          <cell r="F676" t="str">
            <v>GR2</v>
          </cell>
          <cell r="G676" t="str">
            <v>GS2, GC1, AF1</v>
          </cell>
        </row>
        <row r="677">
          <cell r="C677" t="str">
            <v>63050801351</v>
          </cell>
          <cell r="D677">
            <v>8</v>
          </cell>
          <cell r="E677" t="str">
            <v>Bình thường</v>
          </cell>
          <cell r="F677" t="str">
            <v>GR1</v>
          </cell>
          <cell r="G677" t="str">
            <v>GS1, ED1, EW1, GS2, GC1, GJ1, KA1, AF1, GS3, HT2, ED2, EW2, EN1, AF2, AL1</v>
          </cell>
        </row>
        <row r="678">
          <cell r="C678" t="str">
            <v>L6305050071</v>
          </cell>
          <cell r="D678">
            <v>8</v>
          </cell>
          <cell r="E678" t="str">
            <v>Bình thường</v>
          </cell>
          <cell r="F678" t="str">
            <v>EW2</v>
          </cell>
          <cell r="G678" t="str">
            <v>AF2</v>
          </cell>
        </row>
        <row r="679">
          <cell r="C679" t="str">
            <v>63050900981</v>
          </cell>
          <cell r="D679">
            <v>8</v>
          </cell>
          <cell r="E679" t="str">
            <v>Bình thường</v>
          </cell>
          <cell r="F679" t="str">
            <v>GR1</v>
          </cell>
          <cell r="G679" t="str">
            <v>ED1, EW1, EN1, GP1, AF1</v>
          </cell>
        </row>
        <row r="680">
          <cell r="C680" t="str">
            <v>L6225090084</v>
          </cell>
          <cell r="D680">
            <v>8</v>
          </cell>
          <cell r="E680" t="str">
            <v>Bình thường</v>
          </cell>
          <cell r="F680" t="str">
            <v>MC1</v>
          </cell>
          <cell r="G680" t="str">
            <v>HT1, GS1, ED1, EW1, AF1, AB1</v>
          </cell>
        </row>
        <row r="681">
          <cell r="C681" t="str">
            <v>213509270A28</v>
          </cell>
          <cell r="D681">
            <v>8</v>
          </cell>
          <cell r="E681" t="str">
            <v>Bình thường</v>
          </cell>
          <cell r="F681" t="str">
            <v>GC1</v>
          </cell>
          <cell r="G681" t="str">
            <v>GS2, GC2, AF1</v>
          </cell>
        </row>
        <row r="682">
          <cell r="C682" t="str">
            <v>213510009A11</v>
          </cell>
          <cell r="D682">
            <v>8</v>
          </cell>
          <cell r="E682" t="str">
            <v>Bình thường</v>
          </cell>
          <cell r="F682" t="str">
            <v>GS1</v>
          </cell>
          <cell r="G682" t="str">
            <v>GC1, AF1, GS2</v>
          </cell>
        </row>
        <row r="683">
          <cell r="C683" t="str">
            <v>L6305090311</v>
          </cell>
          <cell r="D683">
            <v>8</v>
          </cell>
          <cell r="E683" t="str">
            <v>Bình thường</v>
          </cell>
          <cell r="F683" t="str">
            <v>MA1</v>
          </cell>
          <cell r="G683" t="str">
            <v>GS1, EW1, MC1, HT1, ED1, EW2, EN1, AF1</v>
          </cell>
        </row>
        <row r="684">
          <cell r="C684" t="str">
            <v>61150600351</v>
          </cell>
          <cell r="D684">
            <v>8</v>
          </cell>
          <cell r="E684" t="str">
            <v>Bình thường</v>
          </cell>
          <cell r="F684" t="str">
            <v>GC1</v>
          </cell>
          <cell r="G684" t="str">
            <v>GP1, AF1</v>
          </cell>
        </row>
        <row r="685">
          <cell r="C685" t="str">
            <v>L6115060051</v>
          </cell>
          <cell r="D685">
            <v>7</v>
          </cell>
          <cell r="E685" t="str">
            <v>Bình thường</v>
          </cell>
          <cell r="F685" t="str">
            <v>GS2</v>
          </cell>
          <cell r="G685" t="str">
            <v>KT</v>
          </cell>
        </row>
        <row r="686">
          <cell r="C686" t="str">
            <v>63051000101</v>
          </cell>
          <cell r="D686">
            <v>7</v>
          </cell>
          <cell r="E686" t="str">
            <v>Bình thường</v>
          </cell>
          <cell r="F686" t="str">
            <v>AA1</v>
          </cell>
          <cell r="G686" t="str">
            <v>MA1, BJ1, DA1, HT1, AB1</v>
          </cell>
        </row>
        <row r="687">
          <cell r="C687" t="str">
            <v>L6245090121</v>
          </cell>
          <cell r="D687">
            <v>7</v>
          </cell>
          <cell r="E687" t="str">
            <v>Khẩn</v>
          </cell>
          <cell r="F687" t="str">
            <v>AA1</v>
          </cell>
          <cell r="G687" t="str">
            <v>MA1, MC1, AF1</v>
          </cell>
        </row>
        <row r="688">
          <cell r="C688" t="str">
            <v>213508007B17</v>
          </cell>
          <cell r="D688">
            <v>7</v>
          </cell>
          <cell r="E688" t="str">
            <v>Bình thường</v>
          </cell>
          <cell r="F688" t="str">
            <v>GS1</v>
          </cell>
          <cell r="G688" t="str">
            <v>GC1, GP1</v>
          </cell>
        </row>
        <row r="689">
          <cell r="C689" t="str">
            <v>213507106A16</v>
          </cell>
          <cell r="D689">
            <v>7</v>
          </cell>
          <cell r="E689" t="str">
            <v>Bình thường</v>
          </cell>
          <cell r="F689" t="str">
            <v>GC1</v>
          </cell>
          <cell r="G689" t="str">
            <v>GS2, AF1</v>
          </cell>
        </row>
        <row r="690">
          <cell r="C690" t="str">
            <v>L2135078051</v>
          </cell>
          <cell r="D690">
            <v>7</v>
          </cell>
          <cell r="E690" t="str">
            <v>Bình thường</v>
          </cell>
          <cell r="F690" t="str">
            <v>EW1</v>
          </cell>
          <cell r="G690" t="str">
            <v>GR1, GS1, GP1, ED1, EN1</v>
          </cell>
        </row>
        <row r="691">
          <cell r="C691" t="str">
            <v>L6115030031</v>
          </cell>
          <cell r="D691">
            <v>7</v>
          </cell>
          <cell r="E691" t="str">
            <v>Bình thường</v>
          </cell>
          <cell r="F691" t="str">
            <v>GS2</v>
          </cell>
          <cell r="G691" t="str">
            <v>EN1</v>
          </cell>
        </row>
        <row r="692">
          <cell r="C692" t="str">
            <v>213507083B24</v>
          </cell>
          <cell r="D692">
            <v>7</v>
          </cell>
          <cell r="E692" t="str">
            <v>Bình thường</v>
          </cell>
          <cell r="F692" t="str">
            <v>MC1</v>
          </cell>
          <cell r="G692" t="str">
            <v>AF1, AL1</v>
          </cell>
        </row>
        <row r="693">
          <cell r="C693" t="str">
            <v>L6115040121</v>
          </cell>
          <cell r="D693">
            <v>7</v>
          </cell>
          <cell r="E693" t="str">
            <v>Bình thường</v>
          </cell>
          <cell r="F693" t="str">
            <v>GR1</v>
          </cell>
          <cell r="G693" t="str">
            <v>KT</v>
          </cell>
        </row>
        <row r="694">
          <cell r="C694" t="str">
            <v>L6115070174</v>
          </cell>
          <cell r="D694">
            <v>7</v>
          </cell>
          <cell r="E694" t="str">
            <v>Bình thường</v>
          </cell>
          <cell r="F694" t="str">
            <v>EW2</v>
          </cell>
          <cell r="G694" t="str">
            <v>GS2, EN1</v>
          </cell>
        </row>
        <row r="695">
          <cell r="C695" t="str">
            <v>213509276A35</v>
          </cell>
          <cell r="D695">
            <v>7</v>
          </cell>
          <cell r="E695" t="str">
            <v>Bình thường</v>
          </cell>
          <cell r="F695" t="str">
            <v>GS1</v>
          </cell>
          <cell r="G695" t="str">
            <v>MC1, HT1, AF1, AB1</v>
          </cell>
        </row>
        <row r="696">
          <cell r="C696" t="str">
            <v>L6115030311</v>
          </cell>
          <cell r="D696">
            <v>7</v>
          </cell>
          <cell r="E696" t="str">
            <v>Bình thường</v>
          </cell>
          <cell r="F696" t="str">
            <v>GS1</v>
          </cell>
          <cell r="G696" t="str">
            <v>EW1, ED1, GJ1, GR1</v>
          </cell>
        </row>
        <row r="697">
          <cell r="C697" t="str">
            <v>63051000111</v>
          </cell>
          <cell r="D697">
            <v>7</v>
          </cell>
          <cell r="E697" t="str">
            <v>Bình thường</v>
          </cell>
          <cell r="F697" t="str">
            <v>AA1</v>
          </cell>
          <cell r="G697" t="str">
            <v>MA1, MC1</v>
          </cell>
        </row>
        <row r="698">
          <cell r="C698" t="str">
            <v>L6115050064</v>
          </cell>
          <cell r="D698">
            <v>7</v>
          </cell>
          <cell r="E698" t="str">
            <v>Bình thường</v>
          </cell>
          <cell r="F698" t="str">
            <v>EW2</v>
          </cell>
          <cell r="G698" t="str">
            <v>GS2, EN1</v>
          </cell>
        </row>
        <row r="699">
          <cell r="C699" t="str">
            <v>L6115040122</v>
          </cell>
          <cell r="D699">
            <v>7</v>
          </cell>
          <cell r="E699" t="str">
            <v>Bình thường</v>
          </cell>
          <cell r="F699" t="str">
            <v>GC1</v>
          </cell>
          <cell r="G699" t="str">
            <v>GP1</v>
          </cell>
        </row>
        <row r="700">
          <cell r="C700" t="str">
            <v>R21351060A17</v>
          </cell>
          <cell r="D700">
            <v>7</v>
          </cell>
          <cell r="E700" t="str">
            <v>Bình thường</v>
          </cell>
          <cell r="F700" t="str">
            <v>GS1</v>
          </cell>
          <cell r="G700" t="str">
            <v>EN1, KA1, AF1</v>
          </cell>
        </row>
        <row r="701">
          <cell r="C701" t="str">
            <v>L6115070172</v>
          </cell>
          <cell r="D701">
            <v>7</v>
          </cell>
          <cell r="E701" t="str">
            <v>Bình thường</v>
          </cell>
          <cell r="F701" t="str">
            <v>EW1</v>
          </cell>
          <cell r="G701" t="str">
            <v>GR1, EN1, GS1, GP1, AF1</v>
          </cell>
        </row>
        <row r="702">
          <cell r="C702" t="str">
            <v>L6115070173</v>
          </cell>
          <cell r="D702">
            <v>7</v>
          </cell>
          <cell r="E702" t="str">
            <v>Bình thường</v>
          </cell>
          <cell r="F702" t="str">
            <v>EW1</v>
          </cell>
          <cell r="G702" t="str">
            <v>GS1, ED1, EW2, GS2</v>
          </cell>
        </row>
        <row r="703">
          <cell r="C703" t="str">
            <v>L6115070181</v>
          </cell>
          <cell r="D703">
            <v>7</v>
          </cell>
          <cell r="E703" t="str">
            <v>Bình thường</v>
          </cell>
          <cell r="F703" t="str">
            <v>ED1</v>
          </cell>
          <cell r="G703" t="str">
            <v>EW2, GS2, EN1</v>
          </cell>
        </row>
        <row r="704">
          <cell r="C704" t="str">
            <v>L6115070171</v>
          </cell>
          <cell r="D704">
            <v>7</v>
          </cell>
          <cell r="E704" t="str">
            <v>Bình thường</v>
          </cell>
          <cell r="F704" t="str">
            <v>EW1</v>
          </cell>
          <cell r="G704" t="str">
            <v>ED1, EN1, GR1, GP1, GS1</v>
          </cell>
        </row>
        <row r="705">
          <cell r="C705" t="str">
            <v>L6115070182</v>
          </cell>
          <cell r="D705">
            <v>7</v>
          </cell>
          <cell r="E705" t="str">
            <v>Bình thường</v>
          </cell>
          <cell r="F705" t="str">
            <v>EW1</v>
          </cell>
          <cell r="G705" t="str">
            <v>GS1, ED1, EW2, GS2</v>
          </cell>
        </row>
        <row r="706">
          <cell r="C706" t="str">
            <v>L6115080431</v>
          </cell>
          <cell r="D706">
            <v>7</v>
          </cell>
          <cell r="E706" t="str">
            <v>Bình thường</v>
          </cell>
          <cell r="F706" t="str">
            <v>GS1</v>
          </cell>
          <cell r="G706" t="str">
            <v>ED1, EW2, GS2, EN1</v>
          </cell>
        </row>
        <row r="707">
          <cell r="C707" t="str">
            <v>213506080B44</v>
          </cell>
          <cell r="D707">
            <v>6</v>
          </cell>
          <cell r="E707" t="str">
            <v>Bình thường</v>
          </cell>
          <cell r="F707" t="str">
            <v>EN1</v>
          </cell>
          <cell r="G707" t="str">
            <v>AF1</v>
          </cell>
        </row>
        <row r="708">
          <cell r="C708" t="str">
            <v>L6115070215</v>
          </cell>
          <cell r="D708">
            <v>6</v>
          </cell>
          <cell r="E708" t="str">
            <v>Bình thường</v>
          </cell>
          <cell r="F708" t="str">
            <v>GR1</v>
          </cell>
          <cell r="G708" t="str">
            <v>VP</v>
          </cell>
        </row>
        <row r="709">
          <cell r="C709" t="str">
            <v>R41351002617</v>
          </cell>
          <cell r="D709">
            <v>6</v>
          </cell>
          <cell r="E709" t="str">
            <v>Khẩn</v>
          </cell>
          <cell r="F709" t="str">
            <v>BJ1</v>
          </cell>
          <cell r="G709" t="str">
            <v>AB1</v>
          </cell>
        </row>
        <row r="710">
          <cell r="C710" t="str">
            <v>L6305050282</v>
          </cell>
          <cell r="D710">
            <v>6</v>
          </cell>
          <cell r="E710" t="str">
            <v>Bình thường</v>
          </cell>
          <cell r="F710" t="str">
            <v>AA2</v>
          </cell>
          <cell r="G710" t="str">
            <v>GS1, AF1, AB1</v>
          </cell>
        </row>
        <row r="711">
          <cell r="C711" t="str">
            <v>62250700371</v>
          </cell>
          <cell r="D711">
            <v>6</v>
          </cell>
          <cell r="E711" t="str">
            <v>Bình thường</v>
          </cell>
          <cell r="F711" t="str">
            <v>GC1</v>
          </cell>
          <cell r="G711" t="str">
            <v>GS2, AF1, AB1</v>
          </cell>
        </row>
        <row r="712">
          <cell r="C712" t="str">
            <v>L6115060204</v>
          </cell>
          <cell r="D712">
            <v>6</v>
          </cell>
          <cell r="E712" t="str">
            <v>Bình thường</v>
          </cell>
          <cell r="F712" t="str">
            <v>GC1</v>
          </cell>
          <cell r="G712" t="str">
            <v>GP1</v>
          </cell>
        </row>
        <row r="713">
          <cell r="C713" t="str">
            <v>L6305080271</v>
          </cell>
          <cell r="D713">
            <v>6</v>
          </cell>
          <cell r="E713" t="str">
            <v>Bình thường</v>
          </cell>
          <cell r="F713" t="str">
            <v>BJ1</v>
          </cell>
          <cell r="G713" t="str">
            <v>AF1</v>
          </cell>
        </row>
        <row r="714">
          <cell r="C714" t="str">
            <v>L6115060203</v>
          </cell>
          <cell r="D714">
            <v>6</v>
          </cell>
          <cell r="E714" t="str">
            <v>Bình thường</v>
          </cell>
          <cell r="F714" t="str">
            <v>GR1</v>
          </cell>
          <cell r="G714" t="str">
            <v>GS1, GC1, GP1</v>
          </cell>
        </row>
        <row r="715">
          <cell r="C715" t="str">
            <v>L6305060251</v>
          </cell>
          <cell r="D715">
            <v>6</v>
          </cell>
          <cell r="E715" t="str">
            <v>Bình thường</v>
          </cell>
          <cell r="F715" t="str">
            <v>EN1</v>
          </cell>
          <cell r="G715" t="str">
            <v>AF1, AB1</v>
          </cell>
        </row>
        <row r="716">
          <cell r="C716" t="str">
            <v>63051001241</v>
          </cell>
          <cell r="D716">
            <v>6</v>
          </cell>
          <cell r="E716" t="str">
            <v>Khẩn</v>
          </cell>
          <cell r="F716" t="str">
            <v>AA1</v>
          </cell>
          <cell r="G716" t="str">
            <v>MA1, BJ1, AB1</v>
          </cell>
        </row>
        <row r="717">
          <cell r="C717" t="str">
            <v>63050600341</v>
          </cell>
          <cell r="D717">
            <v>6</v>
          </cell>
          <cell r="E717" t="str">
            <v>Bình thường</v>
          </cell>
          <cell r="F717" t="str">
            <v>GS1</v>
          </cell>
          <cell r="G717" t="str">
            <v>MC1</v>
          </cell>
        </row>
        <row r="718">
          <cell r="C718" t="str">
            <v>L6305060252</v>
          </cell>
          <cell r="D718">
            <v>6</v>
          </cell>
          <cell r="E718" t="str">
            <v>Bình thường</v>
          </cell>
          <cell r="F718" t="str">
            <v>EN1</v>
          </cell>
          <cell r="G718" t="str">
            <v>AF1, AB1</v>
          </cell>
        </row>
        <row r="719">
          <cell r="C719" t="str">
            <v>L6225060221</v>
          </cell>
          <cell r="D719">
            <v>6</v>
          </cell>
          <cell r="E719" t="str">
            <v>Bình thường</v>
          </cell>
          <cell r="F719" t="str">
            <v>BJ1</v>
          </cell>
          <cell r="G719" t="str">
            <v>AF1, AB1</v>
          </cell>
        </row>
        <row r="720">
          <cell r="C720" t="str">
            <v>L6305080825</v>
          </cell>
          <cell r="D720">
            <v>6</v>
          </cell>
          <cell r="E720" t="str">
            <v>Bình thường</v>
          </cell>
          <cell r="F720" t="str">
            <v>GC1</v>
          </cell>
          <cell r="G720" t="str">
            <v>AB1</v>
          </cell>
        </row>
        <row r="721">
          <cell r="C721" t="str">
            <v>213507138A15</v>
          </cell>
          <cell r="D721">
            <v>6</v>
          </cell>
          <cell r="E721" t="str">
            <v>Bình thường</v>
          </cell>
          <cell r="F721" t="str">
            <v>GC1</v>
          </cell>
          <cell r="G721" t="str">
            <v>GS2, GC2, AF1</v>
          </cell>
        </row>
        <row r="722">
          <cell r="C722" t="str">
            <v>213508056A1</v>
          </cell>
          <cell r="D722">
            <v>6</v>
          </cell>
          <cell r="E722" t="str">
            <v>Bình thường</v>
          </cell>
          <cell r="F722" t="str">
            <v>GC1</v>
          </cell>
          <cell r="G722" t="str">
            <v>GS1, AF1</v>
          </cell>
        </row>
        <row r="723">
          <cell r="C723" t="str">
            <v>61250600271</v>
          </cell>
          <cell r="D723">
            <v>6</v>
          </cell>
          <cell r="E723" t="str">
            <v>Bình thường</v>
          </cell>
          <cell r="F723" t="str">
            <v>GS1</v>
          </cell>
          <cell r="G723" t="str">
            <v>EN1</v>
          </cell>
        </row>
        <row r="724">
          <cell r="C724" t="str">
            <v>L6305021002</v>
          </cell>
          <cell r="D724">
            <v>6</v>
          </cell>
          <cell r="E724" t="str">
            <v>Bình thường</v>
          </cell>
          <cell r="F724" t="str">
            <v>AA1</v>
          </cell>
          <cell r="G724" t="str">
            <v>MA1, MC1, AF1</v>
          </cell>
        </row>
        <row r="725">
          <cell r="C725" t="str">
            <v>213507166A13</v>
          </cell>
          <cell r="D725">
            <v>6</v>
          </cell>
          <cell r="E725" t="str">
            <v>Bình thường</v>
          </cell>
          <cell r="F725" t="str">
            <v>GC1</v>
          </cell>
          <cell r="G725" t="str">
            <v>GS2, AF1</v>
          </cell>
        </row>
        <row r="726">
          <cell r="C726" t="str">
            <v>L6245090045</v>
          </cell>
          <cell r="D726">
            <v>6</v>
          </cell>
          <cell r="E726" t="str">
            <v>Bình thường</v>
          </cell>
          <cell r="F726" t="str">
            <v>LN1</v>
          </cell>
          <cell r="G726" t="str">
            <v>KT</v>
          </cell>
        </row>
        <row r="727">
          <cell r="C727" t="str">
            <v>L4135100202</v>
          </cell>
          <cell r="D727">
            <v>6</v>
          </cell>
          <cell r="E727" t="str">
            <v>Khẩn</v>
          </cell>
          <cell r="F727" t="str">
            <v>GS1</v>
          </cell>
          <cell r="G727" t="str">
            <v>MC1</v>
          </cell>
        </row>
        <row r="728">
          <cell r="C728" t="str">
            <v>L6305070909</v>
          </cell>
          <cell r="D728">
            <v>6</v>
          </cell>
          <cell r="E728" t="str">
            <v>Bình thường</v>
          </cell>
          <cell r="F728" t="str">
            <v>AB1</v>
          </cell>
          <cell r="G728" t="str">
            <v>VP</v>
          </cell>
        </row>
        <row r="729">
          <cell r="C729" t="str">
            <v>L4135100201</v>
          </cell>
          <cell r="D729">
            <v>6</v>
          </cell>
          <cell r="E729" t="str">
            <v>Khẩn</v>
          </cell>
          <cell r="F729" t="str">
            <v>GS1</v>
          </cell>
          <cell r="G729" t="str">
            <v>MC1</v>
          </cell>
        </row>
        <row r="730">
          <cell r="C730" t="str">
            <v>L6305070471</v>
          </cell>
          <cell r="D730">
            <v>6</v>
          </cell>
          <cell r="E730" t="str">
            <v>Bình thường</v>
          </cell>
          <cell r="F730" t="str">
            <v>GS1</v>
          </cell>
          <cell r="G730" t="str">
            <v>AB1</v>
          </cell>
        </row>
        <row r="731">
          <cell r="C731" t="str">
            <v>L6235070203</v>
          </cell>
          <cell r="D731">
            <v>6</v>
          </cell>
          <cell r="E731" t="str">
            <v>Bình thường</v>
          </cell>
          <cell r="F731" t="str">
            <v>MC1</v>
          </cell>
          <cell r="G731" t="str">
            <v>HT1, AF1, AB1</v>
          </cell>
        </row>
        <row r="732">
          <cell r="C732" t="str">
            <v>213508194A39</v>
          </cell>
          <cell r="D732">
            <v>6</v>
          </cell>
          <cell r="E732" t="str">
            <v>Bình thường</v>
          </cell>
          <cell r="F732" t="str">
            <v>GS2</v>
          </cell>
          <cell r="G732" t="str">
            <v>AF1</v>
          </cell>
        </row>
        <row r="733">
          <cell r="C733" t="str">
            <v>213506107A31</v>
          </cell>
          <cell r="D733">
            <v>6</v>
          </cell>
          <cell r="E733" t="str">
            <v>Bình thường</v>
          </cell>
          <cell r="F733" t="str">
            <v>GP1</v>
          </cell>
          <cell r="G733" t="str">
            <v>EN1, GS1, GP2</v>
          </cell>
        </row>
        <row r="734">
          <cell r="C734" t="str">
            <v>L6305021001</v>
          </cell>
          <cell r="D734">
            <v>6</v>
          </cell>
          <cell r="E734" t="str">
            <v>Bình thường</v>
          </cell>
          <cell r="F734" t="str">
            <v>DA1</v>
          </cell>
          <cell r="G734" t="str">
            <v>EW1</v>
          </cell>
        </row>
        <row r="735">
          <cell r="C735" t="str">
            <v>L6305070613</v>
          </cell>
          <cell r="D735">
            <v>6</v>
          </cell>
          <cell r="E735" t="str">
            <v>Bình thường</v>
          </cell>
          <cell r="F735" t="str">
            <v>GR1</v>
          </cell>
          <cell r="G735" t="str">
            <v>GS1, GJ1, AF1</v>
          </cell>
        </row>
        <row r="736">
          <cell r="C736" t="str">
            <v>L6305080272</v>
          </cell>
          <cell r="D736">
            <v>6</v>
          </cell>
          <cell r="E736" t="str">
            <v>Bình thường</v>
          </cell>
          <cell r="F736" t="str">
            <v>LN1</v>
          </cell>
          <cell r="G736" t="str">
            <v>MA1, BJ1, DA1, GS1, KA1, EW1, AB1</v>
          </cell>
        </row>
        <row r="737">
          <cell r="C737" t="str">
            <v>213507168A16</v>
          </cell>
          <cell r="D737">
            <v>6</v>
          </cell>
          <cell r="E737" t="str">
            <v>Bình thường</v>
          </cell>
          <cell r="F737" t="str">
            <v>GC1</v>
          </cell>
          <cell r="G737" t="str">
            <v>GP1, AF1, GS2</v>
          </cell>
        </row>
        <row r="738">
          <cell r="C738" t="str">
            <v>L6115070194</v>
          </cell>
          <cell r="D738">
            <v>6</v>
          </cell>
          <cell r="E738" t="str">
            <v>Bình thường</v>
          </cell>
          <cell r="F738" t="str">
            <v>GR1</v>
          </cell>
          <cell r="G738" t="str">
            <v>GS1, GC1, GP1</v>
          </cell>
        </row>
        <row r="739">
          <cell r="C739" t="str">
            <v>L6305070889</v>
          </cell>
          <cell r="D739">
            <v>6</v>
          </cell>
          <cell r="E739" t="str">
            <v>Bình thường</v>
          </cell>
          <cell r="F739" t="str">
            <v>GS2</v>
          </cell>
          <cell r="G739" t="str">
            <v>BJ2, EW2, AF1</v>
          </cell>
        </row>
        <row r="740">
          <cell r="C740" t="str">
            <v>L4135100111</v>
          </cell>
          <cell r="D740">
            <v>6</v>
          </cell>
          <cell r="E740" t="str">
            <v>Khẩn</v>
          </cell>
          <cell r="F740" t="str">
            <v>MA1</v>
          </cell>
          <cell r="G740" t="str">
            <v>GS1, BJ1, DA1, AB1</v>
          </cell>
        </row>
        <row r="741">
          <cell r="C741" t="str">
            <v>L4135100115</v>
          </cell>
          <cell r="D741">
            <v>6</v>
          </cell>
          <cell r="E741" t="str">
            <v>Khẩn</v>
          </cell>
          <cell r="F741" t="str">
            <v>GR1</v>
          </cell>
          <cell r="G741" t="str">
            <v>AB1</v>
          </cell>
        </row>
        <row r="742">
          <cell r="C742" t="str">
            <v>L6125010081</v>
          </cell>
          <cell r="D742">
            <v>6</v>
          </cell>
          <cell r="E742" t="str">
            <v>Bình thường</v>
          </cell>
          <cell r="F742" t="str">
            <v>GP1</v>
          </cell>
          <cell r="G742" t="str">
            <v>AF1</v>
          </cell>
        </row>
        <row r="743">
          <cell r="C743" t="str">
            <v>L6305030151</v>
          </cell>
          <cell r="D743">
            <v>6</v>
          </cell>
          <cell r="E743" t="str">
            <v>Bình thường</v>
          </cell>
          <cell r="F743" t="str">
            <v>GR1</v>
          </cell>
          <cell r="G743" t="str">
            <v>EW1, EN1, AF1</v>
          </cell>
        </row>
        <row r="744">
          <cell r="C744" t="str">
            <v>L6215100102</v>
          </cell>
          <cell r="D744">
            <v>6</v>
          </cell>
          <cell r="E744" t="str">
            <v>Khẩn</v>
          </cell>
          <cell r="F744" t="str">
            <v>AA1</v>
          </cell>
          <cell r="G744" t="str">
            <v>MA1, BJ1, MC1, HT1, AB1</v>
          </cell>
        </row>
        <row r="745">
          <cell r="C745" t="str">
            <v>L4135100112</v>
          </cell>
          <cell r="D745">
            <v>6</v>
          </cell>
          <cell r="E745" t="str">
            <v>Khẩn</v>
          </cell>
          <cell r="F745" t="str">
            <v>MC1</v>
          </cell>
          <cell r="G745" t="str">
            <v>AB1</v>
          </cell>
        </row>
        <row r="746">
          <cell r="C746" t="str">
            <v>L6115070223</v>
          </cell>
          <cell r="D746">
            <v>6</v>
          </cell>
          <cell r="E746" t="str">
            <v>Bình thường</v>
          </cell>
          <cell r="F746" t="str">
            <v>GR1</v>
          </cell>
          <cell r="G746" t="str">
            <v>KT</v>
          </cell>
        </row>
        <row r="747">
          <cell r="C747" t="str">
            <v>L6305060552</v>
          </cell>
          <cell r="D747">
            <v>6</v>
          </cell>
          <cell r="E747" t="str">
            <v>Bình thường</v>
          </cell>
          <cell r="F747" t="str">
            <v>EN1</v>
          </cell>
          <cell r="G747" t="str">
            <v>AF1, AB1</v>
          </cell>
        </row>
        <row r="748">
          <cell r="C748" t="str">
            <v>L6305070615</v>
          </cell>
          <cell r="D748">
            <v>6</v>
          </cell>
          <cell r="E748" t="str">
            <v>Bình thường</v>
          </cell>
          <cell r="F748" t="str">
            <v>GR1</v>
          </cell>
          <cell r="G748" t="str">
            <v>GS1, EN1, AF1, AB1</v>
          </cell>
        </row>
        <row r="749">
          <cell r="C749" t="str">
            <v>L6215100101</v>
          </cell>
          <cell r="D749">
            <v>6</v>
          </cell>
          <cell r="E749" t="str">
            <v>Khẩn</v>
          </cell>
          <cell r="F749" t="str">
            <v>MA1</v>
          </cell>
          <cell r="G749" t="str">
            <v>BJ1, AF1, GS1, BJ2, HT1, EN1, AF2, AB1</v>
          </cell>
        </row>
        <row r="750">
          <cell r="C750" t="str">
            <v>L6305070461</v>
          </cell>
          <cell r="D750">
            <v>6</v>
          </cell>
          <cell r="E750" t="str">
            <v>Bình thường</v>
          </cell>
          <cell r="F750" t="str">
            <v>MC1</v>
          </cell>
          <cell r="G750" t="str">
            <v>AF1</v>
          </cell>
        </row>
        <row r="751">
          <cell r="C751" t="str">
            <v>L6305070873</v>
          </cell>
          <cell r="D751">
            <v>6</v>
          </cell>
          <cell r="E751" t="str">
            <v>Bình thường</v>
          </cell>
          <cell r="F751" t="str">
            <v>EN1</v>
          </cell>
          <cell r="G751" t="str">
            <v>AF1, AB1</v>
          </cell>
        </row>
        <row r="752">
          <cell r="C752" t="str">
            <v>213509031B27</v>
          </cell>
          <cell r="D752">
            <v>6</v>
          </cell>
          <cell r="E752" t="str">
            <v>Bình thường</v>
          </cell>
          <cell r="F752" t="str">
            <v>LN2</v>
          </cell>
          <cell r="G752" t="str">
            <v>EW1, KA1, MC1, BJ1, HT2, AF1, AL1</v>
          </cell>
        </row>
        <row r="753">
          <cell r="C753" t="str">
            <v>L6305021183</v>
          </cell>
          <cell r="D753">
            <v>6</v>
          </cell>
          <cell r="E753" t="str">
            <v>Bình thường</v>
          </cell>
          <cell r="F753" t="str">
            <v>GS1</v>
          </cell>
          <cell r="G753" t="str">
            <v>GJ1, EN1, AF1, AB1</v>
          </cell>
        </row>
        <row r="754">
          <cell r="C754" t="str">
            <v>L6305080274</v>
          </cell>
          <cell r="D754">
            <v>6</v>
          </cell>
          <cell r="E754" t="str">
            <v>Bình thường</v>
          </cell>
          <cell r="F754" t="str">
            <v>GC1</v>
          </cell>
          <cell r="G754" t="str">
            <v>AB1</v>
          </cell>
        </row>
        <row r="755">
          <cell r="C755" t="str">
            <v>L6225060223</v>
          </cell>
          <cell r="D755">
            <v>6</v>
          </cell>
          <cell r="E755" t="str">
            <v>Bình thường</v>
          </cell>
          <cell r="F755" t="str">
            <v>MA1</v>
          </cell>
          <cell r="G755" t="str">
            <v>BJ1</v>
          </cell>
        </row>
        <row r="756">
          <cell r="C756" t="str">
            <v>L6305060551</v>
          </cell>
          <cell r="D756">
            <v>6</v>
          </cell>
          <cell r="E756" t="str">
            <v>Bình thường</v>
          </cell>
          <cell r="F756" t="str">
            <v>EN1</v>
          </cell>
          <cell r="G756" t="str">
            <v>AF1, AB1</v>
          </cell>
        </row>
        <row r="757">
          <cell r="C757" t="str">
            <v>L6115030145</v>
          </cell>
          <cell r="D757">
            <v>6</v>
          </cell>
          <cell r="E757" t="str">
            <v>Bình thường</v>
          </cell>
          <cell r="F757" t="str">
            <v>GS2</v>
          </cell>
          <cell r="G757" t="str">
            <v>KT</v>
          </cell>
        </row>
        <row r="758">
          <cell r="C758" t="str">
            <v>L6115050283</v>
          </cell>
          <cell r="D758">
            <v>6</v>
          </cell>
          <cell r="E758" t="str">
            <v>Bình thường</v>
          </cell>
          <cell r="F758" t="str">
            <v>GR1</v>
          </cell>
          <cell r="G758" t="str">
            <v>KT</v>
          </cell>
        </row>
        <row r="759">
          <cell r="C759" t="str">
            <v>L6305040223</v>
          </cell>
          <cell r="D759">
            <v>6</v>
          </cell>
          <cell r="E759" t="str">
            <v>Bình thường</v>
          </cell>
          <cell r="F759" t="str">
            <v>MC1</v>
          </cell>
          <cell r="G759" t="str">
            <v>AF1</v>
          </cell>
        </row>
        <row r="760">
          <cell r="C760" t="str">
            <v>21350787011</v>
          </cell>
          <cell r="D760">
            <v>6</v>
          </cell>
          <cell r="E760" t="str">
            <v>Bình thường</v>
          </cell>
          <cell r="F760" t="str">
            <v>GS1</v>
          </cell>
          <cell r="G760" t="str">
            <v>AF1</v>
          </cell>
        </row>
        <row r="761">
          <cell r="C761" t="str">
            <v>L6305081001</v>
          </cell>
          <cell r="D761">
            <v>6</v>
          </cell>
          <cell r="E761" t="str">
            <v>Bình thường</v>
          </cell>
          <cell r="F761" t="str">
            <v>MA1</v>
          </cell>
          <cell r="G761" t="str">
            <v>BJ1, DA1, HT1, GS1, GJ1, AF1</v>
          </cell>
        </row>
        <row r="762">
          <cell r="C762" t="str">
            <v>L6305081009</v>
          </cell>
          <cell r="D762">
            <v>6</v>
          </cell>
          <cell r="E762" t="str">
            <v>Bình thường</v>
          </cell>
          <cell r="F762" t="str">
            <v>MA1</v>
          </cell>
          <cell r="G762" t="str">
            <v>BJ1, HT1, GS1, GJ1, AF1, AB1</v>
          </cell>
        </row>
        <row r="763">
          <cell r="C763" t="str">
            <v>L6305080613</v>
          </cell>
          <cell r="D763">
            <v>6</v>
          </cell>
          <cell r="E763" t="str">
            <v>Bình thường</v>
          </cell>
          <cell r="F763" t="str">
            <v>AA1</v>
          </cell>
          <cell r="G763" t="str">
            <v>MA1, BJ1, WG1, AF1, AB1</v>
          </cell>
        </row>
        <row r="764">
          <cell r="C764" t="str">
            <v>213507082B23</v>
          </cell>
          <cell r="D764">
            <v>6</v>
          </cell>
          <cell r="E764" t="str">
            <v>Bình thường</v>
          </cell>
          <cell r="F764" t="str">
            <v>MC1</v>
          </cell>
          <cell r="G764" t="str">
            <v>AF1, AL1</v>
          </cell>
        </row>
        <row r="765">
          <cell r="C765" t="str">
            <v>L6305070473</v>
          </cell>
          <cell r="D765">
            <v>6</v>
          </cell>
          <cell r="E765" t="str">
            <v>Bình thường</v>
          </cell>
          <cell r="F765" t="str">
            <v>BJ2</v>
          </cell>
          <cell r="G765" t="str">
            <v>EW1, AF1, AB1</v>
          </cell>
        </row>
        <row r="766">
          <cell r="C766" t="str">
            <v>L6305081008</v>
          </cell>
          <cell r="D766">
            <v>6</v>
          </cell>
          <cell r="E766" t="str">
            <v>Bình thường</v>
          </cell>
          <cell r="F766" t="str">
            <v>BJ1</v>
          </cell>
          <cell r="G766" t="str">
            <v>DA1, HT1, GS1, GJ1, AF1, AB1</v>
          </cell>
        </row>
        <row r="767">
          <cell r="C767" t="str">
            <v>L6225100114</v>
          </cell>
          <cell r="D767">
            <v>6</v>
          </cell>
          <cell r="E767" t="str">
            <v>Bình thường</v>
          </cell>
          <cell r="F767" t="str">
            <v>AA1</v>
          </cell>
          <cell r="G767" t="str">
            <v>MA1, MC1</v>
          </cell>
        </row>
        <row r="768">
          <cell r="C768" t="str">
            <v>L6305070472</v>
          </cell>
          <cell r="D768">
            <v>6</v>
          </cell>
          <cell r="E768" t="str">
            <v>Bình thường</v>
          </cell>
          <cell r="F768" t="str">
            <v>GS1</v>
          </cell>
          <cell r="G768" t="str">
            <v>GJ1, KA1, EW1, DA1, AF1, AB1</v>
          </cell>
        </row>
        <row r="769">
          <cell r="C769" t="str">
            <v>L6305090022</v>
          </cell>
          <cell r="D769">
            <v>6</v>
          </cell>
          <cell r="E769" t="str">
            <v>Bình thường</v>
          </cell>
          <cell r="F769" t="str">
            <v>MC1</v>
          </cell>
          <cell r="G769" t="str">
            <v>HT1, GS2, EW1, GJ1, AF1</v>
          </cell>
        </row>
        <row r="770">
          <cell r="C770" t="str">
            <v>L6115080171</v>
          </cell>
          <cell r="D770">
            <v>6</v>
          </cell>
          <cell r="E770" t="str">
            <v>Bình thường</v>
          </cell>
          <cell r="F770" t="str">
            <v>WG1</v>
          </cell>
          <cell r="G770" t="str">
            <v>AF1</v>
          </cell>
        </row>
        <row r="771">
          <cell r="C771" t="str">
            <v>L6115070132</v>
          </cell>
          <cell r="D771">
            <v>6</v>
          </cell>
          <cell r="E771" t="str">
            <v>Bình thường</v>
          </cell>
          <cell r="F771" t="str">
            <v>EW1</v>
          </cell>
          <cell r="G771" t="str">
            <v>GS1, WG1, GS2, EW2, EN1, AF1</v>
          </cell>
        </row>
        <row r="772">
          <cell r="C772" t="str">
            <v>L6305070601</v>
          </cell>
          <cell r="D772">
            <v>6</v>
          </cell>
          <cell r="E772" t="str">
            <v>Bình thường</v>
          </cell>
          <cell r="F772" t="str">
            <v>GR1</v>
          </cell>
          <cell r="G772" t="str">
            <v>GP1, EN1</v>
          </cell>
        </row>
        <row r="773">
          <cell r="C773" t="str">
            <v>L6305020771</v>
          </cell>
          <cell r="D773">
            <v>6</v>
          </cell>
          <cell r="E773" t="str">
            <v>Bình thường</v>
          </cell>
          <cell r="F773" t="str">
            <v>EW1</v>
          </cell>
          <cell r="G773" t="str">
            <v>AF1</v>
          </cell>
        </row>
        <row r="774">
          <cell r="C774" t="str">
            <v>L6305020612</v>
          </cell>
          <cell r="D774">
            <v>6</v>
          </cell>
          <cell r="E774" t="str">
            <v>Bình thường</v>
          </cell>
          <cell r="F774" t="str">
            <v>GR1</v>
          </cell>
          <cell r="G774" t="str">
            <v>GP1, GS1</v>
          </cell>
        </row>
        <row r="775">
          <cell r="C775" t="str">
            <v>L6115070031</v>
          </cell>
          <cell r="D775">
            <v>6</v>
          </cell>
          <cell r="E775" t="str">
            <v>Bình thường</v>
          </cell>
          <cell r="F775" t="str">
            <v>BJ1</v>
          </cell>
          <cell r="G775" t="str">
            <v>GS1, AF1, AB1</v>
          </cell>
        </row>
        <row r="776">
          <cell r="C776" t="str">
            <v>L6115070133</v>
          </cell>
          <cell r="D776">
            <v>6</v>
          </cell>
          <cell r="E776" t="str">
            <v>Bình thường</v>
          </cell>
          <cell r="F776" t="str">
            <v>EW1</v>
          </cell>
          <cell r="G776" t="str">
            <v>GS1, WG1, GS2, EW2, EN1, AF1, GS1, WG1, GS2, EW2, EN1, AF1</v>
          </cell>
        </row>
        <row r="777">
          <cell r="C777" t="str">
            <v>L6225060222</v>
          </cell>
          <cell r="D777">
            <v>6</v>
          </cell>
          <cell r="E777" t="str">
            <v>Bình thường</v>
          </cell>
          <cell r="F777" t="str">
            <v>MA1</v>
          </cell>
          <cell r="G777" t="str">
            <v>GS1, BJ1, AB1</v>
          </cell>
        </row>
        <row r="778">
          <cell r="C778" t="str">
            <v>L6115050053</v>
          </cell>
          <cell r="D778">
            <v>6</v>
          </cell>
          <cell r="E778" t="str">
            <v>Bình thường</v>
          </cell>
          <cell r="F778" t="str">
            <v>GC1</v>
          </cell>
          <cell r="G778" t="str">
            <v>GP1</v>
          </cell>
        </row>
        <row r="779">
          <cell r="C779" t="str">
            <v>L6115050054</v>
          </cell>
          <cell r="D779">
            <v>6</v>
          </cell>
          <cell r="E779" t="str">
            <v>Bình thường</v>
          </cell>
          <cell r="F779" t="str">
            <v>GC1</v>
          </cell>
          <cell r="G779" t="str">
            <v>GP1</v>
          </cell>
        </row>
        <row r="780">
          <cell r="C780" t="str">
            <v>L6115070131</v>
          </cell>
          <cell r="D780">
            <v>6</v>
          </cell>
          <cell r="E780" t="str">
            <v>Bình thường</v>
          </cell>
          <cell r="F780" t="str">
            <v>GS1</v>
          </cell>
          <cell r="G780" t="str">
            <v>EW1, EN1, AF1</v>
          </cell>
        </row>
        <row r="781">
          <cell r="C781" t="str">
            <v>L6305050283</v>
          </cell>
          <cell r="D781">
            <v>6</v>
          </cell>
          <cell r="E781" t="str">
            <v>Bình thường</v>
          </cell>
          <cell r="F781" t="str">
            <v>GS1</v>
          </cell>
          <cell r="G781" t="str">
            <v>GJ1, AF2, AB1</v>
          </cell>
        </row>
        <row r="782">
          <cell r="C782" t="str">
            <v>L6305080824</v>
          </cell>
          <cell r="D782">
            <v>6</v>
          </cell>
          <cell r="E782" t="str">
            <v>Bình thường</v>
          </cell>
          <cell r="F782" t="str">
            <v>BJ1</v>
          </cell>
          <cell r="G782" t="str">
            <v>LA1, AF1, BJ2, GS1, EW1, AF2, AB1</v>
          </cell>
        </row>
        <row r="783">
          <cell r="C783" t="str">
            <v>R21350894A1</v>
          </cell>
          <cell r="D783">
            <v>6</v>
          </cell>
          <cell r="E783" t="str">
            <v>Bình thường</v>
          </cell>
          <cell r="F783" t="str">
            <v>EN1</v>
          </cell>
          <cell r="G783" t="str">
            <v>KA1, AF1</v>
          </cell>
        </row>
        <row r="784">
          <cell r="C784" t="str">
            <v>L6115090095</v>
          </cell>
          <cell r="D784">
            <v>6</v>
          </cell>
          <cell r="E784" t="str">
            <v>Bình thường</v>
          </cell>
          <cell r="F784" t="str">
            <v>GR1</v>
          </cell>
          <cell r="G784" t="str">
            <v>GS1</v>
          </cell>
        </row>
        <row r="785">
          <cell r="C785" t="str">
            <v>L6305081005</v>
          </cell>
          <cell r="D785">
            <v>6</v>
          </cell>
          <cell r="E785" t="str">
            <v>Bình thường</v>
          </cell>
          <cell r="F785" t="str">
            <v>GS1</v>
          </cell>
          <cell r="G785" t="str">
            <v>EW1, AF1, AB1</v>
          </cell>
        </row>
        <row r="786">
          <cell r="C786" t="str">
            <v>62351000041</v>
          </cell>
          <cell r="D786">
            <v>6</v>
          </cell>
          <cell r="E786" t="str">
            <v>Bình thường</v>
          </cell>
          <cell r="F786" t="str">
            <v>MA1</v>
          </cell>
          <cell r="G786" t="str">
            <v>BJ1, HT1, GS1, GP1, AF1</v>
          </cell>
        </row>
        <row r="787">
          <cell r="C787" t="str">
            <v>62450700211</v>
          </cell>
          <cell r="D787">
            <v>6</v>
          </cell>
          <cell r="E787" t="str">
            <v>Bình thường</v>
          </cell>
          <cell r="F787" t="str">
            <v>GR1</v>
          </cell>
          <cell r="G787" t="str">
            <v>GS1, EN1, AF1</v>
          </cell>
        </row>
        <row r="788">
          <cell r="C788" t="str">
            <v>213505185A12</v>
          </cell>
          <cell r="D788">
            <v>6</v>
          </cell>
          <cell r="E788" t="str">
            <v>Bình thường</v>
          </cell>
          <cell r="F788" t="str">
            <v>GR1</v>
          </cell>
          <cell r="G788" t="str">
            <v>GS1, GC1, GP1, AF1, GS2</v>
          </cell>
        </row>
        <row r="789">
          <cell r="C789" t="str">
            <v>L6115050043</v>
          </cell>
          <cell r="D789">
            <v>6</v>
          </cell>
          <cell r="E789" t="str">
            <v>Bình thường</v>
          </cell>
          <cell r="F789" t="str">
            <v>GC1</v>
          </cell>
          <cell r="G789" t="str">
            <v>GP1</v>
          </cell>
        </row>
        <row r="790">
          <cell r="C790" t="str">
            <v>213509011A10</v>
          </cell>
          <cell r="D790">
            <v>6</v>
          </cell>
          <cell r="E790" t="str">
            <v>Bình thường</v>
          </cell>
          <cell r="F790" t="str">
            <v>GS1</v>
          </cell>
          <cell r="G790" t="str">
            <v>GC1, GP1</v>
          </cell>
        </row>
        <row r="791">
          <cell r="C791" t="str">
            <v>R21351049A6</v>
          </cell>
          <cell r="D791">
            <v>6</v>
          </cell>
          <cell r="E791" t="str">
            <v>Bình thường</v>
          </cell>
          <cell r="F791" t="str">
            <v>GS1</v>
          </cell>
          <cell r="G791" t="str">
            <v>EN1</v>
          </cell>
        </row>
        <row r="792">
          <cell r="C792" t="str">
            <v>L6115050044</v>
          </cell>
          <cell r="D792">
            <v>6</v>
          </cell>
          <cell r="E792" t="str">
            <v>Bình thường</v>
          </cell>
          <cell r="F792" t="str">
            <v>GC1</v>
          </cell>
          <cell r="G792" t="str">
            <v>GP1</v>
          </cell>
        </row>
        <row r="793">
          <cell r="C793" t="str">
            <v>L6305081002</v>
          </cell>
          <cell r="D793">
            <v>6</v>
          </cell>
          <cell r="E793" t="str">
            <v>Bình thường</v>
          </cell>
          <cell r="F793" t="str">
            <v>MA1</v>
          </cell>
          <cell r="G793" t="str">
            <v>BJ1, DA1, HT1, GS1, EW1, AF1, AB1</v>
          </cell>
        </row>
        <row r="794">
          <cell r="C794" t="str">
            <v>L6305080826</v>
          </cell>
          <cell r="D794">
            <v>6</v>
          </cell>
          <cell r="E794" t="str">
            <v>Bình thường</v>
          </cell>
          <cell r="F794" t="str">
            <v>GR1</v>
          </cell>
          <cell r="G794" t="str">
            <v>GS1, EW1, AF1, AB1</v>
          </cell>
        </row>
        <row r="795">
          <cell r="C795" t="str">
            <v>L6115030143</v>
          </cell>
          <cell r="D795">
            <v>6</v>
          </cell>
          <cell r="E795" t="str">
            <v>Bình thường</v>
          </cell>
          <cell r="F795" t="str">
            <v>GC1</v>
          </cell>
          <cell r="G795" t="str">
            <v>GP1</v>
          </cell>
        </row>
        <row r="796">
          <cell r="C796" t="str">
            <v>213509070A5</v>
          </cell>
          <cell r="D796">
            <v>6</v>
          </cell>
          <cell r="E796" t="str">
            <v>Bình thường</v>
          </cell>
          <cell r="F796" t="str">
            <v>GS1</v>
          </cell>
          <cell r="G796" t="str">
            <v>EN1, KA1, AF1, GS2</v>
          </cell>
        </row>
        <row r="797">
          <cell r="C797" t="str">
            <v>63050400141</v>
          </cell>
          <cell r="D797">
            <v>6</v>
          </cell>
          <cell r="E797" t="str">
            <v>Bình thường</v>
          </cell>
          <cell r="F797" t="str">
            <v>GR1</v>
          </cell>
          <cell r="G797" t="str">
            <v>GS2, EN1, AF1, ED1, EW1, AF2, WG2</v>
          </cell>
        </row>
        <row r="798">
          <cell r="C798" t="str">
            <v>L6305070462</v>
          </cell>
          <cell r="D798">
            <v>6</v>
          </cell>
          <cell r="E798" t="str">
            <v>Bình thường</v>
          </cell>
          <cell r="F798" t="str">
            <v>MC1</v>
          </cell>
          <cell r="G798" t="str">
            <v>AF1</v>
          </cell>
        </row>
        <row r="799">
          <cell r="C799" t="str">
            <v>213509128A26</v>
          </cell>
          <cell r="D799">
            <v>6</v>
          </cell>
          <cell r="E799" t="str">
            <v>Bình thường</v>
          </cell>
          <cell r="F799" t="str">
            <v>GR1</v>
          </cell>
          <cell r="G799" t="str">
            <v>GS1, GC1, GP1</v>
          </cell>
        </row>
        <row r="800">
          <cell r="C800" t="str">
            <v>213509126A24</v>
          </cell>
          <cell r="D800">
            <v>6</v>
          </cell>
          <cell r="E800" t="str">
            <v>Bình thường</v>
          </cell>
          <cell r="F800" t="str">
            <v>GR1</v>
          </cell>
          <cell r="G800" t="str">
            <v>GS1, GC1, GS2, GP1</v>
          </cell>
        </row>
        <row r="801">
          <cell r="C801" t="str">
            <v>L6305070264</v>
          </cell>
          <cell r="D801">
            <v>6</v>
          </cell>
          <cell r="E801" t="str">
            <v>Bình thường</v>
          </cell>
          <cell r="F801" t="str">
            <v>GS1</v>
          </cell>
          <cell r="G801" t="str">
            <v>BJ2, EW1, AF1, AB1</v>
          </cell>
        </row>
        <row r="802">
          <cell r="C802" t="str">
            <v>213509256A12</v>
          </cell>
          <cell r="D802">
            <v>6</v>
          </cell>
          <cell r="E802" t="str">
            <v>Bình thường</v>
          </cell>
          <cell r="F802" t="str">
            <v>GR1</v>
          </cell>
          <cell r="G802" t="str">
            <v>GS1, GC1, GP1, GS2</v>
          </cell>
        </row>
        <row r="803">
          <cell r="C803" t="str">
            <v>213505257A8</v>
          </cell>
          <cell r="D803">
            <v>6</v>
          </cell>
          <cell r="E803" t="str">
            <v>Bình thường</v>
          </cell>
          <cell r="F803" t="str">
            <v>GR1</v>
          </cell>
          <cell r="G803" t="str">
            <v>GS1, GC1, GP1, AL1</v>
          </cell>
        </row>
        <row r="804">
          <cell r="C804" t="str">
            <v>L6305090381</v>
          </cell>
          <cell r="D804">
            <v>6</v>
          </cell>
          <cell r="E804" t="str">
            <v>Bình thường</v>
          </cell>
          <cell r="F804" t="str">
            <v>AA1</v>
          </cell>
          <cell r="G804" t="str">
            <v>MA1, BJ1, EW1, GS1, WG1, GS2, BJ2, EW2, AF1, AB1</v>
          </cell>
        </row>
        <row r="805">
          <cell r="C805" t="str">
            <v>213509167A49</v>
          </cell>
          <cell r="D805">
            <v>6</v>
          </cell>
          <cell r="E805" t="str">
            <v>Bình thường</v>
          </cell>
          <cell r="F805" t="str">
            <v>LA1</v>
          </cell>
          <cell r="G805" t="str">
            <v>BJ1, HT1, LN1, GR1, GS1, GC1, GJ1, KA1, AF1, BJ2, HT2, AF2, AL1</v>
          </cell>
        </row>
        <row r="806">
          <cell r="C806" t="str">
            <v>213510010A12</v>
          </cell>
          <cell r="D806">
            <v>6</v>
          </cell>
          <cell r="E806" t="str">
            <v>Bình thường</v>
          </cell>
          <cell r="F806" t="str">
            <v>GS1</v>
          </cell>
          <cell r="G806" t="str">
            <v>GC1, GP1, AF1, GS2</v>
          </cell>
        </row>
        <row r="807">
          <cell r="C807" t="str">
            <v>L6305040793</v>
          </cell>
          <cell r="D807">
            <v>6</v>
          </cell>
          <cell r="E807" t="str">
            <v>Bình thường</v>
          </cell>
          <cell r="F807" t="str">
            <v>EW1</v>
          </cell>
          <cell r="G807" t="str">
            <v>AF1</v>
          </cell>
        </row>
        <row r="808">
          <cell r="C808" t="str">
            <v>L6115070193</v>
          </cell>
          <cell r="D808">
            <v>6</v>
          </cell>
          <cell r="E808" t="str">
            <v>Bình thường</v>
          </cell>
          <cell r="F808" t="str">
            <v>GC1</v>
          </cell>
          <cell r="G808" t="str">
            <v>GP1</v>
          </cell>
        </row>
        <row r="809">
          <cell r="C809" t="str">
            <v>63051000441</v>
          </cell>
          <cell r="D809">
            <v>6</v>
          </cell>
          <cell r="E809" t="str">
            <v>Bình thường</v>
          </cell>
          <cell r="F809" t="str">
            <v>LA1</v>
          </cell>
          <cell r="G809" t="str">
            <v>BJ1, HT1, GR1, GS1, GC1, GJ1, EN1, KA1, AF1, GS2, HT2, AF2</v>
          </cell>
        </row>
        <row r="810">
          <cell r="C810" t="str">
            <v>L6305070602</v>
          </cell>
          <cell r="D810">
            <v>6</v>
          </cell>
          <cell r="E810" t="str">
            <v>Bình thường</v>
          </cell>
          <cell r="F810" t="str">
            <v>LT1</v>
          </cell>
          <cell r="G810" t="str">
            <v>VP</v>
          </cell>
        </row>
        <row r="811">
          <cell r="C811" t="str">
            <v>L6305080672</v>
          </cell>
          <cell r="D811">
            <v>5</v>
          </cell>
          <cell r="E811" t="str">
            <v>Bình thường</v>
          </cell>
          <cell r="F811" t="str">
            <v>GR1</v>
          </cell>
          <cell r="G811" t="str">
            <v>GS2, EN1, AF1</v>
          </cell>
        </row>
        <row r="812">
          <cell r="C812" t="str">
            <v>213508030A24</v>
          </cell>
          <cell r="D812">
            <v>5</v>
          </cell>
          <cell r="E812" t="str">
            <v>Bình thường</v>
          </cell>
          <cell r="F812" t="str">
            <v>GJ1</v>
          </cell>
          <cell r="G812" t="str">
            <v>GS2</v>
          </cell>
        </row>
        <row r="813">
          <cell r="C813" t="str">
            <v>63050700931</v>
          </cell>
          <cell r="D813">
            <v>5</v>
          </cell>
          <cell r="E813" t="str">
            <v>Bình thường</v>
          </cell>
          <cell r="F813" t="str">
            <v>MA1</v>
          </cell>
          <cell r="G813" t="str">
            <v>BJ1</v>
          </cell>
        </row>
        <row r="814">
          <cell r="C814" t="str">
            <v>L6305100329</v>
          </cell>
          <cell r="D814">
            <v>5</v>
          </cell>
          <cell r="E814" t="str">
            <v>Khẩn</v>
          </cell>
          <cell r="F814" t="str">
            <v>AA1</v>
          </cell>
          <cell r="G814" t="str">
            <v>MA1, BJ1</v>
          </cell>
        </row>
        <row r="815">
          <cell r="C815" t="str">
            <v>L6115050091</v>
          </cell>
          <cell r="D815">
            <v>5</v>
          </cell>
          <cell r="E815" t="str">
            <v>Bình thường</v>
          </cell>
          <cell r="F815" t="str">
            <v>GS2</v>
          </cell>
          <cell r="G815" t="str">
            <v>VP</v>
          </cell>
        </row>
        <row r="816">
          <cell r="C816" t="str">
            <v>R41351002612</v>
          </cell>
          <cell r="D816">
            <v>5</v>
          </cell>
          <cell r="E816" t="str">
            <v>Khẩn</v>
          </cell>
          <cell r="F816" t="str">
            <v>BJ1</v>
          </cell>
          <cell r="G816" t="str">
            <v>AB1</v>
          </cell>
        </row>
        <row r="817">
          <cell r="C817" t="str">
            <v>L6305090351</v>
          </cell>
          <cell r="D817">
            <v>5</v>
          </cell>
          <cell r="E817" t="str">
            <v>Bình thường</v>
          </cell>
          <cell r="F817" t="str">
            <v>MC1</v>
          </cell>
          <cell r="G817" t="str">
            <v>VP</v>
          </cell>
        </row>
        <row r="818">
          <cell r="C818" t="str">
            <v>L6305080321</v>
          </cell>
          <cell r="D818">
            <v>5</v>
          </cell>
          <cell r="E818" t="str">
            <v>Bình thường</v>
          </cell>
          <cell r="F818" t="str">
            <v>AF1</v>
          </cell>
          <cell r="G818" t="str">
            <v>AB1</v>
          </cell>
        </row>
        <row r="819">
          <cell r="C819" t="str">
            <v>WL25060G052</v>
          </cell>
          <cell r="D819">
            <v>5</v>
          </cell>
          <cell r="E819" t="str">
            <v>Bình thường</v>
          </cell>
          <cell r="F819" t="str">
            <v>MA1</v>
          </cell>
          <cell r="G819" t="str">
            <v>BJ1</v>
          </cell>
        </row>
        <row r="820">
          <cell r="C820" t="str">
            <v>L6115050144</v>
          </cell>
          <cell r="D820">
            <v>5</v>
          </cell>
          <cell r="E820" t="str">
            <v>Bình thường</v>
          </cell>
          <cell r="F820" t="str">
            <v>EW2</v>
          </cell>
          <cell r="G820" t="str">
            <v>GS2</v>
          </cell>
        </row>
        <row r="821">
          <cell r="C821" t="str">
            <v>WL25060D0537</v>
          </cell>
          <cell r="D821">
            <v>5</v>
          </cell>
          <cell r="E821" t="str">
            <v>Bình thường</v>
          </cell>
          <cell r="F821" t="str">
            <v>AA1</v>
          </cell>
          <cell r="G821" t="str">
            <v>MA1, BJ1</v>
          </cell>
        </row>
        <row r="822">
          <cell r="C822" t="str">
            <v>213509283A2</v>
          </cell>
          <cell r="D822">
            <v>5</v>
          </cell>
          <cell r="E822" t="str">
            <v>Bình thường</v>
          </cell>
          <cell r="F822" t="str">
            <v>BJ1</v>
          </cell>
          <cell r="G822" t="str">
            <v>HT1, EW1, AF1</v>
          </cell>
        </row>
        <row r="823">
          <cell r="C823" t="str">
            <v>63050900091</v>
          </cell>
          <cell r="D823">
            <v>5</v>
          </cell>
          <cell r="E823" t="str">
            <v>Khẩn</v>
          </cell>
          <cell r="F823" t="str">
            <v>ED1</v>
          </cell>
          <cell r="G823" t="str">
            <v>EW2, EN1, AF1</v>
          </cell>
        </row>
        <row r="824">
          <cell r="C824" t="str">
            <v>WL25060D0512</v>
          </cell>
          <cell r="D824">
            <v>5</v>
          </cell>
          <cell r="E824" t="str">
            <v>Bình thường</v>
          </cell>
          <cell r="F824" t="str">
            <v>BJ1</v>
          </cell>
          <cell r="G824" t="str">
            <v>DA1, AB1</v>
          </cell>
        </row>
        <row r="825">
          <cell r="C825" t="str">
            <v>L6235080122</v>
          </cell>
          <cell r="D825">
            <v>5</v>
          </cell>
          <cell r="E825" t="str">
            <v>Bình thường</v>
          </cell>
          <cell r="F825" t="str">
            <v>MC1</v>
          </cell>
          <cell r="G825" t="str">
            <v>AF1</v>
          </cell>
        </row>
        <row r="826">
          <cell r="C826" t="str">
            <v>63050800261</v>
          </cell>
          <cell r="D826">
            <v>5</v>
          </cell>
          <cell r="E826" t="str">
            <v>Bình thường</v>
          </cell>
          <cell r="F826" t="str">
            <v>BJ1</v>
          </cell>
          <cell r="G826" t="str">
            <v>VP</v>
          </cell>
        </row>
        <row r="827">
          <cell r="C827" t="str">
            <v>WL25060C051</v>
          </cell>
          <cell r="D827">
            <v>5</v>
          </cell>
          <cell r="E827" t="str">
            <v>Bình thường</v>
          </cell>
          <cell r="F827" t="str">
            <v>LA1</v>
          </cell>
          <cell r="G827" t="str">
            <v>BJ1, AB1</v>
          </cell>
        </row>
        <row r="828">
          <cell r="C828" t="str">
            <v>L6115050061</v>
          </cell>
          <cell r="D828">
            <v>5</v>
          </cell>
          <cell r="E828" t="str">
            <v>Bình thường</v>
          </cell>
          <cell r="F828" t="str">
            <v>GR1</v>
          </cell>
          <cell r="G828" t="str">
            <v>KT</v>
          </cell>
        </row>
        <row r="829">
          <cell r="C829" t="str">
            <v>L6215100081</v>
          </cell>
          <cell r="D829">
            <v>5</v>
          </cell>
          <cell r="E829" t="str">
            <v>Khẩn</v>
          </cell>
          <cell r="F829" t="str">
            <v>BJ1</v>
          </cell>
          <cell r="G829" t="str">
            <v>HT1, GS1, EW1, AF1</v>
          </cell>
        </row>
        <row r="830">
          <cell r="C830" t="str">
            <v>213506508A27</v>
          </cell>
          <cell r="D830">
            <v>5</v>
          </cell>
          <cell r="E830" t="str">
            <v>Bình thường</v>
          </cell>
          <cell r="F830" t="str">
            <v>GS1</v>
          </cell>
          <cell r="G830" t="str">
            <v>EN1, KA1, AF1, GS2</v>
          </cell>
        </row>
        <row r="831">
          <cell r="C831" t="str">
            <v>L21350570224</v>
          </cell>
          <cell r="D831">
            <v>5</v>
          </cell>
          <cell r="E831" t="str">
            <v>Bình thường</v>
          </cell>
          <cell r="F831" t="str">
            <v>MA1</v>
          </cell>
          <cell r="G831" t="str">
            <v>BJ1</v>
          </cell>
        </row>
        <row r="832">
          <cell r="C832" t="str">
            <v>L21350570221</v>
          </cell>
          <cell r="D832">
            <v>5</v>
          </cell>
          <cell r="E832" t="str">
            <v>Bình thường</v>
          </cell>
          <cell r="F832" t="str">
            <v>MA1</v>
          </cell>
          <cell r="G832" t="str">
            <v>BJ1</v>
          </cell>
        </row>
        <row r="833">
          <cell r="C833" t="str">
            <v>WL25060G0522</v>
          </cell>
          <cell r="D833">
            <v>5</v>
          </cell>
          <cell r="E833" t="str">
            <v>Bình thường</v>
          </cell>
          <cell r="F833" t="str">
            <v>AA1</v>
          </cell>
          <cell r="G833" t="str">
            <v>MA1, BJ1, DA1, AB1</v>
          </cell>
        </row>
        <row r="834">
          <cell r="C834" t="str">
            <v>L6215100082</v>
          </cell>
          <cell r="D834">
            <v>5</v>
          </cell>
          <cell r="E834" t="str">
            <v>Khẩn</v>
          </cell>
          <cell r="F834" t="str">
            <v>BJ1</v>
          </cell>
          <cell r="G834" t="str">
            <v>HT1, GS1, EW1, EN1, AF1</v>
          </cell>
        </row>
        <row r="835">
          <cell r="C835" t="str">
            <v>213506507A26</v>
          </cell>
          <cell r="D835">
            <v>5</v>
          </cell>
          <cell r="E835" t="str">
            <v>Bình thường</v>
          </cell>
          <cell r="F835" t="str">
            <v>GS1</v>
          </cell>
          <cell r="G835" t="str">
            <v>ED1, EW2, EN1, KA1, AF1, GS2</v>
          </cell>
        </row>
        <row r="836">
          <cell r="C836" t="str">
            <v>L21350570218</v>
          </cell>
          <cell r="D836">
            <v>5</v>
          </cell>
          <cell r="E836" t="str">
            <v>Bình thường</v>
          </cell>
          <cell r="F836" t="str">
            <v>MA1</v>
          </cell>
          <cell r="G836" t="str">
            <v>BJ1, AF1</v>
          </cell>
        </row>
        <row r="837">
          <cell r="C837" t="str">
            <v>L2135057027</v>
          </cell>
          <cell r="D837">
            <v>5</v>
          </cell>
          <cell r="E837" t="str">
            <v>Bình thường</v>
          </cell>
          <cell r="F837" t="str">
            <v>MA1</v>
          </cell>
          <cell r="G837" t="str">
            <v>BJ1, AF1</v>
          </cell>
        </row>
        <row r="838">
          <cell r="C838" t="str">
            <v>213508072B13</v>
          </cell>
          <cell r="D838">
            <v>5</v>
          </cell>
          <cell r="E838" t="str">
            <v>Bình thường</v>
          </cell>
          <cell r="F838" t="str">
            <v>LA1</v>
          </cell>
          <cell r="G838" t="str">
            <v>GR1, GP1</v>
          </cell>
        </row>
        <row r="839">
          <cell r="C839" t="str">
            <v>L6305080671</v>
          </cell>
          <cell r="D839">
            <v>5</v>
          </cell>
          <cell r="E839" t="str">
            <v>Bình thường</v>
          </cell>
          <cell r="F839" t="str">
            <v>BJ1</v>
          </cell>
          <cell r="G839" t="str">
            <v>GS1, GJ1, GS2, BJ2, AF1</v>
          </cell>
        </row>
        <row r="840">
          <cell r="C840" t="str">
            <v>WL25060D053</v>
          </cell>
          <cell r="D840">
            <v>5</v>
          </cell>
          <cell r="E840" t="str">
            <v>Bình thường</v>
          </cell>
          <cell r="F840" t="str">
            <v>AB1</v>
          </cell>
          <cell r="G840" t="str">
            <v>VP</v>
          </cell>
        </row>
        <row r="841">
          <cell r="C841" t="str">
            <v>WL25060D0564</v>
          </cell>
          <cell r="D841">
            <v>5</v>
          </cell>
          <cell r="E841" t="str">
            <v>Bình thường</v>
          </cell>
          <cell r="F841" t="str">
            <v>MA1</v>
          </cell>
          <cell r="G841" t="str">
            <v>BJ1, DA1, AB1</v>
          </cell>
        </row>
        <row r="842">
          <cell r="C842" t="str">
            <v>WL25060D0563</v>
          </cell>
          <cell r="D842">
            <v>5</v>
          </cell>
          <cell r="E842" t="str">
            <v>Bình thường</v>
          </cell>
          <cell r="F842" t="str">
            <v>MA1</v>
          </cell>
          <cell r="G842" t="str">
            <v>BJ1, DA1, AB1</v>
          </cell>
        </row>
        <row r="843">
          <cell r="C843" t="str">
            <v>WL25060D0511</v>
          </cell>
          <cell r="D843">
            <v>5</v>
          </cell>
          <cell r="E843" t="str">
            <v>Bình thường</v>
          </cell>
          <cell r="F843" t="str">
            <v>AA1</v>
          </cell>
          <cell r="G843" t="str">
            <v>MA1, BJ1, DA1, AB1</v>
          </cell>
        </row>
        <row r="844">
          <cell r="C844" t="str">
            <v>WL25060D054</v>
          </cell>
          <cell r="D844">
            <v>5</v>
          </cell>
          <cell r="E844" t="str">
            <v>Bình thường</v>
          </cell>
          <cell r="F844" t="str">
            <v>MA1</v>
          </cell>
          <cell r="G844" t="str">
            <v>BJ1, DA1, AB1</v>
          </cell>
        </row>
        <row r="845">
          <cell r="C845" t="str">
            <v>L2135057028</v>
          </cell>
          <cell r="D845">
            <v>5</v>
          </cell>
          <cell r="E845" t="str">
            <v>Bình thường</v>
          </cell>
          <cell r="F845" t="str">
            <v>BJ1</v>
          </cell>
          <cell r="G845" t="str">
            <v>VP</v>
          </cell>
        </row>
        <row r="846">
          <cell r="C846" t="str">
            <v>63050400631</v>
          </cell>
          <cell r="D846">
            <v>5</v>
          </cell>
          <cell r="E846" t="str">
            <v>Bình thường</v>
          </cell>
          <cell r="F846" t="str">
            <v>ED1</v>
          </cell>
          <cell r="G846" t="str">
            <v>EW1, AF2, WG2</v>
          </cell>
        </row>
        <row r="847">
          <cell r="C847" t="str">
            <v>213506509A28</v>
          </cell>
          <cell r="D847">
            <v>5</v>
          </cell>
          <cell r="E847" t="str">
            <v>Bình thường</v>
          </cell>
          <cell r="F847" t="str">
            <v>GS1</v>
          </cell>
          <cell r="G847" t="str">
            <v>EN1, KA1, AF1, GS2</v>
          </cell>
        </row>
        <row r="848">
          <cell r="C848" t="str">
            <v>L21350570226</v>
          </cell>
          <cell r="D848">
            <v>5</v>
          </cell>
          <cell r="E848" t="str">
            <v>Bình thường</v>
          </cell>
          <cell r="F848" t="str">
            <v>MA1</v>
          </cell>
          <cell r="G848" t="str">
            <v>BJ1, AB1</v>
          </cell>
        </row>
        <row r="849">
          <cell r="C849" t="str">
            <v>L6125070114</v>
          </cell>
          <cell r="D849">
            <v>5</v>
          </cell>
          <cell r="E849" t="str">
            <v>Bình thường</v>
          </cell>
          <cell r="F849" t="str">
            <v>GJ1</v>
          </cell>
          <cell r="G849" t="str">
            <v>AF1, AB1</v>
          </cell>
        </row>
        <row r="850">
          <cell r="C850" t="str">
            <v>L6125070113</v>
          </cell>
          <cell r="D850">
            <v>5</v>
          </cell>
          <cell r="E850" t="str">
            <v>Bình thường</v>
          </cell>
          <cell r="F850" t="str">
            <v>GJ1</v>
          </cell>
          <cell r="G850" t="str">
            <v>AF1, AB1</v>
          </cell>
        </row>
        <row r="851">
          <cell r="C851" t="str">
            <v>213506506A25</v>
          </cell>
          <cell r="D851">
            <v>5</v>
          </cell>
          <cell r="E851" t="str">
            <v>Bình thường</v>
          </cell>
          <cell r="F851" t="str">
            <v>GS1</v>
          </cell>
          <cell r="G851" t="str">
            <v>ED1, EW2, EN1, KA1, AF1, GS2</v>
          </cell>
        </row>
        <row r="852">
          <cell r="C852" t="str">
            <v>WL25060D0520</v>
          </cell>
          <cell r="D852">
            <v>5</v>
          </cell>
          <cell r="E852" t="str">
            <v>Bình thường</v>
          </cell>
          <cell r="F852" t="str">
            <v>AA1</v>
          </cell>
          <cell r="G852" t="str">
            <v>MA1, BJ1, DA1, AB1</v>
          </cell>
        </row>
        <row r="853">
          <cell r="C853" t="str">
            <v>213508127A16</v>
          </cell>
          <cell r="D853">
            <v>5</v>
          </cell>
          <cell r="E853" t="str">
            <v>Bình thường</v>
          </cell>
          <cell r="F853" t="str">
            <v>HT1</v>
          </cell>
          <cell r="G853" t="str">
            <v>GS1, AF2</v>
          </cell>
        </row>
        <row r="854">
          <cell r="C854" t="str">
            <v>L21350570228</v>
          </cell>
          <cell r="D854">
            <v>5</v>
          </cell>
          <cell r="E854" t="str">
            <v>Bình thường</v>
          </cell>
          <cell r="F854" t="str">
            <v>MA1</v>
          </cell>
          <cell r="G854" t="str">
            <v>BJ1, AB1</v>
          </cell>
        </row>
        <row r="855">
          <cell r="C855" t="str">
            <v>L6235090183</v>
          </cell>
          <cell r="D855">
            <v>5</v>
          </cell>
          <cell r="E855" t="str">
            <v>Bình thường</v>
          </cell>
          <cell r="F855" t="str">
            <v>GS1</v>
          </cell>
          <cell r="G855" t="str">
            <v>AB1</v>
          </cell>
        </row>
        <row r="856">
          <cell r="C856" t="str">
            <v>WL25060D0521</v>
          </cell>
          <cell r="D856">
            <v>5</v>
          </cell>
          <cell r="E856" t="str">
            <v>Bình thường</v>
          </cell>
          <cell r="F856" t="str">
            <v>MA1</v>
          </cell>
          <cell r="G856" t="str">
            <v>BJ1, DA1, AB1</v>
          </cell>
        </row>
        <row r="857">
          <cell r="C857" t="str">
            <v>213506106A30</v>
          </cell>
          <cell r="D857">
            <v>5</v>
          </cell>
          <cell r="E857" t="str">
            <v>Bình thường</v>
          </cell>
          <cell r="F857" t="str">
            <v>EW2</v>
          </cell>
          <cell r="G857" t="str">
            <v>GP1, EN1, GS1, GP2</v>
          </cell>
        </row>
        <row r="858">
          <cell r="C858" t="str">
            <v>L21350570243</v>
          </cell>
          <cell r="D858">
            <v>5</v>
          </cell>
          <cell r="E858" t="str">
            <v>Bình thường</v>
          </cell>
          <cell r="F858" t="str">
            <v>MA1</v>
          </cell>
          <cell r="G858" t="str">
            <v>BJ1, DA1, AB1</v>
          </cell>
        </row>
        <row r="859">
          <cell r="C859" t="str">
            <v>L21350570244</v>
          </cell>
          <cell r="D859">
            <v>5</v>
          </cell>
          <cell r="E859" t="str">
            <v>Bình thường</v>
          </cell>
          <cell r="F859" t="str">
            <v>MA1</v>
          </cell>
          <cell r="G859" t="str">
            <v>BJ1, DA1, AB1</v>
          </cell>
        </row>
        <row r="860">
          <cell r="C860" t="str">
            <v>L21350570242</v>
          </cell>
          <cell r="D860">
            <v>5</v>
          </cell>
          <cell r="E860" t="str">
            <v>Bình thường</v>
          </cell>
          <cell r="F860" t="str">
            <v>MA1</v>
          </cell>
          <cell r="G860" t="str">
            <v>BJ1, DA1, AB1</v>
          </cell>
        </row>
        <row r="861">
          <cell r="C861" t="str">
            <v>L6305090352</v>
          </cell>
          <cell r="D861">
            <v>5</v>
          </cell>
          <cell r="E861" t="str">
            <v>Bình thường</v>
          </cell>
          <cell r="F861" t="str">
            <v>MA1</v>
          </cell>
          <cell r="G861" t="str">
            <v>BJ1</v>
          </cell>
        </row>
        <row r="862">
          <cell r="C862" t="str">
            <v>L6305090463</v>
          </cell>
          <cell r="D862">
            <v>5</v>
          </cell>
          <cell r="E862" t="str">
            <v>Khẩn</v>
          </cell>
          <cell r="F862" t="str">
            <v>MA1</v>
          </cell>
          <cell r="G862" t="str">
            <v>BJ1, AF1</v>
          </cell>
        </row>
        <row r="863">
          <cell r="C863" t="str">
            <v>L21350570248</v>
          </cell>
          <cell r="D863">
            <v>5</v>
          </cell>
          <cell r="E863" t="str">
            <v>Bình thường</v>
          </cell>
          <cell r="F863" t="str">
            <v>BJ1</v>
          </cell>
          <cell r="G863" t="str">
            <v>DA1, AB1</v>
          </cell>
        </row>
        <row r="864">
          <cell r="C864" t="str">
            <v>213507025B17</v>
          </cell>
          <cell r="D864">
            <v>5</v>
          </cell>
          <cell r="E864" t="str">
            <v>Bình thường</v>
          </cell>
          <cell r="F864" t="str">
            <v>GR1</v>
          </cell>
          <cell r="G864" t="str">
            <v>GP1, EN1</v>
          </cell>
        </row>
        <row r="865">
          <cell r="C865" t="str">
            <v>L6125070112</v>
          </cell>
          <cell r="D865">
            <v>5</v>
          </cell>
          <cell r="E865" t="str">
            <v>Bình thường</v>
          </cell>
          <cell r="F865" t="str">
            <v>GS1</v>
          </cell>
          <cell r="G865" t="str">
            <v>GJ1, AF1, AB1</v>
          </cell>
        </row>
        <row r="866">
          <cell r="C866" t="str">
            <v>R21350925B19</v>
          </cell>
          <cell r="D866">
            <v>5</v>
          </cell>
          <cell r="E866" t="str">
            <v>Bình thường</v>
          </cell>
          <cell r="F866" t="str">
            <v>GS1</v>
          </cell>
          <cell r="G866" t="str">
            <v>EN1</v>
          </cell>
        </row>
        <row r="867">
          <cell r="C867" t="str">
            <v>WL25060C054</v>
          </cell>
          <cell r="D867">
            <v>5</v>
          </cell>
          <cell r="E867" t="str">
            <v>Bình thường</v>
          </cell>
          <cell r="F867" t="str">
            <v>MA1</v>
          </cell>
          <cell r="G867" t="str">
            <v>BJ1</v>
          </cell>
        </row>
        <row r="868">
          <cell r="C868" t="str">
            <v>L6225090012</v>
          </cell>
          <cell r="D868">
            <v>5</v>
          </cell>
          <cell r="E868" t="str">
            <v>Bình thường</v>
          </cell>
          <cell r="F868" t="str">
            <v>AA1</v>
          </cell>
          <cell r="G868" t="str">
            <v>MA1, BJ1, AF1</v>
          </cell>
        </row>
        <row r="869">
          <cell r="C869" t="str">
            <v>213505023B17</v>
          </cell>
          <cell r="D869">
            <v>5</v>
          </cell>
          <cell r="E869" t="str">
            <v>Bình thường</v>
          </cell>
          <cell r="F869" t="str">
            <v>EN1</v>
          </cell>
          <cell r="G869" t="str">
            <v>AF1</v>
          </cell>
        </row>
        <row r="870">
          <cell r="C870" t="str">
            <v>213505150B36</v>
          </cell>
          <cell r="D870">
            <v>5</v>
          </cell>
          <cell r="E870" t="str">
            <v>Bình thường</v>
          </cell>
          <cell r="F870" t="str">
            <v>LT1</v>
          </cell>
          <cell r="G870" t="str">
            <v>KT</v>
          </cell>
        </row>
        <row r="871">
          <cell r="C871" t="str">
            <v>WL25060G0513</v>
          </cell>
          <cell r="D871">
            <v>5</v>
          </cell>
          <cell r="E871" t="str">
            <v>Bình thường</v>
          </cell>
          <cell r="F871" t="str">
            <v>MA1</v>
          </cell>
          <cell r="G871" t="str">
            <v>BJ1, GS1, AB1</v>
          </cell>
        </row>
        <row r="872">
          <cell r="C872" t="str">
            <v>WL25060F0514</v>
          </cell>
          <cell r="D872">
            <v>5</v>
          </cell>
          <cell r="E872" t="str">
            <v>Bình thường</v>
          </cell>
          <cell r="F872" t="str">
            <v>MA1</v>
          </cell>
          <cell r="G872" t="str">
            <v>BJ1, DA1</v>
          </cell>
        </row>
        <row r="873">
          <cell r="C873" t="str">
            <v>WL25060G0516</v>
          </cell>
          <cell r="D873">
            <v>5</v>
          </cell>
          <cell r="E873" t="str">
            <v>Bình thường</v>
          </cell>
          <cell r="F873" t="str">
            <v>MA1</v>
          </cell>
          <cell r="G873" t="str">
            <v>BJ1, AB1</v>
          </cell>
        </row>
        <row r="874">
          <cell r="C874" t="str">
            <v>L6125070115</v>
          </cell>
          <cell r="D874">
            <v>5</v>
          </cell>
          <cell r="E874" t="str">
            <v>Bình thường</v>
          </cell>
          <cell r="F874" t="str">
            <v>GS1</v>
          </cell>
          <cell r="G874" t="str">
            <v>GJ1, AF1, AB1</v>
          </cell>
        </row>
        <row r="875">
          <cell r="C875" t="str">
            <v>WL25060G0511</v>
          </cell>
          <cell r="D875">
            <v>5</v>
          </cell>
          <cell r="E875" t="str">
            <v>Bình thường</v>
          </cell>
          <cell r="F875" t="str">
            <v>MA1</v>
          </cell>
          <cell r="G875" t="str">
            <v>BJ1, DA1, AB1</v>
          </cell>
        </row>
        <row r="876">
          <cell r="C876" t="str">
            <v>WL25060C0515</v>
          </cell>
          <cell r="D876">
            <v>5</v>
          </cell>
          <cell r="E876" t="str">
            <v>Bình thường</v>
          </cell>
          <cell r="F876" t="str">
            <v>MA1</v>
          </cell>
          <cell r="G876" t="str">
            <v>BJ1, AB1</v>
          </cell>
        </row>
        <row r="877">
          <cell r="C877" t="str">
            <v>WL25060I0522</v>
          </cell>
          <cell r="D877">
            <v>5</v>
          </cell>
          <cell r="E877" t="str">
            <v>Bình thường</v>
          </cell>
          <cell r="F877" t="str">
            <v>MA1</v>
          </cell>
          <cell r="G877" t="str">
            <v>BJ1</v>
          </cell>
        </row>
        <row r="878">
          <cell r="C878" t="str">
            <v>WL25060I0521</v>
          </cell>
          <cell r="D878">
            <v>5</v>
          </cell>
          <cell r="E878" t="str">
            <v>Bình thường</v>
          </cell>
          <cell r="F878" t="str">
            <v>MA1</v>
          </cell>
          <cell r="G878" t="str">
            <v>BJ1</v>
          </cell>
        </row>
        <row r="879">
          <cell r="C879" t="str">
            <v>L6305060513</v>
          </cell>
          <cell r="D879">
            <v>5</v>
          </cell>
          <cell r="E879" t="str">
            <v>Bình thường</v>
          </cell>
          <cell r="F879" t="str">
            <v>AF1</v>
          </cell>
          <cell r="G879" t="str">
            <v>AB1</v>
          </cell>
        </row>
        <row r="880">
          <cell r="C880" t="str">
            <v>WL25060C0519</v>
          </cell>
          <cell r="D880">
            <v>5</v>
          </cell>
          <cell r="E880" t="str">
            <v>Bình thường</v>
          </cell>
          <cell r="F880" t="str">
            <v>AA1</v>
          </cell>
          <cell r="G880" t="str">
            <v>MA1, BJ1, AB1</v>
          </cell>
        </row>
        <row r="881">
          <cell r="C881" t="str">
            <v>WL25060C0520</v>
          </cell>
          <cell r="D881">
            <v>5</v>
          </cell>
          <cell r="E881" t="str">
            <v>Bình thường</v>
          </cell>
          <cell r="F881" t="str">
            <v>MA1</v>
          </cell>
          <cell r="G881" t="str">
            <v>BJ1, AB1</v>
          </cell>
        </row>
        <row r="882">
          <cell r="C882" t="str">
            <v>WL25060C055</v>
          </cell>
          <cell r="D882">
            <v>5</v>
          </cell>
          <cell r="E882" t="str">
            <v>Bình thường</v>
          </cell>
          <cell r="F882" t="str">
            <v>AF1</v>
          </cell>
          <cell r="G882" t="str">
            <v>VP</v>
          </cell>
        </row>
        <row r="883">
          <cell r="C883" t="str">
            <v>WL25060C056</v>
          </cell>
          <cell r="D883">
            <v>5</v>
          </cell>
          <cell r="E883" t="str">
            <v>Bình thường</v>
          </cell>
          <cell r="F883" t="str">
            <v>MA1</v>
          </cell>
          <cell r="G883" t="str">
            <v>BJ1, AF1</v>
          </cell>
        </row>
        <row r="884">
          <cell r="C884" t="str">
            <v>WL25060C0514</v>
          </cell>
          <cell r="D884">
            <v>5</v>
          </cell>
          <cell r="E884" t="str">
            <v>Bình thường</v>
          </cell>
          <cell r="F884" t="str">
            <v>MA1</v>
          </cell>
          <cell r="G884" t="str">
            <v>BJ1, DA1, AB1</v>
          </cell>
        </row>
        <row r="885">
          <cell r="C885" t="str">
            <v>WL25060C0513</v>
          </cell>
          <cell r="D885">
            <v>5</v>
          </cell>
          <cell r="E885" t="str">
            <v>Bình thường</v>
          </cell>
          <cell r="F885" t="str">
            <v>MA1</v>
          </cell>
          <cell r="G885" t="str">
            <v>BJ1, DA1, AB1</v>
          </cell>
        </row>
        <row r="886">
          <cell r="C886" t="str">
            <v>WL25060I0515</v>
          </cell>
          <cell r="D886">
            <v>5</v>
          </cell>
          <cell r="E886" t="str">
            <v>Bình thường</v>
          </cell>
          <cell r="F886" t="str">
            <v>AB1</v>
          </cell>
          <cell r="G886" t="str">
            <v>VP</v>
          </cell>
        </row>
        <row r="887">
          <cell r="C887" t="str">
            <v>WL25060C0516</v>
          </cell>
          <cell r="D887">
            <v>5</v>
          </cell>
          <cell r="E887" t="str">
            <v>Bình thường</v>
          </cell>
          <cell r="F887" t="str">
            <v>MA1</v>
          </cell>
          <cell r="G887" t="str">
            <v>BJ1, DA1, AB1</v>
          </cell>
        </row>
        <row r="888">
          <cell r="C888" t="str">
            <v>WL25060G0518</v>
          </cell>
          <cell r="D888">
            <v>5</v>
          </cell>
          <cell r="E888" t="str">
            <v>Bình thường</v>
          </cell>
          <cell r="F888" t="str">
            <v>MA1</v>
          </cell>
          <cell r="G888" t="str">
            <v>BJ1, DA1, AB1</v>
          </cell>
        </row>
        <row r="889">
          <cell r="C889" t="str">
            <v>L6225100082</v>
          </cell>
          <cell r="D889">
            <v>5</v>
          </cell>
          <cell r="E889" t="str">
            <v>Khẩn</v>
          </cell>
          <cell r="F889" t="str">
            <v>GS1</v>
          </cell>
          <cell r="G889" t="str">
            <v>GJ1, EW1, AF2</v>
          </cell>
        </row>
        <row r="890">
          <cell r="C890" t="str">
            <v>WL25060C0518</v>
          </cell>
          <cell r="D890">
            <v>5</v>
          </cell>
          <cell r="E890" t="str">
            <v>Bình thường</v>
          </cell>
          <cell r="F890" t="str">
            <v>BJ1</v>
          </cell>
          <cell r="G890" t="str">
            <v>DA1, AB1</v>
          </cell>
        </row>
        <row r="891">
          <cell r="C891" t="str">
            <v>L6115070063</v>
          </cell>
          <cell r="D891">
            <v>5</v>
          </cell>
          <cell r="E891" t="str">
            <v>Bình thường</v>
          </cell>
          <cell r="F891" t="str">
            <v>GS1</v>
          </cell>
          <cell r="G891" t="str">
            <v>ED1, EW2, GS2</v>
          </cell>
        </row>
        <row r="892">
          <cell r="C892" t="str">
            <v>L6305060511</v>
          </cell>
          <cell r="D892">
            <v>5</v>
          </cell>
          <cell r="E892" t="str">
            <v>Bình thường</v>
          </cell>
          <cell r="F892" t="str">
            <v>GR1</v>
          </cell>
          <cell r="G892" t="str">
            <v>GS1, ED1, EW1, EN1, AF1, AB1</v>
          </cell>
        </row>
        <row r="893">
          <cell r="C893" t="str">
            <v>WL25060I0514</v>
          </cell>
          <cell r="D893">
            <v>5</v>
          </cell>
          <cell r="E893" t="str">
            <v>Bình thường</v>
          </cell>
          <cell r="F893" t="str">
            <v>MA1</v>
          </cell>
          <cell r="G893" t="str">
            <v>BJ1, DA1, AB1</v>
          </cell>
        </row>
        <row r="894">
          <cell r="C894" t="str">
            <v>WL25060I0513</v>
          </cell>
          <cell r="D894">
            <v>5</v>
          </cell>
          <cell r="E894" t="str">
            <v>Bình thường</v>
          </cell>
          <cell r="F894" t="str">
            <v>AA1</v>
          </cell>
          <cell r="G894" t="str">
            <v>MA1, BJ1, DA1, AB1</v>
          </cell>
        </row>
        <row r="895">
          <cell r="C895" t="str">
            <v>L6305040062</v>
          </cell>
          <cell r="D895">
            <v>5</v>
          </cell>
          <cell r="E895" t="str">
            <v>Bình thường</v>
          </cell>
          <cell r="F895" t="str">
            <v>MC1</v>
          </cell>
          <cell r="G895" t="str">
            <v>AF1</v>
          </cell>
        </row>
        <row r="896">
          <cell r="C896" t="str">
            <v>WL25060D0546</v>
          </cell>
          <cell r="D896">
            <v>5</v>
          </cell>
          <cell r="E896" t="str">
            <v>Bình thường</v>
          </cell>
          <cell r="F896" t="str">
            <v>BJ1</v>
          </cell>
          <cell r="G896" t="str">
            <v>VP</v>
          </cell>
        </row>
        <row r="897">
          <cell r="C897" t="str">
            <v>WL25060C0510</v>
          </cell>
          <cell r="D897">
            <v>5</v>
          </cell>
          <cell r="E897" t="str">
            <v>Bình thường</v>
          </cell>
          <cell r="F897" t="str">
            <v>MC1</v>
          </cell>
          <cell r="G897" t="str">
            <v>AB1</v>
          </cell>
        </row>
        <row r="898">
          <cell r="C898" t="str">
            <v>61151000021</v>
          </cell>
          <cell r="D898">
            <v>5</v>
          </cell>
          <cell r="E898" t="str">
            <v>Bình thường</v>
          </cell>
          <cell r="F898" t="str">
            <v>MA1</v>
          </cell>
          <cell r="G898" t="str">
            <v>GR1, GS1, AF1</v>
          </cell>
        </row>
        <row r="899">
          <cell r="C899" t="str">
            <v>L6305030263</v>
          </cell>
          <cell r="D899">
            <v>5</v>
          </cell>
          <cell r="E899" t="str">
            <v>Bình thường</v>
          </cell>
          <cell r="F899" t="str">
            <v>MA1</v>
          </cell>
          <cell r="G899" t="str">
            <v>BJ1, DA1, AB1</v>
          </cell>
        </row>
        <row r="900">
          <cell r="C900" t="str">
            <v>WL25060D0535</v>
          </cell>
          <cell r="D900">
            <v>5</v>
          </cell>
          <cell r="E900" t="str">
            <v>Bình thường</v>
          </cell>
          <cell r="F900" t="str">
            <v>AF1</v>
          </cell>
          <cell r="G900" t="str">
            <v>VP</v>
          </cell>
        </row>
        <row r="901">
          <cell r="C901" t="str">
            <v>WL25060I053</v>
          </cell>
          <cell r="D901">
            <v>5</v>
          </cell>
          <cell r="E901" t="str">
            <v>Bình thường</v>
          </cell>
          <cell r="F901" t="str">
            <v>AB1</v>
          </cell>
          <cell r="G901" t="str">
            <v>VP</v>
          </cell>
        </row>
        <row r="902">
          <cell r="C902" t="str">
            <v>WL25060I052</v>
          </cell>
          <cell r="D902">
            <v>5</v>
          </cell>
          <cell r="E902" t="str">
            <v>Bình thường</v>
          </cell>
          <cell r="F902" t="str">
            <v>MA1</v>
          </cell>
          <cell r="G902" t="str">
            <v>BJ1, DA1, AB1</v>
          </cell>
        </row>
        <row r="903">
          <cell r="C903" t="str">
            <v>WL25060D0514</v>
          </cell>
          <cell r="D903">
            <v>5</v>
          </cell>
          <cell r="E903" t="str">
            <v>Bình thường</v>
          </cell>
          <cell r="F903" t="str">
            <v>MA1</v>
          </cell>
          <cell r="G903" t="str">
            <v>BJ1, DA1, AB1</v>
          </cell>
        </row>
        <row r="904">
          <cell r="C904" t="str">
            <v>L6305100034</v>
          </cell>
          <cell r="D904">
            <v>5</v>
          </cell>
          <cell r="E904" t="str">
            <v>Bình thường</v>
          </cell>
          <cell r="F904" t="str">
            <v>BJ1</v>
          </cell>
          <cell r="G904" t="str">
            <v>AB1</v>
          </cell>
        </row>
        <row r="905">
          <cell r="C905" t="str">
            <v>WL25060D0513</v>
          </cell>
          <cell r="D905">
            <v>5</v>
          </cell>
          <cell r="E905" t="str">
            <v>Bình thường</v>
          </cell>
          <cell r="F905" t="str">
            <v>MA1</v>
          </cell>
          <cell r="G905" t="str">
            <v>BJ1, DA1, AB1</v>
          </cell>
        </row>
        <row r="906">
          <cell r="C906" t="str">
            <v>WL25060D0540</v>
          </cell>
          <cell r="D906">
            <v>5</v>
          </cell>
          <cell r="E906" t="str">
            <v>Bình thường</v>
          </cell>
          <cell r="F906" t="str">
            <v>AA1</v>
          </cell>
          <cell r="G906" t="str">
            <v>MA1, BJ1, AB1</v>
          </cell>
        </row>
        <row r="907">
          <cell r="C907" t="str">
            <v>213507068B18</v>
          </cell>
          <cell r="D907">
            <v>5</v>
          </cell>
          <cell r="E907" t="str">
            <v>Bình thường</v>
          </cell>
          <cell r="F907" t="str">
            <v>MC1</v>
          </cell>
          <cell r="G907" t="str">
            <v>BJ1, AF1</v>
          </cell>
        </row>
        <row r="908">
          <cell r="C908" t="str">
            <v>WL25060D0525</v>
          </cell>
          <cell r="D908">
            <v>5</v>
          </cell>
          <cell r="E908" t="str">
            <v>Bình thường</v>
          </cell>
          <cell r="F908" t="str">
            <v>MA1</v>
          </cell>
          <cell r="G908" t="str">
            <v>BJ1, DA1, AB1</v>
          </cell>
        </row>
        <row r="909">
          <cell r="C909" t="str">
            <v>WL25060D0526</v>
          </cell>
          <cell r="D909">
            <v>5</v>
          </cell>
          <cell r="E909" t="str">
            <v>Bình thường</v>
          </cell>
          <cell r="F909" t="str">
            <v>MA1</v>
          </cell>
          <cell r="G909" t="str">
            <v>BJ1, DA1, AB1</v>
          </cell>
        </row>
        <row r="910">
          <cell r="C910" t="str">
            <v>L6305100033</v>
          </cell>
          <cell r="D910">
            <v>5</v>
          </cell>
          <cell r="E910" t="str">
            <v>Bình thường</v>
          </cell>
          <cell r="F910" t="str">
            <v>MA1</v>
          </cell>
          <cell r="G910" t="str">
            <v>BJ1, DA1, AB1</v>
          </cell>
        </row>
        <row r="911">
          <cell r="C911" t="str">
            <v>213506092B31</v>
          </cell>
          <cell r="D911">
            <v>5</v>
          </cell>
          <cell r="E911" t="str">
            <v>Bình thường</v>
          </cell>
          <cell r="F911" t="str">
            <v>AF2</v>
          </cell>
          <cell r="G911" t="str">
            <v>AL1</v>
          </cell>
        </row>
        <row r="912">
          <cell r="C912" t="str">
            <v>L6305100082</v>
          </cell>
          <cell r="D912">
            <v>5</v>
          </cell>
          <cell r="E912" t="str">
            <v>Bình thường</v>
          </cell>
          <cell r="F912" t="str">
            <v>LA1</v>
          </cell>
          <cell r="G912" t="str">
            <v>BJ1, DA1, HT1, AB1</v>
          </cell>
        </row>
        <row r="913">
          <cell r="C913" t="str">
            <v>WL25060G054</v>
          </cell>
          <cell r="D913">
            <v>5</v>
          </cell>
          <cell r="E913" t="str">
            <v>Bình thường</v>
          </cell>
          <cell r="F913" t="str">
            <v>HT1</v>
          </cell>
          <cell r="G913" t="str">
            <v>GR1, AF1, AB1</v>
          </cell>
        </row>
        <row r="914">
          <cell r="C914" t="str">
            <v>L6115070061</v>
          </cell>
          <cell r="D914">
            <v>5</v>
          </cell>
          <cell r="E914" t="str">
            <v>Bình thường</v>
          </cell>
          <cell r="F914" t="str">
            <v>GS1</v>
          </cell>
          <cell r="G914" t="str">
            <v>EW2, GS2</v>
          </cell>
        </row>
        <row r="915">
          <cell r="C915" t="str">
            <v>213509075A10</v>
          </cell>
          <cell r="D915">
            <v>5</v>
          </cell>
          <cell r="E915" t="str">
            <v>Bình thường</v>
          </cell>
          <cell r="F915" t="str">
            <v>GS1</v>
          </cell>
          <cell r="G915" t="str">
            <v>KT</v>
          </cell>
        </row>
        <row r="916">
          <cell r="C916" t="str">
            <v>WL25060C058</v>
          </cell>
          <cell r="D916">
            <v>5</v>
          </cell>
          <cell r="E916" t="str">
            <v>Bình thường</v>
          </cell>
          <cell r="F916" t="str">
            <v>MA1</v>
          </cell>
          <cell r="G916" t="str">
            <v>BJ1, DA1, WG1, AB1</v>
          </cell>
        </row>
        <row r="917">
          <cell r="C917" t="str">
            <v>213508029B10</v>
          </cell>
          <cell r="D917">
            <v>5</v>
          </cell>
          <cell r="E917" t="str">
            <v>Bình thường</v>
          </cell>
          <cell r="F917" t="str">
            <v>BJ1</v>
          </cell>
          <cell r="G917" t="str">
            <v>HT2, AF2, AL1</v>
          </cell>
        </row>
        <row r="918">
          <cell r="C918" t="str">
            <v>63050500861</v>
          </cell>
          <cell r="D918">
            <v>5</v>
          </cell>
          <cell r="E918" t="str">
            <v>Bình thường</v>
          </cell>
          <cell r="F918" t="str">
            <v>BJ1</v>
          </cell>
          <cell r="G918" t="str">
            <v>DA1, HT1, GR1, GS1, GJ1, GP1, EN1, AF1, AB1</v>
          </cell>
        </row>
        <row r="919">
          <cell r="C919" t="str">
            <v>63050800181</v>
          </cell>
          <cell r="D919">
            <v>5</v>
          </cell>
          <cell r="E919" t="str">
            <v>Bình thường</v>
          </cell>
          <cell r="F919" t="str">
            <v>GS1</v>
          </cell>
          <cell r="G919" t="str">
            <v>EW1, AB1</v>
          </cell>
        </row>
        <row r="920">
          <cell r="C920" t="str">
            <v>213503188A33</v>
          </cell>
          <cell r="D920">
            <v>5</v>
          </cell>
          <cell r="E920" t="str">
            <v>Bình thường</v>
          </cell>
          <cell r="F920" t="str">
            <v>GC1</v>
          </cell>
          <cell r="G920" t="str">
            <v>BJ1, DA1</v>
          </cell>
        </row>
        <row r="921">
          <cell r="C921" t="str">
            <v>213503117B32</v>
          </cell>
          <cell r="D921">
            <v>5</v>
          </cell>
          <cell r="E921" t="str">
            <v>Bình thường</v>
          </cell>
          <cell r="F921" t="str">
            <v>EN1</v>
          </cell>
          <cell r="G921" t="str">
            <v>AF1</v>
          </cell>
        </row>
        <row r="922">
          <cell r="C922" t="str">
            <v>213507159A20</v>
          </cell>
          <cell r="D922">
            <v>5</v>
          </cell>
          <cell r="E922" t="str">
            <v>Bình thường</v>
          </cell>
          <cell r="F922" t="str">
            <v>GR1</v>
          </cell>
          <cell r="G922" t="str">
            <v>GS2, GC1, AF1, AL1</v>
          </cell>
        </row>
        <row r="923">
          <cell r="C923" t="str">
            <v>213507010A16</v>
          </cell>
          <cell r="D923">
            <v>5</v>
          </cell>
          <cell r="E923" t="str">
            <v>Bình thường</v>
          </cell>
          <cell r="F923" t="str">
            <v>GS1</v>
          </cell>
          <cell r="G923" t="str">
            <v>EN1, EW1, GS2, AF1</v>
          </cell>
        </row>
        <row r="924">
          <cell r="C924" t="str">
            <v>L6115080101</v>
          </cell>
          <cell r="D924">
            <v>5</v>
          </cell>
          <cell r="E924" t="str">
            <v>Bình thường</v>
          </cell>
          <cell r="F924" t="str">
            <v>GR1</v>
          </cell>
          <cell r="G924" t="str">
            <v>KT</v>
          </cell>
        </row>
        <row r="925">
          <cell r="C925" t="str">
            <v>L6115050214</v>
          </cell>
          <cell r="D925">
            <v>5</v>
          </cell>
          <cell r="E925" t="str">
            <v>Bình thường</v>
          </cell>
          <cell r="F925" t="str">
            <v>EW1</v>
          </cell>
          <cell r="G925" t="str">
            <v>GS1, ED1, GJ1, GR1, GP1</v>
          </cell>
        </row>
        <row r="926">
          <cell r="C926" t="str">
            <v>62350900461</v>
          </cell>
          <cell r="D926">
            <v>5</v>
          </cell>
          <cell r="E926" t="str">
            <v>Bình thường</v>
          </cell>
          <cell r="F926" t="str">
            <v>BJ1</v>
          </cell>
          <cell r="G926" t="str">
            <v>DA1</v>
          </cell>
        </row>
        <row r="927">
          <cell r="C927" t="str">
            <v>L6305080064</v>
          </cell>
          <cell r="D927">
            <v>5</v>
          </cell>
          <cell r="E927" t="str">
            <v>Bình thường</v>
          </cell>
          <cell r="F927" t="str">
            <v>EN1</v>
          </cell>
          <cell r="G927" t="str">
            <v>AF1, AB1</v>
          </cell>
        </row>
        <row r="928">
          <cell r="C928" t="str">
            <v>213507086B11</v>
          </cell>
          <cell r="D928">
            <v>5</v>
          </cell>
          <cell r="E928" t="str">
            <v>Bình thường</v>
          </cell>
          <cell r="F928" t="str">
            <v>MC1</v>
          </cell>
          <cell r="G928" t="str">
            <v>BJ1, AF1</v>
          </cell>
        </row>
        <row r="929">
          <cell r="C929" t="str">
            <v>213507072B25</v>
          </cell>
          <cell r="D929">
            <v>5</v>
          </cell>
          <cell r="E929" t="str">
            <v>Bình thường</v>
          </cell>
          <cell r="F929" t="str">
            <v>GS1</v>
          </cell>
          <cell r="G929" t="str">
            <v>ED1, EW1, GS2, GC1, GJ1, KA1, AF1, HT2, ED2, EW2, EN1, LA1, AF2</v>
          </cell>
        </row>
        <row r="930">
          <cell r="C930" t="str">
            <v>WL25060G053</v>
          </cell>
          <cell r="D930">
            <v>5</v>
          </cell>
          <cell r="E930" t="str">
            <v>Bình thường</v>
          </cell>
          <cell r="F930" t="str">
            <v>GS1</v>
          </cell>
          <cell r="G930" t="str">
            <v>AB1</v>
          </cell>
        </row>
        <row r="931">
          <cell r="C931" t="str">
            <v>L6235080121</v>
          </cell>
          <cell r="D931">
            <v>5</v>
          </cell>
          <cell r="E931" t="str">
            <v>Bình thường</v>
          </cell>
          <cell r="F931" t="str">
            <v>MC1</v>
          </cell>
          <cell r="G931" t="str">
            <v>AF1, AB1</v>
          </cell>
        </row>
        <row r="932">
          <cell r="C932" t="str">
            <v>R21351050A7</v>
          </cell>
          <cell r="D932">
            <v>5</v>
          </cell>
          <cell r="E932" t="str">
            <v>Bình thường</v>
          </cell>
          <cell r="F932" t="str">
            <v>GS1</v>
          </cell>
          <cell r="G932" t="str">
            <v>GP1, AF1, AL1</v>
          </cell>
        </row>
        <row r="933">
          <cell r="C933" t="str">
            <v>WL25060C0517</v>
          </cell>
          <cell r="D933">
            <v>5</v>
          </cell>
          <cell r="E933" t="str">
            <v>Bình thường</v>
          </cell>
          <cell r="F933" t="str">
            <v>GS1</v>
          </cell>
          <cell r="G933" t="str">
            <v>BJ1, DA1, AB1</v>
          </cell>
        </row>
        <row r="934">
          <cell r="C934" t="str">
            <v>WL25060C0512</v>
          </cell>
          <cell r="D934">
            <v>5</v>
          </cell>
          <cell r="E934" t="str">
            <v>Bình thường</v>
          </cell>
          <cell r="F934" t="str">
            <v>GS1</v>
          </cell>
          <cell r="G934" t="str">
            <v>BJ1, DA1, AB1</v>
          </cell>
        </row>
        <row r="935">
          <cell r="C935" t="str">
            <v>WL25060C0511</v>
          </cell>
          <cell r="D935">
            <v>5</v>
          </cell>
          <cell r="E935" t="str">
            <v>Bình thường</v>
          </cell>
          <cell r="F935" t="str">
            <v>GR1</v>
          </cell>
          <cell r="G935" t="str">
            <v>GS1, AB1</v>
          </cell>
        </row>
        <row r="936">
          <cell r="C936" t="str">
            <v>213508195A40</v>
          </cell>
          <cell r="D936">
            <v>5</v>
          </cell>
          <cell r="E936" t="str">
            <v>Bình thường</v>
          </cell>
          <cell r="F936" t="str">
            <v>GR1</v>
          </cell>
          <cell r="G936" t="str">
            <v>GS2, GC1, AF1, AL1</v>
          </cell>
        </row>
        <row r="937">
          <cell r="C937" t="str">
            <v>L6115050211</v>
          </cell>
          <cell r="D937">
            <v>5</v>
          </cell>
          <cell r="E937" t="str">
            <v>Bình thường</v>
          </cell>
          <cell r="F937" t="str">
            <v>EW1</v>
          </cell>
          <cell r="G937" t="str">
            <v>GS1, EW2, GS2</v>
          </cell>
        </row>
        <row r="938">
          <cell r="C938" t="str">
            <v>213504253A22</v>
          </cell>
          <cell r="D938">
            <v>5</v>
          </cell>
          <cell r="E938" t="str">
            <v>Bình thường</v>
          </cell>
          <cell r="F938" t="str">
            <v>EN1</v>
          </cell>
          <cell r="G938" t="str">
            <v>KA1, AF1, GS2</v>
          </cell>
        </row>
        <row r="939">
          <cell r="C939" t="str">
            <v>213508072A16</v>
          </cell>
          <cell r="D939">
            <v>5</v>
          </cell>
          <cell r="E939" t="str">
            <v>Bình thường</v>
          </cell>
          <cell r="F939" t="str">
            <v>GS1</v>
          </cell>
          <cell r="G939" t="str">
            <v>GP1</v>
          </cell>
        </row>
        <row r="940">
          <cell r="C940" t="str">
            <v>WL25060D0528</v>
          </cell>
          <cell r="D940">
            <v>5</v>
          </cell>
          <cell r="E940" t="str">
            <v>Bình thường</v>
          </cell>
          <cell r="F940" t="str">
            <v>GS1</v>
          </cell>
          <cell r="G940" t="str">
            <v>GR1, GS2, AF1</v>
          </cell>
        </row>
        <row r="941">
          <cell r="C941" t="str">
            <v>21350770041</v>
          </cell>
          <cell r="D941">
            <v>5</v>
          </cell>
          <cell r="E941" t="str">
            <v>Bình thường</v>
          </cell>
          <cell r="F941" t="str">
            <v>MA1</v>
          </cell>
          <cell r="G941" t="str">
            <v>GS1, MC1, AB1</v>
          </cell>
        </row>
        <row r="942">
          <cell r="C942" t="str">
            <v>L6115030043</v>
          </cell>
          <cell r="D942">
            <v>5</v>
          </cell>
          <cell r="E942" t="str">
            <v>Bình thường</v>
          </cell>
          <cell r="F942" t="str">
            <v>GR1</v>
          </cell>
          <cell r="G942" t="str">
            <v>KT</v>
          </cell>
        </row>
        <row r="943">
          <cell r="C943" t="str">
            <v>R21350897A2</v>
          </cell>
          <cell r="D943">
            <v>5</v>
          </cell>
          <cell r="E943" t="str">
            <v>Bình thường</v>
          </cell>
          <cell r="F943" t="str">
            <v>EN1</v>
          </cell>
          <cell r="G943" t="str">
            <v>KA1, AF1</v>
          </cell>
        </row>
        <row r="944">
          <cell r="C944" t="str">
            <v>63050800161</v>
          </cell>
          <cell r="D944">
            <v>5</v>
          </cell>
          <cell r="E944" t="str">
            <v>Bình thường</v>
          </cell>
          <cell r="F944" t="str">
            <v>GS1</v>
          </cell>
          <cell r="G944" t="str">
            <v>EW1, AB1</v>
          </cell>
        </row>
        <row r="945">
          <cell r="C945" t="str">
            <v>WL25060D0529</v>
          </cell>
          <cell r="D945">
            <v>5</v>
          </cell>
          <cell r="E945" t="str">
            <v>Bình thường</v>
          </cell>
          <cell r="F945" t="str">
            <v>GS1</v>
          </cell>
          <cell r="G945" t="str">
            <v>GR1, GS2, AF1, AB1</v>
          </cell>
        </row>
        <row r="946">
          <cell r="C946" t="str">
            <v>R21350898A3</v>
          </cell>
          <cell r="D946">
            <v>5</v>
          </cell>
          <cell r="E946" t="str">
            <v>Bình thường</v>
          </cell>
          <cell r="F946" t="str">
            <v>KA1</v>
          </cell>
          <cell r="G946" t="str">
            <v>AF1</v>
          </cell>
        </row>
        <row r="947">
          <cell r="C947" t="str">
            <v>63051000121</v>
          </cell>
          <cell r="D947">
            <v>5</v>
          </cell>
          <cell r="E947" t="str">
            <v>Bình thường</v>
          </cell>
          <cell r="F947" t="str">
            <v>LA1</v>
          </cell>
          <cell r="G947" t="str">
            <v>LN1, GS1, BJ1, DA1, EW1, AF1, AB1</v>
          </cell>
        </row>
        <row r="948">
          <cell r="C948" t="str">
            <v>213508011B1</v>
          </cell>
          <cell r="D948">
            <v>5</v>
          </cell>
          <cell r="E948" t="str">
            <v>Bình thường</v>
          </cell>
          <cell r="F948" t="str">
            <v>MA1</v>
          </cell>
          <cell r="G948" t="str">
            <v>BJ1, DA1, GS1, MC1, HT1, GS2, ED1, EW1, EN1, AF1, AB1</v>
          </cell>
        </row>
        <row r="949">
          <cell r="C949" t="str">
            <v>213509003A2</v>
          </cell>
          <cell r="D949">
            <v>5</v>
          </cell>
          <cell r="E949" t="str">
            <v>Bình thường</v>
          </cell>
          <cell r="F949" t="str">
            <v>EW1</v>
          </cell>
          <cell r="G949" t="str">
            <v>AF1, KA1, LT1</v>
          </cell>
        </row>
        <row r="950">
          <cell r="C950" t="str">
            <v>213509192A58</v>
          </cell>
          <cell r="D950">
            <v>5</v>
          </cell>
          <cell r="E950" t="str">
            <v>Bình thường</v>
          </cell>
          <cell r="F950" t="str">
            <v>GR1</v>
          </cell>
          <cell r="G950" t="str">
            <v>GS1, GC1, GP1, AB1</v>
          </cell>
        </row>
        <row r="951">
          <cell r="C951" t="str">
            <v>R21351058A15</v>
          </cell>
          <cell r="D951">
            <v>5</v>
          </cell>
          <cell r="E951" t="str">
            <v>Bình thường</v>
          </cell>
          <cell r="F951" t="str">
            <v>GS1</v>
          </cell>
          <cell r="G951" t="str">
            <v>GP1, AF1, AL1</v>
          </cell>
        </row>
        <row r="952">
          <cell r="C952" t="str">
            <v>213509080A14</v>
          </cell>
          <cell r="D952">
            <v>5</v>
          </cell>
          <cell r="E952" t="str">
            <v>Bình thường</v>
          </cell>
          <cell r="F952" t="str">
            <v>LN1</v>
          </cell>
          <cell r="G952" t="str">
            <v>BJ1, HT1, GR1, GC1, GJ1, KA1, AF1, BJ2, HT2, AF2</v>
          </cell>
        </row>
        <row r="953">
          <cell r="C953" t="str">
            <v>L6115030312</v>
          </cell>
          <cell r="D953">
            <v>5</v>
          </cell>
          <cell r="E953" t="str">
            <v>Bình thường</v>
          </cell>
          <cell r="F953" t="str">
            <v>GP1</v>
          </cell>
          <cell r="G953" t="str">
            <v>KT</v>
          </cell>
        </row>
        <row r="954">
          <cell r="C954" t="str">
            <v>63050801571</v>
          </cell>
          <cell r="D954">
            <v>5</v>
          </cell>
          <cell r="E954" t="str">
            <v>Bình thường</v>
          </cell>
          <cell r="F954" t="str">
            <v>GC1</v>
          </cell>
          <cell r="G954" t="str">
            <v>GJ1, EN1, KA1, GS2, HT2, AF1</v>
          </cell>
        </row>
        <row r="955">
          <cell r="C955" t="str">
            <v>213504114B17</v>
          </cell>
          <cell r="D955">
            <v>5</v>
          </cell>
          <cell r="E955" t="str">
            <v>Bình thường</v>
          </cell>
          <cell r="F955" t="str">
            <v>LT1</v>
          </cell>
          <cell r="G955" t="str">
            <v>KT</v>
          </cell>
        </row>
        <row r="956">
          <cell r="C956" t="str">
            <v>213508175A15</v>
          </cell>
          <cell r="D956">
            <v>5</v>
          </cell>
          <cell r="E956" t="str">
            <v>Bình thường</v>
          </cell>
          <cell r="F956" t="str">
            <v>GS1</v>
          </cell>
          <cell r="G956" t="str">
            <v>ED1, EW2, GS2</v>
          </cell>
        </row>
        <row r="957">
          <cell r="C957" t="str">
            <v>213508121A8</v>
          </cell>
          <cell r="D957">
            <v>5</v>
          </cell>
          <cell r="E957" t="str">
            <v>Bình thường</v>
          </cell>
          <cell r="F957" t="str">
            <v>ED1</v>
          </cell>
          <cell r="G957" t="str">
            <v>EW1, GS1</v>
          </cell>
        </row>
        <row r="958">
          <cell r="C958" t="str">
            <v>213506061B2</v>
          </cell>
          <cell r="D958">
            <v>5</v>
          </cell>
          <cell r="E958" t="str">
            <v>Bình thường</v>
          </cell>
          <cell r="F958" t="str">
            <v>LT1</v>
          </cell>
          <cell r="G958" t="str">
            <v>KT</v>
          </cell>
        </row>
        <row r="959">
          <cell r="C959" t="str">
            <v>213509137A29</v>
          </cell>
          <cell r="D959">
            <v>5</v>
          </cell>
          <cell r="E959" t="str">
            <v>Bình thường</v>
          </cell>
          <cell r="F959" t="str">
            <v>BJ1</v>
          </cell>
          <cell r="G959" t="str">
            <v>HT1, GS1, EW1, EN1, AF1</v>
          </cell>
        </row>
        <row r="960">
          <cell r="C960" t="str">
            <v>R21351056A13</v>
          </cell>
          <cell r="D960">
            <v>5</v>
          </cell>
          <cell r="E960" t="str">
            <v>Bình thường</v>
          </cell>
          <cell r="F960" t="str">
            <v>GP1</v>
          </cell>
          <cell r="G960" t="str">
            <v>AF1, AL1</v>
          </cell>
        </row>
        <row r="961">
          <cell r="C961" t="str">
            <v>213509907A1</v>
          </cell>
          <cell r="D961">
            <v>5</v>
          </cell>
          <cell r="E961" t="str">
            <v>Bình thường</v>
          </cell>
          <cell r="F961" t="str">
            <v>LA1</v>
          </cell>
          <cell r="G961" t="str">
            <v>BJ1, HT1, GR1, GS1, GJ1, GP1, ED1, EW1, EN1, KA1, GS2, HT2, AF1</v>
          </cell>
        </row>
        <row r="962">
          <cell r="C962" t="str">
            <v>L6115030313</v>
          </cell>
          <cell r="D962">
            <v>5</v>
          </cell>
          <cell r="E962" t="str">
            <v>Bình thường</v>
          </cell>
          <cell r="F962" t="str">
            <v>GS1</v>
          </cell>
          <cell r="G962" t="str">
            <v>ED1, EW2, GS2</v>
          </cell>
        </row>
        <row r="963">
          <cell r="C963" t="str">
            <v>L6305100084</v>
          </cell>
          <cell r="D963">
            <v>5</v>
          </cell>
          <cell r="E963" t="str">
            <v>Bình thường</v>
          </cell>
          <cell r="F963" t="str">
            <v>LA1</v>
          </cell>
          <cell r="G963" t="str">
            <v>HT1, ED1, EW1, GR1, GS1, GC1, EN1, AF1, AB1</v>
          </cell>
        </row>
        <row r="964">
          <cell r="C964" t="str">
            <v>213509011B1</v>
          </cell>
          <cell r="D964">
            <v>5</v>
          </cell>
          <cell r="E964" t="str">
            <v>Bình thường</v>
          </cell>
          <cell r="F964" t="str">
            <v>GC1</v>
          </cell>
          <cell r="G964" t="str">
            <v>GS2, EN1, AF1</v>
          </cell>
        </row>
        <row r="965">
          <cell r="C965" t="str">
            <v>L6115050062</v>
          </cell>
          <cell r="D965">
            <v>5</v>
          </cell>
          <cell r="E965" t="str">
            <v>Bình thường</v>
          </cell>
          <cell r="F965" t="str">
            <v>GR1</v>
          </cell>
          <cell r="G965" t="str">
            <v>GS1, GC1, GP1</v>
          </cell>
        </row>
        <row r="966">
          <cell r="C966" t="str">
            <v>213509901B1</v>
          </cell>
          <cell r="D966">
            <v>5</v>
          </cell>
          <cell r="E966" t="str">
            <v>Bình thường</v>
          </cell>
          <cell r="F966" t="str">
            <v>MA1</v>
          </cell>
          <cell r="G966" t="str">
            <v>BJ1, DA1, HT1, GS1, EW1, AF1, KA1, LT1</v>
          </cell>
        </row>
        <row r="967">
          <cell r="C967" t="str">
            <v>L6115050142</v>
          </cell>
          <cell r="D967">
            <v>5</v>
          </cell>
          <cell r="E967" t="str">
            <v>Bình thường</v>
          </cell>
          <cell r="F967" t="str">
            <v>GR1</v>
          </cell>
          <cell r="G967" t="str">
            <v>GP1</v>
          </cell>
        </row>
        <row r="968">
          <cell r="C968" t="str">
            <v>213509024B46</v>
          </cell>
          <cell r="D968">
            <v>5</v>
          </cell>
          <cell r="E968" t="str">
            <v>Bình thường</v>
          </cell>
          <cell r="F968" t="str">
            <v>EW1</v>
          </cell>
          <cell r="G968" t="str">
            <v>GS1, EN1, AF1</v>
          </cell>
        </row>
        <row r="969">
          <cell r="C969" t="str">
            <v>213509303A28</v>
          </cell>
          <cell r="D969">
            <v>5</v>
          </cell>
          <cell r="E969" t="str">
            <v>Bình thường</v>
          </cell>
          <cell r="F969" t="str">
            <v>GS1</v>
          </cell>
          <cell r="G969" t="str">
            <v>GC1, GP1</v>
          </cell>
        </row>
        <row r="970">
          <cell r="C970" t="str">
            <v>213510902A2</v>
          </cell>
          <cell r="D970">
            <v>5</v>
          </cell>
          <cell r="E970" t="str">
            <v>Bình thường</v>
          </cell>
          <cell r="F970" t="str">
            <v>EW1</v>
          </cell>
          <cell r="G970" t="str">
            <v>AF1, AL1</v>
          </cell>
        </row>
        <row r="971">
          <cell r="C971" t="str">
            <v>63050800271</v>
          </cell>
          <cell r="D971">
            <v>5</v>
          </cell>
          <cell r="E971" t="str">
            <v>Bình thường</v>
          </cell>
          <cell r="F971" t="str">
            <v>AA1</v>
          </cell>
          <cell r="G971" t="str">
            <v>MA1, BJ1, DA1, GS1, EW1, AB1</v>
          </cell>
        </row>
        <row r="972">
          <cell r="C972" t="str">
            <v>213505136A22</v>
          </cell>
          <cell r="D972">
            <v>5</v>
          </cell>
          <cell r="E972" t="str">
            <v>Bình thường</v>
          </cell>
          <cell r="F972" t="str">
            <v>GC1</v>
          </cell>
          <cell r="G972" t="str">
            <v>GS2, GC2, AF1</v>
          </cell>
        </row>
        <row r="973">
          <cell r="C973" t="str">
            <v>L6115070062</v>
          </cell>
          <cell r="D973">
            <v>5</v>
          </cell>
          <cell r="E973" t="str">
            <v>Bình thường</v>
          </cell>
          <cell r="F973" t="str">
            <v>EW1</v>
          </cell>
          <cell r="G973" t="str">
            <v>GS1, ED1, GJ1, GR1, GP1</v>
          </cell>
        </row>
        <row r="974">
          <cell r="C974" t="str">
            <v>L6305090201</v>
          </cell>
          <cell r="D974">
            <v>4</v>
          </cell>
          <cell r="E974" t="str">
            <v>Bình thường</v>
          </cell>
          <cell r="F974" t="str">
            <v>EW1</v>
          </cell>
          <cell r="G974" t="str">
            <v>GR1, ED1, GS1, GP1, AF1</v>
          </cell>
        </row>
        <row r="975">
          <cell r="C975" t="str">
            <v>R21350832A25</v>
          </cell>
          <cell r="D975">
            <v>4</v>
          </cell>
          <cell r="E975" t="str">
            <v>Bình thường</v>
          </cell>
          <cell r="F975" t="str">
            <v>ED1</v>
          </cell>
          <cell r="G975" t="str">
            <v>EW1, GS2, AF3</v>
          </cell>
        </row>
        <row r="976">
          <cell r="C976" t="str">
            <v>63050501481</v>
          </cell>
          <cell r="D976">
            <v>4</v>
          </cell>
          <cell r="E976" t="str">
            <v>Bình thường</v>
          </cell>
          <cell r="F976" t="str">
            <v>LA1</v>
          </cell>
          <cell r="G976" t="str">
            <v>HT1, GR1, GS1, GP1, GJ1, EN1, AF1, KA1, GS2, HT2, AF2</v>
          </cell>
        </row>
        <row r="977">
          <cell r="C977" t="str">
            <v>L6245090104</v>
          </cell>
          <cell r="D977">
            <v>4</v>
          </cell>
          <cell r="E977" t="str">
            <v>Bình thường</v>
          </cell>
          <cell r="F977" t="str">
            <v>LA1</v>
          </cell>
          <cell r="G977" t="str">
            <v>VP</v>
          </cell>
        </row>
        <row r="978">
          <cell r="C978" t="str">
            <v>L6305080912</v>
          </cell>
          <cell r="D978">
            <v>4</v>
          </cell>
          <cell r="E978" t="str">
            <v>Bình thường</v>
          </cell>
          <cell r="F978" t="str">
            <v>MA1</v>
          </cell>
          <cell r="G978" t="str">
            <v>BJ1, DA1</v>
          </cell>
        </row>
        <row r="979">
          <cell r="C979" t="str">
            <v>L6115020572</v>
          </cell>
          <cell r="D979">
            <v>4</v>
          </cell>
          <cell r="E979" t="str">
            <v>Bình thường</v>
          </cell>
          <cell r="F979" t="str">
            <v>GR1</v>
          </cell>
          <cell r="G979" t="str">
            <v>EN1, GP1, AF1, AL1, AB1</v>
          </cell>
        </row>
        <row r="980">
          <cell r="C980" t="str">
            <v>L4135090652</v>
          </cell>
          <cell r="D980">
            <v>4</v>
          </cell>
          <cell r="E980" t="str">
            <v>Khẩn</v>
          </cell>
          <cell r="F980" t="str">
            <v>BJ1</v>
          </cell>
          <cell r="G980" t="str">
            <v>HT2, AF2</v>
          </cell>
        </row>
        <row r="981">
          <cell r="C981" t="str">
            <v>R41351002610</v>
          </cell>
          <cell r="D981">
            <v>4</v>
          </cell>
          <cell r="E981" t="str">
            <v>Khẩn</v>
          </cell>
          <cell r="F981" t="str">
            <v>GS1</v>
          </cell>
          <cell r="G981" t="str">
            <v>AB1</v>
          </cell>
        </row>
        <row r="982">
          <cell r="C982" t="str">
            <v>L6115070213</v>
          </cell>
          <cell r="D982">
            <v>4</v>
          </cell>
          <cell r="E982" t="str">
            <v>Bình thường</v>
          </cell>
          <cell r="F982" t="str">
            <v>GR1</v>
          </cell>
          <cell r="G982" t="str">
            <v>VP</v>
          </cell>
        </row>
        <row r="983">
          <cell r="C983" t="str">
            <v>L63050704012</v>
          </cell>
          <cell r="D983">
            <v>4</v>
          </cell>
          <cell r="E983" t="str">
            <v>Bình thường</v>
          </cell>
          <cell r="F983" t="str">
            <v>MC1</v>
          </cell>
          <cell r="G983" t="str">
            <v>AF1</v>
          </cell>
        </row>
        <row r="984">
          <cell r="C984" t="str">
            <v>213510909A4</v>
          </cell>
          <cell r="D984">
            <v>4</v>
          </cell>
          <cell r="E984" t="str">
            <v>Khẩn</v>
          </cell>
          <cell r="F984" t="str">
            <v>EW1</v>
          </cell>
          <cell r="G984" t="str">
            <v>GP1, AF1</v>
          </cell>
        </row>
        <row r="985">
          <cell r="C985" t="str">
            <v>R41351002615</v>
          </cell>
          <cell r="D985">
            <v>4</v>
          </cell>
          <cell r="E985" t="str">
            <v>Khẩn</v>
          </cell>
          <cell r="F985" t="str">
            <v>AF1</v>
          </cell>
          <cell r="G985" t="str">
            <v>AB1</v>
          </cell>
        </row>
        <row r="986">
          <cell r="C986" t="str">
            <v>213510908A3</v>
          </cell>
          <cell r="D986">
            <v>4</v>
          </cell>
          <cell r="E986" t="str">
            <v>Khẩn</v>
          </cell>
          <cell r="F986" t="str">
            <v>EW1</v>
          </cell>
          <cell r="G986" t="str">
            <v>GP1, AF1</v>
          </cell>
        </row>
        <row r="987">
          <cell r="C987" t="str">
            <v>213508088A39</v>
          </cell>
          <cell r="D987">
            <v>4</v>
          </cell>
          <cell r="E987" t="str">
            <v>Bình thường</v>
          </cell>
          <cell r="F987" t="str">
            <v>BJ1</v>
          </cell>
          <cell r="G987" t="str">
            <v>AF1, GS1, AF2</v>
          </cell>
        </row>
        <row r="988">
          <cell r="C988" t="str">
            <v>R6305060041</v>
          </cell>
          <cell r="D988">
            <v>4</v>
          </cell>
          <cell r="E988" t="str">
            <v>Bình thường</v>
          </cell>
          <cell r="F988" t="str">
            <v>EW1</v>
          </cell>
          <cell r="G988" t="str">
            <v>AF1, GJ1</v>
          </cell>
        </row>
        <row r="989">
          <cell r="C989" t="str">
            <v>L6125090141</v>
          </cell>
          <cell r="D989">
            <v>4</v>
          </cell>
          <cell r="E989" t="str">
            <v>Bình thường</v>
          </cell>
          <cell r="F989" t="str">
            <v>MA1</v>
          </cell>
          <cell r="G989" t="str">
            <v>BJ1</v>
          </cell>
        </row>
        <row r="990">
          <cell r="C990" t="str">
            <v>41351000541</v>
          </cell>
          <cell r="D990">
            <v>4</v>
          </cell>
          <cell r="E990" t="str">
            <v>Khẩn</v>
          </cell>
          <cell r="F990" t="str">
            <v>LA1</v>
          </cell>
          <cell r="G990" t="str">
            <v>BJ1, AB1</v>
          </cell>
        </row>
        <row r="991">
          <cell r="C991" t="str">
            <v>62350300191</v>
          </cell>
          <cell r="D991">
            <v>4</v>
          </cell>
          <cell r="E991" t="str">
            <v>Bình thường</v>
          </cell>
          <cell r="F991" t="str">
            <v>EN1</v>
          </cell>
          <cell r="G991" t="str">
            <v>AF1, AB1</v>
          </cell>
        </row>
        <row r="992">
          <cell r="C992" t="str">
            <v>L4135100362</v>
          </cell>
          <cell r="D992">
            <v>4</v>
          </cell>
          <cell r="E992" t="str">
            <v>Khẩn</v>
          </cell>
          <cell r="F992" t="str">
            <v>AB1</v>
          </cell>
          <cell r="G992" t="str">
            <v>VP</v>
          </cell>
        </row>
        <row r="993">
          <cell r="C993" t="str">
            <v>L6305080986</v>
          </cell>
          <cell r="D993">
            <v>4</v>
          </cell>
          <cell r="E993" t="str">
            <v>Bình thường</v>
          </cell>
          <cell r="F993" t="str">
            <v>MC1</v>
          </cell>
          <cell r="G993" t="str">
            <v>VP</v>
          </cell>
        </row>
        <row r="994">
          <cell r="C994" t="str">
            <v>41351000431</v>
          </cell>
          <cell r="D994">
            <v>4</v>
          </cell>
          <cell r="E994" t="str">
            <v>Khẩn</v>
          </cell>
          <cell r="F994" t="str">
            <v>GS1</v>
          </cell>
          <cell r="G994" t="str">
            <v>EW2, GS2, AF1</v>
          </cell>
        </row>
        <row r="995">
          <cell r="C995" t="str">
            <v>413510042G1</v>
          </cell>
          <cell r="D995">
            <v>4</v>
          </cell>
          <cell r="E995" t="str">
            <v>Khẩn</v>
          </cell>
          <cell r="F995" t="str">
            <v>LA1</v>
          </cell>
          <cell r="G995" t="str">
            <v>HT1, GR1, GS1, AF1, AB1</v>
          </cell>
        </row>
        <row r="996">
          <cell r="C996" t="str">
            <v>L41351001115</v>
          </cell>
          <cell r="D996">
            <v>4</v>
          </cell>
          <cell r="E996" t="str">
            <v>Khẩn</v>
          </cell>
          <cell r="F996" t="str">
            <v>GS1</v>
          </cell>
          <cell r="G996" t="str">
            <v>AB1</v>
          </cell>
        </row>
        <row r="997">
          <cell r="C997" t="str">
            <v>213510907A2</v>
          </cell>
          <cell r="D997">
            <v>4</v>
          </cell>
          <cell r="E997" t="str">
            <v>Khẩn</v>
          </cell>
          <cell r="F997" t="str">
            <v>GS1</v>
          </cell>
          <cell r="G997" t="str">
            <v>AL1, EW1, GP1, AF1</v>
          </cell>
        </row>
        <row r="998">
          <cell r="C998" t="str">
            <v>L6215080156</v>
          </cell>
          <cell r="D998">
            <v>4</v>
          </cell>
          <cell r="E998" t="str">
            <v>Bình thường</v>
          </cell>
          <cell r="F998" t="str">
            <v>BJ1</v>
          </cell>
          <cell r="G998" t="str">
            <v>AB1</v>
          </cell>
        </row>
        <row r="999">
          <cell r="C999" t="str">
            <v>L2135057087</v>
          </cell>
          <cell r="D999">
            <v>4</v>
          </cell>
          <cell r="E999" t="str">
            <v>Bình thường</v>
          </cell>
          <cell r="F999" t="str">
            <v>AF1</v>
          </cell>
          <cell r="G999" t="str">
            <v>VP</v>
          </cell>
        </row>
        <row r="1000">
          <cell r="C1000" t="str">
            <v>L6125070152</v>
          </cell>
          <cell r="D1000">
            <v>4</v>
          </cell>
          <cell r="E1000" t="str">
            <v>Bình thường</v>
          </cell>
          <cell r="F1000" t="str">
            <v>GS1</v>
          </cell>
          <cell r="G1000" t="str">
            <v>EW1, AF1</v>
          </cell>
        </row>
        <row r="1001">
          <cell r="C1001" t="str">
            <v>L6125070151</v>
          </cell>
          <cell r="D1001">
            <v>4</v>
          </cell>
          <cell r="E1001" t="str">
            <v>Bình thường</v>
          </cell>
          <cell r="F1001" t="str">
            <v>GS1</v>
          </cell>
          <cell r="G1001" t="str">
            <v>EW1, AF1</v>
          </cell>
        </row>
        <row r="1002">
          <cell r="C1002" t="str">
            <v>R4135100223</v>
          </cell>
          <cell r="D1002">
            <v>4</v>
          </cell>
          <cell r="E1002" t="str">
            <v>Khẩn</v>
          </cell>
          <cell r="F1002" t="str">
            <v>GJ1</v>
          </cell>
          <cell r="G1002" t="str">
            <v>VP</v>
          </cell>
        </row>
        <row r="1003">
          <cell r="C1003" t="str">
            <v>213510094A9</v>
          </cell>
          <cell r="D1003">
            <v>4</v>
          </cell>
          <cell r="E1003" t="str">
            <v>Bình thường</v>
          </cell>
          <cell r="F1003" t="str">
            <v>GS1</v>
          </cell>
          <cell r="G1003" t="str">
            <v>AF1</v>
          </cell>
        </row>
        <row r="1004">
          <cell r="C1004" t="str">
            <v>62350900291</v>
          </cell>
          <cell r="D1004">
            <v>4</v>
          </cell>
          <cell r="E1004" t="str">
            <v>Bình thường</v>
          </cell>
          <cell r="F1004" t="str">
            <v>EW1</v>
          </cell>
          <cell r="G1004" t="str">
            <v>AF1, AB1</v>
          </cell>
        </row>
        <row r="1005">
          <cell r="C1005" t="str">
            <v>L6235060181</v>
          </cell>
          <cell r="D1005">
            <v>4</v>
          </cell>
          <cell r="E1005" t="str">
            <v>Bình thường</v>
          </cell>
          <cell r="F1005" t="str">
            <v>GS2</v>
          </cell>
          <cell r="G1005" t="str">
            <v>EW2, AF1, AB1</v>
          </cell>
        </row>
        <row r="1006">
          <cell r="C1006" t="str">
            <v>L6305070041</v>
          </cell>
          <cell r="D1006">
            <v>4</v>
          </cell>
          <cell r="E1006" t="str">
            <v>Bình thường</v>
          </cell>
          <cell r="F1006" t="str">
            <v>BJ1</v>
          </cell>
          <cell r="G1006" t="str">
            <v>HT1, GS1, EW1, AF1, AB1</v>
          </cell>
        </row>
        <row r="1007">
          <cell r="C1007" t="str">
            <v>L6305100202</v>
          </cell>
          <cell r="D1007">
            <v>4</v>
          </cell>
          <cell r="E1007" t="str">
            <v>Khẩn</v>
          </cell>
          <cell r="F1007" t="str">
            <v>GC1</v>
          </cell>
          <cell r="G1007" t="str">
            <v>GS2, AF1, AB1</v>
          </cell>
        </row>
        <row r="1008">
          <cell r="C1008" t="str">
            <v>213507038A12</v>
          </cell>
          <cell r="D1008">
            <v>4</v>
          </cell>
          <cell r="E1008" t="str">
            <v>Bình thường</v>
          </cell>
          <cell r="F1008" t="str">
            <v>GC1</v>
          </cell>
          <cell r="G1008" t="str">
            <v>GP1</v>
          </cell>
        </row>
        <row r="1009">
          <cell r="C1009" t="str">
            <v>R4125103451</v>
          </cell>
          <cell r="D1009">
            <v>4</v>
          </cell>
          <cell r="E1009" t="str">
            <v>Khẩn</v>
          </cell>
          <cell r="F1009" t="str">
            <v>MC1</v>
          </cell>
          <cell r="G1009" t="str">
            <v>VP</v>
          </cell>
        </row>
        <row r="1010">
          <cell r="C1010" t="str">
            <v>61250200151</v>
          </cell>
          <cell r="D1010">
            <v>4</v>
          </cell>
          <cell r="E1010" t="str">
            <v>Bình thường</v>
          </cell>
          <cell r="F1010" t="str">
            <v>GR1</v>
          </cell>
          <cell r="G1010" t="str">
            <v>GS1, EN1</v>
          </cell>
        </row>
        <row r="1011">
          <cell r="C1011" t="str">
            <v>L6115080252</v>
          </cell>
          <cell r="D1011">
            <v>4</v>
          </cell>
          <cell r="E1011" t="str">
            <v>Bình thường</v>
          </cell>
          <cell r="F1011" t="str">
            <v>GC1</v>
          </cell>
          <cell r="G1011" t="str">
            <v>GS2, AF1</v>
          </cell>
        </row>
        <row r="1012">
          <cell r="C1012" t="str">
            <v>L6225100102</v>
          </cell>
          <cell r="D1012">
            <v>4</v>
          </cell>
          <cell r="E1012" t="str">
            <v>Khẩn</v>
          </cell>
          <cell r="F1012" t="str">
            <v>AA1</v>
          </cell>
          <cell r="G1012" t="str">
            <v>BJ1, AB1</v>
          </cell>
        </row>
        <row r="1013">
          <cell r="C1013" t="str">
            <v>L6305080122</v>
          </cell>
          <cell r="D1013">
            <v>4</v>
          </cell>
          <cell r="E1013" t="str">
            <v>Bình thường</v>
          </cell>
          <cell r="F1013" t="str">
            <v>GC1</v>
          </cell>
          <cell r="G1013" t="str">
            <v>AF1, AB1</v>
          </cell>
        </row>
        <row r="1014">
          <cell r="C1014" t="str">
            <v>L4135100504</v>
          </cell>
          <cell r="D1014">
            <v>4</v>
          </cell>
          <cell r="E1014" t="str">
            <v>Khẩn</v>
          </cell>
          <cell r="F1014" t="str">
            <v>AA1</v>
          </cell>
          <cell r="G1014" t="str">
            <v>MA1, BJ1, AB1</v>
          </cell>
        </row>
        <row r="1015">
          <cell r="C1015" t="str">
            <v>L6115020571</v>
          </cell>
          <cell r="D1015">
            <v>4</v>
          </cell>
          <cell r="E1015" t="str">
            <v>Bình thường</v>
          </cell>
          <cell r="F1015" t="str">
            <v>GR1</v>
          </cell>
          <cell r="G1015" t="str">
            <v>EN1, GP1, AF1, AL1, AB1</v>
          </cell>
        </row>
        <row r="1016">
          <cell r="C1016" t="str">
            <v>L6305080403</v>
          </cell>
          <cell r="D1016">
            <v>4</v>
          </cell>
          <cell r="E1016" t="str">
            <v>Bình thường</v>
          </cell>
          <cell r="F1016" t="str">
            <v>MA1</v>
          </cell>
          <cell r="G1016" t="str">
            <v>BJ1, DA1, GS1, BJ2, AB2</v>
          </cell>
        </row>
        <row r="1017">
          <cell r="C1017" t="str">
            <v>213506081B45</v>
          </cell>
          <cell r="D1017">
            <v>4</v>
          </cell>
          <cell r="E1017" t="str">
            <v>Bình thường</v>
          </cell>
          <cell r="F1017" t="str">
            <v>BJ2</v>
          </cell>
          <cell r="G1017" t="str">
            <v>AF1</v>
          </cell>
        </row>
        <row r="1018">
          <cell r="C1018" t="str">
            <v>62350900301</v>
          </cell>
          <cell r="D1018">
            <v>4</v>
          </cell>
          <cell r="E1018" t="str">
            <v>Khẩn</v>
          </cell>
          <cell r="F1018" t="str">
            <v>GS1</v>
          </cell>
          <cell r="G1018" t="str">
            <v>ED1, EW1, GS2, EN1, GJ1, AF1</v>
          </cell>
        </row>
        <row r="1019">
          <cell r="C1019" t="str">
            <v>L6235090221</v>
          </cell>
          <cell r="D1019">
            <v>4</v>
          </cell>
          <cell r="E1019" t="str">
            <v>Khẩn</v>
          </cell>
          <cell r="F1019" t="str">
            <v>MA1</v>
          </cell>
          <cell r="G1019" t="str">
            <v>BJ1, HT1, EW1, GS1, WG1, GS2, EW2, GS3, AF1, AB1</v>
          </cell>
        </row>
        <row r="1020">
          <cell r="C1020" t="str">
            <v>L6305050562</v>
          </cell>
          <cell r="D1020">
            <v>4</v>
          </cell>
          <cell r="E1020" t="str">
            <v>Bình thường</v>
          </cell>
          <cell r="F1020" t="str">
            <v>AF1</v>
          </cell>
          <cell r="G1020" t="str">
            <v>VP</v>
          </cell>
        </row>
        <row r="1021">
          <cell r="C1021" t="str">
            <v>61250700341</v>
          </cell>
          <cell r="D1021">
            <v>4</v>
          </cell>
          <cell r="E1021" t="str">
            <v>Bình thường</v>
          </cell>
          <cell r="F1021" t="str">
            <v>EN1</v>
          </cell>
          <cell r="G1021" t="str">
            <v>AF2, AB1</v>
          </cell>
        </row>
        <row r="1022">
          <cell r="C1022" t="str">
            <v>63051001171</v>
          </cell>
          <cell r="D1022">
            <v>4</v>
          </cell>
          <cell r="E1022" t="str">
            <v>Khẩn</v>
          </cell>
          <cell r="F1022" t="str">
            <v>LA1</v>
          </cell>
          <cell r="G1022" t="str">
            <v>BJ1, DA1, EW1, EN1, AF1</v>
          </cell>
        </row>
        <row r="1023">
          <cell r="C1023" t="str">
            <v>L6305070381</v>
          </cell>
          <cell r="D1023">
            <v>4</v>
          </cell>
          <cell r="E1023" t="str">
            <v>Bình thường</v>
          </cell>
          <cell r="F1023" t="str">
            <v>MC1</v>
          </cell>
          <cell r="G1023" t="str">
            <v>VP</v>
          </cell>
        </row>
        <row r="1024">
          <cell r="C1024" t="str">
            <v>L6305090503</v>
          </cell>
          <cell r="D1024">
            <v>4</v>
          </cell>
          <cell r="E1024" t="str">
            <v>Khẩn</v>
          </cell>
          <cell r="F1024" t="str">
            <v>AB1</v>
          </cell>
          <cell r="G1024" t="str">
            <v>KT</v>
          </cell>
        </row>
        <row r="1025">
          <cell r="C1025" t="str">
            <v>L63050905013</v>
          </cell>
          <cell r="D1025">
            <v>4</v>
          </cell>
          <cell r="E1025" t="str">
            <v>Khẩn</v>
          </cell>
          <cell r="F1025" t="str">
            <v>MA1</v>
          </cell>
          <cell r="G1025" t="str">
            <v>EW1, BJ1, AF1</v>
          </cell>
        </row>
        <row r="1026">
          <cell r="C1026" t="str">
            <v>L6115070221</v>
          </cell>
          <cell r="D1026">
            <v>4</v>
          </cell>
          <cell r="E1026" t="str">
            <v>Bình thường</v>
          </cell>
          <cell r="F1026" t="str">
            <v>GR1</v>
          </cell>
          <cell r="G1026" t="str">
            <v>VP</v>
          </cell>
        </row>
        <row r="1027">
          <cell r="C1027" t="str">
            <v>L6125100016</v>
          </cell>
          <cell r="D1027">
            <v>4</v>
          </cell>
          <cell r="E1027" t="str">
            <v>Bình thường</v>
          </cell>
          <cell r="F1027" t="str">
            <v>LA1</v>
          </cell>
          <cell r="G1027" t="str">
            <v>BJ1, DA1</v>
          </cell>
        </row>
        <row r="1028">
          <cell r="C1028" t="str">
            <v>L6215090301</v>
          </cell>
          <cell r="D1028">
            <v>4</v>
          </cell>
          <cell r="E1028" t="str">
            <v>Bình thường</v>
          </cell>
          <cell r="F1028" t="str">
            <v>MA1</v>
          </cell>
          <cell r="G1028" t="str">
            <v>BJ1, AB1</v>
          </cell>
        </row>
        <row r="1029">
          <cell r="C1029" t="str">
            <v>L6305100201</v>
          </cell>
          <cell r="D1029">
            <v>4</v>
          </cell>
          <cell r="E1029" t="str">
            <v>Khẩn</v>
          </cell>
          <cell r="F1029" t="str">
            <v>MA1</v>
          </cell>
          <cell r="G1029" t="str">
            <v>BJ1, HT1, GS1, MC1, EN1, AB1</v>
          </cell>
        </row>
        <row r="1030">
          <cell r="C1030" t="str">
            <v>L6215090303</v>
          </cell>
          <cell r="D1030">
            <v>4</v>
          </cell>
          <cell r="E1030" t="str">
            <v>Bình thường</v>
          </cell>
          <cell r="F1030" t="str">
            <v>MA1</v>
          </cell>
          <cell r="G1030" t="str">
            <v>BJ1, DA1, AB1</v>
          </cell>
        </row>
        <row r="1031">
          <cell r="C1031" t="str">
            <v>L61251000112</v>
          </cell>
          <cell r="D1031">
            <v>4</v>
          </cell>
          <cell r="E1031" t="str">
            <v>Bình thường</v>
          </cell>
          <cell r="F1031" t="str">
            <v>LA1</v>
          </cell>
          <cell r="G1031" t="str">
            <v>BJ1, DA1</v>
          </cell>
        </row>
        <row r="1032">
          <cell r="C1032" t="str">
            <v>L6225050163</v>
          </cell>
          <cell r="D1032">
            <v>4</v>
          </cell>
          <cell r="E1032" t="str">
            <v>Bình thường</v>
          </cell>
          <cell r="F1032" t="str">
            <v>AA1</v>
          </cell>
          <cell r="G1032" t="str">
            <v>MA1, BJ1, DA1, AB1</v>
          </cell>
        </row>
        <row r="1033">
          <cell r="C1033" t="str">
            <v>L6125100018</v>
          </cell>
          <cell r="D1033">
            <v>4</v>
          </cell>
          <cell r="E1033" t="str">
            <v>Bình thường</v>
          </cell>
          <cell r="F1033" t="str">
            <v>LA1</v>
          </cell>
          <cell r="G1033" t="str">
            <v>BJ1, DA1</v>
          </cell>
        </row>
        <row r="1034">
          <cell r="C1034" t="str">
            <v>L6215090302</v>
          </cell>
          <cell r="D1034">
            <v>4</v>
          </cell>
          <cell r="E1034" t="str">
            <v>Bình thường</v>
          </cell>
          <cell r="F1034" t="str">
            <v>MA1</v>
          </cell>
          <cell r="G1034" t="str">
            <v>BJ1, DA1, AB1</v>
          </cell>
        </row>
        <row r="1035">
          <cell r="C1035" t="str">
            <v>L6305050392</v>
          </cell>
          <cell r="D1035">
            <v>4</v>
          </cell>
          <cell r="E1035" t="str">
            <v>Bình thường</v>
          </cell>
          <cell r="F1035" t="str">
            <v>GS2</v>
          </cell>
          <cell r="G1035" t="str">
            <v>AF1, AB1</v>
          </cell>
        </row>
        <row r="1036">
          <cell r="C1036" t="str">
            <v>L6115040511</v>
          </cell>
          <cell r="D1036">
            <v>4</v>
          </cell>
          <cell r="E1036" t="str">
            <v>Bình thường</v>
          </cell>
          <cell r="F1036" t="str">
            <v>WG1</v>
          </cell>
          <cell r="G1036" t="str">
            <v>AF1</v>
          </cell>
        </row>
        <row r="1037">
          <cell r="C1037" t="str">
            <v>213508192A37</v>
          </cell>
          <cell r="D1037">
            <v>4</v>
          </cell>
          <cell r="E1037" t="str">
            <v>Bình thường</v>
          </cell>
          <cell r="F1037" t="str">
            <v>GS1</v>
          </cell>
          <cell r="G1037" t="str">
            <v>VP</v>
          </cell>
        </row>
        <row r="1038">
          <cell r="C1038" t="str">
            <v>62351000291</v>
          </cell>
          <cell r="D1038">
            <v>4</v>
          </cell>
          <cell r="E1038" t="str">
            <v>Khẩn</v>
          </cell>
          <cell r="F1038" t="str">
            <v>GS1</v>
          </cell>
          <cell r="G1038" t="str">
            <v>WG1, GS2, EW2, EN1, AF1, AB1</v>
          </cell>
        </row>
        <row r="1039">
          <cell r="C1039" t="str">
            <v>L6125100012</v>
          </cell>
          <cell r="D1039">
            <v>4</v>
          </cell>
          <cell r="E1039" t="str">
            <v>Bình thường</v>
          </cell>
          <cell r="F1039" t="str">
            <v>LA1</v>
          </cell>
          <cell r="G1039" t="str">
            <v>BJ1, DA1</v>
          </cell>
        </row>
        <row r="1040">
          <cell r="C1040" t="str">
            <v>L6305080985</v>
          </cell>
          <cell r="D1040">
            <v>4</v>
          </cell>
          <cell r="E1040" t="str">
            <v>Bình thường</v>
          </cell>
          <cell r="F1040" t="str">
            <v>AB1</v>
          </cell>
          <cell r="G1040" t="str">
            <v>VP</v>
          </cell>
        </row>
        <row r="1041">
          <cell r="C1041" t="str">
            <v>L6305080981</v>
          </cell>
          <cell r="D1041">
            <v>4</v>
          </cell>
          <cell r="E1041" t="str">
            <v>Bình thường</v>
          </cell>
          <cell r="F1041" t="str">
            <v>ED1</v>
          </cell>
          <cell r="G1041" t="str">
            <v>EW1, GR1, GS1, AF1, AB1</v>
          </cell>
        </row>
        <row r="1042">
          <cell r="C1042" t="str">
            <v>L6305050112</v>
          </cell>
          <cell r="D1042">
            <v>4</v>
          </cell>
          <cell r="E1042" t="str">
            <v>Bình thường</v>
          </cell>
          <cell r="F1042" t="str">
            <v>AA1</v>
          </cell>
          <cell r="G1042" t="str">
            <v>MA1, BJ1, HT1, GS1, AB1</v>
          </cell>
        </row>
        <row r="1043">
          <cell r="C1043" t="str">
            <v>L6305081006</v>
          </cell>
          <cell r="D1043">
            <v>4</v>
          </cell>
          <cell r="E1043" t="str">
            <v>Bình thường</v>
          </cell>
          <cell r="F1043" t="str">
            <v>DA1</v>
          </cell>
          <cell r="G1043" t="str">
            <v>HT1, GS1, GJ1, AF1, AB1</v>
          </cell>
        </row>
        <row r="1044">
          <cell r="C1044" t="str">
            <v>L6125100014</v>
          </cell>
          <cell r="D1044">
            <v>4</v>
          </cell>
          <cell r="E1044" t="str">
            <v>Bình thường</v>
          </cell>
          <cell r="F1044" t="str">
            <v>LA1</v>
          </cell>
          <cell r="G1044" t="str">
            <v>BJ1, DA1</v>
          </cell>
        </row>
        <row r="1045">
          <cell r="C1045" t="str">
            <v>L6215080153</v>
          </cell>
          <cell r="D1045">
            <v>4</v>
          </cell>
          <cell r="E1045" t="str">
            <v>Bình thường</v>
          </cell>
          <cell r="F1045" t="str">
            <v>BJ1</v>
          </cell>
          <cell r="G1045" t="str">
            <v>AF1, AB1</v>
          </cell>
        </row>
        <row r="1046">
          <cell r="C1046" t="str">
            <v>L6215080152</v>
          </cell>
          <cell r="D1046">
            <v>4</v>
          </cell>
          <cell r="E1046" t="str">
            <v>Bình thường</v>
          </cell>
          <cell r="F1046" t="str">
            <v>LA1</v>
          </cell>
          <cell r="G1046" t="str">
            <v>BJ1, DA1, HT1, GR1, GJ1, GS1, GP1, AF1, AB1, BJ1, DA1, HT1, GR1, GJ1, GS1, GP1, AF1, AB1</v>
          </cell>
        </row>
        <row r="1047">
          <cell r="C1047" t="str">
            <v>L2135057083</v>
          </cell>
          <cell r="D1047">
            <v>4</v>
          </cell>
          <cell r="E1047" t="str">
            <v>Bình thường</v>
          </cell>
          <cell r="F1047" t="str">
            <v>MA1</v>
          </cell>
          <cell r="G1047" t="str">
            <v>BJ1, WG1, AB1</v>
          </cell>
        </row>
        <row r="1048">
          <cell r="C1048" t="str">
            <v>L4135100114</v>
          </cell>
          <cell r="D1048">
            <v>4</v>
          </cell>
          <cell r="E1048" t="str">
            <v>Khẩn</v>
          </cell>
          <cell r="F1048" t="str">
            <v>MA1</v>
          </cell>
          <cell r="G1048" t="str">
            <v>GS1, BJ1, AB1</v>
          </cell>
        </row>
        <row r="1049">
          <cell r="C1049" t="str">
            <v>L6115030256</v>
          </cell>
          <cell r="D1049">
            <v>4</v>
          </cell>
          <cell r="E1049" t="str">
            <v>Bình thường</v>
          </cell>
          <cell r="F1049" t="str">
            <v>GS1</v>
          </cell>
          <cell r="G1049" t="str">
            <v>GP1</v>
          </cell>
        </row>
        <row r="1050">
          <cell r="C1050" t="str">
            <v>L21350570828</v>
          </cell>
          <cell r="D1050">
            <v>4</v>
          </cell>
          <cell r="E1050" t="str">
            <v>Bình thường</v>
          </cell>
          <cell r="F1050" t="str">
            <v>BJ1</v>
          </cell>
          <cell r="G1050" t="str">
            <v>DA1, AB1</v>
          </cell>
        </row>
        <row r="1051">
          <cell r="C1051" t="str">
            <v>L61251000110</v>
          </cell>
          <cell r="D1051">
            <v>4</v>
          </cell>
          <cell r="E1051" t="str">
            <v>Bình thường</v>
          </cell>
          <cell r="F1051" t="str">
            <v>LA1</v>
          </cell>
          <cell r="G1051" t="str">
            <v>BJ1, DA1</v>
          </cell>
        </row>
        <row r="1052">
          <cell r="C1052" t="str">
            <v>62350800081</v>
          </cell>
          <cell r="D1052">
            <v>4</v>
          </cell>
          <cell r="E1052" t="str">
            <v>Bình thường</v>
          </cell>
          <cell r="F1052" t="str">
            <v>LT1</v>
          </cell>
          <cell r="G1052" t="str">
            <v>KT</v>
          </cell>
        </row>
        <row r="1053">
          <cell r="C1053" t="str">
            <v>L6305050393</v>
          </cell>
          <cell r="D1053">
            <v>4</v>
          </cell>
          <cell r="E1053" t="str">
            <v>Bình thường</v>
          </cell>
          <cell r="F1053" t="str">
            <v>GS2</v>
          </cell>
          <cell r="G1053" t="str">
            <v>AF1, AB1</v>
          </cell>
        </row>
        <row r="1054">
          <cell r="C1054" t="str">
            <v>R4155100021</v>
          </cell>
          <cell r="D1054">
            <v>4</v>
          </cell>
          <cell r="E1054" t="str">
            <v>Bình thường</v>
          </cell>
          <cell r="F1054" t="str">
            <v>ED1</v>
          </cell>
          <cell r="G1054" t="str">
            <v>GJ1</v>
          </cell>
        </row>
        <row r="1055">
          <cell r="C1055" t="str">
            <v>213507052B28</v>
          </cell>
          <cell r="D1055">
            <v>4</v>
          </cell>
          <cell r="E1055" t="str">
            <v>Bình thường</v>
          </cell>
          <cell r="F1055" t="str">
            <v>ED1</v>
          </cell>
          <cell r="G1055" t="str">
            <v>EN1, AF1</v>
          </cell>
        </row>
        <row r="1056">
          <cell r="C1056" t="str">
            <v>L21350570832</v>
          </cell>
          <cell r="D1056">
            <v>4</v>
          </cell>
          <cell r="E1056" t="str">
            <v>Bình thường</v>
          </cell>
          <cell r="F1056" t="str">
            <v>AA1</v>
          </cell>
          <cell r="G1056" t="str">
            <v>MA1, GS1, BJ1, DA1, AB1</v>
          </cell>
        </row>
        <row r="1057">
          <cell r="C1057" t="str">
            <v>213509220A21</v>
          </cell>
          <cell r="D1057">
            <v>4</v>
          </cell>
          <cell r="E1057" t="str">
            <v>Bình thường</v>
          </cell>
          <cell r="F1057" t="str">
            <v>GR1</v>
          </cell>
          <cell r="G1057" t="str">
            <v>GS1, GC1, GP1, GS2</v>
          </cell>
        </row>
        <row r="1058">
          <cell r="C1058" t="str">
            <v>L6305100073</v>
          </cell>
          <cell r="D1058">
            <v>4</v>
          </cell>
          <cell r="E1058" t="str">
            <v>Bình thường</v>
          </cell>
          <cell r="F1058" t="str">
            <v>LA1</v>
          </cell>
          <cell r="G1058" t="str">
            <v>BJ1, AB1</v>
          </cell>
        </row>
        <row r="1059">
          <cell r="C1059" t="str">
            <v>63050801331</v>
          </cell>
          <cell r="D1059">
            <v>4</v>
          </cell>
          <cell r="E1059" t="str">
            <v>Bình thường</v>
          </cell>
          <cell r="F1059" t="str">
            <v>ED1</v>
          </cell>
          <cell r="G1059" t="str">
            <v>EW1, GS2, GC1, GJ1, KA1, AF1, HT2, ED2, EW2, EN1, LA1, AF2</v>
          </cell>
        </row>
        <row r="1060">
          <cell r="C1060" t="str">
            <v>L6235080106</v>
          </cell>
          <cell r="D1060">
            <v>4</v>
          </cell>
          <cell r="E1060" t="str">
            <v>Bình thường</v>
          </cell>
          <cell r="F1060" t="str">
            <v>GC1</v>
          </cell>
          <cell r="G1060" t="str">
            <v>GS2, AF1, AB1</v>
          </cell>
        </row>
        <row r="1061">
          <cell r="C1061" t="str">
            <v>213508503A29</v>
          </cell>
          <cell r="D1061">
            <v>4</v>
          </cell>
          <cell r="E1061" t="str">
            <v>Bình thường</v>
          </cell>
          <cell r="F1061" t="str">
            <v>HT1</v>
          </cell>
          <cell r="G1061" t="str">
            <v>GS1, EW1, AF1</v>
          </cell>
        </row>
        <row r="1062">
          <cell r="C1062" t="str">
            <v>L21350570841</v>
          </cell>
          <cell r="D1062">
            <v>4</v>
          </cell>
          <cell r="E1062" t="str">
            <v>Bình thường</v>
          </cell>
          <cell r="F1062" t="str">
            <v>MA1</v>
          </cell>
          <cell r="G1062" t="str">
            <v>GS1, BJ1, DA1, AB1</v>
          </cell>
        </row>
        <row r="1063">
          <cell r="C1063" t="str">
            <v>L6305080483</v>
          </cell>
          <cell r="D1063">
            <v>4</v>
          </cell>
          <cell r="E1063" t="str">
            <v>Bình thường</v>
          </cell>
          <cell r="F1063" t="str">
            <v>GC1</v>
          </cell>
          <cell r="G1063" t="str">
            <v>BJ1, AF1, AB1</v>
          </cell>
        </row>
        <row r="1064">
          <cell r="C1064" t="str">
            <v>L41351001117</v>
          </cell>
          <cell r="D1064">
            <v>4</v>
          </cell>
          <cell r="E1064" t="str">
            <v>Khẩn</v>
          </cell>
          <cell r="F1064" t="str">
            <v>MA1</v>
          </cell>
          <cell r="G1064" t="str">
            <v>BJ1, HT1, AB1</v>
          </cell>
        </row>
        <row r="1065">
          <cell r="C1065" t="str">
            <v>L6305080392</v>
          </cell>
          <cell r="D1065">
            <v>4</v>
          </cell>
          <cell r="E1065" t="str">
            <v>Bình thường</v>
          </cell>
          <cell r="F1065" t="str">
            <v>BJ1</v>
          </cell>
          <cell r="G1065" t="str">
            <v>DA1, GS1, AB1</v>
          </cell>
        </row>
        <row r="1066">
          <cell r="C1066" t="str">
            <v>L6225020148</v>
          </cell>
          <cell r="D1066">
            <v>4</v>
          </cell>
          <cell r="E1066" t="str">
            <v>Bình thường</v>
          </cell>
          <cell r="F1066" t="str">
            <v>BJ1</v>
          </cell>
          <cell r="G1066" t="str">
            <v>AB1</v>
          </cell>
        </row>
        <row r="1067">
          <cell r="C1067" t="str">
            <v>L6235070273</v>
          </cell>
          <cell r="D1067">
            <v>4</v>
          </cell>
          <cell r="E1067" t="str">
            <v>Bình thường</v>
          </cell>
          <cell r="F1067" t="str">
            <v>MC1</v>
          </cell>
          <cell r="G1067" t="str">
            <v>HT1, EW1, EN1, AF1</v>
          </cell>
        </row>
        <row r="1068">
          <cell r="C1068" t="str">
            <v>L6305080125</v>
          </cell>
          <cell r="D1068">
            <v>4</v>
          </cell>
          <cell r="E1068" t="str">
            <v>Bình thường</v>
          </cell>
          <cell r="F1068" t="str">
            <v>MC1</v>
          </cell>
          <cell r="G1068" t="str">
            <v>HT1, AF1, AB1</v>
          </cell>
        </row>
        <row r="1069">
          <cell r="C1069" t="str">
            <v>L6305060292</v>
          </cell>
          <cell r="D1069">
            <v>4</v>
          </cell>
          <cell r="E1069" t="str">
            <v>Bình thường</v>
          </cell>
          <cell r="F1069" t="str">
            <v>EW1</v>
          </cell>
          <cell r="G1069" t="str">
            <v>GS1, WG1, GS2, EW2, AF1</v>
          </cell>
        </row>
        <row r="1070">
          <cell r="C1070" t="str">
            <v>L4135100503</v>
          </cell>
          <cell r="D1070">
            <v>4</v>
          </cell>
          <cell r="E1070" t="str">
            <v>Khẩn</v>
          </cell>
          <cell r="F1070" t="str">
            <v>AA1</v>
          </cell>
          <cell r="G1070" t="str">
            <v>MA1, BJ1, HT1, GS1, EW1, EN1, AF1, AB1</v>
          </cell>
        </row>
        <row r="1071">
          <cell r="C1071" t="str">
            <v>L6305070388</v>
          </cell>
          <cell r="D1071">
            <v>4</v>
          </cell>
          <cell r="E1071" t="str">
            <v>Bình thường</v>
          </cell>
          <cell r="F1071" t="str">
            <v>MC1</v>
          </cell>
          <cell r="G1071" t="str">
            <v>HT1, AF1, AB1</v>
          </cell>
        </row>
        <row r="1072">
          <cell r="C1072" t="str">
            <v>L6305100072</v>
          </cell>
          <cell r="D1072">
            <v>4</v>
          </cell>
          <cell r="E1072" t="str">
            <v>Bình thường</v>
          </cell>
          <cell r="F1072" t="str">
            <v>LA1</v>
          </cell>
          <cell r="G1072" t="str">
            <v>BJ1, AB1</v>
          </cell>
        </row>
        <row r="1073">
          <cell r="C1073" t="str">
            <v>213508044A2</v>
          </cell>
          <cell r="D1073">
            <v>4</v>
          </cell>
          <cell r="E1073" t="str">
            <v>Bình thường</v>
          </cell>
          <cell r="F1073" t="str">
            <v>GC1</v>
          </cell>
          <cell r="G1073" t="str">
            <v>GP1, AF1</v>
          </cell>
        </row>
        <row r="1074">
          <cell r="C1074" t="str">
            <v>213510089A4</v>
          </cell>
          <cell r="D1074">
            <v>4</v>
          </cell>
          <cell r="E1074" t="str">
            <v>Bình thường</v>
          </cell>
          <cell r="F1074" t="str">
            <v>AA1</v>
          </cell>
          <cell r="G1074" t="str">
            <v>MA1, BJ1, AF1</v>
          </cell>
        </row>
        <row r="1075">
          <cell r="C1075" t="str">
            <v>L6245090133</v>
          </cell>
          <cell r="D1075">
            <v>4</v>
          </cell>
          <cell r="E1075" t="str">
            <v>Bình thường</v>
          </cell>
          <cell r="F1075" t="str">
            <v>GS1</v>
          </cell>
          <cell r="G1075" t="str">
            <v>GC1, GS2, AF1</v>
          </cell>
        </row>
        <row r="1076">
          <cell r="C1076" t="str">
            <v>L6305070387</v>
          </cell>
          <cell r="D1076">
            <v>4</v>
          </cell>
          <cell r="E1076" t="str">
            <v>Bình thường</v>
          </cell>
          <cell r="F1076" t="str">
            <v>MC1</v>
          </cell>
          <cell r="G1076" t="str">
            <v>HT1, AF1, AB1</v>
          </cell>
        </row>
        <row r="1077">
          <cell r="C1077" t="str">
            <v>213508084B41</v>
          </cell>
          <cell r="D1077">
            <v>4</v>
          </cell>
          <cell r="E1077" t="str">
            <v>Bình thường</v>
          </cell>
          <cell r="F1077" t="str">
            <v>GS1</v>
          </cell>
          <cell r="G1077" t="str">
            <v>EN1, AF1</v>
          </cell>
        </row>
        <row r="1078">
          <cell r="C1078" t="str">
            <v>62250700051</v>
          </cell>
          <cell r="D1078">
            <v>4</v>
          </cell>
          <cell r="E1078" t="str">
            <v>Bình thường</v>
          </cell>
          <cell r="F1078" t="str">
            <v>EN1</v>
          </cell>
          <cell r="G1078" t="str">
            <v>AF1, AB1</v>
          </cell>
        </row>
        <row r="1079">
          <cell r="C1079" t="str">
            <v>L6235060184</v>
          </cell>
          <cell r="D1079">
            <v>4</v>
          </cell>
          <cell r="E1079" t="str">
            <v>Bình thường</v>
          </cell>
          <cell r="F1079" t="str">
            <v>GS2</v>
          </cell>
          <cell r="G1079" t="str">
            <v>EW2, AF1, AB1, EW2, AF1, AB1</v>
          </cell>
        </row>
        <row r="1080">
          <cell r="C1080" t="str">
            <v>213509052B1</v>
          </cell>
          <cell r="D1080">
            <v>4</v>
          </cell>
          <cell r="E1080" t="str">
            <v>Bình thường</v>
          </cell>
          <cell r="F1080" t="str">
            <v>MA1</v>
          </cell>
          <cell r="G1080" t="str">
            <v>BJ1, DA1</v>
          </cell>
        </row>
        <row r="1081">
          <cell r="C1081" t="str">
            <v>63050601181</v>
          </cell>
          <cell r="D1081">
            <v>4</v>
          </cell>
          <cell r="E1081" t="str">
            <v>Bình thường</v>
          </cell>
          <cell r="F1081" t="str">
            <v>EN1</v>
          </cell>
          <cell r="G1081" t="str">
            <v>AB1</v>
          </cell>
        </row>
        <row r="1082">
          <cell r="C1082" t="str">
            <v>L6305021054</v>
          </cell>
          <cell r="D1082">
            <v>4</v>
          </cell>
          <cell r="E1082" t="str">
            <v>Bình thường</v>
          </cell>
          <cell r="F1082" t="str">
            <v>GS1</v>
          </cell>
          <cell r="G1082" t="str">
            <v>EN1, EW1, AF1</v>
          </cell>
        </row>
        <row r="1083">
          <cell r="C1083" t="str">
            <v>213508179A19</v>
          </cell>
          <cell r="D1083">
            <v>4</v>
          </cell>
          <cell r="E1083" t="str">
            <v>Bình thường</v>
          </cell>
          <cell r="F1083" t="str">
            <v>GR1</v>
          </cell>
          <cell r="G1083" t="str">
            <v>GS1, GP1, GS2, AF1</v>
          </cell>
        </row>
        <row r="1084">
          <cell r="C1084" t="str">
            <v>213508051B17</v>
          </cell>
          <cell r="D1084">
            <v>4</v>
          </cell>
          <cell r="E1084" t="str">
            <v>Bình thường</v>
          </cell>
          <cell r="F1084" t="str">
            <v>GS1</v>
          </cell>
          <cell r="G1084" t="str">
            <v>LA2, AF1, ED1, EW1, AF2, WG1</v>
          </cell>
        </row>
        <row r="1085">
          <cell r="C1085" t="str">
            <v>L6115070204</v>
          </cell>
          <cell r="D1085">
            <v>4</v>
          </cell>
          <cell r="E1085" t="str">
            <v>Bình thường</v>
          </cell>
          <cell r="F1085" t="str">
            <v>GS1</v>
          </cell>
          <cell r="G1085" t="str">
            <v>KT</v>
          </cell>
        </row>
        <row r="1086">
          <cell r="C1086" t="str">
            <v>L6125070091</v>
          </cell>
          <cell r="D1086">
            <v>4</v>
          </cell>
          <cell r="E1086" t="str">
            <v>Bình thường</v>
          </cell>
          <cell r="F1086" t="str">
            <v>GR1</v>
          </cell>
          <cell r="G1086" t="str">
            <v>GC1, GJ1, KA1, AF1, BJ2, HT2, AF2</v>
          </cell>
        </row>
        <row r="1087">
          <cell r="C1087" t="str">
            <v>L6125070092</v>
          </cell>
          <cell r="D1087">
            <v>4</v>
          </cell>
          <cell r="E1087" t="str">
            <v>Bình thường</v>
          </cell>
          <cell r="F1087" t="str">
            <v>GR1</v>
          </cell>
          <cell r="G1087" t="str">
            <v>GC1, GJ1, KA1, AF1, BJ2, HT2, AF2</v>
          </cell>
        </row>
        <row r="1088">
          <cell r="C1088" t="str">
            <v>L6235090126</v>
          </cell>
          <cell r="D1088">
            <v>4</v>
          </cell>
          <cell r="E1088" t="str">
            <v>Bình thường</v>
          </cell>
          <cell r="F1088" t="str">
            <v>MA1</v>
          </cell>
          <cell r="G1088" t="str">
            <v>GS1, MC1</v>
          </cell>
        </row>
        <row r="1089">
          <cell r="C1089" t="str">
            <v>213508110A16</v>
          </cell>
          <cell r="D1089">
            <v>4</v>
          </cell>
          <cell r="E1089" t="str">
            <v>Bình thường</v>
          </cell>
          <cell r="F1089" t="str">
            <v>GC1</v>
          </cell>
          <cell r="G1089" t="str">
            <v>GS2</v>
          </cell>
        </row>
        <row r="1090">
          <cell r="C1090" t="str">
            <v>63050701251</v>
          </cell>
          <cell r="D1090">
            <v>4</v>
          </cell>
          <cell r="E1090" t="str">
            <v>Bình thường</v>
          </cell>
          <cell r="F1090" t="str">
            <v>MC1</v>
          </cell>
          <cell r="G1090" t="str">
            <v>HT1, GS1, EW1, AF1, AB1</v>
          </cell>
        </row>
        <row r="1091">
          <cell r="C1091" t="str">
            <v>213508504A30</v>
          </cell>
          <cell r="D1091">
            <v>4</v>
          </cell>
          <cell r="E1091" t="str">
            <v>Bình thường</v>
          </cell>
          <cell r="F1091" t="str">
            <v>GS1</v>
          </cell>
          <cell r="G1091" t="str">
            <v>EW1, AF1</v>
          </cell>
        </row>
        <row r="1092">
          <cell r="C1092" t="str">
            <v>L6115050111</v>
          </cell>
          <cell r="D1092">
            <v>4</v>
          </cell>
          <cell r="E1092" t="str">
            <v>Bình thường</v>
          </cell>
          <cell r="F1092" t="str">
            <v>GS2</v>
          </cell>
          <cell r="G1092" t="str">
            <v>KT</v>
          </cell>
        </row>
        <row r="1093">
          <cell r="C1093" t="str">
            <v>L63050806010</v>
          </cell>
          <cell r="D1093">
            <v>4</v>
          </cell>
          <cell r="E1093" t="str">
            <v>Bình thường</v>
          </cell>
          <cell r="F1093" t="str">
            <v>AA1</v>
          </cell>
          <cell r="G1093" t="str">
            <v>MA1, BJ1</v>
          </cell>
        </row>
        <row r="1094">
          <cell r="C1094" t="str">
            <v>213506131B27</v>
          </cell>
          <cell r="D1094">
            <v>4</v>
          </cell>
          <cell r="E1094" t="str">
            <v>Bình thường</v>
          </cell>
          <cell r="F1094" t="str">
            <v>EW1</v>
          </cell>
          <cell r="G1094" t="str">
            <v>AF1, AB1</v>
          </cell>
        </row>
        <row r="1095">
          <cell r="C1095" t="str">
            <v>63050900971</v>
          </cell>
          <cell r="D1095">
            <v>4</v>
          </cell>
          <cell r="E1095" t="str">
            <v>Bình thường</v>
          </cell>
          <cell r="F1095" t="str">
            <v>MA1</v>
          </cell>
          <cell r="G1095" t="str">
            <v>BJ1, DA1, MC1, EW1, AF1</v>
          </cell>
        </row>
        <row r="1096">
          <cell r="C1096" t="str">
            <v>L6305100104</v>
          </cell>
          <cell r="D1096">
            <v>4</v>
          </cell>
          <cell r="E1096" t="str">
            <v>Bình thường</v>
          </cell>
          <cell r="F1096" t="str">
            <v>AA1</v>
          </cell>
          <cell r="G1096" t="str">
            <v>MA1, BJ1, DA1, AB1</v>
          </cell>
        </row>
        <row r="1097">
          <cell r="C1097" t="str">
            <v>L6305080123</v>
          </cell>
          <cell r="D1097">
            <v>4</v>
          </cell>
          <cell r="E1097" t="str">
            <v>Bình thường</v>
          </cell>
          <cell r="F1097" t="str">
            <v>MA1</v>
          </cell>
          <cell r="G1097" t="str">
            <v>HT1, MC1</v>
          </cell>
        </row>
        <row r="1098">
          <cell r="C1098" t="str">
            <v>63050800201</v>
          </cell>
          <cell r="D1098">
            <v>4</v>
          </cell>
          <cell r="E1098" t="str">
            <v>Bình thường</v>
          </cell>
          <cell r="F1098" t="str">
            <v>MC1</v>
          </cell>
          <cell r="G1098" t="str">
            <v>HT1, GS1, GR1, EW1, EN1, AF1</v>
          </cell>
        </row>
        <row r="1099">
          <cell r="C1099" t="str">
            <v>213505071A19</v>
          </cell>
          <cell r="D1099">
            <v>4</v>
          </cell>
          <cell r="E1099" t="str">
            <v>Bình thường</v>
          </cell>
          <cell r="F1099" t="str">
            <v>EN1</v>
          </cell>
          <cell r="G1099" t="str">
            <v>GP1, AF1</v>
          </cell>
        </row>
        <row r="1100">
          <cell r="C1100" t="str">
            <v>L6115070214</v>
          </cell>
          <cell r="D1100">
            <v>4</v>
          </cell>
          <cell r="E1100" t="str">
            <v>Bình thường</v>
          </cell>
          <cell r="F1100" t="str">
            <v>GS1</v>
          </cell>
          <cell r="G1100" t="str">
            <v>GP1</v>
          </cell>
        </row>
        <row r="1101">
          <cell r="C1101" t="str">
            <v>L6305080124</v>
          </cell>
          <cell r="D1101">
            <v>4</v>
          </cell>
          <cell r="E1101" t="str">
            <v>Bình thường</v>
          </cell>
          <cell r="F1101" t="str">
            <v>MA1</v>
          </cell>
          <cell r="G1101" t="str">
            <v>HT1, MC1, AF1</v>
          </cell>
        </row>
        <row r="1102">
          <cell r="C1102" t="str">
            <v>L6305081003</v>
          </cell>
          <cell r="D1102">
            <v>4</v>
          </cell>
          <cell r="E1102" t="str">
            <v>Bình thường</v>
          </cell>
          <cell r="F1102" t="str">
            <v>GJ1</v>
          </cell>
          <cell r="G1102" t="str">
            <v>AF1, AB1</v>
          </cell>
        </row>
        <row r="1103">
          <cell r="C1103" t="str">
            <v>213508093A52</v>
          </cell>
          <cell r="D1103">
            <v>4</v>
          </cell>
          <cell r="E1103" t="str">
            <v>Bình thường</v>
          </cell>
          <cell r="F1103" t="str">
            <v>GS1</v>
          </cell>
          <cell r="G1103" t="str">
            <v>AF1, AB1</v>
          </cell>
        </row>
        <row r="1104">
          <cell r="C1104" t="str">
            <v>213509195A60</v>
          </cell>
          <cell r="D1104">
            <v>4</v>
          </cell>
          <cell r="E1104" t="str">
            <v>Bình thường</v>
          </cell>
          <cell r="F1104" t="str">
            <v>GS1</v>
          </cell>
          <cell r="G1104" t="str">
            <v>AF1, AB1</v>
          </cell>
        </row>
        <row r="1105">
          <cell r="C1105" t="str">
            <v>L6115070273</v>
          </cell>
          <cell r="D1105">
            <v>4</v>
          </cell>
          <cell r="E1105" t="str">
            <v>Bình thường</v>
          </cell>
          <cell r="F1105" t="str">
            <v>MA1</v>
          </cell>
          <cell r="G1105" t="str">
            <v>BJ1, HT1, GS1, AF1</v>
          </cell>
        </row>
        <row r="1106">
          <cell r="C1106" t="str">
            <v>L6305100074</v>
          </cell>
          <cell r="D1106">
            <v>4</v>
          </cell>
          <cell r="E1106" t="str">
            <v>Bình thường</v>
          </cell>
          <cell r="F1106" t="str">
            <v>LN1</v>
          </cell>
          <cell r="G1106" t="str">
            <v>BJ1, AB1</v>
          </cell>
        </row>
        <row r="1107">
          <cell r="C1107" t="str">
            <v>L6305080606</v>
          </cell>
          <cell r="D1107">
            <v>4</v>
          </cell>
          <cell r="E1107" t="str">
            <v>Bình thường</v>
          </cell>
          <cell r="F1107" t="str">
            <v>MA1</v>
          </cell>
          <cell r="G1107" t="str">
            <v>GS1, MC1, AB1</v>
          </cell>
        </row>
        <row r="1108">
          <cell r="C1108" t="str">
            <v>L6245090131</v>
          </cell>
          <cell r="D1108">
            <v>4</v>
          </cell>
          <cell r="E1108" t="str">
            <v>Bình thường</v>
          </cell>
          <cell r="F1108" t="str">
            <v>GC1</v>
          </cell>
          <cell r="G1108" t="str">
            <v>GS2, AF1</v>
          </cell>
        </row>
        <row r="1109">
          <cell r="C1109" t="str">
            <v>213506246A10</v>
          </cell>
          <cell r="D1109">
            <v>4</v>
          </cell>
          <cell r="E1109" t="str">
            <v>Bình thường</v>
          </cell>
          <cell r="F1109" t="str">
            <v>EW1</v>
          </cell>
          <cell r="G1109" t="str">
            <v>GS1, EW2, EN1</v>
          </cell>
        </row>
        <row r="1110">
          <cell r="C1110" t="str">
            <v>L6225100112</v>
          </cell>
          <cell r="D1110">
            <v>4</v>
          </cell>
          <cell r="E1110" t="str">
            <v>Bình thường</v>
          </cell>
          <cell r="F1110" t="str">
            <v>AA1</v>
          </cell>
          <cell r="G1110" t="str">
            <v>MA1, MC1</v>
          </cell>
        </row>
        <row r="1111">
          <cell r="C1111" t="str">
            <v>L6115080371</v>
          </cell>
          <cell r="D1111">
            <v>4</v>
          </cell>
          <cell r="E1111" t="str">
            <v>Bình thường</v>
          </cell>
          <cell r="F1111" t="str">
            <v>WG1</v>
          </cell>
          <cell r="G1111" t="str">
            <v>AF1</v>
          </cell>
        </row>
        <row r="1112">
          <cell r="C1112" t="str">
            <v>213507008B33</v>
          </cell>
          <cell r="D1112">
            <v>4</v>
          </cell>
          <cell r="E1112" t="str">
            <v>Bình thường</v>
          </cell>
          <cell r="F1112" t="str">
            <v>EW1</v>
          </cell>
          <cell r="G1112" t="str">
            <v>GS2, AF1, AL1</v>
          </cell>
        </row>
        <row r="1113">
          <cell r="C1113" t="str">
            <v>L6115020532</v>
          </cell>
          <cell r="D1113">
            <v>4</v>
          </cell>
          <cell r="E1113" t="str">
            <v>Bình thường</v>
          </cell>
          <cell r="F1113" t="str">
            <v>GP1</v>
          </cell>
          <cell r="G1113" t="str">
            <v>KT</v>
          </cell>
        </row>
        <row r="1114">
          <cell r="C1114" t="str">
            <v>L6115070388</v>
          </cell>
          <cell r="D1114">
            <v>4</v>
          </cell>
          <cell r="E1114" t="str">
            <v>Bình thường</v>
          </cell>
          <cell r="F1114" t="str">
            <v>MA1</v>
          </cell>
          <cell r="G1114" t="str">
            <v>HT1, GS1</v>
          </cell>
        </row>
        <row r="1115">
          <cell r="C1115" t="str">
            <v>L6115070389</v>
          </cell>
          <cell r="D1115">
            <v>4</v>
          </cell>
          <cell r="E1115" t="str">
            <v>Bình thường</v>
          </cell>
          <cell r="F1115" t="str">
            <v>GS1</v>
          </cell>
          <cell r="G1115" t="str">
            <v>KT</v>
          </cell>
        </row>
        <row r="1116">
          <cell r="C1116" t="str">
            <v>L6115070222</v>
          </cell>
          <cell r="D1116">
            <v>4</v>
          </cell>
          <cell r="E1116" t="str">
            <v>Bình thường</v>
          </cell>
          <cell r="F1116" t="str">
            <v>GS1</v>
          </cell>
          <cell r="G1116" t="str">
            <v>GP1</v>
          </cell>
        </row>
        <row r="1117">
          <cell r="C1117" t="str">
            <v>L6115070381</v>
          </cell>
          <cell r="D1117">
            <v>4</v>
          </cell>
          <cell r="E1117" t="str">
            <v>Bình thường</v>
          </cell>
          <cell r="F1117" t="str">
            <v>GS1</v>
          </cell>
          <cell r="G1117" t="str">
            <v>KT</v>
          </cell>
        </row>
        <row r="1118">
          <cell r="C1118" t="str">
            <v>L6115070385</v>
          </cell>
          <cell r="D1118">
            <v>4</v>
          </cell>
          <cell r="E1118" t="str">
            <v>Bình thường</v>
          </cell>
          <cell r="F1118" t="str">
            <v>GS1</v>
          </cell>
          <cell r="G1118" t="str">
            <v>KT</v>
          </cell>
        </row>
        <row r="1119">
          <cell r="C1119" t="str">
            <v>L6115070383</v>
          </cell>
          <cell r="D1119">
            <v>4</v>
          </cell>
          <cell r="E1119" t="str">
            <v>Bình thường</v>
          </cell>
          <cell r="F1119" t="str">
            <v>GS1</v>
          </cell>
          <cell r="G1119" t="str">
            <v>KT</v>
          </cell>
        </row>
        <row r="1120">
          <cell r="C1120" t="str">
            <v>L6115070386</v>
          </cell>
          <cell r="D1120">
            <v>4</v>
          </cell>
          <cell r="E1120" t="str">
            <v>Bình thường</v>
          </cell>
          <cell r="F1120" t="str">
            <v>MA1</v>
          </cell>
          <cell r="G1120" t="str">
            <v>HT1, GS1</v>
          </cell>
        </row>
        <row r="1121">
          <cell r="C1121" t="str">
            <v>L6115070387</v>
          </cell>
          <cell r="D1121">
            <v>4</v>
          </cell>
          <cell r="E1121" t="str">
            <v>Bình thường</v>
          </cell>
          <cell r="F1121" t="str">
            <v>MA1</v>
          </cell>
          <cell r="G1121" t="str">
            <v>HT1, GS1</v>
          </cell>
        </row>
        <row r="1122">
          <cell r="C1122" t="str">
            <v>L6115070382</v>
          </cell>
          <cell r="D1122">
            <v>4</v>
          </cell>
          <cell r="E1122" t="str">
            <v>Bình thường</v>
          </cell>
          <cell r="F1122" t="str">
            <v>MA1</v>
          </cell>
          <cell r="G1122" t="str">
            <v>HT1, GS1</v>
          </cell>
        </row>
        <row r="1123">
          <cell r="C1123" t="str">
            <v>L6115070384</v>
          </cell>
          <cell r="D1123">
            <v>4</v>
          </cell>
          <cell r="E1123" t="str">
            <v>Bình thường</v>
          </cell>
          <cell r="F1123" t="str">
            <v>GS1</v>
          </cell>
          <cell r="G1123" t="str">
            <v>KT</v>
          </cell>
        </row>
        <row r="1124">
          <cell r="C1124" t="str">
            <v>213509103A2</v>
          </cell>
          <cell r="D1124">
            <v>4</v>
          </cell>
          <cell r="E1124" t="str">
            <v>Bình thường</v>
          </cell>
          <cell r="F1124" t="str">
            <v>MA1</v>
          </cell>
          <cell r="G1124" t="str">
            <v>BJ1, GS1, AB1</v>
          </cell>
        </row>
        <row r="1125">
          <cell r="C1125" t="str">
            <v>L6115020113</v>
          </cell>
          <cell r="D1125">
            <v>4</v>
          </cell>
          <cell r="E1125" t="str">
            <v>Bình thường</v>
          </cell>
          <cell r="F1125" t="str">
            <v>GP1</v>
          </cell>
          <cell r="G1125" t="str">
            <v>KT</v>
          </cell>
        </row>
        <row r="1126">
          <cell r="C1126" t="str">
            <v>L6115070197</v>
          </cell>
          <cell r="D1126">
            <v>4</v>
          </cell>
          <cell r="E1126" t="str">
            <v>Bình thường</v>
          </cell>
          <cell r="F1126" t="str">
            <v>EW1</v>
          </cell>
          <cell r="G1126" t="str">
            <v>GS1, GP1</v>
          </cell>
        </row>
        <row r="1127">
          <cell r="C1127" t="str">
            <v>L6305080552</v>
          </cell>
          <cell r="D1127">
            <v>4</v>
          </cell>
          <cell r="E1127" t="str">
            <v>Bình thường</v>
          </cell>
          <cell r="F1127" t="str">
            <v>MC1</v>
          </cell>
          <cell r="G1127" t="str">
            <v>HT1, AF1, AB1</v>
          </cell>
        </row>
        <row r="1128">
          <cell r="C1128" t="str">
            <v>63050800111</v>
          </cell>
          <cell r="D1128">
            <v>4</v>
          </cell>
          <cell r="E1128" t="str">
            <v>Bình thường</v>
          </cell>
          <cell r="F1128" t="str">
            <v>GR1</v>
          </cell>
          <cell r="G1128" t="str">
            <v>GS1, EN1, GJ1, GP1, AF1, AB1</v>
          </cell>
        </row>
        <row r="1129">
          <cell r="C1129" t="str">
            <v>213510001A1</v>
          </cell>
          <cell r="D1129">
            <v>4</v>
          </cell>
          <cell r="E1129" t="str">
            <v>Bình thường</v>
          </cell>
          <cell r="F1129" t="str">
            <v>GS1</v>
          </cell>
          <cell r="G1129" t="str">
            <v>GC1, GS2, AF1</v>
          </cell>
        </row>
        <row r="1130">
          <cell r="C1130" t="str">
            <v>213506128A1</v>
          </cell>
          <cell r="D1130">
            <v>4</v>
          </cell>
          <cell r="E1130" t="str">
            <v>Bình thường</v>
          </cell>
          <cell r="F1130" t="str">
            <v>GS2</v>
          </cell>
          <cell r="G1130" t="str">
            <v>KT</v>
          </cell>
        </row>
        <row r="1131">
          <cell r="C1131" t="str">
            <v>L6115020197</v>
          </cell>
          <cell r="D1131">
            <v>4</v>
          </cell>
          <cell r="E1131" t="str">
            <v>Bình thường</v>
          </cell>
          <cell r="F1131" t="str">
            <v>GC1</v>
          </cell>
          <cell r="G1131" t="str">
            <v>GS2</v>
          </cell>
        </row>
        <row r="1132">
          <cell r="C1132" t="str">
            <v>L6305100101</v>
          </cell>
          <cell r="D1132">
            <v>4</v>
          </cell>
          <cell r="E1132" t="str">
            <v>Bình thường</v>
          </cell>
          <cell r="F1132" t="str">
            <v>AA1</v>
          </cell>
          <cell r="G1132" t="str">
            <v>MA1, BJ1, HT1, GS1, EN1, AF1</v>
          </cell>
        </row>
        <row r="1133">
          <cell r="C1133" t="str">
            <v>L6305100042</v>
          </cell>
          <cell r="D1133">
            <v>4</v>
          </cell>
          <cell r="E1133" t="str">
            <v>Bình thường</v>
          </cell>
          <cell r="F1133" t="str">
            <v>AA1</v>
          </cell>
          <cell r="G1133" t="str">
            <v>MA1, BJ1, DA1, HT1, AB1</v>
          </cell>
        </row>
        <row r="1134">
          <cell r="C1134" t="str">
            <v>L6235040031</v>
          </cell>
          <cell r="D1134">
            <v>4</v>
          </cell>
          <cell r="E1134" t="str">
            <v>Bình thường</v>
          </cell>
          <cell r="F1134" t="str">
            <v>BJ1</v>
          </cell>
          <cell r="G1134" t="str">
            <v>DA1, HT1, GR1, GS1, EW1, EN1, AF1</v>
          </cell>
        </row>
        <row r="1135">
          <cell r="C1135" t="str">
            <v>61150800181</v>
          </cell>
          <cell r="D1135">
            <v>4</v>
          </cell>
          <cell r="E1135" t="str">
            <v>Bình thường</v>
          </cell>
          <cell r="F1135" t="str">
            <v>GS1</v>
          </cell>
          <cell r="G1135" t="str">
            <v>ED1</v>
          </cell>
        </row>
        <row r="1136">
          <cell r="C1136" t="str">
            <v>L6305080607</v>
          </cell>
          <cell r="D1136">
            <v>4</v>
          </cell>
          <cell r="E1136" t="str">
            <v>Bình thường</v>
          </cell>
          <cell r="F1136" t="str">
            <v>AA1</v>
          </cell>
          <cell r="G1136" t="str">
            <v>MA1, MC1, AF1</v>
          </cell>
        </row>
        <row r="1137">
          <cell r="C1137" t="str">
            <v>L6305080432</v>
          </cell>
          <cell r="D1137">
            <v>4</v>
          </cell>
          <cell r="E1137" t="str">
            <v>Bình thường</v>
          </cell>
          <cell r="F1137" t="str">
            <v>MA1</v>
          </cell>
          <cell r="G1137" t="str">
            <v>BJ1, DA1, GS1, AB1</v>
          </cell>
        </row>
        <row r="1138">
          <cell r="C1138" t="str">
            <v>213508020B26</v>
          </cell>
          <cell r="D1138">
            <v>4</v>
          </cell>
          <cell r="E1138" t="str">
            <v>Bình thường</v>
          </cell>
          <cell r="F1138" t="str">
            <v>MC1</v>
          </cell>
          <cell r="G1138" t="str">
            <v>KA1, EW1, AF1, BJ1, HT2, AL1, AF2</v>
          </cell>
        </row>
        <row r="1139">
          <cell r="C1139" t="str">
            <v>L6305080464</v>
          </cell>
          <cell r="D1139">
            <v>4</v>
          </cell>
          <cell r="E1139" t="str">
            <v>Bình thường</v>
          </cell>
          <cell r="F1139" t="str">
            <v>GS1</v>
          </cell>
          <cell r="G1139" t="str">
            <v>BJ1, DA1, EW1, AF1</v>
          </cell>
        </row>
        <row r="1140">
          <cell r="C1140" t="str">
            <v>L6115030331</v>
          </cell>
          <cell r="D1140">
            <v>4</v>
          </cell>
          <cell r="E1140" t="str">
            <v>Bình thường</v>
          </cell>
          <cell r="F1140" t="str">
            <v>GR1</v>
          </cell>
          <cell r="G1140" t="str">
            <v>KT</v>
          </cell>
        </row>
        <row r="1141">
          <cell r="C1141" t="str">
            <v>L6305100102</v>
          </cell>
          <cell r="D1141">
            <v>4</v>
          </cell>
          <cell r="E1141" t="str">
            <v>Bình thường</v>
          </cell>
          <cell r="F1141" t="str">
            <v>AA1</v>
          </cell>
          <cell r="G1141" t="str">
            <v>MA1, BJ1, HT1, GS1, EW1, GS2, AF1, AB1</v>
          </cell>
        </row>
        <row r="1142">
          <cell r="C1142" t="str">
            <v>213508029A23</v>
          </cell>
          <cell r="D1142">
            <v>4</v>
          </cell>
          <cell r="E1142" t="str">
            <v>Bình thường</v>
          </cell>
          <cell r="F1142" t="str">
            <v>GR1</v>
          </cell>
          <cell r="G1142" t="str">
            <v>GP1, GS1, ED1, EW1, EN1, GS2, GP2</v>
          </cell>
        </row>
        <row r="1143">
          <cell r="C1143" t="str">
            <v>213506070B25</v>
          </cell>
          <cell r="D1143">
            <v>4</v>
          </cell>
          <cell r="E1143" t="str">
            <v>Bình thường</v>
          </cell>
          <cell r="F1143" t="str">
            <v>MC1</v>
          </cell>
          <cell r="G1143" t="str">
            <v>AB1</v>
          </cell>
        </row>
        <row r="1144">
          <cell r="C1144" t="str">
            <v>L6305090212</v>
          </cell>
          <cell r="D1144">
            <v>4</v>
          </cell>
          <cell r="E1144" t="str">
            <v>Bình thường</v>
          </cell>
          <cell r="F1144" t="str">
            <v>MA1</v>
          </cell>
          <cell r="G1144" t="str">
            <v>BJ1, DA1, HT1, GS1, GJ1, GS2, EN1, AF1, AB1</v>
          </cell>
        </row>
        <row r="1145">
          <cell r="C1145" t="str">
            <v>L6215080151</v>
          </cell>
          <cell r="D1145">
            <v>4</v>
          </cell>
          <cell r="E1145" t="str">
            <v>Bình thường</v>
          </cell>
          <cell r="F1145" t="str">
            <v>BJ1</v>
          </cell>
          <cell r="G1145" t="str">
            <v>DA1, HT1, LA2, GR1, GS1, GP1, GJ1, AF1, AB1</v>
          </cell>
        </row>
        <row r="1146">
          <cell r="C1146" t="str">
            <v>L6305100103</v>
          </cell>
          <cell r="D1146">
            <v>4</v>
          </cell>
          <cell r="E1146" t="str">
            <v>Bình thường</v>
          </cell>
          <cell r="F1146" t="str">
            <v>AA1</v>
          </cell>
          <cell r="G1146" t="str">
            <v>BJ1, DA1, HT1, GS1, EW1, AF1, AB1</v>
          </cell>
        </row>
        <row r="1147">
          <cell r="C1147" t="str">
            <v>213505066B30</v>
          </cell>
          <cell r="D1147">
            <v>4</v>
          </cell>
          <cell r="E1147" t="str">
            <v>Bình thường</v>
          </cell>
          <cell r="F1147" t="str">
            <v>HT1</v>
          </cell>
          <cell r="G1147" t="str">
            <v>GS1, EW1, AF1</v>
          </cell>
        </row>
        <row r="1148">
          <cell r="C1148" t="str">
            <v>L6115050114</v>
          </cell>
          <cell r="D1148">
            <v>4</v>
          </cell>
          <cell r="E1148" t="str">
            <v>Bình thường</v>
          </cell>
          <cell r="F1148" t="str">
            <v>GR1</v>
          </cell>
          <cell r="G1148" t="str">
            <v>KT</v>
          </cell>
        </row>
        <row r="1149">
          <cell r="C1149" t="str">
            <v>L6305090211</v>
          </cell>
          <cell r="D1149">
            <v>4</v>
          </cell>
          <cell r="E1149" t="str">
            <v>Bình thường</v>
          </cell>
          <cell r="F1149" t="str">
            <v>BJ1</v>
          </cell>
          <cell r="G1149" t="str">
            <v>DA1, HT1, GS1, GJ1, GS2, EN1, AF1, AB1</v>
          </cell>
        </row>
        <row r="1150">
          <cell r="C1150" t="str">
            <v>L6305090202</v>
          </cell>
          <cell r="D1150">
            <v>4</v>
          </cell>
          <cell r="E1150" t="str">
            <v>Bình thường</v>
          </cell>
          <cell r="F1150" t="str">
            <v>ED1</v>
          </cell>
          <cell r="G1150" t="str">
            <v>GS1, AF1</v>
          </cell>
        </row>
        <row r="1151">
          <cell r="C1151" t="str">
            <v>213506177A35</v>
          </cell>
          <cell r="D1151">
            <v>4</v>
          </cell>
          <cell r="E1151" t="str">
            <v>Bình thường</v>
          </cell>
          <cell r="F1151" t="str">
            <v>ED1</v>
          </cell>
          <cell r="G1151" t="str">
            <v>GJ1, GR1</v>
          </cell>
        </row>
        <row r="1152">
          <cell r="C1152" t="str">
            <v>63050401101</v>
          </cell>
          <cell r="D1152">
            <v>4</v>
          </cell>
          <cell r="E1152" t="str">
            <v>Bình thường</v>
          </cell>
          <cell r="F1152" t="str">
            <v>MC1</v>
          </cell>
          <cell r="G1152" t="str">
            <v>EW1, AF1</v>
          </cell>
        </row>
        <row r="1153">
          <cell r="C1153" t="str">
            <v>L6305090191</v>
          </cell>
          <cell r="D1153">
            <v>4</v>
          </cell>
          <cell r="E1153" t="str">
            <v>Bình thường</v>
          </cell>
          <cell r="F1153" t="str">
            <v>HT1</v>
          </cell>
          <cell r="G1153" t="str">
            <v>GS1, EW1, AF1, AB1</v>
          </cell>
        </row>
        <row r="1154">
          <cell r="C1154" t="str">
            <v>63050801411</v>
          </cell>
          <cell r="D1154">
            <v>4</v>
          </cell>
          <cell r="E1154" t="str">
            <v>Bình thường</v>
          </cell>
          <cell r="F1154" t="str">
            <v>MC1</v>
          </cell>
          <cell r="G1154" t="str">
            <v>EW1, AF1</v>
          </cell>
        </row>
        <row r="1155">
          <cell r="C1155" t="str">
            <v>213505903A1</v>
          </cell>
          <cell r="D1155">
            <v>4</v>
          </cell>
          <cell r="E1155" t="str">
            <v>Bình thường</v>
          </cell>
          <cell r="F1155" t="str">
            <v>GS2</v>
          </cell>
          <cell r="G1155" t="str">
            <v>GR1, AF1</v>
          </cell>
        </row>
        <row r="1156">
          <cell r="C1156" t="str">
            <v>213509042A18</v>
          </cell>
          <cell r="D1156">
            <v>4</v>
          </cell>
          <cell r="E1156" t="str">
            <v>Bình thường</v>
          </cell>
          <cell r="F1156" t="str">
            <v>GS1</v>
          </cell>
          <cell r="G1156" t="str">
            <v>GP1</v>
          </cell>
        </row>
        <row r="1157">
          <cell r="C1157" t="str">
            <v>L6305080273</v>
          </cell>
          <cell r="D1157">
            <v>4</v>
          </cell>
          <cell r="E1157" t="str">
            <v>Bình thường</v>
          </cell>
          <cell r="F1157" t="str">
            <v>BJ1</v>
          </cell>
          <cell r="G1157" t="str">
            <v>GS1, EW1, AB1</v>
          </cell>
        </row>
        <row r="1158">
          <cell r="C1158" t="str">
            <v>213508174A14</v>
          </cell>
          <cell r="D1158">
            <v>4</v>
          </cell>
          <cell r="E1158" t="str">
            <v>Bình thường</v>
          </cell>
          <cell r="F1158" t="str">
            <v>GS1</v>
          </cell>
          <cell r="G1158" t="str">
            <v>GC1, GP1, GS2</v>
          </cell>
        </row>
        <row r="1159">
          <cell r="C1159" t="str">
            <v>L6305080742</v>
          </cell>
          <cell r="D1159">
            <v>4</v>
          </cell>
          <cell r="E1159" t="str">
            <v>Bình thường</v>
          </cell>
          <cell r="F1159" t="str">
            <v>MA1</v>
          </cell>
          <cell r="G1159" t="str">
            <v>GS1, MC1</v>
          </cell>
        </row>
        <row r="1160">
          <cell r="C1160" t="str">
            <v>L6115040461</v>
          </cell>
          <cell r="D1160">
            <v>4</v>
          </cell>
          <cell r="E1160" t="str">
            <v>Bình thường</v>
          </cell>
          <cell r="F1160" t="str">
            <v>GR1</v>
          </cell>
          <cell r="G1160" t="str">
            <v>KT</v>
          </cell>
        </row>
        <row r="1161">
          <cell r="C1161" t="str">
            <v>63050600331</v>
          </cell>
          <cell r="D1161">
            <v>4</v>
          </cell>
          <cell r="E1161" t="str">
            <v>Bình thường</v>
          </cell>
          <cell r="F1161" t="str">
            <v>EW1</v>
          </cell>
          <cell r="G1161" t="str">
            <v>LT1</v>
          </cell>
        </row>
        <row r="1162">
          <cell r="C1162" t="str">
            <v>L6305080743</v>
          </cell>
          <cell r="D1162">
            <v>4</v>
          </cell>
          <cell r="E1162" t="str">
            <v>Bình thường</v>
          </cell>
          <cell r="F1162" t="str">
            <v>MA1</v>
          </cell>
          <cell r="G1162" t="str">
            <v>GS1, MC1</v>
          </cell>
        </row>
        <row r="1163">
          <cell r="C1163" t="str">
            <v>213510502A26</v>
          </cell>
          <cell r="D1163">
            <v>4</v>
          </cell>
          <cell r="E1163" t="str">
            <v>Bình thường</v>
          </cell>
          <cell r="F1163" t="str">
            <v>AA1</v>
          </cell>
          <cell r="G1163" t="str">
            <v>MA1, MC1, AF1</v>
          </cell>
        </row>
        <row r="1164">
          <cell r="C1164" t="str">
            <v>213509258A14</v>
          </cell>
          <cell r="D1164">
            <v>4</v>
          </cell>
          <cell r="E1164" t="str">
            <v>Bình thường</v>
          </cell>
          <cell r="F1164" t="str">
            <v>GS1</v>
          </cell>
          <cell r="G1164" t="str">
            <v>EN1, KA1, AF1, GS2</v>
          </cell>
        </row>
        <row r="1165">
          <cell r="C1165" t="str">
            <v>L6305080747</v>
          </cell>
          <cell r="D1165">
            <v>4</v>
          </cell>
          <cell r="E1165" t="str">
            <v>Bình thường</v>
          </cell>
          <cell r="F1165" t="str">
            <v>MA1</v>
          </cell>
          <cell r="G1165" t="str">
            <v>MC1</v>
          </cell>
        </row>
        <row r="1166">
          <cell r="C1166" t="str">
            <v>L6125090192</v>
          </cell>
          <cell r="D1166">
            <v>4</v>
          </cell>
          <cell r="E1166" t="str">
            <v>Bình thường</v>
          </cell>
          <cell r="F1166" t="str">
            <v>MA1</v>
          </cell>
          <cell r="G1166" t="str">
            <v>HT1, MC1, AL1</v>
          </cell>
        </row>
        <row r="1167">
          <cell r="C1167" t="str">
            <v>L6305080745</v>
          </cell>
          <cell r="D1167">
            <v>4</v>
          </cell>
          <cell r="E1167" t="str">
            <v>Bình thường</v>
          </cell>
          <cell r="F1167" t="str">
            <v>MA1</v>
          </cell>
          <cell r="G1167" t="str">
            <v>GS1, MC1, AB1</v>
          </cell>
        </row>
        <row r="1168">
          <cell r="C1168" t="str">
            <v>L6245090132</v>
          </cell>
          <cell r="D1168">
            <v>4</v>
          </cell>
          <cell r="E1168" t="str">
            <v>Bình thường</v>
          </cell>
          <cell r="F1168" t="str">
            <v>GJ1</v>
          </cell>
          <cell r="G1168" t="str">
            <v>AF1</v>
          </cell>
        </row>
        <row r="1169">
          <cell r="C1169" t="str">
            <v>213510036A36</v>
          </cell>
          <cell r="D1169">
            <v>4</v>
          </cell>
          <cell r="E1169" t="str">
            <v>Bình thường</v>
          </cell>
          <cell r="F1169" t="str">
            <v>AA1</v>
          </cell>
          <cell r="G1169" t="str">
            <v>MA1, HT1, GS1, ED1, EW1, AF1, AB1</v>
          </cell>
        </row>
        <row r="1170">
          <cell r="C1170" t="str">
            <v>L6245090134</v>
          </cell>
          <cell r="D1170">
            <v>4</v>
          </cell>
          <cell r="E1170" t="str">
            <v>Bình thường</v>
          </cell>
          <cell r="F1170" t="str">
            <v>GR1</v>
          </cell>
          <cell r="G1170" t="str">
            <v>GS1, EN1, GJ1, AF1, AL1</v>
          </cell>
        </row>
        <row r="1171">
          <cell r="C1171" t="str">
            <v>213508147A3</v>
          </cell>
          <cell r="D1171">
            <v>4</v>
          </cell>
          <cell r="E1171" t="str">
            <v>Bình thường</v>
          </cell>
          <cell r="F1171" t="str">
            <v>GS1</v>
          </cell>
          <cell r="G1171" t="str">
            <v>EW2, GS2</v>
          </cell>
        </row>
        <row r="1172">
          <cell r="C1172" t="str">
            <v>L6125090193</v>
          </cell>
          <cell r="D1172">
            <v>4</v>
          </cell>
          <cell r="E1172" t="str">
            <v>Bình thường</v>
          </cell>
          <cell r="F1172" t="str">
            <v>MA1</v>
          </cell>
          <cell r="G1172" t="str">
            <v>HT1, MC1, AL1</v>
          </cell>
        </row>
        <row r="1173">
          <cell r="C1173" t="str">
            <v>L6305080746</v>
          </cell>
          <cell r="D1173">
            <v>4</v>
          </cell>
          <cell r="E1173" t="str">
            <v>Bình thường</v>
          </cell>
          <cell r="F1173" t="str">
            <v>MA1</v>
          </cell>
          <cell r="G1173" t="str">
            <v>GS1, MC1, AB1</v>
          </cell>
        </row>
        <row r="1174">
          <cell r="C1174" t="str">
            <v>213509017B34</v>
          </cell>
          <cell r="D1174">
            <v>4</v>
          </cell>
          <cell r="E1174" t="str">
            <v>Bình thường</v>
          </cell>
          <cell r="F1174" t="str">
            <v>BJ1</v>
          </cell>
          <cell r="G1174" t="str">
            <v>HT1, GS1, EN1, EW1, GS2, AF1</v>
          </cell>
        </row>
        <row r="1175">
          <cell r="C1175" t="str">
            <v>L6305080605</v>
          </cell>
          <cell r="D1175">
            <v>4</v>
          </cell>
          <cell r="E1175" t="str">
            <v>Bình thường</v>
          </cell>
          <cell r="F1175" t="str">
            <v>AA1</v>
          </cell>
          <cell r="G1175" t="str">
            <v>MA1, GS1, MC1, AB1</v>
          </cell>
        </row>
        <row r="1176">
          <cell r="C1176" t="str">
            <v>62350900171</v>
          </cell>
          <cell r="D1176">
            <v>4</v>
          </cell>
          <cell r="E1176" t="str">
            <v>Bình thường</v>
          </cell>
          <cell r="F1176" t="str">
            <v>MA1</v>
          </cell>
          <cell r="G1176" t="str">
            <v>GS1, MC1, HT1, GS2, EW1, EN1, AF1</v>
          </cell>
        </row>
        <row r="1177">
          <cell r="C1177" t="str">
            <v>L6305090312</v>
          </cell>
          <cell r="D1177">
            <v>4</v>
          </cell>
          <cell r="E1177" t="str">
            <v>Bình thường</v>
          </cell>
          <cell r="F1177" t="str">
            <v>MA1</v>
          </cell>
          <cell r="G1177" t="str">
            <v>GS1, MC1, HT1, GS2, AF1</v>
          </cell>
        </row>
        <row r="1178">
          <cell r="C1178" t="str">
            <v>L6125090194</v>
          </cell>
          <cell r="D1178">
            <v>4</v>
          </cell>
          <cell r="E1178" t="str">
            <v>Bình thường</v>
          </cell>
          <cell r="F1178" t="str">
            <v>MA1</v>
          </cell>
          <cell r="G1178" t="str">
            <v>HT1, MC1, AL1</v>
          </cell>
        </row>
        <row r="1179">
          <cell r="C1179" t="str">
            <v>63050900911</v>
          </cell>
          <cell r="D1179">
            <v>4</v>
          </cell>
          <cell r="E1179" t="str">
            <v>Bình thường</v>
          </cell>
          <cell r="F1179" t="str">
            <v>MA1</v>
          </cell>
          <cell r="G1179" t="str">
            <v>BJ1, DA1, WG1, MC1, AB1</v>
          </cell>
        </row>
        <row r="1180">
          <cell r="C1180" t="str">
            <v>L6125090195</v>
          </cell>
          <cell r="D1180">
            <v>4</v>
          </cell>
          <cell r="E1180" t="str">
            <v>Bình thường</v>
          </cell>
          <cell r="F1180" t="str">
            <v>HT1</v>
          </cell>
          <cell r="G1180" t="str">
            <v>MC1, AL1</v>
          </cell>
        </row>
        <row r="1181">
          <cell r="C1181" t="str">
            <v>213505200A25</v>
          </cell>
          <cell r="D1181">
            <v>4</v>
          </cell>
          <cell r="E1181" t="str">
            <v>Bình thường</v>
          </cell>
          <cell r="F1181" t="str">
            <v>GP1</v>
          </cell>
          <cell r="G1181" t="str">
            <v>EN1</v>
          </cell>
        </row>
        <row r="1182">
          <cell r="C1182" t="str">
            <v>L6115080381</v>
          </cell>
          <cell r="D1182">
            <v>4</v>
          </cell>
          <cell r="E1182" t="str">
            <v>Bình thường</v>
          </cell>
          <cell r="F1182" t="str">
            <v>GR1</v>
          </cell>
          <cell r="G1182" t="str">
            <v>GS1, GC1, GP1</v>
          </cell>
        </row>
        <row r="1183">
          <cell r="C1183" t="str">
            <v>L6235070272</v>
          </cell>
          <cell r="D1183">
            <v>4</v>
          </cell>
          <cell r="E1183" t="str">
            <v>Bình thường</v>
          </cell>
          <cell r="F1183" t="str">
            <v>MC1</v>
          </cell>
          <cell r="G1183" t="str">
            <v>AF1, HT1, EW1, EN1, AF2</v>
          </cell>
        </row>
        <row r="1184">
          <cell r="C1184" t="str">
            <v>213510008A10</v>
          </cell>
          <cell r="D1184">
            <v>4</v>
          </cell>
          <cell r="E1184" t="str">
            <v>Bình thường</v>
          </cell>
          <cell r="F1184" t="str">
            <v>EW1</v>
          </cell>
          <cell r="G1184" t="str">
            <v>GS1, ED1, EW2, GS2</v>
          </cell>
        </row>
        <row r="1185">
          <cell r="C1185" t="str">
            <v>213505144A1</v>
          </cell>
          <cell r="D1185">
            <v>4</v>
          </cell>
          <cell r="E1185" t="str">
            <v>Bình thường</v>
          </cell>
          <cell r="F1185" t="str">
            <v>WG1</v>
          </cell>
          <cell r="G1185" t="str">
            <v>GS2, GP1, AF1</v>
          </cell>
        </row>
        <row r="1186">
          <cell r="C1186" t="str">
            <v>L6235070212</v>
          </cell>
          <cell r="D1186">
            <v>4</v>
          </cell>
          <cell r="E1186" t="str">
            <v>Bình thường</v>
          </cell>
          <cell r="F1186" t="str">
            <v>MA1</v>
          </cell>
          <cell r="G1186" t="str">
            <v>BJ1, EW1, AF1, AB1</v>
          </cell>
        </row>
        <row r="1187">
          <cell r="C1187" t="str">
            <v>213510038A38</v>
          </cell>
          <cell r="D1187">
            <v>4</v>
          </cell>
          <cell r="E1187" t="str">
            <v>Bình thường</v>
          </cell>
          <cell r="F1187" t="str">
            <v>AA1</v>
          </cell>
          <cell r="G1187" t="str">
            <v>MA1, BJ1, DA1, HT1, GS1, ED1, EW1, AF1</v>
          </cell>
        </row>
        <row r="1188">
          <cell r="C1188" t="str">
            <v>213509254A10</v>
          </cell>
          <cell r="D1188">
            <v>4</v>
          </cell>
          <cell r="E1188" t="str">
            <v>Bình thường</v>
          </cell>
          <cell r="F1188" t="str">
            <v>GS1</v>
          </cell>
          <cell r="G1188" t="str">
            <v>EW2, GS2</v>
          </cell>
        </row>
        <row r="1189">
          <cell r="C1189" t="str">
            <v>213509304A29</v>
          </cell>
          <cell r="D1189">
            <v>4</v>
          </cell>
          <cell r="E1189" t="str">
            <v>Bình thường</v>
          </cell>
          <cell r="F1189" t="str">
            <v>ED1</v>
          </cell>
          <cell r="G1189" t="str">
            <v>EW1, GR1, GS2, EN1, GP1, GR2, AF1</v>
          </cell>
        </row>
        <row r="1190">
          <cell r="C1190" t="str">
            <v>L6305080602</v>
          </cell>
          <cell r="D1190">
            <v>4</v>
          </cell>
          <cell r="E1190" t="str">
            <v>Bình thường</v>
          </cell>
          <cell r="F1190" t="str">
            <v>AA1</v>
          </cell>
          <cell r="G1190" t="str">
            <v>MA1, BJ1, HT1, EW1, GS1, GJ1, EN1, AF1, AB1</v>
          </cell>
        </row>
        <row r="1191">
          <cell r="C1191" t="str">
            <v>L6305080604</v>
          </cell>
          <cell r="D1191">
            <v>4</v>
          </cell>
          <cell r="E1191" t="str">
            <v>Bình thường</v>
          </cell>
          <cell r="F1191" t="str">
            <v>AA1</v>
          </cell>
          <cell r="G1191" t="str">
            <v>MA1, BJ1, HT1, EW1, GS1, GJ1, EN1, AF1, AB1</v>
          </cell>
        </row>
        <row r="1192">
          <cell r="C1192" t="str">
            <v>L6124120431</v>
          </cell>
          <cell r="D1192">
            <v>4</v>
          </cell>
          <cell r="E1192" t="str">
            <v>Bình thường</v>
          </cell>
          <cell r="F1192" t="str">
            <v>LT1</v>
          </cell>
          <cell r="G1192" t="str">
            <v>VP</v>
          </cell>
        </row>
        <row r="1193">
          <cell r="C1193" t="str">
            <v>L6124120432</v>
          </cell>
          <cell r="D1193">
            <v>4</v>
          </cell>
          <cell r="E1193" t="str">
            <v>Bình thường</v>
          </cell>
          <cell r="F1193" t="str">
            <v>LT1</v>
          </cell>
          <cell r="G1193" t="str">
            <v>VP</v>
          </cell>
        </row>
        <row r="1194">
          <cell r="C1194" t="str">
            <v>63050801421</v>
          </cell>
          <cell r="D1194">
            <v>3</v>
          </cell>
          <cell r="E1194" t="str">
            <v>Bình thường</v>
          </cell>
          <cell r="F1194" t="str">
            <v>LA1</v>
          </cell>
          <cell r="G1194" t="str">
            <v>LN1, GR1, LA2, GJ1, LA3</v>
          </cell>
        </row>
        <row r="1195">
          <cell r="C1195" t="str">
            <v>213509005A4</v>
          </cell>
          <cell r="D1195">
            <v>3</v>
          </cell>
          <cell r="E1195" t="str">
            <v>Bình thường</v>
          </cell>
          <cell r="F1195" t="str">
            <v>GR1</v>
          </cell>
          <cell r="G1195" t="str">
            <v>GS1, GC1, GP1, AF1</v>
          </cell>
        </row>
        <row r="1196">
          <cell r="C1196" t="str">
            <v>L6225080261</v>
          </cell>
          <cell r="D1196">
            <v>3</v>
          </cell>
          <cell r="E1196" t="str">
            <v>Bình thường</v>
          </cell>
          <cell r="F1196" t="str">
            <v>MA1</v>
          </cell>
          <cell r="G1196" t="str">
            <v>LA1, BJ1, DA1, EW1</v>
          </cell>
        </row>
        <row r="1197">
          <cell r="C1197" t="str">
            <v>L6305070082</v>
          </cell>
          <cell r="D1197">
            <v>3</v>
          </cell>
          <cell r="E1197" t="str">
            <v>Bình thường</v>
          </cell>
          <cell r="F1197" t="str">
            <v>ED1</v>
          </cell>
          <cell r="G1197" t="str">
            <v>EN1, AF1</v>
          </cell>
        </row>
        <row r="1198">
          <cell r="C1198" t="str">
            <v>L6125080102</v>
          </cell>
          <cell r="D1198">
            <v>3</v>
          </cell>
          <cell r="E1198" t="str">
            <v>Bình thường</v>
          </cell>
          <cell r="F1198" t="str">
            <v>MA1</v>
          </cell>
          <cell r="G1198" t="str">
            <v>BJ1, DA1, HT1, AF1, AB1</v>
          </cell>
        </row>
        <row r="1199">
          <cell r="C1199" t="str">
            <v>L63050709017</v>
          </cell>
          <cell r="D1199">
            <v>3</v>
          </cell>
          <cell r="E1199" t="str">
            <v>Bình thường</v>
          </cell>
          <cell r="F1199" t="str">
            <v>AB1</v>
          </cell>
          <cell r="G1199" t="str">
            <v>VP</v>
          </cell>
        </row>
        <row r="1200">
          <cell r="C1200" t="str">
            <v>L6115050213</v>
          </cell>
          <cell r="D1200">
            <v>3</v>
          </cell>
          <cell r="E1200" t="str">
            <v>Bình thường</v>
          </cell>
          <cell r="F1200" t="str">
            <v>GR1</v>
          </cell>
          <cell r="G1200" t="str">
            <v>GS1, GP1</v>
          </cell>
        </row>
        <row r="1201">
          <cell r="C1201" t="str">
            <v>L6305070081</v>
          </cell>
          <cell r="D1201">
            <v>3</v>
          </cell>
          <cell r="E1201" t="str">
            <v>Bình thường</v>
          </cell>
          <cell r="F1201" t="str">
            <v>EN1</v>
          </cell>
          <cell r="G1201" t="str">
            <v>AF1, AB1</v>
          </cell>
        </row>
        <row r="1202">
          <cell r="C1202" t="str">
            <v>L6305040771</v>
          </cell>
          <cell r="D1202">
            <v>3</v>
          </cell>
          <cell r="E1202" t="str">
            <v>Bình thường</v>
          </cell>
          <cell r="F1202" t="str">
            <v>MC1</v>
          </cell>
          <cell r="G1202" t="str">
            <v>KT</v>
          </cell>
        </row>
        <row r="1203">
          <cell r="C1203" t="str">
            <v>L6235070342</v>
          </cell>
          <cell r="D1203">
            <v>3</v>
          </cell>
          <cell r="E1203" t="str">
            <v>Bình thường</v>
          </cell>
          <cell r="F1203" t="str">
            <v>MC1</v>
          </cell>
          <cell r="G1203" t="str">
            <v>AB1</v>
          </cell>
        </row>
        <row r="1204">
          <cell r="C1204" t="str">
            <v>L4135100369</v>
          </cell>
          <cell r="D1204">
            <v>3</v>
          </cell>
          <cell r="E1204" t="str">
            <v>Khẩn</v>
          </cell>
          <cell r="F1204" t="str">
            <v>AB1</v>
          </cell>
          <cell r="G1204" t="str">
            <v>VP</v>
          </cell>
        </row>
        <row r="1205">
          <cell r="C1205" t="str">
            <v>L6125080105</v>
          </cell>
          <cell r="D1205">
            <v>3</v>
          </cell>
          <cell r="E1205" t="str">
            <v>Bình thường</v>
          </cell>
          <cell r="F1205" t="str">
            <v>BJ1</v>
          </cell>
          <cell r="G1205" t="str">
            <v>DA1, AB1</v>
          </cell>
        </row>
        <row r="1206">
          <cell r="C1206" t="str">
            <v>L6115070216</v>
          </cell>
          <cell r="D1206">
            <v>3</v>
          </cell>
          <cell r="E1206" t="str">
            <v>Bình thường</v>
          </cell>
          <cell r="F1206" t="str">
            <v>GC1</v>
          </cell>
          <cell r="G1206" t="str">
            <v>VP</v>
          </cell>
        </row>
        <row r="1207">
          <cell r="C1207" t="str">
            <v>41251006011</v>
          </cell>
          <cell r="D1207">
            <v>3</v>
          </cell>
          <cell r="E1207" t="str">
            <v>Bình thường</v>
          </cell>
          <cell r="F1207" t="str">
            <v>EW1</v>
          </cell>
          <cell r="G1207" t="str">
            <v>MC1</v>
          </cell>
        </row>
        <row r="1208">
          <cell r="C1208" t="str">
            <v>L41351003610</v>
          </cell>
          <cell r="D1208">
            <v>3</v>
          </cell>
          <cell r="E1208" t="str">
            <v>Khẩn</v>
          </cell>
          <cell r="F1208" t="str">
            <v>AA1</v>
          </cell>
          <cell r="G1208" t="str">
            <v>MA1, BJ1, HT1, AF1, AB1</v>
          </cell>
        </row>
        <row r="1209">
          <cell r="C1209" t="str">
            <v>L6305070881</v>
          </cell>
          <cell r="D1209">
            <v>3</v>
          </cell>
          <cell r="E1209" t="str">
            <v>Bình thường</v>
          </cell>
          <cell r="F1209" t="str">
            <v>MA1</v>
          </cell>
          <cell r="G1209" t="str">
            <v>BJ1, WG1, GS1, BJ2, AB1</v>
          </cell>
        </row>
        <row r="1210">
          <cell r="C1210" t="str">
            <v>L63050708817</v>
          </cell>
          <cell r="D1210">
            <v>3</v>
          </cell>
          <cell r="E1210" t="str">
            <v>Bình thường</v>
          </cell>
          <cell r="F1210" t="str">
            <v>GS2</v>
          </cell>
          <cell r="G1210" t="str">
            <v>EW2, AB1</v>
          </cell>
        </row>
        <row r="1211">
          <cell r="C1211" t="str">
            <v>213508100A5</v>
          </cell>
          <cell r="D1211">
            <v>3</v>
          </cell>
          <cell r="E1211" t="str">
            <v>Bình thường</v>
          </cell>
          <cell r="F1211" t="str">
            <v>GC1</v>
          </cell>
          <cell r="G1211" t="str">
            <v>GS2, AF1</v>
          </cell>
        </row>
        <row r="1212">
          <cell r="C1212" t="str">
            <v>L6305060103</v>
          </cell>
          <cell r="D1212">
            <v>3</v>
          </cell>
          <cell r="E1212" t="str">
            <v>Bình thường</v>
          </cell>
          <cell r="F1212" t="str">
            <v>MC1</v>
          </cell>
          <cell r="G1212" t="str">
            <v>EN1, AF1</v>
          </cell>
        </row>
        <row r="1213">
          <cell r="C1213" t="str">
            <v>213510029A29</v>
          </cell>
          <cell r="D1213">
            <v>3</v>
          </cell>
          <cell r="E1213" t="str">
            <v>Bình thường</v>
          </cell>
          <cell r="F1213" t="str">
            <v>GS1</v>
          </cell>
          <cell r="G1213" t="str">
            <v>AF1</v>
          </cell>
        </row>
        <row r="1214">
          <cell r="C1214" t="str">
            <v>61250900521</v>
          </cell>
          <cell r="D1214">
            <v>3</v>
          </cell>
          <cell r="E1214" t="str">
            <v>Bình thường</v>
          </cell>
          <cell r="F1214" t="str">
            <v>MC1</v>
          </cell>
          <cell r="G1214" t="str">
            <v>EW1</v>
          </cell>
        </row>
        <row r="1215">
          <cell r="C1215" t="str">
            <v>L4135100102</v>
          </cell>
          <cell r="D1215">
            <v>3</v>
          </cell>
          <cell r="E1215" t="str">
            <v>Khẩn</v>
          </cell>
          <cell r="F1215" t="str">
            <v>AA1</v>
          </cell>
          <cell r="G1215" t="str">
            <v>MA1, GS1, MC1, AB1</v>
          </cell>
        </row>
        <row r="1216">
          <cell r="C1216" t="str">
            <v>L63050709018</v>
          </cell>
          <cell r="D1216">
            <v>3</v>
          </cell>
          <cell r="E1216" t="str">
            <v>Bình thường</v>
          </cell>
          <cell r="F1216" t="str">
            <v>EW2</v>
          </cell>
          <cell r="G1216" t="str">
            <v>AF1, AB1</v>
          </cell>
        </row>
        <row r="1217">
          <cell r="C1217" t="str">
            <v>L63050708818</v>
          </cell>
          <cell r="D1217">
            <v>3</v>
          </cell>
          <cell r="E1217" t="str">
            <v>Bình thường</v>
          </cell>
          <cell r="F1217" t="str">
            <v>GS2</v>
          </cell>
          <cell r="G1217" t="str">
            <v>EW2, AB1</v>
          </cell>
        </row>
        <row r="1218">
          <cell r="C1218" t="str">
            <v>L6225070148</v>
          </cell>
          <cell r="D1218">
            <v>3</v>
          </cell>
          <cell r="E1218" t="str">
            <v>Bình thường</v>
          </cell>
          <cell r="F1218" t="str">
            <v>EN1</v>
          </cell>
          <cell r="G1218" t="str">
            <v>AB1</v>
          </cell>
        </row>
        <row r="1219">
          <cell r="C1219" t="str">
            <v>213506114A1</v>
          </cell>
          <cell r="D1219">
            <v>3</v>
          </cell>
          <cell r="E1219" t="str">
            <v>Bình thường</v>
          </cell>
          <cell r="F1219" t="str">
            <v>GS2</v>
          </cell>
          <cell r="G1219" t="str">
            <v>GP1, AF1</v>
          </cell>
        </row>
        <row r="1220">
          <cell r="C1220" t="str">
            <v>213506201A13</v>
          </cell>
          <cell r="D1220">
            <v>3</v>
          </cell>
          <cell r="E1220" t="str">
            <v>Bình thường</v>
          </cell>
          <cell r="F1220" t="str">
            <v>GS2</v>
          </cell>
          <cell r="G1220" t="str">
            <v>KT</v>
          </cell>
        </row>
        <row r="1221">
          <cell r="C1221" t="str">
            <v>213509253A9</v>
          </cell>
          <cell r="D1221">
            <v>3</v>
          </cell>
          <cell r="E1221" t="str">
            <v>Bình thường</v>
          </cell>
          <cell r="F1221" t="str">
            <v>GS1</v>
          </cell>
          <cell r="G1221" t="str">
            <v>AF1</v>
          </cell>
        </row>
        <row r="1222">
          <cell r="C1222" t="str">
            <v>L4135100101</v>
          </cell>
          <cell r="D1222">
            <v>3</v>
          </cell>
          <cell r="E1222" t="str">
            <v>Khẩn</v>
          </cell>
          <cell r="F1222" t="str">
            <v>MA1</v>
          </cell>
          <cell r="G1222" t="str">
            <v>GS1, MC1, AB1</v>
          </cell>
        </row>
        <row r="1223">
          <cell r="C1223" t="str">
            <v>63050700771</v>
          </cell>
          <cell r="D1223">
            <v>3</v>
          </cell>
          <cell r="E1223" t="str">
            <v>Bình thường</v>
          </cell>
          <cell r="F1223" t="str">
            <v>GS1</v>
          </cell>
          <cell r="G1223" t="str">
            <v>GC1, GJ1, KA1, AF1, GS2, HT2, AF2</v>
          </cell>
        </row>
        <row r="1224">
          <cell r="C1224" t="str">
            <v>213506160A19</v>
          </cell>
          <cell r="D1224">
            <v>3</v>
          </cell>
          <cell r="E1224" t="str">
            <v>Bình thường</v>
          </cell>
          <cell r="F1224" t="str">
            <v>EW1</v>
          </cell>
          <cell r="G1224" t="str">
            <v>EN1, GS2</v>
          </cell>
        </row>
        <row r="1225">
          <cell r="C1225" t="str">
            <v>63050801161</v>
          </cell>
          <cell r="D1225">
            <v>3</v>
          </cell>
          <cell r="E1225" t="str">
            <v>Bình thường</v>
          </cell>
          <cell r="F1225" t="str">
            <v>BJ1</v>
          </cell>
          <cell r="G1225" t="str">
            <v>DA1</v>
          </cell>
        </row>
        <row r="1226">
          <cell r="C1226" t="str">
            <v>L6305060333</v>
          </cell>
          <cell r="D1226">
            <v>3</v>
          </cell>
          <cell r="E1226" t="str">
            <v>Bình thường</v>
          </cell>
          <cell r="F1226" t="str">
            <v>AF1</v>
          </cell>
          <cell r="G1226" t="str">
            <v>AB1</v>
          </cell>
        </row>
        <row r="1227">
          <cell r="C1227" t="str">
            <v>213506180A39</v>
          </cell>
          <cell r="D1227">
            <v>3</v>
          </cell>
          <cell r="E1227" t="str">
            <v>Bình thường</v>
          </cell>
          <cell r="F1227" t="str">
            <v>GS1</v>
          </cell>
          <cell r="G1227" t="str">
            <v>ED1, EN1</v>
          </cell>
        </row>
        <row r="1228">
          <cell r="C1228" t="str">
            <v>L6115040371</v>
          </cell>
          <cell r="D1228">
            <v>3</v>
          </cell>
          <cell r="E1228" t="str">
            <v>Bình thường</v>
          </cell>
          <cell r="F1228" t="str">
            <v>AA1</v>
          </cell>
          <cell r="G1228" t="str">
            <v>BJ1, GS1, WG1, AF1</v>
          </cell>
        </row>
        <row r="1229">
          <cell r="C1229" t="str">
            <v>63050700981</v>
          </cell>
          <cell r="D1229">
            <v>3</v>
          </cell>
          <cell r="E1229" t="str">
            <v>Bình thường</v>
          </cell>
          <cell r="F1229" t="str">
            <v>LA1</v>
          </cell>
          <cell r="G1229" t="str">
            <v>HT1, LN1, GR1, LA2, GJ1</v>
          </cell>
        </row>
        <row r="1230">
          <cell r="C1230" t="str">
            <v>L6235100034</v>
          </cell>
          <cell r="D1230">
            <v>3</v>
          </cell>
          <cell r="E1230" t="str">
            <v>Bình thường</v>
          </cell>
          <cell r="F1230" t="str">
            <v>AA1</v>
          </cell>
          <cell r="G1230" t="str">
            <v>BJ1, DA1, AB1</v>
          </cell>
        </row>
        <row r="1231">
          <cell r="C1231" t="str">
            <v>L6115040372</v>
          </cell>
          <cell r="D1231">
            <v>3</v>
          </cell>
          <cell r="E1231" t="str">
            <v>Bình thường</v>
          </cell>
          <cell r="F1231" t="str">
            <v>AA1</v>
          </cell>
          <cell r="G1231" t="str">
            <v>BJ1, GS1, WG1, AF1</v>
          </cell>
        </row>
        <row r="1232">
          <cell r="C1232" t="str">
            <v>L6305080063</v>
          </cell>
          <cell r="D1232">
            <v>3</v>
          </cell>
          <cell r="E1232" t="str">
            <v>Bình thường</v>
          </cell>
          <cell r="F1232" t="str">
            <v>MA1</v>
          </cell>
          <cell r="G1232" t="str">
            <v>BJ1, GS1, MC1, AF1, AB1</v>
          </cell>
        </row>
        <row r="1233">
          <cell r="C1233" t="str">
            <v>213508032A32</v>
          </cell>
          <cell r="D1233">
            <v>3</v>
          </cell>
          <cell r="E1233" t="str">
            <v>Bình thường</v>
          </cell>
          <cell r="F1233" t="str">
            <v>GP1</v>
          </cell>
          <cell r="G1233" t="str">
            <v>KT</v>
          </cell>
        </row>
        <row r="1234">
          <cell r="C1234" t="str">
            <v>L63050709023</v>
          </cell>
          <cell r="D1234">
            <v>3</v>
          </cell>
          <cell r="E1234" t="str">
            <v>Bình thường</v>
          </cell>
          <cell r="F1234" t="str">
            <v>MA1</v>
          </cell>
          <cell r="G1234" t="str">
            <v>BJ1, DA1, AB1</v>
          </cell>
        </row>
        <row r="1235">
          <cell r="C1235" t="str">
            <v>L6115070224</v>
          </cell>
          <cell r="D1235">
            <v>3</v>
          </cell>
          <cell r="E1235" t="str">
            <v>Bình thường</v>
          </cell>
          <cell r="F1235" t="str">
            <v>GP1</v>
          </cell>
          <cell r="G1235" t="str">
            <v>VP</v>
          </cell>
        </row>
        <row r="1236">
          <cell r="C1236" t="str">
            <v>R21351046A4</v>
          </cell>
          <cell r="D1236">
            <v>3</v>
          </cell>
          <cell r="E1236" t="str">
            <v>Bình thường</v>
          </cell>
          <cell r="F1236" t="str">
            <v>GS1</v>
          </cell>
          <cell r="G1236" t="str">
            <v>EN1, AF2, ED1, EW1, AF3</v>
          </cell>
        </row>
        <row r="1237">
          <cell r="C1237" t="str">
            <v>213508151A7</v>
          </cell>
          <cell r="D1237">
            <v>3</v>
          </cell>
          <cell r="E1237" t="str">
            <v>Bình thường</v>
          </cell>
          <cell r="F1237" t="str">
            <v>GC1</v>
          </cell>
          <cell r="G1237" t="str">
            <v>GJ1, KA1, AF1, BJ2, HT2, AF2</v>
          </cell>
        </row>
        <row r="1238">
          <cell r="C1238" t="str">
            <v>213508183A23</v>
          </cell>
          <cell r="D1238">
            <v>3</v>
          </cell>
          <cell r="E1238" t="str">
            <v>Bình thường</v>
          </cell>
          <cell r="F1238" t="str">
            <v>GR1</v>
          </cell>
          <cell r="G1238" t="str">
            <v>EN1, GS1, GJ1, EN2, AF2, AL1</v>
          </cell>
        </row>
        <row r="1239">
          <cell r="C1239" t="str">
            <v>L6115050212</v>
          </cell>
          <cell r="D1239">
            <v>3</v>
          </cell>
          <cell r="E1239" t="str">
            <v>Bình thường</v>
          </cell>
          <cell r="F1239" t="str">
            <v>EW2</v>
          </cell>
          <cell r="G1239" t="str">
            <v>GS2</v>
          </cell>
        </row>
        <row r="1240">
          <cell r="C1240" t="str">
            <v>L63050709015</v>
          </cell>
          <cell r="D1240">
            <v>3</v>
          </cell>
          <cell r="E1240" t="str">
            <v>Bình thường</v>
          </cell>
          <cell r="F1240" t="str">
            <v>AA1</v>
          </cell>
          <cell r="G1240" t="str">
            <v>MA1, BJ1, WG1, AB1</v>
          </cell>
        </row>
        <row r="1241">
          <cell r="C1241" t="str">
            <v>213508064B33</v>
          </cell>
          <cell r="D1241">
            <v>3</v>
          </cell>
          <cell r="E1241" t="str">
            <v>Bình thường</v>
          </cell>
          <cell r="F1241" t="str">
            <v>EN1</v>
          </cell>
          <cell r="G1241" t="str">
            <v>AF1</v>
          </cell>
        </row>
        <row r="1242">
          <cell r="C1242" t="str">
            <v>L6305070887</v>
          </cell>
          <cell r="D1242">
            <v>3</v>
          </cell>
          <cell r="E1242" t="str">
            <v>Bình thường</v>
          </cell>
          <cell r="F1242" t="str">
            <v>MC1</v>
          </cell>
          <cell r="G1242" t="str">
            <v>AB1</v>
          </cell>
        </row>
        <row r="1243">
          <cell r="C1243" t="str">
            <v>62350300631</v>
          </cell>
          <cell r="D1243">
            <v>3</v>
          </cell>
          <cell r="E1243" t="str">
            <v>Bình thường</v>
          </cell>
          <cell r="F1243" t="str">
            <v>EN1</v>
          </cell>
          <cell r="G1243" t="str">
            <v>GJ1, GS3, EN2, AF1</v>
          </cell>
        </row>
        <row r="1244">
          <cell r="C1244" t="str">
            <v>213506132B28</v>
          </cell>
          <cell r="D1244">
            <v>3</v>
          </cell>
          <cell r="E1244" t="str">
            <v>Bình thường</v>
          </cell>
          <cell r="F1244" t="str">
            <v>EW1</v>
          </cell>
          <cell r="G1244" t="str">
            <v>AF1</v>
          </cell>
        </row>
        <row r="1245">
          <cell r="C1245" t="str">
            <v>L6305080212</v>
          </cell>
          <cell r="D1245">
            <v>3</v>
          </cell>
          <cell r="E1245" t="str">
            <v>Bình thường</v>
          </cell>
          <cell r="F1245" t="str">
            <v>EW1</v>
          </cell>
          <cell r="G1245" t="str">
            <v>AF1, AB1</v>
          </cell>
        </row>
        <row r="1246">
          <cell r="C1246" t="str">
            <v>L63050709025</v>
          </cell>
          <cell r="D1246">
            <v>3</v>
          </cell>
          <cell r="E1246" t="str">
            <v>Bình thường</v>
          </cell>
          <cell r="F1246" t="str">
            <v>MA1</v>
          </cell>
          <cell r="G1246" t="str">
            <v>BJ1, DA1, HT1, GS1, EW1, EN1, GJ1, AF1, AB1</v>
          </cell>
        </row>
        <row r="1247">
          <cell r="C1247" t="str">
            <v>213506206A1</v>
          </cell>
          <cell r="D1247">
            <v>3</v>
          </cell>
          <cell r="E1247" t="str">
            <v>Bình thường</v>
          </cell>
          <cell r="F1247" t="str">
            <v>EW1</v>
          </cell>
          <cell r="G1247" t="str">
            <v>GS1, WG1, GS2, EW2, EN1, AF1</v>
          </cell>
        </row>
        <row r="1248">
          <cell r="C1248" t="str">
            <v>L6235100033</v>
          </cell>
          <cell r="D1248">
            <v>3</v>
          </cell>
          <cell r="E1248" t="str">
            <v>Bình thường</v>
          </cell>
          <cell r="F1248" t="str">
            <v>BJ1</v>
          </cell>
          <cell r="G1248" t="str">
            <v>DA1, AB1</v>
          </cell>
        </row>
        <row r="1249">
          <cell r="C1249" t="str">
            <v>L6305070899</v>
          </cell>
          <cell r="D1249">
            <v>3</v>
          </cell>
          <cell r="E1249" t="str">
            <v>Bình thường</v>
          </cell>
          <cell r="F1249" t="str">
            <v>GS1</v>
          </cell>
          <cell r="G1249" t="str">
            <v>AF1, AB1</v>
          </cell>
        </row>
        <row r="1250">
          <cell r="C1250" t="str">
            <v>L6235100035</v>
          </cell>
          <cell r="D1250">
            <v>3</v>
          </cell>
          <cell r="E1250" t="str">
            <v>Bình thường</v>
          </cell>
          <cell r="F1250" t="str">
            <v>AA1</v>
          </cell>
          <cell r="G1250" t="str">
            <v>BJ1, HT1, GS1, AF1</v>
          </cell>
        </row>
        <row r="1251">
          <cell r="C1251" t="str">
            <v>L6305070902</v>
          </cell>
          <cell r="D1251">
            <v>3</v>
          </cell>
          <cell r="E1251" t="str">
            <v>Bình thường</v>
          </cell>
          <cell r="F1251" t="str">
            <v>MA1</v>
          </cell>
          <cell r="G1251" t="str">
            <v>MC1, AB1</v>
          </cell>
        </row>
        <row r="1252">
          <cell r="C1252" t="str">
            <v>L61250801019</v>
          </cell>
          <cell r="D1252">
            <v>3</v>
          </cell>
          <cell r="E1252" t="str">
            <v>Bình thường</v>
          </cell>
          <cell r="F1252" t="str">
            <v>MA1</v>
          </cell>
          <cell r="G1252" t="str">
            <v>BJ1, DA1, WG1, AB1</v>
          </cell>
        </row>
        <row r="1253">
          <cell r="C1253" t="str">
            <v>L63050709010</v>
          </cell>
          <cell r="D1253">
            <v>3</v>
          </cell>
          <cell r="E1253" t="str">
            <v>Bình thường</v>
          </cell>
          <cell r="F1253" t="str">
            <v>MC1</v>
          </cell>
          <cell r="G1253" t="str">
            <v>AB1</v>
          </cell>
        </row>
        <row r="1254">
          <cell r="C1254" t="str">
            <v>213502326A5</v>
          </cell>
          <cell r="D1254">
            <v>3</v>
          </cell>
          <cell r="E1254" t="str">
            <v>Bình thường</v>
          </cell>
          <cell r="F1254" t="str">
            <v>EN1</v>
          </cell>
          <cell r="G1254" t="str">
            <v>GP1</v>
          </cell>
        </row>
        <row r="1255">
          <cell r="C1255" t="str">
            <v>L63050708825</v>
          </cell>
          <cell r="D1255">
            <v>3</v>
          </cell>
          <cell r="E1255" t="str">
            <v>Bình thường</v>
          </cell>
          <cell r="F1255" t="str">
            <v>GJ1</v>
          </cell>
          <cell r="G1255" t="str">
            <v>EW1, EN1, AF1, AB1</v>
          </cell>
        </row>
        <row r="1256">
          <cell r="C1256" t="str">
            <v>213506240A3</v>
          </cell>
          <cell r="D1256">
            <v>3</v>
          </cell>
          <cell r="E1256" t="str">
            <v>Bình thường</v>
          </cell>
          <cell r="F1256" t="str">
            <v>EW1</v>
          </cell>
          <cell r="G1256" t="str">
            <v>GS1, EN1, GP1</v>
          </cell>
        </row>
        <row r="1257">
          <cell r="C1257" t="str">
            <v>L6125080103</v>
          </cell>
          <cell r="D1257">
            <v>3</v>
          </cell>
          <cell r="E1257" t="str">
            <v>Bình thường</v>
          </cell>
          <cell r="F1257" t="str">
            <v>BJ1</v>
          </cell>
          <cell r="G1257" t="str">
            <v>HT1, AF1, AB1</v>
          </cell>
        </row>
        <row r="1258">
          <cell r="C1258" t="str">
            <v>213507132A6</v>
          </cell>
          <cell r="D1258">
            <v>3</v>
          </cell>
          <cell r="E1258" t="str">
            <v>Bình thường</v>
          </cell>
          <cell r="F1258" t="str">
            <v>GS2</v>
          </cell>
          <cell r="G1258" t="str">
            <v>KT</v>
          </cell>
        </row>
        <row r="1259">
          <cell r="C1259" t="str">
            <v>L6305070882</v>
          </cell>
          <cell r="D1259">
            <v>3</v>
          </cell>
          <cell r="E1259" t="str">
            <v>Bình thường</v>
          </cell>
          <cell r="F1259" t="str">
            <v>AA1</v>
          </cell>
          <cell r="G1259" t="str">
            <v>MA1, BJ1, DA1, AB1</v>
          </cell>
        </row>
        <row r="1260">
          <cell r="C1260" t="str">
            <v>L6115050101</v>
          </cell>
          <cell r="D1260">
            <v>3</v>
          </cell>
          <cell r="E1260" t="str">
            <v>Bình thường</v>
          </cell>
          <cell r="F1260" t="str">
            <v>GP1</v>
          </cell>
          <cell r="G1260" t="str">
            <v>GS1, ED1, EW1, GS2, GP2</v>
          </cell>
        </row>
        <row r="1261">
          <cell r="C1261" t="str">
            <v>L4125100063</v>
          </cell>
          <cell r="D1261">
            <v>3</v>
          </cell>
          <cell r="E1261" t="str">
            <v>Bình thường</v>
          </cell>
          <cell r="F1261" t="str">
            <v>EW1</v>
          </cell>
          <cell r="G1261" t="str">
            <v>KT</v>
          </cell>
        </row>
        <row r="1262">
          <cell r="C1262" t="str">
            <v>213508502A22</v>
          </cell>
          <cell r="D1262">
            <v>3</v>
          </cell>
          <cell r="E1262" t="str">
            <v>Bình thường</v>
          </cell>
          <cell r="F1262" t="str">
            <v>GS1</v>
          </cell>
          <cell r="G1262" t="str">
            <v>EW1, AF1</v>
          </cell>
        </row>
        <row r="1263">
          <cell r="C1263" t="str">
            <v>213508023B29</v>
          </cell>
          <cell r="D1263">
            <v>3</v>
          </cell>
          <cell r="E1263" t="str">
            <v>Bình thường</v>
          </cell>
          <cell r="F1263" t="str">
            <v>GS2</v>
          </cell>
          <cell r="G1263" t="str">
            <v>AF1, AB1</v>
          </cell>
        </row>
        <row r="1264">
          <cell r="C1264" t="str">
            <v>L6125080109</v>
          </cell>
          <cell r="D1264">
            <v>3</v>
          </cell>
          <cell r="E1264" t="str">
            <v>Bình thường</v>
          </cell>
          <cell r="F1264" t="str">
            <v>MC1</v>
          </cell>
          <cell r="G1264" t="str">
            <v>AB1</v>
          </cell>
        </row>
        <row r="1265">
          <cell r="C1265" t="str">
            <v>213506258A31</v>
          </cell>
          <cell r="D1265">
            <v>3</v>
          </cell>
          <cell r="E1265" t="str">
            <v>Bình thường</v>
          </cell>
          <cell r="F1265" t="str">
            <v>GS1</v>
          </cell>
          <cell r="G1265" t="str">
            <v>EN1, GP1, AF1</v>
          </cell>
        </row>
        <row r="1266">
          <cell r="C1266" t="str">
            <v>L6305060101</v>
          </cell>
          <cell r="D1266">
            <v>3</v>
          </cell>
          <cell r="E1266" t="str">
            <v>Bình thường</v>
          </cell>
          <cell r="F1266" t="str">
            <v>GS1</v>
          </cell>
          <cell r="G1266" t="str">
            <v>MC1, HT1, AF1, AB1</v>
          </cell>
        </row>
        <row r="1267">
          <cell r="C1267" t="str">
            <v>L6305090382</v>
          </cell>
          <cell r="D1267">
            <v>3</v>
          </cell>
          <cell r="E1267" t="str">
            <v>Bình thường</v>
          </cell>
          <cell r="F1267" t="str">
            <v>BJ1</v>
          </cell>
          <cell r="G1267" t="str">
            <v>EW1, GS1, WG1, GS2, BJ2, EW2, AF1, AB1</v>
          </cell>
        </row>
        <row r="1268">
          <cell r="C1268" t="str">
            <v>213507005A8</v>
          </cell>
          <cell r="D1268">
            <v>3</v>
          </cell>
          <cell r="E1268" t="str">
            <v>Bình thường</v>
          </cell>
          <cell r="F1268" t="str">
            <v>EW1</v>
          </cell>
          <cell r="G1268" t="str">
            <v>GS1, EN1, GS2</v>
          </cell>
        </row>
        <row r="1269">
          <cell r="C1269" t="str">
            <v>213508178A18</v>
          </cell>
          <cell r="D1269">
            <v>3</v>
          </cell>
          <cell r="E1269" t="str">
            <v>Bình thường</v>
          </cell>
          <cell r="F1269" t="str">
            <v>GS1</v>
          </cell>
          <cell r="G1269" t="str">
            <v>MC1, HT1, GS2, GJ1, AF1</v>
          </cell>
        </row>
        <row r="1270">
          <cell r="C1270" t="str">
            <v>213507009B34</v>
          </cell>
          <cell r="D1270">
            <v>3</v>
          </cell>
          <cell r="E1270" t="str">
            <v>Bình thường</v>
          </cell>
          <cell r="F1270" t="str">
            <v>EN1</v>
          </cell>
          <cell r="G1270" t="str">
            <v>GS2, AF1</v>
          </cell>
        </row>
        <row r="1271">
          <cell r="C1271" t="str">
            <v>R21350530A8</v>
          </cell>
          <cell r="D1271">
            <v>3</v>
          </cell>
          <cell r="E1271" t="str">
            <v>Bình thường</v>
          </cell>
          <cell r="F1271" t="str">
            <v>EN1</v>
          </cell>
          <cell r="G1271" t="str">
            <v>KA1, AF1</v>
          </cell>
        </row>
        <row r="1272">
          <cell r="C1272" t="str">
            <v>L6305090383</v>
          </cell>
          <cell r="D1272">
            <v>3</v>
          </cell>
          <cell r="E1272" t="str">
            <v>Bình thường</v>
          </cell>
          <cell r="F1272" t="str">
            <v>BJ1</v>
          </cell>
          <cell r="G1272" t="str">
            <v>EW1, GS1, WG1, GS2, BJ2, EW2, AF1, AB1</v>
          </cell>
        </row>
        <row r="1273">
          <cell r="C1273" t="str">
            <v>L4125100064</v>
          </cell>
          <cell r="D1273">
            <v>3</v>
          </cell>
          <cell r="E1273" t="str">
            <v>Bình thường</v>
          </cell>
          <cell r="F1273" t="str">
            <v>ED1</v>
          </cell>
          <cell r="G1273" t="str">
            <v>EW1, GP1</v>
          </cell>
        </row>
        <row r="1274">
          <cell r="C1274" t="str">
            <v>213509038B19</v>
          </cell>
          <cell r="D1274">
            <v>3</v>
          </cell>
          <cell r="E1274" t="str">
            <v>Bình thường</v>
          </cell>
          <cell r="F1274" t="str">
            <v>BJ1</v>
          </cell>
          <cell r="G1274" t="str">
            <v>GS1, GJ1</v>
          </cell>
        </row>
        <row r="1275">
          <cell r="C1275" t="str">
            <v>L6235100031</v>
          </cell>
          <cell r="D1275">
            <v>3</v>
          </cell>
          <cell r="E1275" t="str">
            <v>Bình thường</v>
          </cell>
          <cell r="F1275" t="str">
            <v>GS1</v>
          </cell>
          <cell r="G1275" t="str">
            <v>BJ1, AB1</v>
          </cell>
        </row>
        <row r="1276">
          <cell r="C1276" t="str">
            <v>R6115050051</v>
          </cell>
          <cell r="D1276">
            <v>3</v>
          </cell>
          <cell r="E1276" t="str">
            <v>Bình thường</v>
          </cell>
          <cell r="F1276" t="str">
            <v>LA1</v>
          </cell>
          <cell r="G1276" t="str">
            <v>AF1, MC1, BJ1, DA1</v>
          </cell>
        </row>
        <row r="1277">
          <cell r="C1277" t="str">
            <v>L6115050113</v>
          </cell>
          <cell r="D1277">
            <v>3</v>
          </cell>
          <cell r="E1277" t="str">
            <v>Bình thường</v>
          </cell>
          <cell r="F1277" t="str">
            <v>GC1</v>
          </cell>
          <cell r="G1277" t="str">
            <v>GP1</v>
          </cell>
        </row>
        <row r="1278">
          <cell r="C1278" t="str">
            <v>213508071A15</v>
          </cell>
          <cell r="D1278">
            <v>3</v>
          </cell>
          <cell r="E1278" t="str">
            <v>Bình thường</v>
          </cell>
          <cell r="F1278" t="str">
            <v>GS1</v>
          </cell>
          <cell r="G1278" t="str">
            <v>GP1</v>
          </cell>
        </row>
        <row r="1279">
          <cell r="C1279" t="str">
            <v>62350200451</v>
          </cell>
          <cell r="D1279">
            <v>3</v>
          </cell>
          <cell r="E1279" t="str">
            <v>Bình thường</v>
          </cell>
          <cell r="F1279" t="str">
            <v>MC1</v>
          </cell>
          <cell r="G1279" t="str">
            <v>EW1, AF1, AB1</v>
          </cell>
        </row>
        <row r="1280">
          <cell r="C1280" t="str">
            <v>213509009B33</v>
          </cell>
          <cell r="D1280">
            <v>3</v>
          </cell>
          <cell r="E1280" t="str">
            <v>Bình thường</v>
          </cell>
          <cell r="F1280" t="str">
            <v>GC1</v>
          </cell>
          <cell r="G1280" t="str">
            <v>GS2, EW1, AF1</v>
          </cell>
        </row>
        <row r="1281">
          <cell r="C1281" t="str">
            <v>63050401111</v>
          </cell>
          <cell r="D1281">
            <v>3</v>
          </cell>
          <cell r="E1281" t="str">
            <v>Bình thường</v>
          </cell>
          <cell r="F1281" t="str">
            <v>MC1</v>
          </cell>
          <cell r="G1281" t="str">
            <v>EW1, AF1</v>
          </cell>
        </row>
        <row r="1282">
          <cell r="C1282" t="str">
            <v>L6305060335</v>
          </cell>
          <cell r="D1282">
            <v>3</v>
          </cell>
          <cell r="E1282" t="str">
            <v>Bình thường</v>
          </cell>
          <cell r="F1282" t="str">
            <v>AA1</v>
          </cell>
          <cell r="G1282" t="str">
            <v>MA1, BJ1, GS1, AF1</v>
          </cell>
        </row>
        <row r="1283">
          <cell r="C1283" t="str">
            <v>R21351082A37</v>
          </cell>
          <cell r="D1283">
            <v>3</v>
          </cell>
          <cell r="E1283" t="str">
            <v>Bình thường</v>
          </cell>
          <cell r="F1283" t="str">
            <v>GS1</v>
          </cell>
          <cell r="G1283" t="str">
            <v>EN1</v>
          </cell>
        </row>
        <row r="1284">
          <cell r="C1284" t="str">
            <v>L6235090053</v>
          </cell>
          <cell r="D1284">
            <v>3</v>
          </cell>
          <cell r="E1284" t="str">
            <v>Bình thường</v>
          </cell>
          <cell r="F1284" t="str">
            <v>GS2</v>
          </cell>
          <cell r="G1284" t="str">
            <v>KT</v>
          </cell>
        </row>
        <row r="1285">
          <cell r="C1285" t="str">
            <v>213503059B35</v>
          </cell>
          <cell r="D1285">
            <v>3</v>
          </cell>
          <cell r="E1285" t="str">
            <v>Bình thường</v>
          </cell>
          <cell r="F1285" t="str">
            <v>GR1</v>
          </cell>
          <cell r="G1285" t="str">
            <v>GS1, EW1, AF1, AB1</v>
          </cell>
        </row>
        <row r="1286">
          <cell r="C1286" t="str">
            <v>213509245A47</v>
          </cell>
          <cell r="D1286">
            <v>3</v>
          </cell>
          <cell r="E1286" t="str">
            <v>Bình thường</v>
          </cell>
          <cell r="F1286" t="str">
            <v>HT1</v>
          </cell>
          <cell r="G1286" t="str">
            <v>GS1, AF1</v>
          </cell>
        </row>
        <row r="1287">
          <cell r="C1287" t="str">
            <v>L6115030255</v>
          </cell>
          <cell r="D1287">
            <v>3</v>
          </cell>
          <cell r="E1287" t="str">
            <v>Bình thường</v>
          </cell>
          <cell r="F1287" t="str">
            <v>GP1</v>
          </cell>
          <cell r="G1287" t="str">
            <v>KT</v>
          </cell>
        </row>
        <row r="1288">
          <cell r="C1288" t="str">
            <v>213509215A16</v>
          </cell>
          <cell r="D1288">
            <v>3</v>
          </cell>
          <cell r="E1288" t="str">
            <v>Bình thường</v>
          </cell>
          <cell r="F1288" t="str">
            <v>MA1</v>
          </cell>
          <cell r="G1288" t="str">
            <v>BJ1, MC1, HT1, GS1, EW1, GS2, AF1</v>
          </cell>
        </row>
        <row r="1289">
          <cell r="C1289" t="str">
            <v>213510031A32</v>
          </cell>
          <cell r="D1289">
            <v>3</v>
          </cell>
          <cell r="E1289" t="str">
            <v>Bình thường</v>
          </cell>
          <cell r="F1289" t="str">
            <v>GS1</v>
          </cell>
          <cell r="G1289" t="str">
            <v>GR1, GJ1, GS2</v>
          </cell>
        </row>
        <row r="1290">
          <cell r="C1290" t="str">
            <v>L6115030146</v>
          </cell>
          <cell r="D1290">
            <v>3</v>
          </cell>
          <cell r="E1290" t="str">
            <v>Bình thường</v>
          </cell>
          <cell r="F1290" t="str">
            <v>ED1</v>
          </cell>
          <cell r="G1290" t="str">
            <v>GJ1, GR1</v>
          </cell>
        </row>
        <row r="1291">
          <cell r="C1291" t="str">
            <v>L6235050062</v>
          </cell>
          <cell r="D1291">
            <v>3</v>
          </cell>
          <cell r="E1291" t="str">
            <v>Bình thường</v>
          </cell>
          <cell r="F1291" t="str">
            <v>GS2</v>
          </cell>
          <cell r="G1291" t="str">
            <v>EW2, EN1, AF1, AB1</v>
          </cell>
        </row>
        <row r="1292">
          <cell r="C1292" t="str">
            <v>L6305070901</v>
          </cell>
          <cell r="D1292">
            <v>3</v>
          </cell>
          <cell r="E1292" t="str">
            <v>Bình thường</v>
          </cell>
          <cell r="F1292" t="str">
            <v>MA1</v>
          </cell>
          <cell r="G1292" t="str">
            <v>BJ1, WG1, GS1, BJ2, AB1</v>
          </cell>
        </row>
        <row r="1293">
          <cell r="C1293" t="str">
            <v>213508120A7</v>
          </cell>
          <cell r="D1293">
            <v>3</v>
          </cell>
          <cell r="E1293" t="str">
            <v>Bình thường</v>
          </cell>
          <cell r="F1293" t="str">
            <v>LT1</v>
          </cell>
          <cell r="G1293" t="str">
            <v>KT</v>
          </cell>
        </row>
        <row r="1294">
          <cell r="C1294" t="str">
            <v>213509269A27</v>
          </cell>
          <cell r="D1294">
            <v>3</v>
          </cell>
          <cell r="E1294" t="str">
            <v>Bình thường</v>
          </cell>
          <cell r="F1294" t="str">
            <v>BJ1</v>
          </cell>
          <cell r="G1294" t="str">
            <v>DA1, GS1, EW1, AF1</v>
          </cell>
        </row>
        <row r="1295">
          <cell r="C1295" t="str">
            <v>213508154A9</v>
          </cell>
          <cell r="D1295">
            <v>3</v>
          </cell>
          <cell r="E1295" t="str">
            <v>Bình thường</v>
          </cell>
          <cell r="F1295" t="str">
            <v>GR1</v>
          </cell>
          <cell r="G1295" t="str">
            <v>GS1, EN1, GJ1, AF1, AB1</v>
          </cell>
        </row>
        <row r="1296">
          <cell r="C1296" t="str">
            <v>R21351032A28</v>
          </cell>
          <cell r="D1296">
            <v>3</v>
          </cell>
          <cell r="E1296" t="str">
            <v>Bình thường</v>
          </cell>
          <cell r="F1296" t="str">
            <v>GS1</v>
          </cell>
          <cell r="G1296" t="str">
            <v>EN1</v>
          </cell>
        </row>
        <row r="1297">
          <cell r="C1297" t="str">
            <v>213509107A6</v>
          </cell>
          <cell r="D1297">
            <v>3</v>
          </cell>
          <cell r="E1297" t="str">
            <v>Bình thường</v>
          </cell>
          <cell r="F1297" t="str">
            <v>GR1</v>
          </cell>
          <cell r="G1297" t="str">
            <v>GS1, ED1, GS2, GC1, GP1</v>
          </cell>
        </row>
        <row r="1298">
          <cell r="C1298" t="str">
            <v>213509268A26</v>
          </cell>
          <cell r="D1298">
            <v>3</v>
          </cell>
          <cell r="E1298" t="str">
            <v>Bình thường</v>
          </cell>
          <cell r="F1298" t="str">
            <v>GR1</v>
          </cell>
          <cell r="G1298" t="str">
            <v>EN1, GS1, GJ1, EN2, AF2, AL1</v>
          </cell>
        </row>
        <row r="1299">
          <cell r="C1299" t="str">
            <v>213509257A13</v>
          </cell>
          <cell r="D1299">
            <v>3</v>
          </cell>
          <cell r="E1299" t="str">
            <v>Bình thường</v>
          </cell>
          <cell r="F1299" t="str">
            <v>AF1</v>
          </cell>
          <cell r="G1299" t="str">
            <v>HT1, GS1, EN1, AF2, AL1</v>
          </cell>
        </row>
        <row r="1300">
          <cell r="C1300" t="str">
            <v>213505201A26</v>
          </cell>
          <cell r="D1300">
            <v>3</v>
          </cell>
          <cell r="E1300" t="str">
            <v>Bình thường</v>
          </cell>
          <cell r="F1300" t="str">
            <v>GS2</v>
          </cell>
          <cell r="G1300" t="str">
            <v>EN1, GP1</v>
          </cell>
        </row>
        <row r="1301">
          <cell r="C1301" t="str">
            <v>213508070B1</v>
          </cell>
          <cell r="D1301">
            <v>3</v>
          </cell>
          <cell r="E1301" t="str">
            <v>Bình thường</v>
          </cell>
          <cell r="F1301" t="str">
            <v>BJ1</v>
          </cell>
          <cell r="G1301" t="str">
            <v>DA1, GS1, MC1, HT1, GS2, ED1, EW1, EN1, AF1, AB1</v>
          </cell>
        </row>
        <row r="1302">
          <cell r="C1302" t="str">
            <v>213509019B38</v>
          </cell>
          <cell r="D1302">
            <v>3</v>
          </cell>
          <cell r="E1302" t="str">
            <v>Bình thường</v>
          </cell>
          <cell r="F1302" t="str">
            <v>MA1</v>
          </cell>
          <cell r="G1302" t="str">
            <v>MC1, HT1, AF1, AB1</v>
          </cell>
        </row>
        <row r="1303">
          <cell r="C1303" t="str">
            <v>213509032A9</v>
          </cell>
          <cell r="D1303">
            <v>3</v>
          </cell>
          <cell r="E1303" t="str">
            <v>Bình thường</v>
          </cell>
          <cell r="F1303" t="str">
            <v>MA1</v>
          </cell>
          <cell r="G1303" t="str">
            <v>BJ1, HT1, GS1, EW1, EN1, AF1</v>
          </cell>
        </row>
        <row r="1304">
          <cell r="C1304" t="str">
            <v>R21350541A2</v>
          </cell>
          <cell r="D1304">
            <v>3</v>
          </cell>
          <cell r="E1304" t="str">
            <v>Bình thường</v>
          </cell>
          <cell r="F1304" t="str">
            <v>EN1</v>
          </cell>
          <cell r="G1304" t="str">
            <v>AF1</v>
          </cell>
        </row>
        <row r="1305">
          <cell r="C1305" t="str">
            <v>213504141B72</v>
          </cell>
          <cell r="D1305">
            <v>3</v>
          </cell>
          <cell r="E1305" t="str">
            <v>Bình thường</v>
          </cell>
          <cell r="F1305" t="str">
            <v>LT1</v>
          </cell>
          <cell r="G1305" t="str">
            <v>KT</v>
          </cell>
        </row>
        <row r="1306">
          <cell r="C1306" t="str">
            <v>213506185A43</v>
          </cell>
          <cell r="D1306">
            <v>3</v>
          </cell>
          <cell r="E1306" t="str">
            <v>Bình thường</v>
          </cell>
          <cell r="F1306" t="str">
            <v>GR1</v>
          </cell>
          <cell r="G1306" t="str">
            <v>GP1</v>
          </cell>
        </row>
        <row r="1307">
          <cell r="C1307" t="str">
            <v>213510019A19</v>
          </cell>
          <cell r="D1307">
            <v>3</v>
          </cell>
          <cell r="E1307" t="str">
            <v>Bình thường</v>
          </cell>
          <cell r="F1307" t="str">
            <v>GS1</v>
          </cell>
          <cell r="G1307" t="str">
            <v>GP1, AF1</v>
          </cell>
        </row>
        <row r="1308">
          <cell r="C1308" t="str">
            <v>213509531A21</v>
          </cell>
          <cell r="D1308">
            <v>3</v>
          </cell>
          <cell r="E1308" t="str">
            <v>Bình thường</v>
          </cell>
          <cell r="F1308" t="str">
            <v>EW1</v>
          </cell>
          <cell r="G1308" t="str">
            <v>GS1, ED1, EW2, GP1, EN1</v>
          </cell>
        </row>
        <row r="1309">
          <cell r="C1309" t="str">
            <v>213509014A17</v>
          </cell>
          <cell r="D1309">
            <v>3</v>
          </cell>
          <cell r="E1309" t="str">
            <v>Bình thường</v>
          </cell>
          <cell r="F1309" t="str">
            <v>GR1</v>
          </cell>
          <cell r="G1309" t="str">
            <v>GS1, KA1, AF1, EW1, BJ1, GS2, BJ2, HT2, AF2</v>
          </cell>
        </row>
        <row r="1310">
          <cell r="C1310" t="str">
            <v>213506095B46</v>
          </cell>
          <cell r="D1310">
            <v>3</v>
          </cell>
          <cell r="E1310" t="str">
            <v>Bình thường</v>
          </cell>
          <cell r="F1310" t="str">
            <v>GS1</v>
          </cell>
          <cell r="G1310" t="str">
            <v>EW1, AF1, KA1, LT1, AL1</v>
          </cell>
        </row>
        <row r="1311">
          <cell r="C1311" t="str">
            <v>213509033A10</v>
          </cell>
          <cell r="D1311">
            <v>3</v>
          </cell>
          <cell r="E1311" t="str">
            <v>Bình thường</v>
          </cell>
          <cell r="F1311" t="str">
            <v>EW2</v>
          </cell>
          <cell r="G1311" t="str">
            <v>GS2</v>
          </cell>
        </row>
        <row r="1312">
          <cell r="C1312" t="str">
            <v>213509914A6</v>
          </cell>
          <cell r="D1312">
            <v>3</v>
          </cell>
          <cell r="E1312" t="str">
            <v>Bình thường</v>
          </cell>
          <cell r="F1312" t="str">
            <v>GR1</v>
          </cell>
          <cell r="G1312" t="str">
            <v>GS1, GC1, GP1, AF1, AL1</v>
          </cell>
        </row>
        <row r="1313">
          <cell r="C1313" t="str">
            <v>213509071A6</v>
          </cell>
          <cell r="D1313">
            <v>3</v>
          </cell>
          <cell r="E1313" t="str">
            <v>Bình thường</v>
          </cell>
          <cell r="F1313" t="str">
            <v>GS1</v>
          </cell>
          <cell r="G1313" t="str">
            <v>GP1, EW2</v>
          </cell>
        </row>
        <row r="1314">
          <cell r="C1314" t="str">
            <v>213509072A7</v>
          </cell>
          <cell r="D1314">
            <v>3</v>
          </cell>
          <cell r="E1314" t="str">
            <v>Bình thường</v>
          </cell>
          <cell r="F1314" t="str">
            <v>GS1</v>
          </cell>
          <cell r="G1314" t="str">
            <v>GP1, KA1, EW2</v>
          </cell>
        </row>
        <row r="1315">
          <cell r="C1315" t="str">
            <v>213509073A8</v>
          </cell>
          <cell r="D1315">
            <v>3</v>
          </cell>
          <cell r="E1315" t="str">
            <v>Bình thường</v>
          </cell>
          <cell r="F1315" t="str">
            <v>GS1</v>
          </cell>
          <cell r="G1315" t="str">
            <v>GP1, EW2</v>
          </cell>
        </row>
        <row r="1316">
          <cell r="C1316" t="str">
            <v>61150900051</v>
          </cell>
          <cell r="D1316">
            <v>3</v>
          </cell>
          <cell r="E1316" t="str">
            <v>Bình thường</v>
          </cell>
          <cell r="F1316" t="str">
            <v>EW1</v>
          </cell>
          <cell r="G1316" t="str">
            <v>GS1, ED1, GJ1, GR1, GP1</v>
          </cell>
        </row>
        <row r="1317">
          <cell r="C1317" t="str">
            <v>213509104A3</v>
          </cell>
          <cell r="D1317">
            <v>3</v>
          </cell>
          <cell r="E1317" t="str">
            <v>Bình thường</v>
          </cell>
          <cell r="F1317" t="str">
            <v>MA1</v>
          </cell>
          <cell r="G1317" t="str">
            <v>BJ1, AF1, HT1, EW1, GS1, WG1, GS2, EW2, AF2</v>
          </cell>
        </row>
        <row r="1318">
          <cell r="C1318" t="str">
            <v>213509074A9</v>
          </cell>
          <cell r="D1318">
            <v>3</v>
          </cell>
          <cell r="E1318" t="str">
            <v>Bình thường</v>
          </cell>
          <cell r="F1318" t="str">
            <v>GS1</v>
          </cell>
          <cell r="G1318" t="str">
            <v>GP1, EW2</v>
          </cell>
        </row>
        <row r="1319">
          <cell r="C1319" t="str">
            <v>213509058A35</v>
          </cell>
          <cell r="D1319">
            <v>3</v>
          </cell>
          <cell r="E1319" t="str">
            <v>Bình thường</v>
          </cell>
          <cell r="F1319" t="str">
            <v>GS1</v>
          </cell>
          <cell r="G1319" t="str">
            <v>ED1, GJ1, GR1</v>
          </cell>
        </row>
        <row r="1320">
          <cell r="C1320" t="str">
            <v>L6115080432</v>
          </cell>
          <cell r="D1320">
            <v>3</v>
          </cell>
          <cell r="E1320" t="str">
            <v>Bình thường</v>
          </cell>
          <cell r="F1320" t="str">
            <v>GS1</v>
          </cell>
          <cell r="G1320" t="str">
            <v>EW2, GS2</v>
          </cell>
        </row>
        <row r="1321">
          <cell r="C1321" t="str">
            <v>213509296A17</v>
          </cell>
          <cell r="D1321">
            <v>3</v>
          </cell>
          <cell r="E1321" t="str">
            <v>Bình thường</v>
          </cell>
          <cell r="F1321" t="str">
            <v>GS1</v>
          </cell>
          <cell r="G1321" t="str">
            <v>EW1, GR1, GP1, GS2, EW2, EN1, AF1</v>
          </cell>
        </row>
        <row r="1322">
          <cell r="C1322" t="str">
            <v>213510018A18</v>
          </cell>
          <cell r="D1322">
            <v>3</v>
          </cell>
          <cell r="E1322" t="str">
            <v>Bình thường</v>
          </cell>
          <cell r="F1322" t="str">
            <v>AA1</v>
          </cell>
          <cell r="G1322" t="str">
            <v>MA1, GS1, BJ1, HT1, GS2, EN1, EW1, AF1, AB1</v>
          </cell>
        </row>
        <row r="1323">
          <cell r="C1323" t="str">
            <v>623510031G1</v>
          </cell>
          <cell r="D1323">
            <v>3</v>
          </cell>
          <cell r="E1323" t="str">
            <v>Bình thường</v>
          </cell>
          <cell r="F1323" t="str">
            <v>LA1</v>
          </cell>
          <cell r="G1323" t="str">
            <v>HT1, GR1, GS1, GC1, AF1</v>
          </cell>
        </row>
        <row r="1324">
          <cell r="C1324" t="str">
            <v>213506024A17</v>
          </cell>
          <cell r="D1324">
            <v>2</v>
          </cell>
          <cell r="E1324" t="str">
            <v>Bình thường</v>
          </cell>
          <cell r="F1324" t="str">
            <v>EW1</v>
          </cell>
          <cell r="G1324" t="str">
            <v>GS1, EW2, EN1, GP1, AF1</v>
          </cell>
        </row>
        <row r="1325">
          <cell r="C1325" t="str">
            <v>213507151A12</v>
          </cell>
          <cell r="D1325">
            <v>2</v>
          </cell>
          <cell r="E1325" t="str">
            <v>Bình thường</v>
          </cell>
          <cell r="F1325" t="str">
            <v>GP1</v>
          </cell>
          <cell r="G1325" t="str">
            <v>EN1</v>
          </cell>
        </row>
        <row r="1326">
          <cell r="C1326" t="str">
            <v>L4135090433</v>
          </cell>
          <cell r="D1326">
            <v>2</v>
          </cell>
          <cell r="E1326" t="str">
            <v>Khẩn</v>
          </cell>
          <cell r="F1326" t="str">
            <v>EN1</v>
          </cell>
          <cell r="G1326" t="str">
            <v>AF1</v>
          </cell>
        </row>
        <row r="1327">
          <cell r="C1327" t="str">
            <v>L4165090104</v>
          </cell>
          <cell r="D1327">
            <v>2</v>
          </cell>
          <cell r="E1327" t="str">
            <v>Bình thường</v>
          </cell>
          <cell r="F1327" t="str">
            <v>MA1</v>
          </cell>
          <cell r="G1327" t="str">
            <v>MC1</v>
          </cell>
        </row>
        <row r="1328">
          <cell r="C1328" t="str">
            <v>L6125060024</v>
          </cell>
          <cell r="D1328">
            <v>2</v>
          </cell>
          <cell r="E1328" t="str">
            <v>Bình thường</v>
          </cell>
          <cell r="F1328" t="str">
            <v>GS1</v>
          </cell>
          <cell r="G1328" t="str">
            <v>GJ1, AF1</v>
          </cell>
        </row>
        <row r="1329">
          <cell r="C1329" t="str">
            <v>L6305090333</v>
          </cell>
          <cell r="D1329">
            <v>2</v>
          </cell>
          <cell r="E1329" t="str">
            <v>Bình thường</v>
          </cell>
          <cell r="F1329" t="str">
            <v>BJ1</v>
          </cell>
          <cell r="G1329" t="str">
            <v>AB1</v>
          </cell>
        </row>
        <row r="1330">
          <cell r="C1330" t="str">
            <v>L6235060261</v>
          </cell>
          <cell r="D1330">
            <v>2</v>
          </cell>
          <cell r="E1330" t="str">
            <v>Bình thường</v>
          </cell>
          <cell r="F1330" t="str">
            <v>AA1</v>
          </cell>
          <cell r="G1330" t="str">
            <v>MA1, MC1</v>
          </cell>
        </row>
        <row r="1331">
          <cell r="C1331" t="str">
            <v>L6235050162</v>
          </cell>
          <cell r="D1331">
            <v>2</v>
          </cell>
          <cell r="E1331" t="str">
            <v>Bình thường</v>
          </cell>
          <cell r="F1331" t="str">
            <v>MC1</v>
          </cell>
          <cell r="G1331" t="str">
            <v>AF1</v>
          </cell>
        </row>
        <row r="1332">
          <cell r="C1332" t="str">
            <v>L63050905015</v>
          </cell>
          <cell r="D1332">
            <v>2</v>
          </cell>
          <cell r="E1332" t="str">
            <v>Khẩn</v>
          </cell>
          <cell r="F1332" t="str">
            <v>BJ1</v>
          </cell>
          <cell r="G1332" t="str">
            <v>DA1, AB1</v>
          </cell>
        </row>
        <row r="1333">
          <cell r="C1333" t="str">
            <v>213508077A21</v>
          </cell>
          <cell r="D1333">
            <v>2</v>
          </cell>
          <cell r="E1333" t="str">
            <v>Bình thường</v>
          </cell>
          <cell r="F1333" t="str">
            <v>GC1</v>
          </cell>
          <cell r="G1333" t="str">
            <v>GP1</v>
          </cell>
        </row>
        <row r="1334">
          <cell r="C1334" t="str">
            <v>62250900011</v>
          </cell>
          <cell r="D1334">
            <v>2</v>
          </cell>
          <cell r="E1334" t="str">
            <v>Bình thường</v>
          </cell>
          <cell r="F1334" t="str">
            <v>MC1</v>
          </cell>
          <cell r="G1334" t="str">
            <v>AF1</v>
          </cell>
        </row>
        <row r="1335">
          <cell r="C1335" t="str">
            <v>62350800301</v>
          </cell>
          <cell r="D1335">
            <v>2</v>
          </cell>
          <cell r="E1335" t="str">
            <v>Khẩn</v>
          </cell>
          <cell r="F1335" t="str">
            <v>LN1</v>
          </cell>
          <cell r="G1335" t="str">
            <v>KA1, AF1, BJ1, EN1, HT1, AF2</v>
          </cell>
        </row>
        <row r="1336">
          <cell r="C1336" t="str">
            <v>L6305070043</v>
          </cell>
          <cell r="D1336">
            <v>2</v>
          </cell>
          <cell r="E1336" t="str">
            <v>Bình thường</v>
          </cell>
          <cell r="F1336" t="str">
            <v>AF1</v>
          </cell>
          <cell r="G1336" t="str">
            <v>VP</v>
          </cell>
        </row>
        <row r="1337">
          <cell r="C1337" t="str">
            <v>L6215090252</v>
          </cell>
          <cell r="D1337">
            <v>2</v>
          </cell>
          <cell r="E1337" t="str">
            <v>Khẩn</v>
          </cell>
          <cell r="F1337" t="str">
            <v>GR2</v>
          </cell>
          <cell r="G1337" t="str">
            <v>GS2, AF1, AB1</v>
          </cell>
        </row>
        <row r="1338">
          <cell r="C1338" t="str">
            <v>62250900041</v>
          </cell>
          <cell r="D1338">
            <v>2</v>
          </cell>
          <cell r="E1338" t="str">
            <v>Bình thường</v>
          </cell>
          <cell r="F1338" t="str">
            <v>MA1</v>
          </cell>
          <cell r="G1338" t="str">
            <v>BJ1, DA1</v>
          </cell>
        </row>
        <row r="1339">
          <cell r="C1339" t="str">
            <v>L62150601010</v>
          </cell>
          <cell r="D1339">
            <v>2</v>
          </cell>
          <cell r="E1339" t="str">
            <v>Bình thường</v>
          </cell>
          <cell r="F1339" t="str">
            <v>AB1</v>
          </cell>
          <cell r="G1339" t="str">
            <v>KT</v>
          </cell>
        </row>
        <row r="1340">
          <cell r="C1340" t="str">
            <v>L6225040272</v>
          </cell>
          <cell r="D1340">
            <v>2</v>
          </cell>
          <cell r="E1340" t="str">
            <v>Bình thường</v>
          </cell>
          <cell r="F1340" t="str">
            <v>EN1</v>
          </cell>
          <cell r="G1340" t="str">
            <v>AF1, AL1</v>
          </cell>
        </row>
        <row r="1341">
          <cell r="C1341" t="str">
            <v>213506237A40</v>
          </cell>
          <cell r="D1341">
            <v>2</v>
          </cell>
          <cell r="E1341" t="str">
            <v>Bình thường</v>
          </cell>
          <cell r="F1341" t="str">
            <v>GP1</v>
          </cell>
          <cell r="G1341" t="str">
            <v>AF1</v>
          </cell>
        </row>
        <row r="1342">
          <cell r="C1342" t="str">
            <v>213508076A20</v>
          </cell>
          <cell r="D1342">
            <v>2</v>
          </cell>
          <cell r="E1342" t="str">
            <v>Bình thường</v>
          </cell>
          <cell r="F1342" t="str">
            <v>GS2</v>
          </cell>
          <cell r="G1342" t="str">
            <v>KT</v>
          </cell>
        </row>
        <row r="1343">
          <cell r="C1343" t="str">
            <v>L6115050051</v>
          </cell>
          <cell r="D1343">
            <v>2</v>
          </cell>
          <cell r="E1343" t="str">
            <v>Bình thường</v>
          </cell>
          <cell r="F1343" t="str">
            <v>GP1</v>
          </cell>
          <cell r="G1343" t="str">
            <v>AF1</v>
          </cell>
        </row>
        <row r="1344">
          <cell r="C1344" t="str">
            <v>L4135100323</v>
          </cell>
          <cell r="D1344">
            <v>2</v>
          </cell>
          <cell r="E1344" t="str">
            <v>Khẩn</v>
          </cell>
          <cell r="F1344" t="str">
            <v>AA1</v>
          </cell>
          <cell r="G1344" t="str">
            <v>MA1, BJ1, AB1</v>
          </cell>
        </row>
        <row r="1345">
          <cell r="C1345" t="str">
            <v>L6235090222</v>
          </cell>
          <cell r="D1345">
            <v>2</v>
          </cell>
          <cell r="E1345" t="str">
            <v>Khẩn</v>
          </cell>
          <cell r="F1345" t="str">
            <v>BJ1</v>
          </cell>
          <cell r="G1345" t="str">
            <v>DA1, AB1</v>
          </cell>
        </row>
        <row r="1346">
          <cell r="C1346" t="str">
            <v>R4135100261</v>
          </cell>
          <cell r="D1346">
            <v>2</v>
          </cell>
          <cell r="E1346" t="str">
            <v>Khẩn</v>
          </cell>
          <cell r="F1346" t="str">
            <v>BJ1</v>
          </cell>
          <cell r="G1346" t="str">
            <v>AB1</v>
          </cell>
        </row>
        <row r="1347">
          <cell r="C1347" t="str">
            <v>L6305040273</v>
          </cell>
          <cell r="D1347">
            <v>2</v>
          </cell>
          <cell r="E1347" t="str">
            <v>Bình thường</v>
          </cell>
          <cell r="F1347" t="str">
            <v>BJ1</v>
          </cell>
          <cell r="G1347" t="str">
            <v>AF1</v>
          </cell>
        </row>
        <row r="1348">
          <cell r="C1348" t="str">
            <v>L6225040271</v>
          </cell>
          <cell r="D1348">
            <v>2</v>
          </cell>
          <cell r="E1348" t="str">
            <v>Bình thường</v>
          </cell>
          <cell r="F1348" t="str">
            <v>EN1</v>
          </cell>
          <cell r="G1348" t="str">
            <v>AF1, AL1</v>
          </cell>
        </row>
        <row r="1349">
          <cell r="C1349" t="str">
            <v>R41351002616</v>
          </cell>
          <cell r="D1349">
            <v>2</v>
          </cell>
          <cell r="E1349" t="str">
            <v>Khẩn</v>
          </cell>
          <cell r="F1349" t="str">
            <v>GJ1</v>
          </cell>
          <cell r="G1349" t="str">
            <v>VP</v>
          </cell>
        </row>
        <row r="1350">
          <cell r="C1350" t="str">
            <v>R41351002611</v>
          </cell>
          <cell r="D1350">
            <v>2</v>
          </cell>
          <cell r="E1350" t="str">
            <v>Khẩn</v>
          </cell>
          <cell r="F1350" t="str">
            <v>BJ1</v>
          </cell>
          <cell r="G1350" t="str">
            <v>AB1</v>
          </cell>
        </row>
        <row r="1351">
          <cell r="C1351" t="str">
            <v>213506121A10</v>
          </cell>
          <cell r="D1351">
            <v>2</v>
          </cell>
          <cell r="E1351" t="str">
            <v>Bình thường</v>
          </cell>
          <cell r="F1351" t="str">
            <v>GS1</v>
          </cell>
          <cell r="G1351" t="str">
            <v>GP2, AF1</v>
          </cell>
        </row>
        <row r="1352">
          <cell r="C1352" t="str">
            <v>213509261A17</v>
          </cell>
          <cell r="D1352">
            <v>2</v>
          </cell>
          <cell r="E1352" t="str">
            <v>Bình thường</v>
          </cell>
          <cell r="F1352" t="str">
            <v>LA1</v>
          </cell>
          <cell r="G1352" t="str">
            <v>BJ1, GS1, GP1, EW1</v>
          </cell>
        </row>
        <row r="1353">
          <cell r="C1353" t="str">
            <v>L4155090052</v>
          </cell>
          <cell r="D1353">
            <v>2</v>
          </cell>
          <cell r="E1353" t="str">
            <v>Khẩn</v>
          </cell>
          <cell r="F1353" t="str">
            <v>GP1</v>
          </cell>
          <cell r="G1353" t="str">
            <v>GS2, AF1, AL1</v>
          </cell>
        </row>
        <row r="1354">
          <cell r="C1354" t="str">
            <v>L6225070152</v>
          </cell>
          <cell r="D1354">
            <v>2</v>
          </cell>
          <cell r="E1354" t="str">
            <v>Bình thường</v>
          </cell>
          <cell r="F1354" t="str">
            <v>MC1</v>
          </cell>
          <cell r="G1354" t="str">
            <v>AB1</v>
          </cell>
        </row>
        <row r="1355">
          <cell r="C1355" t="str">
            <v>L6125060034</v>
          </cell>
          <cell r="D1355">
            <v>2</v>
          </cell>
          <cell r="E1355" t="str">
            <v>Bình thường</v>
          </cell>
          <cell r="F1355" t="str">
            <v>GJ1</v>
          </cell>
          <cell r="G1355" t="str">
            <v>EW1, AF1</v>
          </cell>
        </row>
        <row r="1356">
          <cell r="C1356" t="str">
            <v>L4165090101</v>
          </cell>
          <cell r="D1356">
            <v>2</v>
          </cell>
          <cell r="E1356" t="str">
            <v>Bình thường</v>
          </cell>
          <cell r="F1356" t="str">
            <v>BJ1</v>
          </cell>
          <cell r="G1356" t="str">
            <v>WG1, AB1</v>
          </cell>
        </row>
        <row r="1357">
          <cell r="C1357" t="str">
            <v>L2135057086</v>
          </cell>
          <cell r="D1357">
            <v>2</v>
          </cell>
          <cell r="E1357" t="str">
            <v>Bình thường</v>
          </cell>
          <cell r="F1357" t="str">
            <v>MA1</v>
          </cell>
          <cell r="G1357" t="str">
            <v>BJ1</v>
          </cell>
        </row>
        <row r="1358">
          <cell r="C1358" t="str">
            <v>L6305070409</v>
          </cell>
          <cell r="D1358">
            <v>2</v>
          </cell>
          <cell r="E1358" t="str">
            <v>Bình thường</v>
          </cell>
          <cell r="F1358" t="str">
            <v>MC1</v>
          </cell>
          <cell r="G1358" t="str">
            <v>AB1</v>
          </cell>
        </row>
        <row r="1359">
          <cell r="C1359" t="str">
            <v>L6305070408</v>
          </cell>
          <cell r="D1359">
            <v>2</v>
          </cell>
          <cell r="E1359" t="str">
            <v>Bình thường</v>
          </cell>
          <cell r="F1359" t="str">
            <v>MC1</v>
          </cell>
          <cell r="G1359" t="str">
            <v>AB1</v>
          </cell>
        </row>
        <row r="1360">
          <cell r="C1360" t="str">
            <v>L6235090076</v>
          </cell>
          <cell r="D1360">
            <v>2</v>
          </cell>
          <cell r="E1360" t="str">
            <v>Bình thường</v>
          </cell>
          <cell r="F1360" t="str">
            <v>MA1</v>
          </cell>
          <cell r="G1360" t="str">
            <v>BJ1, AF1</v>
          </cell>
        </row>
        <row r="1361">
          <cell r="C1361" t="str">
            <v>213509221A22</v>
          </cell>
          <cell r="D1361">
            <v>2</v>
          </cell>
          <cell r="E1361" t="str">
            <v>Bình thường</v>
          </cell>
          <cell r="F1361" t="str">
            <v>LA1</v>
          </cell>
          <cell r="G1361" t="str">
            <v>VP</v>
          </cell>
        </row>
        <row r="1362">
          <cell r="C1362" t="str">
            <v>L63050702713</v>
          </cell>
          <cell r="D1362">
            <v>2</v>
          </cell>
          <cell r="E1362" t="str">
            <v>Bình thường</v>
          </cell>
          <cell r="F1362" t="str">
            <v>AB1</v>
          </cell>
          <cell r="G1362" t="str">
            <v>KT</v>
          </cell>
        </row>
        <row r="1363">
          <cell r="C1363" t="str">
            <v>213508055B5</v>
          </cell>
          <cell r="D1363">
            <v>2</v>
          </cell>
          <cell r="E1363" t="str">
            <v>Bình thường</v>
          </cell>
          <cell r="F1363" t="str">
            <v>MA1</v>
          </cell>
          <cell r="G1363" t="str">
            <v>BJ1, GS1, EW1, AB1</v>
          </cell>
        </row>
        <row r="1364">
          <cell r="C1364" t="str">
            <v>L6235090121</v>
          </cell>
          <cell r="D1364">
            <v>2</v>
          </cell>
          <cell r="E1364" t="str">
            <v>Bình thường</v>
          </cell>
          <cell r="F1364" t="str">
            <v>MA1</v>
          </cell>
          <cell r="G1364" t="str">
            <v>BJ1, DA1</v>
          </cell>
        </row>
        <row r="1365">
          <cell r="C1365" t="str">
            <v>L62450701211</v>
          </cell>
          <cell r="D1365">
            <v>2</v>
          </cell>
          <cell r="E1365" t="str">
            <v>Bình thường</v>
          </cell>
          <cell r="F1365" t="str">
            <v>MC1</v>
          </cell>
          <cell r="G1365" t="str">
            <v>VP</v>
          </cell>
        </row>
        <row r="1366">
          <cell r="C1366" t="str">
            <v>L6115060208</v>
          </cell>
          <cell r="D1366">
            <v>2</v>
          </cell>
          <cell r="E1366" t="str">
            <v>Bình thường</v>
          </cell>
          <cell r="F1366" t="str">
            <v>GC1</v>
          </cell>
          <cell r="G1366" t="str">
            <v>GS2, GP1</v>
          </cell>
        </row>
        <row r="1367">
          <cell r="C1367" t="str">
            <v>L6305080455</v>
          </cell>
          <cell r="D1367">
            <v>2</v>
          </cell>
          <cell r="E1367" t="str">
            <v>Bình thường</v>
          </cell>
          <cell r="F1367" t="str">
            <v>BJ1</v>
          </cell>
          <cell r="G1367" t="str">
            <v>DA1, GS1, AB1</v>
          </cell>
        </row>
        <row r="1368">
          <cell r="C1368" t="str">
            <v>R6235100021</v>
          </cell>
          <cell r="D1368">
            <v>2</v>
          </cell>
          <cell r="E1368" t="str">
            <v>Bình thường</v>
          </cell>
          <cell r="F1368" t="str">
            <v>MC1</v>
          </cell>
          <cell r="G1368" t="str">
            <v>VP</v>
          </cell>
        </row>
        <row r="1369">
          <cell r="C1369" t="str">
            <v>L6305080456</v>
          </cell>
          <cell r="D1369">
            <v>2</v>
          </cell>
          <cell r="E1369" t="str">
            <v>Bình thường</v>
          </cell>
          <cell r="F1369" t="str">
            <v>BJ1</v>
          </cell>
          <cell r="G1369" t="str">
            <v>DA1, GS1, AB1</v>
          </cell>
        </row>
        <row r="1370">
          <cell r="C1370" t="str">
            <v>L6225070153</v>
          </cell>
          <cell r="D1370">
            <v>2</v>
          </cell>
          <cell r="E1370" t="str">
            <v>Bình thường</v>
          </cell>
          <cell r="F1370" t="str">
            <v>MC1</v>
          </cell>
          <cell r="G1370" t="str">
            <v>AF1</v>
          </cell>
        </row>
        <row r="1371">
          <cell r="C1371" t="str">
            <v>L4155090053</v>
          </cell>
          <cell r="D1371">
            <v>2</v>
          </cell>
          <cell r="E1371" t="str">
            <v>Khẩn</v>
          </cell>
          <cell r="F1371" t="str">
            <v>GP1</v>
          </cell>
          <cell r="G1371" t="str">
            <v>GS2, AF1, AL1</v>
          </cell>
        </row>
        <row r="1372">
          <cell r="C1372" t="str">
            <v>213508186A26</v>
          </cell>
          <cell r="D1372">
            <v>2</v>
          </cell>
          <cell r="E1372" t="str">
            <v>Bình thường</v>
          </cell>
          <cell r="F1372" t="str">
            <v>LA1</v>
          </cell>
          <cell r="G1372" t="str">
            <v>BJ1, DA1, GR1, GS1, GP1, AB1</v>
          </cell>
        </row>
        <row r="1373">
          <cell r="C1373" t="str">
            <v>L4135090535</v>
          </cell>
          <cell r="D1373">
            <v>2</v>
          </cell>
          <cell r="E1373" t="str">
            <v>Khẩn</v>
          </cell>
          <cell r="F1373" t="str">
            <v>BJ2</v>
          </cell>
          <cell r="G1373" t="str">
            <v>AB1</v>
          </cell>
        </row>
        <row r="1374">
          <cell r="C1374" t="str">
            <v>L62350702612</v>
          </cell>
          <cell r="D1374">
            <v>2</v>
          </cell>
          <cell r="E1374" t="str">
            <v>Bình thường</v>
          </cell>
          <cell r="F1374" t="str">
            <v>MC1</v>
          </cell>
          <cell r="G1374" t="str">
            <v>AB1</v>
          </cell>
        </row>
        <row r="1375">
          <cell r="C1375" t="str">
            <v>213508095A2</v>
          </cell>
          <cell r="D1375">
            <v>2</v>
          </cell>
          <cell r="E1375" t="str">
            <v>Bình thường</v>
          </cell>
          <cell r="F1375" t="str">
            <v>GS2</v>
          </cell>
          <cell r="G1375" t="str">
            <v>AF1</v>
          </cell>
        </row>
        <row r="1376">
          <cell r="C1376" t="str">
            <v>213506162A21</v>
          </cell>
          <cell r="D1376">
            <v>2</v>
          </cell>
          <cell r="E1376" t="str">
            <v>Bình thường</v>
          </cell>
          <cell r="F1376" t="str">
            <v>LA1</v>
          </cell>
          <cell r="G1376" t="str">
            <v>GC1, GS1</v>
          </cell>
        </row>
        <row r="1377">
          <cell r="C1377" t="str">
            <v>213507017A23</v>
          </cell>
          <cell r="D1377">
            <v>2</v>
          </cell>
          <cell r="E1377" t="str">
            <v>Bình thường</v>
          </cell>
          <cell r="F1377" t="str">
            <v>GC1</v>
          </cell>
          <cell r="G1377" t="str">
            <v>GP1</v>
          </cell>
        </row>
        <row r="1378">
          <cell r="C1378" t="str">
            <v>L4135090534</v>
          </cell>
          <cell r="D1378">
            <v>2</v>
          </cell>
          <cell r="E1378" t="str">
            <v>Khẩn</v>
          </cell>
          <cell r="F1378" t="str">
            <v>AA1</v>
          </cell>
          <cell r="G1378" t="str">
            <v>BJ1, AB1</v>
          </cell>
        </row>
        <row r="1379">
          <cell r="C1379" t="str">
            <v>L6115060081</v>
          </cell>
          <cell r="D1379">
            <v>2</v>
          </cell>
          <cell r="E1379" t="str">
            <v>Bình thường</v>
          </cell>
          <cell r="F1379" t="str">
            <v>GR1</v>
          </cell>
          <cell r="G1379" t="str">
            <v>GJ1, GS2</v>
          </cell>
        </row>
        <row r="1380">
          <cell r="C1380" t="str">
            <v>L6245100074</v>
          </cell>
          <cell r="D1380">
            <v>2</v>
          </cell>
          <cell r="E1380" t="str">
            <v>Khẩn</v>
          </cell>
          <cell r="F1380" t="str">
            <v>GC1</v>
          </cell>
          <cell r="G1380" t="str">
            <v>AF1, AB1</v>
          </cell>
        </row>
        <row r="1381">
          <cell r="C1381" t="str">
            <v>L6305060441</v>
          </cell>
          <cell r="D1381">
            <v>2</v>
          </cell>
          <cell r="E1381" t="str">
            <v>Bình thường</v>
          </cell>
          <cell r="F1381" t="str">
            <v>MC1</v>
          </cell>
          <cell r="G1381" t="str">
            <v>AB1</v>
          </cell>
        </row>
        <row r="1382">
          <cell r="C1382" t="str">
            <v>L6305100581</v>
          </cell>
          <cell r="D1382">
            <v>2</v>
          </cell>
          <cell r="E1382" t="str">
            <v>Khẩn</v>
          </cell>
          <cell r="F1382" t="str">
            <v>LA1</v>
          </cell>
          <cell r="G1382" t="str">
            <v>BJ1, DA1, AB1</v>
          </cell>
        </row>
        <row r="1383">
          <cell r="C1383" t="str">
            <v>L4135100482</v>
          </cell>
          <cell r="D1383">
            <v>2</v>
          </cell>
          <cell r="E1383" t="str">
            <v>Khẩn</v>
          </cell>
          <cell r="F1383" t="str">
            <v>AA1</v>
          </cell>
          <cell r="G1383" t="str">
            <v>MA1, BJ1, AB1</v>
          </cell>
        </row>
        <row r="1384">
          <cell r="C1384" t="str">
            <v>L6305100582</v>
          </cell>
          <cell r="D1384">
            <v>2</v>
          </cell>
          <cell r="E1384" t="str">
            <v>Khẩn</v>
          </cell>
          <cell r="F1384" t="str">
            <v>LA1</v>
          </cell>
          <cell r="G1384" t="str">
            <v>BJ1, HT1, GR1, AF1</v>
          </cell>
        </row>
        <row r="1385">
          <cell r="C1385" t="str">
            <v>213509020A22</v>
          </cell>
          <cell r="D1385">
            <v>2</v>
          </cell>
          <cell r="E1385" t="str">
            <v>Bình thường</v>
          </cell>
          <cell r="F1385" t="str">
            <v>GR1</v>
          </cell>
          <cell r="G1385" t="str">
            <v>GS1, GP1, AF1, AL1</v>
          </cell>
        </row>
        <row r="1386">
          <cell r="C1386" t="str">
            <v>L21350570842</v>
          </cell>
          <cell r="D1386">
            <v>2</v>
          </cell>
          <cell r="E1386" t="str">
            <v>Bình thường</v>
          </cell>
          <cell r="F1386" t="str">
            <v>MA1</v>
          </cell>
          <cell r="G1386" t="str">
            <v>BJ1, AF1</v>
          </cell>
        </row>
        <row r="1387">
          <cell r="C1387" t="str">
            <v>R6305100201</v>
          </cell>
          <cell r="D1387">
            <v>2</v>
          </cell>
          <cell r="E1387" t="str">
            <v>Bình thường</v>
          </cell>
          <cell r="F1387" t="str">
            <v>BJ1</v>
          </cell>
          <cell r="G1387" t="str">
            <v>AF1</v>
          </cell>
        </row>
        <row r="1388">
          <cell r="C1388" t="str">
            <v>L6305100541</v>
          </cell>
          <cell r="D1388">
            <v>2</v>
          </cell>
          <cell r="E1388" t="str">
            <v>Khẩn</v>
          </cell>
          <cell r="F1388" t="str">
            <v>AA1</v>
          </cell>
          <cell r="G1388" t="str">
            <v>MA1, BJ1</v>
          </cell>
        </row>
        <row r="1389">
          <cell r="C1389" t="str">
            <v>L6125060192</v>
          </cell>
          <cell r="D1389">
            <v>2</v>
          </cell>
          <cell r="E1389" t="str">
            <v>Bình thường</v>
          </cell>
          <cell r="F1389" t="str">
            <v>GC1</v>
          </cell>
          <cell r="G1389" t="str">
            <v>GS2, AF1</v>
          </cell>
        </row>
        <row r="1390">
          <cell r="C1390" t="str">
            <v>213510912A1</v>
          </cell>
          <cell r="D1390">
            <v>2</v>
          </cell>
          <cell r="E1390" t="str">
            <v>Khẩn</v>
          </cell>
          <cell r="F1390" t="str">
            <v>GR1</v>
          </cell>
          <cell r="G1390" t="str">
            <v>GP1, EN1</v>
          </cell>
        </row>
        <row r="1391">
          <cell r="C1391" t="str">
            <v>213510030A30</v>
          </cell>
          <cell r="D1391">
            <v>2</v>
          </cell>
          <cell r="E1391" t="str">
            <v>Bình thường</v>
          </cell>
          <cell r="F1391" t="str">
            <v>GS1</v>
          </cell>
          <cell r="G1391" t="str">
            <v>LA1</v>
          </cell>
        </row>
        <row r="1392">
          <cell r="C1392" t="str">
            <v>L4155090055</v>
          </cell>
          <cell r="D1392">
            <v>2</v>
          </cell>
          <cell r="E1392" t="str">
            <v>Khẩn</v>
          </cell>
          <cell r="F1392" t="str">
            <v>GP1</v>
          </cell>
          <cell r="G1392" t="str">
            <v>GS2, AF1, AL1</v>
          </cell>
        </row>
        <row r="1393">
          <cell r="C1393" t="str">
            <v>R6115090141</v>
          </cell>
          <cell r="D1393">
            <v>2</v>
          </cell>
          <cell r="E1393" t="str">
            <v>Bình thường</v>
          </cell>
          <cell r="F1393" t="str">
            <v>MC1</v>
          </cell>
          <cell r="G1393" t="str">
            <v>EN1</v>
          </cell>
        </row>
        <row r="1394">
          <cell r="C1394" t="str">
            <v>L6305100572</v>
          </cell>
          <cell r="D1394">
            <v>2</v>
          </cell>
          <cell r="E1394" t="str">
            <v>Khẩn</v>
          </cell>
          <cell r="F1394" t="str">
            <v>AA1</v>
          </cell>
          <cell r="G1394" t="str">
            <v>MA1, BJ1, AF1, AB1</v>
          </cell>
        </row>
        <row r="1395">
          <cell r="C1395" t="str">
            <v>213508103A8</v>
          </cell>
          <cell r="D1395">
            <v>2</v>
          </cell>
          <cell r="E1395" t="str">
            <v>Bình thường</v>
          </cell>
          <cell r="F1395" t="str">
            <v>GC1</v>
          </cell>
          <cell r="G1395" t="str">
            <v>GS2, GP1</v>
          </cell>
        </row>
        <row r="1396">
          <cell r="C1396" t="str">
            <v>L21350570856</v>
          </cell>
          <cell r="D1396">
            <v>2</v>
          </cell>
          <cell r="E1396" t="str">
            <v>Bình thường</v>
          </cell>
          <cell r="F1396" t="str">
            <v>AA1</v>
          </cell>
          <cell r="G1396" t="str">
            <v>MA1, BJ1, AF1</v>
          </cell>
        </row>
        <row r="1397">
          <cell r="C1397" t="str">
            <v>L6305090509</v>
          </cell>
          <cell r="D1397">
            <v>2</v>
          </cell>
          <cell r="E1397" t="str">
            <v>Khẩn</v>
          </cell>
          <cell r="F1397" t="str">
            <v>MC1</v>
          </cell>
          <cell r="G1397" t="str">
            <v>AB1</v>
          </cell>
        </row>
        <row r="1398">
          <cell r="C1398" t="str">
            <v>L4155090054</v>
          </cell>
          <cell r="D1398">
            <v>2</v>
          </cell>
          <cell r="E1398" t="str">
            <v>Khẩn</v>
          </cell>
          <cell r="F1398" t="str">
            <v>GP1</v>
          </cell>
          <cell r="G1398" t="str">
            <v>GS2, AF1, AL1</v>
          </cell>
        </row>
        <row r="1399">
          <cell r="C1399" t="str">
            <v>L4135100505</v>
          </cell>
          <cell r="D1399">
            <v>2</v>
          </cell>
          <cell r="E1399" t="str">
            <v>Khẩn</v>
          </cell>
          <cell r="F1399" t="str">
            <v>AC1</v>
          </cell>
          <cell r="G1399" t="str">
            <v>BJ1, DA1, AB1</v>
          </cell>
        </row>
        <row r="1400">
          <cell r="C1400" t="str">
            <v>L6235090227</v>
          </cell>
          <cell r="D1400">
            <v>2</v>
          </cell>
          <cell r="E1400" t="str">
            <v>Khẩn</v>
          </cell>
          <cell r="F1400" t="str">
            <v>MA1</v>
          </cell>
          <cell r="G1400" t="str">
            <v>BJ1, AF1</v>
          </cell>
        </row>
        <row r="1401">
          <cell r="C1401" t="str">
            <v>213507003B7</v>
          </cell>
          <cell r="D1401">
            <v>2</v>
          </cell>
          <cell r="E1401" t="str">
            <v>Bình thường</v>
          </cell>
          <cell r="F1401" t="str">
            <v>AF1</v>
          </cell>
          <cell r="G1401" t="str">
            <v>LA1, WG1, GS2, GC2, AF2</v>
          </cell>
        </row>
        <row r="1402">
          <cell r="C1402" t="str">
            <v>62351000071</v>
          </cell>
          <cell r="D1402">
            <v>2</v>
          </cell>
          <cell r="E1402" t="str">
            <v>Khẩn</v>
          </cell>
          <cell r="F1402" t="str">
            <v>EW1</v>
          </cell>
          <cell r="G1402" t="str">
            <v>GS2, AF2</v>
          </cell>
        </row>
        <row r="1403">
          <cell r="C1403" t="str">
            <v>L4135100502</v>
          </cell>
          <cell r="D1403">
            <v>2</v>
          </cell>
          <cell r="E1403" t="str">
            <v>Khẩn</v>
          </cell>
          <cell r="F1403" t="str">
            <v>AA1</v>
          </cell>
          <cell r="G1403" t="str">
            <v>MA1, BJ1, AF1</v>
          </cell>
        </row>
        <row r="1404">
          <cell r="C1404" t="str">
            <v>L4135100501</v>
          </cell>
          <cell r="D1404">
            <v>2</v>
          </cell>
          <cell r="E1404" t="str">
            <v>Khẩn</v>
          </cell>
          <cell r="F1404" t="str">
            <v>LA1</v>
          </cell>
          <cell r="G1404" t="str">
            <v>MA1, BJ1, DA1, AB1</v>
          </cell>
        </row>
        <row r="1405">
          <cell r="C1405" t="str">
            <v>L6215100071</v>
          </cell>
          <cell r="D1405">
            <v>2</v>
          </cell>
          <cell r="E1405" t="str">
            <v>Bình thường</v>
          </cell>
          <cell r="F1405" t="str">
            <v>LA1</v>
          </cell>
          <cell r="G1405" t="str">
            <v>BJ1</v>
          </cell>
        </row>
        <row r="1406">
          <cell r="C1406" t="str">
            <v>L6305100542</v>
          </cell>
          <cell r="D1406">
            <v>2</v>
          </cell>
          <cell r="E1406" t="str">
            <v>Khẩn</v>
          </cell>
          <cell r="F1406" t="str">
            <v>MA1</v>
          </cell>
          <cell r="G1406" t="str">
            <v>BJ1, DA1</v>
          </cell>
        </row>
        <row r="1407">
          <cell r="C1407" t="str">
            <v>L4155090056</v>
          </cell>
          <cell r="D1407">
            <v>2</v>
          </cell>
          <cell r="E1407" t="str">
            <v>Khẩn</v>
          </cell>
          <cell r="F1407" t="str">
            <v>GC1</v>
          </cell>
          <cell r="G1407" t="str">
            <v>GP1, GS2, AF1, AL1</v>
          </cell>
        </row>
        <row r="1408">
          <cell r="C1408" t="str">
            <v>L6235090225</v>
          </cell>
          <cell r="D1408">
            <v>2</v>
          </cell>
          <cell r="E1408" t="str">
            <v>Khẩn</v>
          </cell>
          <cell r="F1408" t="str">
            <v>MA1</v>
          </cell>
          <cell r="G1408" t="str">
            <v>GS1, MC1, HT1, EW1, AF1, AB1</v>
          </cell>
        </row>
        <row r="1409">
          <cell r="C1409" t="str">
            <v>R6305100171</v>
          </cell>
          <cell r="D1409">
            <v>2</v>
          </cell>
          <cell r="E1409" t="str">
            <v>Bình thường</v>
          </cell>
          <cell r="F1409" t="str">
            <v>AC1</v>
          </cell>
          <cell r="G1409" t="str">
            <v>VP</v>
          </cell>
        </row>
        <row r="1410">
          <cell r="C1410" t="str">
            <v>L6305080177</v>
          </cell>
          <cell r="D1410">
            <v>2</v>
          </cell>
          <cell r="E1410" t="str">
            <v>Bình thường</v>
          </cell>
          <cell r="F1410" t="str">
            <v>MA1</v>
          </cell>
          <cell r="G1410" t="str">
            <v>MC1, AF1</v>
          </cell>
        </row>
        <row r="1411">
          <cell r="C1411" t="str">
            <v>213506906A1</v>
          </cell>
          <cell r="D1411">
            <v>2</v>
          </cell>
          <cell r="E1411" t="str">
            <v>Bình thường</v>
          </cell>
          <cell r="F1411" t="str">
            <v>EW1</v>
          </cell>
          <cell r="G1411" t="str">
            <v>GP1, AF1</v>
          </cell>
        </row>
        <row r="1412">
          <cell r="C1412" t="str">
            <v>L62350702611</v>
          </cell>
          <cell r="D1412">
            <v>2</v>
          </cell>
          <cell r="E1412" t="str">
            <v>Bình thường</v>
          </cell>
          <cell r="F1412" t="str">
            <v>MC1</v>
          </cell>
          <cell r="G1412" t="str">
            <v>HT1, AF1, AB1</v>
          </cell>
        </row>
        <row r="1413">
          <cell r="C1413" t="str">
            <v>L62350901212</v>
          </cell>
          <cell r="D1413">
            <v>2</v>
          </cell>
          <cell r="E1413" t="str">
            <v>Bình thường</v>
          </cell>
          <cell r="F1413" t="str">
            <v>MA1</v>
          </cell>
          <cell r="G1413" t="str">
            <v>BJ1, DA1, AB1</v>
          </cell>
        </row>
        <row r="1414">
          <cell r="C1414" t="str">
            <v>213508033A33</v>
          </cell>
          <cell r="D1414">
            <v>2</v>
          </cell>
          <cell r="E1414" t="str">
            <v>Bình thường</v>
          </cell>
          <cell r="F1414" t="str">
            <v>GC1</v>
          </cell>
          <cell r="G1414" t="str">
            <v>GP1, AF1</v>
          </cell>
        </row>
        <row r="1415">
          <cell r="C1415" t="str">
            <v>213507103A10</v>
          </cell>
          <cell r="D1415">
            <v>2</v>
          </cell>
          <cell r="E1415" t="str">
            <v>Bình thường</v>
          </cell>
          <cell r="F1415" t="str">
            <v>GJ1</v>
          </cell>
          <cell r="G1415" t="str">
            <v>EN1, GS1, EN2, AF2, AL1</v>
          </cell>
        </row>
        <row r="1416">
          <cell r="C1416" t="str">
            <v>63050801681</v>
          </cell>
          <cell r="D1416">
            <v>2</v>
          </cell>
          <cell r="E1416" t="str">
            <v>Bình thường</v>
          </cell>
          <cell r="F1416" t="str">
            <v>GS1</v>
          </cell>
          <cell r="G1416" t="str">
            <v>EW1, AF1</v>
          </cell>
        </row>
        <row r="1417">
          <cell r="C1417" t="str">
            <v>213510040A2</v>
          </cell>
          <cell r="D1417">
            <v>2</v>
          </cell>
          <cell r="E1417" t="str">
            <v>Bình thường</v>
          </cell>
          <cell r="F1417" t="str">
            <v>GR1</v>
          </cell>
          <cell r="G1417" t="str">
            <v>VP</v>
          </cell>
        </row>
        <row r="1418">
          <cell r="C1418" t="str">
            <v>61250900411</v>
          </cell>
          <cell r="D1418">
            <v>2</v>
          </cell>
          <cell r="E1418" t="str">
            <v>Bình thường</v>
          </cell>
          <cell r="F1418" t="str">
            <v>GR1</v>
          </cell>
          <cell r="G1418" t="str">
            <v>GP1, GS1</v>
          </cell>
        </row>
        <row r="1419">
          <cell r="C1419" t="str">
            <v>L6305070111</v>
          </cell>
          <cell r="D1419">
            <v>2</v>
          </cell>
          <cell r="E1419" t="str">
            <v>Bình thường</v>
          </cell>
          <cell r="F1419" t="str">
            <v>EN1</v>
          </cell>
          <cell r="G1419" t="str">
            <v>AF1, AB1</v>
          </cell>
        </row>
        <row r="1420">
          <cell r="C1420" t="str">
            <v>L6305080178</v>
          </cell>
          <cell r="D1420">
            <v>2</v>
          </cell>
          <cell r="E1420" t="str">
            <v>Bình thường</v>
          </cell>
          <cell r="F1420" t="str">
            <v>MC1</v>
          </cell>
          <cell r="G1420" t="str">
            <v>KT</v>
          </cell>
        </row>
        <row r="1421">
          <cell r="C1421" t="str">
            <v>L62350901412</v>
          </cell>
          <cell r="D1421">
            <v>2</v>
          </cell>
          <cell r="E1421" t="str">
            <v>Bình thường</v>
          </cell>
          <cell r="F1421" t="str">
            <v>LN1</v>
          </cell>
          <cell r="G1421" t="str">
            <v>BJ1, DA1, AB1</v>
          </cell>
        </row>
        <row r="1422">
          <cell r="C1422" t="str">
            <v>L4165100061</v>
          </cell>
          <cell r="D1422">
            <v>2</v>
          </cell>
          <cell r="E1422" t="str">
            <v>Khẩn</v>
          </cell>
          <cell r="F1422" t="str">
            <v>GC1</v>
          </cell>
          <cell r="G1422" t="str">
            <v>GP1, AF1, GS2, AL1</v>
          </cell>
        </row>
        <row r="1423">
          <cell r="C1423" t="str">
            <v>213507049A31</v>
          </cell>
          <cell r="D1423">
            <v>2</v>
          </cell>
          <cell r="E1423" t="str">
            <v>Bình thường</v>
          </cell>
          <cell r="F1423" t="str">
            <v>GS2</v>
          </cell>
          <cell r="G1423" t="str">
            <v>AF1</v>
          </cell>
        </row>
        <row r="1424">
          <cell r="C1424" t="str">
            <v>213506139A42</v>
          </cell>
          <cell r="D1424">
            <v>2</v>
          </cell>
          <cell r="E1424" t="str">
            <v>Bình thường</v>
          </cell>
          <cell r="F1424" t="str">
            <v>GS1</v>
          </cell>
          <cell r="G1424" t="str">
            <v>ED1, GS2</v>
          </cell>
        </row>
        <row r="1425">
          <cell r="C1425" t="str">
            <v>213507020B3</v>
          </cell>
          <cell r="D1425">
            <v>2</v>
          </cell>
          <cell r="E1425" t="str">
            <v>Bình thường</v>
          </cell>
          <cell r="F1425" t="str">
            <v>GS1</v>
          </cell>
          <cell r="G1425" t="str">
            <v>GJ1, EN1, AF1</v>
          </cell>
        </row>
        <row r="1426">
          <cell r="C1426" t="str">
            <v>213506115A1</v>
          </cell>
          <cell r="D1426">
            <v>2</v>
          </cell>
          <cell r="E1426" t="str">
            <v>Bình thường</v>
          </cell>
          <cell r="F1426" t="str">
            <v>EW1</v>
          </cell>
          <cell r="G1426" t="str">
            <v>GS2, EN1, EW2</v>
          </cell>
        </row>
        <row r="1427">
          <cell r="C1427" t="str">
            <v>213506091A12</v>
          </cell>
          <cell r="D1427">
            <v>2</v>
          </cell>
          <cell r="E1427" t="str">
            <v>Bình thường</v>
          </cell>
          <cell r="F1427" t="str">
            <v>GS1</v>
          </cell>
          <cell r="G1427" t="str">
            <v>GP1, KA1, EW2</v>
          </cell>
        </row>
        <row r="1428">
          <cell r="C1428" t="str">
            <v>L6115070217</v>
          </cell>
          <cell r="D1428">
            <v>2</v>
          </cell>
          <cell r="E1428" t="str">
            <v>Bình thường</v>
          </cell>
          <cell r="F1428" t="str">
            <v>GR1</v>
          </cell>
          <cell r="G1428" t="str">
            <v>VP</v>
          </cell>
        </row>
        <row r="1429">
          <cell r="C1429" t="str">
            <v>L4135100242</v>
          </cell>
          <cell r="D1429">
            <v>2</v>
          </cell>
          <cell r="E1429" t="str">
            <v>Khẩn</v>
          </cell>
          <cell r="F1429" t="str">
            <v>AA1</v>
          </cell>
          <cell r="G1429" t="str">
            <v>MA1, BJ1</v>
          </cell>
        </row>
        <row r="1430">
          <cell r="C1430" t="str">
            <v>L4135100371</v>
          </cell>
          <cell r="D1430">
            <v>2</v>
          </cell>
          <cell r="E1430" t="str">
            <v>Khẩn</v>
          </cell>
          <cell r="F1430" t="str">
            <v>WG1</v>
          </cell>
          <cell r="G1430" t="str">
            <v>AB1</v>
          </cell>
        </row>
        <row r="1431">
          <cell r="C1431" t="str">
            <v>L6305030861</v>
          </cell>
          <cell r="D1431">
            <v>2</v>
          </cell>
          <cell r="E1431" t="str">
            <v>Bình thường</v>
          </cell>
          <cell r="F1431" t="str">
            <v>BJ1</v>
          </cell>
          <cell r="G1431" t="str">
            <v>AF1, HT1, GR1, GS1, GJ1, EN1, AF2, AB1</v>
          </cell>
        </row>
        <row r="1432">
          <cell r="C1432" t="str">
            <v>L4155080031</v>
          </cell>
          <cell r="D1432">
            <v>2</v>
          </cell>
          <cell r="E1432" t="str">
            <v>Bình thường</v>
          </cell>
          <cell r="F1432" t="str">
            <v>GS1</v>
          </cell>
          <cell r="G1432" t="str">
            <v>ED1, EW1</v>
          </cell>
        </row>
        <row r="1433">
          <cell r="C1433" t="str">
            <v>L6115060071</v>
          </cell>
          <cell r="D1433">
            <v>2</v>
          </cell>
          <cell r="E1433" t="str">
            <v>Bình thường</v>
          </cell>
          <cell r="F1433" t="str">
            <v>GS1</v>
          </cell>
          <cell r="G1433" t="str">
            <v>EW1, AF1</v>
          </cell>
        </row>
        <row r="1434">
          <cell r="C1434" t="str">
            <v>L4155080032</v>
          </cell>
          <cell r="D1434">
            <v>2</v>
          </cell>
          <cell r="E1434" t="str">
            <v>Bình thường</v>
          </cell>
          <cell r="F1434" t="str">
            <v>GS1</v>
          </cell>
          <cell r="G1434" t="str">
            <v>ED1, EW1</v>
          </cell>
        </row>
        <row r="1435">
          <cell r="C1435" t="str">
            <v>213506134A34</v>
          </cell>
          <cell r="D1435">
            <v>2</v>
          </cell>
          <cell r="E1435" t="str">
            <v>Bình thường</v>
          </cell>
          <cell r="F1435" t="str">
            <v>EN1</v>
          </cell>
          <cell r="G1435" t="str">
            <v>GP1, AF1</v>
          </cell>
        </row>
        <row r="1436">
          <cell r="C1436" t="str">
            <v>213506091B10</v>
          </cell>
          <cell r="D1436">
            <v>2</v>
          </cell>
          <cell r="E1436" t="str">
            <v>Bình thường</v>
          </cell>
          <cell r="F1436" t="str">
            <v>EW1</v>
          </cell>
          <cell r="G1436" t="str">
            <v>GS1, AF1</v>
          </cell>
        </row>
        <row r="1437">
          <cell r="C1437" t="str">
            <v>213505048A21</v>
          </cell>
          <cell r="D1437">
            <v>2</v>
          </cell>
          <cell r="E1437" t="str">
            <v>Bình thường</v>
          </cell>
          <cell r="F1437" t="str">
            <v>EN1</v>
          </cell>
          <cell r="G1437" t="str">
            <v>KT</v>
          </cell>
        </row>
        <row r="1438">
          <cell r="C1438" t="str">
            <v>213506020A10</v>
          </cell>
          <cell r="D1438">
            <v>2</v>
          </cell>
          <cell r="E1438" t="str">
            <v>Bình thường</v>
          </cell>
          <cell r="F1438" t="str">
            <v>GP1</v>
          </cell>
          <cell r="G1438" t="str">
            <v>KT</v>
          </cell>
        </row>
        <row r="1439">
          <cell r="C1439" t="str">
            <v>L4155080033</v>
          </cell>
          <cell r="D1439">
            <v>2</v>
          </cell>
          <cell r="E1439" t="str">
            <v>Bình thường</v>
          </cell>
          <cell r="F1439" t="str">
            <v>GS1</v>
          </cell>
          <cell r="G1439" t="str">
            <v>ED1, EW1</v>
          </cell>
        </row>
        <row r="1440">
          <cell r="C1440" t="str">
            <v>213508173A13</v>
          </cell>
          <cell r="D1440">
            <v>2</v>
          </cell>
          <cell r="E1440" t="str">
            <v>Bình thường</v>
          </cell>
          <cell r="F1440" t="str">
            <v>GS2</v>
          </cell>
          <cell r="G1440" t="str">
            <v>KT</v>
          </cell>
        </row>
        <row r="1441">
          <cell r="C1441" t="str">
            <v>L63050905016</v>
          </cell>
          <cell r="D1441">
            <v>2</v>
          </cell>
          <cell r="E1441" t="str">
            <v>Khẩn</v>
          </cell>
          <cell r="F1441" t="str">
            <v>MC2</v>
          </cell>
          <cell r="G1441" t="str">
            <v>AF1, AB1</v>
          </cell>
        </row>
        <row r="1442">
          <cell r="C1442" t="str">
            <v>L6235090226</v>
          </cell>
          <cell r="D1442">
            <v>2</v>
          </cell>
          <cell r="E1442" t="str">
            <v>Khẩn</v>
          </cell>
          <cell r="F1442" t="str">
            <v>MA1</v>
          </cell>
          <cell r="G1442" t="str">
            <v>GS1, MC1, HT1, EW1, AF1, AB1</v>
          </cell>
        </row>
        <row r="1443">
          <cell r="C1443" t="str">
            <v>L6305030153</v>
          </cell>
          <cell r="D1443">
            <v>2</v>
          </cell>
          <cell r="E1443" t="str">
            <v>Bình thường</v>
          </cell>
          <cell r="F1443" t="str">
            <v>GC1</v>
          </cell>
          <cell r="G1443" t="str">
            <v>EW1, EN1, AF1</v>
          </cell>
        </row>
        <row r="1444">
          <cell r="C1444" t="str">
            <v>L63050810015</v>
          </cell>
          <cell r="D1444">
            <v>2</v>
          </cell>
          <cell r="E1444" t="str">
            <v>Bình thường</v>
          </cell>
          <cell r="F1444" t="str">
            <v>GS1</v>
          </cell>
          <cell r="G1444" t="str">
            <v>BJ2, AB1</v>
          </cell>
        </row>
        <row r="1445">
          <cell r="C1445" t="str">
            <v>L4135100348</v>
          </cell>
          <cell r="D1445">
            <v>2</v>
          </cell>
          <cell r="E1445" t="str">
            <v>Khẩn</v>
          </cell>
          <cell r="F1445" t="str">
            <v>AA1</v>
          </cell>
          <cell r="G1445" t="str">
            <v>MA1, BJ1, WG1, AB1</v>
          </cell>
        </row>
        <row r="1446">
          <cell r="C1446" t="str">
            <v>213506122A11</v>
          </cell>
          <cell r="D1446">
            <v>2</v>
          </cell>
          <cell r="E1446" t="str">
            <v>Bình thường</v>
          </cell>
          <cell r="F1446" t="str">
            <v>EW1</v>
          </cell>
          <cell r="G1446" t="str">
            <v>GS1, ED1, EW2, AF1, GS2, EN1</v>
          </cell>
        </row>
        <row r="1447">
          <cell r="C1447" t="str">
            <v>213504221A18</v>
          </cell>
          <cell r="D1447">
            <v>2</v>
          </cell>
          <cell r="E1447" t="str">
            <v>Bình thường</v>
          </cell>
          <cell r="F1447" t="str">
            <v>LT1</v>
          </cell>
          <cell r="G1447" t="str">
            <v>KT</v>
          </cell>
        </row>
        <row r="1448">
          <cell r="C1448" t="str">
            <v>213506173A32</v>
          </cell>
          <cell r="D1448">
            <v>2</v>
          </cell>
          <cell r="E1448" t="str">
            <v>Bình thường</v>
          </cell>
          <cell r="F1448" t="str">
            <v>EW1</v>
          </cell>
          <cell r="G1448" t="str">
            <v>GS2, GP1</v>
          </cell>
        </row>
        <row r="1449">
          <cell r="C1449" t="str">
            <v>213506096A20</v>
          </cell>
          <cell r="D1449">
            <v>2</v>
          </cell>
          <cell r="E1449" t="str">
            <v>Bình thường</v>
          </cell>
          <cell r="F1449" t="str">
            <v>GP1</v>
          </cell>
          <cell r="G1449" t="str">
            <v>AF1</v>
          </cell>
        </row>
        <row r="1450">
          <cell r="C1450" t="str">
            <v>213508097A3</v>
          </cell>
          <cell r="D1450">
            <v>2</v>
          </cell>
          <cell r="E1450" t="str">
            <v>Bình thường</v>
          </cell>
          <cell r="F1450" t="str">
            <v>GR1</v>
          </cell>
          <cell r="G1450" t="str">
            <v>GS1, ED1, GS2, GC1, GP1</v>
          </cell>
        </row>
        <row r="1451">
          <cell r="C1451" t="str">
            <v>213509016A19</v>
          </cell>
          <cell r="D1451">
            <v>2</v>
          </cell>
          <cell r="E1451" t="str">
            <v>Bình thường</v>
          </cell>
          <cell r="F1451" t="str">
            <v>LN1</v>
          </cell>
          <cell r="G1451" t="str">
            <v>BJ1</v>
          </cell>
        </row>
        <row r="1452">
          <cell r="C1452" t="str">
            <v>L2135103031</v>
          </cell>
          <cell r="D1452">
            <v>2</v>
          </cell>
          <cell r="E1452" t="str">
            <v>Khẩn</v>
          </cell>
          <cell r="F1452" t="str">
            <v>EW1</v>
          </cell>
          <cell r="G1452" t="str">
            <v>GP1, AF1</v>
          </cell>
        </row>
        <row r="1453">
          <cell r="C1453" t="str">
            <v>L2135103032</v>
          </cell>
          <cell r="D1453">
            <v>2</v>
          </cell>
          <cell r="E1453" t="str">
            <v>Khẩn</v>
          </cell>
          <cell r="F1453" t="str">
            <v>EW1</v>
          </cell>
          <cell r="G1453" t="str">
            <v>GP1, AF1</v>
          </cell>
        </row>
        <row r="1454">
          <cell r="C1454" t="str">
            <v>L6305080601</v>
          </cell>
          <cell r="D1454">
            <v>2</v>
          </cell>
          <cell r="E1454" t="str">
            <v>Bình thường</v>
          </cell>
          <cell r="F1454" t="str">
            <v>MA1</v>
          </cell>
          <cell r="G1454" t="str">
            <v>BJ1, DA1, GS1, BJ2, AB1</v>
          </cell>
        </row>
        <row r="1455">
          <cell r="C1455" t="str">
            <v>R4135090651</v>
          </cell>
          <cell r="D1455">
            <v>2</v>
          </cell>
          <cell r="E1455" t="str">
            <v>Khẩn</v>
          </cell>
          <cell r="F1455" t="str">
            <v>BJ1</v>
          </cell>
          <cell r="G1455" t="str">
            <v>VP</v>
          </cell>
        </row>
        <row r="1456">
          <cell r="C1456" t="str">
            <v>L4135100367</v>
          </cell>
          <cell r="D1456">
            <v>2</v>
          </cell>
          <cell r="E1456" t="str">
            <v>Khẩn</v>
          </cell>
          <cell r="F1456" t="str">
            <v>AC1</v>
          </cell>
          <cell r="G1456" t="str">
            <v>BJ1, AB1</v>
          </cell>
        </row>
        <row r="1457">
          <cell r="C1457" t="str">
            <v>213509027A31</v>
          </cell>
          <cell r="D1457">
            <v>2</v>
          </cell>
          <cell r="E1457" t="str">
            <v>Bình thường</v>
          </cell>
          <cell r="F1457" t="str">
            <v>GC1</v>
          </cell>
          <cell r="G1457" t="str">
            <v>GS2, AF1</v>
          </cell>
        </row>
        <row r="1458">
          <cell r="C1458" t="str">
            <v>L62350901211</v>
          </cell>
          <cell r="D1458">
            <v>2</v>
          </cell>
          <cell r="E1458" t="str">
            <v>Bình thường</v>
          </cell>
          <cell r="F1458" t="str">
            <v>LA1</v>
          </cell>
          <cell r="G1458" t="str">
            <v>KT</v>
          </cell>
        </row>
        <row r="1459">
          <cell r="C1459" t="str">
            <v>L6125060036</v>
          </cell>
          <cell r="D1459">
            <v>2</v>
          </cell>
          <cell r="E1459" t="str">
            <v>Bình thường</v>
          </cell>
          <cell r="F1459" t="str">
            <v>AF1</v>
          </cell>
          <cell r="G1459" t="str">
            <v>AB1</v>
          </cell>
        </row>
        <row r="1460">
          <cell r="C1460" t="str">
            <v>213507098A6</v>
          </cell>
          <cell r="D1460">
            <v>2</v>
          </cell>
          <cell r="E1460" t="str">
            <v>Bình thường</v>
          </cell>
          <cell r="F1460" t="str">
            <v>GC1</v>
          </cell>
          <cell r="G1460" t="str">
            <v>GP1, GS2</v>
          </cell>
        </row>
        <row r="1461">
          <cell r="C1461" t="str">
            <v>213508047A5</v>
          </cell>
          <cell r="D1461">
            <v>2</v>
          </cell>
          <cell r="E1461" t="str">
            <v>Bình thường</v>
          </cell>
          <cell r="F1461" t="str">
            <v>EN1</v>
          </cell>
          <cell r="G1461" t="str">
            <v>GP1, AF1, AL1</v>
          </cell>
        </row>
        <row r="1462">
          <cell r="C1462" t="str">
            <v>213505131A18</v>
          </cell>
          <cell r="D1462">
            <v>2</v>
          </cell>
          <cell r="E1462" t="str">
            <v>Bình thường</v>
          </cell>
          <cell r="F1462" t="str">
            <v>EN1</v>
          </cell>
          <cell r="G1462" t="str">
            <v>AF1</v>
          </cell>
        </row>
        <row r="1463">
          <cell r="C1463" t="str">
            <v>L41351001110</v>
          </cell>
          <cell r="D1463">
            <v>2</v>
          </cell>
          <cell r="E1463" t="str">
            <v>Khẩn</v>
          </cell>
          <cell r="F1463" t="str">
            <v>MA1</v>
          </cell>
          <cell r="G1463" t="str">
            <v>BJ1, GS1, AB1</v>
          </cell>
        </row>
        <row r="1464">
          <cell r="C1464" t="str">
            <v>61150600531</v>
          </cell>
          <cell r="D1464">
            <v>2</v>
          </cell>
          <cell r="E1464" t="str">
            <v>Bình thường</v>
          </cell>
          <cell r="F1464" t="str">
            <v>EW1</v>
          </cell>
          <cell r="G1464" t="str">
            <v>KT</v>
          </cell>
        </row>
        <row r="1465">
          <cell r="C1465" t="str">
            <v>213509090A23</v>
          </cell>
          <cell r="D1465">
            <v>2</v>
          </cell>
          <cell r="E1465" t="str">
            <v>Bình thường</v>
          </cell>
          <cell r="F1465" t="str">
            <v>GS2</v>
          </cell>
          <cell r="G1465" t="str">
            <v>KT</v>
          </cell>
        </row>
        <row r="1466">
          <cell r="C1466" t="str">
            <v>L4165100062</v>
          </cell>
          <cell r="D1466">
            <v>2</v>
          </cell>
          <cell r="E1466" t="str">
            <v>Khẩn</v>
          </cell>
          <cell r="F1466" t="str">
            <v>GC1</v>
          </cell>
          <cell r="G1466" t="str">
            <v>GP1, AF1, GS2, AL1</v>
          </cell>
        </row>
        <row r="1467">
          <cell r="C1467" t="str">
            <v>L6215100072</v>
          </cell>
          <cell r="D1467">
            <v>2</v>
          </cell>
          <cell r="E1467" t="str">
            <v>Bình thường</v>
          </cell>
          <cell r="F1467" t="str">
            <v>LA1</v>
          </cell>
          <cell r="G1467" t="str">
            <v>BJ1, AB1</v>
          </cell>
        </row>
        <row r="1468">
          <cell r="C1468" t="str">
            <v>L6305060512</v>
          </cell>
          <cell r="D1468">
            <v>2</v>
          </cell>
          <cell r="E1468" t="str">
            <v>Bình thường</v>
          </cell>
          <cell r="F1468" t="str">
            <v>GR1</v>
          </cell>
          <cell r="G1468" t="str">
            <v>BJ1, DA1, EW1, AF1, AB1</v>
          </cell>
        </row>
        <row r="1469">
          <cell r="C1469" t="str">
            <v>L4135100119</v>
          </cell>
          <cell r="D1469">
            <v>2</v>
          </cell>
          <cell r="E1469" t="str">
            <v>Khẩn</v>
          </cell>
          <cell r="F1469" t="str">
            <v>BJ1</v>
          </cell>
          <cell r="G1469" t="str">
            <v>DA1, AB1</v>
          </cell>
        </row>
        <row r="1470">
          <cell r="C1470" t="str">
            <v>L6225080284</v>
          </cell>
          <cell r="D1470">
            <v>2</v>
          </cell>
          <cell r="E1470" t="str">
            <v>Bình thường</v>
          </cell>
          <cell r="F1470" t="str">
            <v>AB1</v>
          </cell>
          <cell r="G1470" t="str">
            <v>KT</v>
          </cell>
        </row>
        <row r="1471">
          <cell r="C1471" t="str">
            <v>L4155080034</v>
          </cell>
          <cell r="D1471">
            <v>2</v>
          </cell>
          <cell r="E1471" t="str">
            <v>Bình thường</v>
          </cell>
          <cell r="F1471" t="str">
            <v>GS1</v>
          </cell>
          <cell r="G1471" t="str">
            <v>ED1, EW1</v>
          </cell>
        </row>
        <row r="1472">
          <cell r="C1472" t="str">
            <v>L6305090141</v>
          </cell>
          <cell r="D1472">
            <v>2</v>
          </cell>
          <cell r="E1472" t="str">
            <v>Bình thường</v>
          </cell>
          <cell r="F1472" t="str">
            <v>MC1</v>
          </cell>
          <cell r="G1472" t="str">
            <v>AF1</v>
          </cell>
        </row>
        <row r="1473">
          <cell r="C1473" t="str">
            <v>L6115070225</v>
          </cell>
          <cell r="D1473">
            <v>2</v>
          </cell>
          <cell r="E1473" t="str">
            <v>Bình thường</v>
          </cell>
          <cell r="F1473" t="str">
            <v>GR1</v>
          </cell>
          <cell r="G1473" t="str">
            <v>KT</v>
          </cell>
        </row>
        <row r="1474">
          <cell r="C1474" t="str">
            <v>L63050905022</v>
          </cell>
          <cell r="D1474">
            <v>2</v>
          </cell>
          <cell r="E1474" t="str">
            <v>Khẩn</v>
          </cell>
          <cell r="F1474" t="str">
            <v>AB1</v>
          </cell>
          <cell r="G1474" t="str">
            <v>VP</v>
          </cell>
        </row>
        <row r="1475">
          <cell r="C1475" t="str">
            <v>L6125040182</v>
          </cell>
          <cell r="D1475">
            <v>2</v>
          </cell>
          <cell r="E1475" t="str">
            <v>Bình thường</v>
          </cell>
          <cell r="F1475" t="str">
            <v>AF2</v>
          </cell>
          <cell r="G1475" t="str">
            <v>KT</v>
          </cell>
        </row>
        <row r="1476">
          <cell r="C1476" t="str">
            <v>L63050810016</v>
          </cell>
          <cell r="D1476">
            <v>2</v>
          </cell>
          <cell r="E1476" t="str">
            <v>Bình thường</v>
          </cell>
          <cell r="F1476" t="str">
            <v>GS1</v>
          </cell>
          <cell r="G1476" t="str">
            <v>BJ2, AB1</v>
          </cell>
        </row>
        <row r="1477">
          <cell r="C1477" t="str">
            <v>R21350940A1</v>
          </cell>
          <cell r="D1477">
            <v>2</v>
          </cell>
          <cell r="E1477" t="str">
            <v>Bình thường</v>
          </cell>
          <cell r="F1477" t="str">
            <v>EN1</v>
          </cell>
          <cell r="G1477" t="str">
            <v>VP</v>
          </cell>
        </row>
        <row r="1478">
          <cell r="C1478" t="str">
            <v>213507167A14</v>
          </cell>
          <cell r="D1478">
            <v>2</v>
          </cell>
          <cell r="E1478" t="str">
            <v>Bình thường</v>
          </cell>
          <cell r="F1478" t="str">
            <v>GC1</v>
          </cell>
          <cell r="G1478" t="str">
            <v>GJ1, KA1, AF1, BJ2, HT2, AF2</v>
          </cell>
        </row>
        <row r="1479">
          <cell r="C1479" t="str">
            <v>L41351001111</v>
          </cell>
          <cell r="D1479">
            <v>2</v>
          </cell>
          <cell r="E1479" t="str">
            <v>Khẩn</v>
          </cell>
          <cell r="F1479" t="str">
            <v>BJ1</v>
          </cell>
          <cell r="G1479" t="str">
            <v>DA1, AB1</v>
          </cell>
        </row>
        <row r="1480">
          <cell r="C1480" t="str">
            <v>L6115070081</v>
          </cell>
          <cell r="D1480">
            <v>2</v>
          </cell>
          <cell r="E1480" t="str">
            <v>Bình thường</v>
          </cell>
          <cell r="F1480" t="str">
            <v>MC1</v>
          </cell>
          <cell r="G1480" t="str">
            <v>AF1, HT1, GS1, EN1, AF2</v>
          </cell>
        </row>
        <row r="1481">
          <cell r="C1481" t="str">
            <v>61150800141</v>
          </cell>
          <cell r="D1481">
            <v>2</v>
          </cell>
          <cell r="E1481" t="str">
            <v>Bình thường</v>
          </cell>
          <cell r="F1481" t="str">
            <v>EW1</v>
          </cell>
          <cell r="G1481" t="str">
            <v>GR1, GS2</v>
          </cell>
        </row>
        <row r="1482">
          <cell r="C1482" t="str">
            <v>213510002A2</v>
          </cell>
          <cell r="D1482">
            <v>2</v>
          </cell>
          <cell r="E1482" t="str">
            <v>Bình thường</v>
          </cell>
          <cell r="F1482" t="str">
            <v>GS1</v>
          </cell>
          <cell r="G1482" t="str">
            <v>ED1, GS2, GC1, GP1, EN1, AF1</v>
          </cell>
        </row>
        <row r="1483">
          <cell r="C1483" t="str">
            <v>L6305100071</v>
          </cell>
          <cell r="D1483">
            <v>2</v>
          </cell>
          <cell r="E1483" t="str">
            <v>Bình thường</v>
          </cell>
          <cell r="F1483" t="str">
            <v>LN1</v>
          </cell>
          <cell r="G1483" t="str">
            <v>BJ1, AB1</v>
          </cell>
        </row>
        <row r="1484">
          <cell r="C1484" t="str">
            <v>R21351045A3</v>
          </cell>
          <cell r="D1484">
            <v>2</v>
          </cell>
          <cell r="E1484" t="str">
            <v>Bình thường</v>
          </cell>
          <cell r="F1484" t="str">
            <v>GS1</v>
          </cell>
          <cell r="G1484" t="str">
            <v>EN1, AF2, ED1, EW1, AF3</v>
          </cell>
        </row>
        <row r="1485">
          <cell r="C1485" t="str">
            <v>L6305090342</v>
          </cell>
          <cell r="D1485">
            <v>2</v>
          </cell>
          <cell r="E1485" t="str">
            <v>Bình thường</v>
          </cell>
          <cell r="F1485" t="str">
            <v>MA1</v>
          </cell>
          <cell r="G1485" t="str">
            <v>BJ1, DA1, AB1</v>
          </cell>
        </row>
        <row r="1486">
          <cell r="C1486" t="str">
            <v>L6305060444</v>
          </cell>
          <cell r="D1486">
            <v>2</v>
          </cell>
          <cell r="E1486" t="str">
            <v>Bình thường</v>
          </cell>
          <cell r="F1486" t="str">
            <v>LT1</v>
          </cell>
          <cell r="G1486" t="str">
            <v>VP</v>
          </cell>
        </row>
        <row r="1487">
          <cell r="C1487" t="str">
            <v>213506223A18</v>
          </cell>
          <cell r="D1487">
            <v>2</v>
          </cell>
          <cell r="E1487" t="str">
            <v>Bình thường</v>
          </cell>
          <cell r="F1487" t="str">
            <v>GS1</v>
          </cell>
          <cell r="G1487" t="str">
            <v>GP1</v>
          </cell>
        </row>
        <row r="1488">
          <cell r="C1488" t="str">
            <v>213507908A5</v>
          </cell>
          <cell r="D1488">
            <v>2</v>
          </cell>
          <cell r="E1488" t="str">
            <v>Bình thường</v>
          </cell>
          <cell r="F1488" t="str">
            <v>EN1</v>
          </cell>
          <cell r="G1488" t="str">
            <v>GS2</v>
          </cell>
        </row>
        <row r="1489">
          <cell r="C1489" t="str">
            <v>213509087A20</v>
          </cell>
          <cell r="D1489">
            <v>2</v>
          </cell>
          <cell r="E1489" t="str">
            <v>Bình thường</v>
          </cell>
          <cell r="F1489" t="str">
            <v>GR1</v>
          </cell>
          <cell r="G1489" t="str">
            <v>GS1, GP1, GS2, GP2, AF1</v>
          </cell>
        </row>
        <row r="1490">
          <cell r="C1490" t="str">
            <v>213506194A58</v>
          </cell>
          <cell r="D1490">
            <v>2</v>
          </cell>
          <cell r="E1490" t="str">
            <v>Bình thường</v>
          </cell>
          <cell r="F1490" t="str">
            <v>ED1</v>
          </cell>
          <cell r="G1490" t="str">
            <v>EW2, GS1, EN1, GP1</v>
          </cell>
        </row>
        <row r="1491">
          <cell r="C1491" t="str">
            <v>L4135100108</v>
          </cell>
          <cell r="D1491">
            <v>2</v>
          </cell>
          <cell r="E1491" t="str">
            <v>Khẩn</v>
          </cell>
          <cell r="F1491" t="str">
            <v>BJ1</v>
          </cell>
          <cell r="G1491" t="str">
            <v>DA1, AB1</v>
          </cell>
        </row>
        <row r="1492">
          <cell r="C1492" t="str">
            <v>L6305090264</v>
          </cell>
          <cell r="D1492">
            <v>2</v>
          </cell>
          <cell r="E1492" t="str">
            <v>Bình thường</v>
          </cell>
          <cell r="F1492" t="str">
            <v>LA1</v>
          </cell>
          <cell r="G1492" t="str">
            <v>BJ1, HT1, GR1, GS1, GJ1, EW1, AF1, AB1</v>
          </cell>
        </row>
        <row r="1493">
          <cell r="C1493" t="str">
            <v>63050801341</v>
          </cell>
          <cell r="D1493">
            <v>2</v>
          </cell>
          <cell r="E1493" t="str">
            <v>Bình thường</v>
          </cell>
          <cell r="F1493" t="str">
            <v>AA1</v>
          </cell>
          <cell r="G1493" t="str">
            <v>MA1, BJ1, WG1, AB1</v>
          </cell>
        </row>
        <row r="1494">
          <cell r="C1494" t="str">
            <v>L2135065134</v>
          </cell>
          <cell r="D1494">
            <v>2</v>
          </cell>
          <cell r="E1494" t="str">
            <v>Bình thường</v>
          </cell>
          <cell r="F1494" t="str">
            <v>MA1</v>
          </cell>
          <cell r="G1494" t="str">
            <v>BJ1</v>
          </cell>
        </row>
        <row r="1495">
          <cell r="C1495" t="str">
            <v>L4135100104</v>
          </cell>
          <cell r="D1495">
            <v>2</v>
          </cell>
          <cell r="E1495" t="str">
            <v>Khẩn</v>
          </cell>
          <cell r="F1495" t="str">
            <v>MA1</v>
          </cell>
          <cell r="G1495" t="str">
            <v>GS1, BJ1, AB1</v>
          </cell>
        </row>
        <row r="1496">
          <cell r="C1496" t="str">
            <v>213508070A14</v>
          </cell>
          <cell r="D1496">
            <v>2</v>
          </cell>
          <cell r="E1496" t="str">
            <v>Bình thường</v>
          </cell>
          <cell r="F1496" t="str">
            <v>GC1</v>
          </cell>
          <cell r="G1496" t="str">
            <v>GP1, GS2</v>
          </cell>
        </row>
        <row r="1497">
          <cell r="C1497" t="str">
            <v>L41351001017</v>
          </cell>
          <cell r="D1497">
            <v>2</v>
          </cell>
          <cell r="E1497" t="str">
            <v>Khẩn</v>
          </cell>
          <cell r="F1497" t="str">
            <v>BJ1</v>
          </cell>
          <cell r="G1497" t="str">
            <v>HT1, AB1</v>
          </cell>
        </row>
        <row r="1498">
          <cell r="C1498" t="str">
            <v>213507028B25</v>
          </cell>
          <cell r="D1498">
            <v>2</v>
          </cell>
          <cell r="E1498" t="str">
            <v>Bình thường</v>
          </cell>
          <cell r="F1498" t="str">
            <v>AF1</v>
          </cell>
          <cell r="G1498" t="str">
            <v>LA1, WG1, GS2, GC2, AF2, AL1</v>
          </cell>
        </row>
        <row r="1499">
          <cell r="C1499" t="str">
            <v>61150900771</v>
          </cell>
          <cell r="D1499">
            <v>2</v>
          </cell>
          <cell r="E1499" t="str">
            <v>Bình thường</v>
          </cell>
          <cell r="F1499" t="str">
            <v>MA1</v>
          </cell>
          <cell r="G1499" t="str">
            <v>BJ1, HT1, GS1, EW1</v>
          </cell>
        </row>
        <row r="1500">
          <cell r="C1500" t="str">
            <v>L41351001015</v>
          </cell>
          <cell r="D1500">
            <v>2</v>
          </cell>
          <cell r="E1500" t="str">
            <v>Khẩn</v>
          </cell>
          <cell r="F1500" t="str">
            <v>BJ1</v>
          </cell>
          <cell r="G1500" t="str">
            <v>DA1, AB1</v>
          </cell>
        </row>
        <row r="1501">
          <cell r="C1501" t="str">
            <v>63050900791</v>
          </cell>
          <cell r="D1501">
            <v>2</v>
          </cell>
          <cell r="E1501" t="str">
            <v>Bình thường</v>
          </cell>
          <cell r="F1501" t="str">
            <v>GS1</v>
          </cell>
          <cell r="G1501" t="str">
            <v>GP1, AF1, AL1</v>
          </cell>
        </row>
        <row r="1502">
          <cell r="C1502" t="str">
            <v>213509096A33</v>
          </cell>
          <cell r="D1502">
            <v>2</v>
          </cell>
          <cell r="E1502" t="str">
            <v>Bình thường</v>
          </cell>
          <cell r="F1502" t="str">
            <v>GC1</v>
          </cell>
          <cell r="G1502" t="str">
            <v>GP1, GS2, EW1</v>
          </cell>
        </row>
        <row r="1503">
          <cell r="C1503" t="str">
            <v>213506156A15</v>
          </cell>
          <cell r="D1503">
            <v>2</v>
          </cell>
          <cell r="E1503" t="str">
            <v>Bình thường</v>
          </cell>
          <cell r="F1503" t="str">
            <v>EW1</v>
          </cell>
          <cell r="G1503" t="str">
            <v>GS1, ED1, EW2, GS2, EN1</v>
          </cell>
        </row>
        <row r="1504">
          <cell r="C1504" t="str">
            <v>213505094B31</v>
          </cell>
          <cell r="D1504">
            <v>2</v>
          </cell>
          <cell r="E1504" t="str">
            <v>Bình thường</v>
          </cell>
          <cell r="F1504" t="str">
            <v>ED1</v>
          </cell>
          <cell r="G1504" t="str">
            <v>EW1, EN1, AF1, AB1</v>
          </cell>
        </row>
        <row r="1505">
          <cell r="C1505" t="str">
            <v>L6115050215</v>
          </cell>
          <cell r="D1505">
            <v>2</v>
          </cell>
          <cell r="E1505" t="str">
            <v>Bình thường</v>
          </cell>
          <cell r="F1505" t="str">
            <v>GR1</v>
          </cell>
          <cell r="G1505" t="str">
            <v>ED1, EW2, GR2, GS1, EN1</v>
          </cell>
        </row>
        <row r="1506">
          <cell r="C1506" t="str">
            <v>L6115050124</v>
          </cell>
          <cell r="D1506">
            <v>2</v>
          </cell>
          <cell r="E1506" t="str">
            <v>Bình thường</v>
          </cell>
          <cell r="F1506" t="str">
            <v>ED1</v>
          </cell>
          <cell r="G1506" t="str">
            <v>EW2, GS2, EN1</v>
          </cell>
        </row>
        <row r="1507">
          <cell r="C1507" t="str">
            <v>L6305060435</v>
          </cell>
          <cell r="D1507">
            <v>2</v>
          </cell>
          <cell r="E1507" t="str">
            <v>Bình thường</v>
          </cell>
          <cell r="F1507" t="str">
            <v>LT1</v>
          </cell>
          <cell r="G1507" t="str">
            <v>VP</v>
          </cell>
        </row>
        <row r="1508">
          <cell r="C1508" t="str">
            <v>L6215100073</v>
          </cell>
          <cell r="D1508">
            <v>2</v>
          </cell>
          <cell r="E1508" t="str">
            <v>Bình thường</v>
          </cell>
          <cell r="F1508" t="str">
            <v>LA1</v>
          </cell>
          <cell r="G1508" t="str">
            <v>BJ1, EW1, AB1</v>
          </cell>
        </row>
        <row r="1509">
          <cell r="C1509" t="str">
            <v>L6305090349</v>
          </cell>
          <cell r="D1509">
            <v>2</v>
          </cell>
          <cell r="E1509" t="str">
            <v>Bình thường</v>
          </cell>
          <cell r="F1509" t="str">
            <v>AA1</v>
          </cell>
          <cell r="G1509" t="str">
            <v>MA1, BJ1, DA1, AB1</v>
          </cell>
        </row>
        <row r="1510">
          <cell r="C1510" t="str">
            <v>L6115050285</v>
          </cell>
          <cell r="D1510">
            <v>2</v>
          </cell>
          <cell r="E1510" t="str">
            <v>Bình thường</v>
          </cell>
          <cell r="F1510" t="str">
            <v>GR1</v>
          </cell>
          <cell r="G1510" t="str">
            <v>KT</v>
          </cell>
        </row>
        <row r="1511">
          <cell r="C1511" t="str">
            <v>213503104A5</v>
          </cell>
          <cell r="D1511">
            <v>2</v>
          </cell>
          <cell r="E1511" t="str">
            <v>Bình thường</v>
          </cell>
          <cell r="F1511" t="str">
            <v>EN1</v>
          </cell>
          <cell r="G1511" t="str">
            <v>KT</v>
          </cell>
        </row>
        <row r="1512">
          <cell r="C1512" t="str">
            <v>61150900721</v>
          </cell>
          <cell r="D1512">
            <v>2</v>
          </cell>
          <cell r="E1512" t="str">
            <v>Bình thường</v>
          </cell>
          <cell r="F1512" t="str">
            <v>MA1</v>
          </cell>
          <cell r="G1512" t="str">
            <v>MC1, AB1</v>
          </cell>
        </row>
        <row r="1513">
          <cell r="C1513" t="str">
            <v>L4155090051</v>
          </cell>
          <cell r="D1513">
            <v>2</v>
          </cell>
          <cell r="E1513" t="str">
            <v>Khẩn</v>
          </cell>
          <cell r="F1513" t="str">
            <v>GP1</v>
          </cell>
          <cell r="G1513" t="str">
            <v>GS2, AF1, AL1</v>
          </cell>
        </row>
        <row r="1514">
          <cell r="C1514" t="str">
            <v>L6125090144</v>
          </cell>
          <cell r="D1514">
            <v>2</v>
          </cell>
          <cell r="E1514" t="str">
            <v>Bình thường</v>
          </cell>
          <cell r="F1514" t="str">
            <v>MA1</v>
          </cell>
          <cell r="G1514" t="str">
            <v>BJ1, AB1</v>
          </cell>
        </row>
        <row r="1515">
          <cell r="C1515" t="str">
            <v>63050700941</v>
          </cell>
          <cell r="D1515">
            <v>2</v>
          </cell>
          <cell r="E1515" t="str">
            <v>Bình thường</v>
          </cell>
          <cell r="F1515" t="str">
            <v>GS1</v>
          </cell>
          <cell r="G1515" t="str">
            <v>EW2, AF1</v>
          </cell>
        </row>
        <row r="1516">
          <cell r="C1516" t="str">
            <v>L6115050031</v>
          </cell>
          <cell r="D1516">
            <v>2</v>
          </cell>
          <cell r="E1516" t="str">
            <v>Bình thường</v>
          </cell>
          <cell r="F1516" t="str">
            <v>GS1</v>
          </cell>
          <cell r="G1516" t="str">
            <v>EN1, AF1</v>
          </cell>
        </row>
        <row r="1517">
          <cell r="C1517" t="str">
            <v>L6305080603</v>
          </cell>
          <cell r="D1517">
            <v>2</v>
          </cell>
          <cell r="E1517" t="str">
            <v>Bình thường</v>
          </cell>
          <cell r="F1517" t="str">
            <v>MA1</v>
          </cell>
          <cell r="G1517" t="str">
            <v>MC1, AB1</v>
          </cell>
        </row>
        <row r="1518">
          <cell r="C1518" t="str">
            <v>L6125090143</v>
          </cell>
          <cell r="D1518">
            <v>2</v>
          </cell>
          <cell r="E1518" t="str">
            <v>Bình thường</v>
          </cell>
          <cell r="F1518" t="str">
            <v>MA1</v>
          </cell>
          <cell r="G1518" t="str">
            <v>BJ1, AB1</v>
          </cell>
        </row>
        <row r="1519">
          <cell r="C1519" t="str">
            <v>213505153B39</v>
          </cell>
          <cell r="D1519">
            <v>2</v>
          </cell>
          <cell r="E1519" t="str">
            <v>Bình thường</v>
          </cell>
          <cell r="F1519" t="str">
            <v>LA1</v>
          </cell>
          <cell r="G1519" t="str">
            <v>BJ1, HT1, GR1, GS1, EN1, GP1, AF1</v>
          </cell>
        </row>
        <row r="1520">
          <cell r="C1520" t="str">
            <v>L6305080031</v>
          </cell>
          <cell r="D1520">
            <v>2</v>
          </cell>
          <cell r="E1520" t="str">
            <v>Bình thường</v>
          </cell>
          <cell r="F1520" t="str">
            <v>GS1</v>
          </cell>
          <cell r="G1520" t="str">
            <v>AF1, AB1</v>
          </cell>
        </row>
        <row r="1521">
          <cell r="C1521" t="str">
            <v>213509228A30</v>
          </cell>
          <cell r="D1521">
            <v>2</v>
          </cell>
          <cell r="E1521" t="str">
            <v>Bình thường</v>
          </cell>
          <cell r="F1521" t="str">
            <v>LA1</v>
          </cell>
          <cell r="G1521" t="str">
            <v>HT1, GP1, EW1, AF1, AL1</v>
          </cell>
        </row>
        <row r="1522">
          <cell r="C1522" t="str">
            <v>L6305090262</v>
          </cell>
          <cell r="D1522">
            <v>2</v>
          </cell>
          <cell r="E1522" t="str">
            <v>Bình thường</v>
          </cell>
          <cell r="F1522" t="str">
            <v>MA1</v>
          </cell>
          <cell r="G1522" t="str">
            <v>BJ1, HT1, AF1, AB1</v>
          </cell>
        </row>
        <row r="1523">
          <cell r="C1523" t="str">
            <v>L6115070151</v>
          </cell>
          <cell r="D1523">
            <v>2</v>
          </cell>
          <cell r="E1523" t="str">
            <v>Bình thường</v>
          </cell>
          <cell r="F1523" t="str">
            <v>WG1</v>
          </cell>
          <cell r="G1523" t="str">
            <v>AF1</v>
          </cell>
        </row>
        <row r="1524">
          <cell r="C1524" t="str">
            <v>213509009A7</v>
          </cell>
          <cell r="D1524">
            <v>2</v>
          </cell>
          <cell r="E1524" t="str">
            <v>Bình thường</v>
          </cell>
          <cell r="F1524" t="str">
            <v>MA1</v>
          </cell>
          <cell r="G1524" t="str">
            <v>MC1, HT1, GS1, AF1</v>
          </cell>
        </row>
        <row r="1525">
          <cell r="C1525" t="str">
            <v>L63050806014</v>
          </cell>
          <cell r="D1525">
            <v>2</v>
          </cell>
          <cell r="E1525" t="str">
            <v>Bình thường</v>
          </cell>
          <cell r="F1525" t="str">
            <v>MA1</v>
          </cell>
          <cell r="G1525" t="str">
            <v>BJ1, AF1</v>
          </cell>
        </row>
        <row r="1526">
          <cell r="C1526" t="str">
            <v>L63050806013</v>
          </cell>
          <cell r="D1526">
            <v>2</v>
          </cell>
          <cell r="E1526" t="str">
            <v>Bình thường</v>
          </cell>
          <cell r="F1526" t="str">
            <v>AF1</v>
          </cell>
          <cell r="G1526" t="str">
            <v>VP</v>
          </cell>
        </row>
        <row r="1527">
          <cell r="C1527" t="str">
            <v>R21351065A22</v>
          </cell>
          <cell r="D1527">
            <v>2</v>
          </cell>
          <cell r="E1527" t="str">
            <v>Bình thường</v>
          </cell>
          <cell r="F1527" t="str">
            <v>EW1</v>
          </cell>
          <cell r="G1527" t="str">
            <v>GS1, EN1</v>
          </cell>
        </row>
        <row r="1528">
          <cell r="C1528" t="str">
            <v>213509013B12</v>
          </cell>
          <cell r="D1528">
            <v>2</v>
          </cell>
          <cell r="E1528" t="str">
            <v>Bình thường</v>
          </cell>
          <cell r="F1528" t="str">
            <v>AF1</v>
          </cell>
          <cell r="G1528" t="str">
            <v>VP</v>
          </cell>
        </row>
        <row r="1529">
          <cell r="C1529" t="str">
            <v>213506247A11</v>
          </cell>
          <cell r="D1529">
            <v>2</v>
          </cell>
          <cell r="E1529" t="str">
            <v>Bình thường</v>
          </cell>
          <cell r="F1529" t="str">
            <v>EW2</v>
          </cell>
          <cell r="G1529" t="str">
            <v>GS2, GP1, AF1</v>
          </cell>
        </row>
        <row r="1530">
          <cell r="C1530" t="str">
            <v>213508075B3</v>
          </cell>
          <cell r="D1530">
            <v>2</v>
          </cell>
          <cell r="E1530" t="str">
            <v>Bình thường</v>
          </cell>
          <cell r="F1530" t="str">
            <v>GS1</v>
          </cell>
          <cell r="G1530" t="str">
            <v>EW1, AF1</v>
          </cell>
        </row>
        <row r="1531">
          <cell r="C1531" t="str">
            <v>L6235090144</v>
          </cell>
          <cell r="D1531">
            <v>2</v>
          </cell>
          <cell r="E1531" t="str">
            <v>Bình thường</v>
          </cell>
          <cell r="F1531" t="str">
            <v>WG1</v>
          </cell>
          <cell r="G1531" t="str">
            <v>AB1</v>
          </cell>
        </row>
        <row r="1532">
          <cell r="C1532" t="str">
            <v>L6235090145</v>
          </cell>
          <cell r="D1532">
            <v>2</v>
          </cell>
          <cell r="E1532" t="str">
            <v>Bình thường</v>
          </cell>
          <cell r="F1532" t="str">
            <v>WG1</v>
          </cell>
          <cell r="G1532" t="str">
            <v>AB1</v>
          </cell>
        </row>
        <row r="1533">
          <cell r="C1533" t="str">
            <v>213508116A25</v>
          </cell>
          <cell r="D1533">
            <v>2</v>
          </cell>
          <cell r="E1533" t="str">
            <v>Bình thường</v>
          </cell>
          <cell r="F1533" t="str">
            <v>GS1</v>
          </cell>
          <cell r="G1533" t="str">
            <v>GJ1, AF1</v>
          </cell>
        </row>
        <row r="1534">
          <cell r="C1534" t="str">
            <v>L6305080608</v>
          </cell>
          <cell r="D1534">
            <v>2</v>
          </cell>
          <cell r="E1534" t="str">
            <v>Bình thường</v>
          </cell>
          <cell r="F1534" t="str">
            <v>AA1</v>
          </cell>
          <cell r="G1534" t="str">
            <v>MA1, MC1</v>
          </cell>
        </row>
        <row r="1535">
          <cell r="C1535" t="str">
            <v>L6305080609</v>
          </cell>
          <cell r="D1535">
            <v>2</v>
          </cell>
          <cell r="E1535" t="str">
            <v>Bình thường</v>
          </cell>
          <cell r="F1535" t="str">
            <v>AF1</v>
          </cell>
          <cell r="G1535" t="str">
            <v>AB1</v>
          </cell>
        </row>
        <row r="1536">
          <cell r="C1536" t="str">
            <v>L6305090372</v>
          </cell>
          <cell r="D1536">
            <v>2</v>
          </cell>
          <cell r="E1536" t="str">
            <v>Bình thường</v>
          </cell>
          <cell r="F1536" t="str">
            <v>GS1</v>
          </cell>
          <cell r="G1536" t="str">
            <v>GP1, AF1</v>
          </cell>
        </row>
        <row r="1537">
          <cell r="C1537" t="str">
            <v>L6305090371</v>
          </cell>
          <cell r="D1537">
            <v>2</v>
          </cell>
          <cell r="E1537" t="str">
            <v>Bình thường</v>
          </cell>
          <cell r="F1537" t="str">
            <v>EN1</v>
          </cell>
          <cell r="G1537" t="str">
            <v>AF1</v>
          </cell>
        </row>
        <row r="1538">
          <cell r="C1538" t="str">
            <v>213509050A26</v>
          </cell>
          <cell r="D1538">
            <v>2</v>
          </cell>
          <cell r="E1538" t="str">
            <v>Bình thường</v>
          </cell>
          <cell r="F1538" t="str">
            <v>MA1</v>
          </cell>
          <cell r="G1538" t="str">
            <v>BJ1, HT1, GS1, AF1</v>
          </cell>
        </row>
        <row r="1539">
          <cell r="C1539" t="str">
            <v>213507018A24</v>
          </cell>
          <cell r="D1539">
            <v>2</v>
          </cell>
          <cell r="E1539" t="str">
            <v>Bình thường</v>
          </cell>
          <cell r="F1539" t="str">
            <v>GS1</v>
          </cell>
          <cell r="G1539" t="str">
            <v>GP1</v>
          </cell>
        </row>
        <row r="1540">
          <cell r="C1540" t="str">
            <v>213505043B38</v>
          </cell>
          <cell r="D1540">
            <v>2</v>
          </cell>
          <cell r="E1540" t="str">
            <v>Bình thường</v>
          </cell>
          <cell r="F1540" t="str">
            <v>LT1</v>
          </cell>
          <cell r="G1540" t="str">
            <v>KT</v>
          </cell>
        </row>
        <row r="1541">
          <cell r="C1541" t="str">
            <v>213506259A32</v>
          </cell>
          <cell r="D1541">
            <v>2</v>
          </cell>
          <cell r="E1541" t="str">
            <v>Bình thường</v>
          </cell>
          <cell r="F1541" t="str">
            <v>EW1</v>
          </cell>
          <cell r="G1541" t="str">
            <v>GS1, EN1</v>
          </cell>
        </row>
        <row r="1542">
          <cell r="C1542" t="str">
            <v>213508060A18</v>
          </cell>
          <cell r="D1542">
            <v>2</v>
          </cell>
          <cell r="E1542" t="str">
            <v>Bình thường</v>
          </cell>
          <cell r="F1542" t="str">
            <v>GR1</v>
          </cell>
          <cell r="G1542" t="str">
            <v>GS1, ED2, GJ1, GP1, AF1</v>
          </cell>
        </row>
        <row r="1543">
          <cell r="C1543" t="str">
            <v>L6115030021</v>
          </cell>
          <cell r="D1543">
            <v>2</v>
          </cell>
          <cell r="E1543" t="str">
            <v>Bình thường</v>
          </cell>
          <cell r="F1543" t="str">
            <v>WG1</v>
          </cell>
          <cell r="G1543" t="str">
            <v>AF1</v>
          </cell>
        </row>
        <row r="1544">
          <cell r="C1544" t="str">
            <v>L6115070161</v>
          </cell>
          <cell r="D1544">
            <v>2</v>
          </cell>
          <cell r="E1544" t="str">
            <v>Bình thường</v>
          </cell>
          <cell r="F1544" t="str">
            <v>WG1</v>
          </cell>
          <cell r="G1544" t="str">
            <v>AF1</v>
          </cell>
        </row>
        <row r="1545">
          <cell r="C1545" t="str">
            <v>L6125080034</v>
          </cell>
          <cell r="D1545">
            <v>2</v>
          </cell>
          <cell r="E1545" t="str">
            <v>Bình thường</v>
          </cell>
          <cell r="F1545" t="str">
            <v>GS1</v>
          </cell>
          <cell r="G1545" t="str">
            <v>EW1, GJ1, AF1</v>
          </cell>
        </row>
        <row r="1546">
          <cell r="C1546" t="str">
            <v>213508196A42</v>
          </cell>
          <cell r="D1546">
            <v>2</v>
          </cell>
          <cell r="E1546" t="str">
            <v>Bình thường</v>
          </cell>
          <cell r="F1546" t="str">
            <v>GS1</v>
          </cell>
          <cell r="G1546" t="str">
            <v>AF1, AB1</v>
          </cell>
        </row>
        <row r="1547">
          <cell r="C1547" t="str">
            <v>213510028A28</v>
          </cell>
          <cell r="D1547">
            <v>2</v>
          </cell>
          <cell r="E1547" t="str">
            <v>Bình thường</v>
          </cell>
          <cell r="F1547" t="str">
            <v>LA1</v>
          </cell>
          <cell r="G1547" t="str">
            <v>GS1, GC1, AF1</v>
          </cell>
        </row>
        <row r="1548">
          <cell r="C1548" t="str">
            <v>L6305090066</v>
          </cell>
          <cell r="D1548">
            <v>2</v>
          </cell>
          <cell r="E1548" t="str">
            <v>Bình thường</v>
          </cell>
          <cell r="F1548" t="str">
            <v>AA1</v>
          </cell>
          <cell r="G1548" t="str">
            <v>MA1, GS1, BJ1, AB1</v>
          </cell>
        </row>
        <row r="1549">
          <cell r="C1549" t="str">
            <v>213504063B66</v>
          </cell>
          <cell r="D1549">
            <v>2</v>
          </cell>
          <cell r="E1549" t="str">
            <v>Bình thường</v>
          </cell>
          <cell r="F1549" t="str">
            <v>EN1</v>
          </cell>
          <cell r="G1549" t="str">
            <v>AF1</v>
          </cell>
        </row>
        <row r="1550">
          <cell r="C1550" t="str">
            <v>L6115090133</v>
          </cell>
          <cell r="D1550">
            <v>2</v>
          </cell>
          <cell r="E1550" t="str">
            <v>Bình thường</v>
          </cell>
          <cell r="F1550" t="str">
            <v>LA1</v>
          </cell>
          <cell r="G1550" t="str">
            <v>BJ1, HT1, GS1, AF1</v>
          </cell>
        </row>
        <row r="1551">
          <cell r="C1551" t="str">
            <v>L6115060052</v>
          </cell>
          <cell r="D1551">
            <v>2</v>
          </cell>
          <cell r="E1551" t="str">
            <v>Bình thường</v>
          </cell>
          <cell r="F1551" t="str">
            <v>GS1</v>
          </cell>
          <cell r="G1551" t="str">
            <v>EN1</v>
          </cell>
        </row>
        <row r="1552">
          <cell r="C1552" t="str">
            <v>L6115020491</v>
          </cell>
          <cell r="D1552">
            <v>2</v>
          </cell>
          <cell r="E1552" t="str">
            <v>Bình thường</v>
          </cell>
          <cell r="F1552" t="str">
            <v>GP1</v>
          </cell>
          <cell r="G1552" t="str">
            <v>KT</v>
          </cell>
        </row>
        <row r="1553">
          <cell r="C1553" t="str">
            <v>L6115090134</v>
          </cell>
          <cell r="D1553">
            <v>2</v>
          </cell>
          <cell r="E1553" t="str">
            <v>Bình thường</v>
          </cell>
          <cell r="F1553" t="str">
            <v>LA1</v>
          </cell>
          <cell r="G1553" t="str">
            <v>HT1, GS1, AF1</v>
          </cell>
        </row>
        <row r="1554">
          <cell r="C1554" t="str">
            <v>L63050903410</v>
          </cell>
          <cell r="D1554">
            <v>2</v>
          </cell>
          <cell r="E1554" t="str">
            <v>Bình thường</v>
          </cell>
          <cell r="F1554" t="str">
            <v>MA1</v>
          </cell>
          <cell r="G1554" t="str">
            <v>BJ1, GS1, AB1</v>
          </cell>
        </row>
        <row r="1555">
          <cell r="C1555" t="str">
            <v>213509217A18</v>
          </cell>
          <cell r="D1555">
            <v>2</v>
          </cell>
          <cell r="E1555" t="str">
            <v>Bình thường</v>
          </cell>
          <cell r="F1555" t="str">
            <v>EW1</v>
          </cell>
          <cell r="G1555" t="str">
            <v>GS1, BJ1, DA1, AF1</v>
          </cell>
        </row>
        <row r="1556">
          <cell r="C1556" t="str">
            <v>61150900611</v>
          </cell>
          <cell r="D1556">
            <v>2</v>
          </cell>
          <cell r="E1556" t="str">
            <v>Bình thường</v>
          </cell>
          <cell r="F1556" t="str">
            <v>GS1</v>
          </cell>
          <cell r="G1556" t="str">
            <v>GJ1, GS2, AF1</v>
          </cell>
        </row>
        <row r="1557">
          <cell r="C1557" t="str">
            <v>L6115060202</v>
          </cell>
          <cell r="D1557">
            <v>2</v>
          </cell>
          <cell r="E1557" t="str">
            <v>Bình thường</v>
          </cell>
          <cell r="F1557" t="str">
            <v>GS2</v>
          </cell>
          <cell r="G1557" t="str">
            <v>GP1, AF1</v>
          </cell>
        </row>
        <row r="1558">
          <cell r="C1558" t="str">
            <v>R6235070203</v>
          </cell>
          <cell r="D1558">
            <v>2</v>
          </cell>
          <cell r="E1558" t="str">
            <v>Bình thường</v>
          </cell>
          <cell r="F1558" t="str">
            <v>EW1</v>
          </cell>
          <cell r="G1558" t="str">
            <v>EN1</v>
          </cell>
        </row>
        <row r="1559">
          <cell r="C1559" t="str">
            <v>L6225100111</v>
          </cell>
          <cell r="D1559">
            <v>2</v>
          </cell>
          <cell r="E1559" t="str">
            <v>Bình thường</v>
          </cell>
          <cell r="F1559" t="str">
            <v>AA1</v>
          </cell>
          <cell r="G1559" t="str">
            <v>MA1, MC1</v>
          </cell>
        </row>
        <row r="1560">
          <cell r="C1560" t="str">
            <v>213508069A13</v>
          </cell>
          <cell r="D1560">
            <v>2</v>
          </cell>
          <cell r="E1560" t="str">
            <v>Bình thường</v>
          </cell>
          <cell r="F1560" t="str">
            <v>EN1</v>
          </cell>
          <cell r="G1560" t="str">
            <v>KT</v>
          </cell>
        </row>
        <row r="1561">
          <cell r="C1561" t="str">
            <v>213509102A1</v>
          </cell>
          <cell r="D1561">
            <v>2</v>
          </cell>
          <cell r="E1561" t="str">
            <v>Bình thường</v>
          </cell>
          <cell r="F1561" t="str">
            <v>EW1</v>
          </cell>
          <cell r="G1561" t="str">
            <v>AF2, AB1</v>
          </cell>
        </row>
        <row r="1562">
          <cell r="C1562" t="str">
            <v>L2135057061</v>
          </cell>
          <cell r="D1562">
            <v>2</v>
          </cell>
          <cell r="E1562" t="str">
            <v>Bình thường</v>
          </cell>
          <cell r="F1562" t="str">
            <v>GS1</v>
          </cell>
          <cell r="G1562" t="str">
            <v>EW1, AB1</v>
          </cell>
        </row>
        <row r="1563">
          <cell r="C1563" t="str">
            <v>L6125080036</v>
          </cell>
          <cell r="D1563">
            <v>2</v>
          </cell>
          <cell r="E1563" t="str">
            <v>Bình thường</v>
          </cell>
          <cell r="F1563" t="str">
            <v>MA1</v>
          </cell>
          <cell r="G1563" t="str">
            <v>BJ1, HT1, GS1, EW1, GJ1, EN1, AF1, AB1</v>
          </cell>
        </row>
        <row r="1564">
          <cell r="C1564" t="str">
            <v>L6115060201</v>
          </cell>
          <cell r="D1564">
            <v>2</v>
          </cell>
          <cell r="E1564" t="str">
            <v>Bình thường</v>
          </cell>
          <cell r="F1564" t="str">
            <v>EW2</v>
          </cell>
          <cell r="G1564" t="str">
            <v>GS2, GP1, AF1</v>
          </cell>
        </row>
        <row r="1565">
          <cell r="C1565" t="str">
            <v>L6115080191</v>
          </cell>
          <cell r="D1565">
            <v>2</v>
          </cell>
          <cell r="E1565" t="str">
            <v>Bình thường</v>
          </cell>
          <cell r="F1565" t="str">
            <v>GR1</v>
          </cell>
          <cell r="G1565" t="str">
            <v>GS2</v>
          </cell>
        </row>
        <row r="1566">
          <cell r="C1566" t="str">
            <v>213509917A2</v>
          </cell>
          <cell r="D1566">
            <v>2</v>
          </cell>
          <cell r="E1566" t="str">
            <v>Bình thường</v>
          </cell>
          <cell r="F1566" t="str">
            <v>GS1</v>
          </cell>
          <cell r="G1566" t="str">
            <v>AF1</v>
          </cell>
        </row>
        <row r="1567">
          <cell r="C1567" t="str">
            <v>213507013A20</v>
          </cell>
          <cell r="D1567">
            <v>2</v>
          </cell>
          <cell r="E1567" t="str">
            <v>Bình thường</v>
          </cell>
          <cell r="F1567" t="str">
            <v>GR1</v>
          </cell>
          <cell r="G1567" t="str">
            <v>GP1, GS2, EW2, EN1, AF1</v>
          </cell>
        </row>
        <row r="1568">
          <cell r="C1568" t="str">
            <v>213507116A5</v>
          </cell>
          <cell r="D1568">
            <v>2</v>
          </cell>
          <cell r="E1568" t="str">
            <v>Bình thường</v>
          </cell>
          <cell r="F1568" t="str">
            <v>GP1</v>
          </cell>
          <cell r="G1568" t="str">
            <v>KT</v>
          </cell>
        </row>
        <row r="1569">
          <cell r="C1569" t="str">
            <v>213507905A2</v>
          </cell>
          <cell r="D1569">
            <v>2</v>
          </cell>
          <cell r="E1569" t="str">
            <v>Bình thường</v>
          </cell>
          <cell r="F1569" t="str">
            <v>EN1</v>
          </cell>
          <cell r="G1569" t="str">
            <v>GS2</v>
          </cell>
        </row>
        <row r="1570">
          <cell r="C1570" t="str">
            <v>213509063A45</v>
          </cell>
          <cell r="D1570">
            <v>2</v>
          </cell>
          <cell r="E1570" t="str">
            <v>Bình thường</v>
          </cell>
          <cell r="F1570" t="str">
            <v>MA1</v>
          </cell>
          <cell r="G1570" t="str">
            <v>GS1, MC1, HT1, MC2, AF1</v>
          </cell>
        </row>
        <row r="1571">
          <cell r="C1571" t="str">
            <v>L6115070231</v>
          </cell>
          <cell r="D1571">
            <v>2</v>
          </cell>
          <cell r="E1571" t="str">
            <v>Bình thường</v>
          </cell>
          <cell r="F1571" t="str">
            <v>GP1</v>
          </cell>
          <cell r="G1571" t="str">
            <v>GS1, ED1, EW1, GS2, GP2</v>
          </cell>
        </row>
        <row r="1572">
          <cell r="C1572" t="str">
            <v>L6305080744</v>
          </cell>
          <cell r="D1572">
            <v>2</v>
          </cell>
          <cell r="E1572" t="str">
            <v>Bình thường</v>
          </cell>
          <cell r="F1572" t="str">
            <v>MA1</v>
          </cell>
          <cell r="G1572" t="str">
            <v>MC1</v>
          </cell>
        </row>
        <row r="1573">
          <cell r="C1573" t="str">
            <v>L63050903412</v>
          </cell>
          <cell r="D1573">
            <v>2</v>
          </cell>
          <cell r="E1573" t="str">
            <v>Bình thường</v>
          </cell>
          <cell r="F1573" t="str">
            <v>MA1</v>
          </cell>
          <cell r="G1573" t="str">
            <v>MC1, HT1, AF1, AB1</v>
          </cell>
        </row>
        <row r="1574">
          <cell r="C1574" t="str">
            <v>L63050806016</v>
          </cell>
          <cell r="D1574">
            <v>2</v>
          </cell>
          <cell r="E1574" t="str">
            <v>Bình thường</v>
          </cell>
          <cell r="F1574" t="str">
            <v>ED1</v>
          </cell>
          <cell r="G1574" t="str">
            <v>EW1, AF1, AB1</v>
          </cell>
        </row>
        <row r="1575">
          <cell r="C1575" t="str">
            <v>L6305080741</v>
          </cell>
          <cell r="D1575">
            <v>2</v>
          </cell>
          <cell r="E1575" t="str">
            <v>Bình thường</v>
          </cell>
          <cell r="F1575" t="str">
            <v>MA1</v>
          </cell>
          <cell r="G1575" t="str">
            <v>MC1</v>
          </cell>
        </row>
        <row r="1576">
          <cell r="C1576" t="str">
            <v>L6305080736</v>
          </cell>
          <cell r="D1576">
            <v>2</v>
          </cell>
          <cell r="E1576" t="str">
            <v>Bình thường</v>
          </cell>
          <cell r="F1576" t="str">
            <v>GS1</v>
          </cell>
          <cell r="G1576" t="str">
            <v>EW1, EN1, AF1</v>
          </cell>
        </row>
        <row r="1577">
          <cell r="C1577" t="str">
            <v>213509184A56</v>
          </cell>
          <cell r="D1577">
            <v>2</v>
          </cell>
          <cell r="E1577" t="str">
            <v>Bình thường</v>
          </cell>
          <cell r="F1577" t="str">
            <v>GS1</v>
          </cell>
          <cell r="G1577" t="str">
            <v>KT</v>
          </cell>
        </row>
        <row r="1578">
          <cell r="C1578" t="str">
            <v>213509057A32</v>
          </cell>
          <cell r="D1578">
            <v>2</v>
          </cell>
          <cell r="E1578" t="str">
            <v>Bình thường</v>
          </cell>
          <cell r="F1578" t="str">
            <v>GP1</v>
          </cell>
          <cell r="G1578" t="str">
            <v>GJ1, GC1, GS1, ED1, EW1, EN1, GS2, GP2, AF1</v>
          </cell>
        </row>
        <row r="1579">
          <cell r="C1579" t="str">
            <v>213507077A11</v>
          </cell>
          <cell r="D1579">
            <v>2</v>
          </cell>
          <cell r="E1579" t="str">
            <v>Bình thường</v>
          </cell>
          <cell r="F1579" t="str">
            <v>GR1</v>
          </cell>
          <cell r="G1579" t="str">
            <v>GS1, AF1</v>
          </cell>
        </row>
        <row r="1580">
          <cell r="C1580" t="str">
            <v>213509139A30</v>
          </cell>
          <cell r="D1580">
            <v>2</v>
          </cell>
          <cell r="E1580" t="str">
            <v>Bình thường</v>
          </cell>
          <cell r="F1580" t="str">
            <v>BJ1</v>
          </cell>
          <cell r="G1580" t="str">
            <v>HT1, GS1, AF1</v>
          </cell>
        </row>
        <row r="1581">
          <cell r="C1581" t="str">
            <v>213503206A34</v>
          </cell>
          <cell r="D1581">
            <v>2</v>
          </cell>
          <cell r="E1581" t="str">
            <v>Bình thường</v>
          </cell>
          <cell r="F1581" t="str">
            <v>GP1</v>
          </cell>
          <cell r="G1581" t="str">
            <v>AF1</v>
          </cell>
        </row>
        <row r="1582">
          <cell r="C1582" t="str">
            <v>213508073A17</v>
          </cell>
          <cell r="D1582">
            <v>2</v>
          </cell>
          <cell r="E1582" t="str">
            <v>Bình thường</v>
          </cell>
          <cell r="F1582" t="str">
            <v>GP1</v>
          </cell>
          <cell r="G1582" t="str">
            <v>KT</v>
          </cell>
        </row>
        <row r="1583">
          <cell r="C1583" t="str">
            <v>213509122A20</v>
          </cell>
          <cell r="D1583">
            <v>2</v>
          </cell>
          <cell r="E1583" t="str">
            <v>Bình thường</v>
          </cell>
          <cell r="F1583" t="str">
            <v>HT1</v>
          </cell>
          <cell r="G1583" t="str">
            <v>GS1, AF2</v>
          </cell>
        </row>
        <row r="1584">
          <cell r="C1584" t="str">
            <v>L6115070202</v>
          </cell>
          <cell r="D1584">
            <v>2</v>
          </cell>
          <cell r="E1584" t="str">
            <v>Bình thường</v>
          </cell>
          <cell r="F1584" t="str">
            <v>ED1</v>
          </cell>
          <cell r="G1584" t="str">
            <v>EW2, GS2, EN1</v>
          </cell>
        </row>
        <row r="1585">
          <cell r="C1585" t="str">
            <v>L6115040464</v>
          </cell>
          <cell r="D1585">
            <v>2</v>
          </cell>
          <cell r="E1585" t="str">
            <v>Bình thường</v>
          </cell>
          <cell r="F1585" t="str">
            <v>GS1</v>
          </cell>
          <cell r="G1585" t="str">
            <v>ED1, EW2, GS2, EN1</v>
          </cell>
        </row>
        <row r="1586">
          <cell r="C1586" t="str">
            <v>L6225090081</v>
          </cell>
          <cell r="D1586">
            <v>2</v>
          </cell>
          <cell r="E1586" t="str">
            <v>Bình thường</v>
          </cell>
          <cell r="F1586" t="str">
            <v>MC1</v>
          </cell>
          <cell r="G1586" t="str">
            <v>HT1, GR1, GS1, AF1, AB1</v>
          </cell>
        </row>
        <row r="1587">
          <cell r="C1587" t="str">
            <v>213504101A53</v>
          </cell>
          <cell r="D1587">
            <v>2</v>
          </cell>
          <cell r="E1587" t="str">
            <v>Bình thường</v>
          </cell>
          <cell r="F1587" t="str">
            <v>GP1</v>
          </cell>
          <cell r="G1587" t="str">
            <v>KT</v>
          </cell>
        </row>
        <row r="1588">
          <cell r="C1588" t="str">
            <v>213510015A15</v>
          </cell>
          <cell r="D1588">
            <v>2</v>
          </cell>
          <cell r="E1588" t="str">
            <v>Bình thường</v>
          </cell>
          <cell r="F1588" t="str">
            <v>AA1</v>
          </cell>
          <cell r="G1588" t="str">
            <v>MA1, BJ1, HT1, GS1, AF1</v>
          </cell>
        </row>
        <row r="1589">
          <cell r="C1589" t="str">
            <v>L6125060026</v>
          </cell>
          <cell r="D1589">
            <v>2</v>
          </cell>
          <cell r="E1589" t="str">
            <v>Bình thường</v>
          </cell>
          <cell r="F1589" t="str">
            <v>GJ1</v>
          </cell>
          <cell r="G1589" t="str">
            <v>AF1, AB1</v>
          </cell>
        </row>
        <row r="1590">
          <cell r="C1590" t="str">
            <v>213509282A1</v>
          </cell>
          <cell r="D1590">
            <v>2</v>
          </cell>
          <cell r="E1590" t="str">
            <v>Bình thường</v>
          </cell>
          <cell r="F1590" t="str">
            <v>GR1</v>
          </cell>
          <cell r="G1590" t="str">
            <v>GS1, AF1, AB1</v>
          </cell>
        </row>
        <row r="1591">
          <cell r="C1591" t="str">
            <v>213506049A46</v>
          </cell>
          <cell r="D1591">
            <v>2</v>
          </cell>
          <cell r="E1591" t="str">
            <v>Bình thường</v>
          </cell>
          <cell r="F1591" t="str">
            <v>GS2</v>
          </cell>
          <cell r="G1591" t="str">
            <v>GC1, AF1, AL1</v>
          </cell>
        </row>
        <row r="1592">
          <cell r="C1592" t="str">
            <v>213507003A5</v>
          </cell>
          <cell r="D1592">
            <v>2</v>
          </cell>
          <cell r="E1592" t="str">
            <v>Bình thường</v>
          </cell>
          <cell r="F1592" t="str">
            <v>EN1</v>
          </cell>
          <cell r="G1592" t="str">
            <v>GS3, EN2, GP1, AF1</v>
          </cell>
        </row>
        <row r="1593">
          <cell r="C1593" t="str">
            <v>213509154A43</v>
          </cell>
          <cell r="D1593">
            <v>2</v>
          </cell>
          <cell r="E1593" t="str">
            <v>Bình thường</v>
          </cell>
          <cell r="F1593" t="str">
            <v>GR1</v>
          </cell>
          <cell r="G1593" t="str">
            <v>EN1, GS1, GJ1, EN2, AF2, AL1</v>
          </cell>
        </row>
        <row r="1594">
          <cell r="C1594" t="str">
            <v>L6305090332</v>
          </cell>
          <cell r="D1594">
            <v>2</v>
          </cell>
          <cell r="E1594" t="str">
            <v>Bình thường</v>
          </cell>
          <cell r="F1594" t="str">
            <v>AF1</v>
          </cell>
          <cell r="G1594" t="str">
            <v>HT1, GR1, GS1, GC1, AF2, AB1</v>
          </cell>
        </row>
        <row r="1595">
          <cell r="C1595" t="str">
            <v>213509214A15</v>
          </cell>
          <cell r="D1595">
            <v>2</v>
          </cell>
          <cell r="E1595" t="str">
            <v>Bình thường</v>
          </cell>
          <cell r="F1595" t="str">
            <v>HT1</v>
          </cell>
          <cell r="G1595" t="str">
            <v>BJ1, AF1, GS1</v>
          </cell>
        </row>
        <row r="1596">
          <cell r="C1596" t="str">
            <v>L6225090083</v>
          </cell>
          <cell r="D1596">
            <v>2</v>
          </cell>
          <cell r="E1596" t="str">
            <v>Bình thường</v>
          </cell>
          <cell r="F1596" t="str">
            <v>BJ1</v>
          </cell>
          <cell r="G1596" t="str">
            <v>DA1, HT1, GR1, GS1, GJ1, EN1, AF1, AB1</v>
          </cell>
        </row>
        <row r="1597">
          <cell r="C1597" t="str">
            <v>L6305090263</v>
          </cell>
          <cell r="D1597">
            <v>2</v>
          </cell>
          <cell r="E1597" t="str">
            <v>Bình thường</v>
          </cell>
          <cell r="F1597" t="str">
            <v>MA1</v>
          </cell>
          <cell r="G1597" t="str">
            <v>BJ1, AF1, HT1, GS1, GP1, AF2, AB1</v>
          </cell>
        </row>
        <row r="1598">
          <cell r="C1598" t="str">
            <v>213505203A28</v>
          </cell>
          <cell r="D1598">
            <v>2</v>
          </cell>
          <cell r="E1598" t="str">
            <v>Bình thường</v>
          </cell>
          <cell r="F1598" t="str">
            <v>GP1</v>
          </cell>
          <cell r="G1598" t="str">
            <v>KT</v>
          </cell>
        </row>
        <row r="1599">
          <cell r="C1599" t="str">
            <v>213507904A1</v>
          </cell>
          <cell r="D1599">
            <v>2</v>
          </cell>
          <cell r="E1599" t="str">
            <v>Bình thường</v>
          </cell>
          <cell r="F1599" t="str">
            <v>EN1</v>
          </cell>
          <cell r="G1599" t="str">
            <v>GS2</v>
          </cell>
        </row>
        <row r="1600">
          <cell r="C1600" t="str">
            <v>213509921A1</v>
          </cell>
          <cell r="D1600">
            <v>2</v>
          </cell>
          <cell r="E1600" t="str">
            <v>Bình thường</v>
          </cell>
          <cell r="F1600" t="str">
            <v>GR1</v>
          </cell>
          <cell r="G1600" t="str">
            <v>GS2, GC1, AF1</v>
          </cell>
        </row>
        <row r="1601">
          <cell r="C1601" t="str">
            <v>213504263A48</v>
          </cell>
          <cell r="D1601">
            <v>2</v>
          </cell>
          <cell r="E1601" t="str">
            <v>Bình thường</v>
          </cell>
          <cell r="F1601" t="str">
            <v>GR2</v>
          </cell>
          <cell r="G1601" t="str">
            <v>GP1, GS2, AF1</v>
          </cell>
        </row>
        <row r="1602">
          <cell r="C1602" t="str">
            <v>213509034A11</v>
          </cell>
          <cell r="D1602">
            <v>2</v>
          </cell>
          <cell r="E1602" t="str">
            <v>Bình thường</v>
          </cell>
          <cell r="F1602" t="str">
            <v>AA1</v>
          </cell>
          <cell r="G1602" t="str">
            <v>MA1, MC1, HT1, GS1, AF1</v>
          </cell>
        </row>
        <row r="1603">
          <cell r="C1603" t="str">
            <v>213506007B22</v>
          </cell>
          <cell r="D1603">
            <v>2</v>
          </cell>
          <cell r="E1603" t="str">
            <v>Bình thường</v>
          </cell>
          <cell r="F1603" t="str">
            <v>LT1</v>
          </cell>
          <cell r="G1603" t="str">
            <v>KT</v>
          </cell>
        </row>
        <row r="1604">
          <cell r="C1604" t="str">
            <v>213510087A1</v>
          </cell>
          <cell r="D1604">
            <v>2</v>
          </cell>
          <cell r="E1604" t="str">
            <v>Bình thường</v>
          </cell>
          <cell r="F1604" t="str">
            <v>AA1</v>
          </cell>
          <cell r="G1604" t="str">
            <v>MA1, BJ1, GS1, AF1</v>
          </cell>
        </row>
        <row r="1605">
          <cell r="C1605" t="str">
            <v>213509200A65</v>
          </cell>
          <cell r="D1605">
            <v>2</v>
          </cell>
          <cell r="E1605" t="str">
            <v>Bình thường</v>
          </cell>
          <cell r="F1605" t="str">
            <v>MA1</v>
          </cell>
          <cell r="G1605" t="str">
            <v>HT1, GS1, GP1, AF1</v>
          </cell>
        </row>
        <row r="1606">
          <cell r="C1606" t="str">
            <v>213509213A14</v>
          </cell>
          <cell r="D1606">
            <v>2</v>
          </cell>
          <cell r="E1606" t="str">
            <v>Bình thường</v>
          </cell>
          <cell r="F1606" t="str">
            <v>EW1</v>
          </cell>
          <cell r="G1606" t="str">
            <v>GS1, GP1</v>
          </cell>
        </row>
        <row r="1607">
          <cell r="C1607" t="str">
            <v>L6305090273</v>
          </cell>
          <cell r="D1607">
            <v>2</v>
          </cell>
          <cell r="E1607" t="str">
            <v>Bình thường</v>
          </cell>
          <cell r="F1607" t="str">
            <v>MA1</v>
          </cell>
          <cell r="G1607" t="str">
            <v>BJ1, AF1, HT1, GS1, AF2</v>
          </cell>
        </row>
        <row r="1608">
          <cell r="C1608" t="str">
            <v>L6225100113</v>
          </cell>
          <cell r="D1608">
            <v>2</v>
          </cell>
          <cell r="E1608" t="str">
            <v>Bình thường</v>
          </cell>
          <cell r="F1608" t="str">
            <v>AA1</v>
          </cell>
          <cell r="G1608" t="str">
            <v>MA1, MC1</v>
          </cell>
        </row>
        <row r="1609">
          <cell r="C1609" t="str">
            <v>L6305090272</v>
          </cell>
          <cell r="D1609">
            <v>2</v>
          </cell>
          <cell r="E1609" t="str">
            <v>Bình thường</v>
          </cell>
          <cell r="F1609" t="str">
            <v>BJ1</v>
          </cell>
          <cell r="G1609" t="str">
            <v>HT1, GS1, AF2, AB1</v>
          </cell>
        </row>
        <row r="1610">
          <cell r="C1610" t="str">
            <v>213509500A16</v>
          </cell>
          <cell r="D1610">
            <v>2</v>
          </cell>
          <cell r="E1610" t="str">
            <v>Bình thường</v>
          </cell>
          <cell r="F1610" t="str">
            <v>GR1</v>
          </cell>
          <cell r="G1610" t="str">
            <v>GJ1, GP1, AF1, LT1</v>
          </cell>
        </row>
        <row r="1611">
          <cell r="C1611" t="str">
            <v>213507906A3</v>
          </cell>
          <cell r="D1611">
            <v>2</v>
          </cell>
          <cell r="E1611" t="str">
            <v>Bình thường</v>
          </cell>
          <cell r="F1611" t="str">
            <v>EN1</v>
          </cell>
          <cell r="G1611" t="str">
            <v>GS1</v>
          </cell>
        </row>
        <row r="1612">
          <cell r="C1612" t="str">
            <v>L6305090271</v>
          </cell>
          <cell r="D1612">
            <v>2</v>
          </cell>
          <cell r="E1612" t="str">
            <v>Bình thường</v>
          </cell>
          <cell r="F1612" t="str">
            <v>MA1</v>
          </cell>
          <cell r="G1612" t="str">
            <v>BJ1, AF1, HT1, GS1, EN1, AF2, AB1</v>
          </cell>
        </row>
        <row r="1613">
          <cell r="C1613" t="str">
            <v>213504139A24</v>
          </cell>
          <cell r="D1613">
            <v>2</v>
          </cell>
          <cell r="E1613" t="str">
            <v>Bình thường</v>
          </cell>
          <cell r="F1613" t="str">
            <v>EN1</v>
          </cell>
          <cell r="G1613" t="str">
            <v>GS3, GP1, AF1</v>
          </cell>
        </row>
        <row r="1614">
          <cell r="C1614" t="str">
            <v>L6305090274</v>
          </cell>
          <cell r="D1614">
            <v>2</v>
          </cell>
          <cell r="E1614" t="str">
            <v>Bình thường</v>
          </cell>
          <cell r="F1614" t="str">
            <v>MA1</v>
          </cell>
          <cell r="G1614" t="str">
            <v>BJ1, AF1, HT1, GS1, AF2, AB1</v>
          </cell>
        </row>
        <row r="1615">
          <cell r="C1615" t="str">
            <v>213508004B9</v>
          </cell>
          <cell r="D1615">
            <v>2</v>
          </cell>
          <cell r="E1615" t="str">
            <v>Bình thường</v>
          </cell>
          <cell r="F1615" t="str">
            <v>LT1</v>
          </cell>
          <cell r="G1615" t="str">
            <v>KT</v>
          </cell>
        </row>
        <row r="1616">
          <cell r="C1616" t="str">
            <v>63050900821</v>
          </cell>
          <cell r="D1616">
            <v>2</v>
          </cell>
          <cell r="E1616" t="str">
            <v>Bình thường</v>
          </cell>
          <cell r="F1616" t="str">
            <v>LA1</v>
          </cell>
          <cell r="G1616" t="str">
            <v>MA1, BJ1, LA2, LN1, BJ2</v>
          </cell>
        </row>
        <row r="1617">
          <cell r="C1617" t="str">
            <v>213510023A22</v>
          </cell>
          <cell r="D1617">
            <v>2</v>
          </cell>
          <cell r="E1617" t="str">
            <v>Bình thường</v>
          </cell>
          <cell r="F1617" t="str">
            <v>GS1</v>
          </cell>
          <cell r="G1617" t="str">
            <v>GC1, GP1, AF1, GS2</v>
          </cell>
        </row>
        <row r="1618">
          <cell r="C1618" t="str">
            <v>213504260A29</v>
          </cell>
          <cell r="D1618">
            <v>2</v>
          </cell>
          <cell r="E1618" t="str">
            <v>Bình thường</v>
          </cell>
          <cell r="F1618" t="str">
            <v>GP1</v>
          </cell>
          <cell r="G1618" t="str">
            <v>KT</v>
          </cell>
        </row>
        <row r="1619">
          <cell r="C1619" t="str">
            <v>213507907A4</v>
          </cell>
          <cell r="D1619">
            <v>2</v>
          </cell>
          <cell r="E1619" t="str">
            <v>Bình thường</v>
          </cell>
          <cell r="F1619" t="str">
            <v>EW1</v>
          </cell>
          <cell r="G1619" t="str">
            <v>GS1, EN1, GS2</v>
          </cell>
        </row>
        <row r="1620">
          <cell r="C1620" t="str">
            <v>63050801651</v>
          </cell>
          <cell r="D1620">
            <v>2</v>
          </cell>
          <cell r="E1620" t="str">
            <v>Bình thường</v>
          </cell>
          <cell r="F1620" t="str">
            <v>HT1</v>
          </cell>
          <cell r="G1620" t="str">
            <v>EW1, GS1, EN1, AF1</v>
          </cell>
        </row>
        <row r="1621">
          <cell r="C1621" t="str">
            <v>213506089A10</v>
          </cell>
          <cell r="D1621">
            <v>2</v>
          </cell>
          <cell r="E1621" t="str">
            <v>Bình thường</v>
          </cell>
          <cell r="F1621" t="str">
            <v>GC1</v>
          </cell>
          <cell r="G1621" t="str">
            <v>GP1, GS2</v>
          </cell>
        </row>
        <row r="1622">
          <cell r="C1622" t="str">
            <v>213504101B45</v>
          </cell>
          <cell r="D1622">
            <v>2</v>
          </cell>
          <cell r="E1622" t="str">
            <v>Bình thường</v>
          </cell>
          <cell r="F1622" t="str">
            <v>LT1</v>
          </cell>
          <cell r="G1622" t="str">
            <v>KT</v>
          </cell>
        </row>
        <row r="1623">
          <cell r="C1623" t="str">
            <v>213508113A22</v>
          </cell>
          <cell r="D1623">
            <v>2</v>
          </cell>
          <cell r="E1623" t="str">
            <v>Bình thường</v>
          </cell>
          <cell r="F1623" t="str">
            <v>GR1</v>
          </cell>
          <cell r="G1623" t="str">
            <v>GS1, GP1</v>
          </cell>
        </row>
        <row r="1624">
          <cell r="C1624" t="str">
            <v>213505080A7</v>
          </cell>
          <cell r="D1624">
            <v>2</v>
          </cell>
          <cell r="E1624" t="str">
            <v>Bình thường</v>
          </cell>
          <cell r="F1624" t="str">
            <v>EN1</v>
          </cell>
          <cell r="G1624" t="str">
            <v>KA1, GS2</v>
          </cell>
        </row>
        <row r="1625">
          <cell r="C1625" t="str">
            <v>213509211A12</v>
          </cell>
          <cell r="D1625">
            <v>2</v>
          </cell>
          <cell r="E1625" t="str">
            <v>Bình thường</v>
          </cell>
          <cell r="F1625" t="str">
            <v>LA1</v>
          </cell>
          <cell r="G1625" t="str">
            <v>HT1, GR1, GS1, EN1, AF1, ED1, EW1, AF2, WG1</v>
          </cell>
        </row>
        <row r="1626">
          <cell r="C1626" t="str">
            <v>L6115070033</v>
          </cell>
          <cell r="D1626">
            <v>2</v>
          </cell>
          <cell r="E1626" t="str">
            <v>Bình thường</v>
          </cell>
          <cell r="F1626" t="str">
            <v>HT1</v>
          </cell>
          <cell r="G1626" t="str">
            <v>GR1, GP1, GS1, ED1, EW1, GS2, GP2</v>
          </cell>
        </row>
        <row r="1627">
          <cell r="C1627" t="str">
            <v>213504189A19</v>
          </cell>
          <cell r="D1627">
            <v>2</v>
          </cell>
          <cell r="E1627" t="str">
            <v>Bình thường</v>
          </cell>
          <cell r="F1627" t="str">
            <v>EN1</v>
          </cell>
          <cell r="G1627" t="str">
            <v>GS2, GP1, AF1</v>
          </cell>
        </row>
        <row r="1628">
          <cell r="C1628" t="str">
            <v>213509127A25</v>
          </cell>
          <cell r="D1628">
            <v>2</v>
          </cell>
          <cell r="E1628" t="str">
            <v>Bình thường</v>
          </cell>
          <cell r="F1628" t="str">
            <v>MA1</v>
          </cell>
          <cell r="G1628" t="str">
            <v>BJ1, HT1, GS1, ED1, EW1, AF1</v>
          </cell>
        </row>
        <row r="1629">
          <cell r="C1629" t="str">
            <v>213507083A19</v>
          </cell>
          <cell r="D1629">
            <v>2</v>
          </cell>
          <cell r="E1629" t="str">
            <v>Bình thường</v>
          </cell>
          <cell r="F1629" t="str">
            <v>ED1</v>
          </cell>
          <cell r="G1629" t="str">
            <v>GJ1, GR1</v>
          </cell>
        </row>
        <row r="1630">
          <cell r="C1630" t="str">
            <v>L6305050612</v>
          </cell>
          <cell r="D1630">
            <v>2</v>
          </cell>
          <cell r="E1630" t="str">
            <v>Bình thường</v>
          </cell>
          <cell r="F1630" t="str">
            <v>GS2</v>
          </cell>
          <cell r="G1630" t="str">
            <v>EW2, EN1, AF1, AB1</v>
          </cell>
        </row>
        <row r="1631">
          <cell r="C1631" t="str">
            <v>213504213A9</v>
          </cell>
          <cell r="D1631">
            <v>2</v>
          </cell>
          <cell r="E1631" t="str">
            <v>Bình thường</v>
          </cell>
          <cell r="F1631" t="str">
            <v>GP1</v>
          </cell>
          <cell r="G1631" t="str">
            <v>KT</v>
          </cell>
        </row>
        <row r="1632">
          <cell r="C1632" t="str">
            <v>213508084A31</v>
          </cell>
          <cell r="D1632">
            <v>2</v>
          </cell>
          <cell r="E1632" t="str">
            <v>Bình thường</v>
          </cell>
          <cell r="F1632" t="str">
            <v>EN1</v>
          </cell>
          <cell r="G1632" t="str">
            <v>GJ1, GR2, GP1, GS1, GJ2, EN2, GP2, AF1, GS2</v>
          </cell>
        </row>
        <row r="1633">
          <cell r="C1633" t="str">
            <v>63050600621</v>
          </cell>
          <cell r="D1633">
            <v>2</v>
          </cell>
          <cell r="E1633" t="str">
            <v>Bình thường</v>
          </cell>
          <cell r="F1633" t="str">
            <v>MC1</v>
          </cell>
          <cell r="G1633" t="str">
            <v>HT1, GS1, ED1, EN1, MC2, AF1, AB1</v>
          </cell>
        </row>
        <row r="1634">
          <cell r="C1634" t="str">
            <v>213509042B41</v>
          </cell>
          <cell r="D1634">
            <v>2</v>
          </cell>
          <cell r="E1634" t="str">
            <v>Bình thường</v>
          </cell>
          <cell r="F1634" t="str">
            <v>MA1</v>
          </cell>
          <cell r="G1634" t="str">
            <v>BJ1, LA1, GS1, BJ2, EW1, AF1, AB1</v>
          </cell>
        </row>
        <row r="1635">
          <cell r="C1635" t="str">
            <v>213509121A18</v>
          </cell>
          <cell r="D1635">
            <v>2</v>
          </cell>
          <cell r="E1635" t="str">
            <v>Bình thường</v>
          </cell>
          <cell r="F1635" t="str">
            <v>BJ1</v>
          </cell>
          <cell r="G1635" t="str">
            <v>HT1, GR1, GS1, GP1, EN1, AF1</v>
          </cell>
        </row>
        <row r="1636">
          <cell r="C1636" t="str">
            <v>L6115090093</v>
          </cell>
          <cell r="D1636">
            <v>2</v>
          </cell>
          <cell r="E1636" t="str">
            <v>Bình thường</v>
          </cell>
          <cell r="F1636" t="str">
            <v>GR1</v>
          </cell>
          <cell r="G1636" t="str">
            <v>GS1</v>
          </cell>
        </row>
        <row r="1637">
          <cell r="C1637" t="str">
            <v>L6115070074</v>
          </cell>
          <cell r="D1637">
            <v>2</v>
          </cell>
          <cell r="E1637" t="str">
            <v>Bình thường</v>
          </cell>
          <cell r="F1637" t="str">
            <v>GR1</v>
          </cell>
          <cell r="G1637" t="str">
            <v>GS1, GC1, GP1, AF1, LA1, WG1, GS2, GC2, GP2, AF2</v>
          </cell>
        </row>
        <row r="1638">
          <cell r="C1638" t="str">
            <v>R6245090061</v>
          </cell>
          <cell r="D1638">
            <v>2</v>
          </cell>
          <cell r="E1638" t="str">
            <v>Bình thường</v>
          </cell>
          <cell r="F1638" t="str">
            <v>AC1</v>
          </cell>
          <cell r="G1638" t="str">
            <v>WG1</v>
          </cell>
        </row>
        <row r="1639">
          <cell r="C1639" t="str">
            <v>213509118A15</v>
          </cell>
          <cell r="D1639">
            <v>2</v>
          </cell>
          <cell r="E1639" t="str">
            <v>Bình thường</v>
          </cell>
          <cell r="F1639" t="str">
            <v>MA1</v>
          </cell>
          <cell r="G1639" t="str">
            <v>BJ1, GS1, EW1, AB1</v>
          </cell>
        </row>
        <row r="1640">
          <cell r="C1640" t="str">
            <v>213505202A27</v>
          </cell>
          <cell r="D1640">
            <v>2</v>
          </cell>
          <cell r="E1640" t="str">
            <v>Bình thường</v>
          </cell>
          <cell r="F1640" t="str">
            <v>GR1</v>
          </cell>
          <cell r="G1640" t="str">
            <v>EN1</v>
          </cell>
        </row>
        <row r="1641">
          <cell r="C1641" t="str">
            <v>213505079A6</v>
          </cell>
          <cell r="D1641">
            <v>2</v>
          </cell>
          <cell r="E1641" t="str">
            <v>Bình thường</v>
          </cell>
          <cell r="F1641" t="str">
            <v>EN1</v>
          </cell>
          <cell r="G1641" t="str">
            <v>KA1, GS2</v>
          </cell>
        </row>
        <row r="1642">
          <cell r="C1642" t="str">
            <v>L6115090096</v>
          </cell>
          <cell r="D1642">
            <v>2</v>
          </cell>
          <cell r="E1642" t="str">
            <v>Bình thường</v>
          </cell>
          <cell r="F1642" t="str">
            <v>LA1</v>
          </cell>
          <cell r="G1642" t="str">
            <v>HT1, GR1, GS1</v>
          </cell>
        </row>
        <row r="1643">
          <cell r="C1643" t="str">
            <v>213509077A12</v>
          </cell>
          <cell r="D1643">
            <v>2</v>
          </cell>
          <cell r="E1643" t="str">
            <v>Bình thường</v>
          </cell>
          <cell r="F1643" t="str">
            <v>GC1</v>
          </cell>
          <cell r="G1643" t="str">
            <v>GS2, GP1</v>
          </cell>
        </row>
        <row r="1644">
          <cell r="C1644" t="str">
            <v>L6305050611</v>
          </cell>
          <cell r="D1644">
            <v>2</v>
          </cell>
          <cell r="E1644" t="str">
            <v>Bình thường</v>
          </cell>
          <cell r="F1644" t="str">
            <v>GS2</v>
          </cell>
          <cell r="G1644" t="str">
            <v>EW2, EN1, AF1, AB1</v>
          </cell>
        </row>
        <row r="1645">
          <cell r="C1645" t="str">
            <v>63050800171</v>
          </cell>
          <cell r="D1645">
            <v>2</v>
          </cell>
          <cell r="E1645" t="str">
            <v>Bình thường</v>
          </cell>
          <cell r="F1645" t="str">
            <v>GR1</v>
          </cell>
          <cell r="G1645" t="str">
            <v>GS1, GJ1, EN1, GP1, AF1</v>
          </cell>
        </row>
        <row r="1646">
          <cell r="C1646" t="str">
            <v>L6115090132</v>
          </cell>
          <cell r="D1646">
            <v>2</v>
          </cell>
          <cell r="E1646" t="str">
            <v>Bình thường</v>
          </cell>
          <cell r="F1646" t="str">
            <v>LA1</v>
          </cell>
          <cell r="G1646" t="str">
            <v>HT1, GR1, GP1, GS1, ED1, EW1, GS2, GP2</v>
          </cell>
        </row>
        <row r="1647">
          <cell r="C1647" t="str">
            <v>61250800371</v>
          </cell>
          <cell r="D1647">
            <v>2</v>
          </cell>
          <cell r="E1647" t="str">
            <v>Bình thường</v>
          </cell>
          <cell r="F1647" t="str">
            <v>GR1</v>
          </cell>
          <cell r="G1647" t="str">
            <v>GS1, GP1, AF1</v>
          </cell>
        </row>
        <row r="1648">
          <cell r="C1648" t="str">
            <v>213509060B24</v>
          </cell>
          <cell r="D1648">
            <v>2</v>
          </cell>
          <cell r="E1648" t="str">
            <v>Bình thường</v>
          </cell>
          <cell r="F1648" t="str">
            <v>MA1</v>
          </cell>
          <cell r="G1648" t="str">
            <v>GS1, BJ1, ED1, EW1, MC1, EN1, AF1</v>
          </cell>
        </row>
        <row r="1649">
          <cell r="C1649" t="str">
            <v>L6305090064</v>
          </cell>
          <cell r="D1649">
            <v>2</v>
          </cell>
          <cell r="E1649" t="str">
            <v>Bình thường</v>
          </cell>
          <cell r="F1649" t="str">
            <v>BJ1</v>
          </cell>
          <cell r="G1649" t="str">
            <v>DA1, HT1, GS1, ED1, EW1, EN1, AF1</v>
          </cell>
        </row>
        <row r="1650">
          <cell r="C1650" t="str">
            <v>213509076A11</v>
          </cell>
          <cell r="D1650">
            <v>2</v>
          </cell>
          <cell r="E1650" t="str">
            <v>Bình thường</v>
          </cell>
          <cell r="F1650" t="str">
            <v>EW2</v>
          </cell>
          <cell r="G1650" t="str">
            <v>GS2</v>
          </cell>
        </row>
        <row r="1651">
          <cell r="C1651" t="str">
            <v>L6305050741</v>
          </cell>
          <cell r="D1651">
            <v>2</v>
          </cell>
          <cell r="E1651" t="str">
            <v>Bình thường</v>
          </cell>
          <cell r="F1651" t="str">
            <v>MA1</v>
          </cell>
          <cell r="G1651" t="str">
            <v>GS1, MC1</v>
          </cell>
        </row>
        <row r="1652">
          <cell r="C1652" t="str">
            <v>213508001B1</v>
          </cell>
          <cell r="D1652">
            <v>2</v>
          </cell>
          <cell r="E1652" t="str">
            <v>Bình thường</v>
          </cell>
          <cell r="F1652" t="str">
            <v>GS1</v>
          </cell>
          <cell r="G1652" t="str">
            <v>ED1, EW1, EN1, AF1, AB1</v>
          </cell>
        </row>
        <row r="1653">
          <cell r="C1653" t="str">
            <v>213508149A5</v>
          </cell>
          <cell r="D1653">
            <v>2</v>
          </cell>
          <cell r="E1653" t="str">
            <v>Bình thường</v>
          </cell>
          <cell r="F1653" t="str">
            <v>ED1</v>
          </cell>
          <cell r="G1653" t="str">
            <v>EW2, GS2, EN1</v>
          </cell>
        </row>
        <row r="1654">
          <cell r="C1654" t="str">
            <v>L6115070212</v>
          </cell>
          <cell r="D1654">
            <v>2</v>
          </cell>
          <cell r="E1654" t="str">
            <v>Bình thường</v>
          </cell>
          <cell r="F1654" t="str">
            <v>GC1</v>
          </cell>
          <cell r="G1654" t="str">
            <v>AF1</v>
          </cell>
        </row>
        <row r="1655">
          <cell r="C1655" t="str">
            <v>L6305090261</v>
          </cell>
          <cell r="D1655">
            <v>2</v>
          </cell>
          <cell r="E1655" t="str">
            <v>Bình thường</v>
          </cell>
          <cell r="F1655" t="str">
            <v>AA1</v>
          </cell>
          <cell r="G1655" t="str">
            <v>MA1, BJ1, HT1, GS1, GJ1, GP1, AF1</v>
          </cell>
        </row>
        <row r="1656">
          <cell r="C1656" t="str">
            <v>213509129A27</v>
          </cell>
          <cell r="D1656">
            <v>2</v>
          </cell>
          <cell r="E1656" t="str">
            <v>Bình thường</v>
          </cell>
          <cell r="F1656" t="str">
            <v>ED1</v>
          </cell>
          <cell r="G1656" t="str">
            <v>EW1, GS1, EW2, EN1</v>
          </cell>
        </row>
        <row r="1657">
          <cell r="C1657" t="str">
            <v>L6115080201</v>
          </cell>
          <cell r="D1657">
            <v>2</v>
          </cell>
          <cell r="E1657" t="str">
            <v>Bình thường</v>
          </cell>
          <cell r="F1657" t="str">
            <v>GR1</v>
          </cell>
          <cell r="G1657" t="str">
            <v>GP1, GS1, GP2, AF1</v>
          </cell>
        </row>
        <row r="1658">
          <cell r="C1658" t="str">
            <v>R6235100261</v>
          </cell>
          <cell r="D1658">
            <v>2</v>
          </cell>
          <cell r="E1658" t="str">
            <v>Bình thường</v>
          </cell>
          <cell r="F1658" t="str">
            <v>GP1</v>
          </cell>
          <cell r="G1658" t="str">
            <v>AF1, AL1</v>
          </cell>
        </row>
        <row r="1659">
          <cell r="C1659" t="str">
            <v>213509113A10</v>
          </cell>
          <cell r="D1659">
            <v>2</v>
          </cell>
          <cell r="E1659" t="str">
            <v>Bình thường</v>
          </cell>
          <cell r="F1659" t="str">
            <v>GR1</v>
          </cell>
          <cell r="G1659" t="str">
            <v>GS1, GC1, GS2, GP1</v>
          </cell>
        </row>
        <row r="1660">
          <cell r="C1660" t="str">
            <v>213505508A6</v>
          </cell>
          <cell r="D1660">
            <v>2</v>
          </cell>
          <cell r="E1660" t="str">
            <v>Bình thường</v>
          </cell>
          <cell r="F1660" t="str">
            <v>ED1</v>
          </cell>
          <cell r="G1660" t="str">
            <v>EW1, GS2, EN1, GS3</v>
          </cell>
        </row>
        <row r="1661">
          <cell r="C1661" t="str">
            <v>213509035A13</v>
          </cell>
          <cell r="D1661">
            <v>2</v>
          </cell>
          <cell r="E1661" t="str">
            <v>Bình thường</v>
          </cell>
          <cell r="F1661" t="str">
            <v>MA1</v>
          </cell>
          <cell r="G1661" t="str">
            <v>BJ1, HT1, GS1, EN1, EW1, GS2, AF1</v>
          </cell>
        </row>
        <row r="1662">
          <cell r="C1662" t="str">
            <v>213508090A45</v>
          </cell>
          <cell r="D1662">
            <v>2</v>
          </cell>
          <cell r="E1662" t="str">
            <v>Bình thường</v>
          </cell>
          <cell r="F1662" t="str">
            <v>GS1</v>
          </cell>
          <cell r="G1662" t="str">
            <v>ED1, GJ1, GR1, GP1</v>
          </cell>
        </row>
        <row r="1663">
          <cell r="C1663" t="str">
            <v>213507148A5</v>
          </cell>
          <cell r="D1663">
            <v>2</v>
          </cell>
          <cell r="E1663" t="str">
            <v>Bình thường</v>
          </cell>
          <cell r="F1663" t="str">
            <v>BJ1</v>
          </cell>
          <cell r="G1663" t="str">
            <v>DA1, HT1, GR1, ED1, EW1, EN1, GJ1, AF1, GS1, GP1, EN2, AF2, AL1</v>
          </cell>
        </row>
        <row r="1664">
          <cell r="C1664" t="str">
            <v>213509242A45</v>
          </cell>
          <cell r="D1664">
            <v>2</v>
          </cell>
          <cell r="E1664" t="str">
            <v>Bình thường</v>
          </cell>
          <cell r="F1664" t="str">
            <v>LA1</v>
          </cell>
          <cell r="G1664" t="str">
            <v>MA1, BJ1, DA1, AA1, HT1, GS1, EW1, GR1, GP1, GS2, EW2, EN1, AF1</v>
          </cell>
        </row>
        <row r="1665">
          <cell r="C1665" t="str">
            <v>213509013A12</v>
          </cell>
          <cell r="D1665">
            <v>2</v>
          </cell>
          <cell r="E1665" t="str">
            <v>Bình thường</v>
          </cell>
          <cell r="F1665" t="str">
            <v>GS1</v>
          </cell>
          <cell r="G1665" t="str">
            <v>GP1, EW2</v>
          </cell>
        </row>
        <row r="1666">
          <cell r="C1666" t="str">
            <v>415509005G1</v>
          </cell>
          <cell r="D1666">
            <v>2</v>
          </cell>
          <cell r="E1666" t="str">
            <v>Bình thường</v>
          </cell>
          <cell r="F1666" t="str">
            <v>GS1</v>
          </cell>
          <cell r="G1666" t="str">
            <v>GP1, EN1, AF1, AL1</v>
          </cell>
        </row>
        <row r="1667">
          <cell r="C1667" t="str">
            <v>L6115070241</v>
          </cell>
          <cell r="D1667">
            <v>2</v>
          </cell>
          <cell r="E1667" t="str">
            <v>Bình thường</v>
          </cell>
          <cell r="F1667" t="str">
            <v>GR1</v>
          </cell>
          <cell r="G1667" t="str">
            <v>GS1, GC1, GP1, AF1, LA1, WG1, GS2, GC2, GP2, AF2</v>
          </cell>
        </row>
        <row r="1668">
          <cell r="C1668" t="str">
            <v>L6115070201</v>
          </cell>
          <cell r="D1668">
            <v>2</v>
          </cell>
          <cell r="E1668" t="str">
            <v>Bình thường</v>
          </cell>
          <cell r="F1668" t="str">
            <v>GR1</v>
          </cell>
          <cell r="G1668" t="str">
            <v>GS1, GC1, GP1, GS2</v>
          </cell>
        </row>
        <row r="1669">
          <cell r="C1669" t="str">
            <v>213508052B18</v>
          </cell>
          <cell r="D1669">
            <v>2</v>
          </cell>
          <cell r="E1669" t="str">
            <v>Bình thường</v>
          </cell>
          <cell r="F1669" t="str">
            <v>MC1</v>
          </cell>
          <cell r="G1669" t="str">
            <v>BJ1, AF1</v>
          </cell>
        </row>
        <row r="1670">
          <cell r="C1670" t="str">
            <v>213510090A5</v>
          </cell>
          <cell r="D1670">
            <v>2</v>
          </cell>
          <cell r="E1670" t="str">
            <v>Bình thường</v>
          </cell>
          <cell r="F1670" t="str">
            <v>AA1</v>
          </cell>
          <cell r="G1670" t="str">
            <v>MA1, BJ1, DA1, AF1, LT1</v>
          </cell>
        </row>
        <row r="1671">
          <cell r="C1671" t="str">
            <v>61150800371</v>
          </cell>
          <cell r="D1671">
            <v>2</v>
          </cell>
          <cell r="E1671" t="str">
            <v>Bình thường</v>
          </cell>
          <cell r="F1671" t="str">
            <v>LA1</v>
          </cell>
          <cell r="G1671" t="str">
            <v>HT1, GR1, GS1, EN1, GR2, GJ1, AF1, AB1</v>
          </cell>
        </row>
        <row r="1672">
          <cell r="C1672" t="str">
            <v>213510006B2</v>
          </cell>
          <cell r="D1672">
            <v>2</v>
          </cell>
          <cell r="E1672" t="str">
            <v>Bình thường</v>
          </cell>
          <cell r="F1672" t="str">
            <v>AA1</v>
          </cell>
          <cell r="G1672" t="str">
            <v>MA1, BJ1, HT1, GS1, EW1, AF1, AB1</v>
          </cell>
        </row>
        <row r="1673">
          <cell r="C1673" t="str">
            <v>213509279A38</v>
          </cell>
          <cell r="D1673">
            <v>2</v>
          </cell>
          <cell r="E1673" t="str">
            <v>Bình thường</v>
          </cell>
          <cell r="F1673" t="str">
            <v>GR1</v>
          </cell>
          <cell r="G1673" t="str">
            <v>GS1, ED1, EW1, GR2, GS2, GP1, AF1</v>
          </cell>
        </row>
        <row r="1674">
          <cell r="C1674" t="str">
            <v>213508073B20</v>
          </cell>
          <cell r="D1674">
            <v>2</v>
          </cell>
          <cell r="E1674" t="str">
            <v>Bình thường</v>
          </cell>
          <cell r="F1674" t="str">
            <v>BJ1</v>
          </cell>
          <cell r="G1674" t="str">
            <v>DA1, HT1, GS1, EW1, AF1, LT1</v>
          </cell>
        </row>
        <row r="1675">
          <cell r="C1675" t="str">
            <v>L62250100412</v>
          </cell>
          <cell r="D1675">
            <v>2</v>
          </cell>
          <cell r="E1675" t="str">
            <v>Bình thường</v>
          </cell>
          <cell r="F1675" t="str">
            <v>MC1</v>
          </cell>
          <cell r="G1675" t="str">
            <v>AB1</v>
          </cell>
        </row>
        <row r="1676">
          <cell r="C1676" t="str">
            <v>213510005A7</v>
          </cell>
          <cell r="D1676">
            <v>2</v>
          </cell>
          <cell r="E1676" t="str">
            <v>Bình thường</v>
          </cell>
          <cell r="F1676" t="str">
            <v>EW1</v>
          </cell>
          <cell r="G1676" t="str">
            <v>GS1, ED1, EW2, GS2, GR1, GP1, AF1</v>
          </cell>
        </row>
        <row r="1677">
          <cell r="C1677" t="str">
            <v>213508074B21</v>
          </cell>
          <cell r="D1677">
            <v>2</v>
          </cell>
          <cell r="E1677" t="str">
            <v>Bình thường</v>
          </cell>
          <cell r="F1677" t="str">
            <v>EW1</v>
          </cell>
          <cell r="G1677" t="str">
            <v>AF1, LT1</v>
          </cell>
        </row>
        <row r="1678">
          <cell r="C1678" t="str">
            <v>213509143A33</v>
          </cell>
          <cell r="D1678">
            <v>2</v>
          </cell>
          <cell r="E1678" t="str">
            <v>Bình thường</v>
          </cell>
          <cell r="F1678" t="str">
            <v>BJ1</v>
          </cell>
          <cell r="G1678" t="str">
            <v>DA1, AA1, HT1, GS1, EW1, GR1, GP1, GS2, EW2, EN1, AF1</v>
          </cell>
        </row>
        <row r="1679">
          <cell r="C1679" t="str">
            <v>L4125100022</v>
          </cell>
          <cell r="D1679">
            <v>2</v>
          </cell>
          <cell r="E1679" t="str">
            <v>Bình thường</v>
          </cell>
          <cell r="F1679" t="str">
            <v>GR1</v>
          </cell>
          <cell r="G1679" t="str">
            <v>EW1</v>
          </cell>
        </row>
        <row r="1680">
          <cell r="C1680" t="str">
            <v>L4125100021</v>
          </cell>
          <cell r="D1680">
            <v>2</v>
          </cell>
          <cell r="E1680" t="str">
            <v>Bình thường</v>
          </cell>
          <cell r="F1680" t="str">
            <v>GR1</v>
          </cell>
          <cell r="G1680" t="str">
            <v>GS1, ED1, EW1, GP1</v>
          </cell>
        </row>
        <row r="1681">
          <cell r="C1681" t="str">
            <v>213509025B47</v>
          </cell>
          <cell r="D1681">
            <v>2</v>
          </cell>
          <cell r="E1681" t="str">
            <v>Bình thường</v>
          </cell>
          <cell r="F1681" t="str">
            <v>MA1</v>
          </cell>
          <cell r="G1681" t="str">
            <v>BJ1, DA1, HT1, GS1, EW1, AF1, KA1, LT1</v>
          </cell>
        </row>
        <row r="1682">
          <cell r="C1682" t="str">
            <v>L6115090094</v>
          </cell>
          <cell r="D1682">
            <v>2</v>
          </cell>
          <cell r="E1682" t="str">
            <v>Bình thường</v>
          </cell>
          <cell r="F1682" t="str">
            <v>GS1</v>
          </cell>
          <cell r="G1682" t="str">
            <v>EN1, GJ1, EW1, EN2, GJ2, GS2</v>
          </cell>
        </row>
        <row r="1683">
          <cell r="C1683" t="str">
            <v>213510004A6</v>
          </cell>
          <cell r="D1683">
            <v>2</v>
          </cell>
          <cell r="E1683" t="str">
            <v>Bình thường</v>
          </cell>
          <cell r="F1683" t="str">
            <v>GS1</v>
          </cell>
          <cell r="G1683" t="str">
            <v>GC1, GS2, GP1, KA1, LT1</v>
          </cell>
        </row>
        <row r="1684">
          <cell r="C1684" t="str">
            <v>213502242A1</v>
          </cell>
          <cell r="D1684">
            <v>1</v>
          </cell>
          <cell r="E1684" t="str">
            <v>Bình thường</v>
          </cell>
          <cell r="F1684" t="str">
            <v>GJ1</v>
          </cell>
          <cell r="G1684" t="str">
            <v>GP1, AF1</v>
          </cell>
        </row>
        <row r="1685">
          <cell r="C1685" t="str">
            <v>L4135100423</v>
          </cell>
          <cell r="D1685">
            <v>1</v>
          </cell>
          <cell r="E1685" t="str">
            <v>Khẩn</v>
          </cell>
          <cell r="F1685" t="str">
            <v>AC1</v>
          </cell>
          <cell r="G1685" t="str">
            <v>BJ1</v>
          </cell>
        </row>
        <row r="1686">
          <cell r="C1686" t="str">
            <v>213508026B38</v>
          </cell>
          <cell r="D1686">
            <v>1</v>
          </cell>
          <cell r="E1686" t="str">
            <v>Bình thường</v>
          </cell>
          <cell r="F1686" t="str">
            <v>MA1</v>
          </cell>
          <cell r="G1686" t="str">
            <v>BJ1, GS1, AB1</v>
          </cell>
        </row>
        <row r="1687">
          <cell r="C1687" t="str">
            <v>L6115020162</v>
          </cell>
          <cell r="D1687">
            <v>1</v>
          </cell>
          <cell r="E1687" t="str">
            <v>Bình thường</v>
          </cell>
          <cell r="F1687" t="str">
            <v>GJ1</v>
          </cell>
          <cell r="G1687" t="str">
            <v>KA1, AF1</v>
          </cell>
        </row>
        <row r="1688">
          <cell r="C1688" t="str">
            <v>L6305090475</v>
          </cell>
          <cell r="D1688">
            <v>1</v>
          </cell>
          <cell r="E1688" t="str">
            <v>Khẩn</v>
          </cell>
          <cell r="F1688" t="str">
            <v>WG1</v>
          </cell>
          <cell r="G1688" t="str">
            <v>AB1</v>
          </cell>
        </row>
        <row r="1689">
          <cell r="C1689" t="str">
            <v>L6245100073</v>
          </cell>
          <cell r="D1689">
            <v>1</v>
          </cell>
          <cell r="E1689" t="str">
            <v>Khẩn</v>
          </cell>
          <cell r="F1689" t="str">
            <v>BJ1</v>
          </cell>
          <cell r="G1689" t="str">
            <v>AF1</v>
          </cell>
        </row>
        <row r="1690">
          <cell r="C1690" t="str">
            <v>62350700541</v>
          </cell>
          <cell r="D1690">
            <v>1</v>
          </cell>
          <cell r="E1690" t="str">
            <v>Bình thường</v>
          </cell>
          <cell r="F1690" t="str">
            <v>GJ1</v>
          </cell>
          <cell r="G1690" t="str">
            <v>LA2, AF1</v>
          </cell>
        </row>
        <row r="1691">
          <cell r="C1691" t="str">
            <v>L6215070091</v>
          </cell>
          <cell r="D1691">
            <v>1</v>
          </cell>
          <cell r="E1691" t="str">
            <v>Bình thường</v>
          </cell>
          <cell r="F1691" t="str">
            <v>GS1</v>
          </cell>
          <cell r="G1691" t="str">
            <v>AF1, AL1</v>
          </cell>
        </row>
        <row r="1692">
          <cell r="C1692" t="str">
            <v>213505094A21</v>
          </cell>
          <cell r="D1692">
            <v>1</v>
          </cell>
          <cell r="E1692" t="str">
            <v>Bình thường</v>
          </cell>
          <cell r="F1692" t="str">
            <v>EN1</v>
          </cell>
          <cell r="G1692" t="str">
            <v>AF1</v>
          </cell>
        </row>
        <row r="1693">
          <cell r="C1693" t="str">
            <v>213504158B26</v>
          </cell>
          <cell r="D1693">
            <v>1</v>
          </cell>
          <cell r="E1693" t="str">
            <v>Bình thường</v>
          </cell>
          <cell r="F1693" t="str">
            <v>EN1</v>
          </cell>
          <cell r="G1693" t="str">
            <v>EW1, AF1, AB1</v>
          </cell>
        </row>
        <row r="1694">
          <cell r="C1694" t="str">
            <v>213509044B55</v>
          </cell>
          <cell r="D1694">
            <v>1</v>
          </cell>
          <cell r="E1694" t="str">
            <v>Bình thường</v>
          </cell>
          <cell r="F1694" t="str">
            <v>MC1</v>
          </cell>
          <cell r="G1694" t="str">
            <v>BJ1, DA1</v>
          </cell>
        </row>
        <row r="1695">
          <cell r="C1695" t="str">
            <v>213506115B21</v>
          </cell>
          <cell r="D1695">
            <v>1</v>
          </cell>
          <cell r="E1695" t="str">
            <v>Bình thường</v>
          </cell>
          <cell r="F1695" t="str">
            <v>EN1</v>
          </cell>
          <cell r="G1695" t="str">
            <v>AF1</v>
          </cell>
        </row>
        <row r="1696">
          <cell r="C1696" t="str">
            <v>213507923A1</v>
          </cell>
          <cell r="D1696">
            <v>1</v>
          </cell>
          <cell r="E1696" t="str">
            <v>Bình thường</v>
          </cell>
          <cell r="F1696" t="str">
            <v>LA1</v>
          </cell>
          <cell r="G1696" t="str">
            <v>AF1</v>
          </cell>
        </row>
        <row r="1697">
          <cell r="C1697" t="str">
            <v>213509084A17</v>
          </cell>
          <cell r="D1697">
            <v>1</v>
          </cell>
          <cell r="E1697" t="str">
            <v>Bình thường</v>
          </cell>
          <cell r="F1697" t="str">
            <v>ED1</v>
          </cell>
          <cell r="G1697" t="str">
            <v>VP</v>
          </cell>
        </row>
        <row r="1698">
          <cell r="C1698" t="str">
            <v>L6125060161</v>
          </cell>
          <cell r="D1698">
            <v>1</v>
          </cell>
          <cell r="E1698" t="str">
            <v>Bình thường</v>
          </cell>
          <cell r="F1698" t="str">
            <v>BJ1</v>
          </cell>
          <cell r="G1698" t="str">
            <v>DA1, HT1, GS1, AB1</v>
          </cell>
        </row>
        <row r="1699">
          <cell r="C1699" t="str">
            <v>L4135100424</v>
          </cell>
          <cell r="D1699">
            <v>1</v>
          </cell>
          <cell r="E1699" t="str">
            <v>Khẩn</v>
          </cell>
          <cell r="F1699" t="str">
            <v>AC1</v>
          </cell>
          <cell r="G1699" t="str">
            <v>BJ1</v>
          </cell>
        </row>
        <row r="1700">
          <cell r="C1700" t="str">
            <v>L6245100071</v>
          </cell>
          <cell r="D1700">
            <v>1</v>
          </cell>
          <cell r="E1700" t="str">
            <v>Khẩn</v>
          </cell>
          <cell r="F1700" t="str">
            <v>MA1</v>
          </cell>
          <cell r="G1700" t="str">
            <v>BJ1, DA1</v>
          </cell>
        </row>
        <row r="1701">
          <cell r="C1701" t="str">
            <v>L6305090485</v>
          </cell>
          <cell r="D1701">
            <v>1</v>
          </cell>
          <cell r="E1701" t="str">
            <v>Khẩn</v>
          </cell>
          <cell r="F1701" t="str">
            <v>BJ1</v>
          </cell>
          <cell r="G1701" t="str">
            <v>DA1, AF1, WG1, AB1</v>
          </cell>
        </row>
        <row r="1702">
          <cell r="C1702" t="str">
            <v>R41351002613</v>
          </cell>
          <cell r="D1702">
            <v>1</v>
          </cell>
          <cell r="E1702" t="str">
            <v>Khẩn</v>
          </cell>
          <cell r="F1702" t="str">
            <v>BJ1</v>
          </cell>
          <cell r="G1702" t="str">
            <v>VP</v>
          </cell>
        </row>
        <row r="1703">
          <cell r="C1703" t="str">
            <v>L4135100422</v>
          </cell>
          <cell r="D1703">
            <v>1</v>
          </cell>
          <cell r="E1703" t="str">
            <v>Khẩn</v>
          </cell>
          <cell r="F1703" t="str">
            <v>AC1</v>
          </cell>
          <cell r="G1703" t="str">
            <v>BJ1</v>
          </cell>
        </row>
        <row r="1704">
          <cell r="C1704" t="str">
            <v>L6305070371</v>
          </cell>
          <cell r="D1704">
            <v>1</v>
          </cell>
          <cell r="E1704" t="str">
            <v>Bình thường</v>
          </cell>
          <cell r="F1704" t="str">
            <v>BJ1</v>
          </cell>
          <cell r="G1704" t="str">
            <v>WG1, AB1</v>
          </cell>
        </row>
        <row r="1705">
          <cell r="C1705" t="str">
            <v>L6305070439</v>
          </cell>
          <cell r="D1705">
            <v>1</v>
          </cell>
          <cell r="E1705" t="str">
            <v>Bình thường</v>
          </cell>
          <cell r="F1705" t="str">
            <v>BJ2</v>
          </cell>
          <cell r="G1705" t="str">
            <v>AB1</v>
          </cell>
        </row>
        <row r="1706">
          <cell r="C1706" t="str">
            <v>213503509A30</v>
          </cell>
          <cell r="D1706">
            <v>1</v>
          </cell>
          <cell r="E1706" t="str">
            <v>Bình thường</v>
          </cell>
          <cell r="F1706" t="str">
            <v>AF1</v>
          </cell>
          <cell r="G1706" t="str">
            <v>AL1</v>
          </cell>
        </row>
        <row r="1707">
          <cell r="C1707" t="str">
            <v>213509097A34</v>
          </cell>
          <cell r="D1707">
            <v>1</v>
          </cell>
          <cell r="E1707" t="str">
            <v>Bình thường</v>
          </cell>
          <cell r="F1707" t="str">
            <v>WG1</v>
          </cell>
          <cell r="G1707" t="str">
            <v>GS2, GC2, AF2</v>
          </cell>
        </row>
        <row r="1708">
          <cell r="C1708" t="str">
            <v>213509037A16</v>
          </cell>
          <cell r="D1708">
            <v>1</v>
          </cell>
          <cell r="E1708" t="str">
            <v>Bình thường</v>
          </cell>
          <cell r="F1708" t="str">
            <v>GC1</v>
          </cell>
          <cell r="G1708" t="str">
            <v>GP1, AF1, GS2</v>
          </cell>
        </row>
        <row r="1709">
          <cell r="C1709" t="str">
            <v>61150700361</v>
          </cell>
          <cell r="D1709">
            <v>1</v>
          </cell>
          <cell r="E1709" t="str">
            <v>Bình thường</v>
          </cell>
          <cell r="F1709" t="str">
            <v>MA1</v>
          </cell>
          <cell r="G1709" t="str">
            <v>GS1, MC1, AB1</v>
          </cell>
        </row>
        <row r="1710">
          <cell r="C1710" t="str">
            <v>L6115060082</v>
          </cell>
          <cell r="D1710">
            <v>1</v>
          </cell>
          <cell r="E1710" t="str">
            <v>Bình thường</v>
          </cell>
          <cell r="F1710" t="str">
            <v>EN1</v>
          </cell>
          <cell r="G1710" t="str">
            <v>AF1</v>
          </cell>
        </row>
        <row r="1711">
          <cell r="C1711" t="str">
            <v>61250900361</v>
          </cell>
          <cell r="D1711">
            <v>1</v>
          </cell>
          <cell r="E1711" t="str">
            <v>Bình thường</v>
          </cell>
          <cell r="F1711" t="str">
            <v>EW1</v>
          </cell>
          <cell r="G1711" t="str">
            <v>AF1, AB1</v>
          </cell>
        </row>
        <row r="1712">
          <cell r="C1712" t="str">
            <v>L6125070071</v>
          </cell>
          <cell r="D1712">
            <v>1</v>
          </cell>
          <cell r="E1712" t="str">
            <v>Bình thường</v>
          </cell>
          <cell r="F1712" t="str">
            <v>GJ1</v>
          </cell>
          <cell r="G1712" t="str">
            <v>AF1</v>
          </cell>
        </row>
        <row r="1713">
          <cell r="C1713" t="str">
            <v>L6235090051</v>
          </cell>
          <cell r="D1713">
            <v>1</v>
          </cell>
          <cell r="E1713" t="str">
            <v>Bình thường</v>
          </cell>
          <cell r="F1713" t="str">
            <v>MA1</v>
          </cell>
          <cell r="G1713" t="str">
            <v>GS1, MC1, AB1</v>
          </cell>
        </row>
        <row r="1714">
          <cell r="C1714" t="str">
            <v>L6215070092</v>
          </cell>
          <cell r="D1714">
            <v>1</v>
          </cell>
          <cell r="E1714" t="str">
            <v>Bình thường</v>
          </cell>
          <cell r="F1714" t="str">
            <v>GS1</v>
          </cell>
          <cell r="G1714" t="str">
            <v>AF1, AL1, AB1</v>
          </cell>
        </row>
        <row r="1715">
          <cell r="C1715" t="str">
            <v>L6115070218</v>
          </cell>
          <cell r="D1715">
            <v>1</v>
          </cell>
          <cell r="E1715" t="str">
            <v>Bình thường</v>
          </cell>
          <cell r="F1715" t="str">
            <v>GC1</v>
          </cell>
          <cell r="G1715" t="str">
            <v>VP</v>
          </cell>
        </row>
        <row r="1716">
          <cell r="C1716" t="str">
            <v>L6235030121</v>
          </cell>
          <cell r="D1716">
            <v>1</v>
          </cell>
          <cell r="E1716" t="str">
            <v>Bình thường</v>
          </cell>
          <cell r="F1716" t="str">
            <v>GS1</v>
          </cell>
          <cell r="G1716" t="str">
            <v>AF1</v>
          </cell>
        </row>
        <row r="1717">
          <cell r="C1717" t="str">
            <v>L6305011179</v>
          </cell>
          <cell r="D1717">
            <v>1</v>
          </cell>
          <cell r="E1717" t="str">
            <v>Bình thường</v>
          </cell>
          <cell r="F1717" t="str">
            <v>LA1</v>
          </cell>
          <cell r="G1717" t="str">
            <v>BJ1, GR1, AB1</v>
          </cell>
        </row>
        <row r="1718">
          <cell r="C1718" t="str">
            <v>L6115030351</v>
          </cell>
          <cell r="D1718">
            <v>1</v>
          </cell>
          <cell r="E1718" t="str">
            <v>Bình thường</v>
          </cell>
          <cell r="F1718" t="str">
            <v>MC1</v>
          </cell>
          <cell r="G1718" t="str">
            <v>GJ1, EN1, GS3, EN2, GR3, AF2</v>
          </cell>
        </row>
        <row r="1719">
          <cell r="C1719" t="str">
            <v>L62450701210</v>
          </cell>
          <cell r="D1719">
            <v>1</v>
          </cell>
          <cell r="E1719" t="str">
            <v>Bình thường</v>
          </cell>
          <cell r="F1719" t="str">
            <v>MC1</v>
          </cell>
          <cell r="G1719" t="str">
            <v>VP</v>
          </cell>
        </row>
        <row r="1720">
          <cell r="C1720" t="str">
            <v>L6235070081</v>
          </cell>
          <cell r="D1720">
            <v>1</v>
          </cell>
          <cell r="E1720" t="str">
            <v>Bình thường</v>
          </cell>
          <cell r="F1720" t="str">
            <v>AL1</v>
          </cell>
          <cell r="G1720" t="str">
            <v>AB1</v>
          </cell>
        </row>
        <row r="1721">
          <cell r="C1721" t="str">
            <v>R4125103431</v>
          </cell>
          <cell r="D1721">
            <v>1</v>
          </cell>
          <cell r="E1721" t="str">
            <v>Khẩn</v>
          </cell>
          <cell r="F1721" t="str">
            <v>MC1</v>
          </cell>
          <cell r="G1721" t="str">
            <v>VP</v>
          </cell>
        </row>
        <row r="1722">
          <cell r="C1722" t="str">
            <v>L6305070401</v>
          </cell>
          <cell r="D1722">
            <v>1</v>
          </cell>
          <cell r="E1722" t="str">
            <v>Bình thường</v>
          </cell>
          <cell r="F1722" t="str">
            <v>MC1</v>
          </cell>
          <cell r="G1722" t="str">
            <v>AB1</v>
          </cell>
        </row>
        <row r="1723">
          <cell r="C1723" t="str">
            <v>L6115050286</v>
          </cell>
          <cell r="D1723">
            <v>1</v>
          </cell>
          <cell r="E1723" t="str">
            <v>Bình thường</v>
          </cell>
          <cell r="F1723" t="str">
            <v>AF1</v>
          </cell>
          <cell r="G1723" t="str">
            <v>KT</v>
          </cell>
        </row>
        <row r="1724">
          <cell r="C1724" t="str">
            <v>L4135070102</v>
          </cell>
          <cell r="D1724">
            <v>1</v>
          </cell>
          <cell r="E1724" t="str">
            <v>Bình thường</v>
          </cell>
          <cell r="F1724" t="str">
            <v>BJ1</v>
          </cell>
          <cell r="G1724" t="str">
            <v>DA1, HT1, GS1, GP1, AF1, AB1</v>
          </cell>
        </row>
        <row r="1725">
          <cell r="C1725" t="str">
            <v>L4155030061</v>
          </cell>
          <cell r="D1725">
            <v>1</v>
          </cell>
          <cell r="E1725" t="str">
            <v>Bình thường</v>
          </cell>
          <cell r="F1725" t="str">
            <v>BJ1</v>
          </cell>
          <cell r="G1725" t="str">
            <v>AF1, GR1, GS1, LA2</v>
          </cell>
        </row>
        <row r="1726">
          <cell r="C1726" t="str">
            <v>L6125090092</v>
          </cell>
          <cell r="D1726">
            <v>1</v>
          </cell>
          <cell r="E1726" t="str">
            <v>Bình thường</v>
          </cell>
          <cell r="F1726" t="str">
            <v>AB1</v>
          </cell>
          <cell r="G1726" t="str">
            <v>VP</v>
          </cell>
        </row>
        <row r="1727">
          <cell r="C1727" t="str">
            <v>213508025B31</v>
          </cell>
          <cell r="D1727">
            <v>1</v>
          </cell>
          <cell r="E1727" t="str">
            <v>Bình thường</v>
          </cell>
          <cell r="F1727" t="str">
            <v>GR2</v>
          </cell>
          <cell r="G1727" t="str">
            <v>AF1</v>
          </cell>
        </row>
        <row r="1728">
          <cell r="C1728" t="str">
            <v>213509252A8</v>
          </cell>
          <cell r="D1728">
            <v>1</v>
          </cell>
          <cell r="E1728" t="str">
            <v>Bình thường</v>
          </cell>
          <cell r="F1728" t="str">
            <v>AA1</v>
          </cell>
          <cell r="G1728" t="str">
            <v>MA1, HT1, GS1, ED1, EW1, EN1, AF1</v>
          </cell>
        </row>
        <row r="1729">
          <cell r="C1729" t="str">
            <v>41251006071</v>
          </cell>
          <cell r="D1729">
            <v>1</v>
          </cell>
          <cell r="E1729" t="str">
            <v>Khẩn</v>
          </cell>
          <cell r="F1729" t="str">
            <v>EW1</v>
          </cell>
          <cell r="G1729" t="str">
            <v>KT</v>
          </cell>
        </row>
        <row r="1730">
          <cell r="C1730" t="str">
            <v>L6115080184</v>
          </cell>
          <cell r="D1730">
            <v>1</v>
          </cell>
          <cell r="E1730" t="str">
            <v>Bình thường</v>
          </cell>
          <cell r="F1730" t="str">
            <v>EW2</v>
          </cell>
          <cell r="G1730" t="str">
            <v>GS2</v>
          </cell>
        </row>
        <row r="1731">
          <cell r="C1731" t="str">
            <v>L6305070331</v>
          </cell>
          <cell r="D1731">
            <v>1</v>
          </cell>
          <cell r="E1731" t="str">
            <v>Bình thường</v>
          </cell>
          <cell r="F1731" t="str">
            <v>GS1</v>
          </cell>
          <cell r="G1731" t="str">
            <v>BJ2, AB1</v>
          </cell>
        </row>
        <row r="1732">
          <cell r="C1732" t="str">
            <v>L6305070406</v>
          </cell>
          <cell r="D1732">
            <v>1</v>
          </cell>
          <cell r="E1732" t="str">
            <v>Bình thường</v>
          </cell>
          <cell r="F1732" t="str">
            <v>MC1</v>
          </cell>
          <cell r="G1732" t="str">
            <v>AB1</v>
          </cell>
        </row>
        <row r="1733">
          <cell r="C1733" t="str">
            <v>L6305070166</v>
          </cell>
          <cell r="D1733">
            <v>1</v>
          </cell>
          <cell r="E1733" t="str">
            <v>Bình thường</v>
          </cell>
          <cell r="F1733" t="str">
            <v>MC1</v>
          </cell>
          <cell r="G1733" t="str">
            <v>VP</v>
          </cell>
        </row>
        <row r="1734">
          <cell r="C1734" t="str">
            <v>213507165A12</v>
          </cell>
          <cell r="D1734">
            <v>1</v>
          </cell>
          <cell r="E1734" t="str">
            <v>Bình thường</v>
          </cell>
          <cell r="F1734" t="str">
            <v>GP1</v>
          </cell>
          <cell r="G1734" t="str">
            <v>GS1, EW2, EN1, AF1</v>
          </cell>
        </row>
        <row r="1735">
          <cell r="C1735" t="str">
            <v>213508104A10</v>
          </cell>
          <cell r="D1735">
            <v>1</v>
          </cell>
          <cell r="E1735" t="str">
            <v>Bình thường</v>
          </cell>
          <cell r="F1735" t="str">
            <v>GS2</v>
          </cell>
          <cell r="G1735" t="str">
            <v>KT</v>
          </cell>
        </row>
        <row r="1736">
          <cell r="C1736" t="str">
            <v>213508105A11</v>
          </cell>
          <cell r="D1736">
            <v>1</v>
          </cell>
          <cell r="E1736" t="str">
            <v>Bình thường</v>
          </cell>
          <cell r="F1736" t="str">
            <v>GS2</v>
          </cell>
          <cell r="G1736" t="str">
            <v>KT</v>
          </cell>
        </row>
        <row r="1737">
          <cell r="C1737" t="str">
            <v>213509083A16</v>
          </cell>
          <cell r="D1737">
            <v>1</v>
          </cell>
          <cell r="E1737" t="str">
            <v>Bình thường</v>
          </cell>
          <cell r="F1737" t="str">
            <v>GS2</v>
          </cell>
          <cell r="G1737" t="str">
            <v>GP1</v>
          </cell>
        </row>
        <row r="1738">
          <cell r="C1738" t="str">
            <v>213509101A39</v>
          </cell>
          <cell r="D1738">
            <v>1</v>
          </cell>
          <cell r="E1738" t="str">
            <v>Bình thường</v>
          </cell>
          <cell r="F1738" t="str">
            <v>GC1</v>
          </cell>
          <cell r="G1738" t="str">
            <v>GS2, GP1</v>
          </cell>
        </row>
        <row r="1739">
          <cell r="C1739" t="str">
            <v>L4135100364</v>
          </cell>
          <cell r="D1739">
            <v>1</v>
          </cell>
          <cell r="E1739" t="str">
            <v>Khẩn</v>
          </cell>
          <cell r="F1739" t="str">
            <v>WG1</v>
          </cell>
          <cell r="G1739" t="str">
            <v>AB1</v>
          </cell>
        </row>
        <row r="1740">
          <cell r="C1740" t="str">
            <v>L4135100366</v>
          </cell>
          <cell r="D1740">
            <v>1</v>
          </cell>
          <cell r="E1740" t="str">
            <v>Khẩn</v>
          </cell>
          <cell r="F1740" t="str">
            <v>AA1</v>
          </cell>
          <cell r="G1740" t="str">
            <v>MA1, MC1, AF1</v>
          </cell>
        </row>
        <row r="1741">
          <cell r="C1741" t="str">
            <v>L6235070233</v>
          </cell>
          <cell r="D1741">
            <v>1</v>
          </cell>
          <cell r="E1741" t="str">
            <v>Bình thường</v>
          </cell>
          <cell r="F1741" t="str">
            <v>MC1</v>
          </cell>
          <cell r="G1741" t="str">
            <v>AF1</v>
          </cell>
        </row>
        <row r="1742">
          <cell r="C1742" t="str">
            <v>L62450701212</v>
          </cell>
          <cell r="D1742">
            <v>1</v>
          </cell>
          <cell r="E1742" t="str">
            <v>Bình thường</v>
          </cell>
          <cell r="F1742" t="str">
            <v>MA1</v>
          </cell>
          <cell r="G1742" t="str">
            <v>MC1</v>
          </cell>
        </row>
        <row r="1743">
          <cell r="C1743" t="str">
            <v>L6125060053</v>
          </cell>
          <cell r="D1743">
            <v>1</v>
          </cell>
          <cell r="E1743" t="str">
            <v>Bình thường</v>
          </cell>
          <cell r="F1743" t="str">
            <v>GS1</v>
          </cell>
          <cell r="G1743" t="str">
            <v>EN1, AF1</v>
          </cell>
        </row>
        <row r="1744">
          <cell r="C1744" t="str">
            <v>L6305070673</v>
          </cell>
          <cell r="D1744">
            <v>1</v>
          </cell>
          <cell r="E1744" t="str">
            <v>Bình thường</v>
          </cell>
          <cell r="F1744" t="str">
            <v>MA2</v>
          </cell>
          <cell r="G1744" t="str">
            <v>AB1</v>
          </cell>
        </row>
        <row r="1745">
          <cell r="C1745" t="str">
            <v>L6235080172</v>
          </cell>
          <cell r="D1745">
            <v>1</v>
          </cell>
          <cell r="E1745" t="str">
            <v>Bình thường</v>
          </cell>
          <cell r="F1745" t="str">
            <v>AB1</v>
          </cell>
          <cell r="G1745" t="str">
            <v>VP</v>
          </cell>
        </row>
        <row r="1746">
          <cell r="C1746" t="str">
            <v>L4135100365</v>
          </cell>
          <cell r="D1746">
            <v>1</v>
          </cell>
          <cell r="E1746" t="str">
            <v>Khẩn</v>
          </cell>
          <cell r="F1746" t="str">
            <v>MC1</v>
          </cell>
          <cell r="G1746" t="str">
            <v>AF1</v>
          </cell>
        </row>
        <row r="1747">
          <cell r="C1747" t="str">
            <v>61250700261</v>
          </cell>
          <cell r="D1747">
            <v>1</v>
          </cell>
          <cell r="E1747" t="str">
            <v>Bình thường</v>
          </cell>
          <cell r="F1747" t="str">
            <v>GS2</v>
          </cell>
          <cell r="G1747" t="str">
            <v>AF1</v>
          </cell>
        </row>
        <row r="1748">
          <cell r="C1748" t="str">
            <v>L6305060201</v>
          </cell>
          <cell r="D1748">
            <v>1</v>
          </cell>
          <cell r="E1748" t="str">
            <v>Bình thường</v>
          </cell>
          <cell r="F1748" t="str">
            <v>GJ1</v>
          </cell>
          <cell r="G1748" t="str">
            <v>GS2, AF1, AB1</v>
          </cell>
        </row>
        <row r="1749">
          <cell r="C1749" t="str">
            <v>L6125050284</v>
          </cell>
          <cell r="D1749">
            <v>1</v>
          </cell>
          <cell r="E1749" t="str">
            <v>Bình thường</v>
          </cell>
          <cell r="F1749" t="str">
            <v>EN1</v>
          </cell>
          <cell r="G1749" t="str">
            <v>AF1</v>
          </cell>
        </row>
        <row r="1750">
          <cell r="C1750" t="str">
            <v>62150900401</v>
          </cell>
          <cell r="D1750">
            <v>1</v>
          </cell>
          <cell r="E1750" t="str">
            <v>Khẩn</v>
          </cell>
          <cell r="F1750" t="str">
            <v>LA1</v>
          </cell>
          <cell r="G1750" t="str">
            <v>BJ1, HT1, GR1, GS1, GJ1, EN1, AF1, AB1</v>
          </cell>
        </row>
        <row r="1751">
          <cell r="C1751" t="str">
            <v>L6245080105</v>
          </cell>
          <cell r="D1751">
            <v>1</v>
          </cell>
          <cell r="E1751" t="str">
            <v>Bình thường</v>
          </cell>
          <cell r="F1751" t="str">
            <v>MC1</v>
          </cell>
          <cell r="G1751" t="str">
            <v>HT1, AF1, AB1</v>
          </cell>
        </row>
        <row r="1752">
          <cell r="C1752" t="str">
            <v>L6115070232</v>
          </cell>
          <cell r="D1752">
            <v>1</v>
          </cell>
          <cell r="E1752" t="str">
            <v>Bình thường</v>
          </cell>
          <cell r="F1752" t="str">
            <v>GS2</v>
          </cell>
          <cell r="G1752" t="str">
            <v>KT</v>
          </cell>
        </row>
        <row r="1753">
          <cell r="C1753" t="str">
            <v>L62450700219</v>
          </cell>
          <cell r="D1753">
            <v>1</v>
          </cell>
          <cell r="E1753" t="str">
            <v>Bình thường</v>
          </cell>
          <cell r="F1753" t="str">
            <v>MA1</v>
          </cell>
          <cell r="G1753" t="str">
            <v>BJ1</v>
          </cell>
        </row>
        <row r="1754">
          <cell r="C1754" t="str">
            <v>R41351002614</v>
          </cell>
          <cell r="D1754">
            <v>1</v>
          </cell>
          <cell r="E1754" t="str">
            <v>Khẩn</v>
          </cell>
          <cell r="F1754" t="str">
            <v>MC1</v>
          </cell>
          <cell r="G1754" t="str">
            <v>VP</v>
          </cell>
        </row>
        <row r="1755">
          <cell r="C1755" t="str">
            <v>L6235070372</v>
          </cell>
          <cell r="D1755">
            <v>1</v>
          </cell>
          <cell r="E1755" t="str">
            <v>Bình thường</v>
          </cell>
          <cell r="F1755" t="str">
            <v>EN1</v>
          </cell>
          <cell r="G1755" t="str">
            <v>AF1, AB1</v>
          </cell>
        </row>
        <row r="1756">
          <cell r="C1756" t="str">
            <v>L6125060054</v>
          </cell>
          <cell r="D1756">
            <v>1</v>
          </cell>
          <cell r="E1756" t="str">
            <v>Bình thường</v>
          </cell>
          <cell r="F1756" t="str">
            <v>GJ1</v>
          </cell>
          <cell r="G1756" t="str">
            <v>EN1, GS1, EN2, AF2, AL1</v>
          </cell>
        </row>
        <row r="1757">
          <cell r="C1757" t="str">
            <v>L6305100558</v>
          </cell>
          <cell r="D1757">
            <v>1</v>
          </cell>
          <cell r="E1757" t="str">
            <v>Khẩn</v>
          </cell>
          <cell r="F1757" t="str">
            <v>LA1</v>
          </cell>
          <cell r="G1757" t="str">
            <v>BJ1, HT1, AB1</v>
          </cell>
        </row>
        <row r="1758">
          <cell r="C1758" t="str">
            <v>L4135100361</v>
          </cell>
          <cell r="D1758">
            <v>1</v>
          </cell>
          <cell r="E1758" t="str">
            <v>Khẩn</v>
          </cell>
          <cell r="F1758" t="str">
            <v>BJ1</v>
          </cell>
          <cell r="G1758" t="str">
            <v>DA1, AB1</v>
          </cell>
        </row>
        <row r="1759">
          <cell r="C1759" t="str">
            <v>L63051005510</v>
          </cell>
          <cell r="D1759">
            <v>1</v>
          </cell>
          <cell r="E1759" t="str">
            <v>Khẩn</v>
          </cell>
          <cell r="F1759" t="str">
            <v>AA1</v>
          </cell>
          <cell r="G1759" t="str">
            <v>BJ1, DA1, AB1</v>
          </cell>
        </row>
        <row r="1760">
          <cell r="C1760" t="str">
            <v>L62350801714</v>
          </cell>
          <cell r="D1760">
            <v>1</v>
          </cell>
          <cell r="E1760" t="str">
            <v>Bình thường</v>
          </cell>
          <cell r="F1760" t="str">
            <v>BJ1</v>
          </cell>
          <cell r="G1760" t="str">
            <v>DA1, AB1</v>
          </cell>
        </row>
        <row r="1761">
          <cell r="C1761" t="str">
            <v>213507119A8</v>
          </cell>
          <cell r="D1761">
            <v>1</v>
          </cell>
          <cell r="E1761" t="str">
            <v>Bình thường</v>
          </cell>
          <cell r="F1761" t="str">
            <v>GC1</v>
          </cell>
          <cell r="G1761" t="str">
            <v>GP1, GS2, AF1, AL1</v>
          </cell>
        </row>
        <row r="1762">
          <cell r="C1762" t="str">
            <v>213507090B4</v>
          </cell>
          <cell r="D1762">
            <v>1</v>
          </cell>
          <cell r="E1762" t="str">
            <v>Bình thường</v>
          </cell>
          <cell r="F1762" t="str">
            <v>AF1</v>
          </cell>
          <cell r="G1762" t="str">
            <v>KT</v>
          </cell>
        </row>
        <row r="1763">
          <cell r="C1763" t="str">
            <v>213508026A18</v>
          </cell>
          <cell r="D1763">
            <v>1</v>
          </cell>
          <cell r="E1763" t="str">
            <v>Bình thường</v>
          </cell>
          <cell r="F1763" t="str">
            <v>EW1</v>
          </cell>
          <cell r="G1763" t="str">
            <v>EN1, GS2, AF1</v>
          </cell>
        </row>
        <row r="1764">
          <cell r="C1764" t="str">
            <v>213505511A4</v>
          </cell>
          <cell r="D1764">
            <v>1</v>
          </cell>
          <cell r="E1764" t="str">
            <v>Bình thường</v>
          </cell>
          <cell r="F1764" t="str">
            <v>AF1</v>
          </cell>
          <cell r="G1764" t="str">
            <v>KT</v>
          </cell>
        </row>
        <row r="1765">
          <cell r="C1765" t="str">
            <v>213506083A62</v>
          </cell>
          <cell r="D1765">
            <v>1</v>
          </cell>
          <cell r="E1765" t="str">
            <v>Bình thường</v>
          </cell>
          <cell r="F1765" t="str">
            <v>GR1</v>
          </cell>
          <cell r="G1765" t="str">
            <v>GS2, AF1</v>
          </cell>
        </row>
        <row r="1766">
          <cell r="C1766" t="str">
            <v>L4135100271</v>
          </cell>
          <cell r="D1766">
            <v>1</v>
          </cell>
          <cell r="E1766" t="str">
            <v>Khẩn</v>
          </cell>
          <cell r="F1766" t="str">
            <v>AA1</v>
          </cell>
          <cell r="G1766" t="str">
            <v>MA1, MC1, AB1</v>
          </cell>
        </row>
        <row r="1767">
          <cell r="C1767" t="str">
            <v>L4125100041</v>
          </cell>
          <cell r="D1767">
            <v>1</v>
          </cell>
          <cell r="E1767" t="str">
            <v>Khẩn</v>
          </cell>
          <cell r="F1767" t="str">
            <v>GP1</v>
          </cell>
          <cell r="G1767" t="str">
            <v>KT</v>
          </cell>
        </row>
        <row r="1768">
          <cell r="C1768" t="str">
            <v>L4135100483</v>
          </cell>
          <cell r="D1768">
            <v>1</v>
          </cell>
          <cell r="E1768" t="str">
            <v>Khẩn</v>
          </cell>
          <cell r="F1768" t="str">
            <v>AA1</v>
          </cell>
          <cell r="G1768" t="str">
            <v>MA1, BJ1</v>
          </cell>
        </row>
        <row r="1769">
          <cell r="C1769" t="str">
            <v>L2135057075</v>
          </cell>
          <cell r="D1769">
            <v>1</v>
          </cell>
          <cell r="E1769" t="str">
            <v>Bình thường</v>
          </cell>
          <cell r="F1769" t="str">
            <v>MA1</v>
          </cell>
          <cell r="G1769" t="str">
            <v>MC1, AF1</v>
          </cell>
        </row>
        <row r="1770">
          <cell r="C1770" t="str">
            <v>L63050708614</v>
          </cell>
          <cell r="D1770">
            <v>1</v>
          </cell>
          <cell r="E1770" t="str">
            <v>Bình thường</v>
          </cell>
          <cell r="F1770" t="str">
            <v>DA1</v>
          </cell>
          <cell r="G1770" t="str">
            <v>MC1, HT1, AB1</v>
          </cell>
        </row>
        <row r="1771">
          <cell r="C1771" t="str">
            <v>L6125060022</v>
          </cell>
          <cell r="D1771">
            <v>1</v>
          </cell>
          <cell r="E1771" t="str">
            <v>Bình thường</v>
          </cell>
          <cell r="F1771" t="str">
            <v>GJ1</v>
          </cell>
          <cell r="G1771" t="str">
            <v>AF1, AB1</v>
          </cell>
        </row>
        <row r="1772">
          <cell r="C1772" t="str">
            <v>L6125050293</v>
          </cell>
          <cell r="D1772">
            <v>1</v>
          </cell>
          <cell r="E1772" t="str">
            <v>Bình thường</v>
          </cell>
          <cell r="F1772" t="str">
            <v>EN1</v>
          </cell>
          <cell r="G1772" t="str">
            <v>AF1</v>
          </cell>
        </row>
        <row r="1773">
          <cell r="C1773" t="str">
            <v>213510905A1</v>
          </cell>
          <cell r="D1773">
            <v>1</v>
          </cell>
          <cell r="E1773" t="str">
            <v>Khẩn</v>
          </cell>
          <cell r="F1773" t="str">
            <v>LA1</v>
          </cell>
          <cell r="G1773" t="str">
            <v>BJ1, HT1, GR1, GS1, GJ1, GP1, AF1</v>
          </cell>
        </row>
        <row r="1774">
          <cell r="C1774" t="str">
            <v>L6125050242</v>
          </cell>
          <cell r="D1774">
            <v>1</v>
          </cell>
          <cell r="E1774" t="str">
            <v>Bình thường</v>
          </cell>
          <cell r="F1774" t="str">
            <v>EN1</v>
          </cell>
          <cell r="G1774" t="str">
            <v>AF1</v>
          </cell>
        </row>
        <row r="1775">
          <cell r="C1775" t="str">
            <v>L6305060371</v>
          </cell>
          <cell r="D1775">
            <v>1</v>
          </cell>
          <cell r="E1775" t="str">
            <v>Bình thường</v>
          </cell>
          <cell r="F1775" t="str">
            <v>EW1</v>
          </cell>
          <cell r="G1775" t="str">
            <v>AF1</v>
          </cell>
        </row>
        <row r="1776">
          <cell r="C1776" t="str">
            <v>213507009A15</v>
          </cell>
          <cell r="D1776">
            <v>1</v>
          </cell>
          <cell r="E1776" t="str">
            <v>Bình thường</v>
          </cell>
          <cell r="F1776" t="str">
            <v>GC1</v>
          </cell>
          <cell r="G1776" t="str">
            <v>GP1</v>
          </cell>
        </row>
        <row r="1777">
          <cell r="C1777" t="str">
            <v>R4125103351</v>
          </cell>
          <cell r="D1777">
            <v>1</v>
          </cell>
          <cell r="E1777" t="str">
            <v>Khẩn</v>
          </cell>
          <cell r="F1777" t="str">
            <v>GS1</v>
          </cell>
          <cell r="G1777" t="str">
            <v>EN1, GS2</v>
          </cell>
        </row>
        <row r="1778">
          <cell r="C1778" t="str">
            <v>L6115080382</v>
          </cell>
          <cell r="D1778">
            <v>1</v>
          </cell>
          <cell r="E1778" t="str">
            <v>Bình thường</v>
          </cell>
          <cell r="F1778" t="str">
            <v>GS1</v>
          </cell>
          <cell r="G1778" t="str">
            <v>GC1</v>
          </cell>
        </row>
        <row r="1779">
          <cell r="C1779" t="str">
            <v>L6125030041</v>
          </cell>
          <cell r="D1779">
            <v>1</v>
          </cell>
          <cell r="E1779" t="str">
            <v>Bình thường</v>
          </cell>
          <cell r="F1779" t="str">
            <v>GP1</v>
          </cell>
          <cell r="G1779" t="str">
            <v>GS2, AF1</v>
          </cell>
        </row>
        <row r="1780">
          <cell r="C1780" t="str">
            <v>L6235100196</v>
          </cell>
          <cell r="D1780">
            <v>1</v>
          </cell>
          <cell r="E1780" t="str">
            <v>Khẩn</v>
          </cell>
          <cell r="F1780" t="str">
            <v>LA1</v>
          </cell>
          <cell r="G1780" t="str">
            <v>GS1, MC1, AB1</v>
          </cell>
        </row>
        <row r="1781">
          <cell r="C1781" t="str">
            <v>213505003B22</v>
          </cell>
          <cell r="D1781">
            <v>1</v>
          </cell>
          <cell r="E1781" t="str">
            <v>Bình thường</v>
          </cell>
          <cell r="F1781" t="str">
            <v>EN1</v>
          </cell>
          <cell r="G1781" t="str">
            <v>GS1, AF1</v>
          </cell>
        </row>
        <row r="1782">
          <cell r="C1782" t="str">
            <v>213508177A17</v>
          </cell>
          <cell r="D1782">
            <v>1</v>
          </cell>
          <cell r="E1782" t="str">
            <v>Bình thường</v>
          </cell>
          <cell r="F1782" t="str">
            <v>GR1</v>
          </cell>
          <cell r="G1782" t="str">
            <v>GS1, ED1, EW1, MC2, AF1</v>
          </cell>
        </row>
        <row r="1783">
          <cell r="C1783" t="str">
            <v>213506092A13</v>
          </cell>
          <cell r="D1783">
            <v>1</v>
          </cell>
          <cell r="E1783" t="str">
            <v>Bình thường</v>
          </cell>
          <cell r="F1783" t="str">
            <v>GS1</v>
          </cell>
          <cell r="G1783" t="str">
            <v>GP1, EW2</v>
          </cell>
        </row>
        <row r="1784">
          <cell r="C1784" t="str">
            <v>213508062A20</v>
          </cell>
          <cell r="D1784">
            <v>1</v>
          </cell>
          <cell r="E1784" t="str">
            <v>Bình thường</v>
          </cell>
          <cell r="F1784" t="str">
            <v>AF1</v>
          </cell>
          <cell r="G1784" t="str">
            <v>KT</v>
          </cell>
        </row>
        <row r="1785">
          <cell r="C1785" t="str">
            <v>213507085A24</v>
          </cell>
          <cell r="D1785">
            <v>1</v>
          </cell>
          <cell r="E1785" t="str">
            <v>Bình thường</v>
          </cell>
          <cell r="F1785" t="str">
            <v>GS1</v>
          </cell>
          <cell r="G1785" t="str">
            <v>GC1, GS2, GP1</v>
          </cell>
        </row>
        <row r="1786">
          <cell r="C1786" t="str">
            <v>213509205A7</v>
          </cell>
          <cell r="D1786">
            <v>1</v>
          </cell>
          <cell r="E1786" t="str">
            <v>Bình thường</v>
          </cell>
          <cell r="F1786" t="str">
            <v>LA1</v>
          </cell>
          <cell r="G1786" t="str">
            <v>BJ1, AF1</v>
          </cell>
        </row>
        <row r="1787">
          <cell r="C1787" t="str">
            <v>213509004A3</v>
          </cell>
          <cell r="D1787">
            <v>1</v>
          </cell>
          <cell r="E1787" t="str">
            <v>Bình thường</v>
          </cell>
          <cell r="F1787" t="str">
            <v>GS2</v>
          </cell>
          <cell r="G1787" t="str">
            <v>EW1, EN1, AF1</v>
          </cell>
        </row>
        <row r="1788">
          <cell r="C1788" t="str">
            <v>L4135100341</v>
          </cell>
          <cell r="D1788">
            <v>1</v>
          </cell>
          <cell r="E1788" t="str">
            <v>Khẩn</v>
          </cell>
          <cell r="F1788" t="str">
            <v>MC1</v>
          </cell>
          <cell r="G1788" t="str">
            <v>AB1</v>
          </cell>
        </row>
        <row r="1789">
          <cell r="C1789" t="str">
            <v>L4135100347</v>
          </cell>
          <cell r="D1789">
            <v>1</v>
          </cell>
          <cell r="E1789" t="str">
            <v>Khẩn</v>
          </cell>
          <cell r="F1789" t="str">
            <v>MA1</v>
          </cell>
          <cell r="G1789" t="str">
            <v>VP</v>
          </cell>
        </row>
        <row r="1790">
          <cell r="C1790" t="str">
            <v>L2135057079</v>
          </cell>
          <cell r="D1790">
            <v>1</v>
          </cell>
          <cell r="E1790" t="str">
            <v>Bình thường</v>
          </cell>
          <cell r="F1790" t="str">
            <v>BJ1</v>
          </cell>
          <cell r="G1790" t="str">
            <v>DA1, AB1</v>
          </cell>
        </row>
        <row r="1791">
          <cell r="C1791" t="str">
            <v>213507007A10</v>
          </cell>
          <cell r="D1791">
            <v>1</v>
          </cell>
          <cell r="E1791" t="str">
            <v>Bình thường</v>
          </cell>
          <cell r="F1791" t="str">
            <v>GR1</v>
          </cell>
          <cell r="G1791" t="str">
            <v>GS1, GP1, AF1, AL1</v>
          </cell>
        </row>
        <row r="1792">
          <cell r="C1792" t="str">
            <v>L4135100481</v>
          </cell>
          <cell r="D1792">
            <v>1</v>
          </cell>
          <cell r="E1792" t="str">
            <v>Khẩn</v>
          </cell>
          <cell r="F1792" t="str">
            <v>AA1</v>
          </cell>
          <cell r="G1792" t="str">
            <v>MA1, BJ1, DA1, AB1</v>
          </cell>
        </row>
        <row r="1793">
          <cell r="C1793" t="str">
            <v>213506076A47</v>
          </cell>
          <cell r="D1793">
            <v>1</v>
          </cell>
          <cell r="E1793" t="str">
            <v>Bình thường</v>
          </cell>
          <cell r="F1793" t="str">
            <v>GS2</v>
          </cell>
          <cell r="G1793" t="str">
            <v>GP1</v>
          </cell>
        </row>
        <row r="1794">
          <cell r="C1794" t="str">
            <v>61250400061</v>
          </cell>
          <cell r="D1794">
            <v>1</v>
          </cell>
          <cell r="E1794" t="str">
            <v>Bình thường</v>
          </cell>
          <cell r="F1794" t="str">
            <v>EN1</v>
          </cell>
          <cell r="G1794" t="str">
            <v>GS2, AF1</v>
          </cell>
        </row>
        <row r="1795">
          <cell r="C1795" t="str">
            <v>L4125100075</v>
          </cell>
          <cell r="D1795">
            <v>1</v>
          </cell>
          <cell r="E1795" t="str">
            <v>Bình thường</v>
          </cell>
          <cell r="F1795" t="str">
            <v>AA1</v>
          </cell>
          <cell r="G1795" t="str">
            <v>MA1</v>
          </cell>
        </row>
        <row r="1796">
          <cell r="C1796" t="str">
            <v>L6115070233</v>
          </cell>
          <cell r="D1796">
            <v>1</v>
          </cell>
          <cell r="E1796" t="str">
            <v>Bình thường</v>
          </cell>
          <cell r="F1796" t="str">
            <v>EW1</v>
          </cell>
          <cell r="G1796" t="str">
            <v>GS1</v>
          </cell>
        </row>
        <row r="1797">
          <cell r="C1797" t="str">
            <v>R4135100271</v>
          </cell>
          <cell r="D1797">
            <v>1</v>
          </cell>
          <cell r="E1797" t="str">
            <v>Khẩn</v>
          </cell>
          <cell r="F1797" t="str">
            <v>BJ1</v>
          </cell>
          <cell r="G1797" t="str">
            <v>VP</v>
          </cell>
        </row>
        <row r="1798">
          <cell r="C1798" t="str">
            <v>213506090A11</v>
          </cell>
          <cell r="D1798">
            <v>1</v>
          </cell>
          <cell r="E1798" t="str">
            <v>Bình thường</v>
          </cell>
          <cell r="F1798" t="str">
            <v>GS1</v>
          </cell>
          <cell r="G1798" t="str">
            <v>GP1, EW2</v>
          </cell>
        </row>
        <row r="1799">
          <cell r="C1799" t="str">
            <v>L6115070272</v>
          </cell>
          <cell r="D1799">
            <v>1</v>
          </cell>
          <cell r="E1799" t="str">
            <v>Bình thường</v>
          </cell>
          <cell r="F1799" t="str">
            <v>GS1</v>
          </cell>
          <cell r="G1799" t="str">
            <v>GR1, GJ1, GS2</v>
          </cell>
        </row>
        <row r="1800">
          <cell r="C1800" t="str">
            <v>41550800011</v>
          </cell>
          <cell r="D1800">
            <v>1</v>
          </cell>
          <cell r="E1800" t="str">
            <v>Khẩn</v>
          </cell>
          <cell r="F1800" t="str">
            <v>GR1</v>
          </cell>
          <cell r="G1800" t="str">
            <v>GJ1, GS1, EN1, GP1, AF1</v>
          </cell>
        </row>
        <row r="1801">
          <cell r="C1801" t="str">
            <v>L6305090471</v>
          </cell>
          <cell r="D1801">
            <v>1</v>
          </cell>
          <cell r="E1801" t="str">
            <v>Khẩn</v>
          </cell>
          <cell r="F1801" t="str">
            <v>AB1</v>
          </cell>
          <cell r="G1801" t="str">
            <v>VP</v>
          </cell>
        </row>
        <row r="1802">
          <cell r="C1802" t="str">
            <v>L4135100311</v>
          </cell>
          <cell r="D1802">
            <v>1</v>
          </cell>
          <cell r="E1802" t="str">
            <v>Khẩn</v>
          </cell>
          <cell r="F1802" t="str">
            <v>MA1</v>
          </cell>
          <cell r="G1802" t="str">
            <v>GS1, BJ1, AF1, AL1, AB1</v>
          </cell>
        </row>
        <row r="1803">
          <cell r="C1803" t="str">
            <v>213508063B25</v>
          </cell>
          <cell r="D1803">
            <v>1</v>
          </cell>
          <cell r="E1803" t="str">
            <v>Bình thường</v>
          </cell>
          <cell r="F1803" t="str">
            <v>MC1</v>
          </cell>
          <cell r="G1803" t="str">
            <v>EW1, AF1</v>
          </cell>
        </row>
        <row r="1804">
          <cell r="C1804" t="str">
            <v>L6235080173</v>
          </cell>
          <cell r="D1804">
            <v>1</v>
          </cell>
          <cell r="E1804" t="str">
            <v>Bình thường</v>
          </cell>
          <cell r="F1804" t="str">
            <v>BJ1</v>
          </cell>
          <cell r="G1804" t="str">
            <v>DA1, WG1, GS1, BJ2, AB1</v>
          </cell>
        </row>
        <row r="1805">
          <cell r="C1805" t="str">
            <v>L6125090214</v>
          </cell>
          <cell r="D1805">
            <v>1</v>
          </cell>
          <cell r="E1805" t="str">
            <v>Bình thường</v>
          </cell>
          <cell r="F1805" t="str">
            <v>MA1</v>
          </cell>
          <cell r="G1805" t="str">
            <v>BJ1</v>
          </cell>
        </row>
        <row r="1806">
          <cell r="C1806" t="str">
            <v>L6225100108</v>
          </cell>
          <cell r="D1806">
            <v>1</v>
          </cell>
          <cell r="E1806" t="str">
            <v>Khẩn</v>
          </cell>
          <cell r="F1806" t="str">
            <v>MA1</v>
          </cell>
          <cell r="G1806" t="str">
            <v>BJ1, DA1, AB1</v>
          </cell>
        </row>
        <row r="1807">
          <cell r="C1807" t="str">
            <v>L6235090127</v>
          </cell>
          <cell r="D1807">
            <v>1</v>
          </cell>
          <cell r="E1807" t="str">
            <v>Bình thường</v>
          </cell>
          <cell r="F1807" t="str">
            <v>AA1</v>
          </cell>
          <cell r="G1807" t="str">
            <v>MA1, BJ1, DA1</v>
          </cell>
        </row>
        <row r="1808">
          <cell r="C1808" t="str">
            <v>L6235090129</v>
          </cell>
          <cell r="D1808">
            <v>1</v>
          </cell>
          <cell r="E1808" t="str">
            <v>Bình thường</v>
          </cell>
          <cell r="F1808" t="str">
            <v>MA1</v>
          </cell>
          <cell r="G1808" t="str">
            <v>BJ1, DA1</v>
          </cell>
        </row>
        <row r="1809">
          <cell r="C1809" t="str">
            <v>L6125050283</v>
          </cell>
          <cell r="D1809">
            <v>1</v>
          </cell>
          <cell r="E1809" t="str">
            <v>Bình thường</v>
          </cell>
          <cell r="F1809" t="str">
            <v>GS2</v>
          </cell>
          <cell r="G1809" t="str">
            <v>GR2, GP1, AF1</v>
          </cell>
        </row>
        <row r="1810">
          <cell r="C1810" t="str">
            <v>L4135090662</v>
          </cell>
          <cell r="D1810">
            <v>1</v>
          </cell>
          <cell r="E1810" t="str">
            <v>Khẩn</v>
          </cell>
          <cell r="F1810" t="str">
            <v>BJ2</v>
          </cell>
          <cell r="G1810" t="str">
            <v>AB1</v>
          </cell>
        </row>
        <row r="1811">
          <cell r="C1811" t="str">
            <v>L6125030028</v>
          </cell>
          <cell r="D1811">
            <v>1</v>
          </cell>
          <cell r="E1811" t="str">
            <v>Bình thường</v>
          </cell>
          <cell r="F1811" t="str">
            <v>GR2</v>
          </cell>
          <cell r="G1811" t="str">
            <v>GP1, GS2, AF1</v>
          </cell>
        </row>
        <row r="1812">
          <cell r="C1812" t="str">
            <v>L6125050281</v>
          </cell>
          <cell r="D1812">
            <v>1</v>
          </cell>
          <cell r="E1812" t="str">
            <v>Bình thường</v>
          </cell>
          <cell r="F1812" t="str">
            <v>GR2</v>
          </cell>
          <cell r="G1812" t="str">
            <v>GS2, EN1, AF1</v>
          </cell>
        </row>
        <row r="1813">
          <cell r="C1813" t="str">
            <v>L6235070082</v>
          </cell>
          <cell r="D1813">
            <v>1</v>
          </cell>
          <cell r="E1813" t="str">
            <v>Bình thường</v>
          </cell>
          <cell r="F1813" t="str">
            <v>GJ1</v>
          </cell>
          <cell r="G1813" t="str">
            <v>AF1, AB1</v>
          </cell>
        </row>
        <row r="1814">
          <cell r="C1814" t="str">
            <v>L6305090344</v>
          </cell>
          <cell r="D1814">
            <v>1</v>
          </cell>
          <cell r="E1814" t="str">
            <v>Bình thường</v>
          </cell>
          <cell r="F1814" t="str">
            <v>BJ1</v>
          </cell>
          <cell r="G1814" t="str">
            <v>DA1, AB1</v>
          </cell>
        </row>
        <row r="1815">
          <cell r="C1815" t="str">
            <v>L6305100551</v>
          </cell>
          <cell r="D1815">
            <v>1</v>
          </cell>
          <cell r="E1815" t="str">
            <v>Khẩn</v>
          </cell>
          <cell r="F1815" t="str">
            <v>AA1</v>
          </cell>
          <cell r="G1815" t="str">
            <v>MA1, BJ1, AB1</v>
          </cell>
        </row>
        <row r="1816">
          <cell r="C1816" t="str">
            <v>L6225090112</v>
          </cell>
          <cell r="D1816">
            <v>1</v>
          </cell>
          <cell r="E1816" t="str">
            <v>Khẩn</v>
          </cell>
          <cell r="F1816" t="str">
            <v>MA1</v>
          </cell>
          <cell r="G1816" t="str">
            <v>GS1, MC1, HT1, AF1</v>
          </cell>
        </row>
        <row r="1817">
          <cell r="C1817" t="str">
            <v>L6115020466</v>
          </cell>
          <cell r="D1817">
            <v>1</v>
          </cell>
          <cell r="E1817" t="str">
            <v>Bình thường</v>
          </cell>
          <cell r="F1817" t="str">
            <v>GP1</v>
          </cell>
          <cell r="G1817" t="str">
            <v>AF1, GS2</v>
          </cell>
        </row>
        <row r="1818">
          <cell r="C1818" t="str">
            <v>213506044A40</v>
          </cell>
          <cell r="D1818">
            <v>1</v>
          </cell>
          <cell r="E1818" t="str">
            <v>Bình thường</v>
          </cell>
          <cell r="F1818" t="str">
            <v>GS2</v>
          </cell>
          <cell r="G1818" t="str">
            <v>GC2, AF2</v>
          </cell>
        </row>
        <row r="1819">
          <cell r="C1819" t="str">
            <v>213506074B33</v>
          </cell>
          <cell r="D1819">
            <v>1</v>
          </cell>
          <cell r="E1819" t="str">
            <v>Bình thường</v>
          </cell>
          <cell r="F1819" t="str">
            <v>EN1</v>
          </cell>
          <cell r="G1819" t="str">
            <v>AF1</v>
          </cell>
        </row>
        <row r="1820">
          <cell r="C1820" t="str">
            <v>213507145A2</v>
          </cell>
          <cell r="D1820">
            <v>1</v>
          </cell>
          <cell r="E1820" t="str">
            <v>Bình thường</v>
          </cell>
          <cell r="F1820" t="str">
            <v>MA1</v>
          </cell>
          <cell r="G1820" t="str">
            <v>BJ1, DA1, HT1, GS1, AF1, AB1</v>
          </cell>
        </row>
        <row r="1821">
          <cell r="C1821" t="str">
            <v>213508165A25</v>
          </cell>
          <cell r="D1821">
            <v>1</v>
          </cell>
          <cell r="E1821" t="str">
            <v>Bình thường</v>
          </cell>
          <cell r="F1821" t="str">
            <v>GS1</v>
          </cell>
          <cell r="G1821" t="str">
            <v>GP1</v>
          </cell>
        </row>
        <row r="1822">
          <cell r="C1822" t="str">
            <v>213508126A14</v>
          </cell>
          <cell r="D1822">
            <v>1</v>
          </cell>
          <cell r="E1822" t="str">
            <v>Bình thường</v>
          </cell>
          <cell r="F1822" t="str">
            <v>ED1</v>
          </cell>
          <cell r="G1822" t="str">
            <v>VP</v>
          </cell>
        </row>
        <row r="1823">
          <cell r="C1823" t="str">
            <v>213506254A24</v>
          </cell>
          <cell r="D1823">
            <v>1</v>
          </cell>
          <cell r="E1823" t="str">
            <v>Bình thường</v>
          </cell>
          <cell r="F1823" t="str">
            <v>GJ1</v>
          </cell>
          <cell r="G1823" t="str">
            <v>GP1, AF1, GS2</v>
          </cell>
        </row>
        <row r="1824">
          <cell r="C1824" t="str">
            <v>213507500A12</v>
          </cell>
          <cell r="D1824">
            <v>1</v>
          </cell>
          <cell r="E1824" t="str">
            <v>Bình thường</v>
          </cell>
          <cell r="F1824" t="str">
            <v>EN1</v>
          </cell>
          <cell r="G1824" t="str">
            <v>AF1</v>
          </cell>
        </row>
        <row r="1825">
          <cell r="C1825" t="str">
            <v>62250800291</v>
          </cell>
          <cell r="D1825">
            <v>1</v>
          </cell>
          <cell r="E1825" t="str">
            <v>Bình thường</v>
          </cell>
          <cell r="F1825" t="str">
            <v>AA1</v>
          </cell>
          <cell r="G1825" t="str">
            <v>MA1, MC1</v>
          </cell>
        </row>
        <row r="1826">
          <cell r="C1826" t="str">
            <v>213508114A23</v>
          </cell>
          <cell r="D1826">
            <v>1</v>
          </cell>
          <cell r="E1826" t="str">
            <v>Bình thường</v>
          </cell>
          <cell r="F1826" t="str">
            <v>GS2</v>
          </cell>
          <cell r="G1826" t="str">
            <v>EW2, EN1, AF1</v>
          </cell>
        </row>
        <row r="1827">
          <cell r="C1827" t="str">
            <v>41351000371</v>
          </cell>
          <cell r="D1827">
            <v>1</v>
          </cell>
          <cell r="E1827" t="str">
            <v>Khẩn</v>
          </cell>
          <cell r="F1827" t="str">
            <v>GR1</v>
          </cell>
          <cell r="G1827" t="str">
            <v>EN1, AF1, AB1</v>
          </cell>
        </row>
        <row r="1828">
          <cell r="C1828" t="str">
            <v>L6125040066</v>
          </cell>
          <cell r="D1828">
            <v>1</v>
          </cell>
          <cell r="E1828" t="str">
            <v>Bình thường</v>
          </cell>
          <cell r="F1828" t="str">
            <v>EN1</v>
          </cell>
          <cell r="G1828" t="str">
            <v>AF1</v>
          </cell>
        </row>
        <row r="1829">
          <cell r="C1829" t="str">
            <v>L6235100072</v>
          </cell>
          <cell r="D1829">
            <v>1</v>
          </cell>
          <cell r="E1829" t="str">
            <v>Bình thường</v>
          </cell>
          <cell r="F1829" t="str">
            <v>AC1</v>
          </cell>
          <cell r="G1829" t="str">
            <v>BJ1, DA1</v>
          </cell>
        </row>
        <row r="1830">
          <cell r="C1830" t="str">
            <v>L6235100194</v>
          </cell>
          <cell r="D1830">
            <v>1</v>
          </cell>
          <cell r="E1830" t="str">
            <v>Khẩn</v>
          </cell>
          <cell r="F1830" t="str">
            <v>LA1</v>
          </cell>
          <cell r="G1830" t="str">
            <v>HT1, GR1, GJ1, GS1, AF1, AL1</v>
          </cell>
        </row>
        <row r="1831">
          <cell r="C1831" t="str">
            <v>L6305100555</v>
          </cell>
          <cell r="D1831">
            <v>1</v>
          </cell>
          <cell r="E1831" t="str">
            <v>Khẩn</v>
          </cell>
          <cell r="F1831" t="str">
            <v>AA1</v>
          </cell>
          <cell r="G1831" t="str">
            <v>MA1, BJ1, AB1</v>
          </cell>
        </row>
        <row r="1832">
          <cell r="C1832" t="str">
            <v>L3115080044</v>
          </cell>
          <cell r="D1832">
            <v>1</v>
          </cell>
          <cell r="E1832" t="str">
            <v>Bình thường</v>
          </cell>
          <cell r="F1832" t="str">
            <v>LA1</v>
          </cell>
          <cell r="G1832" t="str">
            <v>BJ1, EW1, EN1, AF1, AB1</v>
          </cell>
        </row>
        <row r="1833">
          <cell r="C1833" t="str">
            <v>213509114A11</v>
          </cell>
          <cell r="D1833">
            <v>1</v>
          </cell>
          <cell r="E1833" t="str">
            <v>Bình thường</v>
          </cell>
          <cell r="F1833" t="str">
            <v>GR1</v>
          </cell>
          <cell r="G1833" t="str">
            <v>GS1, GC1, GS2, GP1</v>
          </cell>
        </row>
        <row r="1834">
          <cell r="C1834" t="str">
            <v>213509057B34</v>
          </cell>
          <cell r="D1834">
            <v>1</v>
          </cell>
          <cell r="E1834" t="str">
            <v>Bình thường</v>
          </cell>
          <cell r="F1834" t="str">
            <v>BJ1</v>
          </cell>
          <cell r="G1834" t="str">
            <v>DA1, MC1, EW1, AF1</v>
          </cell>
        </row>
        <row r="1835">
          <cell r="C1835" t="str">
            <v>L6235100195</v>
          </cell>
          <cell r="D1835">
            <v>1</v>
          </cell>
          <cell r="E1835" t="str">
            <v>Khẩn</v>
          </cell>
          <cell r="F1835" t="str">
            <v>LA1</v>
          </cell>
          <cell r="G1835" t="str">
            <v>HT1, GR1, GJ1, GS1, AF1, AL1</v>
          </cell>
        </row>
        <row r="1836">
          <cell r="C1836" t="str">
            <v>L4125100071</v>
          </cell>
          <cell r="D1836">
            <v>1</v>
          </cell>
          <cell r="E1836" t="str">
            <v>Bình thường</v>
          </cell>
          <cell r="F1836" t="str">
            <v>LN1</v>
          </cell>
          <cell r="G1836" t="str">
            <v>VP</v>
          </cell>
        </row>
        <row r="1837">
          <cell r="C1837" t="str">
            <v>L6305100554</v>
          </cell>
          <cell r="D1837">
            <v>1</v>
          </cell>
          <cell r="E1837" t="str">
            <v>Khẩn</v>
          </cell>
          <cell r="F1837" t="str">
            <v>AA1</v>
          </cell>
          <cell r="G1837" t="str">
            <v>BJ1, DA1, AB1</v>
          </cell>
        </row>
        <row r="1838">
          <cell r="C1838" t="str">
            <v>R6115030071</v>
          </cell>
          <cell r="D1838">
            <v>1</v>
          </cell>
          <cell r="E1838" t="str">
            <v>Bình thường</v>
          </cell>
          <cell r="F1838" t="str">
            <v>EN1</v>
          </cell>
          <cell r="G1838" t="str">
            <v>KA1, AF1</v>
          </cell>
        </row>
        <row r="1839">
          <cell r="C1839" t="str">
            <v>213506137A39</v>
          </cell>
          <cell r="D1839">
            <v>1</v>
          </cell>
          <cell r="E1839" t="str">
            <v>Bình thường</v>
          </cell>
          <cell r="F1839" t="str">
            <v>GS1</v>
          </cell>
          <cell r="G1839" t="str">
            <v>KT</v>
          </cell>
        </row>
        <row r="1840">
          <cell r="C1840" t="str">
            <v>L6235090128</v>
          </cell>
          <cell r="D1840">
            <v>1</v>
          </cell>
          <cell r="E1840" t="str">
            <v>Bình thường</v>
          </cell>
          <cell r="F1840" t="str">
            <v>AA1</v>
          </cell>
          <cell r="G1840" t="str">
            <v>MA1, BJ1, DA1</v>
          </cell>
        </row>
        <row r="1841">
          <cell r="C1841" t="str">
            <v>213509059B13</v>
          </cell>
          <cell r="D1841">
            <v>1</v>
          </cell>
          <cell r="E1841" t="str">
            <v>Bình thường</v>
          </cell>
          <cell r="F1841" t="str">
            <v>GC1</v>
          </cell>
          <cell r="G1841" t="str">
            <v>GS2, GC2, AF1</v>
          </cell>
        </row>
        <row r="1842">
          <cell r="C1842" t="str">
            <v>L6305100543</v>
          </cell>
          <cell r="D1842">
            <v>1</v>
          </cell>
          <cell r="E1842" t="str">
            <v>Khẩn</v>
          </cell>
          <cell r="F1842" t="str">
            <v>AA1</v>
          </cell>
          <cell r="G1842" t="str">
            <v>MA1, BJ1</v>
          </cell>
        </row>
        <row r="1843">
          <cell r="C1843" t="str">
            <v>L6245100072</v>
          </cell>
          <cell r="D1843">
            <v>1</v>
          </cell>
          <cell r="E1843" t="str">
            <v>Khẩn</v>
          </cell>
          <cell r="F1843" t="str">
            <v>MA1</v>
          </cell>
          <cell r="G1843" t="str">
            <v>BJ1, DA1</v>
          </cell>
        </row>
        <row r="1844">
          <cell r="C1844" t="str">
            <v>L6305100556</v>
          </cell>
          <cell r="D1844">
            <v>1</v>
          </cell>
          <cell r="E1844" t="str">
            <v>Khẩn</v>
          </cell>
          <cell r="F1844" t="str">
            <v>AA1</v>
          </cell>
          <cell r="G1844" t="str">
            <v>MA1, BJ1, HT1, AB1</v>
          </cell>
        </row>
        <row r="1845">
          <cell r="C1845" t="str">
            <v>L6245090066</v>
          </cell>
          <cell r="D1845">
            <v>1</v>
          </cell>
          <cell r="E1845" t="str">
            <v>Bình thường</v>
          </cell>
          <cell r="F1845" t="str">
            <v>AF1</v>
          </cell>
          <cell r="G1845" t="str">
            <v>VP</v>
          </cell>
        </row>
        <row r="1846">
          <cell r="C1846" t="str">
            <v>L6305100552</v>
          </cell>
          <cell r="D1846">
            <v>1</v>
          </cell>
          <cell r="E1846" t="str">
            <v>Khẩn</v>
          </cell>
          <cell r="F1846" t="str">
            <v>AA1</v>
          </cell>
          <cell r="G1846" t="str">
            <v>BJ1, DA1, AB1</v>
          </cell>
        </row>
        <row r="1847">
          <cell r="C1847" t="str">
            <v>L6225100123</v>
          </cell>
          <cell r="D1847">
            <v>1</v>
          </cell>
          <cell r="E1847" t="str">
            <v>Khẩn</v>
          </cell>
          <cell r="F1847" t="str">
            <v>MC1</v>
          </cell>
          <cell r="G1847" t="str">
            <v>AF1</v>
          </cell>
        </row>
        <row r="1848">
          <cell r="C1848" t="str">
            <v>L6235050352</v>
          </cell>
          <cell r="D1848">
            <v>1</v>
          </cell>
          <cell r="E1848" t="str">
            <v>Bình thường</v>
          </cell>
          <cell r="F1848" t="str">
            <v>EW1</v>
          </cell>
          <cell r="G1848" t="str">
            <v>AF1, AB1</v>
          </cell>
        </row>
        <row r="1849">
          <cell r="C1849" t="str">
            <v>L6305100557</v>
          </cell>
          <cell r="D1849">
            <v>1</v>
          </cell>
          <cell r="E1849" t="str">
            <v>Khẩn</v>
          </cell>
          <cell r="F1849" t="str">
            <v>AA1</v>
          </cell>
          <cell r="G1849" t="str">
            <v>MA1, BJ1, AF1</v>
          </cell>
        </row>
        <row r="1850">
          <cell r="C1850" t="str">
            <v>213506068A38</v>
          </cell>
          <cell r="D1850">
            <v>1</v>
          </cell>
          <cell r="E1850" t="str">
            <v>Bình thường</v>
          </cell>
          <cell r="F1850" t="str">
            <v>BJ1</v>
          </cell>
          <cell r="G1850" t="str">
            <v>DA1, HT1, GS1, EN1</v>
          </cell>
        </row>
        <row r="1851">
          <cell r="C1851" t="str">
            <v>L4165090231</v>
          </cell>
          <cell r="D1851">
            <v>1</v>
          </cell>
          <cell r="E1851" t="str">
            <v>Khẩn</v>
          </cell>
          <cell r="F1851" t="str">
            <v>GP1</v>
          </cell>
          <cell r="G1851" t="str">
            <v>AF1, AL1</v>
          </cell>
        </row>
        <row r="1852">
          <cell r="C1852" t="str">
            <v>L2135097022</v>
          </cell>
          <cell r="D1852">
            <v>1</v>
          </cell>
          <cell r="E1852" t="str">
            <v>Bình thường</v>
          </cell>
          <cell r="F1852" t="str">
            <v>GR1</v>
          </cell>
          <cell r="G1852" t="str">
            <v>GS1, AF1</v>
          </cell>
        </row>
        <row r="1853">
          <cell r="C1853" t="str">
            <v>L6235090124</v>
          </cell>
          <cell r="D1853">
            <v>1</v>
          </cell>
          <cell r="E1853" t="str">
            <v>Bình thường</v>
          </cell>
          <cell r="F1853" t="str">
            <v>MA1</v>
          </cell>
          <cell r="G1853" t="str">
            <v>BJ1, DA1, AB1</v>
          </cell>
        </row>
        <row r="1854">
          <cell r="C1854" t="str">
            <v>L6235100191</v>
          </cell>
          <cell r="D1854">
            <v>1</v>
          </cell>
          <cell r="E1854" t="str">
            <v>Khẩn</v>
          </cell>
          <cell r="F1854" t="str">
            <v>AA1</v>
          </cell>
          <cell r="G1854" t="str">
            <v>MA1, BJ1, AF1, AB1</v>
          </cell>
        </row>
        <row r="1855">
          <cell r="C1855" t="str">
            <v>L6115080091</v>
          </cell>
          <cell r="D1855">
            <v>1</v>
          </cell>
          <cell r="E1855" t="str">
            <v>Bình thường</v>
          </cell>
          <cell r="F1855" t="str">
            <v>GC1</v>
          </cell>
          <cell r="G1855" t="str">
            <v>GP1</v>
          </cell>
        </row>
        <row r="1856">
          <cell r="C1856" t="str">
            <v>L6235100192</v>
          </cell>
          <cell r="D1856">
            <v>1</v>
          </cell>
          <cell r="E1856" t="str">
            <v>Khẩn</v>
          </cell>
          <cell r="F1856" t="str">
            <v>AA1</v>
          </cell>
          <cell r="G1856" t="str">
            <v>MA1, BJ1, DA1, AB1</v>
          </cell>
        </row>
        <row r="1857">
          <cell r="C1857" t="str">
            <v>L6305100544</v>
          </cell>
          <cell r="D1857">
            <v>1</v>
          </cell>
          <cell r="E1857" t="str">
            <v>Khẩn</v>
          </cell>
          <cell r="F1857" t="str">
            <v>AA1</v>
          </cell>
          <cell r="G1857" t="str">
            <v>MA1, BJ1</v>
          </cell>
        </row>
        <row r="1858">
          <cell r="C1858" t="str">
            <v>213506079A56</v>
          </cell>
          <cell r="D1858">
            <v>1</v>
          </cell>
          <cell r="E1858" t="str">
            <v>Bình thường</v>
          </cell>
          <cell r="F1858" t="str">
            <v>GS1</v>
          </cell>
          <cell r="G1858" t="str">
            <v>EW2, EN1, GS2, GP1</v>
          </cell>
        </row>
        <row r="1859">
          <cell r="C1859" t="str">
            <v>213503024A22</v>
          </cell>
          <cell r="D1859">
            <v>1</v>
          </cell>
          <cell r="E1859" t="str">
            <v>Bình thường</v>
          </cell>
          <cell r="F1859" t="str">
            <v>GP1</v>
          </cell>
          <cell r="G1859" t="str">
            <v>EN1</v>
          </cell>
        </row>
        <row r="1860">
          <cell r="C1860" t="str">
            <v>213506504A23</v>
          </cell>
          <cell r="D1860">
            <v>1</v>
          </cell>
          <cell r="E1860" t="str">
            <v>Bình thường</v>
          </cell>
          <cell r="F1860" t="str">
            <v>EN1</v>
          </cell>
          <cell r="G1860" t="str">
            <v>GS2, GP1</v>
          </cell>
        </row>
        <row r="1861">
          <cell r="C1861" t="str">
            <v>62150900321</v>
          </cell>
          <cell r="D1861">
            <v>1</v>
          </cell>
          <cell r="E1861" t="str">
            <v>Khẩn</v>
          </cell>
          <cell r="F1861" t="str">
            <v>EN1</v>
          </cell>
          <cell r="G1861" t="str">
            <v>HT1, AF1, AB1</v>
          </cell>
        </row>
        <row r="1862">
          <cell r="C1862" t="str">
            <v>L6115030134</v>
          </cell>
          <cell r="D1862">
            <v>1</v>
          </cell>
          <cell r="E1862" t="str">
            <v>Bình thường</v>
          </cell>
          <cell r="F1862" t="str">
            <v>GS2</v>
          </cell>
          <cell r="G1862" t="str">
            <v>KT</v>
          </cell>
        </row>
        <row r="1863">
          <cell r="C1863" t="str">
            <v>L6235050355</v>
          </cell>
          <cell r="D1863">
            <v>1</v>
          </cell>
          <cell r="E1863" t="str">
            <v>Bình thường</v>
          </cell>
          <cell r="F1863" t="str">
            <v>AF1</v>
          </cell>
          <cell r="G1863" t="str">
            <v>KT</v>
          </cell>
        </row>
        <row r="1864">
          <cell r="C1864" t="str">
            <v>L6245080106</v>
          </cell>
          <cell r="D1864">
            <v>1</v>
          </cell>
          <cell r="E1864" t="str">
            <v>Bình thường</v>
          </cell>
          <cell r="F1864" t="str">
            <v>MC1</v>
          </cell>
          <cell r="G1864" t="str">
            <v>HT1, AF1, AB1</v>
          </cell>
        </row>
        <row r="1865">
          <cell r="C1865" t="str">
            <v>L6245090105</v>
          </cell>
          <cell r="D1865">
            <v>1</v>
          </cell>
          <cell r="E1865" t="str">
            <v>Bình thường</v>
          </cell>
          <cell r="F1865" t="str">
            <v>BJ1</v>
          </cell>
          <cell r="G1865" t="str">
            <v>AF1</v>
          </cell>
        </row>
        <row r="1866">
          <cell r="C1866" t="str">
            <v>L6245080108</v>
          </cell>
          <cell r="D1866">
            <v>1</v>
          </cell>
          <cell r="E1866" t="str">
            <v>Bình thường</v>
          </cell>
          <cell r="F1866" t="str">
            <v>MC1</v>
          </cell>
          <cell r="G1866" t="str">
            <v>HT1, AF1, AB1</v>
          </cell>
        </row>
        <row r="1867">
          <cell r="C1867" t="str">
            <v>L4135100363</v>
          </cell>
          <cell r="D1867">
            <v>1</v>
          </cell>
          <cell r="E1867" t="str">
            <v>Khẩn</v>
          </cell>
          <cell r="F1867" t="str">
            <v>BJ1</v>
          </cell>
          <cell r="G1867" t="str">
            <v>HT1, GS1, EW1, MC1, AF1, AB1</v>
          </cell>
        </row>
        <row r="1868">
          <cell r="C1868" t="str">
            <v>L6225100126</v>
          </cell>
          <cell r="D1868">
            <v>1</v>
          </cell>
          <cell r="E1868" t="str">
            <v>Khẩn</v>
          </cell>
          <cell r="F1868" t="str">
            <v>BJ1</v>
          </cell>
          <cell r="G1868" t="str">
            <v>AF1</v>
          </cell>
        </row>
        <row r="1869">
          <cell r="C1869" t="str">
            <v>L6245080107</v>
          </cell>
          <cell r="D1869">
            <v>1</v>
          </cell>
          <cell r="E1869" t="str">
            <v>Bình thường</v>
          </cell>
          <cell r="F1869" t="str">
            <v>MC1</v>
          </cell>
          <cell r="G1869" t="str">
            <v>HT1, AF1, AB1</v>
          </cell>
        </row>
        <row r="1870">
          <cell r="C1870" t="str">
            <v>L6305070575</v>
          </cell>
          <cell r="D1870">
            <v>1</v>
          </cell>
          <cell r="E1870" t="str">
            <v>Bình thường</v>
          </cell>
          <cell r="F1870" t="str">
            <v>MC1</v>
          </cell>
          <cell r="G1870" t="str">
            <v>HT1, AF1, AB1</v>
          </cell>
        </row>
        <row r="1871">
          <cell r="C1871" t="str">
            <v>61251000251</v>
          </cell>
          <cell r="D1871">
            <v>1</v>
          </cell>
          <cell r="E1871" t="str">
            <v>Bình thường</v>
          </cell>
          <cell r="F1871" t="str">
            <v>AL1</v>
          </cell>
          <cell r="G1871" t="str">
            <v>KT</v>
          </cell>
        </row>
        <row r="1872">
          <cell r="C1872" t="str">
            <v>L6225100124</v>
          </cell>
          <cell r="D1872">
            <v>1</v>
          </cell>
          <cell r="E1872" t="str">
            <v>Khẩn</v>
          </cell>
          <cell r="F1872" t="str">
            <v>BJ1</v>
          </cell>
          <cell r="G1872" t="str">
            <v>EW1, AF1</v>
          </cell>
        </row>
        <row r="1873">
          <cell r="C1873" t="str">
            <v>L3125070021</v>
          </cell>
          <cell r="D1873">
            <v>1</v>
          </cell>
          <cell r="E1873" t="str">
            <v>Bình thường</v>
          </cell>
          <cell r="F1873" t="str">
            <v>GS1</v>
          </cell>
          <cell r="G1873" t="str">
            <v>GJ1</v>
          </cell>
        </row>
        <row r="1874">
          <cell r="C1874" t="str">
            <v>213509007B29</v>
          </cell>
          <cell r="D1874">
            <v>1</v>
          </cell>
          <cell r="E1874" t="str">
            <v>Bình thường</v>
          </cell>
          <cell r="F1874" t="str">
            <v>GS1</v>
          </cell>
          <cell r="G1874" t="str">
            <v>EN1, AF1</v>
          </cell>
        </row>
        <row r="1875">
          <cell r="C1875" t="str">
            <v>L6305070511</v>
          </cell>
          <cell r="D1875">
            <v>1</v>
          </cell>
          <cell r="E1875" t="str">
            <v>Bình thường</v>
          </cell>
          <cell r="F1875" t="str">
            <v>MC1</v>
          </cell>
          <cell r="G1875" t="str">
            <v>AB1</v>
          </cell>
        </row>
        <row r="1876">
          <cell r="C1876" t="str">
            <v>L6305100559</v>
          </cell>
          <cell r="D1876">
            <v>1</v>
          </cell>
          <cell r="E1876" t="str">
            <v>Khẩn</v>
          </cell>
          <cell r="F1876" t="str">
            <v>AA1</v>
          </cell>
          <cell r="G1876" t="str">
            <v>MA1, BJ1, DA1, AB1</v>
          </cell>
        </row>
        <row r="1877">
          <cell r="C1877" t="str">
            <v>L4155100021</v>
          </cell>
          <cell r="D1877">
            <v>1</v>
          </cell>
          <cell r="E1877" t="str">
            <v>Khẩn</v>
          </cell>
          <cell r="F1877" t="str">
            <v>LA1</v>
          </cell>
          <cell r="G1877" t="str">
            <v>BJ1, HT1, GR1, GS1, GJ1, GS2, GP1, AF1</v>
          </cell>
        </row>
        <row r="1878">
          <cell r="C1878" t="str">
            <v>L6305060503</v>
          </cell>
          <cell r="D1878">
            <v>1</v>
          </cell>
          <cell r="E1878" t="str">
            <v>Bình thường</v>
          </cell>
          <cell r="F1878" t="str">
            <v>MA1</v>
          </cell>
          <cell r="G1878" t="str">
            <v>MC1, AB1</v>
          </cell>
        </row>
        <row r="1879">
          <cell r="C1879" t="str">
            <v>L6125010191</v>
          </cell>
          <cell r="D1879">
            <v>1</v>
          </cell>
          <cell r="E1879" t="str">
            <v>Bình thường</v>
          </cell>
          <cell r="F1879" t="str">
            <v>LA1</v>
          </cell>
          <cell r="G1879" t="str">
            <v>LN1, BJ1, HT1, GR1, GS1, GP1, AF1</v>
          </cell>
        </row>
        <row r="1880">
          <cell r="C1880" t="str">
            <v>L6125050243</v>
          </cell>
          <cell r="D1880">
            <v>1</v>
          </cell>
          <cell r="E1880" t="str">
            <v>Bình thường</v>
          </cell>
          <cell r="F1880" t="str">
            <v>EW1</v>
          </cell>
          <cell r="G1880" t="str">
            <v>EN1, AF1</v>
          </cell>
        </row>
        <row r="1881">
          <cell r="C1881" t="str">
            <v>L6305100553</v>
          </cell>
          <cell r="D1881">
            <v>1</v>
          </cell>
          <cell r="E1881" t="str">
            <v>Khẩn</v>
          </cell>
          <cell r="F1881" t="str">
            <v>AA1</v>
          </cell>
          <cell r="G1881" t="str">
            <v>MA1, BJ1, DA1, AB1</v>
          </cell>
        </row>
        <row r="1882">
          <cell r="C1882" t="str">
            <v>R6115100011</v>
          </cell>
          <cell r="D1882">
            <v>1</v>
          </cell>
          <cell r="E1882" t="str">
            <v>Khẩn</v>
          </cell>
          <cell r="F1882" t="str">
            <v>MC1</v>
          </cell>
          <cell r="G1882" t="str">
            <v>BJ1</v>
          </cell>
        </row>
        <row r="1883">
          <cell r="C1883" t="str">
            <v>L6305090431</v>
          </cell>
          <cell r="D1883">
            <v>1</v>
          </cell>
          <cell r="E1883" t="str">
            <v>Bình thường</v>
          </cell>
          <cell r="F1883" t="str">
            <v>AC1</v>
          </cell>
          <cell r="G1883" t="str">
            <v>VP</v>
          </cell>
        </row>
        <row r="1884">
          <cell r="C1884" t="str">
            <v>213506041B54</v>
          </cell>
          <cell r="D1884">
            <v>1</v>
          </cell>
          <cell r="E1884" t="str">
            <v>Bình thường</v>
          </cell>
          <cell r="F1884" t="str">
            <v>GC1</v>
          </cell>
          <cell r="G1884" t="str">
            <v>GJ1, EN1, AF1, GS2</v>
          </cell>
        </row>
        <row r="1885">
          <cell r="C1885" t="str">
            <v>L4125100051</v>
          </cell>
          <cell r="D1885">
            <v>1</v>
          </cell>
          <cell r="E1885" t="str">
            <v>Bình thường</v>
          </cell>
          <cell r="F1885" t="str">
            <v>EW1</v>
          </cell>
          <cell r="G1885" t="str">
            <v>GP1, MC1</v>
          </cell>
        </row>
        <row r="1886">
          <cell r="C1886" t="str">
            <v>213508065A8</v>
          </cell>
          <cell r="D1886">
            <v>1</v>
          </cell>
          <cell r="E1886" t="str">
            <v>Bình thường</v>
          </cell>
          <cell r="F1886" t="str">
            <v>GJ1</v>
          </cell>
          <cell r="G1886" t="str">
            <v>GP1, EW1, EN1, GS2, AF1</v>
          </cell>
        </row>
        <row r="1887">
          <cell r="C1887" t="str">
            <v>L6235100193</v>
          </cell>
          <cell r="D1887">
            <v>1</v>
          </cell>
          <cell r="E1887" t="str">
            <v>Khẩn</v>
          </cell>
          <cell r="F1887" t="str">
            <v>AA1</v>
          </cell>
          <cell r="G1887" t="str">
            <v>MA1, BJ1, EW1, AF1, AB1</v>
          </cell>
        </row>
        <row r="1888">
          <cell r="C1888" t="str">
            <v>L41351000213</v>
          </cell>
          <cell r="D1888">
            <v>1</v>
          </cell>
          <cell r="E1888" t="str">
            <v>Khẩn</v>
          </cell>
          <cell r="F1888" t="str">
            <v>MA1</v>
          </cell>
          <cell r="G1888" t="str">
            <v>BJ1, DA1, AB1</v>
          </cell>
        </row>
        <row r="1889">
          <cell r="C1889" t="str">
            <v>L62350900711</v>
          </cell>
          <cell r="D1889">
            <v>1</v>
          </cell>
          <cell r="E1889" t="str">
            <v>Bình thường</v>
          </cell>
          <cell r="F1889" t="str">
            <v>GS1</v>
          </cell>
          <cell r="G1889" t="str">
            <v>GJ1, EN1, AB1</v>
          </cell>
        </row>
        <row r="1890">
          <cell r="C1890" t="str">
            <v>L4135100342</v>
          </cell>
          <cell r="D1890">
            <v>1</v>
          </cell>
          <cell r="E1890" t="str">
            <v>Khẩn</v>
          </cell>
          <cell r="F1890" t="str">
            <v>MC1</v>
          </cell>
          <cell r="G1890" t="str">
            <v>AB1</v>
          </cell>
        </row>
        <row r="1891">
          <cell r="C1891" t="str">
            <v>61150600261</v>
          </cell>
          <cell r="D1891">
            <v>1</v>
          </cell>
          <cell r="E1891" t="str">
            <v>Bình thường</v>
          </cell>
          <cell r="F1891" t="str">
            <v>GP1</v>
          </cell>
          <cell r="G1891" t="str">
            <v>GS2</v>
          </cell>
        </row>
        <row r="1892">
          <cell r="C1892" t="str">
            <v>62251000051</v>
          </cell>
          <cell r="D1892">
            <v>1</v>
          </cell>
          <cell r="E1892" t="str">
            <v>Bình thường</v>
          </cell>
          <cell r="F1892" t="str">
            <v>AA1</v>
          </cell>
          <cell r="G1892" t="str">
            <v>MA1, BJ1, DA1</v>
          </cell>
        </row>
        <row r="1893">
          <cell r="C1893" t="str">
            <v>41650800031</v>
          </cell>
          <cell r="D1893">
            <v>1</v>
          </cell>
          <cell r="E1893" t="str">
            <v>Bình thường</v>
          </cell>
          <cell r="F1893" t="str">
            <v>MC1</v>
          </cell>
          <cell r="G1893" t="str">
            <v>AB1</v>
          </cell>
        </row>
        <row r="1894">
          <cell r="C1894" t="str">
            <v>L62350901213</v>
          </cell>
          <cell r="D1894">
            <v>1</v>
          </cell>
          <cell r="E1894" t="str">
            <v>Bình thường</v>
          </cell>
          <cell r="F1894" t="str">
            <v>MA1</v>
          </cell>
          <cell r="G1894" t="str">
            <v>BJ1, DA1</v>
          </cell>
        </row>
        <row r="1895">
          <cell r="C1895" t="str">
            <v>L6305090061</v>
          </cell>
          <cell r="D1895">
            <v>1</v>
          </cell>
          <cell r="E1895" t="str">
            <v>Bình thường</v>
          </cell>
          <cell r="F1895" t="str">
            <v>MA1</v>
          </cell>
          <cell r="G1895" t="str">
            <v>BJ1, DA1</v>
          </cell>
        </row>
        <row r="1896">
          <cell r="C1896" t="str">
            <v>L6245090102</v>
          </cell>
          <cell r="D1896">
            <v>1</v>
          </cell>
          <cell r="E1896" t="str">
            <v>Bình thường</v>
          </cell>
          <cell r="F1896" t="str">
            <v>AB1</v>
          </cell>
          <cell r="G1896" t="str">
            <v>VP</v>
          </cell>
        </row>
        <row r="1897">
          <cell r="C1897" t="str">
            <v>L6305080176</v>
          </cell>
          <cell r="D1897">
            <v>1</v>
          </cell>
          <cell r="E1897" t="str">
            <v>Bình thường</v>
          </cell>
          <cell r="F1897" t="str">
            <v>MC1</v>
          </cell>
          <cell r="G1897" t="str">
            <v>AB1</v>
          </cell>
        </row>
        <row r="1898">
          <cell r="C1898" t="str">
            <v>612508042G1</v>
          </cell>
          <cell r="D1898">
            <v>1</v>
          </cell>
          <cell r="E1898" t="str">
            <v>Bình thường</v>
          </cell>
          <cell r="F1898" t="str">
            <v>GP1</v>
          </cell>
          <cell r="G1898" t="str">
            <v>AF1</v>
          </cell>
        </row>
        <row r="1899">
          <cell r="C1899" t="str">
            <v>63050900931</v>
          </cell>
          <cell r="D1899">
            <v>1</v>
          </cell>
          <cell r="E1899" t="str">
            <v>Khẩn</v>
          </cell>
          <cell r="F1899" t="str">
            <v>WG1</v>
          </cell>
          <cell r="G1899" t="str">
            <v>VP</v>
          </cell>
        </row>
        <row r="1900">
          <cell r="C1900" t="str">
            <v>L62350801713</v>
          </cell>
          <cell r="D1900">
            <v>1</v>
          </cell>
          <cell r="E1900" t="str">
            <v>Bình thường</v>
          </cell>
          <cell r="F1900" t="str">
            <v>AA1</v>
          </cell>
          <cell r="G1900" t="str">
            <v>BJ1, DA1, AB1</v>
          </cell>
        </row>
        <row r="1901">
          <cell r="C1901" t="str">
            <v>L62350801711</v>
          </cell>
          <cell r="D1901">
            <v>1</v>
          </cell>
          <cell r="E1901" t="str">
            <v>Bình thường</v>
          </cell>
          <cell r="F1901" t="str">
            <v>MA1</v>
          </cell>
          <cell r="G1901" t="str">
            <v>GS1, MC1, AB1</v>
          </cell>
        </row>
        <row r="1902">
          <cell r="C1902" t="str">
            <v>L6235090073</v>
          </cell>
          <cell r="D1902">
            <v>1</v>
          </cell>
          <cell r="E1902" t="str">
            <v>Bình thường</v>
          </cell>
          <cell r="F1902" t="str">
            <v>MA1</v>
          </cell>
          <cell r="G1902" t="str">
            <v>GS1, BJ1, AB1</v>
          </cell>
        </row>
        <row r="1903">
          <cell r="C1903" t="str">
            <v>L6305080173</v>
          </cell>
          <cell r="D1903">
            <v>1</v>
          </cell>
          <cell r="E1903" t="str">
            <v>Bình thường</v>
          </cell>
          <cell r="F1903" t="str">
            <v>MC1</v>
          </cell>
          <cell r="G1903" t="str">
            <v>AB1</v>
          </cell>
        </row>
        <row r="1904">
          <cell r="C1904" t="str">
            <v>213507911A8</v>
          </cell>
          <cell r="D1904">
            <v>1</v>
          </cell>
          <cell r="E1904" t="str">
            <v>Bình thường</v>
          </cell>
          <cell r="F1904" t="str">
            <v>EN1</v>
          </cell>
          <cell r="G1904" t="str">
            <v>GS1, GP1</v>
          </cell>
        </row>
        <row r="1905">
          <cell r="C1905" t="str">
            <v>213506093A15</v>
          </cell>
          <cell r="D1905">
            <v>1</v>
          </cell>
          <cell r="E1905" t="str">
            <v>Bình thường</v>
          </cell>
          <cell r="F1905" t="str">
            <v>GS1</v>
          </cell>
          <cell r="G1905" t="str">
            <v>EW2, ED1, EN1, GP1, AF1</v>
          </cell>
        </row>
        <row r="1906">
          <cell r="C1906" t="str">
            <v>62150900231</v>
          </cell>
          <cell r="D1906">
            <v>1</v>
          </cell>
          <cell r="E1906" t="str">
            <v>Khẩn</v>
          </cell>
          <cell r="F1906" t="str">
            <v>GS1</v>
          </cell>
          <cell r="G1906" t="str">
            <v>ED1, EW1, AF1</v>
          </cell>
        </row>
        <row r="1907">
          <cell r="C1907" t="str">
            <v>213509524A2</v>
          </cell>
          <cell r="D1907">
            <v>1</v>
          </cell>
          <cell r="E1907" t="str">
            <v>Bình thường</v>
          </cell>
          <cell r="F1907" t="str">
            <v>LA1</v>
          </cell>
          <cell r="G1907" t="str">
            <v>BJ1, AF1</v>
          </cell>
        </row>
        <row r="1908">
          <cell r="C1908" t="str">
            <v>L4135100346</v>
          </cell>
          <cell r="D1908">
            <v>1</v>
          </cell>
          <cell r="E1908" t="str">
            <v>Khẩn</v>
          </cell>
          <cell r="F1908" t="str">
            <v>BJ1</v>
          </cell>
          <cell r="G1908" t="str">
            <v>HT1, AF1, AB1</v>
          </cell>
        </row>
        <row r="1909">
          <cell r="C1909" t="str">
            <v>L4125090132</v>
          </cell>
          <cell r="D1909">
            <v>1</v>
          </cell>
          <cell r="E1909" t="str">
            <v>Bình thường</v>
          </cell>
          <cell r="F1909" t="str">
            <v>ED1</v>
          </cell>
          <cell r="G1909" t="str">
            <v>EW1, GS2</v>
          </cell>
        </row>
        <row r="1910">
          <cell r="C1910" t="str">
            <v>213509051B67</v>
          </cell>
          <cell r="D1910">
            <v>1</v>
          </cell>
          <cell r="E1910" t="str">
            <v>Bình thường</v>
          </cell>
          <cell r="F1910" t="str">
            <v>AF1</v>
          </cell>
          <cell r="G1910" t="str">
            <v>VP</v>
          </cell>
        </row>
        <row r="1911">
          <cell r="C1911" t="str">
            <v>L4155060012</v>
          </cell>
          <cell r="D1911">
            <v>1</v>
          </cell>
          <cell r="E1911" t="str">
            <v>Bình thường</v>
          </cell>
          <cell r="F1911" t="str">
            <v>GS1</v>
          </cell>
          <cell r="G1911" t="str">
            <v>ED1, EN1, GP1, EW2</v>
          </cell>
        </row>
        <row r="1912">
          <cell r="C1912" t="str">
            <v>213506196A3</v>
          </cell>
          <cell r="D1912">
            <v>1</v>
          </cell>
          <cell r="E1912" t="str">
            <v>Bình thường</v>
          </cell>
          <cell r="F1912" t="str">
            <v>EW1</v>
          </cell>
          <cell r="G1912" t="str">
            <v>EN1, GS2, AF1</v>
          </cell>
        </row>
        <row r="1913">
          <cell r="C1913" t="str">
            <v>L4155100022</v>
          </cell>
          <cell r="D1913">
            <v>1</v>
          </cell>
          <cell r="E1913" t="str">
            <v>Khẩn</v>
          </cell>
          <cell r="F1913" t="str">
            <v>LA1</v>
          </cell>
          <cell r="G1913" t="str">
            <v>HT1, GR1, GS1, ED1, EN1, GR2, GS2, GP1, AF1</v>
          </cell>
        </row>
        <row r="1914">
          <cell r="C1914" t="str">
            <v>213509055B18</v>
          </cell>
          <cell r="D1914">
            <v>1</v>
          </cell>
          <cell r="E1914" t="str">
            <v>Bình thường</v>
          </cell>
          <cell r="F1914" t="str">
            <v>GS1</v>
          </cell>
          <cell r="G1914" t="str">
            <v>GC1, GP1, GS2, AF1, AL1</v>
          </cell>
        </row>
        <row r="1915">
          <cell r="C1915" t="str">
            <v>213507913A10</v>
          </cell>
          <cell r="D1915">
            <v>1</v>
          </cell>
          <cell r="E1915" t="str">
            <v>Bình thường</v>
          </cell>
          <cell r="F1915" t="str">
            <v>EN1</v>
          </cell>
          <cell r="G1915" t="str">
            <v>GS1, GP1</v>
          </cell>
        </row>
        <row r="1916">
          <cell r="C1916" t="str">
            <v>L4135100272</v>
          </cell>
          <cell r="D1916">
            <v>1</v>
          </cell>
          <cell r="E1916" t="str">
            <v>Khẩn</v>
          </cell>
          <cell r="F1916" t="str">
            <v>MA1</v>
          </cell>
          <cell r="G1916" t="str">
            <v>BJ1, HT1, GS1, EW1, EN1, AF1</v>
          </cell>
        </row>
        <row r="1917">
          <cell r="C1917" t="str">
            <v>L6305070145</v>
          </cell>
          <cell r="D1917">
            <v>1</v>
          </cell>
          <cell r="E1917" t="str">
            <v>Bình thường</v>
          </cell>
          <cell r="F1917" t="str">
            <v>EN1</v>
          </cell>
          <cell r="G1917" t="str">
            <v>AF1</v>
          </cell>
        </row>
        <row r="1918">
          <cell r="C1918" t="str">
            <v>213510017A17</v>
          </cell>
          <cell r="D1918">
            <v>1</v>
          </cell>
          <cell r="E1918" t="str">
            <v>Bình thường</v>
          </cell>
          <cell r="F1918" t="str">
            <v>LA1</v>
          </cell>
          <cell r="G1918" t="str">
            <v>BJ1, AB1</v>
          </cell>
        </row>
        <row r="1919">
          <cell r="C1919" t="str">
            <v>213507912A9</v>
          </cell>
          <cell r="D1919">
            <v>1</v>
          </cell>
          <cell r="E1919" t="str">
            <v>Bình thường</v>
          </cell>
          <cell r="F1919" t="str">
            <v>EN1</v>
          </cell>
          <cell r="G1919" t="str">
            <v>GS1, GP1</v>
          </cell>
        </row>
        <row r="1920">
          <cell r="C1920" t="str">
            <v>L4135100345</v>
          </cell>
          <cell r="D1920">
            <v>1</v>
          </cell>
          <cell r="E1920" t="str">
            <v>Khẩn</v>
          </cell>
          <cell r="F1920" t="str">
            <v>AA1</v>
          </cell>
          <cell r="G1920" t="str">
            <v>MA1, GS1, BJ1, DA1, AB1</v>
          </cell>
        </row>
        <row r="1921">
          <cell r="C1921" t="str">
            <v>L6235090092</v>
          </cell>
          <cell r="D1921">
            <v>1</v>
          </cell>
          <cell r="E1921" t="str">
            <v>Bình thường</v>
          </cell>
          <cell r="F1921" t="str">
            <v>MC1</v>
          </cell>
          <cell r="G1921" t="str">
            <v>VP</v>
          </cell>
        </row>
        <row r="1922">
          <cell r="C1922" t="str">
            <v>L4125100076</v>
          </cell>
          <cell r="D1922">
            <v>1</v>
          </cell>
          <cell r="E1922" t="str">
            <v>Bình thường</v>
          </cell>
          <cell r="F1922" t="str">
            <v>EW2</v>
          </cell>
          <cell r="G1922" t="str">
            <v>VP</v>
          </cell>
        </row>
        <row r="1923">
          <cell r="C1923" t="str">
            <v>R6225090041</v>
          </cell>
          <cell r="D1923">
            <v>1</v>
          </cell>
          <cell r="E1923" t="str">
            <v>Bình thường</v>
          </cell>
          <cell r="F1923" t="str">
            <v>MA1</v>
          </cell>
          <cell r="G1923" t="str">
            <v>BJ1</v>
          </cell>
        </row>
        <row r="1924">
          <cell r="C1924" t="str">
            <v>R21350834A1</v>
          </cell>
          <cell r="D1924">
            <v>1</v>
          </cell>
          <cell r="E1924" t="str">
            <v>Bình thường</v>
          </cell>
          <cell r="F1924" t="str">
            <v>GR1</v>
          </cell>
          <cell r="G1924" t="str">
            <v>VP</v>
          </cell>
        </row>
        <row r="1925">
          <cell r="C1925" t="str">
            <v>R6305100071</v>
          </cell>
          <cell r="D1925">
            <v>1</v>
          </cell>
          <cell r="E1925" t="str">
            <v>Khẩn</v>
          </cell>
          <cell r="F1925" t="str">
            <v>GR1</v>
          </cell>
          <cell r="G1925" t="str">
            <v>GS1, EN1, AF1</v>
          </cell>
        </row>
        <row r="1926">
          <cell r="C1926" t="str">
            <v>L6305090432</v>
          </cell>
          <cell r="D1926">
            <v>1</v>
          </cell>
          <cell r="E1926" t="str">
            <v>Bình thường</v>
          </cell>
          <cell r="F1926" t="str">
            <v>AC1</v>
          </cell>
          <cell r="G1926" t="str">
            <v>BJ1, LA1</v>
          </cell>
        </row>
        <row r="1927">
          <cell r="C1927" t="str">
            <v>213506224A19</v>
          </cell>
          <cell r="D1927">
            <v>1</v>
          </cell>
          <cell r="E1927" t="str">
            <v>Bình thường</v>
          </cell>
          <cell r="F1927" t="str">
            <v>GS1</v>
          </cell>
          <cell r="G1927" t="str">
            <v>GP1, EW2</v>
          </cell>
        </row>
        <row r="1928">
          <cell r="C1928" t="str">
            <v>213506163A22</v>
          </cell>
          <cell r="D1928">
            <v>1</v>
          </cell>
          <cell r="E1928" t="str">
            <v>Bình thường</v>
          </cell>
          <cell r="F1928" t="str">
            <v>GS1</v>
          </cell>
          <cell r="G1928" t="str">
            <v>EW1, AF1</v>
          </cell>
        </row>
        <row r="1929">
          <cell r="C1929" t="str">
            <v>213506188A49</v>
          </cell>
          <cell r="D1929">
            <v>1</v>
          </cell>
          <cell r="E1929" t="str">
            <v>Bình thường</v>
          </cell>
          <cell r="F1929" t="str">
            <v>GR2</v>
          </cell>
          <cell r="G1929" t="str">
            <v>GS2, EN1, AF1</v>
          </cell>
        </row>
        <row r="1930">
          <cell r="C1930" t="str">
            <v>L4135100402</v>
          </cell>
          <cell r="D1930">
            <v>1</v>
          </cell>
          <cell r="E1930" t="str">
            <v>Khẩn</v>
          </cell>
          <cell r="F1930" t="str">
            <v>AC1</v>
          </cell>
          <cell r="G1930" t="str">
            <v>BJ1</v>
          </cell>
        </row>
        <row r="1931">
          <cell r="C1931" t="str">
            <v>213507910A7</v>
          </cell>
          <cell r="D1931">
            <v>1</v>
          </cell>
          <cell r="E1931" t="str">
            <v>Bình thường</v>
          </cell>
          <cell r="F1931" t="str">
            <v>EN1</v>
          </cell>
          <cell r="G1931" t="str">
            <v>GS1, GP1</v>
          </cell>
        </row>
        <row r="1932">
          <cell r="C1932" t="str">
            <v>L4155060013</v>
          </cell>
          <cell r="D1932">
            <v>1</v>
          </cell>
          <cell r="E1932" t="str">
            <v>Bình thường</v>
          </cell>
          <cell r="F1932" t="str">
            <v>GS1</v>
          </cell>
          <cell r="G1932" t="str">
            <v>ED1, EN1, GP1, EW2</v>
          </cell>
        </row>
        <row r="1933">
          <cell r="C1933" t="str">
            <v>L2135065132</v>
          </cell>
          <cell r="D1933">
            <v>1</v>
          </cell>
          <cell r="E1933" t="str">
            <v>Bình thường</v>
          </cell>
          <cell r="F1933" t="str">
            <v>AB1</v>
          </cell>
          <cell r="G1933" t="str">
            <v>VP</v>
          </cell>
        </row>
        <row r="1934">
          <cell r="C1934" t="str">
            <v>61150700581</v>
          </cell>
          <cell r="D1934">
            <v>1</v>
          </cell>
          <cell r="E1934" t="str">
            <v>Khẩn</v>
          </cell>
          <cell r="F1934" t="str">
            <v>EW1</v>
          </cell>
          <cell r="G1934" t="str">
            <v>GS3</v>
          </cell>
        </row>
        <row r="1935">
          <cell r="C1935" t="str">
            <v>L6125090213</v>
          </cell>
          <cell r="D1935">
            <v>1</v>
          </cell>
          <cell r="E1935" t="str">
            <v>Bình thường</v>
          </cell>
          <cell r="F1935" t="str">
            <v>AA1</v>
          </cell>
          <cell r="G1935" t="str">
            <v>MA1, BJ1</v>
          </cell>
        </row>
        <row r="1936">
          <cell r="C1936" t="str">
            <v>L4135100403</v>
          </cell>
          <cell r="D1936">
            <v>1</v>
          </cell>
          <cell r="E1936" t="str">
            <v>Khẩn</v>
          </cell>
          <cell r="F1936" t="str">
            <v>AC1</v>
          </cell>
          <cell r="G1936" t="str">
            <v>BJ1</v>
          </cell>
        </row>
        <row r="1937">
          <cell r="C1937" t="str">
            <v>L4125100052</v>
          </cell>
          <cell r="D1937">
            <v>1</v>
          </cell>
          <cell r="E1937" t="str">
            <v>Bình thường</v>
          </cell>
          <cell r="F1937" t="str">
            <v>EW1</v>
          </cell>
          <cell r="G1937" t="str">
            <v>GP1, MC1</v>
          </cell>
        </row>
        <row r="1938">
          <cell r="C1938" t="str">
            <v>L6305070136</v>
          </cell>
          <cell r="D1938">
            <v>1</v>
          </cell>
          <cell r="E1938" t="str">
            <v>Bình thường</v>
          </cell>
          <cell r="F1938" t="str">
            <v>EN1</v>
          </cell>
          <cell r="G1938" t="str">
            <v>AF1</v>
          </cell>
        </row>
        <row r="1939">
          <cell r="C1939" t="str">
            <v>L6305070845</v>
          </cell>
          <cell r="D1939">
            <v>1</v>
          </cell>
          <cell r="E1939" t="str">
            <v>Bình thường</v>
          </cell>
          <cell r="F1939" t="str">
            <v>MA1</v>
          </cell>
          <cell r="G1939" t="str">
            <v>WG1, BJ1, DA1, GS1, AB1</v>
          </cell>
        </row>
        <row r="1940">
          <cell r="C1940" t="str">
            <v>L6305090347</v>
          </cell>
          <cell r="D1940">
            <v>1</v>
          </cell>
          <cell r="E1940" t="str">
            <v>Bình thường</v>
          </cell>
          <cell r="F1940" t="str">
            <v>AA1</v>
          </cell>
          <cell r="G1940" t="str">
            <v>BJ1, AB1</v>
          </cell>
        </row>
        <row r="1941">
          <cell r="C1941" t="str">
            <v>L6245090103</v>
          </cell>
          <cell r="D1941">
            <v>1</v>
          </cell>
          <cell r="E1941" t="str">
            <v>Bình thường</v>
          </cell>
          <cell r="F1941" t="str">
            <v>HT1</v>
          </cell>
          <cell r="G1941" t="str">
            <v>AF1</v>
          </cell>
        </row>
        <row r="1942">
          <cell r="C1942" t="str">
            <v>L6305070431</v>
          </cell>
          <cell r="D1942">
            <v>1</v>
          </cell>
          <cell r="E1942" t="str">
            <v>Bình thường</v>
          </cell>
          <cell r="F1942" t="str">
            <v>MA1</v>
          </cell>
          <cell r="G1942" t="str">
            <v>GS1, MC1, AB1</v>
          </cell>
        </row>
        <row r="1943">
          <cell r="C1943" t="str">
            <v>L6305100083</v>
          </cell>
          <cell r="D1943">
            <v>1</v>
          </cell>
          <cell r="E1943" t="str">
            <v>Bình thường</v>
          </cell>
          <cell r="F1943" t="str">
            <v>LA1</v>
          </cell>
          <cell r="G1943" t="str">
            <v>HT1, AB1</v>
          </cell>
        </row>
        <row r="1944">
          <cell r="C1944" t="str">
            <v>L6115070226</v>
          </cell>
          <cell r="D1944">
            <v>1</v>
          </cell>
          <cell r="E1944" t="str">
            <v>Bình thường</v>
          </cell>
          <cell r="F1944" t="str">
            <v>GP1</v>
          </cell>
          <cell r="G1944" t="str">
            <v>VP</v>
          </cell>
        </row>
        <row r="1945">
          <cell r="C1945" t="str">
            <v>L6235090052</v>
          </cell>
          <cell r="D1945">
            <v>1</v>
          </cell>
          <cell r="E1945" t="str">
            <v>Bình thường</v>
          </cell>
          <cell r="F1945" t="str">
            <v>BJ1</v>
          </cell>
          <cell r="G1945" t="str">
            <v>AF1, HT1, GR1, GS1, EN1, AF2, AB1</v>
          </cell>
        </row>
        <row r="1946">
          <cell r="C1946" t="str">
            <v>L6245100075</v>
          </cell>
          <cell r="D1946">
            <v>1</v>
          </cell>
          <cell r="E1946" t="str">
            <v>Khẩn</v>
          </cell>
          <cell r="F1946" t="str">
            <v>BJ1</v>
          </cell>
          <cell r="G1946" t="str">
            <v>HT1, GS1, EW1, GJ1, AB1</v>
          </cell>
        </row>
        <row r="1947">
          <cell r="C1947" t="str">
            <v>L6305070283</v>
          </cell>
          <cell r="D1947">
            <v>1</v>
          </cell>
          <cell r="E1947" t="str">
            <v>Bình thường</v>
          </cell>
          <cell r="F1947" t="str">
            <v>AF1</v>
          </cell>
          <cell r="G1947" t="str">
            <v>AB1</v>
          </cell>
        </row>
        <row r="1948">
          <cell r="C1948" t="str">
            <v>L6125050294</v>
          </cell>
          <cell r="D1948">
            <v>1</v>
          </cell>
          <cell r="E1948" t="str">
            <v>Bình thường</v>
          </cell>
          <cell r="F1948" t="str">
            <v>GS1</v>
          </cell>
          <cell r="G1948" t="str">
            <v>GR2, GS2, KA1, EW2, EN1, AF1</v>
          </cell>
        </row>
        <row r="1949">
          <cell r="C1949" t="str">
            <v>213504285A69</v>
          </cell>
          <cell r="D1949">
            <v>1</v>
          </cell>
          <cell r="E1949" t="str">
            <v>Bình thường</v>
          </cell>
          <cell r="F1949" t="str">
            <v>GS1</v>
          </cell>
          <cell r="G1949" t="str">
            <v>GP1, EN1, AF1</v>
          </cell>
        </row>
        <row r="1950">
          <cell r="C1950" t="str">
            <v>213507008A14</v>
          </cell>
          <cell r="D1950">
            <v>1</v>
          </cell>
          <cell r="E1950" t="str">
            <v>Bình thường</v>
          </cell>
          <cell r="F1950" t="str">
            <v>GS1</v>
          </cell>
          <cell r="G1950" t="str">
            <v>GP1</v>
          </cell>
        </row>
        <row r="1951">
          <cell r="C1951" t="str">
            <v>213508050B9</v>
          </cell>
          <cell r="D1951">
            <v>1</v>
          </cell>
          <cell r="E1951" t="str">
            <v>Bình thường</v>
          </cell>
          <cell r="F1951" t="str">
            <v>EW1</v>
          </cell>
          <cell r="G1951" t="str">
            <v>GS1, WG1, GS2</v>
          </cell>
        </row>
        <row r="1952">
          <cell r="C1952" t="str">
            <v>213508099A4</v>
          </cell>
          <cell r="D1952">
            <v>1</v>
          </cell>
          <cell r="E1952" t="str">
            <v>Bình thường</v>
          </cell>
          <cell r="F1952" t="str">
            <v>GR1</v>
          </cell>
          <cell r="G1952" t="str">
            <v>GP1, GS2, EW2, EN1, AF1</v>
          </cell>
        </row>
        <row r="1953">
          <cell r="C1953" t="str">
            <v>L4125100042</v>
          </cell>
          <cell r="D1953">
            <v>1</v>
          </cell>
          <cell r="E1953" t="str">
            <v>Khẩn</v>
          </cell>
          <cell r="F1953" t="str">
            <v>GP1</v>
          </cell>
          <cell r="G1953" t="str">
            <v>VP</v>
          </cell>
        </row>
        <row r="1954">
          <cell r="C1954" t="str">
            <v>213508017A4</v>
          </cell>
          <cell r="D1954">
            <v>1</v>
          </cell>
          <cell r="E1954" t="str">
            <v>Bình thường</v>
          </cell>
          <cell r="F1954" t="str">
            <v>GS1</v>
          </cell>
          <cell r="G1954" t="str">
            <v>EW1, AF1</v>
          </cell>
        </row>
        <row r="1955">
          <cell r="C1955" t="str">
            <v>62150700021</v>
          </cell>
          <cell r="D1955">
            <v>1</v>
          </cell>
          <cell r="E1955" t="str">
            <v>Khẩn</v>
          </cell>
          <cell r="F1955" t="str">
            <v>BJ1</v>
          </cell>
          <cell r="G1955" t="str">
            <v>GS2, AF2</v>
          </cell>
        </row>
        <row r="1956">
          <cell r="C1956" t="str">
            <v>L4135100273</v>
          </cell>
          <cell r="D1956">
            <v>1</v>
          </cell>
          <cell r="E1956" t="str">
            <v>Khẩn</v>
          </cell>
          <cell r="F1956" t="str">
            <v>MA1</v>
          </cell>
          <cell r="G1956" t="str">
            <v>BJ1, HT1, GS1, EW1, EN1, AF1, AB1</v>
          </cell>
        </row>
        <row r="1957">
          <cell r="C1957" t="str">
            <v>L6305100545</v>
          </cell>
          <cell r="D1957">
            <v>1</v>
          </cell>
          <cell r="E1957" t="str">
            <v>Khẩn</v>
          </cell>
          <cell r="F1957" t="str">
            <v>AA1</v>
          </cell>
          <cell r="G1957" t="str">
            <v>MA1, GS1, BJ1, DA1, AB1</v>
          </cell>
        </row>
        <row r="1958">
          <cell r="C1958" t="str">
            <v>L2135097021</v>
          </cell>
          <cell r="D1958">
            <v>1</v>
          </cell>
          <cell r="E1958" t="str">
            <v>Bình thường</v>
          </cell>
          <cell r="F1958" t="str">
            <v>GR1</v>
          </cell>
          <cell r="G1958" t="str">
            <v>GS1, EW1, GJ1, AF1, AL1</v>
          </cell>
        </row>
        <row r="1959">
          <cell r="C1959" t="str">
            <v>L6125020015</v>
          </cell>
          <cell r="D1959">
            <v>1</v>
          </cell>
          <cell r="E1959" t="str">
            <v>Bình thường</v>
          </cell>
          <cell r="F1959" t="str">
            <v>BJ1</v>
          </cell>
          <cell r="G1959" t="str">
            <v>DA1, AB1</v>
          </cell>
        </row>
        <row r="1960">
          <cell r="C1960" t="str">
            <v>L4135100421</v>
          </cell>
          <cell r="D1960">
            <v>1</v>
          </cell>
          <cell r="E1960" t="str">
            <v>Khẩn</v>
          </cell>
          <cell r="F1960" t="str">
            <v>BJ1</v>
          </cell>
          <cell r="G1960" t="str">
            <v>AF1</v>
          </cell>
        </row>
        <row r="1961">
          <cell r="C1961" t="str">
            <v>61150900791</v>
          </cell>
          <cell r="D1961">
            <v>1</v>
          </cell>
          <cell r="E1961" t="str">
            <v>Khẩn</v>
          </cell>
          <cell r="F1961" t="str">
            <v>EW1</v>
          </cell>
          <cell r="G1961" t="str">
            <v>GS1, AF1</v>
          </cell>
        </row>
        <row r="1962">
          <cell r="C1962" t="str">
            <v>L4165090233</v>
          </cell>
          <cell r="D1962">
            <v>1</v>
          </cell>
          <cell r="E1962" t="str">
            <v>Khẩn</v>
          </cell>
          <cell r="F1962" t="str">
            <v>GC1</v>
          </cell>
          <cell r="G1962" t="str">
            <v>GP1, AF1, AL1</v>
          </cell>
        </row>
        <row r="1963">
          <cell r="C1963" t="str">
            <v>L6235070231</v>
          </cell>
          <cell r="D1963">
            <v>1</v>
          </cell>
          <cell r="E1963" t="str">
            <v>Bình thường</v>
          </cell>
          <cell r="F1963" t="str">
            <v>BJ1</v>
          </cell>
          <cell r="G1963" t="str">
            <v>DA1, HT1, GS2, GJ1, EN1, AF1, AB1</v>
          </cell>
        </row>
        <row r="1964">
          <cell r="C1964" t="str">
            <v>L6235090094</v>
          </cell>
          <cell r="D1964">
            <v>1</v>
          </cell>
          <cell r="E1964" t="str">
            <v>Bình thường</v>
          </cell>
          <cell r="F1964" t="str">
            <v>MC1</v>
          </cell>
          <cell r="G1964" t="str">
            <v>VP</v>
          </cell>
        </row>
        <row r="1965">
          <cell r="C1965" t="str">
            <v>213505062A11</v>
          </cell>
          <cell r="D1965">
            <v>1</v>
          </cell>
          <cell r="E1965" t="str">
            <v>Bình thường</v>
          </cell>
          <cell r="F1965" t="str">
            <v>LA1</v>
          </cell>
          <cell r="G1965" t="str">
            <v>BJ1, DA1, HT1, GR1, GS1, GJ1, GP1, AF1</v>
          </cell>
        </row>
        <row r="1966">
          <cell r="C1966" t="str">
            <v>213506183A41</v>
          </cell>
          <cell r="D1966">
            <v>1</v>
          </cell>
          <cell r="E1966" t="str">
            <v>Bình thường</v>
          </cell>
          <cell r="F1966" t="str">
            <v>GS2</v>
          </cell>
          <cell r="G1966" t="str">
            <v>EN1, GP1, AF1</v>
          </cell>
        </row>
        <row r="1967">
          <cell r="C1967" t="str">
            <v>213506241A4</v>
          </cell>
          <cell r="D1967">
            <v>1</v>
          </cell>
          <cell r="E1967" t="str">
            <v>Bình thường</v>
          </cell>
          <cell r="F1967" t="str">
            <v>GS1</v>
          </cell>
          <cell r="G1967" t="str">
            <v>GP1, ED1, EN1</v>
          </cell>
        </row>
        <row r="1968">
          <cell r="C1968" t="str">
            <v>41250906081</v>
          </cell>
          <cell r="D1968">
            <v>1</v>
          </cell>
          <cell r="E1968" t="str">
            <v>Khẩn</v>
          </cell>
          <cell r="F1968" t="str">
            <v>EN1</v>
          </cell>
          <cell r="G1968" t="str">
            <v>GS2, GP1</v>
          </cell>
        </row>
        <row r="1969">
          <cell r="C1969" t="str">
            <v>213507010B35</v>
          </cell>
          <cell r="D1969">
            <v>1</v>
          </cell>
          <cell r="E1969" t="str">
            <v>Bình thường</v>
          </cell>
          <cell r="F1969" t="str">
            <v>AF1</v>
          </cell>
          <cell r="G1969" t="str">
            <v>VP</v>
          </cell>
        </row>
        <row r="1970">
          <cell r="C1970" t="str">
            <v>213508500B16</v>
          </cell>
          <cell r="D1970">
            <v>1</v>
          </cell>
          <cell r="E1970" t="str">
            <v>Bình thường</v>
          </cell>
          <cell r="F1970" t="str">
            <v>LA1</v>
          </cell>
          <cell r="G1970" t="str">
            <v>VP</v>
          </cell>
        </row>
        <row r="1971">
          <cell r="C1971" t="str">
            <v>L6115060103</v>
          </cell>
          <cell r="D1971">
            <v>1</v>
          </cell>
          <cell r="E1971" t="str">
            <v>Bình thường</v>
          </cell>
          <cell r="F1971" t="str">
            <v>EN1</v>
          </cell>
          <cell r="G1971" t="str">
            <v>AF1</v>
          </cell>
        </row>
        <row r="1972">
          <cell r="C1972" t="str">
            <v>L4135090671</v>
          </cell>
          <cell r="D1972">
            <v>1</v>
          </cell>
          <cell r="E1972" t="str">
            <v>Khẩn</v>
          </cell>
          <cell r="F1972" t="str">
            <v>GR1</v>
          </cell>
          <cell r="G1972" t="str">
            <v>GS1, AF1</v>
          </cell>
        </row>
        <row r="1973">
          <cell r="C1973" t="str">
            <v>213507039B20</v>
          </cell>
          <cell r="D1973">
            <v>1</v>
          </cell>
          <cell r="E1973" t="str">
            <v>Bình thường</v>
          </cell>
          <cell r="F1973" t="str">
            <v>EN1</v>
          </cell>
          <cell r="G1973" t="str">
            <v>AF2</v>
          </cell>
        </row>
        <row r="1974">
          <cell r="C1974" t="str">
            <v>R21350838B1</v>
          </cell>
          <cell r="D1974">
            <v>1</v>
          </cell>
          <cell r="E1974" t="str">
            <v>Bình thường</v>
          </cell>
          <cell r="F1974" t="str">
            <v>EN1</v>
          </cell>
          <cell r="G1974" t="str">
            <v>GS2, GP1, AF1</v>
          </cell>
        </row>
        <row r="1975">
          <cell r="C1975" t="str">
            <v>L6115080121</v>
          </cell>
          <cell r="D1975">
            <v>1</v>
          </cell>
          <cell r="E1975" t="str">
            <v>Bình thường</v>
          </cell>
          <cell r="F1975" t="str">
            <v>GS2</v>
          </cell>
          <cell r="G1975" t="str">
            <v>KT</v>
          </cell>
        </row>
        <row r="1976">
          <cell r="C1976" t="str">
            <v>L6235060131</v>
          </cell>
          <cell r="D1976">
            <v>1</v>
          </cell>
          <cell r="E1976" t="str">
            <v>Bình thường</v>
          </cell>
          <cell r="F1976" t="str">
            <v>EN1</v>
          </cell>
          <cell r="G1976" t="str">
            <v>AF1, AL1, AB1</v>
          </cell>
        </row>
        <row r="1977">
          <cell r="C1977" t="str">
            <v>L6125090222</v>
          </cell>
          <cell r="D1977">
            <v>1</v>
          </cell>
          <cell r="E1977" t="str">
            <v>Bình thường</v>
          </cell>
          <cell r="F1977" t="str">
            <v>MA1</v>
          </cell>
          <cell r="G1977" t="str">
            <v>MC1</v>
          </cell>
        </row>
        <row r="1978">
          <cell r="C1978" t="str">
            <v>L62250702531</v>
          </cell>
          <cell r="D1978">
            <v>1</v>
          </cell>
          <cell r="E1978" t="str">
            <v>Bình thường</v>
          </cell>
          <cell r="F1978" t="str">
            <v>MC1</v>
          </cell>
          <cell r="G1978" t="str">
            <v>AB1</v>
          </cell>
        </row>
        <row r="1979">
          <cell r="C1979" t="str">
            <v>L4155040061</v>
          </cell>
          <cell r="D1979">
            <v>1</v>
          </cell>
          <cell r="E1979" t="str">
            <v>Bình thường</v>
          </cell>
          <cell r="F1979" t="str">
            <v>EN1</v>
          </cell>
          <cell r="G1979" t="str">
            <v>GJ1, AF1</v>
          </cell>
        </row>
        <row r="1980">
          <cell r="C1980" t="str">
            <v>L4125100073</v>
          </cell>
          <cell r="D1980">
            <v>1</v>
          </cell>
          <cell r="E1980" t="str">
            <v>Bình thường</v>
          </cell>
          <cell r="F1980" t="str">
            <v>GR1</v>
          </cell>
          <cell r="G1980" t="str">
            <v>EW1, AB1</v>
          </cell>
        </row>
        <row r="1981">
          <cell r="C1981" t="str">
            <v>L6305090433</v>
          </cell>
          <cell r="D1981">
            <v>1</v>
          </cell>
          <cell r="E1981" t="str">
            <v>Bình thường</v>
          </cell>
          <cell r="F1981" t="str">
            <v>AA1</v>
          </cell>
          <cell r="G1981" t="str">
            <v>MA1, BJ1</v>
          </cell>
        </row>
        <row r="1982">
          <cell r="C1982" t="str">
            <v>L62250702520</v>
          </cell>
          <cell r="D1982">
            <v>1</v>
          </cell>
          <cell r="E1982" t="str">
            <v>Bình thường</v>
          </cell>
          <cell r="F1982" t="str">
            <v>MC1</v>
          </cell>
          <cell r="G1982" t="str">
            <v>AB1</v>
          </cell>
        </row>
        <row r="1983">
          <cell r="C1983" t="str">
            <v>213507112A28</v>
          </cell>
          <cell r="D1983">
            <v>1</v>
          </cell>
          <cell r="E1983" t="str">
            <v>Bình thường</v>
          </cell>
          <cell r="F1983" t="str">
            <v>GP1</v>
          </cell>
          <cell r="G1983" t="str">
            <v>AF1, AL1</v>
          </cell>
        </row>
        <row r="1984">
          <cell r="C1984" t="str">
            <v>213508167A2</v>
          </cell>
          <cell r="D1984">
            <v>1</v>
          </cell>
          <cell r="E1984" t="str">
            <v>Bình thường</v>
          </cell>
          <cell r="F1984" t="str">
            <v>GS1</v>
          </cell>
          <cell r="G1984" t="str">
            <v>GP1, AF1</v>
          </cell>
        </row>
        <row r="1985">
          <cell r="C1985" t="str">
            <v>213509048B62</v>
          </cell>
          <cell r="D1985">
            <v>1</v>
          </cell>
          <cell r="E1985" t="str">
            <v>Bình thường</v>
          </cell>
          <cell r="F1985" t="str">
            <v>AF1</v>
          </cell>
          <cell r="G1985" t="str">
            <v>AB1</v>
          </cell>
        </row>
        <row r="1986">
          <cell r="C1986" t="str">
            <v>L6115070271</v>
          </cell>
          <cell r="D1986">
            <v>1</v>
          </cell>
          <cell r="E1986" t="str">
            <v>Bình thường</v>
          </cell>
          <cell r="F1986" t="str">
            <v>GR1</v>
          </cell>
          <cell r="G1986" t="str">
            <v>GS2, AF1</v>
          </cell>
        </row>
        <row r="1987">
          <cell r="C1987" t="str">
            <v>L6305080922</v>
          </cell>
          <cell r="D1987">
            <v>1</v>
          </cell>
          <cell r="E1987" t="str">
            <v>Khẩn</v>
          </cell>
          <cell r="F1987" t="str">
            <v>MA1</v>
          </cell>
          <cell r="G1987" t="str">
            <v>BJ1, DA1, HT1, GS1, GJ1, AF1</v>
          </cell>
        </row>
        <row r="1988">
          <cell r="C1988" t="str">
            <v>213503195A2</v>
          </cell>
          <cell r="D1988">
            <v>1</v>
          </cell>
          <cell r="E1988" t="str">
            <v>Bình thường</v>
          </cell>
          <cell r="F1988" t="str">
            <v>GP1</v>
          </cell>
          <cell r="G1988" t="str">
            <v>GS1, GJ1, GS2, EN2, GP2, AF1</v>
          </cell>
        </row>
        <row r="1989">
          <cell r="C1989" t="str">
            <v>213508107A13</v>
          </cell>
          <cell r="D1989">
            <v>1</v>
          </cell>
          <cell r="E1989" t="str">
            <v>Bình thường</v>
          </cell>
          <cell r="F1989" t="str">
            <v>GR1</v>
          </cell>
          <cell r="G1989" t="str">
            <v>GP1, GS2, EW2, EN1, AF1</v>
          </cell>
        </row>
        <row r="1990">
          <cell r="C1990" t="str">
            <v>213508065B34</v>
          </cell>
          <cell r="D1990">
            <v>1</v>
          </cell>
          <cell r="E1990" t="str">
            <v>Bình thường</v>
          </cell>
          <cell r="F1990" t="str">
            <v>GS1</v>
          </cell>
          <cell r="G1990" t="str">
            <v>MC1, EN1, AF2</v>
          </cell>
        </row>
        <row r="1991">
          <cell r="C1991" t="str">
            <v>213508171A7</v>
          </cell>
          <cell r="D1991">
            <v>1</v>
          </cell>
          <cell r="E1991" t="str">
            <v>Bình thường</v>
          </cell>
          <cell r="F1991" t="str">
            <v>AF1</v>
          </cell>
          <cell r="G1991" t="str">
            <v>VP</v>
          </cell>
        </row>
        <row r="1992">
          <cell r="C1992" t="str">
            <v>213509259A15</v>
          </cell>
          <cell r="D1992">
            <v>1</v>
          </cell>
          <cell r="E1992" t="str">
            <v>Bình thường</v>
          </cell>
          <cell r="F1992" t="str">
            <v>GS1</v>
          </cell>
          <cell r="G1992" t="str">
            <v>ED1, EW1, AF1</v>
          </cell>
        </row>
        <row r="1993">
          <cell r="C1993" t="str">
            <v>62350700101</v>
          </cell>
          <cell r="D1993">
            <v>1</v>
          </cell>
          <cell r="E1993" t="str">
            <v>Bình thường</v>
          </cell>
          <cell r="F1993" t="str">
            <v>LA1</v>
          </cell>
          <cell r="G1993" t="str">
            <v>MA1, MC1, MA2, LA2, LN1, BJ1, LA3</v>
          </cell>
        </row>
        <row r="1994">
          <cell r="C1994" t="str">
            <v>213506035A30</v>
          </cell>
          <cell r="D1994">
            <v>1</v>
          </cell>
          <cell r="E1994" t="str">
            <v>Bình thường</v>
          </cell>
          <cell r="F1994" t="str">
            <v>GS2</v>
          </cell>
          <cell r="G1994" t="str">
            <v>AF1</v>
          </cell>
        </row>
        <row r="1995">
          <cell r="C1995" t="str">
            <v>61250600491</v>
          </cell>
          <cell r="D1995">
            <v>1</v>
          </cell>
          <cell r="E1995" t="str">
            <v>Bình thường</v>
          </cell>
          <cell r="F1995" t="str">
            <v>GC1</v>
          </cell>
          <cell r="G1995" t="str">
            <v>AF1, AL1, AB1</v>
          </cell>
        </row>
        <row r="1996">
          <cell r="C1996" t="str">
            <v>213506040B53</v>
          </cell>
          <cell r="D1996">
            <v>1</v>
          </cell>
          <cell r="E1996" t="str">
            <v>Bình thường</v>
          </cell>
          <cell r="F1996" t="str">
            <v>AF1</v>
          </cell>
          <cell r="G1996" t="str">
            <v>VP</v>
          </cell>
        </row>
        <row r="1997">
          <cell r="C1997" t="str">
            <v>L6115030133</v>
          </cell>
          <cell r="D1997">
            <v>1</v>
          </cell>
          <cell r="E1997" t="str">
            <v>Bình thường</v>
          </cell>
          <cell r="F1997" t="str">
            <v>EW1</v>
          </cell>
          <cell r="G1997" t="str">
            <v>AF1, WG1, GS1, EW2, AF2</v>
          </cell>
        </row>
        <row r="1998">
          <cell r="C1998" t="str">
            <v>213508152A8</v>
          </cell>
          <cell r="D1998">
            <v>1</v>
          </cell>
          <cell r="E1998" t="str">
            <v>Bình thường</v>
          </cell>
          <cell r="F1998" t="str">
            <v>GC1</v>
          </cell>
          <cell r="G1998" t="str">
            <v>GJ1, KA1, AF1, BJ2, HT2, AF2</v>
          </cell>
        </row>
        <row r="1999">
          <cell r="C1999" t="str">
            <v>L6115050263</v>
          </cell>
          <cell r="D1999">
            <v>1</v>
          </cell>
          <cell r="E1999" t="str">
            <v>Bình thường</v>
          </cell>
          <cell r="F1999" t="str">
            <v>GP1</v>
          </cell>
          <cell r="G1999" t="str">
            <v>EN1</v>
          </cell>
        </row>
        <row r="2000">
          <cell r="C2000" t="str">
            <v>213508508A2</v>
          </cell>
          <cell r="D2000">
            <v>1</v>
          </cell>
          <cell r="E2000" t="str">
            <v>Bình thường</v>
          </cell>
          <cell r="F2000" t="str">
            <v>EN1</v>
          </cell>
          <cell r="G2000" t="str">
            <v>KT</v>
          </cell>
        </row>
        <row r="2001">
          <cell r="C2001" t="str">
            <v>L6115030135</v>
          </cell>
          <cell r="D2001">
            <v>1</v>
          </cell>
          <cell r="E2001" t="str">
            <v>Bình thường</v>
          </cell>
          <cell r="F2001" t="str">
            <v>GR2</v>
          </cell>
          <cell r="G2001" t="str">
            <v>GP1, EN1, AF1</v>
          </cell>
        </row>
        <row r="2002">
          <cell r="C2002" t="str">
            <v>L61150700911</v>
          </cell>
          <cell r="D2002">
            <v>1</v>
          </cell>
          <cell r="E2002" t="str">
            <v>Bình thường</v>
          </cell>
          <cell r="F2002" t="str">
            <v>GR1</v>
          </cell>
          <cell r="G2002" t="str">
            <v>GS2, EN1, AF1</v>
          </cell>
        </row>
        <row r="2003">
          <cell r="C2003" t="str">
            <v>L6115090131</v>
          </cell>
          <cell r="D2003">
            <v>1</v>
          </cell>
          <cell r="E2003" t="str">
            <v>Bình thường</v>
          </cell>
          <cell r="F2003" t="str">
            <v>EW1</v>
          </cell>
          <cell r="G2003" t="str">
            <v>GS1</v>
          </cell>
        </row>
        <row r="2004">
          <cell r="C2004" t="str">
            <v>L6305060431</v>
          </cell>
          <cell r="D2004">
            <v>1</v>
          </cell>
          <cell r="E2004" t="str">
            <v>Bình thường</v>
          </cell>
          <cell r="F2004" t="str">
            <v>GJ1</v>
          </cell>
          <cell r="G2004" t="str">
            <v>AF1, AB1</v>
          </cell>
        </row>
        <row r="2005">
          <cell r="C2005" t="str">
            <v>L61150700910</v>
          </cell>
          <cell r="D2005">
            <v>1</v>
          </cell>
          <cell r="E2005" t="str">
            <v>Bình thường</v>
          </cell>
          <cell r="F2005" t="str">
            <v>GS2</v>
          </cell>
          <cell r="G2005" t="str">
            <v>EW1, EN1, AF1</v>
          </cell>
        </row>
        <row r="2006">
          <cell r="C2006" t="str">
            <v>L6114120181</v>
          </cell>
          <cell r="D2006">
            <v>1</v>
          </cell>
          <cell r="E2006" t="str">
            <v>Bình thường</v>
          </cell>
          <cell r="F2006" t="str">
            <v>GP1</v>
          </cell>
          <cell r="G2006" t="str">
            <v>KT</v>
          </cell>
        </row>
        <row r="2007">
          <cell r="C2007" t="str">
            <v>213506190A52</v>
          </cell>
          <cell r="D2007">
            <v>1</v>
          </cell>
          <cell r="E2007" t="str">
            <v>Bình thường</v>
          </cell>
          <cell r="F2007" t="str">
            <v>GS2</v>
          </cell>
          <cell r="G2007" t="str">
            <v>EN1, AF1</v>
          </cell>
        </row>
        <row r="2008">
          <cell r="C2008" t="str">
            <v>213506065B13</v>
          </cell>
          <cell r="D2008">
            <v>1</v>
          </cell>
          <cell r="E2008" t="str">
            <v>Bình thường</v>
          </cell>
          <cell r="F2008" t="str">
            <v>LT1</v>
          </cell>
          <cell r="G2008" t="str">
            <v>KT</v>
          </cell>
        </row>
        <row r="2009">
          <cell r="C2009" t="str">
            <v>213509024A25</v>
          </cell>
          <cell r="D2009">
            <v>1</v>
          </cell>
          <cell r="E2009" t="str">
            <v>Bình thường</v>
          </cell>
          <cell r="F2009" t="str">
            <v>GR1</v>
          </cell>
          <cell r="G2009" t="str">
            <v>GP1, GS2, EW2, EN1, AF1</v>
          </cell>
        </row>
        <row r="2010">
          <cell r="C2010" t="str">
            <v>41351000041</v>
          </cell>
          <cell r="D2010">
            <v>1</v>
          </cell>
          <cell r="E2010" t="str">
            <v>Khẩn</v>
          </cell>
          <cell r="F2010" t="str">
            <v>BJ1</v>
          </cell>
          <cell r="G2010" t="str">
            <v>DA1, HT1, GS1, AF1</v>
          </cell>
        </row>
        <row r="2011">
          <cell r="C2011" t="str">
            <v>61250900201</v>
          </cell>
          <cell r="D2011">
            <v>1</v>
          </cell>
          <cell r="E2011" t="str">
            <v>Bình thường</v>
          </cell>
          <cell r="F2011" t="str">
            <v>EW1</v>
          </cell>
          <cell r="G2011" t="str">
            <v>GS2, AF1</v>
          </cell>
        </row>
        <row r="2012">
          <cell r="C2012" t="str">
            <v>213507081B21</v>
          </cell>
          <cell r="D2012">
            <v>1</v>
          </cell>
          <cell r="E2012" t="str">
            <v>Bình thường</v>
          </cell>
          <cell r="F2012" t="str">
            <v>GS1</v>
          </cell>
          <cell r="G2012" t="str">
            <v>EN1, AF1, AL1</v>
          </cell>
        </row>
        <row r="2013">
          <cell r="C2013" t="str">
            <v>213506245A8</v>
          </cell>
          <cell r="D2013">
            <v>1</v>
          </cell>
          <cell r="E2013" t="str">
            <v>Bình thường</v>
          </cell>
          <cell r="F2013" t="str">
            <v>GS1</v>
          </cell>
          <cell r="G2013" t="str">
            <v>GP1</v>
          </cell>
        </row>
        <row r="2014">
          <cell r="C2014" t="str">
            <v>L6125060052</v>
          </cell>
          <cell r="D2014">
            <v>1</v>
          </cell>
          <cell r="E2014" t="str">
            <v>Bình thường</v>
          </cell>
          <cell r="F2014" t="str">
            <v>GJ1</v>
          </cell>
          <cell r="G2014" t="str">
            <v>GP1, AF1, AL1</v>
          </cell>
        </row>
        <row r="2015">
          <cell r="C2015" t="str">
            <v>L6235050061</v>
          </cell>
          <cell r="D2015">
            <v>1</v>
          </cell>
          <cell r="E2015" t="str">
            <v>Bình thường</v>
          </cell>
          <cell r="F2015" t="str">
            <v>EW1</v>
          </cell>
          <cell r="G2015" t="str">
            <v>GS1, WG1, GS2, EW2, EN1, AF1, AB1</v>
          </cell>
        </row>
        <row r="2016">
          <cell r="C2016" t="str">
            <v>L6305070835</v>
          </cell>
          <cell r="D2016">
            <v>1</v>
          </cell>
          <cell r="E2016" t="str">
            <v>Bình thường</v>
          </cell>
          <cell r="F2016" t="str">
            <v>MC1</v>
          </cell>
          <cell r="G2016" t="str">
            <v>AB1</v>
          </cell>
        </row>
        <row r="2017">
          <cell r="C2017" t="str">
            <v>623509025G1</v>
          </cell>
          <cell r="D2017">
            <v>1</v>
          </cell>
          <cell r="E2017" t="str">
            <v>Bình thường</v>
          </cell>
          <cell r="F2017" t="str">
            <v>GC1</v>
          </cell>
          <cell r="G2017" t="str">
            <v>AF1, AL1</v>
          </cell>
        </row>
        <row r="2018">
          <cell r="C2018" t="str">
            <v>L6115060106</v>
          </cell>
          <cell r="D2018">
            <v>1</v>
          </cell>
          <cell r="E2018" t="str">
            <v>Bình thường</v>
          </cell>
          <cell r="F2018" t="str">
            <v>AF1</v>
          </cell>
          <cell r="G2018" t="str">
            <v>KT</v>
          </cell>
        </row>
        <row r="2019">
          <cell r="C2019" t="str">
            <v>L6225070411</v>
          </cell>
          <cell r="D2019">
            <v>1</v>
          </cell>
          <cell r="E2019" t="str">
            <v>Bình thường</v>
          </cell>
          <cell r="F2019" t="str">
            <v>GS1</v>
          </cell>
          <cell r="G2019" t="str">
            <v>AF1, AB1</v>
          </cell>
        </row>
        <row r="2020">
          <cell r="C2020" t="str">
            <v>L6305050341</v>
          </cell>
          <cell r="D2020">
            <v>1</v>
          </cell>
          <cell r="E2020" t="str">
            <v>Bình thường</v>
          </cell>
          <cell r="F2020" t="str">
            <v>AF2</v>
          </cell>
          <cell r="G2020" t="str">
            <v>AB1</v>
          </cell>
        </row>
        <row r="2021">
          <cell r="C2021" t="str">
            <v>L6305090343</v>
          </cell>
          <cell r="D2021">
            <v>1</v>
          </cell>
          <cell r="E2021" t="str">
            <v>Bình thường</v>
          </cell>
          <cell r="F2021" t="str">
            <v>MA1</v>
          </cell>
          <cell r="G2021" t="str">
            <v>GS1, BJ1, DA1, GS2, AB1</v>
          </cell>
        </row>
        <row r="2022">
          <cell r="C2022" t="str">
            <v>R4125103481</v>
          </cell>
          <cell r="D2022">
            <v>1</v>
          </cell>
          <cell r="E2022" t="str">
            <v>Khẩn</v>
          </cell>
          <cell r="F2022" t="str">
            <v>EW1</v>
          </cell>
          <cell r="G2022" t="str">
            <v>GS1, WG1, GS2, EN1, AF1</v>
          </cell>
        </row>
        <row r="2023">
          <cell r="C2023" t="str">
            <v>L62350801715</v>
          </cell>
          <cell r="D2023">
            <v>1</v>
          </cell>
          <cell r="E2023" t="str">
            <v>Bình thường</v>
          </cell>
          <cell r="F2023" t="str">
            <v>MC1</v>
          </cell>
          <cell r="G2023" t="str">
            <v>HT1, GS2, EW1, EN1, AF1, AB1</v>
          </cell>
        </row>
        <row r="2024">
          <cell r="C2024" t="str">
            <v>L6115070099</v>
          </cell>
          <cell r="D2024">
            <v>1</v>
          </cell>
          <cell r="E2024" t="str">
            <v>Bình thường</v>
          </cell>
          <cell r="F2024" t="str">
            <v>GR1</v>
          </cell>
          <cell r="G2024" t="str">
            <v>GP1, GS1, GP2, AF1</v>
          </cell>
        </row>
        <row r="2025">
          <cell r="C2025" t="str">
            <v>R21351090B1</v>
          </cell>
          <cell r="D2025">
            <v>1</v>
          </cell>
          <cell r="E2025" t="str">
            <v>Bình thường</v>
          </cell>
          <cell r="F2025" t="str">
            <v>ED1</v>
          </cell>
          <cell r="G2025" t="str">
            <v>EW1, EN1</v>
          </cell>
        </row>
        <row r="2026">
          <cell r="C2026" t="str">
            <v>213506077A51</v>
          </cell>
          <cell r="D2026">
            <v>1</v>
          </cell>
          <cell r="E2026" t="str">
            <v>Bình thường</v>
          </cell>
          <cell r="F2026" t="str">
            <v>EN1</v>
          </cell>
          <cell r="G2026" t="str">
            <v>GS2</v>
          </cell>
        </row>
        <row r="2027">
          <cell r="C2027" t="str">
            <v>213505272A23</v>
          </cell>
          <cell r="D2027">
            <v>1</v>
          </cell>
          <cell r="E2027" t="str">
            <v>Bình thường</v>
          </cell>
          <cell r="F2027" t="str">
            <v>MC1</v>
          </cell>
          <cell r="G2027" t="str">
            <v>GJ1, EN1, GS3, EN2, GR3, AF2</v>
          </cell>
        </row>
        <row r="2028">
          <cell r="C2028" t="str">
            <v>213507504A7</v>
          </cell>
          <cell r="D2028">
            <v>1</v>
          </cell>
          <cell r="E2028" t="str">
            <v>Bình thường</v>
          </cell>
          <cell r="F2028" t="str">
            <v>EN1</v>
          </cell>
          <cell r="G2028" t="str">
            <v>AF1</v>
          </cell>
        </row>
        <row r="2029">
          <cell r="C2029" t="str">
            <v>213509023B43</v>
          </cell>
          <cell r="D2029">
            <v>1</v>
          </cell>
          <cell r="E2029" t="str">
            <v>Bình thường</v>
          </cell>
          <cell r="F2029" t="str">
            <v>GR1</v>
          </cell>
          <cell r="G2029" t="str">
            <v>GS1, AB1</v>
          </cell>
        </row>
        <row r="2030">
          <cell r="C2030" t="str">
            <v>213505087B29</v>
          </cell>
          <cell r="D2030">
            <v>1</v>
          </cell>
          <cell r="E2030" t="str">
            <v>Bình thường</v>
          </cell>
          <cell r="F2030" t="str">
            <v>GR1</v>
          </cell>
          <cell r="G2030" t="str">
            <v>GS1, GP1, EW1, EN1, AF2</v>
          </cell>
        </row>
        <row r="2031">
          <cell r="C2031" t="str">
            <v>213507147A4</v>
          </cell>
          <cell r="D2031">
            <v>1</v>
          </cell>
          <cell r="E2031" t="str">
            <v>Bình thường</v>
          </cell>
          <cell r="F2031" t="str">
            <v>EW1</v>
          </cell>
          <cell r="G2031" t="str">
            <v>GS2, EN1, AF1</v>
          </cell>
        </row>
        <row r="2032">
          <cell r="C2032" t="str">
            <v>213505510A22</v>
          </cell>
          <cell r="D2032">
            <v>1</v>
          </cell>
          <cell r="E2032" t="str">
            <v>Bình thường</v>
          </cell>
          <cell r="F2032" t="str">
            <v>EW1</v>
          </cell>
          <cell r="G2032" t="str">
            <v>GS2</v>
          </cell>
        </row>
        <row r="2033">
          <cell r="C2033" t="str">
            <v>213506176A34</v>
          </cell>
          <cell r="D2033">
            <v>1</v>
          </cell>
          <cell r="E2033" t="str">
            <v>Bình thường</v>
          </cell>
          <cell r="F2033" t="str">
            <v>EW1</v>
          </cell>
          <cell r="G2033" t="str">
            <v>GS1, AF1, WG1, GS2, EW2, AF2, AL1</v>
          </cell>
        </row>
        <row r="2034">
          <cell r="C2034" t="str">
            <v>L4155040063</v>
          </cell>
          <cell r="D2034">
            <v>1</v>
          </cell>
          <cell r="E2034" t="str">
            <v>Bình thường</v>
          </cell>
          <cell r="F2034" t="str">
            <v>GS2</v>
          </cell>
          <cell r="G2034" t="str">
            <v>GP1, EW1, AF1</v>
          </cell>
        </row>
        <row r="2035">
          <cell r="C2035" t="str">
            <v>213507049B21</v>
          </cell>
          <cell r="D2035">
            <v>1</v>
          </cell>
          <cell r="E2035" t="str">
            <v>Bình thường</v>
          </cell>
          <cell r="F2035" t="str">
            <v>LA1</v>
          </cell>
          <cell r="G2035" t="str">
            <v>LN1, GR1, LA2, GJ1, LA3</v>
          </cell>
        </row>
        <row r="2036">
          <cell r="C2036" t="str">
            <v>L4155020071</v>
          </cell>
          <cell r="D2036">
            <v>1</v>
          </cell>
          <cell r="E2036" t="str">
            <v>Bình thường</v>
          </cell>
          <cell r="F2036" t="str">
            <v>GP1</v>
          </cell>
          <cell r="G2036" t="str">
            <v>KT</v>
          </cell>
        </row>
        <row r="2037">
          <cell r="C2037" t="str">
            <v>213506019B18</v>
          </cell>
          <cell r="D2037">
            <v>1</v>
          </cell>
          <cell r="E2037" t="str">
            <v>Bình thường</v>
          </cell>
          <cell r="F2037" t="str">
            <v>LN1</v>
          </cell>
          <cell r="G2037" t="str">
            <v>GR1, LA2, GJ1, LA3, BJ1, DA1</v>
          </cell>
        </row>
        <row r="2038">
          <cell r="C2038" t="str">
            <v>L6125090112</v>
          </cell>
          <cell r="D2038">
            <v>1</v>
          </cell>
          <cell r="E2038" t="str">
            <v>Bình thường</v>
          </cell>
          <cell r="F2038" t="str">
            <v>MA1</v>
          </cell>
          <cell r="G2038" t="str">
            <v>BJ1, GS1, GJ1, AB1</v>
          </cell>
        </row>
        <row r="2039">
          <cell r="C2039" t="str">
            <v>L6235090062</v>
          </cell>
          <cell r="D2039">
            <v>1</v>
          </cell>
          <cell r="E2039" t="str">
            <v>Bình thường</v>
          </cell>
          <cell r="F2039" t="str">
            <v>EW1</v>
          </cell>
          <cell r="G2039" t="str">
            <v>WG1, GS2, BJ2, AF1, AB1</v>
          </cell>
        </row>
        <row r="2040">
          <cell r="C2040" t="str">
            <v>L4135080261</v>
          </cell>
          <cell r="D2040">
            <v>1</v>
          </cell>
          <cell r="E2040" t="str">
            <v>Bình thường</v>
          </cell>
          <cell r="F2040" t="str">
            <v>MC1</v>
          </cell>
          <cell r="G2040" t="str">
            <v>AB1</v>
          </cell>
        </row>
        <row r="2041">
          <cell r="C2041" t="str">
            <v>L6115050125</v>
          </cell>
          <cell r="D2041">
            <v>1</v>
          </cell>
          <cell r="E2041" t="str">
            <v>Bình thường</v>
          </cell>
          <cell r="F2041" t="str">
            <v>GS1</v>
          </cell>
          <cell r="G2041" t="str">
            <v>ED1, EW2, GS2</v>
          </cell>
        </row>
        <row r="2042">
          <cell r="C2042" t="str">
            <v>L6305050222</v>
          </cell>
          <cell r="D2042">
            <v>1</v>
          </cell>
          <cell r="E2042" t="str">
            <v>Bình thường</v>
          </cell>
          <cell r="F2042" t="str">
            <v>GC1</v>
          </cell>
          <cell r="G2042" t="str">
            <v>EN1</v>
          </cell>
        </row>
        <row r="2043">
          <cell r="C2043" t="str">
            <v>L62350801730</v>
          </cell>
          <cell r="D2043">
            <v>1</v>
          </cell>
          <cell r="E2043" t="str">
            <v>Bình thường</v>
          </cell>
          <cell r="F2043" t="str">
            <v>AA1</v>
          </cell>
          <cell r="G2043" t="str">
            <v>BJ1, DA1, GS1, AB1</v>
          </cell>
        </row>
        <row r="2044">
          <cell r="C2044" t="str">
            <v>L6305090434</v>
          </cell>
          <cell r="D2044">
            <v>1</v>
          </cell>
          <cell r="E2044" t="str">
            <v>Bình thường</v>
          </cell>
          <cell r="F2044" t="str">
            <v>AA1</v>
          </cell>
          <cell r="G2044" t="str">
            <v>MA1, EW1</v>
          </cell>
        </row>
        <row r="2045">
          <cell r="C2045" t="str">
            <v>L6305080921</v>
          </cell>
          <cell r="D2045">
            <v>1</v>
          </cell>
          <cell r="E2045" t="str">
            <v>Khẩn</v>
          </cell>
          <cell r="F2045" t="str">
            <v>MA1</v>
          </cell>
          <cell r="G2045" t="str">
            <v>BJ1, DA1, HT1, GS1, GJ1, AF1</v>
          </cell>
        </row>
        <row r="2046">
          <cell r="C2046" t="str">
            <v>213506210A5</v>
          </cell>
          <cell r="D2046">
            <v>1</v>
          </cell>
          <cell r="E2046" t="str">
            <v>Bình thường</v>
          </cell>
          <cell r="F2046" t="str">
            <v>GS1</v>
          </cell>
          <cell r="G2046" t="str">
            <v>EW1, GR1, GS2, GP1, EN1</v>
          </cell>
        </row>
        <row r="2047">
          <cell r="C2047" t="str">
            <v>213507146A3</v>
          </cell>
          <cell r="D2047">
            <v>1</v>
          </cell>
          <cell r="E2047" t="str">
            <v>Bình thường</v>
          </cell>
          <cell r="F2047" t="str">
            <v>GS1</v>
          </cell>
          <cell r="G2047" t="str">
            <v>GP1, AF1</v>
          </cell>
        </row>
        <row r="2048">
          <cell r="C2048" t="str">
            <v>213509206A8</v>
          </cell>
          <cell r="D2048">
            <v>1</v>
          </cell>
          <cell r="E2048" t="str">
            <v>Bình thường</v>
          </cell>
          <cell r="F2048" t="str">
            <v>AA1</v>
          </cell>
          <cell r="G2048" t="str">
            <v>MA1, BJ1, AF1</v>
          </cell>
        </row>
        <row r="2049">
          <cell r="C2049" t="str">
            <v>213507024A31</v>
          </cell>
          <cell r="D2049">
            <v>1</v>
          </cell>
          <cell r="E2049" t="str">
            <v>Bình thường</v>
          </cell>
          <cell r="F2049" t="str">
            <v>GS2</v>
          </cell>
          <cell r="G2049" t="str">
            <v>AF1</v>
          </cell>
        </row>
        <row r="2050">
          <cell r="C2050" t="str">
            <v>L6115070243</v>
          </cell>
          <cell r="D2050">
            <v>1</v>
          </cell>
          <cell r="E2050" t="str">
            <v>Bình thường</v>
          </cell>
          <cell r="F2050" t="str">
            <v>GR1</v>
          </cell>
          <cell r="G2050" t="str">
            <v>GP1, GS1, GJ1, AF1</v>
          </cell>
        </row>
        <row r="2051">
          <cell r="C2051" t="str">
            <v>L6235050321</v>
          </cell>
          <cell r="D2051">
            <v>1</v>
          </cell>
          <cell r="E2051" t="str">
            <v>Bình thường</v>
          </cell>
          <cell r="F2051" t="str">
            <v>EN1</v>
          </cell>
          <cell r="G2051" t="str">
            <v>AF1, AB1</v>
          </cell>
        </row>
        <row r="2052">
          <cell r="C2052" t="str">
            <v>L6225100151</v>
          </cell>
          <cell r="D2052">
            <v>1</v>
          </cell>
          <cell r="E2052" t="str">
            <v>Bình thường</v>
          </cell>
          <cell r="F2052" t="str">
            <v>AA1</v>
          </cell>
          <cell r="G2052" t="str">
            <v>MA1, BJ1, DA1</v>
          </cell>
        </row>
        <row r="2053">
          <cell r="C2053" t="str">
            <v>L6115060141</v>
          </cell>
          <cell r="D2053">
            <v>1</v>
          </cell>
          <cell r="E2053" t="str">
            <v>Bình thường</v>
          </cell>
          <cell r="F2053" t="str">
            <v>GP1</v>
          </cell>
          <cell r="G2053" t="str">
            <v>KT</v>
          </cell>
        </row>
        <row r="2054">
          <cell r="C2054" t="str">
            <v>L6305070061</v>
          </cell>
          <cell r="D2054">
            <v>1</v>
          </cell>
          <cell r="E2054" t="str">
            <v>Bình thường</v>
          </cell>
          <cell r="F2054" t="str">
            <v>ED1</v>
          </cell>
          <cell r="G2054" t="str">
            <v>AF1, AB1</v>
          </cell>
        </row>
        <row r="2055">
          <cell r="C2055" t="str">
            <v>L6235090141</v>
          </cell>
          <cell r="D2055">
            <v>1</v>
          </cell>
          <cell r="E2055" t="str">
            <v>Bình thường</v>
          </cell>
          <cell r="F2055" t="str">
            <v>MA1</v>
          </cell>
          <cell r="G2055" t="str">
            <v>BJ1, DA1, GS1, AB1</v>
          </cell>
        </row>
        <row r="2056">
          <cell r="C2056" t="str">
            <v>L6305070112</v>
          </cell>
          <cell r="D2056">
            <v>1</v>
          </cell>
          <cell r="E2056" t="str">
            <v>Bình thường</v>
          </cell>
          <cell r="F2056" t="str">
            <v>EN1</v>
          </cell>
          <cell r="G2056" t="str">
            <v>AF1, AB1</v>
          </cell>
        </row>
        <row r="2057">
          <cell r="C2057" t="str">
            <v>L6225070412</v>
          </cell>
          <cell r="D2057">
            <v>1</v>
          </cell>
          <cell r="E2057" t="str">
            <v>Bình thường</v>
          </cell>
          <cell r="F2057" t="str">
            <v>GS1</v>
          </cell>
          <cell r="G2057" t="str">
            <v>AF1</v>
          </cell>
        </row>
        <row r="2058">
          <cell r="C2058" t="str">
            <v>L6305090143</v>
          </cell>
          <cell r="D2058">
            <v>1</v>
          </cell>
          <cell r="E2058" t="str">
            <v>Bình thường</v>
          </cell>
          <cell r="F2058" t="str">
            <v>MC1</v>
          </cell>
          <cell r="G2058" t="str">
            <v>HT1, GS2, AF1, AB1</v>
          </cell>
        </row>
        <row r="2059">
          <cell r="C2059" t="str">
            <v>L6115060083</v>
          </cell>
          <cell r="D2059">
            <v>1</v>
          </cell>
          <cell r="E2059" t="str">
            <v>Bình thường</v>
          </cell>
          <cell r="F2059" t="str">
            <v>GR1</v>
          </cell>
          <cell r="G2059" t="str">
            <v>GP1, GS1, GP2, AF1</v>
          </cell>
        </row>
        <row r="2060">
          <cell r="C2060" t="str">
            <v>R6235080271</v>
          </cell>
          <cell r="D2060">
            <v>1</v>
          </cell>
          <cell r="E2060" t="str">
            <v>Bình thường</v>
          </cell>
          <cell r="F2060" t="str">
            <v>MA1</v>
          </cell>
          <cell r="G2060" t="str">
            <v>BJ1</v>
          </cell>
        </row>
        <row r="2061">
          <cell r="C2061" t="str">
            <v>213507162A6</v>
          </cell>
          <cell r="D2061">
            <v>1</v>
          </cell>
          <cell r="E2061" t="str">
            <v>Bình thường</v>
          </cell>
          <cell r="F2061" t="str">
            <v>EW2</v>
          </cell>
          <cell r="G2061" t="str">
            <v>GS2, EN1</v>
          </cell>
        </row>
        <row r="2062">
          <cell r="C2062" t="str">
            <v>213509028B3</v>
          </cell>
          <cell r="D2062">
            <v>1</v>
          </cell>
          <cell r="E2062" t="str">
            <v>Bình thường</v>
          </cell>
          <cell r="F2062" t="str">
            <v>MA1</v>
          </cell>
          <cell r="G2062" t="str">
            <v>BJ1, DA1, HT1, GS1, EN1, AF1, AB1</v>
          </cell>
        </row>
        <row r="2063">
          <cell r="C2063" t="str">
            <v>213506085B54</v>
          </cell>
          <cell r="D2063">
            <v>1</v>
          </cell>
          <cell r="E2063" t="str">
            <v>Bình thường</v>
          </cell>
          <cell r="F2063" t="str">
            <v>BJ1</v>
          </cell>
          <cell r="G2063" t="str">
            <v>DA1, GS1, MC1, AF1, KA1, LT1</v>
          </cell>
        </row>
        <row r="2064">
          <cell r="C2064" t="str">
            <v>L6115050287</v>
          </cell>
          <cell r="D2064">
            <v>1</v>
          </cell>
          <cell r="E2064" t="str">
            <v>Bình thường</v>
          </cell>
          <cell r="F2064" t="str">
            <v>GS2</v>
          </cell>
          <cell r="G2064" t="str">
            <v>EN1</v>
          </cell>
        </row>
        <row r="2065">
          <cell r="C2065" t="str">
            <v>L4125100053</v>
          </cell>
          <cell r="D2065">
            <v>1</v>
          </cell>
          <cell r="E2065" t="str">
            <v>Bình thường</v>
          </cell>
          <cell r="F2065" t="str">
            <v>EW1</v>
          </cell>
          <cell r="G2065" t="str">
            <v>GP1, MC1</v>
          </cell>
        </row>
        <row r="2066">
          <cell r="C2066" t="str">
            <v>41251006061</v>
          </cell>
          <cell r="D2066">
            <v>1</v>
          </cell>
          <cell r="E2066" t="str">
            <v>Bình thường</v>
          </cell>
          <cell r="F2066" t="str">
            <v>AA1</v>
          </cell>
          <cell r="G2066" t="str">
            <v>MA1, GS1, MC1</v>
          </cell>
        </row>
        <row r="2067">
          <cell r="C2067" t="str">
            <v>L4125100072</v>
          </cell>
          <cell r="D2067">
            <v>1</v>
          </cell>
          <cell r="E2067" t="str">
            <v>Bình thường</v>
          </cell>
          <cell r="F2067" t="str">
            <v>AA1</v>
          </cell>
          <cell r="G2067" t="str">
            <v>MA1, BJ1, DA1, AB1</v>
          </cell>
        </row>
        <row r="2068">
          <cell r="C2068" t="str">
            <v>L6125090221</v>
          </cell>
          <cell r="D2068">
            <v>1</v>
          </cell>
          <cell r="E2068" t="str">
            <v>Bình thường</v>
          </cell>
          <cell r="F2068" t="str">
            <v>MC1</v>
          </cell>
          <cell r="G2068" t="str">
            <v>AB1</v>
          </cell>
        </row>
        <row r="2069">
          <cell r="C2069" t="str">
            <v>L6305080172</v>
          </cell>
          <cell r="D2069">
            <v>1</v>
          </cell>
          <cell r="E2069" t="str">
            <v>Bình thường</v>
          </cell>
          <cell r="F2069" t="str">
            <v>GS1</v>
          </cell>
          <cell r="G2069" t="str">
            <v>EN1, GJ1, AF1, AB1</v>
          </cell>
        </row>
        <row r="2070">
          <cell r="C2070" t="str">
            <v>L63050903411</v>
          </cell>
          <cell r="D2070">
            <v>1</v>
          </cell>
          <cell r="E2070" t="str">
            <v>Bình thường</v>
          </cell>
          <cell r="F2070" t="str">
            <v>BJ1</v>
          </cell>
          <cell r="G2070" t="str">
            <v>DA1, AB1</v>
          </cell>
        </row>
        <row r="2071">
          <cell r="C2071" t="str">
            <v>L6305090348</v>
          </cell>
          <cell r="D2071">
            <v>1</v>
          </cell>
          <cell r="E2071" t="str">
            <v>Bình thường</v>
          </cell>
          <cell r="F2071" t="str">
            <v>AA1</v>
          </cell>
          <cell r="G2071" t="str">
            <v>MA1, BJ1, AB1</v>
          </cell>
        </row>
        <row r="2072">
          <cell r="C2072" t="str">
            <v>L6115080406</v>
          </cell>
          <cell r="D2072">
            <v>1</v>
          </cell>
          <cell r="E2072" t="str">
            <v>Bình thường</v>
          </cell>
          <cell r="F2072" t="str">
            <v>GS1</v>
          </cell>
          <cell r="G2072" t="str">
            <v>AF1</v>
          </cell>
        </row>
        <row r="2073">
          <cell r="C2073" t="str">
            <v>L6305070133</v>
          </cell>
          <cell r="D2073">
            <v>1</v>
          </cell>
          <cell r="E2073" t="str">
            <v>Bình thường</v>
          </cell>
          <cell r="F2073" t="str">
            <v>EN1</v>
          </cell>
          <cell r="G2073" t="str">
            <v>AF1, AB1</v>
          </cell>
        </row>
        <row r="2074">
          <cell r="C2074" t="str">
            <v>L6215090241</v>
          </cell>
          <cell r="D2074">
            <v>1</v>
          </cell>
          <cell r="E2074" t="str">
            <v>Khẩn</v>
          </cell>
          <cell r="F2074" t="str">
            <v>WG1</v>
          </cell>
          <cell r="G2074" t="str">
            <v>VP</v>
          </cell>
        </row>
        <row r="2075">
          <cell r="C2075" t="str">
            <v>213509032B29</v>
          </cell>
          <cell r="D2075">
            <v>1</v>
          </cell>
          <cell r="E2075" t="str">
            <v>Bình thường</v>
          </cell>
          <cell r="F2075" t="str">
            <v>AA1</v>
          </cell>
          <cell r="G2075" t="str">
            <v>MA1, BJ1, HT1, GS1, AF1, AB1</v>
          </cell>
        </row>
        <row r="2076">
          <cell r="C2076" t="str">
            <v>213506118B32</v>
          </cell>
          <cell r="D2076">
            <v>1</v>
          </cell>
          <cell r="E2076" t="str">
            <v>Bình thường</v>
          </cell>
          <cell r="F2076" t="str">
            <v>EW1</v>
          </cell>
          <cell r="G2076" t="str">
            <v>EN1, GP1, AF1</v>
          </cell>
        </row>
        <row r="2077">
          <cell r="C2077" t="str">
            <v>213507067A31</v>
          </cell>
          <cell r="D2077">
            <v>1</v>
          </cell>
          <cell r="E2077" t="str">
            <v>Bình thường</v>
          </cell>
          <cell r="F2077" t="str">
            <v>MC1</v>
          </cell>
          <cell r="G2077" t="str">
            <v>BJ1, DA1, HT1, GS1, MC2, EW1, EN1, LA1, AF1</v>
          </cell>
        </row>
        <row r="2078">
          <cell r="C2078" t="str">
            <v>61250700311</v>
          </cell>
          <cell r="D2078">
            <v>1</v>
          </cell>
          <cell r="E2078" t="str">
            <v>Bình thường</v>
          </cell>
          <cell r="F2078" t="str">
            <v>GS2</v>
          </cell>
          <cell r="G2078" t="str">
            <v>AF1</v>
          </cell>
        </row>
        <row r="2079">
          <cell r="C2079" t="str">
            <v>213507118A7</v>
          </cell>
          <cell r="D2079">
            <v>1</v>
          </cell>
          <cell r="E2079" t="str">
            <v>Bình thường</v>
          </cell>
          <cell r="F2079" t="str">
            <v>GP1</v>
          </cell>
          <cell r="G2079" t="str">
            <v>GS2, EW2, EN1, AF1</v>
          </cell>
        </row>
        <row r="2080">
          <cell r="C2080" t="str">
            <v>L6115070097</v>
          </cell>
          <cell r="D2080">
            <v>1</v>
          </cell>
          <cell r="E2080" t="str">
            <v>Bình thường</v>
          </cell>
          <cell r="F2080" t="str">
            <v>GS1</v>
          </cell>
          <cell r="G2080" t="str">
            <v>AF1</v>
          </cell>
        </row>
        <row r="2081">
          <cell r="C2081" t="str">
            <v>L6225100152</v>
          </cell>
          <cell r="D2081">
            <v>1</v>
          </cell>
          <cell r="E2081" t="str">
            <v>Bình thường</v>
          </cell>
          <cell r="F2081" t="str">
            <v>AA1</v>
          </cell>
          <cell r="G2081" t="str">
            <v>MA1, BJ1, DA1, AB1</v>
          </cell>
        </row>
        <row r="2082">
          <cell r="C2082" t="str">
            <v>L6115070098</v>
          </cell>
          <cell r="D2082">
            <v>1</v>
          </cell>
          <cell r="E2082" t="str">
            <v>Bình thường</v>
          </cell>
          <cell r="F2082" t="str">
            <v>GS1</v>
          </cell>
          <cell r="G2082" t="str">
            <v>AF1</v>
          </cell>
        </row>
        <row r="2083">
          <cell r="C2083" t="str">
            <v>L6305070574</v>
          </cell>
          <cell r="D2083">
            <v>1</v>
          </cell>
          <cell r="E2083" t="str">
            <v>Bình thường</v>
          </cell>
          <cell r="F2083" t="str">
            <v>GS1</v>
          </cell>
          <cell r="G2083" t="str">
            <v>MC1, AB1</v>
          </cell>
        </row>
        <row r="2084">
          <cell r="C2084" t="str">
            <v>L62350901217</v>
          </cell>
          <cell r="D2084">
            <v>1</v>
          </cell>
          <cell r="E2084" t="str">
            <v>Bình thường</v>
          </cell>
          <cell r="F2084" t="str">
            <v>AA1</v>
          </cell>
          <cell r="G2084" t="str">
            <v>MA1, BJ1</v>
          </cell>
        </row>
        <row r="2085">
          <cell r="C2085" t="str">
            <v>L63050708312</v>
          </cell>
          <cell r="D2085">
            <v>1</v>
          </cell>
          <cell r="E2085" t="str">
            <v>Bình thường</v>
          </cell>
          <cell r="F2085" t="str">
            <v>MC1</v>
          </cell>
          <cell r="G2085" t="str">
            <v>AB1</v>
          </cell>
        </row>
        <row r="2086">
          <cell r="C2086" t="str">
            <v>213509033B30</v>
          </cell>
          <cell r="D2086">
            <v>1</v>
          </cell>
          <cell r="E2086" t="str">
            <v>Bình thường</v>
          </cell>
          <cell r="F2086" t="str">
            <v>GS1</v>
          </cell>
          <cell r="G2086" t="str">
            <v>AF1, AB1</v>
          </cell>
        </row>
        <row r="2087">
          <cell r="C2087" t="str">
            <v>213509018B37</v>
          </cell>
          <cell r="D2087">
            <v>1</v>
          </cell>
          <cell r="E2087" t="str">
            <v>Bình thường</v>
          </cell>
          <cell r="F2087" t="str">
            <v>MA1</v>
          </cell>
          <cell r="G2087" t="str">
            <v>MC1, HT1, AF1, AB1</v>
          </cell>
        </row>
        <row r="2088">
          <cell r="C2088" t="str">
            <v>L4125100062</v>
          </cell>
          <cell r="D2088">
            <v>1</v>
          </cell>
          <cell r="E2088" t="str">
            <v>Bình thường</v>
          </cell>
          <cell r="F2088" t="str">
            <v>EW1</v>
          </cell>
          <cell r="G2088" t="str">
            <v>GS1</v>
          </cell>
        </row>
        <row r="2089">
          <cell r="C2089" t="str">
            <v>213509100A38</v>
          </cell>
          <cell r="D2089">
            <v>1</v>
          </cell>
          <cell r="E2089" t="str">
            <v>Bình thường</v>
          </cell>
          <cell r="F2089" t="str">
            <v>GJ1</v>
          </cell>
          <cell r="G2089" t="str">
            <v>EW1, EN1, AF1</v>
          </cell>
        </row>
        <row r="2090">
          <cell r="C2090" t="str">
            <v>213509227A29</v>
          </cell>
          <cell r="D2090">
            <v>1</v>
          </cell>
          <cell r="E2090" t="str">
            <v>Bình thường</v>
          </cell>
          <cell r="F2090" t="str">
            <v>LA1</v>
          </cell>
          <cell r="G2090" t="str">
            <v>HT1, GS1</v>
          </cell>
        </row>
        <row r="2091">
          <cell r="C2091" t="str">
            <v>L4165090106</v>
          </cell>
          <cell r="D2091">
            <v>1</v>
          </cell>
          <cell r="E2091" t="str">
            <v>Bình thường</v>
          </cell>
          <cell r="F2091" t="str">
            <v>AA1</v>
          </cell>
          <cell r="G2091" t="str">
            <v>MA1, BJ1</v>
          </cell>
        </row>
        <row r="2092">
          <cell r="C2092" t="str">
            <v>L6115040481</v>
          </cell>
          <cell r="D2092">
            <v>1</v>
          </cell>
          <cell r="E2092" t="str">
            <v>Bình thường</v>
          </cell>
          <cell r="F2092" t="str">
            <v>EW1</v>
          </cell>
          <cell r="G2092" t="str">
            <v>GS1</v>
          </cell>
        </row>
        <row r="2093">
          <cell r="C2093" t="str">
            <v>213510088A3</v>
          </cell>
          <cell r="D2093">
            <v>1</v>
          </cell>
          <cell r="E2093" t="str">
            <v>Bình thường</v>
          </cell>
          <cell r="F2093" t="str">
            <v>LA1</v>
          </cell>
          <cell r="G2093" t="str">
            <v>HT1, GR1, AF1</v>
          </cell>
        </row>
        <row r="2094">
          <cell r="C2094" t="str">
            <v>L6305070122</v>
          </cell>
          <cell r="D2094">
            <v>1</v>
          </cell>
          <cell r="E2094" t="str">
            <v>Bình thường</v>
          </cell>
          <cell r="F2094" t="str">
            <v>BJ1</v>
          </cell>
          <cell r="G2094" t="str">
            <v>DA1, HT1, GS1, EW1, EN1, AF1, AB1</v>
          </cell>
        </row>
        <row r="2095">
          <cell r="C2095" t="str">
            <v>L4165090108</v>
          </cell>
          <cell r="D2095">
            <v>1</v>
          </cell>
          <cell r="E2095" t="str">
            <v>Bình thường</v>
          </cell>
          <cell r="F2095" t="str">
            <v>MC1</v>
          </cell>
          <cell r="G2095" t="str">
            <v>VP</v>
          </cell>
        </row>
        <row r="2096">
          <cell r="C2096" t="str">
            <v>L4125090131</v>
          </cell>
          <cell r="D2096">
            <v>1</v>
          </cell>
          <cell r="E2096" t="str">
            <v>Bình thường</v>
          </cell>
          <cell r="F2096" t="str">
            <v>EW1</v>
          </cell>
          <cell r="G2096" t="str">
            <v>GS2</v>
          </cell>
        </row>
        <row r="2097">
          <cell r="C2097" t="str">
            <v>L6235090054</v>
          </cell>
          <cell r="D2097">
            <v>1</v>
          </cell>
          <cell r="E2097" t="str">
            <v>Bình thường</v>
          </cell>
          <cell r="F2097" t="str">
            <v>MA1</v>
          </cell>
          <cell r="G2097" t="str">
            <v>BJ1, DA1, HT1, GS1, EN1, AF1, AB1</v>
          </cell>
        </row>
        <row r="2098">
          <cell r="C2098" t="str">
            <v>213509156A45</v>
          </cell>
          <cell r="D2098">
            <v>1</v>
          </cell>
          <cell r="E2098" t="str">
            <v>Bình thường</v>
          </cell>
          <cell r="F2098" t="str">
            <v>GR1</v>
          </cell>
          <cell r="G2098" t="str">
            <v>AB1</v>
          </cell>
        </row>
        <row r="2099">
          <cell r="C2099" t="str">
            <v>L2135103011</v>
          </cell>
          <cell r="D2099">
            <v>1</v>
          </cell>
          <cell r="E2099" t="str">
            <v>Khẩn</v>
          </cell>
          <cell r="F2099" t="str">
            <v>GS1</v>
          </cell>
          <cell r="G2099" t="str">
            <v>AF1, AB1, AF1, AB1</v>
          </cell>
        </row>
        <row r="2100">
          <cell r="C2100" t="str">
            <v>L6305070143</v>
          </cell>
          <cell r="D2100">
            <v>1</v>
          </cell>
          <cell r="E2100" t="str">
            <v>Bình thường</v>
          </cell>
          <cell r="F2100" t="str">
            <v>ED1</v>
          </cell>
          <cell r="G2100" t="str">
            <v>EW1, GJ1, LA2, GS2</v>
          </cell>
        </row>
        <row r="2101">
          <cell r="C2101" t="str">
            <v>L6125040052</v>
          </cell>
          <cell r="D2101">
            <v>1</v>
          </cell>
          <cell r="E2101" t="str">
            <v>Bình thường</v>
          </cell>
          <cell r="F2101" t="str">
            <v>GR1</v>
          </cell>
          <cell r="G2101" t="str">
            <v>GS1, ED1, EW1, GR2, GP1, GS2, AF1</v>
          </cell>
        </row>
        <row r="2102">
          <cell r="C2102" t="str">
            <v>213508083B36</v>
          </cell>
          <cell r="D2102">
            <v>1</v>
          </cell>
          <cell r="E2102" t="str">
            <v>Bình thường</v>
          </cell>
          <cell r="F2102" t="str">
            <v>GP1</v>
          </cell>
          <cell r="G2102" t="str">
            <v>ED1, AF1</v>
          </cell>
        </row>
        <row r="2103">
          <cell r="C2103" t="str">
            <v>-1</v>
          </cell>
          <cell r="D2103">
            <v>1</v>
          </cell>
          <cell r="E2103" t="str">
            <v>Bình thường</v>
          </cell>
          <cell r="F2103" t="str">
            <v>LA1</v>
          </cell>
          <cell r="G2103" t="str">
            <v>HT1, GR1, GS1, AF1, AL1</v>
          </cell>
        </row>
        <row r="2104">
          <cell r="C2104" t="str">
            <v>213509022A24</v>
          </cell>
          <cell r="D2104">
            <v>1</v>
          </cell>
          <cell r="E2104" t="str">
            <v>Bình thường</v>
          </cell>
          <cell r="F2104" t="str">
            <v>MC1</v>
          </cell>
          <cell r="G2104" t="str">
            <v>AB1</v>
          </cell>
        </row>
        <row r="2105">
          <cell r="C2105" t="str">
            <v>213507069B19</v>
          </cell>
          <cell r="D2105">
            <v>1</v>
          </cell>
          <cell r="E2105" t="str">
            <v>Bình thường</v>
          </cell>
          <cell r="F2105" t="str">
            <v>BJ1</v>
          </cell>
          <cell r="G2105" t="str">
            <v>ED1, EW1, MC1, EN1, AF1</v>
          </cell>
        </row>
        <row r="2106">
          <cell r="C2106" t="str">
            <v>L6115040365</v>
          </cell>
          <cell r="D2106">
            <v>1</v>
          </cell>
          <cell r="E2106" t="str">
            <v>Bình thường</v>
          </cell>
          <cell r="F2106" t="str">
            <v>GJ1</v>
          </cell>
          <cell r="G2106" t="str">
            <v>AF1, GS2</v>
          </cell>
        </row>
        <row r="2107">
          <cell r="C2107" t="str">
            <v>L4125090071</v>
          </cell>
          <cell r="D2107">
            <v>1</v>
          </cell>
          <cell r="E2107" t="str">
            <v>Bình thường</v>
          </cell>
          <cell r="F2107" t="str">
            <v>EW1</v>
          </cell>
          <cell r="G2107" t="str">
            <v>VP</v>
          </cell>
        </row>
        <row r="2108">
          <cell r="C2108" t="str">
            <v>L6225080244</v>
          </cell>
          <cell r="D2108">
            <v>1</v>
          </cell>
          <cell r="E2108" t="str">
            <v>Bình thường</v>
          </cell>
          <cell r="F2108" t="str">
            <v>MC1</v>
          </cell>
          <cell r="G2108" t="str">
            <v>VP</v>
          </cell>
        </row>
        <row r="2109">
          <cell r="C2109" t="str">
            <v>L6125080038</v>
          </cell>
          <cell r="D2109">
            <v>1</v>
          </cell>
          <cell r="E2109" t="str">
            <v>Bình thường</v>
          </cell>
          <cell r="F2109" t="str">
            <v>MA1</v>
          </cell>
          <cell r="G2109" t="str">
            <v>BJ1, DA1, HT1, GS1, EW1, AF1, AB1</v>
          </cell>
        </row>
        <row r="2110">
          <cell r="C2110" t="str">
            <v>L6115080405</v>
          </cell>
          <cell r="D2110">
            <v>1</v>
          </cell>
          <cell r="E2110" t="str">
            <v>Bình thường</v>
          </cell>
          <cell r="F2110" t="str">
            <v>MC1</v>
          </cell>
          <cell r="G2110" t="str">
            <v>HT1, GS1, EW1, MC2, AF1</v>
          </cell>
        </row>
        <row r="2111">
          <cell r="C2111" t="str">
            <v>L6115040367</v>
          </cell>
          <cell r="D2111">
            <v>1</v>
          </cell>
          <cell r="E2111" t="str">
            <v>Bình thường</v>
          </cell>
          <cell r="F2111" t="str">
            <v>GJ1</v>
          </cell>
          <cell r="G2111" t="str">
            <v>GP1, GS2, AF1</v>
          </cell>
        </row>
        <row r="2112">
          <cell r="C2112" t="str">
            <v>L6115070071</v>
          </cell>
          <cell r="D2112">
            <v>1</v>
          </cell>
          <cell r="E2112" t="str">
            <v>Bình thường</v>
          </cell>
          <cell r="F2112" t="str">
            <v>GS1</v>
          </cell>
          <cell r="G2112" t="str">
            <v>GJ1, GS2, EN1, AF1, AB1</v>
          </cell>
        </row>
        <row r="2113">
          <cell r="C2113" t="str">
            <v>213506256A26</v>
          </cell>
          <cell r="D2113">
            <v>1</v>
          </cell>
          <cell r="E2113" t="str">
            <v>Bình thường</v>
          </cell>
          <cell r="F2113" t="str">
            <v>GS2</v>
          </cell>
          <cell r="G2113" t="str">
            <v>KT</v>
          </cell>
        </row>
        <row r="2114">
          <cell r="C2114" t="str">
            <v>L6235090142</v>
          </cell>
          <cell r="D2114">
            <v>1</v>
          </cell>
          <cell r="E2114" t="str">
            <v>Bình thường</v>
          </cell>
          <cell r="F2114" t="str">
            <v>GS1</v>
          </cell>
          <cell r="G2114" t="str">
            <v>MC1, AB1</v>
          </cell>
        </row>
        <row r="2115">
          <cell r="C2115" t="str">
            <v>L6235070263</v>
          </cell>
          <cell r="D2115">
            <v>1</v>
          </cell>
          <cell r="E2115" t="str">
            <v>Bình thường</v>
          </cell>
          <cell r="F2115" t="str">
            <v>MA2</v>
          </cell>
          <cell r="G2115" t="str">
            <v>AB1</v>
          </cell>
        </row>
        <row r="2116">
          <cell r="C2116" t="str">
            <v>L61250800411</v>
          </cell>
          <cell r="D2116">
            <v>1</v>
          </cell>
          <cell r="E2116" t="str">
            <v>Bình thường</v>
          </cell>
          <cell r="F2116" t="str">
            <v>GR1</v>
          </cell>
          <cell r="G2116" t="str">
            <v>AB1</v>
          </cell>
        </row>
        <row r="2117">
          <cell r="C2117" t="str">
            <v>213505142A28</v>
          </cell>
          <cell r="D2117">
            <v>1</v>
          </cell>
          <cell r="E2117" t="str">
            <v>Bình thường</v>
          </cell>
          <cell r="F2117" t="str">
            <v>GJ1</v>
          </cell>
          <cell r="G2117" t="str">
            <v>GR1</v>
          </cell>
        </row>
        <row r="2118">
          <cell r="C2118" t="str">
            <v>213507074B2</v>
          </cell>
          <cell r="D2118">
            <v>1</v>
          </cell>
          <cell r="E2118" t="str">
            <v>Bình thường</v>
          </cell>
          <cell r="F2118" t="str">
            <v>GS1</v>
          </cell>
          <cell r="G2118" t="str">
            <v>MC2, AF1, AB1</v>
          </cell>
        </row>
        <row r="2119">
          <cell r="C2119" t="str">
            <v>L6225100154</v>
          </cell>
          <cell r="D2119">
            <v>1</v>
          </cell>
          <cell r="E2119" t="str">
            <v>Bình thường</v>
          </cell>
          <cell r="F2119" t="str">
            <v>AA1</v>
          </cell>
          <cell r="G2119" t="str">
            <v>MA1, BJ1, DA1, AB1</v>
          </cell>
        </row>
        <row r="2120">
          <cell r="C2120" t="str">
            <v>213509021A23</v>
          </cell>
          <cell r="D2120">
            <v>1</v>
          </cell>
          <cell r="E2120" t="str">
            <v>Bình thường</v>
          </cell>
          <cell r="F2120" t="str">
            <v>MC1</v>
          </cell>
          <cell r="G2120" t="str">
            <v>HT1, GS2, AF1</v>
          </cell>
        </row>
        <row r="2121">
          <cell r="C2121" t="str">
            <v>612508040G1</v>
          </cell>
          <cell r="D2121">
            <v>1</v>
          </cell>
          <cell r="E2121" t="str">
            <v>Bình thường</v>
          </cell>
          <cell r="F2121" t="str">
            <v>GC1</v>
          </cell>
          <cell r="G2121" t="str">
            <v>GS2, AF1, AL1</v>
          </cell>
        </row>
        <row r="2122">
          <cell r="C2122" t="str">
            <v>213509098A35</v>
          </cell>
          <cell r="D2122">
            <v>1</v>
          </cell>
          <cell r="E2122" t="str">
            <v>Bình thường</v>
          </cell>
          <cell r="F2122" t="str">
            <v>MA1</v>
          </cell>
          <cell r="G2122" t="str">
            <v>BJ1, HT1, GS1, EW1, AF1</v>
          </cell>
        </row>
        <row r="2123">
          <cell r="C2123" t="str">
            <v>L6235070262</v>
          </cell>
          <cell r="D2123">
            <v>1</v>
          </cell>
          <cell r="E2123" t="str">
            <v>Bình thường</v>
          </cell>
          <cell r="F2123" t="str">
            <v>BJ1</v>
          </cell>
          <cell r="G2123" t="str">
            <v>WG1, AB1</v>
          </cell>
        </row>
        <row r="2124">
          <cell r="C2124" t="str">
            <v>213509092A26</v>
          </cell>
          <cell r="D2124">
            <v>1</v>
          </cell>
          <cell r="E2124" t="str">
            <v>Bình thường</v>
          </cell>
          <cell r="F2124" t="str">
            <v>GS1</v>
          </cell>
          <cell r="G2124" t="str">
            <v>EW1, AF1</v>
          </cell>
        </row>
        <row r="2125">
          <cell r="C2125" t="str">
            <v>L6305060445</v>
          </cell>
          <cell r="D2125">
            <v>1</v>
          </cell>
          <cell r="E2125" t="str">
            <v>Bình thường</v>
          </cell>
          <cell r="F2125" t="str">
            <v>LT1</v>
          </cell>
          <cell r="G2125" t="str">
            <v>KT</v>
          </cell>
        </row>
        <row r="2126">
          <cell r="C2126" t="str">
            <v>L4165060282</v>
          </cell>
          <cell r="D2126">
            <v>1</v>
          </cell>
          <cell r="E2126" t="str">
            <v>Bình thường</v>
          </cell>
          <cell r="F2126" t="str">
            <v>EW1</v>
          </cell>
          <cell r="G2126" t="str">
            <v>GS1, ED1, EW2, GP1, EN1, GS2, AF1, AL1</v>
          </cell>
        </row>
        <row r="2127">
          <cell r="C2127" t="str">
            <v>L61250800410</v>
          </cell>
          <cell r="D2127">
            <v>1</v>
          </cell>
          <cell r="E2127" t="str">
            <v>Bình thường</v>
          </cell>
          <cell r="F2127" t="str">
            <v>GR1</v>
          </cell>
          <cell r="G2127" t="str">
            <v>GP1</v>
          </cell>
        </row>
        <row r="2128">
          <cell r="C2128" t="str">
            <v>213509922A1</v>
          </cell>
          <cell r="D2128">
            <v>1</v>
          </cell>
          <cell r="E2128" t="str">
            <v>Bình thường</v>
          </cell>
          <cell r="F2128" t="str">
            <v>GS2</v>
          </cell>
          <cell r="G2128" t="str">
            <v>EN1</v>
          </cell>
        </row>
        <row r="2129">
          <cell r="C2129" t="str">
            <v>L4165060281</v>
          </cell>
          <cell r="D2129">
            <v>1</v>
          </cell>
          <cell r="E2129" t="str">
            <v>Bình thường</v>
          </cell>
          <cell r="F2129" t="str">
            <v>EW1</v>
          </cell>
          <cell r="G2129" t="str">
            <v>GS1, ED1, EW2, GP1, EN1, GS2, AF1, AL1</v>
          </cell>
        </row>
        <row r="2130">
          <cell r="C2130" t="str">
            <v>213508916A1</v>
          </cell>
          <cell r="D2130">
            <v>1</v>
          </cell>
          <cell r="E2130" t="str">
            <v>Bình thường</v>
          </cell>
          <cell r="F2130" t="str">
            <v>EN1</v>
          </cell>
          <cell r="G2130" t="str">
            <v>GJ1, GS2, AF1</v>
          </cell>
        </row>
        <row r="2131">
          <cell r="C2131" t="str">
            <v>L6125080039</v>
          </cell>
          <cell r="D2131">
            <v>1</v>
          </cell>
          <cell r="E2131" t="str">
            <v>Bình thường</v>
          </cell>
          <cell r="F2131" t="str">
            <v>MA1</v>
          </cell>
          <cell r="G2131" t="str">
            <v>BJ1, DA1, HT1, GS1, AF1, AB1</v>
          </cell>
        </row>
        <row r="2132">
          <cell r="C2132" t="str">
            <v>213507117A6</v>
          </cell>
          <cell r="D2132">
            <v>1</v>
          </cell>
          <cell r="E2132" t="str">
            <v>Bình thường</v>
          </cell>
          <cell r="F2132" t="str">
            <v>EW2</v>
          </cell>
          <cell r="G2132" t="str">
            <v>KT</v>
          </cell>
        </row>
        <row r="2133">
          <cell r="C2133" t="str">
            <v>L6115080186</v>
          </cell>
          <cell r="D2133">
            <v>1</v>
          </cell>
          <cell r="E2133" t="str">
            <v>Bình thường</v>
          </cell>
          <cell r="F2133" t="str">
            <v>GR1</v>
          </cell>
          <cell r="G2133" t="str">
            <v>GS1</v>
          </cell>
        </row>
        <row r="2134">
          <cell r="C2134" t="str">
            <v>L62350901215</v>
          </cell>
          <cell r="D2134">
            <v>1</v>
          </cell>
          <cell r="E2134" t="str">
            <v>Bình thường</v>
          </cell>
          <cell r="F2134" t="str">
            <v>MA1</v>
          </cell>
          <cell r="G2134" t="str">
            <v>BJ1, DA1, WG1</v>
          </cell>
        </row>
        <row r="2135">
          <cell r="C2135" t="str">
            <v>213508030B12</v>
          </cell>
          <cell r="D2135">
            <v>1</v>
          </cell>
          <cell r="E2135" t="str">
            <v>Bình thường</v>
          </cell>
          <cell r="F2135" t="str">
            <v>MA1</v>
          </cell>
          <cell r="G2135" t="str">
            <v>BJ1, DA1, GS1, MC1, AF1</v>
          </cell>
        </row>
        <row r="2136">
          <cell r="C2136" t="str">
            <v>L6115070234</v>
          </cell>
          <cell r="D2136">
            <v>1</v>
          </cell>
          <cell r="E2136" t="str">
            <v>Bình thường</v>
          </cell>
          <cell r="F2136" t="str">
            <v>BJ1</v>
          </cell>
          <cell r="G2136" t="str">
            <v>DA1, EW1, AF1, AB1</v>
          </cell>
        </row>
        <row r="2137">
          <cell r="C2137" t="str">
            <v>L6225080242</v>
          </cell>
          <cell r="D2137">
            <v>1</v>
          </cell>
          <cell r="E2137" t="str">
            <v>Bình thường</v>
          </cell>
          <cell r="F2137" t="str">
            <v>MC1</v>
          </cell>
          <cell r="G2137" t="str">
            <v>AB1</v>
          </cell>
        </row>
        <row r="2138">
          <cell r="C2138" t="str">
            <v>L6305070161</v>
          </cell>
          <cell r="D2138">
            <v>1</v>
          </cell>
          <cell r="E2138" t="str">
            <v>Bình thường</v>
          </cell>
          <cell r="F2138" t="str">
            <v>AC1</v>
          </cell>
          <cell r="G2138" t="str">
            <v>WG1</v>
          </cell>
        </row>
        <row r="2139">
          <cell r="C2139" t="str">
            <v>213508012B2</v>
          </cell>
          <cell r="D2139">
            <v>1</v>
          </cell>
          <cell r="E2139" t="str">
            <v>Bình thường</v>
          </cell>
          <cell r="F2139" t="str">
            <v>EW1</v>
          </cell>
          <cell r="G2139" t="str">
            <v>GS1, WG1, GS2, EW2, AF1</v>
          </cell>
        </row>
        <row r="2140">
          <cell r="C2140" t="str">
            <v>L3115080014</v>
          </cell>
          <cell r="D2140">
            <v>1</v>
          </cell>
          <cell r="E2140" t="str">
            <v>Bình thường</v>
          </cell>
          <cell r="F2140" t="str">
            <v>GR1</v>
          </cell>
          <cell r="G2140" t="str">
            <v>GJ1, KA1, GS1, AF1, AB1</v>
          </cell>
        </row>
        <row r="2141">
          <cell r="C2141" t="str">
            <v>213509238A41</v>
          </cell>
          <cell r="D2141">
            <v>1</v>
          </cell>
          <cell r="E2141" t="str">
            <v>Bình thường</v>
          </cell>
          <cell r="F2141" t="str">
            <v>EW1</v>
          </cell>
          <cell r="G2141" t="str">
            <v>GS1, AF1</v>
          </cell>
        </row>
        <row r="2142">
          <cell r="C2142" t="str">
            <v>61151000011</v>
          </cell>
          <cell r="D2142">
            <v>1</v>
          </cell>
          <cell r="E2142" t="str">
            <v>Bình thường</v>
          </cell>
          <cell r="F2142" t="str">
            <v>LA1</v>
          </cell>
          <cell r="G2142" t="str">
            <v>BJ1, HT1, GR1, GS1, GJ1, GP1, ED1, AF1</v>
          </cell>
        </row>
        <row r="2143">
          <cell r="C2143" t="str">
            <v>630509092G1</v>
          </cell>
          <cell r="D2143">
            <v>1</v>
          </cell>
          <cell r="E2143" t="str">
            <v>Bình thường</v>
          </cell>
          <cell r="F2143" t="str">
            <v>GR1</v>
          </cell>
          <cell r="G2143" t="str">
            <v>GS1, GP1, AB1</v>
          </cell>
        </row>
        <row r="2144">
          <cell r="C2144" t="str">
            <v>L6305060534</v>
          </cell>
          <cell r="D2144">
            <v>1</v>
          </cell>
          <cell r="E2144" t="str">
            <v>Bình thường</v>
          </cell>
          <cell r="F2144" t="str">
            <v>AA2</v>
          </cell>
          <cell r="G2144" t="str">
            <v>HT1, GS1, EW1, EN1, AF1, AB1, AF2</v>
          </cell>
        </row>
        <row r="2145">
          <cell r="C2145" t="str">
            <v>213509105A4</v>
          </cell>
          <cell r="D2145">
            <v>1</v>
          </cell>
          <cell r="E2145" t="str">
            <v>Bình thường</v>
          </cell>
          <cell r="F2145" t="str">
            <v>GS1</v>
          </cell>
          <cell r="G2145" t="str">
            <v>AF1</v>
          </cell>
        </row>
        <row r="2146">
          <cell r="C2146" t="str">
            <v>62250600351</v>
          </cell>
          <cell r="D2146">
            <v>1</v>
          </cell>
          <cell r="E2146" t="str">
            <v>Bình thường</v>
          </cell>
          <cell r="F2146" t="str">
            <v>EW1</v>
          </cell>
          <cell r="G2146" t="str">
            <v>EN1, AF1</v>
          </cell>
        </row>
        <row r="2147">
          <cell r="C2147" t="str">
            <v>213507020A26</v>
          </cell>
          <cell r="D2147">
            <v>1</v>
          </cell>
          <cell r="E2147" t="str">
            <v>Bình thường</v>
          </cell>
          <cell r="F2147" t="str">
            <v>EW1</v>
          </cell>
          <cell r="G2147" t="str">
            <v>GP1</v>
          </cell>
        </row>
        <row r="2148">
          <cell r="C2148" t="str">
            <v>L61250800311</v>
          </cell>
          <cell r="D2148">
            <v>1</v>
          </cell>
          <cell r="E2148" t="str">
            <v>Bình thường</v>
          </cell>
          <cell r="F2148" t="str">
            <v>GS1</v>
          </cell>
          <cell r="G2148" t="str">
            <v>EW1, AB1</v>
          </cell>
        </row>
        <row r="2149">
          <cell r="C2149" t="str">
            <v>L6305080174</v>
          </cell>
          <cell r="D2149">
            <v>1</v>
          </cell>
          <cell r="E2149" t="str">
            <v>Bình thường</v>
          </cell>
          <cell r="F2149" t="str">
            <v>GS1</v>
          </cell>
          <cell r="G2149" t="str">
            <v>EN1, GJ1, AF1, AB1</v>
          </cell>
        </row>
        <row r="2150">
          <cell r="C2150" t="str">
            <v>L6125080031</v>
          </cell>
          <cell r="D2150">
            <v>1</v>
          </cell>
          <cell r="E2150" t="str">
            <v>Bình thường</v>
          </cell>
          <cell r="F2150" t="str">
            <v>MA1</v>
          </cell>
          <cell r="G2150" t="str">
            <v>BJ1, DA1, HT1, GS1, ED1, EW1, EN1, AF1, AB1</v>
          </cell>
        </row>
        <row r="2151">
          <cell r="C2151" t="str">
            <v>213507037A11</v>
          </cell>
          <cell r="D2151">
            <v>1</v>
          </cell>
          <cell r="E2151" t="str">
            <v>Bình thường</v>
          </cell>
          <cell r="F2151" t="str">
            <v>GS1</v>
          </cell>
          <cell r="G2151" t="str">
            <v>GP1</v>
          </cell>
        </row>
        <row r="2152">
          <cell r="C2152" t="str">
            <v>213507062B3</v>
          </cell>
          <cell r="D2152">
            <v>1</v>
          </cell>
          <cell r="E2152" t="str">
            <v>Bình thường</v>
          </cell>
          <cell r="F2152" t="str">
            <v>LT1</v>
          </cell>
          <cell r="G2152" t="str">
            <v>KT</v>
          </cell>
        </row>
        <row r="2153">
          <cell r="C2153" t="str">
            <v>213506235A38</v>
          </cell>
          <cell r="D2153">
            <v>1</v>
          </cell>
          <cell r="E2153" t="str">
            <v>Bình thường</v>
          </cell>
          <cell r="F2153" t="str">
            <v>EN1</v>
          </cell>
          <cell r="G2153" t="str">
            <v>GS3, AF1</v>
          </cell>
        </row>
        <row r="2154">
          <cell r="C2154" t="str">
            <v>213506013A15</v>
          </cell>
          <cell r="D2154">
            <v>1</v>
          </cell>
          <cell r="E2154" t="str">
            <v>Bình thường</v>
          </cell>
          <cell r="F2154" t="str">
            <v>WG1</v>
          </cell>
          <cell r="G2154" t="str">
            <v>GS2, GC2, GP2, AF2</v>
          </cell>
        </row>
        <row r="2155">
          <cell r="C2155" t="str">
            <v>213507002A4</v>
          </cell>
          <cell r="D2155">
            <v>1</v>
          </cell>
          <cell r="E2155" t="str">
            <v>Bình thường</v>
          </cell>
          <cell r="F2155" t="str">
            <v>EW1</v>
          </cell>
          <cell r="G2155" t="str">
            <v>GS2, EN1</v>
          </cell>
        </row>
        <row r="2156">
          <cell r="C2156" t="str">
            <v>213507042A20</v>
          </cell>
          <cell r="D2156">
            <v>1</v>
          </cell>
          <cell r="E2156" t="str">
            <v>Bình thường</v>
          </cell>
          <cell r="F2156" t="str">
            <v>GR1</v>
          </cell>
          <cell r="G2156" t="str">
            <v>GP1, EW1</v>
          </cell>
        </row>
        <row r="2157">
          <cell r="C2157" t="str">
            <v>L6235070011</v>
          </cell>
          <cell r="D2157">
            <v>1</v>
          </cell>
          <cell r="E2157" t="str">
            <v>Bình thường</v>
          </cell>
          <cell r="F2157" t="str">
            <v>EW1</v>
          </cell>
          <cell r="G2157" t="str">
            <v>AF1, AB1</v>
          </cell>
        </row>
        <row r="2158">
          <cell r="C2158" t="str">
            <v>L61250811G4</v>
          </cell>
          <cell r="D2158">
            <v>1</v>
          </cell>
          <cell r="E2158" t="str">
            <v>Bình thường</v>
          </cell>
          <cell r="F2158" t="str">
            <v>GS1</v>
          </cell>
          <cell r="G2158" t="str">
            <v>EW1, AB1, AL1</v>
          </cell>
        </row>
        <row r="2159">
          <cell r="C2159" t="str">
            <v>L4155050032</v>
          </cell>
          <cell r="D2159">
            <v>1</v>
          </cell>
          <cell r="E2159" t="str">
            <v>Bình thường</v>
          </cell>
          <cell r="F2159" t="str">
            <v>EW1</v>
          </cell>
          <cell r="G2159" t="str">
            <v>GR2, EN1, GS2, GP1, AF1</v>
          </cell>
        </row>
        <row r="2160">
          <cell r="C2160" t="str">
            <v>L6235070373</v>
          </cell>
          <cell r="D2160">
            <v>1</v>
          </cell>
          <cell r="E2160" t="str">
            <v>Bình thường</v>
          </cell>
          <cell r="F2160" t="str">
            <v>GS1</v>
          </cell>
          <cell r="G2160" t="str">
            <v>ED1, EW1, EN1, AF1, AB1</v>
          </cell>
        </row>
        <row r="2161">
          <cell r="C2161" t="str">
            <v>L6125080032</v>
          </cell>
          <cell r="D2161">
            <v>1</v>
          </cell>
          <cell r="E2161" t="str">
            <v>Bình thường</v>
          </cell>
          <cell r="F2161" t="str">
            <v>MA1</v>
          </cell>
          <cell r="G2161" t="str">
            <v>BJ1, DA1, HT1, GS1, GJ1, AF1, AB1</v>
          </cell>
        </row>
        <row r="2162">
          <cell r="C2162" t="str">
            <v>L6225100153</v>
          </cell>
          <cell r="D2162">
            <v>1</v>
          </cell>
          <cell r="E2162" t="str">
            <v>Bình thường</v>
          </cell>
          <cell r="F2162" t="str">
            <v>AA1</v>
          </cell>
          <cell r="G2162" t="str">
            <v>MA1, BJ1, DA1, WG1, AB1</v>
          </cell>
        </row>
        <row r="2163">
          <cell r="C2163" t="str">
            <v>L61150600811</v>
          </cell>
          <cell r="D2163">
            <v>1</v>
          </cell>
          <cell r="E2163" t="str">
            <v>Bình thường</v>
          </cell>
          <cell r="F2163" t="str">
            <v>GJ1</v>
          </cell>
          <cell r="G2163" t="str">
            <v>EW1, EN1, AF1</v>
          </cell>
        </row>
        <row r="2164">
          <cell r="C2164" t="str">
            <v>213507036A10</v>
          </cell>
          <cell r="D2164">
            <v>1</v>
          </cell>
          <cell r="E2164" t="str">
            <v>Bình thường</v>
          </cell>
          <cell r="F2164" t="str">
            <v>GS1</v>
          </cell>
          <cell r="G2164" t="str">
            <v>ED1, EW2, EN1</v>
          </cell>
        </row>
        <row r="2165">
          <cell r="C2165" t="str">
            <v>213507144A1</v>
          </cell>
          <cell r="D2165">
            <v>1</v>
          </cell>
          <cell r="E2165" t="str">
            <v>Bình thường</v>
          </cell>
          <cell r="F2165" t="str">
            <v>MA1</v>
          </cell>
          <cell r="G2165" t="str">
            <v>GS1, MC1, AB1</v>
          </cell>
        </row>
        <row r="2166">
          <cell r="C2166" t="str">
            <v>213508046A4</v>
          </cell>
          <cell r="D2166">
            <v>1</v>
          </cell>
          <cell r="E2166" t="str">
            <v>Bình thường</v>
          </cell>
          <cell r="F2166" t="str">
            <v>GP1</v>
          </cell>
          <cell r="G2166" t="str">
            <v>LA1, WG1, GS2, GC2, GP2, AF1</v>
          </cell>
        </row>
        <row r="2167">
          <cell r="C2167" t="str">
            <v>213509041A17</v>
          </cell>
          <cell r="D2167">
            <v>1</v>
          </cell>
          <cell r="E2167" t="str">
            <v>Bình thường</v>
          </cell>
          <cell r="F2167" t="str">
            <v>MC1</v>
          </cell>
          <cell r="G2167" t="str">
            <v>HT1, GS2, GJ1, AF1</v>
          </cell>
        </row>
        <row r="2168">
          <cell r="C2168" t="str">
            <v>213505173A1</v>
          </cell>
          <cell r="D2168">
            <v>1</v>
          </cell>
          <cell r="E2168" t="str">
            <v>Bình thường</v>
          </cell>
          <cell r="F2168" t="str">
            <v>GR1</v>
          </cell>
          <cell r="G2168" t="str">
            <v>GS1, ED1, EW1, EN1, GJ1, GP1, AF1, AL1, GS2, EN2</v>
          </cell>
        </row>
        <row r="2169">
          <cell r="C2169" t="str">
            <v>213507502A40</v>
          </cell>
          <cell r="D2169">
            <v>1</v>
          </cell>
          <cell r="E2169" t="str">
            <v>Bình thường</v>
          </cell>
          <cell r="F2169" t="str">
            <v>EW1</v>
          </cell>
          <cell r="G2169" t="str">
            <v>GS1, GP1, GS2</v>
          </cell>
        </row>
        <row r="2170">
          <cell r="C2170" t="str">
            <v>213509212A13</v>
          </cell>
          <cell r="D2170">
            <v>1</v>
          </cell>
          <cell r="E2170" t="str">
            <v>Bình thường</v>
          </cell>
          <cell r="F2170" t="str">
            <v>EW1</v>
          </cell>
          <cell r="G2170" t="str">
            <v>GS1, ED1, EW2, GS2, EN1</v>
          </cell>
        </row>
        <row r="2171">
          <cell r="C2171" t="str">
            <v>L4155050034</v>
          </cell>
          <cell r="D2171">
            <v>1</v>
          </cell>
          <cell r="E2171" t="str">
            <v>Bình thường</v>
          </cell>
          <cell r="F2171" t="str">
            <v>EW1</v>
          </cell>
          <cell r="G2171" t="str">
            <v>GR2, EN1, GS2, GP1, AF1</v>
          </cell>
        </row>
        <row r="2172">
          <cell r="C2172" t="str">
            <v>L6115060206</v>
          </cell>
          <cell r="D2172">
            <v>1</v>
          </cell>
          <cell r="E2172" t="str">
            <v>Bình thường</v>
          </cell>
          <cell r="F2172" t="str">
            <v>EW2</v>
          </cell>
          <cell r="G2172" t="str">
            <v>AF1, GS2, EN1</v>
          </cell>
        </row>
        <row r="2173">
          <cell r="C2173" t="str">
            <v>L6235100071</v>
          </cell>
          <cell r="D2173">
            <v>1</v>
          </cell>
          <cell r="E2173" t="str">
            <v>Bình thường</v>
          </cell>
          <cell r="F2173" t="str">
            <v>AA1</v>
          </cell>
          <cell r="G2173" t="str">
            <v>MA1, GS1, BJ1, DA1</v>
          </cell>
        </row>
        <row r="2174">
          <cell r="C2174" t="str">
            <v>213507076A10</v>
          </cell>
          <cell r="D2174">
            <v>1</v>
          </cell>
          <cell r="E2174" t="str">
            <v>Bình thường</v>
          </cell>
          <cell r="F2174" t="str">
            <v>EW1</v>
          </cell>
          <cell r="G2174" t="str">
            <v>EN2</v>
          </cell>
        </row>
        <row r="2175">
          <cell r="C2175" t="str">
            <v>213503091B42</v>
          </cell>
          <cell r="D2175">
            <v>1</v>
          </cell>
          <cell r="E2175" t="str">
            <v>Bình thường</v>
          </cell>
          <cell r="F2175" t="str">
            <v>GS1</v>
          </cell>
          <cell r="G2175" t="str">
            <v>ED1, EW1, GP1, AF1, AB1</v>
          </cell>
        </row>
        <row r="2176">
          <cell r="C2176" t="str">
            <v>213507028A39</v>
          </cell>
          <cell r="D2176">
            <v>1</v>
          </cell>
          <cell r="E2176" t="str">
            <v>Bình thường</v>
          </cell>
          <cell r="F2176" t="str">
            <v>GS1</v>
          </cell>
          <cell r="G2176" t="str">
            <v>EW2, EN1, GS2, GP1</v>
          </cell>
        </row>
        <row r="2177">
          <cell r="C2177" t="str">
            <v>213507031A4</v>
          </cell>
          <cell r="D2177">
            <v>1</v>
          </cell>
          <cell r="E2177" t="str">
            <v>Bình thường</v>
          </cell>
          <cell r="F2177" t="str">
            <v>EW1</v>
          </cell>
          <cell r="G2177" t="str">
            <v>EN1, AF1</v>
          </cell>
        </row>
        <row r="2178">
          <cell r="C2178" t="str">
            <v>213509055A31</v>
          </cell>
          <cell r="D2178">
            <v>1</v>
          </cell>
          <cell r="E2178" t="str">
            <v>Bình thường</v>
          </cell>
          <cell r="F2178" t="str">
            <v>GS2</v>
          </cell>
          <cell r="G2178" t="str">
            <v>KT</v>
          </cell>
        </row>
        <row r="2179">
          <cell r="C2179" t="str">
            <v>213507080A14</v>
          </cell>
          <cell r="D2179">
            <v>1</v>
          </cell>
          <cell r="E2179" t="str">
            <v>Bình thường</v>
          </cell>
          <cell r="F2179" t="str">
            <v>EW1</v>
          </cell>
          <cell r="G2179" t="str">
            <v>GS2</v>
          </cell>
        </row>
        <row r="2180">
          <cell r="C2180" t="str">
            <v>L6115060205</v>
          </cell>
          <cell r="D2180">
            <v>1</v>
          </cell>
          <cell r="E2180" t="str">
            <v>Bình thường</v>
          </cell>
          <cell r="F2180" t="str">
            <v>EW2</v>
          </cell>
          <cell r="G2180" t="str">
            <v>AF1, GS2, EN1</v>
          </cell>
        </row>
        <row r="2181">
          <cell r="C2181" t="str">
            <v>L6115070073</v>
          </cell>
          <cell r="D2181">
            <v>1</v>
          </cell>
          <cell r="E2181" t="str">
            <v>Bình thường</v>
          </cell>
          <cell r="F2181" t="str">
            <v>GS1</v>
          </cell>
          <cell r="G2181" t="str">
            <v>GJ1, GS2, AF1</v>
          </cell>
        </row>
        <row r="2182">
          <cell r="C2182" t="str">
            <v>L6115070084</v>
          </cell>
          <cell r="D2182">
            <v>1</v>
          </cell>
          <cell r="E2182" t="str">
            <v>Bình thường</v>
          </cell>
          <cell r="F2182" t="str">
            <v>WG1</v>
          </cell>
          <cell r="G2182" t="str">
            <v>GS2, EW2, EN1, AF1</v>
          </cell>
        </row>
        <row r="2183">
          <cell r="C2183" t="str">
            <v>213509112A9</v>
          </cell>
          <cell r="D2183">
            <v>1</v>
          </cell>
          <cell r="E2183" t="str">
            <v>Bình thường</v>
          </cell>
          <cell r="F2183" t="str">
            <v>MA1</v>
          </cell>
          <cell r="G2183" t="str">
            <v>MC1, HT1, GS1, AF1</v>
          </cell>
        </row>
        <row r="2184">
          <cell r="C2184" t="str">
            <v>213507074A7</v>
          </cell>
          <cell r="D2184">
            <v>1</v>
          </cell>
          <cell r="E2184" t="str">
            <v>Bình thường</v>
          </cell>
          <cell r="F2184" t="str">
            <v>EW1</v>
          </cell>
          <cell r="G2184" t="str">
            <v>GS1, GP1</v>
          </cell>
        </row>
        <row r="2185">
          <cell r="C2185" t="str">
            <v>213507507A2</v>
          </cell>
          <cell r="D2185">
            <v>1</v>
          </cell>
          <cell r="E2185" t="str">
            <v>Bình thường</v>
          </cell>
          <cell r="F2185" t="str">
            <v>EW1</v>
          </cell>
          <cell r="G2185" t="str">
            <v>EN1, AF1</v>
          </cell>
        </row>
        <row r="2186">
          <cell r="C2186" t="str">
            <v>213508012A21</v>
          </cell>
          <cell r="D2186">
            <v>1</v>
          </cell>
          <cell r="E2186" t="str">
            <v>Bình thường</v>
          </cell>
          <cell r="F2186" t="str">
            <v>GP1</v>
          </cell>
          <cell r="G2186" t="str">
            <v>KT</v>
          </cell>
        </row>
        <row r="2187">
          <cell r="C2187" t="str">
            <v>31251000021</v>
          </cell>
          <cell r="D2187">
            <v>1</v>
          </cell>
          <cell r="E2187" t="str">
            <v>Bình thường</v>
          </cell>
          <cell r="F2187" t="str">
            <v>AA1</v>
          </cell>
          <cell r="G2187" t="str">
            <v>MA1, MC1, HT1, AL1</v>
          </cell>
        </row>
        <row r="2188">
          <cell r="C2188" t="str">
            <v>31250800021</v>
          </cell>
          <cell r="D2188">
            <v>1</v>
          </cell>
          <cell r="E2188" t="str">
            <v>Bình thường</v>
          </cell>
          <cell r="F2188" t="str">
            <v>EW1</v>
          </cell>
          <cell r="G2188" t="str">
            <v>MC1, EN1, AF1, AL1, AB1</v>
          </cell>
        </row>
        <row r="2189">
          <cell r="C2189" t="str">
            <v>L6115050222</v>
          </cell>
          <cell r="D2189">
            <v>1</v>
          </cell>
          <cell r="E2189" t="str">
            <v>Bình thường</v>
          </cell>
          <cell r="F2189" t="str">
            <v>GS1</v>
          </cell>
          <cell r="G2189" t="str">
            <v>KT</v>
          </cell>
        </row>
        <row r="2190">
          <cell r="C2190" t="str">
            <v>213507075A8</v>
          </cell>
          <cell r="D2190">
            <v>1</v>
          </cell>
          <cell r="E2190" t="str">
            <v>Bình thường</v>
          </cell>
          <cell r="F2190" t="str">
            <v>EW1</v>
          </cell>
          <cell r="G2190" t="str">
            <v>GS1, EN1, GS2</v>
          </cell>
        </row>
        <row r="2191">
          <cell r="C2191" t="str">
            <v>213507157A18</v>
          </cell>
          <cell r="D2191">
            <v>1</v>
          </cell>
          <cell r="E2191" t="str">
            <v>Bình thường</v>
          </cell>
          <cell r="F2191" t="str">
            <v>GR1</v>
          </cell>
          <cell r="G2191" t="str">
            <v>GS1, GP1, AF1, AL1</v>
          </cell>
        </row>
        <row r="2192">
          <cell r="C2192" t="str">
            <v>L6115050255</v>
          </cell>
          <cell r="D2192">
            <v>1</v>
          </cell>
          <cell r="E2192" t="str">
            <v>Bình thường</v>
          </cell>
          <cell r="F2192" t="str">
            <v>AF1</v>
          </cell>
          <cell r="G2192" t="str">
            <v>KT</v>
          </cell>
        </row>
        <row r="2193">
          <cell r="C2193" t="str">
            <v>L6115080204</v>
          </cell>
          <cell r="D2193">
            <v>1</v>
          </cell>
          <cell r="E2193" t="str">
            <v>Bình thường</v>
          </cell>
          <cell r="F2193" t="str">
            <v>GS1</v>
          </cell>
          <cell r="G2193" t="str">
            <v>GR1, GJ1, AF1, GS2</v>
          </cell>
        </row>
        <row r="2194">
          <cell r="C2194" t="str">
            <v>213509144A34</v>
          </cell>
          <cell r="D2194">
            <v>1</v>
          </cell>
          <cell r="E2194" t="str">
            <v>Bình thường</v>
          </cell>
          <cell r="F2194" t="str">
            <v>HT1</v>
          </cell>
          <cell r="G2194" t="str">
            <v>GS1, EW1, GS2, AF1</v>
          </cell>
        </row>
        <row r="2195">
          <cell r="C2195" t="str">
            <v>L6115050256</v>
          </cell>
          <cell r="D2195">
            <v>1</v>
          </cell>
          <cell r="E2195" t="str">
            <v>Bình thường</v>
          </cell>
          <cell r="F2195" t="str">
            <v>EW1</v>
          </cell>
          <cell r="G2195" t="str">
            <v>GR1, GS2, AF1</v>
          </cell>
        </row>
        <row r="2196">
          <cell r="C2196" t="str">
            <v>L6235060031</v>
          </cell>
          <cell r="D2196">
            <v>1</v>
          </cell>
          <cell r="E2196" t="str">
            <v>Bình thường</v>
          </cell>
          <cell r="F2196" t="str">
            <v>BJ1</v>
          </cell>
          <cell r="G2196" t="str">
            <v>DA1, HT1, GS1, GJ1, EN1, AF1, AB1</v>
          </cell>
        </row>
        <row r="2197">
          <cell r="C2197" t="str">
            <v>61250100171</v>
          </cell>
          <cell r="D2197">
            <v>1</v>
          </cell>
          <cell r="E2197" t="str">
            <v>Bình thường</v>
          </cell>
          <cell r="F2197" t="str">
            <v>AA1</v>
          </cell>
          <cell r="G2197" t="str">
            <v>MA1, MC1, BJ1, DA1, HT1, GS1, AF1</v>
          </cell>
        </row>
        <row r="2198">
          <cell r="C2198" t="str">
            <v>L6115060089</v>
          </cell>
          <cell r="D2198">
            <v>1</v>
          </cell>
          <cell r="E2198" t="str">
            <v>Bình thường</v>
          </cell>
          <cell r="F2198" t="str">
            <v>GS2</v>
          </cell>
          <cell r="G2198" t="str">
            <v>GJ1, EN2, EW1, AF1</v>
          </cell>
        </row>
        <row r="2199">
          <cell r="C2199" t="str">
            <v>213507032A5</v>
          </cell>
          <cell r="D2199">
            <v>1</v>
          </cell>
          <cell r="E2199" t="str">
            <v>Bình thường</v>
          </cell>
          <cell r="F2199" t="str">
            <v>EW1</v>
          </cell>
          <cell r="G2199" t="str">
            <v>GR2, GS1, GP1, AF2</v>
          </cell>
        </row>
        <row r="2200">
          <cell r="C2200" t="str">
            <v>213502275A31</v>
          </cell>
          <cell r="D2200">
            <v>1</v>
          </cell>
          <cell r="E2200" t="str">
            <v>Bình thường</v>
          </cell>
          <cell r="F2200" t="str">
            <v>EN1</v>
          </cell>
          <cell r="G2200" t="str">
            <v>GS3</v>
          </cell>
        </row>
        <row r="2201">
          <cell r="C2201" t="str">
            <v>213507060A18</v>
          </cell>
          <cell r="D2201">
            <v>1</v>
          </cell>
          <cell r="E2201" t="str">
            <v>Bình thường</v>
          </cell>
          <cell r="F2201" t="str">
            <v>EW1</v>
          </cell>
          <cell r="G2201" t="str">
            <v>EN1, GP1, AF1</v>
          </cell>
        </row>
        <row r="2202">
          <cell r="C2202" t="str">
            <v>213507044A23</v>
          </cell>
          <cell r="D2202">
            <v>1</v>
          </cell>
          <cell r="E2202" t="str">
            <v>Bình thường</v>
          </cell>
          <cell r="F2202" t="str">
            <v>GS1</v>
          </cell>
          <cell r="G2202" t="str">
            <v>ED1, EW2, GS2, EN1, GR1</v>
          </cell>
        </row>
        <row r="2203">
          <cell r="C2203" t="str">
            <v>213507071A3</v>
          </cell>
          <cell r="D2203">
            <v>1</v>
          </cell>
          <cell r="E2203" t="str">
            <v>Bình thường</v>
          </cell>
          <cell r="F2203" t="str">
            <v>GR1</v>
          </cell>
          <cell r="G2203" t="str">
            <v>GS1</v>
          </cell>
        </row>
        <row r="2204">
          <cell r="C2204" t="str">
            <v>213509916A1</v>
          </cell>
          <cell r="D2204">
            <v>1</v>
          </cell>
          <cell r="E2204" t="str">
            <v>Bình thường</v>
          </cell>
          <cell r="F2204" t="str">
            <v>BJ1</v>
          </cell>
          <cell r="G2204" t="str">
            <v>HT1, GS1, EW1, AF1</v>
          </cell>
        </row>
        <row r="2205">
          <cell r="C2205" t="str">
            <v>213507026B21</v>
          </cell>
          <cell r="D2205">
            <v>1</v>
          </cell>
          <cell r="E2205" t="str">
            <v>Bình thường</v>
          </cell>
          <cell r="F2205" t="str">
            <v>GS1</v>
          </cell>
          <cell r="G2205" t="str">
            <v>EN1, GP1, LA1, AF1</v>
          </cell>
        </row>
        <row r="2206">
          <cell r="C2206" t="str">
            <v>L6115080203</v>
          </cell>
          <cell r="D2206">
            <v>1</v>
          </cell>
          <cell r="E2206" t="str">
            <v>Bình thường</v>
          </cell>
          <cell r="F2206" t="str">
            <v>LA1</v>
          </cell>
          <cell r="G2206" t="str">
            <v>BJ1, HT1, GS1, GR1</v>
          </cell>
        </row>
        <row r="2207">
          <cell r="C2207" t="str">
            <v>L6115050223</v>
          </cell>
          <cell r="D2207">
            <v>1</v>
          </cell>
          <cell r="E2207" t="str">
            <v>Bình thường</v>
          </cell>
          <cell r="F2207" t="str">
            <v>EW1</v>
          </cell>
          <cell r="G2207" t="str">
            <v>EN1, AF1, AL1</v>
          </cell>
        </row>
        <row r="2208">
          <cell r="C2208" t="str">
            <v>L6115060074</v>
          </cell>
          <cell r="D2208">
            <v>1</v>
          </cell>
          <cell r="E2208" t="str">
            <v>Bình thường</v>
          </cell>
          <cell r="F2208" t="str">
            <v>EW1</v>
          </cell>
          <cell r="G2208" t="str">
            <v>GR1, AF1</v>
          </cell>
        </row>
        <row r="2209">
          <cell r="C2209" t="str">
            <v>213508051A11</v>
          </cell>
          <cell r="D2209">
            <v>1</v>
          </cell>
          <cell r="E2209" t="str">
            <v>Bình thường</v>
          </cell>
          <cell r="F2209" t="str">
            <v>GJ1</v>
          </cell>
          <cell r="G2209" t="str">
            <v>GS2, AF1, AB1</v>
          </cell>
        </row>
        <row r="2210">
          <cell r="C2210" t="str">
            <v>213507043A22</v>
          </cell>
          <cell r="D2210">
            <v>1</v>
          </cell>
          <cell r="E2210" t="str">
            <v>Bình thường</v>
          </cell>
          <cell r="F2210" t="str">
            <v>ED1</v>
          </cell>
          <cell r="G2210" t="str">
            <v>EW1, GR2, GS1, EN1, AF2</v>
          </cell>
        </row>
        <row r="2211">
          <cell r="C2211" t="str">
            <v>L6115050261</v>
          </cell>
          <cell r="D2211">
            <v>1</v>
          </cell>
          <cell r="E2211" t="str">
            <v>Bình thường</v>
          </cell>
          <cell r="F2211" t="str">
            <v>EW1</v>
          </cell>
          <cell r="G2211" t="str">
            <v>EN1, GP1, AF1</v>
          </cell>
        </row>
        <row r="2212">
          <cell r="C2212" t="str">
            <v>L6305070063</v>
          </cell>
          <cell r="D2212">
            <v>1</v>
          </cell>
          <cell r="E2212" t="str">
            <v>Bình thường</v>
          </cell>
          <cell r="F2212" t="str">
            <v>BJ1</v>
          </cell>
          <cell r="G2212" t="str">
            <v>DA1, HT1, GS1, AF1</v>
          </cell>
        </row>
        <row r="2213">
          <cell r="C2213" t="str">
            <v>31250900071</v>
          </cell>
          <cell r="D2213">
            <v>1</v>
          </cell>
          <cell r="E2213" t="str">
            <v>Bình thường</v>
          </cell>
          <cell r="F2213" t="str">
            <v>MA1</v>
          </cell>
          <cell r="G2213" t="str">
            <v>GS1, BJ1, HT1, AF1, AL1</v>
          </cell>
        </row>
        <row r="2214">
          <cell r="C2214" t="str">
            <v>213507030B28</v>
          </cell>
          <cell r="D2214">
            <v>1</v>
          </cell>
          <cell r="E2214" t="str">
            <v>Bình thường</v>
          </cell>
          <cell r="F2214" t="str">
            <v>GR1</v>
          </cell>
          <cell r="G2214" t="str">
            <v>GS1, GP1, EN1, GR2, AF1</v>
          </cell>
        </row>
        <row r="2215">
          <cell r="C2215" t="str">
            <v>213508123A10</v>
          </cell>
          <cell r="D2215">
            <v>1</v>
          </cell>
          <cell r="E2215" t="str">
            <v>Bình thường</v>
          </cell>
          <cell r="F2215" t="str">
            <v>MC1</v>
          </cell>
          <cell r="G2215" t="str">
            <v>HT1, GS2, ED1, EW1, GS3, MC2, EN1, AL1</v>
          </cell>
        </row>
        <row r="2216">
          <cell r="C2216" t="str">
            <v>L61150700912</v>
          </cell>
          <cell r="D2216">
            <v>1</v>
          </cell>
          <cell r="E2216" t="str">
            <v>Bình thường</v>
          </cell>
          <cell r="F2216" t="str">
            <v>GS1</v>
          </cell>
          <cell r="G2216" t="str">
            <v>EW1, EN1, AF1</v>
          </cell>
        </row>
        <row r="2217">
          <cell r="C2217" t="str">
            <v>L6115080441</v>
          </cell>
          <cell r="D2217">
            <v>1</v>
          </cell>
          <cell r="E2217" t="str">
            <v>Bình thường</v>
          </cell>
          <cell r="F2217" t="str">
            <v>GS1</v>
          </cell>
          <cell r="G2217" t="str">
            <v>GJ1, GS2, AF1, AB1</v>
          </cell>
        </row>
        <row r="2218">
          <cell r="C2218" t="str">
            <v>L6115050253</v>
          </cell>
          <cell r="D2218">
            <v>1</v>
          </cell>
          <cell r="E2218" t="str">
            <v>Bình thường</v>
          </cell>
          <cell r="F2218" t="str">
            <v>GS1</v>
          </cell>
          <cell r="G2218" t="str">
            <v>EW1, EN1, AF1</v>
          </cell>
        </row>
        <row r="2219">
          <cell r="C2219" t="str">
            <v>213507501A22</v>
          </cell>
          <cell r="D2219">
            <v>1</v>
          </cell>
          <cell r="E2219" t="str">
            <v>Bình thường</v>
          </cell>
          <cell r="F2219" t="str">
            <v>GS2</v>
          </cell>
          <cell r="G2219" t="str">
            <v>EN1</v>
          </cell>
        </row>
        <row r="2220">
          <cell r="C2220" t="str">
            <v>62450900221</v>
          </cell>
          <cell r="D2220">
            <v>1</v>
          </cell>
          <cell r="E2220" t="str">
            <v>Bình thường</v>
          </cell>
          <cell r="F2220" t="str">
            <v>GS1</v>
          </cell>
          <cell r="G2220" t="str">
            <v>ED1, EW1, MC1, AF1, AB1</v>
          </cell>
        </row>
        <row r="2221">
          <cell r="C2221" t="str">
            <v>L6115080206</v>
          </cell>
          <cell r="D2221">
            <v>1</v>
          </cell>
          <cell r="E2221" t="str">
            <v>Bình thường</v>
          </cell>
          <cell r="F2221" t="str">
            <v>GR1</v>
          </cell>
          <cell r="G2221" t="str">
            <v>GS1, GJ1, GP1, EN1, AF1</v>
          </cell>
        </row>
        <row r="2222">
          <cell r="C2222" t="str">
            <v>L4125100012</v>
          </cell>
          <cell r="D2222">
            <v>1</v>
          </cell>
          <cell r="E2222" t="str">
            <v>Bình thường</v>
          </cell>
          <cell r="F2222" t="str">
            <v>GS1</v>
          </cell>
          <cell r="G2222" t="str">
            <v>VP</v>
          </cell>
        </row>
        <row r="2223">
          <cell r="C2223" t="str">
            <v>L6115050221</v>
          </cell>
          <cell r="D2223">
            <v>1</v>
          </cell>
          <cell r="E2223" t="str">
            <v>Bình thường</v>
          </cell>
          <cell r="F2223" t="str">
            <v>GS1</v>
          </cell>
          <cell r="G2223" t="str">
            <v>ED1, EW2, GS2, GP1</v>
          </cell>
        </row>
        <row r="2224">
          <cell r="C2224" t="str">
            <v>L6115070032</v>
          </cell>
          <cell r="D2224">
            <v>1</v>
          </cell>
          <cell r="E2224" t="str">
            <v>Bình thường</v>
          </cell>
          <cell r="F2224" t="str">
            <v>GS2</v>
          </cell>
          <cell r="G2224" t="str">
            <v>KT</v>
          </cell>
        </row>
        <row r="2225">
          <cell r="C2225" t="str">
            <v>213508014B7</v>
          </cell>
          <cell r="D2225">
            <v>1</v>
          </cell>
          <cell r="E2225" t="str">
            <v>Bình thường</v>
          </cell>
          <cell r="F2225" t="str">
            <v>MC1</v>
          </cell>
          <cell r="G2225" t="str">
            <v>HT1, EW1, AF1</v>
          </cell>
        </row>
        <row r="2226">
          <cell r="C2226" t="str">
            <v>213509177A54</v>
          </cell>
          <cell r="D2226">
            <v>1</v>
          </cell>
          <cell r="E2226" t="str">
            <v>Bình thường</v>
          </cell>
          <cell r="F2226" t="str">
            <v>GS2</v>
          </cell>
          <cell r="G2226" t="str">
            <v>GP1</v>
          </cell>
        </row>
        <row r="2227">
          <cell r="C2227" t="str">
            <v>213509295A16</v>
          </cell>
          <cell r="D2227">
            <v>1</v>
          </cell>
          <cell r="E2227" t="str">
            <v>Bình thường</v>
          </cell>
          <cell r="F2227" t="str">
            <v>GS1</v>
          </cell>
          <cell r="G2227" t="str">
            <v>EW2</v>
          </cell>
        </row>
        <row r="2228">
          <cell r="C2228" t="str">
            <v>213509093A28</v>
          </cell>
          <cell r="D2228">
            <v>1</v>
          </cell>
          <cell r="E2228" t="str">
            <v>Bình thường</v>
          </cell>
          <cell r="F2228" t="str">
            <v>GS1</v>
          </cell>
          <cell r="G2228" t="str">
            <v>ED1, EN1</v>
          </cell>
        </row>
        <row r="2229">
          <cell r="C2229" t="str">
            <v>213509251A7</v>
          </cell>
          <cell r="D2229">
            <v>1</v>
          </cell>
          <cell r="E2229" t="str">
            <v>Bình thường</v>
          </cell>
          <cell r="F2229" t="str">
            <v>GS1</v>
          </cell>
          <cell r="G2229" t="str">
            <v>AF1, AB1</v>
          </cell>
        </row>
        <row r="2230">
          <cell r="C2230" t="str">
            <v>L6115060102</v>
          </cell>
          <cell r="D2230">
            <v>1</v>
          </cell>
          <cell r="E2230" t="str">
            <v>Bình thường</v>
          </cell>
          <cell r="F2230" t="str">
            <v>EW1</v>
          </cell>
          <cell r="G2230" t="str">
            <v>AF1</v>
          </cell>
        </row>
        <row r="2231">
          <cell r="C2231" t="str">
            <v>213509250A6</v>
          </cell>
          <cell r="D2231">
            <v>1</v>
          </cell>
          <cell r="E2231" t="str">
            <v>Bình thường</v>
          </cell>
          <cell r="F2231" t="str">
            <v>GR1</v>
          </cell>
          <cell r="G2231" t="str">
            <v>GS1</v>
          </cell>
        </row>
        <row r="2232">
          <cell r="C2232" t="str">
            <v>213509525A3</v>
          </cell>
          <cell r="D2232">
            <v>1</v>
          </cell>
          <cell r="E2232" t="str">
            <v>Bình thường</v>
          </cell>
          <cell r="F2232" t="str">
            <v>GS1</v>
          </cell>
          <cell r="G2232" t="str">
            <v>EW1, GR1, GS2, EN1, GP1</v>
          </cell>
        </row>
        <row r="2233">
          <cell r="C2233" t="str">
            <v>L6115070072</v>
          </cell>
          <cell r="D2233">
            <v>1</v>
          </cell>
          <cell r="E2233" t="str">
            <v>Bình thường</v>
          </cell>
          <cell r="F2233" t="str">
            <v>GS1</v>
          </cell>
          <cell r="G2233" t="str">
            <v>GJ1, GS2, AF1, AB1</v>
          </cell>
        </row>
        <row r="2234">
          <cell r="C2234" t="str">
            <v>L6115080131</v>
          </cell>
          <cell r="D2234">
            <v>1</v>
          </cell>
          <cell r="E2234" t="str">
            <v>Bình thường</v>
          </cell>
          <cell r="F2234" t="str">
            <v>ED1</v>
          </cell>
          <cell r="G2234" t="str">
            <v>GS2</v>
          </cell>
        </row>
        <row r="2235">
          <cell r="C2235" t="str">
            <v>L6115070353</v>
          </cell>
          <cell r="D2235">
            <v>1</v>
          </cell>
          <cell r="E2235" t="str">
            <v>Bình thường</v>
          </cell>
          <cell r="F2235" t="str">
            <v>GJ1</v>
          </cell>
          <cell r="G2235" t="str">
            <v>EW1, EN1, AF1</v>
          </cell>
        </row>
        <row r="2236">
          <cell r="C2236" t="str">
            <v>L6125090211</v>
          </cell>
          <cell r="D2236">
            <v>1</v>
          </cell>
          <cell r="E2236" t="str">
            <v>Bình thường</v>
          </cell>
          <cell r="F2236" t="str">
            <v>MA1</v>
          </cell>
          <cell r="G2236" t="str">
            <v>MC1</v>
          </cell>
        </row>
        <row r="2237">
          <cell r="C2237" t="str">
            <v>L6115070094</v>
          </cell>
          <cell r="D2237">
            <v>1</v>
          </cell>
          <cell r="E2237" t="str">
            <v>Bình thường</v>
          </cell>
          <cell r="F2237" t="str">
            <v>GS1</v>
          </cell>
          <cell r="G2237" t="str">
            <v>EW1, EN1, AF1</v>
          </cell>
        </row>
        <row r="2238">
          <cell r="C2238" t="str">
            <v>L61150702211</v>
          </cell>
          <cell r="D2238">
            <v>1</v>
          </cell>
          <cell r="E2238" t="str">
            <v>Bình thường</v>
          </cell>
          <cell r="F2238" t="str">
            <v>BJ1</v>
          </cell>
          <cell r="G2238" t="str">
            <v>HT1, GS1, EW1, AF1, AB1</v>
          </cell>
        </row>
        <row r="2239">
          <cell r="C2239" t="str">
            <v>213503511A9</v>
          </cell>
          <cell r="D2239">
            <v>1</v>
          </cell>
          <cell r="E2239" t="str">
            <v>Bình thường</v>
          </cell>
          <cell r="F2239" t="str">
            <v>EN1</v>
          </cell>
          <cell r="G2239" t="str">
            <v>GC1, GS2, AF1</v>
          </cell>
        </row>
        <row r="2240">
          <cell r="C2240" t="str">
            <v>213508024A13</v>
          </cell>
          <cell r="D2240">
            <v>1</v>
          </cell>
          <cell r="E2240" t="str">
            <v>Bình thường</v>
          </cell>
          <cell r="F2240" t="str">
            <v>GC1</v>
          </cell>
          <cell r="G2240" t="str">
            <v>GP1, GS2, AF1, AL1</v>
          </cell>
        </row>
        <row r="2241">
          <cell r="C2241" t="str">
            <v>213507051B25</v>
          </cell>
          <cell r="D2241">
            <v>1</v>
          </cell>
          <cell r="E2241" t="str">
            <v>Bình thường</v>
          </cell>
          <cell r="F2241" t="str">
            <v>GS2</v>
          </cell>
          <cell r="G2241" t="str">
            <v>EW2, AF1, AB1</v>
          </cell>
        </row>
        <row r="2242">
          <cell r="C2242" t="str">
            <v>L6115060105</v>
          </cell>
          <cell r="D2242">
            <v>1</v>
          </cell>
          <cell r="E2242" t="str">
            <v>Bình thường</v>
          </cell>
          <cell r="F2242" t="str">
            <v>GS2</v>
          </cell>
          <cell r="G2242" t="str">
            <v>GJ1, EN1, KA1, GP1, GR2, AF1</v>
          </cell>
        </row>
        <row r="2243">
          <cell r="C2243" t="str">
            <v>213509110A8</v>
          </cell>
          <cell r="D2243">
            <v>1</v>
          </cell>
          <cell r="E2243" t="str">
            <v>Bình thường</v>
          </cell>
          <cell r="F2243" t="str">
            <v>GS2</v>
          </cell>
          <cell r="G2243" t="str">
            <v>EN1</v>
          </cell>
        </row>
        <row r="2244">
          <cell r="C2244" t="str">
            <v>L6115080188</v>
          </cell>
          <cell r="D2244">
            <v>1</v>
          </cell>
          <cell r="E2244" t="str">
            <v>Bình thường</v>
          </cell>
          <cell r="F2244" t="str">
            <v>GS1</v>
          </cell>
          <cell r="G2244" t="str">
            <v>EW1, GR1, GS2, EN1, GP1</v>
          </cell>
        </row>
        <row r="2245">
          <cell r="C2245" t="str">
            <v>L6125090212</v>
          </cell>
          <cell r="D2245">
            <v>1</v>
          </cell>
          <cell r="E2245" t="str">
            <v>Bình thường</v>
          </cell>
          <cell r="F2245" t="str">
            <v>MA1</v>
          </cell>
          <cell r="G2245" t="str">
            <v>MC1, AF1</v>
          </cell>
        </row>
        <row r="2246">
          <cell r="C2246" t="str">
            <v>L6125060051</v>
          </cell>
          <cell r="D2246">
            <v>1</v>
          </cell>
          <cell r="E2246" t="str">
            <v>Bình thường</v>
          </cell>
          <cell r="F2246" t="str">
            <v>GR2</v>
          </cell>
          <cell r="G2246" t="str">
            <v>GP1, GS2, AF1</v>
          </cell>
        </row>
        <row r="2247">
          <cell r="C2247" t="str">
            <v>L6235080171</v>
          </cell>
          <cell r="D2247">
            <v>1</v>
          </cell>
          <cell r="E2247" t="str">
            <v>Bình thường</v>
          </cell>
          <cell r="F2247" t="str">
            <v>BJ1</v>
          </cell>
          <cell r="G2247" t="str">
            <v>DA1, GS1, MC1, HT1, EW1, EN1, AF1, AB1</v>
          </cell>
        </row>
        <row r="2248">
          <cell r="C2248" t="str">
            <v>L4125100017</v>
          </cell>
          <cell r="D2248">
            <v>1</v>
          </cell>
          <cell r="E2248" t="str">
            <v>Bình thường</v>
          </cell>
          <cell r="F2248" t="str">
            <v>GS1</v>
          </cell>
          <cell r="G2248" t="str">
            <v>VP</v>
          </cell>
        </row>
        <row r="2249">
          <cell r="C2249" t="str">
            <v>L6115050254</v>
          </cell>
          <cell r="D2249">
            <v>1</v>
          </cell>
          <cell r="E2249" t="str">
            <v>Bình thường</v>
          </cell>
          <cell r="F2249" t="str">
            <v>GS1</v>
          </cell>
          <cell r="G2249" t="str">
            <v>GR1, GS2, EW1, EN1, AF1</v>
          </cell>
        </row>
        <row r="2250">
          <cell r="C2250" t="str">
            <v>L6115080442</v>
          </cell>
          <cell r="D2250">
            <v>1</v>
          </cell>
          <cell r="E2250" t="str">
            <v>Bình thường</v>
          </cell>
          <cell r="F2250" t="str">
            <v>MA1</v>
          </cell>
          <cell r="G2250" t="str">
            <v>BJ1, HT1, GS1, GJ1, GS2, AF1, AB1</v>
          </cell>
        </row>
        <row r="2251">
          <cell r="C2251" t="str">
            <v>L6245090065</v>
          </cell>
          <cell r="D2251">
            <v>1</v>
          </cell>
          <cell r="E2251" t="str">
            <v>Bình thường</v>
          </cell>
          <cell r="F2251" t="str">
            <v>HT1</v>
          </cell>
          <cell r="G2251" t="str">
            <v>GS1, EW1, EN1, AF1, AB1</v>
          </cell>
        </row>
        <row r="2252">
          <cell r="C2252" t="str">
            <v>L6125080044</v>
          </cell>
          <cell r="D2252">
            <v>1</v>
          </cell>
          <cell r="E2252" t="str">
            <v>Bình thường</v>
          </cell>
          <cell r="F2252" t="str">
            <v>GS1</v>
          </cell>
          <cell r="G2252" t="str">
            <v>EN2, AF2, AL1</v>
          </cell>
        </row>
        <row r="2253">
          <cell r="C2253" t="str">
            <v>213503170A9</v>
          </cell>
          <cell r="D2253">
            <v>1</v>
          </cell>
          <cell r="E2253" t="str">
            <v>Bình thường</v>
          </cell>
          <cell r="F2253" t="str">
            <v>EN1</v>
          </cell>
          <cell r="G2253" t="str">
            <v>GS2</v>
          </cell>
        </row>
        <row r="2254">
          <cell r="C2254" t="str">
            <v>213508021A10</v>
          </cell>
          <cell r="D2254">
            <v>1</v>
          </cell>
          <cell r="E2254" t="str">
            <v>Bình thường</v>
          </cell>
          <cell r="F2254" t="str">
            <v>GP1</v>
          </cell>
          <cell r="G2254" t="str">
            <v>KT</v>
          </cell>
        </row>
        <row r="2255">
          <cell r="C2255" t="str">
            <v>213507902A1</v>
          </cell>
          <cell r="D2255">
            <v>1</v>
          </cell>
          <cell r="E2255" t="str">
            <v>Bình thường</v>
          </cell>
          <cell r="F2255" t="str">
            <v>GS2</v>
          </cell>
          <cell r="G2255" t="str">
            <v>AL1</v>
          </cell>
        </row>
        <row r="2256">
          <cell r="C2256" t="str">
            <v>61150200401</v>
          </cell>
          <cell r="D2256">
            <v>1</v>
          </cell>
          <cell r="E2256" t="str">
            <v>Bình thường</v>
          </cell>
          <cell r="F2256" t="str">
            <v>GR2</v>
          </cell>
          <cell r="G2256" t="str">
            <v>GS2, EN1, GJ1, EN2, AF1, GS3, EN3, AF2</v>
          </cell>
        </row>
        <row r="2257">
          <cell r="C2257" t="str">
            <v>L61150702210</v>
          </cell>
          <cell r="D2257">
            <v>1</v>
          </cell>
          <cell r="E2257" t="str">
            <v>Bình thường</v>
          </cell>
          <cell r="F2257" t="str">
            <v>BJ1</v>
          </cell>
          <cell r="G2257" t="str">
            <v>HT1, GS1, EW1, AF1, AB1</v>
          </cell>
        </row>
        <row r="2258">
          <cell r="C2258" t="str">
            <v>L6115070351</v>
          </cell>
          <cell r="D2258">
            <v>1</v>
          </cell>
          <cell r="E2258" t="str">
            <v>Bình thường</v>
          </cell>
          <cell r="F2258" t="str">
            <v>GS1</v>
          </cell>
          <cell r="G2258" t="str">
            <v>GP1, GJ1, EW1, AF1</v>
          </cell>
        </row>
        <row r="2259">
          <cell r="C2259" t="str">
            <v>L6115080346</v>
          </cell>
          <cell r="D2259">
            <v>1</v>
          </cell>
          <cell r="E2259" t="str">
            <v>Bình thường</v>
          </cell>
          <cell r="F2259" t="str">
            <v>GS1</v>
          </cell>
          <cell r="G2259" t="str">
            <v>MC1, HT1, GS2, GJ1, AF1</v>
          </cell>
        </row>
        <row r="2260">
          <cell r="C2260" t="str">
            <v>L6125080043</v>
          </cell>
          <cell r="D2260">
            <v>1</v>
          </cell>
          <cell r="E2260" t="str">
            <v>Bình thường</v>
          </cell>
          <cell r="F2260" t="str">
            <v>GR1</v>
          </cell>
          <cell r="G2260" t="str">
            <v>ED1, EW1, GR2, GS1, KA1, EW2, EN1, AF1</v>
          </cell>
        </row>
        <row r="2261">
          <cell r="C2261" t="str">
            <v>L6125040061</v>
          </cell>
          <cell r="D2261">
            <v>1</v>
          </cell>
          <cell r="E2261" t="str">
            <v>Bình thường</v>
          </cell>
          <cell r="F2261" t="str">
            <v>GR1</v>
          </cell>
          <cell r="G2261" t="str">
            <v>GS1, ED1, EW1, EN1, GP1, GJ1, AF1</v>
          </cell>
        </row>
        <row r="2262">
          <cell r="C2262" t="str">
            <v>L6125060056</v>
          </cell>
          <cell r="D2262">
            <v>1</v>
          </cell>
          <cell r="E2262" t="str">
            <v>Bình thường</v>
          </cell>
          <cell r="F2262" t="str">
            <v>EW1</v>
          </cell>
          <cell r="G2262" t="str">
            <v>GR2, GS2, EN1, AF2</v>
          </cell>
        </row>
        <row r="2263">
          <cell r="C2263" t="str">
            <v>41250906221</v>
          </cell>
          <cell r="D2263">
            <v>1</v>
          </cell>
          <cell r="E2263" t="str">
            <v>Khẩn</v>
          </cell>
          <cell r="F2263" t="str">
            <v>GS1</v>
          </cell>
          <cell r="G2263" t="str">
            <v>EN1, GS2, GP1</v>
          </cell>
        </row>
        <row r="2264">
          <cell r="C2264" t="str">
            <v>213509069A4</v>
          </cell>
          <cell r="D2264">
            <v>1</v>
          </cell>
          <cell r="E2264" t="str">
            <v>Bình thường</v>
          </cell>
          <cell r="F2264" t="str">
            <v>MA1</v>
          </cell>
          <cell r="G2264" t="str">
            <v>LA1, BJ1, DA1, HT1, GR1, GS1, EW1, EN1, AF1, AB1</v>
          </cell>
        </row>
        <row r="2265">
          <cell r="C2265" t="str">
            <v>L6115070352</v>
          </cell>
          <cell r="D2265">
            <v>1</v>
          </cell>
          <cell r="E2265" t="str">
            <v>Bình thường</v>
          </cell>
          <cell r="F2265" t="str">
            <v>GS1</v>
          </cell>
          <cell r="G2265" t="str">
            <v>GR1, LN1, BJ1, DA1, AF1, LA1, GS2, GR2, GJ1, EN1, KA1, GS3, MC1, GJ2, AF2</v>
          </cell>
        </row>
        <row r="2266">
          <cell r="C2266" t="str">
            <v>213507108A22</v>
          </cell>
          <cell r="D2266">
            <v>1</v>
          </cell>
          <cell r="E2266" t="str">
            <v>Bình thường</v>
          </cell>
          <cell r="F2266" t="str">
            <v>EW1</v>
          </cell>
          <cell r="G2266" t="str">
            <v>GR1, GJ1, EN1, GS1, EN2, GJ2, AF1</v>
          </cell>
        </row>
        <row r="2267">
          <cell r="C2267" t="str">
            <v>L4155030062</v>
          </cell>
          <cell r="D2267">
            <v>1</v>
          </cell>
          <cell r="E2267" t="str">
            <v>Bình thường</v>
          </cell>
          <cell r="F2267" t="str">
            <v>AA1</v>
          </cell>
          <cell r="G2267" t="str">
            <v>MA1, BJ1, LA1, BJ2, DA1, HT1, GS1, EW1, GR1, GS2, GJ1, AF1</v>
          </cell>
        </row>
        <row r="2268">
          <cell r="C2268" t="str">
            <v>L6115080363</v>
          </cell>
          <cell r="D2268">
            <v>1</v>
          </cell>
          <cell r="E2268" t="str">
            <v>Bình thường</v>
          </cell>
          <cell r="F2268" t="str">
            <v>GS1</v>
          </cell>
          <cell r="G2268" t="str">
            <v>EN1, GS2, AF1</v>
          </cell>
        </row>
        <row r="2269">
          <cell r="C2269" t="str">
            <v>213507073A6</v>
          </cell>
          <cell r="D2269">
            <v>1</v>
          </cell>
          <cell r="E2269" t="str">
            <v>Bình thường</v>
          </cell>
          <cell r="F2269" t="str">
            <v>EW1</v>
          </cell>
          <cell r="G2269" t="str">
            <v>GR2, GS2, EN1, GS3, EN2, GP1, AF1</v>
          </cell>
        </row>
        <row r="2270">
          <cell r="C2270" t="str">
            <v>213504553A18</v>
          </cell>
          <cell r="D2270">
            <v>1</v>
          </cell>
          <cell r="E2270" t="str">
            <v>Bình thường</v>
          </cell>
          <cell r="F2270" t="str">
            <v>LT1</v>
          </cell>
          <cell r="G2270" t="str">
            <v>KT</v>
          </cell>
        </row>
        <row r="2271">
          <cell r="C2271" t="str">
            <v>213505175A2</v>
          </cell>
          <cell r="D2271">
            <v>1</v>
          </cell>
          <cell r="E2271" t="str">
            <v>Bình thường</v>
          </cell>
          <cell r="F2271" t="str">
            <v>GS1</v>
          </cell>
          <cell r="G2271" t="str">
            <v>EW1, GS2, EN1, GJ1, GP1, AF1</v>
          </cell>
        </row>
        <row r="2272">
          <cell r="C2272" t="str">
            <v>213510913A1</v>
          </cell>
          <cell r="D2272">
            <v>1</v>
          </cell>
          <cell r="E2272" t="str">
            <v>Bình thường</v>
          </cell>
          <cell r="F2272" t="str">
            <v>AA1</v>
          </cell>
          <cell r="G2272" t="str">
            <v>MA1, MC1, AF1</v>
          </cell>
        </row>
        <row r="2273">
          <cell r="C2273" t="str">
            <v>213509022B41</v>
          </cell>
          <cell r="D2273">
            <v>1</v>
          </cell>
          <cell r="E2273" t="str">
            <v>Bình thường</v>
          </cell>
          <cell r="F2273" t="str">
            <v>GC1</v>
          </cell>
          <cell r="G2273" t="str">
            <v>GP1, AF1, LA1, WG1, GS2, GC2, AF2, AL1</v>
          </cell>
        </row>
        <row r="2274">
          <cell r="C2274" t="str">
            <v>213509140A31</v>
          </cell>
          <cell r="D2274">
            <v>1</v>
          </cell>
          <cell r="E2274" t="str">
            <v>Bình thường</v>
          </cell>
          <cell r="F2274" t="str">
            <v>GS2</v>
          </cell>
          <cell r="G2274" t="str">
            <v>EN1</v>
          </cell>
        </row>
        <row r="2275">
          <cell r="C2275" t="str">
            <v>L6115080401</v>
          </cell>
          <cell r="D2275">
            <v>1</v>
          </cell>
          <cell r="E2275" t="str">
            <v>Bình thường</v>
          </cell>
          <cell r="F2275" t="str">
            <v>LA1</v>
          </cell>
          <cell r="G2275" t="str">
            <v>BJ1, HT1, GS1, EN1, GS2, AF1</v>
          </cell>
        </row>
        <row r="2276">
          <cell r="C2276" t="str">
            <v>L6115080344</v>
          </cell>
          <cell r="D2276">
            <v>1</v>
          </cell>
          <cell r="E2276" t="str">
            <v>Bình thường</v>
          </cell>
          <cell r="F2276" t="str">
            <v>GS1</v>
          </cell>
          <cell r="G2276" t="str">
            <v>GR1, GJ1</v>
          </cell>
        </row>
        <row r="2277">
          <cell r="C2277" t="str">
            <v>L6305090345</v>
          </cell>
          <cell r="D2277">
            <v>1</v>
          </cell>
          <cell r="E2277" t="str">
            <v>Bình thường</v>
          </cell>
          <cell r="F2277" t="str">
            <v>MA1</v>
          </cell>
          <cell r="G2277" t="str">
            <v>GS1, BJ1, AB1</v>
          </cell>
        </row>
        <row r="2278">
          <cell r="C2278" t="str">
            <v>213509260A16</v>
          </cell>
          <cell r="D2278">
            <v>1</v>
          </cell>
          <cell r="E2278" t="str">
            <v>Bình thường</v>
          </cell>
          <cell r="F2278" t="str">
            <v>AF1</v>
          </cell>
          <cell r="G2278" t="str">
            <v>AB1</v>
          </cell>
        </row>
        <row r="2279">
          <cell r="C2279" t="str">
            <v>213510043A5</v>
          </cell>
          <cell r="D2279">
            <v>1</v>
          </cell>
          <cell r="E2279" t="str">
            <v>Bình thường</v>
          </cell>
          <cell r="F2279" t="str">
            <v>LA1</v>
          </cell>
          <cell r="G2279" t="str">
            <v>HT1, GR1, GS1, GC1, GJ1, AF1</v>
          </cell>
        </row>
        <row r="2280">
          <cell r="C2280" t="str">
            <v>213509021B40</v>
          </cell>
          <cell r="D2280">
            <v>1</v>
          </cell>
          <cell r="E2280" t="str">
            <v>Bình thường</v>
          </cell>
          <cell r="F2280" t="str">
            <v>GC1</v>
          </cell>
          <cell r="G2280" t="str">
            <v>GP1, AF1, LA1, WG1, GS2, GC2, AF2, AL1</v>
          </cell>
        </row>
        <row r="2281">
          <cell r="C2281" t="str">
            <v>L6115080181</v>
          </cell>
          <cell r="D2281">
            <v>1</v>
          </cell>
          <cell r="E2281" t="str">
            <v>Bình thường</v>
          </cell>
          <cell r="F2281" t="str">
            <v>EN1</v>
          </cell>
          <cell r="G2281" t="str">
            <v>GS2, AF1</v>
          </cell>
        </row>
        <row r="2282">
          <cell r="C2282" t="str">
            <v>L6115080205</v>
          </cell>
          <cell r="D2282">
            <v>1</v>
          </cell>
          <cell r="E2282" t="str">
            <v>Bình thường</v>
          </cell>
          <cell r="F2282" t="str">
            <v>GS1</v>
          </cell>
          <cell r="G2282" t="str">
            <v>GP1, GJ1, EW1, AF1</v>
          </cell>
        </row>
        <row r="2283">
          <cell r="C2283" t="str">
            <v>L6125060055</v>
          </cell>
          <cell r="D2283">
            <v>1</v>
          </cell>
          <cell r="E2283" t="str">
            <v>Bình thường</v>
          </cell>
          <cell r="F2283" t="str">
            <v>EW1</v>
          </cell>
          <cell r="G2283" t="str">
            <v>GR1, GP1, GS2, EW2, EN1, AF1</v>
          </cell>
        </row>
        <row r="2284">
          <cell r="C2284" t="str">
            <v>L6115080343</v>
          </cell>
          <cell r="D2284">
            <v>1</v>
          </cell>
          <cell r="E2284" t="str">
            <v>Bình thường</v>
          </cell>
          <cell r="F2284" t="str">
            <v>MC1</v>
          </cell>
          <cell r="G2284" t="str">
            <v>HT1, GS1, EN1, AF1</v>
          </cell>
        </row>
        <row r="2285">
          <cell r="C2285" t="str">
            <v>L6115060087</v>
          </cell>
          <cell r="D2285">
            <v>1</v>
          </cell>
          <cell r="E2285" t="str">
            <v>Bình thường</v>
          </cell>
          <cell r="F2285" t="str">
            <v>GR1</v>
          </cell>
          <cell r="G2285" t="str">
            <v>EW1, EN1, GS2, AF1</v>
          </cell>
        </row>
        <row r="2286">
          <cell r="C2286" t="str">
            <v>213508031A25</v>
          </cell>
          <cell r="D2286">
            <v>1</v>
          </cell>
          <cell r="E2286" t="str">
            <v>Bình thường</v>
          </cell>
          <cell r="F2286" t="str">
            <v>LN1</v>
          </cell>
          <cell r="G2286" t="str">
            <v>GR1, EW1, LA2, GJ1</v>
          </cell>
        </row>
        <row r="2287">
          <cell r="C2287" t="str">
            <v>213509115A12</v>
          </cell>
          <cell r="D2287">
            <v>1</v>
          </cell>
          <cell r="E2287" t="str">
            <v>Bình thường</v>
          </cell>
          <cell r="F2287" t="str">
            <v>GS1</v>
          </cell>
          <cell r="G2287" t="str">
            <v>EW1, AF1, AB1</v>
          </cell>
        </row>
        <row r="2288">
          <cell r="C2288" t="str">
            <v>213509194A59</v>
          </cell>
          <cell r="D2288">
            <v>1</v>
          </cell>
          <cell r="E2288" t="str">
            <v>Bình thường</v>
          </cell>
          <cell r="F2288" t="str">
            <v>GR1</v>
          </cell>
          <cell r="G2288" t="str">
            <v>GS1, GP1, EN1, AF1</v>
          </cell>
        </row>
        <row r="2289">
          <cell r="C2289" t="str">
            <v>213507063B4</v>
          </cell>
          <cell r="D2289">
            <v>1</v>
          </cell>
          <cell r="E2289" t="str">
            <v>Bình thường</v>
          </cell>
          <cell r="F2289" t="str">
            <v>LT1</v>
          </cell>
          <cell r="G2289" t="str">
            <v>KT</v>
          </cell>
        </row>
        <row r="2290">
          <cell r="C2290" t="str">
            <v>213509120A17</v>
          </cell>
          <cell r="D2290">
            <v>1</v>
          </cell>
          <cell r="E2290" t="str">
            <v>Bình thường</v>
          </cell>
          <cell r="F2290" t="str">
            <v>GS1</v>
          </cell>
          <cell r="G2290" t="str">
            <v>EN1, AF1, AB1</v>
          </cell>
        </row>
        <row r="2291">
          <cell r="C2291" t="str">
            <v>213509265A23</v>
          </cell>
          <cell r="D2291">
            <v>1</v>
          </cell>
          <cell r="E2291" t="str">
            <v>Bình thường</v>
          </cell>
          <cell r="F2291" t="str">
            <v>GS1</v>
          </cell>
          <cell r="G2291" t="str">
            <v>EN2, AF2, AL1</v>
          </cell>
        </row>
        <row r="2292">
          <cell r="C2292" t="str">
            <v>L6115060073</v>
          </cell>
          <cell r="D2292">
            <v>1</v>
          </cell>
          <cell r="E2292" t="str">
            <v>Bình thường</v>
          </cell>
          <cell r="F2292" t="str">
            <v>EW1</v>
          </cell>
          <cell r="G2292" t="str">
            <v>GS1, WG1, GS2, EW2, AF1</v>
          </cell>
        </row>
        <row r="2293">
          <cell r="C2293" t="str">
            <v>213509119A16</v>
          </cell>
          <cell r="D2293">
            <v>1</v>
          </cell>
          <cell r="E2293" t="str">
            <v>Bình thường</v>
          </cell>
          <cell r="F2293" t="str">
            <v>GS1</v>
          </cell>
          <cell r="G2293" t="str">
            <v>EN1, AF1, AB1</v>
          </cell>
        </row>
        <row r="2294">
          <cell r="C2294" t="str">
            <v>L6115080182</v>
          </cell>
          <cell r="D2294">
            <v>1</v>
          </cell>
          <cell r="E2294" t="str">
            <v>Bình thường</v>
          </cell>
          <cell r="F2294" t="str">
            <v>GR1</v>
          </cell>
          <cell r="G2294" t="str">
            <v>GS1, EN1, GP1, AF1</v>
          </cell>
        </row>
        <row r="2295">
          <cell r="C2295" t="str">
            <v>213507093A1</v>
          </cell>
          <cell r="D2295">
            <v>1</v>
          </cell>
          <cell r="E2295" t="str">
            <v>Bình thường</v>
          </cell>
          <cell r="F2295" t="str">
            <v>EW1</v>
          </cell>
          <cell r="G2295" t="str">
            <v>AF1</v>
          </cell>
        </row>
        <row r="2296">
          <cell r="C2296" t="str">
            <v>213507920A1</v>
          </cell>
          <cell r="D2296">
            <v>1</v>
          </cell>
          <cell r="E2296" t="str">
            <v>Bình thường</v>
          </cell>
          <cell r="F2296" t="str">
            <v>GS1</v>
          </cell>
          <cell r="G2296" t="str">
            <v>GR1, LA1, AF1, BJ1, WG1, GS2, GR2, EN1, GS3, GP1, EN2, AF2</v>
          </cell>
        </row>
        <row r="2297">
          <cell r="C2297" t="str">
            <v>L6125100042</v>
          </cell>
          <cell r="D2297">
            <v>1</v>
          </cell>
          <cell r="E2297" t="str">
            <v>Bình thường</v>
          </cell>
          <cell r="F2297" t="str">
            <v>AA1</v>
          </cell>
          <cell r="G2297" t="str">
            <v>MA1, BJ1, HT1, GS1, EW1, AF1</v>
          </cell>
        </row>
        <row r="2298">
          <cell r="C2298" t="str">
            <v>63050900461</v>
          </cell>
          <cell r="D2298">
            <v>1</v>
          </cell>
          <cell r="E2298" t="str">
            <v>Bình thường</v>
          </cell>
          <cell r="F2298" t="str">
            <v>BJ1</v>
          </cell>
          <cell r="G2298" t="str">
            <v>AF1, HT1, GR1, GJ1, GS1, ED1, EW1, AF2, AB1</v>
          </cell>
        </row>
        <row r="2299">
          <cell r="C2299" t="str">
            <v>L6305090065</v>
          </cell>
          <cell r="D2299">
            <v>1</v>
          </cell>
          <cell r="E2299" t="str">
            <v>Bình thường</v>
          </cell>
          <cell r="F2299" t="str">
            <v>MA1</v>
          </cell>
          <cell r="G2299" t="str">
            <v>BJ1, HT1, GS1, EN1, AF1</v>
          </cell>
        </row>
        <row r="2300">
          <cell r="C2300" t="str">
            <v>L6125100013</v>
          </cell>
          <cell r="D2300">
            <v>1</v>
          </cell>
          <cell r="E2300" t="str">
            <v>Bình thường</v>
          </cell>
          <cell r="F2300" t="str">
            <v>LA1</v>
          </cell>
          <cell r="G2300" t="str">
            <v>BJ1, DA1, HT1, EW1, AF1, AB1</v>
          </cell>
        </row>
        <row r="2301">
          <cell r="C2301" t="str">
            <v>213503115A13</v>
          </cell>
          <cell r="D2301">
            <v>1</v>
          </cell>
          <cell r="E2301" t="str">
            <v>Bình thường</v>
          </cell>
          <cell r="F2301" t="str">
            <v>GS2</v>
          </cell>
          <cell r="G2301" t="str">
            <v>KT</v>
          </cell>
        </row>
        <row r="2302">
          <cell r="C2302" t="str">
            <v>213508053B21</v>
          </cell>
          <cell r="D2302">
            <v>1</v>
          </cell>
          <cell r="E2302" t="str">
            <v>Bình thường</v>
          </cell>
          <cell r="F2302" t="str">
            <v>EN1</v>
          </cell>
          <cell r="G2302" t="str">
            <v>AF2</v>
          </cell>
        </row>
        <row r="2303">
          <cell r="C2303" t="str">
            <v>213507158A19</v>
          </cell>
          <cell r="D2303">
            <v>1</v>
          </cell>
          <cell r="E2303" t="str">
            <v>Bình thường</v>
          </cell>
          <cell r="F2303" t="str">
            <v>GS1</v>
          </cell>
          <cell r="G2303" t="str">
            <v>ED1, EW1, EN1, GP1, AF1, AL1</v>
          </cell>
        </row>
        <row r="2304">
          <cell r="C2304" t="str">
            <v>213509302A27</v>
          </cell>
          <cell r="D2304">
            <v>1</v>
          </cell>
          <cell r="E2304" t="str">
            <v>Bình thường</v>
          </cell>
          <cell r="F2304" t="str">
            <v>BJ1</v>
          </cell>
          <cell r="G2304" t="str">
            <v>DA1, HT1, GS1, GJ1, EN1, GS2, AF1</v>
          </cell>
        </row>
        <row r="2305">
          <cell r="C2305" t="str">
            <v>L6115080291</v>
          </cell>
          <cell r="D2305">
            <v>1</v>
          </cell>
          <cell r="E2305" t="str">
            <v>Bình thường</v>
          </cell>
          <cell r="F2305" t="str">
            <v>BJ1</v>
          </cell>
          <cell r="G2305" t="str">
            <v>DA1, HT1, GS1, EW1, EN1, AF1</v>
          </cell>
        </row>
        <row r="2306">
          <cell r="C2306" t="str">
            <v>L6115080345</v>
          </cell>
          <cell r="D2306">
            <v>1</v>
          </cell>
          <cell r="E2306" t="str">
            <v>Bình thường</v>
          </cell>
          <cell r="F2306" t="str">
            <v>GS1</v>
          </cell>
          <cell r="G2306" t="str">
            <v>GR1, GJ1, GS2</v>
          </cell>
        </row>
        <row r="2307">
          <cell r="C2307" t="str">
            <v>L3115080021</v>
          </cell>
          <cell r="D2307">
            <v>1</v>
          </cell>
          <cell r="E2307" t="str">
            <v>Bình thường</v>
          </cell>
          <cell r="F2307" t="str">
            <v>GS1</v>
          </cell>
          <cell r="G2307" t="str">
            <v>AF1, AB1</v>
          </cell>
        </row>
        <row r="2308">
          <cell r="C2308" t="str">
            <v>L6125040062</v>
          </cell>
          <cell r="D2308">
            <v>1</v>
          </cell>
          <cell r="E2308" t="str">
            <v>Bình thường</v>
          </cell>
          <cell r="F2308" t="str">
            <v>GR1</v>
          </cell>
          <cell r="G2308" t="str">
            <v>GS1, ED1, EW1, GR2, GP1, GS2, AF1</v>
          </cell>
        </row>
        <row r="2309">
          <cell r="C2309" t="str">
            <v>213507921A2</v>
          </cell>
          <cell r="D2309">
            <v>1</v>
          </cell>
          <cell r="E2309" t="str">
            <v>Bình thường</v>
          </cell>
          <cell r="F2309" t="str">
            <v>GS2</v>
          </cell>
          <cell r="G2309" t="str">
            <v>EN1, EW3</v>
          </cell>
        </row>
        <row r="2310">
          <cell r="C2310" t="str">
            <v>213509291A10</v>
          </cell>
          <cell r="D2310">
            <v>1</v>
          </cell>
          <cell r="E2310" t="str">
            <v>Bình thường</v>
          </cell>
          <cell r="F2310" t="str">
            <v>BJ1</v>
          </cell>
          <cell r="G2310" t="str">
            <v>DA1, HT1, GR1, GS1, GJ1, AF1</v>
          </cell>
        </row>
        <row r="2311">
          <cell r="C2311" t="str">
            <v>L6115070229</v>
          </cell>
          <cell r="D2311">
            <v>1</v>
          </cell>
          <cell r="E2311" t="str">
            <v>Bình thường</v>
          </cell>
          <cell r="F2311" t="str">
            <v>MA1</v>
          </cell>
          <cell r="G2311" t="str">
            <v>BJ1, HT1, GS1, ED1, EW1, EN1, AF1</v>
          </cell>
        </row>
        <row r="2312">
          <cell r="C2312" t="str">
            <v>L6115080342</v>
          </cell>
          <cell r="D2312">
            <v>1</v>
          </cell>
          <cell r="E2312" t="str">
            <v>Bình thường</v>
          </cell>
          <cell r="F2312" t="str">
            <v>MC1</v>
          </cell>
          <cell r="G2312" t="str">
            <v>HT1, GS1, MC2, AF1</v>
          </cell>
        </row>
        <row r="2313">
          <cell r="C2313" t="str">
            <v>L6125100011</v>
          </cell>
          <cell r="D2313">
            <v>1</v>
          </cell>
          <cell r="E2313" t="str">
            <v>Bình thường</v>
          </cell>
          <cell r="F2313" t="str">
            <v>LA1</v>
          </cell>
          <cell r="G2313" t="str">
            <v>BJ1, DA1, HT1, EW1, AF1, AB1</v>
          </cell>
        </row>
        <row r="2314">
          <cell r="C2314" t="str">
            <v>L6125100015</v>
          </cell>
          <cell r="D2314">
            <v>1</v>
          </cell>
          <cell r="E2314" t="str">
            <v>Bình thường</v>
          </cell>
          <cell r="F2314" t="str">
            <v>LA1</v>
          </cell>
          <cell r="G2314" t="str">
            <v>BJ1, DA1, HT1, EW1, AF1, AB1</v>
          </cell>
        </row>
        <row r="2315">
          <cell r="C2315" t="str">
            <v>L6235080038</v>
          </cell>
          <cell r="D2315">
            <v>1</v>
          </cell>
          <cell r="E2315" t="str">
            <v>Bình thường</v>
          </cell>
          <cell r="F2315" t="str">
            <v>BJ1</v>
          </cell>
          <cell r="G2315" t="str">
            <v>DA1, GS1, GJ1, AF1</v>
          </cell>
        </row>
        <row r="2316">
          <cell r="C2316" t="str">
            <v>L6115080151</v>
          </cell>
          <cell r="D2316">
            <v>1</v>
          </cell>
          <cell r="E2316" t="str">
            <v>Bình thường</v>
          </cell>
          <cell r="F2316" t="str">
            <v>LA1</v>
          </cell>
          <cell r="G2316" t="str">
            <v>BJ1, HT1, LA2, GR1, GS1, GP1, AF1</v>
          </cell>
        </row>
        <row r="2317">
          <cell r="C2317" t="str">
            <v>L6115050252</v>
          </cell>
          <cell r="D2317">
            <v>1</v>
          </cell>
          <cell r="E2317" t="str">
            <v>Bình thường</v>
          </cell>
          <cell r="F2317" t="str">
            <v>GR1</v>
          </cell>
          <cell r="G2317" t="str">
            <v>GS1</v>
          </cell>
        </row>
        <row r="2318">
          <cell r="C2318" t="str">
            <v>L6115060084</v>
          </cell>
          <cell r="D2318">
            <v>1</v>
          </cell>
          <cell r="E2318" t="str">
            <v>Bình thường</v>
          </cell>
          <cell r="F2318" t="str">
            <v>EW1</v>
          </cell>
          <cell r="G2318" t="str">
            <v>GR1, GJ1, EN1, GS1, EN2, GJ2, AF1</v>
          </cell>
        </row>
        <row r="2319">
          <cell r="C2319" t="str">
            <v>L6235050291</v>
          </cell>
          <cell r="D2319">
            <v>1</v>
          </cell>
          <cell r="E2319" t="str">
            <v>Bình thường</v>
          </cell>
          <cell r="F2319" t="str">
            <v>GS1</v>
          </cell>
          <cell r="G2319" t="str">
            <v>EW1, AL1, AB1</v>
          </cell>
        </row>
        <row r="2320">
          <cell r="C2320" t="str">
            <v>213508188A28</v>
          </cell>
          <cell r="D2320">
            <v>1</v>
          </cell>
          <cell r="E2320" t="str">
            <v>Bình thường</v>
          </cell>
          <cell r="F2320" t="str">
            <v>MA1</v>
          </cell>
          <cell r="G2320" t="str">
            <v>BJ1, HT1, EW1, GS1, WG1, GS2, EW2, AF2, AL1, AB1</v>
          </cell>
        </row>
        <row r="2321">
          <cell r="C2321" t="str">
            <v>213509176A53</v>
          </cell>
          <cell r="D2321">
            <v>1</v>
          </cell>
          <cell r="E2321" t="str">
            <v>Bình thường</v>
          </cell>
          <cell r="F2321" t="str">
            <v>GR1</v>
          </cell>
          <cell r="G2321" t="str">
            <v>GS1, GJ1, GP1, AF1</v>
          </cell>
        </row>
        <row r="2322">
          <cell r="C2322" t="str">
            <v>213506523A26</v>
          </cell>
          <cell r="D2322">
            <v>1</v>
          </cell>
          <cell r="E2322" t="str">
            <v>Bình thường</v>
          </cell>
          <cell r="F2322" t="str">
            <v>GR3</v>
          </cell>
          <cell r="G2322" t="str">
            <v>AF2</v>
          </cell>
        </row>
        <row r="2323">
          <cell r="C2323" t="str">
            <v>213510039A1</v>
          </cell>
          <cell r="D2323">
            <v>1</v>
          </cell>
          <cell r="E2323" t="str">
            <v>Bình thường</v>
          </cell>
          <cell r="F2323" t="str">
            <v>AA1</v>
          </cell>
          <cell r="G2323" t="str">
            <v>MA1, BJ1, HT1, GS1, AF1</v>
          </cell>
        </row>
        <row r="2324">
          <cell r="C2324" t="str">
            <v>213509230A32</v>
          </cell>
          <cell r="D2324">
            <v>1</v>
          </cell>
          <cell r="E2324" t="str">
            <v>Bình thường</v>
          </cell>
          <cell r="F2324" t="str">
            <v>BJ1</v>
          </cell>
          <cell r="G2324" t="str">
            <v>DA1, AA1, HT1, GS1, EW1, GR1, GP1, GS2, EW2, EN1, AF1</v>
          </cell>
        </row>
        <row r="2325">
          <cell r="C2325" t="str">
            <v>L6215090111</v>
          </cell>
          <cell r="D2325">
            <v>1</v>
          </cell>
          <cell r="E2325" t="str">
            <v>Bình thường</v>
          </cell>
          <cell r="F2325" t="str">
            <v>WG1</v>
          </cell>
          <cell r="G2325" t="str">
            <v>VP</v>
          </cell>
        </row>
        <row r="2326">
          <cell r="C2326" t="str">
            <v>213507909A6</v>
          </cell>
          <cell r="D2326">
            <v>1</v>
          </cell>
          <cell r="E2326" t="str">
            <v>Bình thường</v>
          </cell>
          <cell r="F2326" t="str">
            <v>EN1</v>
          </cell>
          <cell r="G2326" t="str">
            <v>GS1</v>
          </cell>
        </row>
        <row r="2327">
          <cell r="C2327" t="str">
            <v>L6125100017</v>
          </cell>
          <cell r="D2327">
            <v>1</v>
          </cell>
          <cell r="E2327" t="str">
            <v>Bình thường</v>
          </cell>
          <cell r="F2327" t="str">
            <v>LA1</v>
          </cell>
          <cell r="G2327" t="str">
            <v>BJ1, DA1, HT1, EW1, AF1, AB1</v>
          </cell>
        </row>
        <row r="2328">
          <cell r="C2328" t="str">
            <v>L6305090346</v>
          </cell>
          <cell r="D2328">
            <v>1</v>
          </cell>
          <cell r="E2328" t="str">
            <v>Bình thường</v>
          </cell>
          <cell r="F2328" t="str">
            <v>AA1</v>
          </cell>
          <cell r="G2328" t="str">
            <v>MA1, GS1, BJ1, DA1, GS2, AB1</v>
          </cell>
        </row>
        <row r="2329">
          <cell r="C2329" t="str">
            <v>213509300A23</v>
          </cell>
          <cell r="D2329">
            <v>1</v>
          </cell>
          <cell r="E2329" t="str">
            <v>Bình thường</v>
          </cell>
          <cell r="F2329" t="str">
            <v>GR1</v>
          </cell>
          <cell r="G2329" t="str">
            <v>GJ1, GS2, AF1</v>
          </cell>
        </row>
        <row r="2330">
          <cell r="C2330" t="str">
            <v>L4125100074</v>
          </cell>
          <cell r="D2330">
            <v>1</v>
          </cell>
          <cell r="E2330" t="str">
            <v>Bình thường</v>
          </cell>
          <cell r="F2330" t="str">
            <v>AA1</v>
          </cell>
          <cell r="G2330" t="str">
            <v>MA1, GS1, EN1</v>
          </cell>
        </row>
        <row r="2331">
          <cell r="C2331" t="str">
            <v>213509131A28</v>
          </cell>
          <cell r="D2331">
            <v>1</v>
          </cell>
          <cell r="E2331" t="str">
            <v>Bình thường</v>
          </cell>
          <cell r="F2331" t="str">
            <v>GR1</v>
          </cell>
          <cell r="G2331" t="str">
            <v>GS1, GC1, GS2, GP1</v>
          </cell>
        </row>
        <row r="2332">
          <cell r="C2332" t="str">
            <v>213508038A40</v>
          </cell>
          <cell r="D2332">
            <v>1</v>
          </cell>
          <cell r="E2332" t="str">
            <v>Bình thường</v>
          </cell>
          <cell r="F2332" t="str">
            <v>EW1</v>
          </cell>
          <cell r="G2332" t="str">
            <v>GR1, GS1, GJ1, EN1, GP1, AF1, AL1</v>
          </cell>
        </row>
        <row r="2333">
          <cell r="C2333" t="str">
            <v>213508182A22</v>
          </cell>
          <cell r="D2333">
            <v>1</v>
          </cell>
          <cell r="E2333" t="str">
            <v>Bình thường</v>
          </cell>
          <cell r="F2333" t="str">
            <v>ED1</v>
          </cell>
          <cell r="G2333" t="str">
            <v>EW1, GR1, GS2, AF1</v>
          </cell>
        </row>
        <row r="2334">
          <cell r="C2334" t="str">
            <v>213508074A18</v>
          </cell>
          <cell r="D2334">
            <v>1</v>
          </cell>
          <cell r="E2334" t="str">
            <v>Bình thường</v>
          </cell>
          <cell r="F2334" t="str">
            <v>GS2</v>
          </cell>
          <cell r="G2334" t="str">
            <v>AF1, GP1</v>
          </cell>
        </row>
        <row r="2335">
          <cell r="C2335" t="str">
            <v>213509920A2</v>
          </cell>
          <cell r="D2335">
            <v>1</v>
          </cell>
          <cell r="E2335" t="str">
            <v>Khẩn</v>
          </cell>
          <cell r="F2335" t="str">
            <v>KA1</v>
          </cell>
          <cell r="G2335" t="str">
            <v>LT1</v>
          </cell>
        </row>
        <row r="2336">
          <cell r="C2336" t="str">
            <v>213508112A20</v>
          </cell>
          <cell r="D2336">
            <v>1</v>
          </cell>
          <cell r="E2336" t="str">
            <v>Bình thường</v>
          </cell>
          <cell r="F2336" t="str">
            <v>GR1</v>
          </cell>
          <cell r="G2336" t="str">
            <v>GS1, GP1, GJ1, EN1, AF1</v>
          </cell>
        </row>
        <row r="2337">
          <cell r="C2337" t="str">
            <v>213509284A3</v>
          </cell>
          <cell r="D2337">
            <v>1</v>
          </cell>
          <cell r="E2337" t="str">
            <v>Bình thường</v>
          </cell>
          <cell r="F2337" t="str">
            <v>GS1</v>
          </cell>
          <cell r="G2337" t="str">
            <v>ED1, EW1, GR1, GP1, GS2, EN1, AF1</v>
          </cell>
        </row>
        <row r="2338">
          <cell r="C2338" t="str">
            <v>L6115090123</v>
          </cell>
          <cell r="D2338">
            <v>1</v>
          </cell>
          <cell r="E2338" t="str">
            <v>Bình thường</v>
          </cell>
          <cell r="F2338" t="str">
            <v>AA1</v>
          </cell>
          <cell r="G2338" t="str">
            <v>MA1, BJ1, DA1, HT1, GS1, ED1, EW1, EN1, AF1, AL1</v>
          </cell>
        </row>
        <row r="2339">
          <cell r="C2339" t="str">
            <v>L6215090112</v>
          </cell>
          <cell r="D2339">
            <v>1</v>
          </cell>
          <cell r="E2339" t="str">
            <v>Bình thường</v>
          </cell>
          <cell r="F2339" t="str">
            <v>WG1</v>
          </cell>
          <cell r="G2339" t="str">
            <v>VP</v>
          </cell>
        </row>
        <row r="2340">
          <cell r="C2340" t="str">
            <v>213508036A36</v>
          </cell>
          <cell r="D2340">
            <v>1</v>
          </cell>
          <cell r="E2340" t="str">
            <v>Bình thường</v>
          </cell>
          <cell r="F2340" t="str">
            <v>GR1</v>
          </cell>
          <cell r="G2340" t="str">
            <v>GS2</v>
          </cell>
        </row>
        <row r="2341">
          <cell r="C2341" t="str">
            <v>L61251000111</v>
          </cell>
          <cell r="D2341">
            <v>1</v>
          </cell>
          <cell r="E2341" t="str">
            <v>Bình thường</v>
          </cell>
          <cell r="F2341" t="str">
            <v>LA1</v>
          </cell>
          <cell r="G2341" t="str">
            <v>BJ1, DA1, HT1, EW1, AF1, AB1</v>
          </cell>
        </row>
        <row r="2342">
          <cell r="C2342" t="str">
            <v>213502134A1</v>
          </cell>
          <cell r="D2342">
            <v>1</v>
          </cell>
          <cell r="E2342" t="str">
            <v>Bình thường</v>
          </cell>
          <cell r="F2342" t="str">
            <v>GS1</v>
          </cell>
          <cell r="G2342" t="str">
            <v>GP1, GJ1, AF1</v>
          </cell>
        </row>
        <row r="2343">
          <cell r="C2343" t="str">
            <v>213509203A5</v>
          </cell>
          <cell r="D2343">
            <v>1</v>
          </cell>
          <cell r="E2343" t="str">
            <v>Bình thường</v>
          </cell>
          <cell r="F2343" t="str">
            <v>MC1</v>
          </cell>
          <cell r="G2343" t="str">
            <v>HT1, GR1, GS1</v>
          </cell>
        </row>
        <row r="2344">
          <cell r="C2344" t="str">
            <v>213509918A1</v>
          </cell>
          <cell r="D2344">
            <v>1</v>
          </cell>
          <cell r="E2344" t="str">
            <v>Bình thường</v>
          </cell>
          <cell r="F2344" t="str">
            <v>LA1</v>
          </cell>
          <cell r="G2344" t="str">
            <v>MA1, BJ1, LA2, GR1, BJ2</v>
          </cell>
        </row>
        <row r="2345">
          <cell r="C2345" t="str">
            <v>213508164A24</v>
          </cell>
          <cell r="D2345">
            <v>1</v>
          </cell>
          <cell r="E2345" t="str">
            <v>Bình thường</v>
          </cell>
          <cell r="F2345" t="str">
            <v>BJ1</v>
          </cell>
          <cell r="G2345" t="str">
            <v>HT1, GS1, EW1, GJ1, GS2, EN1, AF1</v>
          </cell>
        </row>
        <row r="2346">
          <cell r="C2346" t="str">
            <v>L6115070354</v>
          </cell>
          <cell r="D2346">
            <v>1</v>
          </cell>
          <cell r="E2346" t="str">
            <v>Bình thường</v>
          </cell>
          <cell r="F2346" t="str">
            <v>GS1</v>
          </cell>
          <cell r="G2346" t="str">
            <v>GR1, GJ1, GS2</v>
          </cell>
        </row>
        <row r="2347">
          <cell r="C2347" t="str">
            <v>L6125100019</v>
          </cell>
          <cell r="D2347">
            <v>1</v>
          </cell>
          <cell r="E2347" t="str">
            <v>Bình thường</v>
          </cell>
          <cell r="F2347" t="str">
            <v>LA1</v>
          </cell>
          <cell r="G2347" t="str">
            <v>BJ1, DA1, HT1, EW1, AF1, AB1</v>
          </cell>
        </row>
        <row r="2348">
          <cell r="C2348" t="str">
            <v>L6305060373</v>
          </cell>
          <cell r="D2348">
            <v>1</v>
          </cell>
          <cell r="E2348" t="str">
            <v>Bình thường</v>
          </cell>
          <cell r="F2348" t="str">
            <v>GR1</v>
          </cell>
          <cell r="G2348" t="str">
            <v>GS1, AF1</v>
          </cell>
        </row>
        <row r="2349">
          <cell r="C2349" t="str">
            <v>L6115080152</v>
          </cell>
          <cell r="D2349">
            <v>1</v>
          </cell>
          <cell r="E2349" t="str">
            <v>Bình thường</v>
          </cell>
          <cell r="F2349" t="str">
            <v>LA1</v>
          </cell>
          <cell r="G2349" t="str">
            <v>HT1, GS1, GR1, GJ1, AF1</v>
          </cell>
        </row>
        <row r="2350">
          <cell r="C2350" t="str">
            <v>L6115090121</v>
          </cell>
          <cell r="D2350">
            <v>1</v>
          </cell>
          <cell r="E2350" t="str">
            <v>Bình thường</v>
          </cell>
          <cell r="F2350" t="str">
            <v>EW1</v>
          </cell>
          <cell r="G2350" t="str">
            <v>GS1</v>
          </cell>
        </row>
        <row r="2351">
          <cell r="C2351" t="str">
            <v>213505020A1</v>
          </cell>
          <cell r="D2351">
            <v>1</v>
          </cell>
          <cell r="E2351" t="str">
            <v>Bình thường</v>
          </cell>
          <cell r="F2351" t="str">
            <v>WG1</v>
          </cell>
          <cell r="G2351" t="str">
            <v>GR2, GJ1, EN1, KA1, GS3, AF2</v>
          </cell>
        </row>
        <row r="2352">
          <cell r="C2352" t="str">
            <v>213508025A17</v>
          </cell>
          <cell r="D2352">
            <v>1</v>
          </cell>
          <cell r="E2352" t="str">
            <v>Bình thường</v>
          </cell>
          <cell r="F2352" t="str">
            <v>GS1</v>
          </cell>
          <cell r="G2352" t="str">
            <v>AB1</v>
          </cell>
        </row>
        <row r="2353">
          <cell r="C2353" t="str">
            <v>213506037A32</v>
          </cell>
          <cell r="D2353">
            <v>1</v>
          </cell>
          <cell r="E2353" t="str">
            <v>Bình thường</v>
          </cell>
          <cell r="F2353" t="str">
            <v>EN1</v>
          </cell>
          <cell r="G2353" t="str">
            <v>GS2</v>
          </cell>
        </row>
        <row r="2354">
          <cell r="C2354" t="str">
            <v>213509051A27</v>
          </cell>
          <cell r="D2354">
            <v>1</v>
          </cell>
          <cell r="E2354" t="str">
            <v>Bình thường</v>
          </cell>
          <cell r="F2354" t="str">
            <v>AA1</v>
          </cell>
          <cell r="G2354" t="str">
            <v>HT1, GR1, GS1, GJ1, EW1, EN1, AF1</v>
          </cell>
        </row>
        <row r="2355">
          <cell r="C2355" t="str">
            <v>213509116A13</v>
          </cell>
          <cell r="D2355">
            <v>1</v>
          </cell>
          <cell r="E2355" t="str">
            <v>Bình thường</v>
          </cell>
          <cell r="F2355" t="str">
            <v>LN1</v>
          </cell>
          <cell r="G2355" t="str">
            <v>BJ2, HT1, GR1, GS1, GC1, GJ1, EN1, KA1, AF1, GS2, HT2, AF2</v>
          </cell>
        </row>
        <row r="2356">
          <cell r="C2356" t="str">
            <v>213508010A19</v>
          </cell>
          <cell r="D2356">
            <v>1</v>
          </cell>
          <cell r="E2356" t="str">
            <v>Bình thường</v>
          </cell>
          <cell r="F2356" t="str">
            <v>EW1</v>
          </cell>
          <cell r="G2356" t="str">
            <v>GR2, GJ1, GS2, GP1, AF1</v>
          </cell>
        </row>
        <row r="2357">
          <cell r="C2357" t="str">
            <v>213509262A19</v>
          </cell>
          <cell r="D2357">
            <v>1</v>
          </cell>
          <cell r="E2357" t="str">
            <v>Bình thường</v>
          </cell>
          <cell r="F2357" t="str">
            <v>GR1</v>
          </cell>
          <cell r="G2357" t="str">
            <v>GS2, GP1, AF1, AL1</v>
          </cell>
        </row>
        <row r="2358">
          <cell r="C2358" t="str">
            <v>213509530A20</v>
          </cell>
          <cell r="D2358">
            <v>1</v>
          </cell>
          <cell r="E2358" t="str">
            <v>Bình thường</v>
          </cell>
          <cell r="F2358" t="str">
            <v>HT1</v>
          </cell>
          <cell r="G2358" t="str">
            <v>GS1, EW1, EN1, AF1, AB1</v>
          </cell>
        </row>
        <row r="2359">
          <cell r="C2359" t="str">
            <v>213509285A4</v>
          </cell>
          <cell r="D2359">
            <v>1</v>
          </cell>
          <cell r="E2359" t="str">
            <v>Bình thường</v>
          </cell>
          <cell r="F2359" t="str">
            <v>EW1</v>
          </cell>
          <cell r="G2359" t="str">
            <v>GR1, GS2, GP1, EN1, GJ1, AF1</v>
          </cell>
        </row>
        <row r="2360">
          <cell r="C2360" t="str">
            <v>213509041B36</v>
          </cell>
          <cell r="D2360">
            <v>1</v>
          </cell>
          <cell r="E2360" t="str">
            <v>Bình thường</v>
          </cell>
          <cell r="F2360" t="str">
            <v>AA1</v>
          </cell>
          <cell r="G2360" t="str">
            <v>MA1, BJ1, GS1, EW1, EN1, AF1</v>
          </cell>
        </row>
        <row r="2361">
          <cell r="C2361" t="str">
            <v>213506087A8</v>
          </cell>
          <cell r="D2361">
            <v>1</v>
          </cell>
          <cell r="E2361" t="str">
            <v>Bình thường</v>
          </cell>
          <cell r="F2361" t="str">
            <v>GR1</v>
          </cell>
          <cell r="G2361" t="str">
            <v>GS1, GP1, GJ1, AF1</v>
          </cell>
        </row>
        <row r="2362">
          <cell r="C2362" t="str">
            <v>213508022A11</v>
          </cell>
          <cell r="D2362">
            <v>1</v>
          </cell>
          <cell r="E2362" t="str">
            <v>Bình thường</v>
          </cell>
          <cell r="F2362" t="str">
            <v>GR1</v>
          </cell>
          <cell r="G2362" t="str">
            <v>GP1, GS2, EW2, EN1, AF1</v>
          </cell>
        </row>
        <row r="2363">
          <cell r="C2363" t="str">
            <v>213510035A35</v>
          </cell>
          <cell r="D2363">
            <v>1</v>
          </cell>
          <cell r="E2363" t="str">
            <v>Bình thường</v>
          </cell>
          <cell r="F2363" t="str">
            <v>GR1</v>
          </cell>
          <cell r="G2363" t="str">
            <v>GS1, ED1, EW1, GR2, GS2, EN1, AF1</v>
          </cell>
        </row>
        <row r="2364">
          <cell r="C2364" t="str">
            <v>213510016A16</v>
          </cell>
          <cell r="D2364">
            <v>1</v>
          </cell>
          <cell r="E2364" t="str">
            <v>Bình thường</v>
          </cell>
          <cell r="F2364" t="str">
            <v>AA1</v>
          </cell>
          <cell r="G2364" t="str">
            <v>MA1, BJ1, HT1, GS1, AF1, AB1</v>
          </cell>
        </row>
        <row r="2365">
          <cell r="C2365" t="str">
            <v>62450900271</v>
          </cell>
          <cell r="D2365">
            <v>1</v>
          </cell>
          <cell r="E2365" t="str">
            <v>Bình thường</v>
          </cell>
          <cell r="F2365" t="str">
            <v>GS1</v>
          </cell>
          <cell r="G2365" t="str">
            <v>MC1, HT1, AF1, AB1</v>
          </cell>
        </row>
        <row r="2366">
          <cell r="C2366" t="str">
            <v>L6115040366</v>
          </cell>
          <cell r="D2366">
            <v>1</v>
          </cell>
          <cell r="E2366" t="str">
            <v>Bình thường</v>
          </cell>
          <cell r="F2366" t="str">
            <v>EW1</v>
          </cell>
          <cell r="G2366" t="str">
            <v>GR1, EN1, GS2, GP1, AF1</v>
          </cell>
        </row>
        <row r="2367">
          <cell r="C2367" t="str">
            <v>L6115060088</v>
          </cell>
          <cell r="D2367">
            <v>1</v>
          </cell>
          <cell r="E2367" t="str">
            <v>Bình thường</v>
          </cell>
          <cell r="F2367" t="str">
            <v>GJ1</v>
          </cell>
          <cell r="G2367" t="str">
            <v>GP1, GS2, AF1</v>
          </cell>
        </row>
        <row r="2368">
          <cell r="C2368" t="str">
            <v>213509198A63</v>
          </cell>
          <cell r="D2368">
            <v>1</v>
          </cell>
          <cell r="E2368" t="str">
            <v>Bình thường</v>
          </cell>
          <cell r="F2368" t="str">
            <v>GR1</v>
          </cell>
          <cell r="G2368" t="str">
            <v>GS1, GJ1, GP1, AF1</v>
          </cell>
        </row>
        <row r="2369">
          <cell r="C2369" t="str">
            <v>L6125050282</v>
          </cell>
          <cell r="D2369">
            <v>1</v>
          </cell>
          <cell r="E2369" t="str">
            <v>Bình thường</v>
          </cell>
          <cell r="F2369" t="str">
            <v>GP1</v>
          </cell>
          <cell r="G2369" t="str">
            <v>GS2, AF1</v>
          </cell>
        </row>
        <row r="2370">
          <cell r="C2370" t="str">
            <v>L6125050292</v>
          </cell>
          <cell r="D2370">
            <v>1</v>
          </cell>
          <cell r="E2370" t="str">
            <v>Bình thường</v>
          </cell>
          <cell r="F2370" t="str">
            <v>GS1</v>
          </cell>
          <cell r="G2370" t="str">
            <v>ED1, EW1, GR2, GP1, GS2, AF1</v>
          </cell>
        </row>
        <row r="2371">
          <cell r="C2371" t="str">
            <v>L6125050241</v>
          </cell>
          <cell r="D2371">
            <v>1</v>
          </cell>
          <cell r="E2371" t="str">
            <v>Bình thường</v>
          </cell>
          <cell r="F2371" t="str">
            <v>GR2</v>
          </cell>
          <cell r="G2371" t="str">
            <v>GP1, GS2, AF1</v>
          </cell>
        </row>
        <row r="2372">
          <cell r="C2372" t="str">
            <v>213509281A41</v>
          </cell>
          <cell r="D2372">
            <v>1</v>
          </cell>
          <cell r="E2372" t="str">
            <v>Bình thường</v>
          </cell>
          <cell r="F2372" t="str">
            <v>BJ1</v>
          </cell>
          <cell r="G2372" t="str">
            <v>HT1, EW1, GS1, WG1, GS2, AF1</v>
          </cell>
        </row>
        <row r="2373">
          <cell r="C2373" t="str">
            <v>213510041A3</v>
          </cell>
          <cell r="D2373">
            <v>1</v>
          </cell>
          <cell r="E2373" t="str">
            <v>Bình thường</v>
          </cell>
          <cell r="F2373" t="str">
            <v>AA1</v>
          </cell>
          <cell r="G2373" t="str">
            <v>MA1, MC1, HT1, GS1, EW1, GS2, EN1</v>
          </cell>
        </row>
        <row r="2374">
          <cell r="C2374" t="str">
            <v>213504266A51</v>
          </cell>
          <cell r="D2374">
            <v>1</v>
          </cell>
          <cell r="E2374" t="str">
            <v>Bình thường</v>
          </cell>
          <cell r="F2374" t="str">
            <v>GS2</v>
          </cell>
          <cell r="G2374" t="str">
            <v>GP1, AF1</v>
          </cell>
        </row>
        <row r="2375">
          <cell r="C2375" t="str">
            <v>612510014G1</v>
          </cell>
          <cell r="D2375">
            <v>1</v>
          </cell>
          <cell r="E2375" t="str">
            <v>Bình thường</v>
          </cell>
          <cell r="F2375" t="str">
            <v>AA1</v>
          </cell>
          <cell r="G2375" t="str">
            <v>MA1, BJ1, AF1, HT1, GS1, EW1, GS2, AF2</v>
          </cell>
        </row>
        <row r="2376">
          <cell r="C2376" t="str">
            <v>213508141A32</v>
          </cell>
          <cell r="D2376">
            <v>1</v>
          </cell>
          <cell r="E2376" t="str">
            <v>Bình thường</v>
          </cell>
          <cell r="F2376" t="str">
            <v>AF1</v>
          </cell>
          <cell r="G2376" t="str">
            <v>VP</v>
          </cell>
        </row>
        <row r="2377">
          <cell r="C2377" t="str">
            <v>L6115070227</v>
          </cell>
          <cell r="D2377">
            <v>1</v>
          </cell>
          <cell r="E2377" t="str">
            <v>Bình thường</v>
          </cell>
          <cell r="F2377" t="str">
            <v>GS1</v>
          </cell>
          <cell r="G2377" t="str">
            <v>GR1, GS2, GC1, GP1, AF1</v>
          </cell>
        </row>
        <row r="2378">
          <cell r="C2378" t="str">
            <v>L6115070228</v>
          </cell>
          <cell r="D2378">
            <v>1</v>
          </cell>
          <cell r="E2378" t="str">
            <v>Bình thường</v>
          </cell>
          <cell r="F2378" t="str">
            <v>AA1</v>
          </cell>
          <cell r="G2378" t="str">
            <v>MA1, BJ1, DA1, HT1, GS1, ED1, EW1, EN1, AF1, AL1</v>
          </cell>
        </row>
        <row r="2379">
          <cell r="C2379" t="str">
            <v>213509289A8</v>
          </cell>
          <cell r="D2379">
            <v>1</v>
          </cell>
          <cell r="E2379" t="str">
            <v>Bình thường</v>
          </cell>
          <cell r="F2379" t="str">
            <v>GR1</v>
          </cell>
          <cell r="G2379" t="str">
            <v>GS1, GP1, AF1</v>
          </cell>
        </row>
        <row r="2380">
          <cell r="C2380" t="str">
            <v>61251000171</v>
          </cell>
          <cell r="D2380">
            <v>1</v>
          </cell>
          <cell r="E2380" t="str">
            <v>Bình thường</v>
          </cell>
          <cell r="F2380" t="str">
            <v>GR1</v>
          </cell>
          <cell r="G2380" t="str">
            <v>GS1, GC1, EN1, AF1, AL1, AB1</v>
          </cell>
        </row>
        <row r="2381">
          <cell r="C2381" t="str">
            <v>213510037A37</v>
          </cell>
          <cell r="D2381">
            <v>1</v>
          </cell>
          <cell r="E2381" t="str">
            <v>Bình thường</v>
          </cell>
          <cell r="F2381" t="str">
            <v>AA1</v>
          </cell>
          <cell r="G2381" t="str">
            <v>MA1, MC1, BJ1, DA1, HT1, GS1, MC2, EW1, EN1, LA1, AF1</v>
          </cell>
        </row>
        <row r="2382">
          <cell r="C2382" t="str">
            <v>213509054A30</v>
          </cell>
          <cell r="D2382">
            <v>1</v>
          </cell>
          <cell r="E2382" t="str">
            <v>Bình thường</v>
          </cell>
          <cell r="F2382" t="str">
            <v>EW1</v>
          </cell>
          <cell r="G2382" t="str">
            <v>GS1, EN1, GS2, AF1</v>
          </cell>
        </row>
        <row r="2383">
          <cell r="C2383" t="str">
            <v>213509280A39</v>
          </cell>
          <cell r="D2383">
            <v>1</v>
          </cell>
          <cell r="E2383" t="str">
            <v>Bình thường</v>
          </cell>
          <cell r="F2383" t="str">
            <v>BJ1</v>
          </cell>
          <cell r="G2383" t="str">
            <v>HT1, GS1, EW1, GR1, GS2, AF1</v>
          </cell>
        </row>
        <row r="2384">
          <cell r="C2384" t="str">
            <v>L6115080443</v>
          </cell>
          <cell r="D2384">
            <v>1</v>
          </cell>
          <cell r="E2384" t="str">
            <v>Bình thường</v>
          </cell>
          <cell r="F2384" t="str">
            <v>GR1</v>
          </cell>
          <cell r="G2384" t="str">
            <v>GS1, EW1, GR2, AF1, AB1</v>
          </cell>
        </row>
        <row r="2385">
          <cell r="C2385" t="str">
            <v>213509913A5</v>
          </cell>
          <cell r="D2385">
            <v>1</v>
          </cell>
          <cell r="E2385" t="str">
            <v>Bình thường</v>
          </cell>
          <cell r="F2385" t="str">
            <v>GR1</v>
          </cell>
          <cell r="G2385" t="str">
            <v>GS1, GP1</v>
          </cell>
        </row>
        <row r="2386">
          <cell r="C2386" t="str">
            <v>L4135070101</v>
          </cell>
          <cell r="D2386">
            <v>1</v>
          </cell>
          <cell r="E2386" t="str">
            <v>Bình thường</v>
          </cell>
          <cell r="F2386" t="str">
            <v>BJ1</v>
          </cell>
          <cell r="G2386" t="str">
            <v>DA1, GS1, GP1, AF1, AB1</v>
          </cell>
        </row>
        <row r="2387">
          <cell r="C2387" t="str">
            <v>L6115070356</v>
          </cell>
          <cell r="D2387">
            <v>1</v>
          </cell>
          <cell r="E2387" t="str">
            <v>Bình thường</v>
          </cell>
          <cell r="F2387" t="str">
            <v>GR1</v>
          </cell>
          <cell r="G2387" t="str">
            <v>GS1, EW1, GJ1, GP1, AF1</v>
          </cell>
        </row>
        <row r="2388">
          <cell r="C2388" t="str">
            <v>L6115070242</v>
          </cell>
          <cell r="D2388">
            <v>1</v>
          </cell>
          <cell r="E2388" t="str">
            <v>Bình thường</v>
          </cell>
          <cell r="F2388" t="str">
            <v>GR1</v>
          </cell>
          <cell r="G2388" t="str">
            <v>GS1, EW1, GR2, AF1, AB1</v>
          </cell>
        </row>
        <row r="2389">
          <cell r="C2389" t="str">
            <v>213510006A8</v>
          </cell>
          <cell r="D2389">
            <v>1</v>
          </cell>
          <cell r="E2389" t="str">
            <v>Bình thường</v>
          </cell>
          <cell r="F2389" t="str">
            <v>LA1</v>
          </cell>
          <cell r="G2389" t="str">
            <v>BJ1, DA1, HT1, GR1, GS1, GJ1, GP1, AF1</v>
          </cell>
        </row>
        <row r="2390">
          <cell r="C2390" t="str">
            <v>L6125090111</v>
          </cell>
          <cell r="D2390">
            <v>1</v>
          </cell>
          <cell r="E2390" t="str">
            <v>Bình thường</v>
          </cell>
          <cell r="F2390" t="str">
            <v>MA1</v>
          </cell>
          <cell r="G2390" t="str">
            <v>BJ1, DA1, HT1, GS1, EW1, MC2, EN1, AF1</v>
          </cell>
        </row>
        <row r="2391">
          <cell r="C2391" t="str">
            <v>213509290A9</v>
          </cell>
          <cell r="D2391">
            <v>1</v>
          </cell>
          <cell r="E2391" t="str">
            <v>Bình thường</v>
          </cell>
          <cell r="F2391" t="str">
            <v>GS1</v>
          </cell>
          <cell r="G2391" t="str">
            <v>EW1, EN1, AF1</v>
          </cell>
        </row>
        <row r="2392">
          <cell r="C2392" t="str">
            <v>213509241A44</v>
          </cell>
          <cell r="D2392">
            <v>1</v>
          </cell>
          <cell r="E2392" t="str">
            <v>Bình thường</v>
          </cell>
          <cell r="F2392" t="str">
            <v>LA1</v>
          </cell>
          <cell r="G2392" t="str">
            <v>HT1, GR1, GS1, GP1, AF1, AL1</v>
          </cell>
        </row>
        <row r="2393">
          <cell r="C2393" t="str">
            <v>213509277A36</v>
          </cell>
          <cell r="D2393">
            <v>1</v>
          </cell>
          <cell r="E2393" t="str">
            <v>Bình thường</v>
          </cell>
          <cell r="F2393" t="str">
            <v>MA1</v>
          </cell>
          <cell r="G2393" t="str">
            <v>BJ1, HT1, GS1, EW1, AF1, AB1</v>
          </cell>
        </row>
        <row r="2394">
          <cell r="C2394" t="str">
            <v>213510048A10</v>
          </cell>
          <cell r="D2394">
            <v>1</v>
          </cell>
          <cell r="E2394" t="str">
            <v>Bình thường</v>
          </cell>
          <cell r="F2394" t="str">
            <v>EW1</v>
          </cell>
          <cell r="G2394" t="str">
            <v>ED1, GJ1, GR1</v>
          </cell>
        </row>
        <row r="2395">
          <cell r="C2395" t="str">
            <v>L6115060031</v>
          </cell>
          <cell r="D2395">
            <v>1</v>
          </cell>
          <cell r="E2395" t="str">
            <v>Bình thường</v>
          </cell>
          <cell r="F2395" t="str">
            <v>MC1</v>
          </cell>
          <cell r="G2395" t="str">
            <v>GS2, AF1</v>
          </cell>
        </row>
        <row r="2396">
          <cell r="C2396" t="str">
            <v>L6115090092</v>
          </cell>
          <cell r="D2396">
            <v>1</v>
          </cell>
          <cell r="E2396" t="str">
            <v>Bình thường</v>
          </cell>
          <cell r="F2396" t="str">
            <v>GR1</v>
          </cell>
          <cell r="G2396" t="str">
            <v>EW1, GS1</v>
          </cell>
        </row>
        <row r="2397">
          <cell r="C2397" t="str">
            <v>213506088B57</v>
          </cell>
          <cell r="D2397">
            <v>1</v>
          </cell>
          <cell r="E2397" t="str">
            <v>Bình thường</v>
          </cell>
          <cell r="F2397" t="str">
            <v>LT1</v>
          </cell>
          <cell r="G2397" t="str">
            <v>KT</v>
          </cell>
        </row>
        <row r="2398">
          <cell r="C2398" t="str">
            <v>213509287A6</v>
          </cell>
          <cell r="D2398">
            <v>1</v>
          </cell>
          <cell r="E2398" t="str">
            <v>Bình thường</v>
          </cell>
          <cell r="F2398" t="str">
            <v>GS1</v>
          </cell>
          <cell r="G2398" t="str">
            <v>GP1</v>
          </cell>
        </row>
        <row r="2399">
          <cell r="C2399" t="str">
            <v>213508078B11</v>
          </cell>
          <cell r="D2399">
            <v>1</v>
          </cell>
          <cell r="E2399" t="str">
            <v>Bình thường</v>
          </cell>
          <cell r="F2399" t="str">
            <v>MC1</v>
          </cell>
          <cell r="G2399" t="str">
            <v>AF1, KA1, LT1</v>
          </cell>
        </row>
        <row r="2400">
          <cell r="C2400" t="str">
            <v>L6125010194</v>
          </cell>
          <cell r="D2400">
            <v>1</v>
          </cell>
          <cell r="E2400" t="str">
            <v>Bình thường</v>
          </cell>
          <cell r="F2400" t="str">
            <v>GR1</v>
          </cell>
          <cell r="G2400" t="str">
            <v>GS1, GP1, AF1</v>
          </cell>
        </row>
        <row r="2401">
          <cell r="C2401" t="str">
            <v>213509201A68</v>
          </cell>
          <cell r="D2401">
            <v>1</v>
          </cell>
          <cell r="E2401" t="str">
            <v>Bình thường</v>
          </cell>
          <cell r="F2401" t="str">
            <v>BJ1</v>
          </cell>
          <cell r="G2401" t="str">
            <v>HT1, GR1, GS1, GC1, EW1, GJ1, KA1, GS2, HT2, AF1</v>
          </cell>
        </row>
        <row r="2402">
          <cell r="C2402" t="str">
            <v>L6115080341</v>
          </cell>
          <cell r="D2402">
            <v>1</v>
          </cell>
          <cell r="E2402" t="str">
            <v>Bình thường</v>
          </cell>
          <cell r="F2402" t="str">
            <v>GS1</v>
          </cell>
          <cell r="G2402" t="str">
            <v>GR1, GJ1, EN1, GS2, GP1, GR2, AF1</v>
          </cell>
        </row>
        <row r="2403">
          <cell r="C2403" t="str">
            <v>612510015G1</v>
          </cell>
          <cell r="D2403">
            <v>1</v>
          </cell>
          <cell r="E2403" t="str">
            <v>Bình thường</v>
          </cell>
          <cell r="F2403" t="str">
            <v>GR1</v>
          </cell>
          <cell r="G2403" t="str">
            <v>GS1, GC1, EN1, AF1, AL1, AB1</v>
          </cell>
        </row>
        <row r="2404">
          <cell r="C2404" t="str">
            <v>213503172A11</v>
          </cell>
          <cell r="D2404">
            <v>1</v>
          </cell>
          <cell r="E2404" t="str">
            <v>Bình thường</v>
          </cell>
          <cell r="F2404" t="str">
            <v>GR1</v>
          </cell>
          <cell r="G2404" t="str">
            <v>GP1</v>
          </cell>
        </row>
        <row r="2405">
          <cell r="C2405" t="str">
            <v>213508079B12</v>
          </cell>
          <cell r="D2405">
            <v>1</v>
          </cell>
          <cell r="E2405" t="str">
            <v>Bình thường</v>
          </cell>
          <cell r="F2405" t="str">
            <v>MC1</v>
          </cell>
          <cell r="G2405" t="str">
            <v>AF1, KA1, LT1</v>
          </cell>
        </row>
        <row r="2406">
          <cell r="C2406" t="str">
            <v>213502208A12</v>
          </cell>
          <cell r="D2406">
            <v>1</v>
          </cell>
          <cell r="E2406" t="str">
            <v>Bình thường</v>
          </cell>
          <cell r="F2406" t="str">
            <v>GS2</v>
          </cell>
          <cell r="G2406" t="str">
            <v>GJ1, EN1, GS3, EW3, AF1</v>
          </cell>
        </row>
        <row r="2407">
          <cell r="C2407" t="str">
            <v>L6115080202</v>
          </cell>
          <cell r="D2407">
            <v>1</v>
          </cell>
          <cell r="E2407" t="str">
            <v>Bình thường</v>
          </cell>
          <cell r="F2407" t="str">
            <v>MA1</v>
          </cell>
          <cell r="G2407" t="str">
            <v>BJ1, HT1, GS1, EW1, AF1</v>
          </cell>
        </row>
        <row r="2408">
          <cell r="C2408" t="str">
            <v>L4125100014</v>
          </cell>
          <cell r="D2408">
            <v>1</v>
          </cell>
          <cell r="E2408" t="str">
            <v>Bình thường</v>
          </cell>
          <cell r="F2408" t="str">
            <v>MA1</v>
          </cell>
          <cell r="G2408" t="str">
            <v>BJ1, DA1, HT1, GS1, EW1</v>
          </cell>
        </row>
        <row r="2409">
          <cell r="C2409" t="str">
            <v>213506028A22</v>
          </cell>
          <cell r="D2409">
            <v>1</v>
          </cell>
          <cell r="E2409" t="str">
            <v>Bình thường</v>
          </cell>
          <cell r="F2409" t="str">
            <v>GR1</v>
          </cell>
          <cell r="G2409" t="str">
            <v>GP1, EN1</v>
          </cell>
        </row>
        <row r="2410">
          <cell r="C2410" t="str">
            <v>213509301A26</v>
          </cell>
          <cell r="D2410">
            <v>1</v>
          </cell>
          <cell r="E2410" t="str">
            <v>Bình thường</v>
          </cell>
          <cell r="F2410" t="str">
            <v>GS1</v>
          </cell>
          <cell r="G2410" t="str">
            <v>EN1, GP1, AF1</v>
          </cell>
        </row>
        <row r="2411">
          <cell r="C2411" t="str">
            <v>213507153A14</v>
          </cell>
          <cell r="D2411">
            <v>1</v>
          </cell>
          <cell r="E2411" t="str">
            <v>Bình thường</v>
          </cell>
          <cell r="F2411" t="str">
            <v>GR1</v>
          </cell>
          <cell r="G2411" t="str">
            <v>GP1</v>
          </cell>
        </row>
        <row r="2412">
          <cell r="C2412" t="str">
            <v>L6115070211</v>
          </cell>
          <cell r="D2412">
            <v>1</v>
          </cell>
          <cell r="E2412" t="str">
            <v>Bình thường</v>
          </cell>
          <cell r="F2412" t="str">
            <v>GR1</v>
          </cell>
          <cell r="G2412" t="str">
            <v>GS1, GC1, GS2, GP1, AF1</v>
          </cell>
        </row>
        <row r="2413">
          <cell r="C2413" t="str">
            <v>L6115080364</v>
          </cell>
          <cell r="D2413">
            <v>1</v>
          </cell>
          <cell r="E2413" t="str">
            <v>Bình thường</v>
          </cell>
          <cell r="F2413" t="str">
            <v>GR1</v>
          </cell>
          <cell r="G2413" t="str">
            <v>EW1, GR2, GS1, EN1, GS2, GP1, AF1</v>
          </cell>
        </row>
        <row r="2414">
          <cell r="C2414" t="str">
            <v>L6115080111</v>
          </cell>
          <cell r="D2414">
            <v>1</v>
          </cell>
          <cell r="E2414" t="str">
            <v>Bình thường</v>
          </cell>
          <cell r="F2414" t="str">
            <v>GR1</v>
          </cell>
          <cell r="G2414" t="str">
            <v>GS2, GC1, GP1, AF1</v>
          </cell>
        </row>
        <row r="2415">
          <cell r="C2415" t="str">
            <v>213508124A11</v>
          </cell>
          <cell r="D2415">
            <v>1</v>
          </cell>
          <cell r="E2415" t="str">
            <v>Bình thường</v>
          </cell>
          <cell r="F2415" t="str">
            <v>EW2</v>
          </cell>
          <cell r="G2415" t="str">
            <v>GS2, EN1</v>
          </cell>
        </row>
        <row r="2416">
          <cell r="C2416" t="str">
            <v>L6115080187</v>
          </cell>
          <cell r="D2416">
            <v>1</v>
          </cell>
          <cell r="E2416" t="str">
            <v>Bình thường</v>
          </cell>
          <cell r="F2416" t="str">
            <v>GR1</v>
          </cell>
          <cell r="G2416" t="str">
            <v>GS1, EW1, EN1, AF1</v>
          </cell>
        </row>
        <row r="2417">
          <cell r="C2417" t="str">
            <v>L4155040064</v>
          </cell>
          <cell r="D2417">
            <v>1</v>
          </cell>
          <cell r="E2417" t="str">
            <v>Bình thường</v>
          </cell>
          <cell r="F2417" t="str">
            <v>EW1</v>
          </cell>
          <cell r="G2417" t="str">
            <v>GR1, GS2, EN1, GP1, AF1</v>
          </cell>
        </row>
        <row r="2418">
          <cell r="C2418" t="str">
            <v>L6305070167</v>
          </cell>
          <cell r="D2418">
            <v>1</v>
          </cell>
          <cell r="E2418" t="str">
            <v>Bình thường</v>
          </cell>
          <cell r="F2418" t="str">
            <v>MC1</v>
          </cell>
          <cell r="G2418" t="str">
            <v>VP</v>
          </cell>
        </row>
        <row r="2419">
          <cell r="C2419" t="str">
            <v>213505125A13</v>
          </cell>
          <cell r="D2419">
            <v>1</v>
          </cell>
          <cell r="E2419" t="str">
            <v>Bình thường</v>
          </cell>
          <cell r="F2419" t="str">
            <v>LA1</v>
          </cell>
          <cell r="G2419" t="str">
            <v>AA1, HT1, GR1, GJ1, EN1, AF1, GS1, GP1, EW1, GS2, AF2</v>
          </cell>
        </row>
        <row r="2420">
          <cell r="C2420" t="str">
            <v>L6115090122</v>
          </cell>
          <cell r="D2420">
            <v>1</v>
          </cell>
          <cell r="E2420" t="str">
            <v>Bình thường</v>
          </cell>
          <cell r="F2420" t="str">
            <v>EW1</v>
          </cell>
          <cell r="G2420" t="str">
            <v>GS1, EW2, EN1, GP1, KA1, GS2</v>
          </cell>
        </row>
        <row r="2421">
          <cell r="C2421" t="str">
            <v>L6115090091</v>
          </cell>
          <cell r="D2421">
            <v>1</v>
          </cell>
          <cell r="E2421" t="str">
            <v>Bình thường</v>
          </cell>
          <cell r="F2421" t="str">
            <v>GR1</v>
          </cell>
          <cell r="G2421" t="str">
            <v>GP1, GS1, GP2</v>
          </cell>
        </row>
        <row r="2422">
          <cell r="C2422" t="str">
            <v>213507023A29</v>
          </cell>
          <cell r="D2422">
            <v>1</v>
          </cell>
          <cell r="E2422" t="str">
            <v>Bình thường</v>
          </cell>
          <cell r="F2422" t="str">
            <v>BJ1</v>
          </cell>
          <cell r="G2422" t="str">
            <v>DA1, GS1, MC1, AF1</v>
          </cell>
        </row>
        <row r="2423">
          <cell r="C2423" t="str">
            <v>213509196A61</v>
          </cell>
          <cell r="D2423">
            <v>1</v>
          </cell>
          <cell r="E2423" t="str">
            <v>Bình thường</v>
          </cell>
          <cell r="F2423" t="str">
            <v>MA1</v>
          </cell>
          <cell r="G2423" t="str">
            <v>BJ1, HT1, GS1, EW1, EN1, AF1</v>
          </cell>
        </row>
        <row r="2424">
          <cell r="C2424" t="str">
            <v>612510006G1</v>
          </cell>
          <cell r="D2424">
            <v>1</v>
          </cell>
          <cell r="E2424" t="str">
            <v>Bình thường</v>
          </cell>
          <cell r="F2424" t="str">
            <v>LA1</v>
          </cell>
          <cell r="G2424" t="str">
            <v>HT1, GR1, GC1, GP1, GS1, AF1, AL1, AB1</v>
          </cell>
        </row>
        <row r="2425">
          <cell r="C2425" t="str">
            <v>L6115060085</v>
          </cell>
          <cell r="D2425">
            <v>1</v>
          </cell>
          <cell r="E2425" t="str">
            <v>Bình thường</v>
          </cell>
          <cell r="F2425" t="str">
            <v>GR1</v>
          </cell>
          <cell r="G2425" t="str">
            <v>GS1, EW1, GJ1, GP1, AF1</v>
          </cell>
        </row>
        <row r="2426">
          <cell r="C2426" t="str">
            <v>61150900181</v>
          </cell>
          <cell r="D2426">
            <v>1</v>
          </cell>
          <cell r="E2426" t="str">
            <v>Bình thường</v>
          </cell>
          <cell r="F2426" t="str">
            <v>GR1</v>
          </cell>
          <cell r="G2426" t="str">
            <v>EN1, GR2, GJ1, GS1, GP1, AF1</v>
          </cell>
        </row>
        <row r="2427">
          <cell r="C2427" t="str">
            <v>L6115080183</v>
          </cell>
          <cell r="D2427">
            <v>1</v>
          </cell>
          <cell r="E2427" t="str">
            <v>Bình thường</v>
          </cell>
          <cell r="F2427" t="str">
            <v>GR1</v>
          </cell>
          <cell r="G2427" t="str">
            <v>GS1, EW1, EN1, GP1, AF1</v>
          </cell>
        </row>
        <row r="2428">
          <cell r="C2428" t="str">
            <v>213508170A6</v>
          </cell>
          <cell r="D2428">
            <v>1</v>
          </cell>
          <cell r="E2428" t="str">
            <v>Bình thường</v>
          </cell>
          <cell r="F2428" t="str">
            <v>GR1</v>
          </cell>
          <cell r="G2428" t="str">
            <v>ED1, EW1, EN1, GJ1, GS1, GP1, AF1, EN2, AF2, AL1</v>
          </cell>
        </row>
        <row r="2429">
          <cell r="C2429" t="str">
            <v>213506501A21</v>
          </cell>
          <cell r="D2429">
            <v>1</v>
          </cell>
          <cell r="E2429" t="str">
            <v>Bình thường</v>
          </cell>
          <cell r="F2429" t="str">
            <v>GS1</v>
          </cell>
          <cell r="G2429" t="str">
            <v>GP1, EN1</v>
          </cell>
        </row>
        <row r="2430">
          <cell r="C2430" t="str">
            <v>213509017A20</v>
          </cell>
          <cell r="D2430">
            <v>1</v>
          </cell>
          <cell r="E2430" t="str">
            <v>Bình thường</v>
          </cell>
          <cell r="F2430" t="str">
            <v>GR1</v>
          </cell>
          <cell r="G2430" t="str">
            <v>GS1, GP1, AF1</v>
          </cell>
        </row>
        <row r="2431">
          <cell r="C2431" t="str">
            <v>213509207A9</v>
          </cell>
          <cell r="D2431">
            <v>1</v>
          </cell>
          <cell r="E2431" t="str">
            <v>Bình thường</v>
          </cell>
          <cell r="F2431" t="str">
            <v>GS1</v>
          </cell>
          <cell r="G2431" t="str">
            <v>GC1, GS2, KA1, LT1</v>
          </cell>
        </row>
        <row r="2432">
          <cell r="C2432" t="str">
            <v>L6125100041</v>
          </cell>
          <cell r="D2432">
            <v>1</v>
          </cell>
          <cell r="E2432" t="str">
            <v>Bình thường</v>
          </cell>
          <cell r="F2432" t="str">
            <v>AA1</v>
          </cell>
          <cell r="G2432" t="str">
            <v>MA1, BJ1, DA1, HT1, GS1, EW1, AF1, AB1</v>
          </cell>
        </row>
        <row r="2433">
          <cell r="C2433" t="str">
            <v>213509208A10</v>
          </cell>
          <cell r="D2433">
            <v>1</v>
          </cell>
          <cell r="E2433" t="str">
            <v>Bình thường</v>
          </cell>
          <cell r="F2433" t="str">
            <v>GS1</v>
          </cell>
          <cell r="G2433" t="str">
            <v>GC1, GS2, KA1, LT1</v>
          </cell>
        </row>
        <row r="2434">
          <cell r="C2434" t="str">
            <v>61150600501</v>
          </cell>
          <cell r="D2434">
            <v>1</v>
          </cell>
          <cell r="E2434" t="str">
            <v>Bình thường</v>
          </cell>
          <cell r="F2434" t="str">
            <v>MA1</v>
          </cell>
          <cell r="G2434" t="str">
            <v>GS1, MC1, AB1</v>
          </cell>
        </row>
        <row r="2435">
          <cell r="C2435" t="str">
            <v>41250706241</v>
          </cell>
          <cell r="D2435">
            <v>1</v>
          </cell>
          <cell r="E2435" t="str">
            <v>Bình thường</v>
          </cell>
          <cell r="F2435" t="str">
            <v>MC1</v>
          </cell>
          <cell r="G2435" t="str">
            <v>VP</v>
          </cell>
        </row>
        <row r="2436">
          <cell r="C2436" t="str">
            <v>213508133A24</v>
          </cell>
          <cell r="D2436">
            <v>1</v>
          </cell>
          <cell r="E2436" t="str">
            <v>Bình thường</v>
          </cell>
          <cell r="F2436" t="str">
            <v>GR1</v>
          </cell>
          <cell r="G2436" t="str">
            <v>GS1, GC1, GP1</v>
          </cell>
        </row>
        <row r="2437">
          <cell r="C2437" t="str">
            <v>L6125080042</v>
          </cell>
          <cell r="D2437">
            <v>1</v>
          </cell>
          <cell r="E2437" t="str">
            <v>Bình thường</v>
          </cell>
          <cell r="F2437" t="str">
            <v>GR1</v>
          </cell>
          <cell r="G2437" t="str">
            <v>ED1, EW1, EN1, GJ1, GS1, GP1, AF1, EN2, AL1</v>
          </cell>
        </row>
        <row r="2438">
          <cell r="C2438" t="str">
            <v>213508168A4</v>
          </cell>
          <cell r="D2438">
            <v>1</v>
          </cell>
          <cell r="E2438" t="str">
            <v>Bình thường</v>
          </cell>
          <cell r="F2438" t="str">
            <v>EN1</v>
          </cell>
          <cell r="G2438" t="str">
            <v>GJ1, AF1, GS1, GP1, EN2, AF2, AL1</v>
          </cell>
        </row>
        <row r="2439">
          <cell r="C2439" t="str">
            <v>213509299A22</v>
          </cell>
          <cell r="D2439">
            <v>1</v>
          </cell>
          <cell r="E2439" t="str">
            <v>Bình thường</v>
          </cell>
          <cell r="F2439" t="str">
            <v>GR1</v>
          </cell>
          <cell r="G2439" t="str">
            <v>GS1, GC1, GP1, AF1, LA1, WG1, GS2, GC2, AF2</v>
          </cell>
        </row>
        <row r="2440">
          <cell r="C2440" t="str">
            <v>213509527A24</v>
          </cell>
          <cell r="D2440">
            <v>1</v>
          </cell>
          <cell r="E2440" t="str">
            <v>Bình thường</v>
          </cell>
          <cell r="F2440" t="str">
            <v>GS1</v>
          </cell>
          <cell r="G2440" t="str">
            <v>GR1, EW1, EN1, KA1, GS2, GP1, AF1</v>
          </cell>
        </row>
        <row r="2441">
          <cell r="C2441" t="str">
            <v>213506503A22</v>
          </cell>
          <cell r="D2441">
            <v>1</v>
          </cell>
          <cell r="E2441" t="str">
            <v>Bình thường</v>
          </cell>
          <cell r="F2441" t="str">
            <v>EN1</v>
          </cell>
          <cell r="G2441" t="str">
            <v>GS2, GP1</v>
          </cell>
        </row>
        <row r="2442">
          <cell r="C2442" t="str">
            <v>213509058B40</v>
          </cell>
          <cell r="D2442">
            <v>1</v>
          </cell>
          <cell r="E2442" t="str">
            <v>Bình thường</v>
          </cell>
          <cell r="F2442" t="str">
            <v>MA1</v>
          </cell>
          <cell r="G2442" t="str">
            <v>BJ1, HT1, GS1, EW1, EN1, AF1</v>
          </cell>
        </row>
        <row r="2443">
          <cell r="C2443" t="str">
            <v>612510016G1</v>
          </cell>
          <cell r="D2443">
            <v>1</v>
          </cell>
          <cell r="E2443" t="str">
            <v>Bình thường</v>
          </cell>
          <cell r="F2443" t="str">
            <v>LA1</v>
          </cell>
          <cell r="G2443" t="str">
            <v>BJ1, DA1, HT1, GR1, GS1, GC1, EN1, AF1, AL1, AB1</v>
          </cell>
        </row>
        <row r="2444">
          <cell r="C2444" t="str">
            <v>L6115080407</v>
          </cell>
          <cell r="D2444">
            <v>1</v>
          </cell>
          <cell r="E2444" t="str">
            <v>Bình thường</v>
          </cell>
          <cell r="F2444" t="str">
            <v>MA1</v>
          </cell>
          <cell r="G2444" t="str">
            <v>MC1, HT1, GR1, GS1, EW1, EN1, AF1</v>
          </cell>
        </row>
        <row r="2445">
          <cell r="C2445" t="str">
            <v>L6305090435</v>
          </cell>
          <cell r="D2445">
            <v>1</v>
          </cell>
          <cell r="E2445" t="str">
            <v>Bình thường</v>
          </cell>
          <cell r="F2445" t="str">
            <v>WG1</v>
          </cell>
          <cell r="G2445" t="str">
            <v>VP</v>
          </cell>
        </row>
        <row r="2446">
          <cell r="C2446" t="str">
            <v>L6115080403</v>
          </cell>
          <cell r="D2446">
            <v>1</v>
          </cell>
          <cell r="E2446" t="str">
            <v>Bình thường</v>
          </cell>
          <cell r="F2446" t="str">
            <v>GR1</v>
          </cell>
          <cell r="G2446" t="str">
            <v>GS1, EW1, EN1, GP1, AF1</v>
          </cell>
        </row>
        <row r="2447">
          <cell r="C2447" t="str">
            <v>L6115080404</v>
          </cell>
          <cell r="D2447">
            <v>1</v>
          </cell>
          <cell r="E2447" t="str">
            <v>Bình thường</v>
          </cell>
          <cell r="F2447" t="str">
            <v>MC1</v>
          </cell>
          <cell r="G2447" t="str">
            <v>HT1, GS1, GR1, EW1, EN1, GS2, AF1</v>
          </cell>
        </row>
        <row r="2448">
          <cell r="C2448" t="str">
            <v>L4125100077</v>
          </cell>
          <cell r="D2448">
            <v>1</v>
          </cell>
          <cell r="E2448" t="str">
            <v>Bình thường</v>
          </cell>
          <cell r="F2448" t="str">
            <v>LA1</v>
          </cell>
          <cell r="G2448" t="str">
            <v>BJ1, DA1, HT1, GR1, GS1, ED1, EW1</v>
          </cell>
        </row>
        <row r="2449">
          <cell r="C2449" t="str">
            <v>21351003021</v>
          </cell>
          <cell r="D2449">
            <v>1</v>
          </cell>
          <cell r="E2449" t="str">
            <v>Bình thường</v>
          </cell>
          <cell r="F2449" t="str">
            <v>GR1</v>
          </cell>
          <cell r="G2449" t="str">
            <v>GS1, GC1, GJ1, EN1, KA1, AF1, GS2, HT2, AF2</v>
          </cell>
        </row>
        <row r="2450">
          <cell r="C2450" t="str">
            <v>L6125080045</v>
          </cell>
          <cell r="D2450">
            <v>1</v>
          </cell>
          <cell r="E2450" t="str">
            <v>Bình thường</v>
          </cell>
          <cell r="F2450" t="str">
            <v>MA1</v>
          </cell>
          <cell r="G2450" t="str">
            <v>BJ1, DA1, AA1, HT1, GS1, EW1, GR1, GP1, GS2, EW2, EN1, AF1</v>
          </cell>
        </row>
        <row r="2451">
          <cell r="C2451" t="str">
            <v>L6125080041</v>
          </cell>
          <cell r="D2451">
            <v>1</v>
          </cell>
          <cell r="E2451" t="str">
            <v>Bình thường</v>
          </cell>
          <cell r="F2451" t="str">
            <v>GS1</v>
          </cell>
          <cell r="G2451" t="str">
            <v>ED1, EW1, GR2, GP1, GS2, AF1</v>
          </cell>
        </row>
        <row r="2452">
          <cell r="C2452" t="str">
            <v>L3115080043</v>
          </cell>
          <cell r="D2452">
            <v>1</v>
          </cell>
          <cell r="E2452" t="str">
            <v>Bình thường</v>
          </cell>
          <cell r="F2452" t="str">
            <v>BJ1</v>
          </cell>
          <cell r="G2452" t="str">
            <v>DA1, GS1, EW1, AF1, AB1</v>
          </cell>
        </row>
        <row r="2453">
          <cell r="C2453" t="str">
            <v>L6115070355</v>
          </cell>
          <cell r="D2453">
            <v>1</v>
          </cell>
          <cell r="E2453" t="str">
            <v>Bình thường</v>
          </cell>
          <cell r="F2453" t="str">
            <v>BJ1</v>
          </cell>
          <cell r="G2453" t="str">
            <v>DA1, HT1, GR1, GS1, EW1, GJ1, GP1, EN1, AF1</v>
          </cell>
        </row>
        <row r="2454">
          <cell r="C2454" t="str">
            <v>L6115070357</v>
          </cell>
          <cell r="D2454">
            <v>1</v>
          </cell>
          <cell r="E2454" t="str">
            <v>Bình thường</v>
          </cell>
          <cell r="F2454" t="str">
            <v>ED1</v>
          </cell>
          <cell r="G2454" t="str">
            <v>EW1, GR1, GJ1, EN1, GS1, EN2, GJ2, AF1</v>
          </cell>
        </row>
        <row r="2455">
          <cell r="C2455" t="str">
            <v>L6115080365</v>
          </cell>
          <cell r="D2455">
            <v>1</v>
          </cell>
          <cell r="E2455" t="str">
            <v>Bình thường</v>
          </cell>
          <cell r="F2455" t="str">
            <v>GS1</v>
          </cell>
          <cell r="G2455" t="str">
            <v>GR1, GS2, EW1, AF1</v>
          </cell>
        </row>
        <row r="2456">
          <cell r="C2456" t="str">
            <v>213508077B10</v>
          </cell>
          <cell r="D2456">
            <v>1</v>
          </cell>
          <cell r="E2456" t="str">
            <v>Bình thường</v>
          </cell>
          <cell r="F2456" t="str">
            <v>MA1</v>
          </cell>
          <cell r="G2456" t="str">
            <v>BJ1, HT1, GS1, EW1, MC1, AF1, KA1, LT1</v>
          </cell>
        </row>
        <row r="2457">
          <cell r="C2457" t="str">
            <v>L6125080046</v>
          </cell>
          <cell r="D2457">
            <v>1</v>
          </cell>
          <cell r="E2457" t="str">
            <v>Bình thường</v>
          </cell>
          <cell r="F2457" t="str">
            <v>EW1</v>
          </cell>
          <cell r="G2457" t="str">
            <v>GR2, GP1, EN1, AF1</v>
          </cell>
        </row>
        <row r="2458">
          <cell r="C2458" t="str">
            <v>213509264A22</v>
          </cell>
          <cell r="D2458">
            <v>1</v>
          </cell>
          <cell r="E2458" t="str">
            <v>Bình thường</v>
          </cell>
          <cell r="F2458" t="str">
            <v>GS1</v>
          </cell>
          <cell r="G2458" t="str">
            <v>ED1, EW2, GS2, EN1</v>
          </cell>
        </row>
        <row r="2459">
          <cell r="C2459" t="str">
            <v>L4125100011</v>
          </cell>
          <cell r="D2459">
            <v>1</v>
          </cell>
          <cell r="E2459" t="str">
            <v>Bình thường</v>
          </cell>
          <cell r="F2459" t="str">
            <v>MA1</v>
          </cell>
          <cell r="G2459" t="str">
            <v>MC1, HT1, GS1, EW1</v>
          </cell>
        </row>
        <row r="2460">
          <cell r="C2460" t="str">
            <v>L4125100013</v>
          </cell>
          <cell r="D2460">
            <v>1</v>
          </cell>
          <cell r="E2460" t="str">
            <v>Bình thường</v>
          </cell>
          <cell r="F2460" t="str">
            <v>MA1</v>
          </cell>
          <cell r="G2460" t="str">
            <v>BJ1, DA1, HT1, GS1, EW1</v>
          </cell>
        </row>
        <row r="2461">
          <cell r="C2461" t="str">
            <v>213509912A4</v>
          </cell>
          <cell r="D2461">
            <v>1</v>
          </cell>
          <cell r="E2461" t="str">
            <v>Bình thường</v>
          </cell>
          <cell r="F2461" t="str">
            <v>GR2</v>
          </cell>
          <cell r="G2461" t="str">
            <v>GS2, EN1, GS3, GP1, AF1</v>
          </cell>
        </row>
        <row r="2462">
          <cell r="C2462" t="str">
            <v>213509294A14</v>
          </cell>
          <cell r="D2462">
            <v>1</v>
          </cell>
          <cell r="E2462" t="str">
            <v>Bình thường</v>
          </cell>
          <cell r="F2462" t="str">
            <v>MA1</v>
          </cell>
          <cell r="G2462" t="str">
            <v>BJ1, HT1, GS1, EW1, AF1</v>
          </cell>
        </row>
        <row r="2463">
          <cell r="C2463" t="str">
            <v>L4125100015</v>
          </cell>
          <cell r="D2463">
            <v>1</v>
          </cell>
          <cell r="E2463" t="str">
            <v>Bình thường</v>
          </cell>
          <cell r="F2463" t="str">
            <v>MA1</v>
          </cell>
          <cell r="G2463" t="str">
            <v>BJ1, DA1, HT1, GS1, ED1, EW1</v>
          </cell>
        </row>
        <row r="2464">
          <cell r="C2464" t="str">
            <v>L4125100016</v>
          </cell>
          <cell r="D2464">
            <v>1</v>
          </cell>
          <cell r="E2464" t="str">
            <v>Bình thường</v>
          </cell>
          <cell r="F2464" t="str">
            <v>MA1</v>
          </cell>
          <cell r="G2464" t="str">
            <v>MC1, HT1, GS1, ED1, EW1</v>
          </cell>
        </row>
        <row r="2465">
          <cell r="C2465" t="str">
            <v>213509209A11</v>
          </cell>
          <cell r="D2465">
            <v>1</v>
          </cell>
          <cell r="E2465" t="str">
            <v>Bình thường</v>
          </cell>
          <cell r="F2465" t="str">
            <v>GR1</v>
          </cell>
          <cell r="G2465" t="str">
            <v>GP1, GS1, GP2, EN1, GJ1, AF1</v>
          </cell>
        </row>
        <row r="2466">
          <cell r="C2466" t="str">
            <v>L6115080361</v>
          </cell>
          <cell r="D2466">
            <v>1</v>
          </cell>
          <cell r="E2466" t="str">
            <v>Bình thường</v>
          </cell>
          <cell r="F2466" t="str">
            <v>GS1</v>
          </cell>
          <cell r="G2466" t="str">
            <v>EW1, GR1, GS2, EN1, GP1, AF1</v>
          </cell>
        </row>
        <row r="2467">
          <cell r="C2467" t="str">
            <v>213503107A7</v>
          </cell>
          <cell r="D2467">
            <v>1</v>
          </cell>
          <cell r="E2467" t="str">
            <v>Bình thường</v>
          </cell>
          <cell r="F2467" t="str">
            <v>GS2</v>
          </cell>
          <cell r="G2467" t="str">
            <v>GJ1, EN1, GS3, EW3, AF1</v>
          </cell>
        </row>
        <row r="2468">
          <cell r="C2468" t="str">
            <v>L6115080366</v>
          </cell>
          <cell r="D2468">
            <v>1</v>
          </cell>
          <cell r="E2468" t="str">
            <v>Bình thường</v>
          </cell>
          <cell r="F2468" t="str">
            <v>EW1</v>
          </cell>
          <cell r="G2468" t="str">
            <v>GS1, ED1, EW2, GS2, EN1, GP1, AF1</v>
          </cell>
        </row>
        <row r="2469">
          <cell r="C2469" t="str">
            <v>213505902A1</v>
          </cell>
          <cell r="D2469">
            <v>1</v>
          </cell>
          <cell r="E2469" t="str">
            <v>Bình thường</v>
          </cell>
          <cell r="F2469" t="str">
            <v>GP1</v>
          </cell>
          <cell r="G2469" t="str">
            <v>KT</v>
          </cell>
        </row>
        <row r="2470">
          <cell r="C2470" t="str">
            <v>L6115040391</v>
          </cell>
          <cell r="D2470">
            <v>1</v>
          </cell>
          <cell r="E2470" t="str">
            <v>Bình thường</v>
          </cell>
          <cell r="F2470" t="str">
            <v>EW1</v>
          </cell>
          <cell r="G2470" t="str">
            <v>EN1, LA1, AF1</v>
          </cell>
        </row>
        <row r="2471">
          <cell r="C2471" t="str">
            <v>L6115080362</v>
          </cell>
          <cell r="D2471">
            <v>1</v>
          </cell>
          <cell r="E2471" t="str">
            <v>Bình thường</v>
          </cell>
          <cell r="F2471" t="str">
            <v>GS1</v>
          </cell>
          <cell r="G2471" t="str">
            <v>EW1, GR1, GS2, EN1, GS3, GP1, AF1</v>
          </cell>
        </row>
        <row r="2472">
          <cell r="C2472" t="str">
            <v>213509272A30</v>
          </cell>
          <cell r="D2472">
            <v>1</v>
          </cell>
          <cell r="E2472" t="str">
            <v>Bình thường</v>
          </cell>
          <cell r="F2472" t="str">
            <v>BJ1</v>
          </cell>
          <cell r="G2472" t="str">
            <v>DA1, HT1, GR1, ED1, EW1, EN1, GJ1, AF1, GS1, GP1, EN2, AF2, AL1</v>
          </cell>
        </row>
        <row r="2473">
          <cell r="C2473" t="str">
            <v>213506019A9</v>
          </cell>
          <cell r="D2473">
            <v>1</v>
          </cell>
          <cell r="E2473" t="str">
            <v>Bình thường</v>
          </cell>
          <cell r="F2473" t="str">
            <v>EW2</v>
          </cell>
          <cell r="G2473" t="str">
            <v>GS2</v>
          </cell>
        </row>
        <row r="2474">
          <cell r="C2474" t="str">
            <v>213510011A13</v>
          </cell>
          <cell r="D2474">
            <v>1</v>
          </cell>
          <cell r="E2474" t="str">
            <v>Bình thường</v>
          </cell>
          <cell r="F2474" t="str">
            <v>EW1</v>
          </cell>
          <cell r="G2474" t="str">
            <v>GS1, ED1, EW2, GS2, EN1</v>
          </cell>
        </row>
        <row r="2475">
          <cell r="C2475" t="str">
            <v>213509204A6</v>
          </cell>
          <cell r="D2475">
            <v>1</v>
          </cell>
          <cell r="E2475" t="str">
            <v>Bình thường</v>
          </cell>
          <cell r="F2475" t="str">
            <v>LA1</v>
          </cell>
          <cell r="G2475" t="str">
            <v>BJ1, DA1, HT1, GR1, GS1, ED1, EW1, EN1, GJ1, GS2, GP1, AF1, EN2, AF2, AL1</v>
          </cell>
        </row>
        <row r="2476">
          <cell r="C2476" t="str">
            <v>213509026B48</v>
          </cell>
          <cell r="D2476">
            <v>1</v>
          </cell>
          <cell r="E2476" t="str">
            <v>Bình thường</v>
          </cell>
          <cell r="F2476" t="str">
            <v>GS1</v>
          </cell>
          <cell r="G2476" t="str">
            <v>MC1, AF1, LT1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09E1-8FB9-49F8-93A1-0EC55088FDD7}">
  <dimension ref="B1:AD29"/>
  <sheetViews>
    <sheetView tabSelected="1" topLeftCell="X3" zoomScale="90" zoomScaleNormal="90" workbookViewId="0">
      <selection activeCell="AB8" sqref="AB8"/>
    </sheetView>
  </sheetViews>
  <sheetFormatPr defaultColWidth="9" defaultRowHeight="15"/>
  <cols>
    <col min="1" max="1" width="10.42578125" style="80" customWidth="1"/>
    <col min="2" max="2" width="8" style="225" customWidth="1"/>
    <col min="3" max="3" width="13.7109375" style="225" customWidth="1"/>
    <col min="4" max="4" width="19" style="225" customWidth="1"/>
    <col min="5" max="5" width="22.7109375" style="225" customWidth="1"/>
    <col min="6" max="6" width="16.28515625" style="225" customWidth="1"/>
    <col min="7" max="7" width="13" style="225" bestFit="1" customWidth="1"/>
    <col min="8" max="8" width="12.42578125" style="225" bestFit="1" customWidth="1"/>
    <col min="9" max="9" width="17.28515625" style="225" bestFit="1" customWidth="1"/>
    <col min="10" max="10" width="16.28515625" style="225" bestFit="1" customWidth="1"/>
    <col min="11" max="11" width="11.28515625" style="321" customWidth="1"/>
    <col min="12" max="12" width="13.28515625" style="80" bestFit="1" customWidth="1"/>
    <col min="13" max="13" width="15" style="80" bestFit="1" customWidth="1"/>
    <col min="14" max="14" width="18.42578125" style="80" bestFit="1" customWidth="1"/>
    <col min="15" max="16" width="15" style="80" bestFit="1" customWidth="1"/>
    <col min="17" max="24" width="16.7109375" style="80" bestFit="1" customWidth="1"/>
    <col min="25" max="26" width="3.7109375" style="80" customWidth="1"/>
    <col min="27" max="30" width="56.28515625" style="80" customWidth="1"/>
    <col min="31" max="16384" width="9" style="80"/>
  </cols>
  <sheetData>
    <row r="1" spans="2:30" ht="15" customHeight="1">
      <c r="B1" s="436" t="s">
        <v>19</v>
      </c>
      <c r="C1" s="436"/>
      <c r="D1" s="436"/>
      <c r="E1" s="436"/>
      <c r="F1" s="436"/>
      <c r="G1" s="436"/>
      <c r="H1" s="436"/>
      <c r="I1" s="437" t="s">
        <v>20</v>
      </c>
      <c r="J1" s="437"/>
    </row>
    <row r="2" spans="2:30" ht="15" customHeight="1">
      <c r="B2" s="436"/>
      <c r="C2" s="436"/>
      <c r="D2" s="436"/>
      <c r="E2" s="436"/>
      <c r="F2" s="436"/>
      <c r="G2" s="436"/>
      <c r="H2" s="436"/>
      <c r="I2" s="437" t="s">
        <v>413</v>
      </c>
      <c r="J2" s="437"/>
    </row>
    <row r="3" spans="2:30" s="83" customFormat="1" ht="30">
      <c r="B3" s="81" t="s">
        <v>27</v>
      </c>
      <c r="C3" s="81" t="s">
        <v>28</v>
      </c>
      <c r="D3" s="81" t="s">
        <v>25</v>
      </c>
      <c r="E3" s="82" t="s">
        <v>26</v>
      </c>
      <c r="F3" s="82" t="s">
        <v>29</v>
      </c>
      <c r="G3" s="339" t="s">
        <v>21</v>
      </c>
      <c r="H3" s="339" t="s">
        <v>22</v>
      </c>
      <c r="I3" s="339" t="s">
        <v>412</v>
      </c>
      <c r="J3" s="339" t="s">
        <v>86</v>
      </c>
      <c r="K3" s="350"/>
      <c r="M3" s="339" t="s">
        <v>18</v>
      </c>
      <c r="N3" s="339" t="s">
        <v>17</v>
      </c>
      <c r="O3" s="339" t="s">
        <v>8</v>
      </c>
      <c r="P3" s="339" t="s">
        <v>16</v>
      </c>
      <c r="Q3" s="339" t="s">
        <v>14</v>
      </c>
      <c r="R3" s="339" t="s">
        <v>15</v>
      </c>
      <c r="S3" s="339" t="s">
        <v>13</v>
      </c>
      <c r="T3" s="339" t="s">
        <v>11</v>
      </c>
      <c r="U3" s="339" t="s">
        <v>12</v>
      </c>
      <c r="V3" s="339" t="s">
        <v>10</v>
      </c>
      <c r="W3" s="339" t="s">
        <v>9</v>
      </c>
      <c r="X3" s="339" t="s">
        <v>7</v>
      </c>
    </row>
    <row r="4" spans="2:30" ht="24.75" customHeight="1">
      <c r="B4" s="433" t="s">
        <v>18</v>
      </c>
      <c r="C4" s="84" t="s">
        <v>23</v>
      </c>
      <c r="D4" s="218">
        <f>'1.Nội tác linh kiện tòn kho '!T104</f>
        <v>69.473392568260849</v>
      </c>
      <c r="E4" s="210">
        <f>'2.Nội tác LK thành hình'!S32</f>
        <v>63.540775466666673</v>
      </c>
      <c r="F4" s="210">
        <f>'3.Nội tác LK khuôn dập'!T94</f>
        <v>57.207853999999998</v>
      </c>
      <c r="G4" s="210">
        <f>SUM(D4:F4)</f>
        <v>190.22202203492753</v>
      </c>
      <c r="H4" s="97"/>
      <c r="I4" s="284">
        <f>SUM(D4:F4)</f>
        <v>190.22202203492753</v>
      </c>
      <c r="J4" s="219">
        <f>H5</f>
        <v>251.97752639999999</v>
      </c>
      <c r="L4" s="99" t="s">
        <v>87</v>
      </c>
      <c r="M4" s="285">
        <f>G4</f>
        <v>190.22202203492753</v>
      </c>
      <c r="N4" s="285">
        <f>G6</f>
        <v>132.89128536028986</v>
      </c>
      <c r="O4" s="285">
        <f>G8</f>
        <v>324.12377357553567</v>
      </c>
      <c r="P4" s="285">
        <f>G10</f>
        <v>326.69296143182964</v>
      </c>
      <c r="Q4" s="285">
        <f>G12</f>
        <v>325.52909141666663</v>
      </c>
      <c r="R4" s="285">
        <f>G14</f>
        <v>312.74140441000003</v>
      </c>
      <c r="S4" s="285">
        <f>G16</f>
        <v>311.58998864124999</v>
      </c>
      <c r="T4" s="285">
        <f>G18</f>
        <v>308.13622896999999</v>
      </c>
      <c r="U4" s="285">
        <f>G20</f>
        <v>320.07877493333336</v>
      </c>
      <c r="V4" s="285">
        <f>G22</f>
        <v>287.69635805849634</v>
      </c>
      <c r="W4" s="285">
        <f>G24</f>
        <v>275.64558431849639</v>
      </c>
      <c r="X4" s="285">
        <f>G26</f>
        <v>249.12347056999999</v>
      </c>
      <c r="AA4" s="435" t="s">
        <v>887</v>
      </c>
      <c r="AB4" s="435"/>
      <c r="AC4" s="435"/>
      <c r="AD4" s="435"/>
    </row>
    <row r="5" spans="2:30" ht="24.75" customHeight="1">
      <c r="B5" s="433" t="s">
        <v>18</v>
      </c>
      <c r="C5" s="85" t="s">
        <v>24</v>
      </c>
      <c r="D5" s="86">
        <f>'THỰC TẾ GIA CÔNG '!R8</f>
        <v>39.9389562</v>
      </c>
      <c r="E5" s="211">
        <f>'THỰC TẾ GIA CÔNG '!R9</f>
        <v>52.597740000000002</v>
      </c>
      <c r="F5" s="211">
        <f>'THỰC TẾ GIA CÔNG '!R10</f>
        <v>159.44083019999999</v>
      </c>
      <c r="G5" s="211">
        <f>SUM(D5:F5)</f>
        <v>251.97752639999999</v>
      </c>
      <c r="H5" s="97">
        <f>SUM(D5:F5)</f>
        <v>251.97752639999999</v>
      </c>
      <c r="I5" s="220">
        <f>I4</f>
        <v>190.22202203492753</v>
      </c>
      <c r="J5" s="97">
        <f>J4</f>
        <v>251.97752639999999</v>
      </c>
      <c r="K5" s="351">
        <f>J5/I5</f>
        <v>1.3246496052582872</v>
      </c>
      <c r="L5" s="99" t="s">
        <v>88</v>
      </c>
      <c r="M5" s="285">
        <f>M4</f>
        <v>190.22202203492753</v>
      </c>
      <c r="N5" s="285">
        <f>M5+N4</f>
        <v>323.11330739521736</v>
      </c>
      <c r="O5" s="285">
        <f>N5+O4</f>
        <v>647.23708097075303</v>
      </c>
      <c r="P5" s="285">
        <f t="shared" ref="P5" si="0">O5+P4</f>
        <v>973.93004240258267</v>
      </c>
      <c r="Q5" s="285">
        <f>P5+Q4</f>
        <v>1299.4591338192492</v>
      </c>
      <c r="R5" s="285">
        <f t="shared" ref="R5" si="1">Q5+R4</f>
        <v>1612.2005382292493</v>
      </c>
      <c r="S5" s="285">
        <f>R5+S4</f>
        <v>1923.7905268704994</v>
      </c>
      <c r="T5" s="285">
        <f t="shared" ref="T5" si="2">S5+T4</f>
        <v>2231.9267558404995</v>
      </c>
      <c r="U5" s="285">
        <f>T5+U4</f>
        <v>2552.005530773833</v>
      </c>
      <c r="V5" s="285">
        <f t="shared" ref="V5" si="3">U5+V4</f>
        <v>2839.7018888323291</v>
      </c>
      <c r="W5" s="285">
        <f>V5+W4</f>
        <v>3115.3474731508254</v>
      </c>
      <c r="X5" s="285">
        <f t="shared" ref="X5" si="4">W5+X4</f>
        <v>3364.4709437208253</v>
      </c>
      <c r="AA5" s="87" t="s">
        <v>402</v>
      </c>
      <c r="AB5" s="88" t="s">
        <v>25</v>
      </c>
      <c r="AC5" s="88" t="s">
        <v>26</v>
      </c>
      <c r="AD5" s="88" t="s">
        <v>29</v>
      </c>
    </row>
    <row r="6" spans="2:30" ht="24.75" customHeight="1">
      <c r="B6" s="433" t="s">
        <v>17</v>
      </c>
      <c r="C6" s="89" t="s">
        <v>23</v>
      </c>
      <c r="D6" s="218">
        <f>'1.Nội tác linh kiện tòn kho '!U104</f>
        <v>27.545740026956516</v>
      </c>
      <c r="E6" s="218">
        <f>'2.Nội tác LK thành hình'!T32</f>
        <v>72.462413533333333</v>
      </c>
      <c r="F6" s="210">
        <f>'3.Nội tác LK khuôn dập'!U94</f>
        <v>32.883131799999994</v>
      </c>
      <c r="G6" s="210">
        <f t="shared" ref="G6" si="5">SUM(D6:F6)</f>
        <v>132.89128536028986</v>
      </c>
      <c r="H6" s="97"/>
      <c r="I6" s="221">
        <f>I4+G6</f>
        <v>323.11330739521736</v>
      </c>
      <c r="J6" s="97">
        <f>J7</f>
        <v>325.42567459999998</v>
      </c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AA6" s="90" t="s">
        <v>23</v>
      </c>
      <c r="AB6" s="420">
        <f t="shared" ref="AB6:AD7" si="6">D10</f>
        <v>148.31053867182968</v>
      </c>
      <c r="AC6" s="420">
        <f t="shared" si="6"/>
        <v>69.873856959999998</v>
      </c>
      <c r="AD6" s="420">
        <f t="shared" si="6"/>
        <v>108.5085658</v>
      </c>
    </row>
    <row r="7" spans="2:30" ht="24.75" customHeight="1">
      <c r="B7" s="433" t="s">
        <v>17</v>
      </c>
      <c r="C7" s="91" t="s">
        <v>24</v>
      </c>
      <c r="D7" s="364">
        <f>'THỰC TẾ GIA CÔNG '!T8</f>
        <v>0</v>
      </c>
      <c r="E7" s="365">
        <f>'THỰC TẾ GIA CÔNG '!T9</f>
        <v>62.294148200000009</v>
      </c>
      <c r="F7" s="365">
        <f>'THỰC TẾ GIA CÔNG '!T10</f>
        <v>11.154</v>
      </c>
      <c r="G7" s="365"/>
      <c r="H7" s="366">
        <f>SUM(D7:F7)</f>
        <v>73.448148200000006</v>
      </c>
      <c r="I7" s="367">
        <f>I6</f>
        <v>323.11330739521736</v>
      </c>
      <c r="J7" s="366">
        <f>H7+J5</f>
        <v>325.42567459999998</v>
      </c>
      <c r="K7" s="352">
        <f>J7/I7</f>
        <v>1.0071565211084117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AA7" s="93" t="s">
        <v>24</v>
      </c>
      <c r="AB7" s="94">
        <v>120</v>
      </c>
      <c r="AC7" s="94">
        <f t="shared" si="6"/>
        <v>0</v>
      </c>
      <c r="AD7" s="94">
        <f t="shared" si="6"/>
        <v>0</v>
      </c>
    </row>
    <row r="8" spans="2:30" ht="24.75" customHeight="1">
      <c r="B8" s="433" t="s">
        <v>8</v>
      </c>
      <c r="C8" s="89" t="s">
        <v>23</v>
      </c>
      <c r="D8" s="210">
        <f>'1.Nội tác linh kiện tòn kho '!V104</f>
        <v>132.91868749553566</v>
      </c>
      <c r="E8" s="218">
        <f>'2.Nội tác LK thành hình'!U32</f>
        <v>99.335062350000015</v>
      </c>
      <c r="F8" s="218">
        <f>'3.Nội tác LK khuôn dập'!V94</f>
        <v>91.870023729999971</v>
      </c>
      <c r="G8" s="210">
        <f>SUM(D8:F8)</f>
        <v>324.12377357553567</v>
      </c>
      <c r="H8" s="97"/>
      <c r="I8" s="222">
        <f>I6+G8</f>
        <v>647.23708097075303</v>
      </c>
      <c r="J8" s="97">
        <f>J9</f>
        <v>666.47104179999997</v>
      </c>
      <c r="K8" s="351"/>
      <c r="Y8" s="18"/>
    </row>
    <row r="9" spans="2:30" ht="24.75" customHeight="1">
      <c r="B9" s="433" t="s">
        <v>8</v>
      </c>
      <c r="C9" s="91" t="s">
        <v>24</v>
      </c>
      <c r="D9" s="92">
        <f>'THỰC TẾ GIA CÔNG '!V8</f>
        <v>23.093200000000003</v>
      </c>
      <c r="E9" s="212">
        <f>'THỰC TẾ GIA CÔNG '!V9</f>
        <v>254.65880719999998</v>
      </c>
      <c r="F9" s="212">
        <f>'THỰC TẾ GIA CÔNG '!V10</f>
        <v>63.293360000000007</v>
      </c>
      <c r="G9" s="211"/>
      <c r="H9" s="97">
        <f>SUM(D9:F9)</f>
        <v>341.04536719999999</v>
      </c>
      <c r="I9" s="222">
        <f>I8</f>
        <v>647.23708097075303</v>
      </c>
      <c r="J9" s="97">
        <f t="shared" ref="J9:J27" si="7">SUM(J7,H9)</f>
        <v>666.47104179999997</v>
      </c>
      <c r="K9" s="351">
        <f t="shared" ref="K9" si="8">J9/I9</f>
        <v>1.0297170254837671</v>
      </c>
      <c r="N9" s="17"/>
    </row>
    <row r="10" spans="2:30" ht="24.75" customHeight="1">
      <c r="B10" s="433" t="s">
        <v>16</v>
      </c>
      <c r="C10" s="89" t="s">
        <v>23</v>
      </c>
      <c r="D10" s="218">
        <f>'1.Nội tác linh kiện tòn kho '!W104</f>
        <v>148.31053867182968</v>
      </c>
      <c r="E10" s="218">
        <f>'2.Nội tác LK thành hình'!V32</f>
        <v>69.873856959999998</v>
      </c>
      <c r="F10" s="218">
        <f>'3.Nội tác LK khuôn dập'!W94</f>
        <v>108.5085658</v>
      </c>
      <c r="G10" s="210">
        <f t="shared" ref="G10:G26" si="9">SUM(D10:F10)</f>
        <v>326.69296143182964</v>
      </c>
      <c r="H10" s="97"/>
      <c r="I10" s="222">
        <f>I8+G10</f>
        <v>973.93004240258267</v>
      </c>
      <c r="J10" s="97">
        <f>J11</f>
        <v>666.47104179999997</v>
      </c>
      <c r="K10" s="351"/>
    </row>
    <row r="11" spans="2:30" ht="24.75" customHeight="1">
      <c r="B11" s="433" t="s">
        <v>16</v>
      </c>
      <c r="C11" s="91" t="s">
        <v>24</v>
      </c>
      <c r="D11" s="92">
        <f>'1.Nội tác linh kiện tòn kho '!AV104</f>
        <v>0</v>
      </c>
      <c r="E11" s="212">
        <f>'2.Nội tác LK thành hình'!AU32</f>
        <v>0</v>
      </c>
      <c r="F11" s="212">
        <f>'3.Nội tác LK khuôn dập'!AU94</f>
        <v>0</v>
      </c>
      <c r="G11" s="214"/>
      <c r="H11" s="97">
        <f t="shared" ref="H11:H27" si="10">SUM(D11:F11)</f>
        <v>0</v>
      </c>
      <c r="I11" s="222">
        <f>I10</f>
        <v>973.93004240258267</v>
      </c>
      <c r="J11" s="97">
        <f t="shared" si="7"/>
        <v>666.47104179999997</v>
      </c>
      <c r="K11" s="351">
        <f>J11/I11</f>
        <v>0.68431100056826077</v>
      </c>
    </row>
    <row r="12" spans="2:30" ht="24.75" customHeight="1">
      <c r="B12" s="433" t="s">
        <v>14</v>
      </c>
      <c r="C12" s="89" t="s">
        <v>23</v>
      </c>
      <c r="D12" s="218">
        <f>'1.Nội tác linh kiện tòn kho '!X104</f>
        <v>137.54751218333334</v>
      </c>
      <c r="E12" s="218">
        <f>'2.Nội tác LK thành hình'!W32</f>
        <v>69.834408816666667</v>
      </c>
      <c r="F12" s="218">
        <f>'3.Nội tác LK khuôn dập'!X94</f>
        <v>118.14717041666664</v>
      </c>
      <c r="G12" s="210">
        <f t="shared" si="9"/>
        <v>325.52909141666663</v>
      </c>
      <c r="H12" s="97"/>
      <c r="I12" s="222">
        <f>I10+G12</f>
        <v>1299.4591338192492</v>
      </c>
      <c r="J12" s="97">
        <f>J13</f>
        <v>666.47104179999997</v>
      </c>
      <c r="K12" s="351"/>
    </row>
    <row r="13" spans="2:30" ht="24.75" customHeight="1">
      <c r="B13" s="433" t="s">
        <v>14</v>
      </c>
      <c r="C13" s="91" t="s">
        <v>24</v>
      </c>
      <c r="D13" s="92">
        <f>'1.Nội tác linh kiện tòn kho '!AX104</f>
        <v>0</v>
      </c>
      <c r="E13" s="212">
        <f>'2.Nội tác LK thành hình'!AW32</f>
        <v>0</v>
      </c>
      <c r="F13" s="212">
        <f>'3.Nội tác LK khuôn dập'!AW94</f>
        <v>0</v>
      </c>
      <c r="G13" s="214"/>
      <c r="H13" s="97">
        <f t="shared" si="10"/>
        <v>0</v>
      </c>
      <c r="I13" s="222">
        <f>I12</f>
        <v>1299.4591338192492</v>
      </c>
      <c r="J13" s="97">
        <f t="shared" si="7"/>
        <v>666.47104179999997</v>
      </c>
      <c r="K13" s="351">
        <f>J13/I13</f>
        <v>0.51288341776564406</v>
      </c>
      <c r="O13" s="95"/>
    </row>
    <row r="14" spans="2:30" ht="24.75" customHeight="1">
      <c r="B14" s="433" t="s">
        <v>15</v>
      </c>
      <c r="C14" s="89" t="s">
        <v>23</v>
      </c>
      <c r="D14" s="218">
        <f>'1.Nội tác linh kiện tòn kho '!Y104</f>
        <v>126.38705511000002</v>
      </c>
      <c r="E14" s="218">
        <f>'2.Nội tác LK thành hình'!X32</f>
        <v>89.584065199999998</v>
      </c>
      <c r="F14" s="218">
        <f>'3.Nội tác LK khuôn dập'!Y94</f>
        <v>96.770284100000012</v>
      </c>
      <c r="G14" s="210">
        <f t="shared" si="9"/>
        <v>312.74140441000003</v>
      </c>
      <c r="H14" s="97"/>
      <c r="I14" s="222">
        <f>I12+G14</f>
        <v>1612.2005382292493</v>
      </c>
      <c r="J14" s="97">
        <f>J15</f>
        <v>666.47104179999997</v>
      </c>
      <c r="O14" s="95"/>
    </row>
    <row r="15" spans="2:30" ht="24.75" customHeight="1">
      <c r="B15" s="433" t="s">
        <v>15</v>
      </c>
      <c r="C15" s="91" t="s">
        <v>24</v>
      </c>
      <c r="D15" s="92">
        <f>'1.Nội tác linh kiện tòn kho '!AZ104</f>
        <v>0</v>
      </c>
      <c r="E15" s="216">
        <f>'2.Nội tác LK thành hình'!AY32</f>
        <v>0</v>
      </c>
      <c r="F15" s="216">
        <f>'3.Nội tác LK khuôn dập'!AY94</f>
        <v>0</v>
      </c>
      <c r="G15" s="214"/>
      <c r="H15" s="97">
        <f t="shared" si="10"/>
        <v>0</v>
      </c>
      <c r="I15" s="222">
        <f>I14</f>
        <v>1612.2005382292493</v>
      </c>
      <c r="J15" s="97">
        <f t="shared" si="7"/>
        <v>666.47104179999997</v>
      </c>
      <c r="K15" s="351">
        <f>J15/I15</f>
        <v>0.41339214694222493</v>
      </c>
      <c r="L15" s="96"/>
      <c r="O15" s="95"/>
    </row>
    <row r="16" spans="2:30" ht="24.75" customHeight="1">
      <c r="B16" s="433" t="s">
        <v>13</v>
      </c>
      <c r="C16" s="89" t="s">
        <v>23</v>
      </c>
      <c r="D16" s="218">
        <f>'1.Nội tác linh kiện tòn kho '!Z104</f>
        <v>129.32571124333333</v>
      </c>
      <c r="E16" s="218">
        <f>'2.Nội tác LK thành hình'!Y32</f>
        <v>87.443517916666679</v>
      </c>
      <c r="F16" s="218">
        <f>'3.Nội tác LK khuôn dập'!Z94</f>
        <v>94.820759481250008</v>
      </c>
      <c r="G16" s="210">
        <f t="shared" si="9"/>
        <v>311.58998864124999</v>
      </c>
      <c r="H16" s="97"/>
      <c r="I16" s="222">
        <f>I14+G16</f>
        <v>1923.7905268704994</v>
      </c>
      <c r="J16" s="97">
        <f>J17</f>
        <v>666.47104179999997</v>
      </c>
      <c r="K16" s="351"/>
      <c r="O16" s="95"/>
    </row>
    <row r="17" spans="2:30" ht="24.75" customHeight="1">
      <c r="B17" s="433" t="s">
        <v>13</v>
      </c>
      <c r="C17" s="91" t="s">
        <v>24</v>
      </c>
      <c r="D17" s="92">
        <f>'1.Nội tác linh kiện tòn kho '!BB104</f>
        <v>0</v>
      </c>
      <c r="E17" s="217">
        <f>'2.Nội tác LK thành hình'!BA32</f>
        <v>0</v>
      </c>
      <c r="F17" s="217">
        <f>'3.Nội tác LK khuôn dập'!BA94</f>
        <v>0</v>
      </c>
      <c r="G17" s="214"/>
      <c r="H17" s="97">
        <f t="shared" si="10"/>
        <v>0</v>
      </c>
      <c r="I17" s="222">
        <f>I16</f>
        <v>1923.7905268704994</v>
      </c>
      <c r="J17" s="97">
        <f t="shared" si="7"/>
        <v>666.47104179999997</v>
      </c>
      <c r="K17" s="351">
        <f t="shared" ref="K17:K27" si="11">J17/I17</f>
        <v>0.34643638820915335</v>
      </c>
    </row>
    <row r="18" spans="2:30" ht="24.75" customHeight="1">
      <c r="B18" s="433" t="s">
        <v>11</v>
      </c>
      <c r="C18" s="89" t="s">
        <v>23</v>
      </c>
      <c r="D18" s="218">
        <f>'1.Nội tác linh kiện tòn kho '!AA104</f>
        <v>132.44306260333332</v>
      </c>
      <c r="E18" s="218">
        <f>'2.Nội tác LK thành hình'!Z32</f>
        <v>67.112737866666677</v>
      </c>
      <c r="F18" s="218">
        <f>'3.Nội tác LK khuôn dập'!AA94</f>
        <v>108.58042849999998</v>
      </c>
      <c r="G18" s="210">
        <f t="shared" si="9"/>
        <v>308.13622896999999</v>
      </c>
      <c r="H18" s="97"/>
      <c r="I18" s="222">
        <f>I16+G18</f>
        <v>2231.9267558404995</v>
      </c>
      <c r="J18" s="97">
        <f>J19</f>
        <v>666.47104179999997</v>
      </c>
      <c r="K18" s="351"/>
      <c r="M18" s="95"/>
    </row>
    <row r="19" spans="2:30" ht="24.75" customHeight="1">
      <c r="B19" s="433" t="s">
        <v>11</v>
      </c>
      <c r="C19" s="91" t="s">
        <v>24</v>
      </c>
      <c r="D19" s="92">
        <f>'1.Nội tác linh kiện tòn kho '!BD104</f>
        <v>0</v>
      </c>
      <c r="E19" s="217">
        <f>'2.Nội tác LK thành hình'!BC32</f>
        <v>0</v>
      </c>
      <c r="F19" s="217">
        <f>'3.Nội tác LK khuôn dập'!BC94</f>
        <v>0</v>
      </c>
      <c r="G19" s="212"/>
      <c r="H19" s="97">
        <f t="shared" si="10"/>
        <v>0</v>
      </c>
      <c r="I19" s="222">
        <f>I18</f>
        <v>2231.9267558404995</v>
      </c>
      <c r="J19" s="97">
        <f t="shared" si="7"/>
        <v>666.47104179999997</v>
      </c>
      <c r="K19" s="351">
        <f t="shared" si="11"/>
        <v>0.29860793597100821</v>
      </c>
      <c r="M19" s="95"/>
    </row>
    <row r="20" spans="2:30" ht="24.75" customHeight="1">
      <c r="B20" s="433" t="s">
        <v>12</v>
      </c>
      <c r="C20" s="89" t="s">
        <v>23</v>
      </c>
      <c r="D20" s="218">
        <f>'1.Nội tác linh kiện tòn kho '!AB104</f>
        <v>127.89450584000002</v>
      </c>
      <c r="E20" s="218">
        <f>'2.Nội tác LK thành hình'!AA32</f>
        <v>83.321858243333324</v>
      </c>
      <c r="F20" s="218">
        <f>'3.Nội tác LK khuôn dập'!AB94</f>
        <v>108.86241084999999</v>
      </c>
      <c r="G20" s="210">
        <f t="shared" si="9"/>
        <v>320.07877493333336</v>
      </c>
      <c r="H20" s="97"/>
      <c r="I20" s="222">
        <f>I18+G20</f>
        <v>2552.005530773833</v>
      </c>
      <c r="J20" s="97">
        <f>J21</f>
        <v>666.47104179999997</v>
      </c>
      <c r="K20" s="351"/>
    </row>
    <row r="21" spans="2:30" ht="24.75" customHeight="1">
      <c r="B21" s="433" t="s">
        <v>12</v>
      </c>
      <c r="C21" s="91" t="s">
        <v>24</v>
      </c>
      <c r="D21" s="92">
        <f>'1.Nội tác linh kiện tòn kho '!BF104</f>
        <v>0</v>
      </c>
      <c r="E21" s="212">
        <f>'2.Nội tác LK thành hình'!BE32</f>
        <v>0</v>
      </c>
      <c r="F21" s="212">
        <f>'3.Nội tác LK khuôn dập'!BE94</f>
        <v>0</v>
      </c>
      <c r="G21" s="212"/>
      <c r="H21" s="97">
        <f t="shared" si="10"/>
        <v>0</v>
      </c>
      <c r="I21" s="222">
        <f>I20</f>
        <v>2552.005530773833</v>
      </c>
      <c r="J21" s="97">
        <f t="shared" si="7"/>
        <v>666.47104179999997</v>
      </c>
      <c r="K21" s="351">
        <f t="shared" si="11"/>
        <v>0.26115579835671787</v>
      </c>
    </row>
    <row r="22" spans="2:30" ht="24.75" customHeight="1">
      <c r="B22" s="433" t="s">
        <v>10</v>
      </c>
      <c r="C22" s="89" t="s">
        <v>23</v>
      </c>
      <c r="D22" s="218">
        <f>'1.Nội tác linh kiện tòn kho '!AC104</f>
        <v>97.888753125163035</v>
      </c>
      <c r="E22" s="218">
        <f>'2.Nội tác LK thành hình'!AB32</f>
        <v>57.545747433333339</v>
      </c>
      <c r="F22" s="218">
        <f>'3.Nội tác LK khuôn dập'!AC94</f>
        <v>132.26185749999999</v>
      </c>
      <c r="G22" s="210">
        <f t="shared" si="9"/>
        <v>287.69635805849634</v>
      </c>
      <c r="H22" s="97"/>
      <c r="I22" s="222">
        <f>I20+G22</f>
        <v>2839.7018888323291</v>
      </c>
      <c r="J22" s="97">
        <f>J23</f>
        <v>666.47104179999997</v>
      </c>
      <c r="K22" s="351"/>
    </row>
    <row r="23" spans="2:30" ht="24.75" customHeight="1">
      <c r="B23" s="433" t="s">
        <v>10</v>
      </c>
      <c r="C23" s="91" t="s">
        <v>24</v>
      </c>
      <c r="D23" s="92">
        <f>'1.Nội tác linh kiện tòn kho '!BH104</f>
        <v>0</v>
      </c>
      <c r="E23" s="212">
        <f>'2.Nội tác LK thành hình'!BG32</f>
        <v>0</v>
      </c>
      <c r="F23" s="212">
        <f>'3.Nội tác LK khuôn dập'!BG94</f>
        <v>0</v>
      </c>
      <c r="G23" s="214"/>
      <c r="H23" s="97">
        <f t="shared" si="10"/>
        <v>0</v>
      </c>
      <c r="I23" s="222">
        <f>I22</f>
        <v>2839.7018888323291</v>
      </c>
      <c r="J23" s="97">
        <f t="shared" si="7"/>
        <v>666.47104179999997</v>
      </c>
      <c r="K23" s="351">
        <f t="shared" si="11"/>
        <v>0.23469753794263576</v>
      </c>
      <c r="O23" s="95"/>
    </row>
    <row r="24" spans="2:30" ht="24.75" customHeight="1">
      <c r="B24" s="433" t="s">
        <v>9</v>
      </c>
      <c r="C24" s="89" t="s">
        <v>23</v>
      </c>
      <c r="D24" s="218">
        <f>'1.Nội tác linh kiện tòn kho '!AD104</f>
        <v>96.873761453913062</v>
      </c>
      <c r="E24" s="218">
        <f>'2.Nội tác LK thành hình'!AC32</f>
        <v>85.297826083333334</v>
      </c>
      <c r="F24" s="218">
        <f>'3.Nội tác LK khuôn dập'!AD94</f>
        <v>93.473996781249994</v>
      </c>
      <c r="G24" s="210">
        <f t="shared" si="9"/>
        <v>275.64558431849639</v>
      </c>
      <c r="H24" s="97"/>
      <c r="I24" s="222">
        <f>I22+G24</f>
        <v>3115.3474731508254</v>
      </c>
      <c r="J24" s="97">
        <f>J25</f>
        <v>666.47104179999997</v>
      </c>
      <c r="K24" s="351"/>
    </row>
    <row r="25" spans="2:30" ht="24.75" customHeight="1">
      <c r="B25" s="433" t="s">
        <v>9</v>
      </c>
      <c r="C25" s="91" t="s">
        <v>24</v>
      </c>
      <c r="D25" s="97">
        <f>'1.Nội tác linh kiện tòn kho '!BJ104</f>
        <v>0</v>
      </c>
      <c r="E25" s="213">
        <f>'2.Nội tác LK thành hình'!BI32</f>
        <v>0</v>
      </c>
      <c r="F25" s="213">
        <f>'3.Nội tác LK khuôn dập'!BI94</f>
        <v>0</v>
      </c>
      <c r="G25" s="214"/>
      <c r="H25" s="97">
        <f t="shared" si="10"/>
        <v>0</v>
      </c>
      <c r="I25" s="222">
        <f>I24</f>
        <v>3115.3474731508254</v>
      </c>
      <c r="J25" s="97">
        <f t="shared" si="7"/>
        <v>666.47104179999997</v>
      </c>
      <c r="K25" s="351">
        <f t="shared" si="11"/>
        <v>0.21393152691437628</v>
      </c>
    </row>
    <row r="26" spans="2:30" ht="24.75" customHeight="1">
      <c r="B26" s="433" t="s">
        <v>7</v>
      </c>
      <c r="C26" s="89" t="s">
        <v>23</v>
      </c>
      <c r="D26" s="218">
        <f>'1.Nội tác linh kiện tòn kho '!AE104</f>
        <v>99.983085653333333</v>
      </c>
      <c r="E26" s="218">
        <f>'2.Nội tác LK thành hình'!AD32</f>
        <v>81.145649416666672</v>
      </c>
      <c r="F26" s="218">
        <f>'3.Nội tác LK khuôn dập'!AE94</f>
        <v>67.994735500000004</v>
      </c>
      <c r="G26" s="210">
        <f t="shared" si="9"/>
        <v>249.12347056999999</v>
      </c>
      <c r="H26" s="97"/>
      <c r="I26" s="222">
        <f>I24+G26</f>
        <v>3364.4709437208253</v>
      </c>
      <c r="J26" s="97">
        <f>J27</f>
        <v>666.47104179999997</v>
      </c>
      <c r="K26" s="351"/>
    </row>
    <row r="27" spans="2:30" ht="24.75" customHeight="1">
      <c r="B27" s="433" t="s">
        <v>7</v>
      </c>
      <c r="C27" s="91" t="s">
        <v>24</v>
      </c>
      <c r="D27" s="97">
        <f>'1.Nội tác linh kiện tòn kho '!BL104</f>
        <v>0</v>
      </c>
      <c r="E27" s="213">
        <f>'2.Nội tác LK thành hình'!BK32</f>
        <v>0</v>
      </c>
      <c r="F27" s="213">
        <f>'3.Nội tác LK khuôn dập'!BK94</f>
        <v>0</v>
      </c>
      <c r="G27" s="214"/>
      <c r="H27" s="97">
        <f t="shared" si="10"/>
        <v>0</v>
      </c>
      <c r="I27" s="222">
        <f>I26</f>
        <v>3364.4709437208253</v>
      </c>
      <c r="J27" s="97">
        <f t="shared" si="7"/>
        <v>666.47104179999997</v>
      </c>
      <c r="K27" s="351">
        <f t="shared" si="11"/>
        <v>0.19809088945881589</v>
      </c>
      <c r="R27" s="95"/>
    </row>
    <row r="28" spans="2:30" ht="24.75" customHeight="1">
      <c r="B28" s="434" t="s">
        <v>30</v>
      </c>
      <c r="C28" s="434"/>
      <c r="D28" s="223">
        <f>D4+D6+D8+D10+D12+D14+D16+D18+D20+D22+D24+D26</f>
        <v>1326.5918059749922</v>
      </c>
      <c r="E28" s="224">
        <f t="shared" ref="E28:F28" si="12">E4+E6+E8+E10+E12+E14+E16+E18+E20+E22+E24+E26</f>
        <v>926.4979192866665</v>
      </c>
      <c r="F28" s="224">
        <f t="shared" si="12"/>
        <v>1111.3812184591666</v>
      </c>
      <c r="I28" s="226">
        <f>D28+E28+F28</f>
        <v>3364.4709437208253</v>
      </c>
    </row>
    <row r="29" spans="2:30">
      <c r="D29" s="227">
        <f>D5+D7+D7+D9+D11+D13+D15+D17+D19+D21+D23+D25+D27</f>
        <v>63.032156200000003</v>
      </c>
      <c r="E29" s="227">
        <f>E5+E7+E9+E11+E13+E15+E17+E19+E21+E23+E25+E27</f>
        <v>369.5506954</v>
      </c>
      <c r="F29" s="227">
        <f>F5+F7+F9+F11+F13+F15+F17+F19+F21+F23+F25+F27</f>
        <v>233.8881902</v>
      </c>
      <c r="H29" s="283"/>
      <c r="I29" s="283">
        <f>D29+E29+F29</f>
        <v>666.47104179999997</v>
      </c>
      <c r="AD29" s="98"/>
    </row>
  </sheetData>
  <autoFilter ref="B3:J28" xr:uid="{12870B2A-0CFD-4A6F-8BFA-D85E7AAD7A60}"/>
  <mergeCells count="5">
    <mergeCell ref="B28:C28"/>
    <mergeCell ref="AA4:AD4"/>
    <mergeCell ref="B1:H2"/>
    <mergeCell ref="I1:J1"/>
    <mergeCell ref="I2:J2"/>
  </mergeCells>
  <phoneticPr fontId="24"/>
  <pageMargins left="0.7" right="0.7" top="0.75" bottom="0.75" header="0.3" footer="0.3"/>
  <pageSetup paperSize="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89D9-129D-4FD5-A053-D9F63EA1CFD0}">
  <dimension ref="A1:M9"/>
  <sheetViews>
    <sheetView zoomScale="115" zoomScaleNormal="115" workbookViewId="0">
      <selection activeCell="C15" sqref="C15"/>
    </sheetView>
  </sheetViews>
  <sheetFormatPr defaultRowHeight="15"/>
  <cols>
    <col min="1" max="1" width="14.7109375" customWidth="1"/>
    <col min="2" max="2" width="5.140625" bestFit="1" customWidth="1"/>
    <col min="3" max="3" width="5" bestFit="1" customWidth="1"/>
    <col min="4" max="4" width="13.42578125" bestFit="1" customWidth="1"/>
    <col min="5" max="5" width="5.140625" bestFit="1" customWidth="1"/>
    <col min="6" max="6" width="5" bestFit="1" customWidth="1"/>
    <col min="7" max="7" width="11.7109375" bestFit="1" customWidth="1"/>
    <col min="8" max="8" width="5.140625" bestFit="1" customWidth="1"/>
    <col min="9" max="9" width="5" bestFit="1" customWidth="1"/>
    <col min="10" max="10" width="13" bestFit="1" customWidth="1"/>
    <col min="11" max="12" width="10.85546875" customWidth="1"/>
    <col min="13" max="13" width="15.28515625" bestFit="1" customWidth="1"/>
  </cols>
  <sheetData>
    <row r="1" spans="1:13" ht="41.45" customHeight="1" thickBot="1">
      <c r="A1" s="438" t="s">
        <v>390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ht="28.5" customHeight="1">
      <c r="A2" s="6"/>
      <c r="B2" s="443" t="s">
        <v>399</v>
      </c>
      <c r="C2" s="443"/>
      <c r="D2" s="443"/>
      <c r="E2" s="444" t="s">
        <v>400</v>
      </c>
      <c r="F2" s="444"/>
      <c r="G2" s="444"/>
      <c r="H2" s="444" t="s">
        <v>401</v>
      </c>
      <c r="I2" s="444"/>
      <c r="J2" s="444"/>
      <c r="K2" s="439" t="s">
        <v>37</v>
      </c>
      <c r="L2" s="439" t="s">
        <v>36</v>
      </c>
      <c r="M2" s="441" t="s">
        <v>85</v>
      </c>
    </row>
    <row r="3" spans="1:13">
      <c r="A3" s="7" t="s">
        <v>31</v>
      </c>
      <c r="B3" s="4" t="s">
        <v>33</v>
      </c>
      <c r="C3" s="3" t="s">
        <v>32</v>
      </c>
      <c r="D3" s="3" t="s">
        <v>35</v>
      </c>
      <c r="E3" s="4" t="s">
        <v>33</v>
      </c>
      <c r="F3" s="3" t="s">
        <v>32</v>
      </c>
      <c r="G3" s="3" t="s">
        <v>35</v>
      </c>
      <c r="H3" s="4" t="s">
        <v>33</v>
      </c>
      <c r="I3" s="3" t="s">
        <v>32</v>
      </c>
      <c r="J3" s="3" t="s">
        <v>35</v>
      </c>
      <c r="K3" s="440"/>
      <c r="L3" s="440"/>
      <c r="M3" s="442"/>
    </row>
    <row r="4" spans="1:13" ht="39.75" customHeight="1">
      <c r="A4" s="78" t="s">
        <v>125</v>
      </c>
      <c r="B4" s="11">
        <v>102</v>
      </c>
      <c r="C4" s="11">
        <v>156</v>
      </c>
      <c r="D4" s="206">
        <f>883670/1000</f>
        <v>883.67</v>
      </c>
      <c r="E4" s="11">
        <v>27</v>
      </c>
      <c r="F4" s="11">
        <v>108</v>
      </c>
      <c r="G4" s="292">
        <f>939810/1000</f>
        <v>939.81</v>
      </c>
      <c r="H4" s="3">
        <v>88</v>
      </c>
      <c r="I4" s="3">
        <v>179</v>
      </c>
      <c r="J4" s="206">
        <f>1246420/1000</f>
        <v>1246.42</v>
      </c>
      <c r="K4" s="13">
        <f t="shared" ref="K4:M5" si="0">B4+E4+H4</f>
        <v>217</v>
      </c>
      <c r="L4" s="16">
        <f t="shared" si="0"/>
        <v>443</v>
      </c>
      <c r="M4" s="282">
        <f t="shared" si="0"/>
        <v>3069.9</v>
      </c>
    </row>
    <row r="5" spans="1:13" ht="31.5" customHeight="1">
      <c r="A5" s="78" t="s">
        <v>126</v>
      </c>
      <c r="B5" s="5">
        <f>'1.Nội tác linh kiện tòn kho '!A102</f>
        <v>98</v>
      </c>
      <c r="C5" s="5">
        <f>'1.Nội tác linh kiện tòn kho '!D103</f>
        <v>230</v>
      </c>
      <c r="D5" s="204">
        <f>'1.Nội tác linh kiện tòn kho '!AF104</f>
        <v>1326.5918059749922</v>
      </c>
      <c r="E5" s="12">
        <f>'2.Nội tác LK thành hình'!A30</f>
        <v>27</v>
      </c>
      <c r="F5" s="280">
        <f>'2.Nội tác LK thành hình'!P31</f>
        <v>54</v>
      </c>
      <c r="G5" s="205">
        <f>'2.Nội tác LK thành hình'!AE32</f>
        <v>926.49791928666662</v>
      </c>
      <c r="H5" s="12">
        <f>'3.Nội tác LK khuôn dập'!A92</f>
        <v>88</v>
      </c>
      <c r="I5" s="12">
        <f>'3.Nội tác LK khuôn dập'!D93</f>
        <v>126</v>
      </c>
      <c r="J5" s="204">
        <f>'3.Nội tác LK khuôn dập'!AF94</f>
        <v>1111.3812184591666</v>
      </c>
      <c r="K5" s="13">
        <f t="shared" si="0"/>
        <v>213</v>
      </c>
      <c r="L5" s="13">
        <f t="shared" si="0"/>
        <v>410</v>
      </c>
      <c r="M5" s="291">
        <f>D5+G5+J5</f>
        <v>3364.4709437208253</v>
      </c>
    </row>
    <row r="6" spans="1:13" s="1" customFormat="1" ht="19.5" customHeight="1" thickBot="1">
      <c r="A6" s="79" t="s">
        <v>34</v>
      </c>
      <c r="B6" s="8">
        <f>(B5-B4)/B4</f>
        <v>-3.9215686274509803E-2</v>
      </c>
      <c r="C6" s="9">
        <f t="shared" ref="C6:J6" si="1">(C5-C4)/C4</f>
        <v>0.47435897435897434</v>
      </c>
      <c r="D6" s="8">
        <f t="shared" si="1"/>
        <v>0.50122987764096583</v>
      </c>
      <c r="E6" s="9">
        <f t="shared" si="1"/>
        <v>0</v>
      </c>
      <c r="F6" s="8">
        <f t="shared" si="1"/>
        <v>-0.5</v>
      </c>
      <c r="G6" s="8">
        <f t="shared" si="1"/>
        <v>-1.4164651060675382E-2</v>
      </c>
      <c r="H6" s="8">
        <f t="shared" si="1"/>
        <v>0</v>
      </c>
      <c r="I6" s="9">
        <f t="shared" si="1"/>
        <v>-0.29608938547486036</v>
      </c>
      <c r="J6" s="8">
        <f t="shared" si="1"/>
        <v>-0.10834131475813409</v>
      </c>
      <c r="K6" s="14">
        <f>K5/K4-1</f>
        <v>-1.8433179723502335E-2</v>
      </c>
      <c r="L6" s="15">
        <f>L5/L4-1</f>
        <v>-7.4492099322799099E-2</v>
      </c>
      <c r="M6" s="10">
        <f>M5/M4-1</f>
        <v>9.5954573022191347E-2</v>
      </c>
    </row>
    <row r="9" spans="1:13">
      <c r="D9" s="209"/>
    </row>
  </sheetData>
  <mergeCells count="7">
    <mergeCell ref="A1:M1"/>
    <mergeCell ref="L2:L3"/>
    <mergeCell ref="M2:M3"/>
    <mergeCell ref="B2:D2"/>
    <mergeCell ref="E2:G2"/>
    <mergeCell ref="H2:J2"/>
    <mergeCell ref="K2:K3"/>
  </mergeCells>
  <phoneticPr fontId="24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2554-6053-45B5-8528-D6F5AE10E4C7}">
  <sheetPr filterMode="1"/>
  <dimension ref="A1:BL217"/>
  <sheetViews>
    <sheetView zoomScale="130" zoomScaleNormal="130" workbookViewId="0">
      <pane xSplit="5" ySplit="4" topLeftCell="AF44" activePane="bottomRight" state="frozen"/>
      <selection pane="topRight" activeCell="G1" sqref="G1"/>
      <selection pane="bottomLeft" activeCell="A5" sqref="A5"/>
      <selection pane="bottomRight" activeCell="AK107" sqref="AK107"/>
    </sheetView>
  </sheetViews>
  <sheetFormatPr defaultColWidth="9" defaultRowHeight="15"/>
  <cols>
    <col min="1" max="1" width="4.42578125" style="56" customWidth="1"/>
    <col min="2" max="2" width="11.42578125" style="56" customWidth="1"/>
    <col min="3" max="3" width="10.42578125" style="56" customWidth="1"/>
    <col min="4" max="4" width="6" style="57" hidden="1" customWidth="1"/>
    <col min="5" max="5" width="11.140625" style="59" hidden="1" customWidth="1"/>
    <col min="6" max="18" width="5.28515625" style="56" hidden="1" customWidth="1"/>
    <col min="19" max="29" width="7.7109375" style="56" hidden="1" customWidth="1"/>
    <col min="30" max="31" width="6.42578125" style="56" hidden="1" customWidth="1"/>
    <col min="32" max="32" width="11.140625" style="192" bestFit="1" customWidth="1"/>
    <col min="33" max="33" width="13.28515625" style="58" bestFit="1" customWidth="1"/>
    <col min="34" max="34" width="7.85546875" style="57" customWidth="1"/>
    <col min="35" max="35" width="7.42578125" style="57" customWidth="1"/>
    <col min="36" max="36" width="9.42578125" style="57" customWidth="1"/>
    <col min="37" max="37" width="24.85546875" style="58" bestFit="1" customWidth="1"/>
    <col min="38" max="38" width="13.140625" style="57" customWidth="1"/>
    <col min="39" max="39" width="11.42578125" style="56" customWidth="1"/>
    <col min="40" max="41" width="9" style="56"/>
    <col min="42" max="42" width="13.28515625" style="57" bestFit="1" customWidth="1"/>
    <col min="43" max="64" width="9" style="57"/>
    <col min="65" max="16384" width="9" style="56"/>
  </cols>
  <sheetData>
    <row r="1" spans="1:64" ht="27.75"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7"/>
    </row>
    <row r="2" spans="1:64" ht="18.75" customHeight="1">
      <c r="A2" s="448" t="s">
        <v>78</v>
      </c>
      <c r="B2" s="445" t="s">
        <v>77</v>
      </c>
      <c r="C2" s="449" t="s">
        <v>392</v>
      </c>
      <c r="D2" s="449" t="s">
        <v>393</v>
      </c>
      <c r="E2" s="450" t="s">
        <v>394</v>
      </c>
      <c r="F2" s="453" t="s">
        <v>395</v>
      </c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 t="s">
        <v>396</v>
      </c>
      <c r="S2" s="69"/>
      <c r="T2" s="453" t="s">
        <v>397</v>
      </c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190"/>
      <c r="AG2" s="453" t="s">
        <v>81</v>
      </c>
      <c r="AH2" s="453"/>
      <c r="AI2" s="453"/>
      <c r="AJ2" s="453"/>
      <c r="AK2" s="453"/>
      <c r="AL2" s="453"/>
      <c r="AM2" s="453" t="s">
        <v>6</v>
      </c>
      <c r="AO2" s="459" t="s">
        <v>407</v>
      </c>
      <c r="AP2" s="460"/>
      <c r="AQ2" s="460"/>
      <c r="AR2" s="460"/>
      <c r="AS2" s="460"/>
      <c r="AT2" s="460"/>
      <c r="AU2" s="460"/>
      <c r="AV2" s="460"/>
      <c r="AW2" s="460"/>
      <c r="AX2" s="460"/>
      <c r="AY2" s="460"/>
      <c r="AZ2" s="460"/>
      <c r="BA2" s="460"/>
      <c r="BB2" s="460"/>
      <c r="BC2" s="460"/>
      <c r="BD2" s="460"/>
      <c r="BE2" s="460"/>
      <c r="BF2" s="460"/>
      <c r="BG2" s="460"/>
      <c r="BH2" s="460"/>
      <c r="BI2" s="460"/>
      <c r="BJ2" s="460"/>
      <c r="BK2" s="460"/>
      <c r="BL2" s="461"/>
    </row>
    <row r="3" spans="1:64" ht="18.75">
      <c r="A3" s="448"/>
      <c r="B3" s="445"/>
      <c r="C3" s="445"/>
      <c r="D3" s="445"/>
      <c r="E3" s="451"/>
      <c r="F3" s="445" t="s">
        <v>71</v>
      </c>
      <c r="G3" s="445" t="s">
        <v>70</v>
      </c>
      <c r="H3" s="445" t="s">
        <v>69</v>
      </c>
      <c r="I3" s="445" t="s">
        <v>68</v>
      </c>
      <c r="J3" s="445" t="s">
        <v>67</v>
      </c>
      <c r="K3" s="445" t="s">
        <v>66</v>
      </c>
      <c r="L3" s="445" t="s">
        <v>65</v>
      </c>
      <c r="M3" s="445" t="s">
        <v>64</v>
      </c>
      <c r="N3" s="445" t="s">
        <v>63</v>
      </c>
      <c r="O3" s="445" t="s">
        <v>62</v>
      </c>
      <c r="P3" s="445" t="s">
        <v>61</v>
      </c>
      <c r="Q3" s="445" t="s">
        <v>60</v>
      </c>
      <c r="R3" s="453"/>
      <c r="S3" s="69"/>
      <c r="T3" s="445" t="s">
        <v>71</v>
      </c>
      <c r="U3" s="445" t="s">
        <v>70</v>
      </c>
      <c r="V3" s="445" t="s">
        <v>69</v>
      </c>
      <c r="W3" s="445" t="s">
        <v>68</v>
      </c>
      <c r="X3" s="445" t="s">
        <v>67</v>
      </c>
      <c r="Y3" s="445" t="s">
        <v>66</v>
      </c>
      <c r="Z3" s="445" t="s">
        <v>65</v>
      </c>
      <c r="AA3" s="445" t="s">
        <v>64</v>
      </c>
      <c r="AB3" s="445" t="s">
        <v>63</v>
      </c>
      <c r="AC3" s="445" t="s">
        <v>62</v>
      </c>
      <c r="AD3" s="445" t="s">
        <v>61</v>
      </c>
      <c r="AE3" s="445" t="s">
        <v>60</v>
      </c>
      <c r="AF3" s="191"/>
      <c r="AG3" s="456" t="s">
        <v>80</v>
      </c>
      <c r="AH3" s="457" t="s">
        <v>4</v>
      </c>
      <c r="AI3" s="445" t="s">
        <v>79</v>
      </c>
      <c r="AJ3" s="449" t="s">
        <v>2</v>
      </c>
      <c r="AK3" s="462" t="s">
        <v>1</v>
      </c>
      <c r="AL3" s="445" t="s">
        <v>0</v>
      </c>
      <c r="AM3" s="453"/>
      <c r="AO3" s="463" t="s">
        <v>71</v>
      </c>
      <c r="AP3" s="464"/>
      <c r="AQ3" s="454" t="s">
        <v>70</v>
      </c>
      <c r="AR3" s="455"/>
      <c r="AS3" s="454" t="s">
        <v>69</v>
      </c>
      <c r="AT3" s="455"/>
      <c r="AU3" s="454" t="s">
        <v>68</v>
      </c>
      <c r="AV3" s="455"/>
      <c r="AW3" s="454" t="s">
        <v>67</v>
      </c>
      <c r="AX3" s="455"/>
      <c r="AY3" s="454" t="s">
        <v>66</v>
      </c>
      <c r="AZ3" s="455"/>
      <c r="BA3" s="454" t="s">
        <v>65</v>
      </c>
      <c r="BB3" s="455"/>
      <c r="BC3" s="454" t="s">
        <v>64</v>
      </c>
      <c r="BD3" s="455"/>
      <c r="BE3" s="454" t="s">
        <v>63</v>
      </c>
      <c r="BF3" s="455"/>
      <c r="BG3" s="454" t="s">
        <v>62</v>
      </c>
      <c r="BH3" s="455"/>
      <c r="BI3" s="454" t="s">
        <v>61</v>
      </c>
      <c r="BJ3" s="455"/>
      <c r="BK3" s="465" t="s">
        <v>60</v>
      </c>
      <c r="BL3" s="466"/>
    </row>
    <row r="4" spans="1:64" ht="19.5" thickBot="1">
      <c r="A4" s="448"/>
      <c r="B4" s="445"/>
      <c r="C4" s="445"/>
      <c r="D4" s="445"/>
      <c r="E4" s="452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53"/>
      <c r="S4" s="69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191"/>
      <c r="AG4" s="456"/>
      <c r="AH4" s="458"/>
      <c r="AI4" s="445"/>
      <c r="AJ4" s="445"/>
      <c r="AK4" s="456"/>
      <c r="AL4" s="445"/>
      <c r="AM4" s="453"/>
      <c r="AO4" s="238" t="s">
        <v>83</v>
      </c>
      <c r="AP4" s="239" t="s">
        <v>84</v>
      </c>
      <c r="AQ4" s="238" t="s">
        <v>83</v>
      </c>
      <c r="AR4" s="239" t="s">
        <v>84</v>
      </c>
      <c r="AS4" s="238" t="s">
        <v>83</v>
      </c>
      <c r="AT4" s="239" t="s">
        <v>84</v>
      </c>
      <c r="AU4" s="238" t="s">
        <v>83</v>
      </c>
      <c r="AV4" s="239" t="s">
        <v>84</v>
      </c>
      <c r="AW4" s="238" t="s">
        <v>83</v>
      </c>
      <c r="AX4" s="239" t="s">
        <v>84</v>
      </c>
      <c r="AY4" s="238" t="s">
        <v>83</v>
      </c>
      <c r="AZ4" s="239" t="s">
        <v>84</v>
      </c>
      <c r="BA4" s="238" t="s">
        <v>83</v>
      </c>
      <c r="BB4" s="239" t="s">
        <v>84</v>
      </c>
      <c r="BC4" s="238" t="s">
        <v>83</v>
      </c>
      <c r="BD4" s="239" t="s">
        <v>84</v>
      </c>
      <c r="BE4" s="238" t="s">
        <v>83</v>
      </c>
      <c r="BF4" s="239" t="s">
        <v>84</v>
      </c>
      <c r="BG4" s="238" t="s">
        <v>83</v>
      </c>
      <c r="BH4" s="72" t="s">
        <v>84</v>
      </c>
      <c r="BI4" s="238" t="s">
        <v>83</v>
      </c>
      <c r="BJ4" s="239" t="s">
        <v>84</v>
      </c>
      <c r="BK4" s="240" t="s">
        <v>83</v>
      </c>
      <c r="BL4" s="241" t="s">
        <v>84</v>
      </c>
    </row>
    <row r="5" spans="1:64" hidden="1">
      <c r="A5" s="61">
        <v>1</v>
      </c>
      <c r="B5" s="65" t="str">
        <f>'[6]NOI TAC 2026'!B7</f>
        <v>S442628</v>
      </c>
      <c r="C5" s="36" t="str">
        <f t="shared" ref="C5:C68" si="0">IF(B5="","",HYPERLINK("\\vdm-fsvr\Cokhi-機工\CONG VIEC CHUNG 2026\★2026年度年次目標設定\5.COSTDOWN 2026\5.MỤC TIÊU 2026\COSTDOWN 2026\PDF\"&amp;B5&amp;".pdf","XEM"))</f>
        <v>XEM</v>
      </c>
      <c r="D5" s="36">
        <f>'[6]NOI TAC 2026'!F7</f>
        <v>1</v>
      </c>
      <c r="E5" s="63">
        <f>'[6]NOI TAC 2026'!AL7</f>
        <v>16.947839999999996</v>
      </c>
      <c r="F5" s="61"/>
      <c r="G5" s="61">
        <v>1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>
        <f t="shared" ref="R5:R68" si="1">SUM(F5:Q5)</f>
        <v>1</v>
      </c>
      <c r="T5" s="62">
        <f t="shared" ref="T5:AE26" si="2">$E5*F5</f>
        <v>0</v>
      </c>
      <c r="U5" s="62">
        <f t="shared" si="2"/>
        <v>16.947839999999996</v>
      </c>
      <c r="V5" s="62">
        <f t="shared" si="2"/>
        <v>0</v>
      </c>
      <c r="W5" s="62">
        <f t="shared" si="2"/>
        <v>0</v>
      </c>
      <c r="X5" s="62">
        <f t="shared" si="2"/>
        <v>0</v>
      </c>
      <c r="Y5" s="62">
        <f t="shared" si="2"/>
        <v>0</v>
      </c>
      <c r="Z5" s="62">
        <f t="shared" si="2"/>
        <v>0</v>
      </c>
      <c r="AA5" s="62">
        <f t="shared" si="2"/>
        <v>0</v>
      </c>
      <c r="AB5" s="62">
        <f t="shared" si="2"/>
        <v>0</v>
      </c>
      <c r="AC5" s="62">
        <f t="shared" si="2"/>
        <v>0</v>
      </c>
      <c r="AD5" s="62">
        <f t="shared" si="2"/>
        <v>0</v>
      </c>
      <c r="AE5" s="62">
        <f t="shared" si="2"/>
        <v>0</v>
      </c>
      <c r="AG5" s="2" t="e">
        <v>#N/A</v>
      </c>
      <c r="AH5" s="293" t="e">
        <v>#N/A</v>
      </c>
      <c r="AI5" s="293" t="e">
        <v>#N/A</v>
      </c>
      <c r="AJ5" s="293" t="e">
        <v>#N/A</v>
      </c>
      <c r="AK5" s="2" t="e">
        <v>#N/A</v>
      </c>
      <c r="AL5" s="293" t="e">
        <v>#N/A</v>
      </c>
      <c r="AM5" s="61"/>
      <c r="AO5" s="232"/>
      <c r="AP5" s="237">
        <f>AO5*E5</f>
        <v>0</v>
      </c>
      <c r="AQ5" s="237"/>
      <c r="AR5" s="237">
        <f>AQ5*E5</f>
        <v>0</v>
      </c>
      <c r="AS5" s="237"/>
      <c r="AT5" s="237">
        <f>AS5*E5</f>
        <v>0</v>
      </c>
      <c r="AU5" s="237"/>
      <c r="AV5" s="237">
        <f>AU5*E5</f>
        <v>0</v>
      </c>
      <c r="AW5" s="237"/>
      <c r="AX5" s="237">
        <f>AW5*E5</f>
        <v>0</v>
      </c>
      <c r="AY5" s="237"/>
      <c r="AZ5" s="237">
        <f>AY5*E5</f>
        <v>0</v>
      </c>
      <c r="BA5" s="237"/>
      <c r="BB5" s="76">
        <f>BA5*E5</f>
        <v>0</v>
      </c>
      <c r="BC5" s="237"/>
      <c r="BD5" s="237">
        <f>BC5*E5</f>
        <v>0</v>
      </c>
      <c r="BE5" s="237"/>
      <c r="BF5" s="237">
        <f>BE5*E5</f>
        <v>0</v>
      </c>
      <c r="BG5" s="237"/>
      <c r="BH5" s="237">
        <f>BG5*E5</f>
        <v>0</v>
      </c>
      <c r="BI5" s="237"/>
      <c r="BJ5" s="237">
        <f>BI5*E5</f>
        <v>0</v>
      </c>
      <c r="BK5" s="237"/>
      <c r="BL5" s="237">
        <f>BK5*E5</f>
        <v>0</v>
      </c>
    </row>
    <row r="6" spans="1:64" hidden="1">
      <c r="A6" s="61">
        <v>2</v>
      </c>
      <c r="B6" s="65" t="str">
        <f>'[6]NOI TAC 2026'!B8</f>
        <v>S785023</v>
      </c>
      <c r="C6" s="36" t="str">
        <f t="shared" si="0"/>
        <v>XEM</v>
      </c>
      <c r="D6" s="36">
        <f>'[6]NOI TAC 2026'!F8</f>
        <v>1</v>
      </c>
      <c r="E6" s="63">
        <f>'[6]NOI TAC 2026'!AL8</f>
        <v>8.5326400000000007</v>
      </c>
      <c r="F6" s="61"/>
      <c r="G6" s="61"/>
      <c r="H6" s="61">
        <v>1</v>
      </c>
      <c r="I6" s="61"/>
      <c r="J6" s="61"/>
      <c r="K6" s="61"/>
      <c r="L6" s="61"/>
      <c r="M6" s="61"/>
      <c r="N6" s="61"/>
      <c r="O6" s="61"/>
      <c r="P6" s="61"/>
      <c r="Q6" s="61"/>
      <c r="R6" s="61">
        <f t="shared" si="1"/>
        <v>1</v>
      </c>
      <c r="T6" s="62">
        <f t="shared" si="2"/>
        <v>0</v>
      </c>
      <c r="U6" s="62">
        <f t="shared" si="2"/>
        <v>0</v>
      </c>
      <c r="V6" s="62">
        <f t="shared" si="2"/>
        <v>8.5326400000000007</v>
      </c>
      <c r="W6" s="62">
        <f t="shared" si="2"/>
        <v>0</v>
      </c>
      <c r="X6" s="62">
        <f t="shared" si="2"/>
        <v>0</v>
      </c>
      <c r="Y6" s="62">
        <f t="shared" si="2"/>
        <v>0</v>
      </c>
      <c r="Z6" s="62">
        <f t="shared" si="2"/>
        <v>0</v>
      </c>
      <c r="AA6" s="62">
        <f t="shared" si="2"/>
        <v>0</v>
      </c>
      <c r="AB6" s="62">
        <f t="shared" si="2"/>
        <v>0</v>
      </c>
      <c r="AC6" s="62">
        <f t="shared" si="2"/>
        <v>0</v>
      </c>
      <c r="AD6" s="62">
        <f t="shared" si="2"/>
        <v>0</v>
      </c>
      <c r="AE6" s="62">
        <f t="shared" si="2"/>
        <v>0</v>
      </c>
      <c r="AG6" s="2" t="e">
        <v>#N/A</v>
      </c>
      <c r="AH6" s="293" t="e">
        <v>#N/A</v>
      </c>
      <c r="AI6" s="293" t="e">
        <v>#N/A</v>
      </c>
      <c r="AJ6" s="293" t="e">
        <v>#N/A</v>
      </c>
      <c r="AK6" s="2" t="e">
        <v>#N/A</v>
      </c>
      <c r="AL6" s="293" t="e">
        <v>#N/A</v>
      </c>
      <c r="AM6" s="61"/>
      <c r="AO6" s="232"/>
      <c r="AP6" s="237">
        <f t="shared" ref="AP6:AP69" si="3">AO6*E6</f>
        <v>0</v>
      </c>
      <c r="AQ6" s="237"/>
      <c r="AR6" s="237">
        <f t="shared" ref="AR6:AR69" si="4">AQ6*E6</f>
        <v>0</v>
      </c>
      <c r="AS6" s="237"/>
      <c r="AT6" s="237">
        <f t="shared" ref="AT6:AT69" si="5">AS6*E6</f>
        <v>0</v>
      </c>
      <c r="AU6" s="237"/>
      <c r="AV6" s="237">
        <f t="shared" ref="AV6:AV69" si="6">AU6*E6</f>
        <v>0</v>
      </c>
      <c r="AW6" s="237"/>
      <c r="AX6" s="237">
        <f t="shared" ref="AX6:AX69" si="7">AW6*E6</f>
        <v>0</v>
      </c>
      <c r="AY6" s="237"/>
      <c r="AZ6" s="237">
        <f t="shared" ref="AZ6:AZ69" si="8">AY6*E6</f>
        <v>0</v>
      </c>
      <c r="BA6" s="237"/>
      <c r="BB6" s="76">
        <f t="shared" ref="BB6:BB69" si="9">BA6*E6</f>
        <v>0</v>
      </c>
      <c r="BC6" s="237"/>
      <c r="BD6" s="237">
        <f t="shared" ref="BD6:BD69" si="10">BC6*E6</f>
        <v>0</v>
      </c>
      <c r="BE6" s="237"/>
      <c r="BF6" s="237">
        <f t="shared" ref="BF6:BF69" si="11">BE6*E6</f>
        <v>0</v>
      </c>
      <c r="BG6" s="237"/>
      <c r="BH6" s="237">
        <f t="shared" ref="BH6:BH69" si="12">BG6*E6</f>
        <v>0</v>
      </c>
      <c r="BI6" s="237"/>
      <c r="BJ6" s="237">
        <f t="shared" ref="BJ6:BJ69" si="13">BI6*E6</f>
        <v>0</v>
      </c>
      <c r="BK6" s="237"/>
      <c r="BL6" s="237">
        <f t="shared" ref="BL6:BL69" si="14">BK6*E6</f>
        <v>0</v>
      </c>
    </row>
    <row r="7" spans="1:64" hidden="1">
      <c r="A7" s="61">
        <v>3</v>
      </c>
      <c r="B7" s="65" t="str">
        <f>'[6]NOI TAC 2026'!B9</f>
        <v>S012373</v>
      </c>
      <c r="C7" s="36" t="str">
        <f t="shared" si="0"/>
        <v>XEM</v>
      </c>
      <c r="D7" s="36">
        <f>'[6]NOI TAC 2026'!F9</f>
        <v>1</v>
      </c>
      <c r="E7" s="63">
        <f>'[6]NOI TAC 2026'!AL9</f>
        <v>21.99784</v>
      </c>
      <c r="F7" s="61"/>
      <c r="G7" s="61"/>
      <c r="H7" s="61"/>
      <c r="I7" s="61">
        <v>1</v>
      </c>
      <c r="J7" s="61"/>
      <c r="K7" s="61"/>
      <c r="L7" s="61"/>
      <c r="M7" s="61"/>
      <c r="N7" s="61"/>
      <c r="O7" s="61"/>
      <c r="P7" s="61"/>
      <c r="Q7" s="61"/>
      <c r="R7" s="61">
        <f t="shared" si="1"/>
        <v>1</v>
      </c>
      <c r="T7" s="62">
        <f t="shared" si="2"/>
        <v>0</v>
      </c>
      <c r="U7" s="62">
        <f t="shared" si="2"/>
        <v>0</v>
      </c>
      <c r="V7" s="62">
        <f t="shared" si="2"/>
        <v>0</v>
      </c>
      <c r="W7" s="62">
        <f t="shared" si="2"/>
        <v>21.99784</v>
      </c>
      <c r="X7" s="62">
        <f t="shared" si="2"/>
        <v>0</v>
      </c>
      <c r="Y7" s="62">
        <f t="shared" si="2"/>
        <v>0</v>
      </c>
      <c r="Z7" s="62">
        <f t="shared" si="2"/>
        <v>0</v>
      </c>
      <c r="AA7" s="62">
        <f t="shared" si="2"/>
        <v>0</v>
      </c>
      <c r="AB7" s="62">
        <f t="shared" si="2"/>
        <v>0</v>
      </c>
      <c r="AC7" s="62">
        <f t="shared" si="2"/>
        <v>0</v>
      </c>
      <c r="AD7" s="62">
        <f t="shared" si="2"/>
        <v>0</v>
      </c>
      <c r="AE7" s="62">
        <f t="shared" si="2"/>
        <v>0</v>
      </c>
      <c r="AG7" s="2" t="e">
        <v>#N/A</v>
      </c>
      <c r="AH7" s="293" t="e">
        <v>#N/A</v>
      </c>
      <c r="AI7" s="293" t="e">
        <v>#N/A</v>
      </c>
      <c r="AJ7" s="293" t="e">
        <v>#N/A</v>
      </c>
      <c r="AK7" s="2" t="e">
        <v>#N/A</v>
      </c>
      <c r="AL7" s="293" t="e">
        <v>#N/A</v>
      </c>
      <c r="AM7" s="61"/>
      <c r="AO7" s="232"/>
      <c r="AP7" s="237">
        <f t="shared" si="3"/>
        <v>0</v>
      </c>
      <c r="AQ7" s="237"/>
      <c r="AR7" s="237">
        <f t="shared" si="4"/>
        <v>0</v>
      </c>
      <c r="AS7" s="237"/>
      <c r="AT7" s="237">
        <f t="shared" si="5"/>
        <v>0</v>
      </c>
      <c r="AU7" s="237"/>
      <c r="AV7" s="237">
        <f t="shared" si="6"/>
        <v>0</v>
      </c>
      <c r="AW7" s="237"/>
      <c r="AX7" s="237">
        <f t="shared" si="7"/>
        <v>0</v>
      </c>
      <c r="AY7" s="237"/>
      <c r="AZ7" s="237">
        <f t="shared" si="8"/>
        <v>0</v>
      </c>
      <c r="BA7" s="237"/>
      <c r="BB7" s="76">
        <f t="shared" si="9"/>
        <v>0</v>
      </c>
      <c r="BC7" s="237"/>
      <c r="BD7" s="237">
        <f t="shared" si="10"/>
        <v>0</v>
      </c>
      <c r="BE7" s="237"/>
      <c r="BF7" s="237">
        <f t="shared" si="11"/>
        <v>0</v>
      </c>
      <c r="BG7" s="237"/>
      <c r="BH7" s="237">
        <f t="shared" si="12"/>
        <v>0</v>
      </c>
      <c r="BI7" s="237"/>
      <c r="BJ7" s="237">
        <f t="shared" si="13"/>
        <v>0</v>
      </c>
      <c r="BK7" s="237"/>
      <c r="BL7" s="237">
        <f t="shared" si="14"/>
        <v>0</v>
      </c>
    </row>
    <row r="8" spans="1:64" hidden="1">
      <c r="A8" s="61">
        <v>4</v>
      </c>
      <c r="B8" s="65" t="str">
        <f>'[6]NOI TAC 2026'!B10</f>
        <v>S030900</v>
      </c>
      <c r="C8" s="36" t="str">
        <f t="shared" si="0"/>
        <v>XEM</v>
      </c>
      <c r="D8" s="36">
        <f>'[6]NOI TAC 2026'!F10</f>
        <v>1</v>
      </c>
      <c r="E8" s="63">
        <f>'[6]NOI TAC 2026'!AL10</f>
        <v>21.99784</v>
      </c>
      <c r="F8" s="61"/>
      <c r="G8" s="61"/>
      <c r="H8" s="61"/>
      <c r="I8" s="61"/>
      <c r="J8" s="61">
        <v>1</v>
      </c>
      <c r="K8" s="61"/>
      <c r="L8" s="61"/>
      <c r="M8" s="61"/>
      <c r="N8" s="61"/>
      <c r="O8" s="61"/>
      <c r="P8" s="61"/>
      <c r="Q8" s="61"/>
      <c r="R8" s="61">
        <f t="shared" si="1"/>
        <v>1</v>
      </c>
      <c r="T8" s="62">
        <f t="shared" si="2"/>
        <v>0</v>
      </c>
      <c r="U8" s="62">
        <f t="shared" si="2"/>
        <v>0</v>
      </c>
      <c r="V8" s="62">
        <f t="shared" si="2"/>
        <v>0</v>
      </c>
      <c r="W8" s="62">
        <f t="shared" si="2"/>
        <v>0</v>
      </c>
      <c r="X8" s="62">
        <f t="shared" si="2"/>
        <v>21.99784</v>
      </c>
      <c r="Y8" s="62">
        <f t="shared" si="2"/>
        <v>0</v>
      </c>
      <c r="Z8" s="62">
        <f t="shared" si="2"/>
        <v>0</v>
      </c>
      <c r="AA8" s="62">
        <f t="shared" si="2"/>
        <v>0</v>
      </c>
      <c r="AB8" s="62">
        <f t="shared" si="2"/>
        <v>0</v>
      </c>
      <c r="AC8" s="62">
        <f t="shared" si="2"/>
        <v>0</v>
      </c>
      <c r="AD8" s="62">
        <f t="shared" si="2"/>
        <v>0</v>
      </c>
      <c r="AE8" s="62">
        <f t="shared" si="2"/>
        <v>0</v>
      </c>
      <c r="AG8" s="2" t="e">
        <v>#N/A</v>
      </c>
      <c r="AH8" s="293" t="e">
        <v>#N/A</v>
      </c>
      <c r="AI8" s="293" t="e">
        <v>#N/A</v>
      </c>
      <c r="AJ8" s="293" t="e">
        <v>#N/A</v>
      </c>
      <c r="AK8" s="2" t="e">
        <v>#N/A</v>
      </c>
      <c r="AL8" s="293" t="e">
        <v>#N/A</v>
      </c>
      <c r="AM8" s="61"/>
      <c r="AO8" s="232"/>
      <c r="AP8" s="237">
        <f t="shared" si="3"/>
        <v>0</v>
      </c>
      <c r="AQ8" s="237"/>
      <c r="AR8" s="237">
        <f t="shared" si="4"/>
        <v>0</v>
      </c>
      <c r="AS8" s="237"/>
      <c r="AT8" s="237">
        <f t="shared" si="5"/>
        <v>0</v>
      </c>
      <c r="AU8" s="237"/>
      <c r="AV8" s="237">
        <f t="shared" si="6"/>
        <v>0</v>
      </c>
      <c r="AW8" s="237"/>
      <c r="AX8" s="237">
        <f t="shared" si="7"/>
        <v>0</v>
      </c>
      <c r="AY8" s="237"/>
      <c r="AZ8" s="237">
        <f t="shared" si="8"/>
        <v>0</v>
      </c>
      <c r="BA8" s="237"/>
      <c r="BB8" s="76">
        <f t="shared" si="9"/>
        <v>0</v>
      </c>
      <c r="BC8" s="237"/>
      <c r="BD8" s="237">
        <f t="shared" si="10"/>
        <v>0</v>
      </c>
      <c r="BE8" s="237"/>
      <c r="BF8" s="237">
        <f t="shared" si="11"/>
        <v>0</v>
      </c>
      <c r="BG8" s="237"/>
      <c r="BH8" s="237">
        <f t="shared" si="12"/>
        <v>0</v>
      </c>
      <c r="BI8" s="237"/>
      <c r="BJ8" s="237">
        <f t="shared" si="13"/>
        <v>0</v>
      </c>
      <c r="BK8" s="237"/>
      <c r="BL8" s="237">
        <f t="shared" si="14"/>
        <v>0</v>
      </c>
    </row>
    <row r="9" spans="1:64" hidden="1">
      <c r="A9" s="61">
        <v>5</v>
      </c>
      <c r="B9" s="65" t="str">
        <f>'[6]NOI TAC 2026'!B11</f>
        <v>S030909</v>
      </c>
      <c r="C9" s="36" t="str">
        <f t="shared" si="0"/>
        <v>XEM</v>
      </c>
      <c r="D9" s="36">
        <f>'[6]NOI TAC 2026'!F11</f>
        <v>1</v>
      </c>
      <c r="E9" s="63">
        <f>'[6]NOI TAC 2026'!AL11</f>
        <v>22.377839999999996</v>
      </c>
      <c r="F9" s="61"/>
      <c r="G9" s="61"/>
      <c r="H9" s="61"/>
      <c r="I9" s="61"/>
      <c r="J9" s="61"/>
      <c r="K9" s="61">
        <v>1</v>
      </c>
      <c r="L9" s="61"/>
      <c r="M9" s="61"/>
      <c r="N9" s="61"/>
      <c r="O9" s="61"/>
      <c r="P9" s="61"/>
      <c r="Q9" s="61"/>
      <c r="R9" s="61">
        <f t="shared" si="1"/>
        <v>1</v>
      </c>
      <c r="T9" s="62">
        <f t="shared" si="2"/>
        <v>0</v>
      </c>
      <c r="U9" s="62">
        <f t="shared" si="2"/>
        <v>0</v>
      </c>
      <c r="V9" s="62">
        <f t="shared" si="2"/>
        <v>0</v>
      </c>
      <c r="W9" s="62">
        <f t="shared" si="2"/>
        <v>0</v>
      </c>
      <c r="X9" s="62">
        <f t="shared" si="2"/>
        <v>0</v>
      </c>
      <c r="Y9" s="62">
        <f t="shared" si="2"/>
        <v>22.377839999999996</v>
      </c>
      <c r="Z9" s="62">
        <f t="shared" si="2"/>
        <v>0</v>
      </c>
      <c r="AA9" s="62">
        <f t="shared" si="2"/>
        <v>0</v>
      </c>
      <c r="AB9" s="62">
        <f t="shared" si="2"/>
        <v>0</v>
      </c>
      <c r="AC9" s="62">
        <f t="shared" si="2"/>
        <v>0</v>
      </c>
      <c r="AD9" s="62">
        <f t="shared" si="2"/>
        <v>0</v>
      </c>
      <c r="AE9" s="62">
        <f t="shared" si="2"/>
        <v>0</v>
      </c>
      <c r="AG9" s="2" t="e">
        <v>#N/A</v>
      </c>
      <c r="AH9" s="293" t="e">
        <v>#N/A</v>
      </c>
      <c r="AI9" s="293" t="e">
        <v>#N/A</v>
      </c>
      <c r="AJ9" s="293" t="e">
        <v>#N/A</v>
      </c>
      <c r="AK9" s="2" t="e">
        <v>#N/A</v>
      </c>
      <c r="AL9" s="293" t="e">
        <v>#N/A</v>
      </c>
      <c r="AM9" s="61"/>
      <c r="AO9" s="232"/>
      <c r="AP9" s="237">
        <f t="shared" si="3"/>
        <v>0</v>
      </c>
      <c r="AQ9" s="237"/>
      <c r="AR9" s="237">
        <f t="shared" si="4"/>
        <v>0</v>
      </c>
      <c r="AS9" s="237"/>
      <c r="AT9" s="237">
        <f t="shared" si="5"/>
        <v>0</v>
      </c>
      <c r="AU9" s="237"/>
      <c r="AV9" s="237">
        <f t="shared" si="6"/>
        <v>0</v>
      </c>
      <c r="AW9" s="237"/>
      <c r="AX9" s="237">
        <f t="shared" si="7"/>
        <v>0</v>
      </c>
      <c r="AY9" s="237"/>
      <c r="AZ9" s="237">
        <f t="shared" si="8"/>
        <v>0</v>
      </c>
      <c r="BA9" s="237"/>
      <c r="BB9" s="76">
        <f t="shared" si="9"/>
        <v>0</v>
      </c>
      <c r="BC9" s="237"/>
      <c r="BD9" s="237">
        <f t="shared" si="10"/>
        <v>0</v>
      </c>
      <c r="BE9" s="237"/>
      <c r="BF9" s="237">
        <f t="shared" si="11"/>
        <v>0</v>
      </c>
      <c r="BG9" s="237"/>
      <c r="BH9" s="237">
        <f t="shared" si="12"/>
        <v>0</v>
      </c>
      <c r="BI9" s="237"/>
      <c r="BJ9" s="237">
        <f t="shared" si="13"/>
        <v>0</v>
      </c>
      <c r="BK9" s="237"/>
      <c r="BL9" s="237">
        <f t="shared" si="14"/>
        <v>0</v>
      </c>
    </row>
    <row r="10" spans="1:64" hidden="1">
      <c r="A10" s="61">
        <v>6</v>
      </c>
      <c r="B10" s="65" t="str">
        <f>'[6]NOI TAC 2026'!B12</f>
        <v>R061193</v>
      </c>
      <c r="C10" s="36" t="str">
        <f t="shared" si="0"/>
        <v>XEM</v>
      </c>
      <c r="D10" s="36">
        <f>'[6]NOI TAC 2026'!F12</f>
        <v>3</v>
      </c>
      <c r="E10" s="63">
        <f>'[6]NOI TAC 2026'!AL12</f>
        <v>17.101840000000003</v>
      </c>
      <c r="F10" s="61"/>
      <c r="G10" s="61">
        <v>1</v>
      </c>
      <c r="H10" s="61"/>
      <c r="I10" s="61"/>
      <c r="J10" s="61"/>
      <c r="K10" s="61"/>
      <c r="L10" s="61">
        <v>1</v>
      </c>
      <c r="M10" s="61"/>
      <c r="N10" s="61"/>
      <c r="O10" s="61"/>
      <c r="P10" s="61">
        <v>1</v>
      </c>
      <c r="Q10" s="61"/>
      <c r="R10" s="61">
        <f t="shared" si="1"/>
        <v>3</v>
      </c>
      <c r="T10" s="62">
        <f t="shared" si="2"/>
        <v>0</v>
      </c>
      <c r="U10" s="62">
        <f t="shared" si="2"/>
        <v>17.101840000000003</v>
      </c>
      <c r="V10" s="62">
        <f t="shared" si="2"/>
        <v>0</v>
      </c>
      <c r="W10" s="62">
        <f t="shared" si="2"/>
        <v>0</v>
      </c>
      <c r="X10" s="62">
        <f t="shared" si="2"/>
        <v>0</v>
      </c>
      <c r="Y10" s="62">
        <f t="shared" si="2"/>
        <v>0</v>
      </c>
      <c r="Z10" s="62">
        <f t="shared" si="2"/>
        <v>17.101840000000003</v>
      </c>
      <c r="AA10" s="62">
        <f t="shared" si="2"/>
        <v>0</v>
      </c>
      <c r="AB10" s="62">
        <f t="shared" si="2"/>
        <v>0</v>
      </c>
      <c r="AC10" s="62">
        <f t="shared" si="2"/>
        <v>0</v>
      </c>
      <c r="AD10" s="62">
        <f t="shared" si="2"/>
        <v>17.101840000000003</v>
      </c>
      <c r="AE10" s="62">
        <f t="shared" si="2"/>
        <v>0</v>
      </c>
      <c r="AG10" s="2" t="e">
        <v>#N/A</v>
      </c>
      <c r="AH10" s="293" t="e">
        <v>#N/A</v>
      </c>
      <c r="AI10" s="293" t="e">
        <v>#N/A</v>
      </c>
      <c r="AJ10" s="293" t="e">
        <v>#N/A</v>
      </c>
      <c r="AK10" s="2" t="e">
        <v>#N/A</v>
      </c>
      <c r="AL10" s="293" t="e">
        <v>#N/A</v>
      </c>
      <c r="AM10" s="61"/>
      <c r="AO10" s="232"/>
      <c r="AP10" s="237">
        <f t="shared" si="3"/>
        <v>0</v>
      </c>
      <c r="AQ10" s="237"/>
      <c r="AR10" s="237">
        <f t="shared" si="4"/>
        <v>0</v>
      </c>
      <c r="AS10" s="237"/>
      <c r="AT10" s="237">
        <f t="shared" si="5"/>
        <v>0</v>
      </c>
      <c r="AU10" s="237"/>
      <c r="AV10" s="237">
        <f t="shared" si="6"/>
        <v>0</v>
      </c>
      <c r="AW10" s="237"/>
      <c r="AX10" s="237">
        <f t="shared" si="7"/>
        <v>0</v>
      </c>
      <c r="AY10" s="237"/>
      <c r="AZ10" s="237">
        <f t="shared" si="8"/>
        <v>0</v>
      </c>
      <c r="BA10" s="237"/>
      <c r="BB10" s="76">
        <f t="shared" si="9"/>
        <v>0</v>
      </c>
      <c r="BC10" s="237"/>
      <c r="BD10" s="237">
        <f t="shared" si="10"/>
        <v>0</v>
      </c>
      <c r="BE10" s="237"/>
      <c r="BF10" s="237">
        <f t="shared" si="11"/>
        <v>0</v>
      </c>
      <c r="BG10" s="237"/>
      <c r="BH10" s="237">
        <f t="shared" si="12"/>
        <v>0</v>
      </c>
      <c r="BI10" s="237"/>
      <c r="BJ10" s="237">
        <f t="shared" si="13"/>
        <v>0</v>
      </c>
      <c r="BK10" s="237"/>
      <c r="BL10" s="237">
        <f t="shared" si="14"/>
        <v>0</v>
      </c>
    </row>
    <row r="11" spans="1:64" hidden="1">
      <c r="A11" s="61">
        <v>7</v>
      </c>
      <c r="B11" s="65" t="str">
        <f>'[6]NOI TAC 2026'!B13</f>
        <v>S063800</v>
      </c>
      <c r="C11" s="36" t="str">
        <f t="shared" si="0"/>
        <v>XEM</v>
      </c>
      <c r="D11" s="36">
        <f>'[6]NOI TAC 2026'!F13</f>
        <v>1</v>
      </c>
      <c r="E11" s="63">
        <f>'[6]NOI TAC 2026'!AL13</f>
        <v>25.157622857142854</v>
      </c>
      <c r="F11" s="61"/>
      <c r="G11" s="61"/>
      <c r="H11" s="61">
        <v>1</v>
      </c>
      <c r="I11" s="61"/>
      <c r="J11" s="61"/>
      <c r="K11" s="61"/>
      <c r="L11" s="61"/>
      <c r="M11" s="61"/>
      <c r="N11" s="61"/>
      <c r="O11" s="61"/>
      <c r="P11" s="61"/>
      <c r="Q11" s="61"/>
      <c r="R11" s="61">
        <f t="shared" si="1"/>
        <v>1</v>
      </c>
      <c r="T11" s="62">
        <f t="shared" si="2"/>
        <v>0</v>
      </c>
      <c r="U11" s="62">
        <f t="shared" si="2"/>
        <v>0</v>
      </c>
      <c r="V11" s="62">
        <f t="shared" si="2"/>
        <v>25.157622857142854</v>
      </c>
      <c r="W11" s="62">
        <f t="shared" si="2"/>
        <v>0</v>
      </c>
      <c r="X11" s="62">
        <f t="shared" si="2"/>
        <v>0</v>
      </c>
      <c r="Y11" s="62">
        <f t="shared" si="2"/>
        <v>0</v>
      </c>
      <c r="Z11" s="62">
        <f t="shared" si="2"/>
        <v>0</v>
      </c>
      <c r="AA11" s="62">
        <f t="shared" si="2"/>
        <v>0</v>
      </c>
      <c r="AB11" s="62">
        <f t="shared" si="2"/>
        <v>0</v>
      </c>
      <c r="AC11" s="62">
        <f t="shared" si="2"/>
        <v>0</v>
      </c>
      <c r="AD11" s="62">
        <f t="shared" si="2"/>
        <v>0</v>
      </c>
      <c r="AE11" s="62">
        <f t="shared" si="2"/>
        <v>0</v>
      </c>
      <c r="AG11" s="2" t="e">
        <v>#N/A</v>
      </c>
      <c r="AH11" s="293" t="e">
        <v>#N/A</v>
      </c>
      <c r="AI11" s="293" t="e">
        <v>#N/A</v>
      </c>
      <c r="AJ11" s="293" t="e">
        <v>#N/A</v>
      </c>
      <c r="AK11" s="2" t="e">
        <v>#N/A</v>
      </c>
      <c r="AL11" s="293" t="e">
        <v>#N/A</v>
      </c>
      <c r="AM11" s="61"/>
      <c r="AO11" s="232"/>
      <c r="AP11" s="237">
        <f t="shared" si="3"/>
        <v>0</v>
      </c>
      <c r="AQ11" s="237"/>
      <c r="AR11" s="237">
        <f t="shared" si="4"/>
        <v>0</v>
      </c>
      <c r="AS11" s="237"/>
      <c r="AT11" s="237">
        <f t="shared" si="5"/>
        <v>0</v>
      </c>
      <c r="AU11" s="237"/>
      <c r="AV11" s="237">
        <f t="shared" si="6"/>
        <v>0</v>
      </c>
      <c r="AW11" s="237"/>
      <c r="AX11" s="237">
        <f t="shared" si="7"/>
        <v>0</v>
      </c>
      <c r="AY11" s="237"/>
      <c r="AZ11" s="237">
        <f t="shared" si="8"/>
        <v>0</v>
      </c>
      <c r="BA11" s="237"/>
      <c r="BB11" s="76">
        <f t="shared" si="9"/>
        <v>0</v>
      </c>
      <c r="BC11" s="237"/>
      <c r="BD11" s="237">
        <f t="shared" si="10"/>
        <v>0</v>
      </c>
      <c r="BE11" s="237"/>
      <c r="BF11" s="237">
        <f t="shared" si="11"/>
        <v>0</v>
      </c>
      <c r="BG11" s="237"/>
      <c r="BH11" s="237">
        <f t="shared" si="12"/>
        <v>0</v>
      </c>
      <c r="BI11" s="237"/>
      <c r="BJ11" s="237">
        <f t="shared" si="13"/>
        <v>0</v>
      </c>
      <c r="BK11" s="237"/>
      <c r="BL11" s="237">
        <f t="shared" si="14"/>
        <v>0</v>
      </c>
    </row>
    <row r="12" spans="1:64" hidden="1">
      <c r="A12" s="61">
        <v>8</v>
      </c>
      <c r="B12" s="65" t="str">
        <f>'[6]NOI TAC 2026'!B14</f>
        <v>S763490</v>
      </c>
      <c r="C12" s="36" t="str">
        <f t="shared" si="0"/>
        <v>XEM</v>
      </c>
      <c r="D12" s="36">
        <f>'[6]NOI TAC 2026'!F14</f>
        <v>3</v>
      </c>
      <c r="E12" s="63">
        <f>'[6]NOI TAC 2026'!AL14</f>
        <v>29.812639999999995</v>
      </c>
      <c r="F12" s="61"/>
      <c r="G12" s="61"/>
      <c r="H12" s="61"/>
      <c r="I12" s="61">
        <v>1</v>
      </c>
      <c r="J12" s="61"/>
      <c r="K12" s="61"/>
      <c r="L12" s="61"/>
      <c r="M12" s="61">
        <v>1</v>
      </c>
      <c r="N12" s="61"/>
      <c r="O12" s="61"/>
      <c r="P12" s="61"/>
      <c r="Q12" s="61">
        <v>1</v>
      </c>
      <c r="R12" s="61">
        <f t="shared" si="1"/>
        <v>3</v>
      </c>
      <c r="T12" s="62">
        <f t="shared" si="2"/>
        <v>0</v>
      </c>
      <c r="U12" s="62">
        <f t="shared" si="2"/>
        <v>0</v>
      </c>
      <c r="V12" s="62">
        <f t="shared" si="2"/>
        <v>0</v>
      </c>
      <c r="W12" s="62">
        <f t="shared" si="2"/>
        <v>29.812639999999995</v>
      </c>
      <c r="X12" s="62">
        <f t="shared" si="2"/>
        <v>0</v>
      </c>
      <c r="Y12" s="62">
        <f t="shared" si="2"/>
        <v>0</v>
      </c>
      <c r="Z12" s="62">
        <f t="shared" si="2"/>
        <v>0</v>
      </c>
      <c r="AA12" s="62">
        <f t="shared" si="2"/>
        <v>29.812639999999995</v>
      </c>
      <c r="AB12" s="62">
        <f t="shared" si="2"/>
        <v>0</v>
      </c>
      <c r="AC12" s="62">
        <f t="shared" si="2"/>
        <v>0</v>
      </c>
      <c r="AD12" s="62">
        <f t="shared" si="2"/>
        <v>0</v>
      </c>
      <c r="AE12" s="62">
        <f t="shared" si="2"/>
        <v>29.812639999999995</v>
      </c>
      <c r="AG12" s="2" t="e">
        <v>#N/A</v>
      </c>
      <c r="AH12" s="293" t="e">
        <v>#N/A</v>
      </c>
      <c r="AI12" s="293" t="e">
        <v>#N/A</v>
      </c>
      <c r="AJ12" s="293" t="e">
        <v>#N/A</v>
      </c>
      <c r="AK12" s="2" t="e">
        <v>#N/A</v>
      </c>
      <c r="AL12" s="293" t="e">
        <v>#N/A</v>
      </c>
      <c r="AM12" s="61"/>
      <c r="AO12" s="232"/>
      <c r="AP12" s="237">
        <f t="shared" si="3"/>
        <v>0</v>
      </c>
      <c r="AQ12" s="237"/>
      <c r="AR12" s="237">
        <f t="shared" si="4"/>
        <v>0</v>
      </c>
      <c r="AS12" s="237"/>
      <c r="AT12" s="237">
        <f t="shared" si="5"/>
        <v>0</v>
      </c>
      <c r="AU12" s="237"/>
      <c r="AV12" s="237">
        <f t="shared" si="6"/>
        <v>0</v>
      </c>
      <c r="AW12" s="237"/>
      <c r="AX12" s="237">
        <f t="shared" si="7"/>
        <v>0</v>
      </c>
      <c r="AY12" s="237"/>
      <c r="AZ12" s="237">
        <f t="shared" si="8"/>
        <v>0</v>
      </c>
      <c r="BA12" s="237"/>
      <c r="BB12" s="76">
        <f t="shared" si="9"/>
        <v>0</v>
      </c>
      <c r="BC12" s="237"/>
      <c r="BD12" s="237">
        <f t="shared" si="10"/>
        <v>0</v>
      </c>
      <c r="BE12" s="237"/>
      <c r="BF12" s="237">
        <f t="shared" si="11"/>
        <v>0</v>
      </c>
      <c r="BG12" s="237"/>
      <c r="BH12" s="237">
        <f t="shared" si="12"/>
        <v>0</v>
      </c>
      <c r="BI12" s="237"/>
      <c r="BJ12" s="237">
        <f t="shared" si="13"/>
        <v>0</v>
      </c>
      <c r="BK12" s="237"/>
      <c r="BL12" s="237">
        <f t="shared" si="14"/>
        <v>0</v>
      </c>
    </row>
    <row r="13" spans="1:64" hidden="1">
      <c r="A13" s="61">
        <v>9</v>
      </c>
      <c r="B13" s="65" t="str">
        <f>'[6]NOI TAC 2026'!B15</f>
        <v>S763484</v>
      </c>
      <c r="C13" s="36" t="str">
        <f t="shared" si="0"/>
        <v>XEM</v>
      </c>
      <c r="D13" s="36">
        <f>'[6]NOI TAC 2026'!F15</f>
        <v>1</v>
      </c>
      <c r="E13" s="63">
        <f>'[6]NOI TAC 2026'!AL15</f>
        <v>31.332640000000005</v>
      </c>
      <c r="F13" s="61"/>
      <c r="G13" s="61"/>
      <c r="H13" s="61"/>
      <c r="I13" s="61"/>
      <c r="J13" s="61">
        <v>1</v>
      </c>
      <c r="K13" s="61"/>
      <c r="L13" s="61"/>
      <c r="M13" s="61"/>
      <c r="N13" s="61"/>
      <c r="O13" s="61"/>
      <c r="P13" s="61"/>
      <c r="Q13" s="61"/>
      <c r="R13" s="61">
        <f t="shared" si="1"/>
        <v>1</v>
      </c>
      <c r="T13" s="62">
        <f t="shared" si="2"/>
        <v>0</v>
      </c>
      <c r="U13" s="62">
        <f t="shared" si="2"/>
        <v>0</v>
      </c>
      <c r="V13" s="62">
        <f t="shared" si="2"/>
        <v>0</v>
      </c>
      <c r="W13" s="62">
        <f t="shared" si="2"/>
        <v>0</v>
      </c>
      <c r="X13" s="62">
        <f t="shared" si="2"/>
        <v>31.332640000000005</v>
      </c>
      <c r="Y13" s="62">
        <f t="shared" si="2"/>
        <v>0</v>
      </c>
      <c r="Z13" s="62">
        <f t="shared" si="2"/>
        <v>0</v>
      </c>
      <c r="AA13" s="62">
        <f t="shared" si="2"/>
        <v>0</v>
      </c>
      <c r="AB13" s="62">
        <f t="shared" si="2"/>
        <v>0</v>
      </c>
      <c r="AC13" s="62">
        <f t="shared" si="2"/>
        <v>0</v>
      </c>
      <c r="AD13" s="62">
        <f t="shared" si="2"/>
        <v>0</v>
      </c>
      <c r="AE13" s="62">
        <f t="shared" si="2"/>
        <v>0</v>
      </c>
      <c r="AG13" s="2" t="e">
        <v>#N/A</v>
      </c>
      <c r="AH13" s="293" t="e">
        <v>#N/A</v>
      </c>
      <c r="AI13" s="293" t="e">
        <v>#N/A</v>
      </c>
      <c r="AJ13" s="293" t="e">
        <v>#N/A</v>
      </c>
      <c r="AK13" s="2" t="e">
        <v>#N/A</v>
      </c>
      <c r="AL13" s="293" t="e">
        <v>#N/A</v>
      </c>
      <c r="AM13" s="61"/>
      <c r="AO13" s="232"/>
      <c r="AP13" s="237">
        <f t="shared" si="3"/>
        <v>0</v>
      </c>
      <c r="AQ13" s="237"/>
      <c r="AR13" s="237">
        <f t="shared" si="4"/>
        <v>0</v>
      </c>
      <c r="AS13" s="237"/>
      <c r="AT13" s="237">
        <f t="shared" si="5"/>
        <v>0</v>
      </c>
      <c r="AU13" s="237"/>
      <c r="AV13" s="237">
        <f t="shared" si="6"/>
        <v>0</v>
      </c>
      <c r="AW13" s="237"/>
      <c r="AX13" s="237">
        <f t="shared" si="7"/>
        <v>0</v>
      </c>
      <c r="AY13" s="237"/>
      <c r="AZ13" s="237">
        <f t="shared" si="8"/>
        <v>0</v>
      </c>
      <c r="BA13" s="237"/>
      <c r="BB13" s="76">
        <f t="shared" si="9"/>
        <v>0</v>
      </c>
      <c r="BC13" s="237"/>
      <c r="BD13" s="237">
        <f t="shared" si="10"/>
        <v>0</v>
      </c>
      <c r="BE13" s="237"/>
      <c r="BF13" s="237">
        <f t="shared" si="11"/>
        <v>0</v>
      </c>
      <c r="BG13" s="237"/>
      <c r="BH13" s="237">
        <f t="shared" si="12"/>
        <v>0</v>
      </c>
      <c r="BI13" s="237"/>
      <c r="BJ13" s="237">
        <f t="shared" si="13"/>
        <v>0</v>
      </c>
      <c r="BK13" s="237"/>
      <c r="BL13" s="237">
        <f t="shared" si="14"/>
        <v>0</v>
      </c>
    </row>
    <row r="14" spans="1:64" hidden="1">
      <c r="A14" s="61">
        <v>10</v>
      </c>
      <c r="B14" s="65" t="str">
        <f>'[6]NOI TAC 2026'!B16</f>
        <v>S013300</v>
      </c>
      <c r="C14" s="36" t="str">
        <f t="shared" si="0"/>
        <v>XEM</v>
      </c>
      <c r="D14" s="36">
        <f>'[6]NOI TAC 2026'!F16</f>
        <v>1</v>
      </c>
      <c r="E14" s="63">
        <f>'[6]NOI TAC 2026'!AL16</f>
        <v>36.667999999999999</v>
      </c>
      <c r="F14" s="61"/>
      <c r="G14" s="61"/>
      <c r="H14" s="61"/>
      <c r="I14" s="61"/>
      <c r="J14" s="61"/>
      <c r="K14" s="61">
        <v>1</v>
      </c>
      <c r="L14" s="61"/>
      <c r="M14" s="61"/>
      <c r="N14" s="61"/>
      <c r="O14" s="61"/>
      <c r="P14" s="61"/>
      <c r="Q14" s="61"/>
      <c r="R14" s="61">
        <f t="shared" si="1"/>
        <v>1</v>
      </c>
      <c r="T14" s="62">
        <f t="shared" si="2"/>
        <v>0</v>
      </c>
      <c r="U14" s="62">
        <f t="shared" si="2"/>
        <v>0</v>
      </c>
      <c r="V14" s="62">
        <f t="shared" si="2"/>
        <v>0</v>
      </c>
      <c r="W14" s="62">
        <f t="shared" si="2"/>
        <v>0</v>
      </c>
      <c r="X14" s="62">
        <f t="shared" si="2"/>
        <v>0</v>
      </c>
      <c r="Y14" s="62">
        <f t="shared" si="2"/>
        <v>36.667999999999999</v>
      </c>
      <c r="Z14" s="62">
        <f t="shared" si="2"/>
        <v>0</v>
      </c>
      <c r="AA14" s="62">
        <f t="shared" si="2"/>
        <v>0</v>
      </c>
      <c r="AB14" s="62">
        <f t="shared" si="2"/>
        <v>0</v>
      </c>
      <c r="AC14" s="62">
        <f t="shared" si="2"/>
        <v>0</v>
      </c>
      <c r="AD14" s="62">
        <f t="shared" si="2"/>
        <v>0</v>
      </c>
      <c r="AE14" s="62">
        <f t="shared" si="2"/>
        <v>0</v>
      </c>
      <c r="AG14" s="2" t="e">
        <v>#N/A</v>
      </c>
      <c r="AH14" s="293" t="e">
        <v>#N/A</v>
      </c>
      <c r="AI14" s="293" t="e">
        <v>#N/A</v>
      </c>
      <c r="AJ14" s="293" t="e">
        <v>#N/A</v>
      </c>
      <c r="AK14" s="2" t="e">
        <v>#N/A</v>
      </c>
      <c r="AL14" s="293" t="e">
        <v>#N/A</v>
      </c>
      <c r="AM14" s="61"/>
      <c r="AO14" s="232"/>
      <c r="AP14" s="237">
        <f t="shared" si="3"/>
        <v>0</v>
      </c>
      <c r="AQ14" s="237"/>
      <c r="AR14" s="237">
        <f t="shared" si="4"/>
        <v>0</v>
      </c>
      <c r="AS14" s="237"/>
      <c r="AT14" s="237">
        <f t="shared" si="5"/>
        <v>0</v>
      </c>
      <c r="AU14" s="237"/>
      <c r="AV14" s="237">
        <f t="shared" si="6"/>
        <v>0</v>
      </c>
      <c r="AW14" s="237"/>
      <c r="AX14" s="237">
        <f t="shared" si="7"/>
        <v>0</v>
      </c>
      <c r="AY14" s="237"/>
      <c r="AZ14" s="237">
        <f t="shared" si="8"/>
        <v>0</v>
      </c>
      <c r="BA14" s="237"/>
      <c r="BB14" s="76">
        <f t="shared" si="9"/>
        <v>0</v>
      </c>
      <c r="BC14" s="237"/>
      <c r="BD14" s="237">
        <f t="shared" si="10"/>
        <v>0</v>
      </c>
      <c r="BE14" s="237"/>
      <c r="BF14" s="237">
        <f t="shared" si="11"/>
        <v>0</v>
      </c>
      <c r="BG14" s="237"/>
      <c r="BH14" s="237">
        <f t="shared" si="12"/>
        <v>0</v>
      </c>
      <c r="BI14" s="237"/>
      <c r="BJ14" s="237">
        <f t="shared" si="13"/>
        <v>0</v>
      </c>
      <c r="BK14" s="237"/>
      <c r="BL14" s="237">
        <f t="shared" si="14"/>
        <v>0</v>
      </c>
    </row>
    <row r="15" spans="1:64" hidden="1">
      <c r="A15" s="61">
        <v>11</v>
      </c>
      <c r="B15" s="65" t="str">
        <f>'[6]NOI TAC 2026'!B17</f>
        <v>S417746</v>
      </c>
      <c r="C15" s="36" t="str">
        <f t="shared" si="0"/>
        <v>XEM</v>
      </c>
      <c r="D15" s="36">
        <f>'[6]NOI TAC 2026'!F17</f>
        <v>1</v>
      </c>
      <c r="E15" s="63">
        <f>'[6]NOI TAC 2026'!AL17</f>
        <v>52.851679999999995</v>
      </c>
      <c r="F15" s="61"/>
      <c r="G15" s="61"/>
      <c r="H15" s="61"/>
      <c r="I15" s="61"/>
      <c r="J15" s="61"/>
      <c r="K15" s="52"/>
      <c r="L15" s="61">
        <v>1</v>
      </c>
      <c r="M15" s="61"/>
      <c r="N15" s="61"/>
      <c r="O15" s="61"/>
      <c r="P15" s="61"/>
      <c r="Q15" s="61"/>
      <c r="R15" s="61">
        <f t="shared" si="1"/>
        <v>1</v>
      </c>
      <c r="T15" s="62">
        <f t="shared" si="2"/>
        <v>0</v>
      </c>
      <c r="U15" s="62">
        <f t="shared" si="2"/>
        <v>0</v>
      </c>
      <c r="V15" s="62">
        <f t="shared" si="2"/>
        <v>0</v>
      </c>
      <c r="W15" s="62">
        <f t="shared" si="2"/>
        <v>0</v>
      </c>
      <c r="X15" s="62">
        <f t="shared" si="2"/>
        <v>0</v>
      </c>
      <c r="Y15" s="62">
        <f t="shared" si="2"/>
        <v>0</v>
      </c>
      <c r="Z15" s="62">
        <f t="shared" si="2"/>
        <v>52.851679999999995</v>
      </c>
      <c r="AA15" s="62">
        <f t="shared" si="2"/>
        <v>0</v>
      </c>
      <c r="AB15" s="62">
        <f t="shared" si="2"/>
        <v>0</v>
      </c>
      <c r="AC15" s="62">
        <f t="shared" si="2"/>
        <v>0</v>
      </c>
      <c r="AD15" s="62">
        <f t="shared" si="2"/>
        <v>0</v>
      </c>
      <c r="AE15" s="62">
        <f t="shared" si="2"/>
        <v>0</v>
      </c>
      <c r="AG15" s="2" t="e">
        <v>#N/A</v>
      </c>
      <c r="AH15" s="293" t="e">
        <v>#N/A</v>
      </c>
      <c r="AI15" s="293" t="e">
        <v>#N/A</v>
      </c>
      <c r="AJ15" s="293" t="e">
        <v>#N/A</v>
      </c>
      <c r="AK15" s="2" t="e">
        <v>#N/A</v>
      </c>
      <c r="AL15" s="293" t="e">
        <v>#N/A</v>
      </c>
      <c r="AM15" s="61"/>
      <c r="AO15" s="232"/>
      <c r="AP15" s="237">
        <f t="shared" si="3"/>
        <v>0</v>
      </c>
      <c r="AQ15" s="237"/>
      <c r="AR15" s="237">
        <f t="shared" si="4"/>
        <v>0</v>
      </c>
      <c r="AS15" s="237"/>
      <c r="AT15" s="237">
        <f t="shared" si="5"/>
        <v>0</v>
      </c>
      <c r="AU15" s="237"/>
      <c r="AV15" s="237">
        <f t="shared" si="6"/>
        <v>0</v>
      </c>
      <c r="AW15" s="237"/>
      <c r="AX15" s="237">
        <f t="shared" si="7"/>
        <v>0</v>
      </c>
      <c r="AY15" s="237"/>
      <c r="AZ15" s="237">
        <f t="shared" si="8"/>
        <v>0</v>
      </c>
      <c r="BA15" s="237"/>
      <c r="BB15" s="76">
        <f t="shared" si="9"/>
        <v>0</v>
      </c>
      <c r="BC15" s="237"/>
      <c r="BD15" s="237">
        <f t="shared" si="10"/>
        <v>0</v>
      </c>
      <c r="BE15" s="237"/>
      <c r="BF15" s="237">
        <f t="shared" si="11"/>
        <v>0</v>
      </c>
      <c r="BG15" s="237"/>
      <c r="BH15" s="237">
        <f t="shared" si="12"/>
        <v>0</v>
      </c>
      <c r="BI15" s="237"/>
      <c r="BJ15" s="237">
        <f t="shared" si="13"/>
        <v>0</v>
      </c>
      <c r="BK15" s="237"/>
      <c r="BL15" s="237">
        <f t="shared" si="14"/>
        <v>0</v>
      </c>
    </row>
    <row r="16" spans="1:64" hidden="1">
      <c r="A16" s="61">
        <v>12</v>
      </c>
      <c r="B16" s="65" t="str">
        <f>'[6]NOI TAC 2026'!B18</f>
        <v>S417748</v>
      </c>
      <c r="C16" s="36" t="str">
        <f t="shared" si="0"/>
        <v>XEM</v>
      </c>
      <c r="D16" s="36">
        <f>'[6]NOI TAC 2026'!F18</f>
        <v>1</v>
      </c>
      <c r="E16" s="63">
        <f>'[6]NOI TAC 2026'!AL18</f>
        <v>54.571679999999994</v>
      </c>
      <c r="F16" s="61"/>
      <c r="G16" s="61"/>
      <c r="H16" s="61"/>
      <c r="I16" s="61"/>
      <c r="J16" s="61"/>
      <c r="K16" s="52"/>
      <c r="L16" s="61"/>
      <c r="M16" s="61">
        <v>1</v>
      </c>
      <c r="N16" s="61"/>
      <c r="O16" s="61"/>
      <c r="P16" s="61"/>
      <c r="Q16" s="61"/>
      <c r="R16" s="61">
        <f t="shared" si="1"/>
        <v>1</v>
      </c>
      <c r="T16" s="62">
        <f t="shared" si="2"/>
        <v>0</v>
      </c>
      <c r="U16" s="62">
        <f t="shared" si="2"/>
        <v>0</v>
      </c>
      <c r="V16" s="62">
        <f t="shared" si="2"/>
        <v>0</v>
      </c>
      <c r="W16" s="62">
        <f t="shared" si="2"/>
        <v>0</v>
      </c>
      <c r="X16" s="62">
        <f t="shared" si="2"/>
        <v>0</v>
      </c>
      <c r="Y16" s="62">
        <f t="shared" si="2"/>
        <v>0</v>
      </c>
      <c r="Z16" s="62">
        <f t="shared" si="2"/>
        <v>0</v>
      </c>
      <c r="AA16" s="62">
        <f t="shared" si="2"/>
        <v>54.571679999999994</v>
      </c>
      <c r="AB16" s="62">
        <f t="shared" si="2"/>
        <v>0</v>
      </c>
      <c r="AC16" s="62">
        <f t="shared" si="2"/>
        <v>0</v>
      </c>
      <c r="AD16" s="62">
        <f t="shared" si="2"/>
        <v>0</v>
      </c>
      <c r="AE16" s="62">
        <f t="shared" si="2"/>
        <v>0</v>
      </c>
      <c r="AG16" s="2" t="e">
        <v>#N/A</v>
      </c>
      <c r="AH16" s="293" t="e">
        <v>#N/A</v>
      </c>
      <c r="AI16" s="293" t="e">
        <v>#N/A</v>
      </c>
      <c r="AJ16" s="293" t="e">
        <v>#N/A</v>
      </c>
      <c r="AK16" s="2" t="e">
        <v>#N/A</v>
      </c>
      <c r="AL16" s="293" t="e">
        <v>#N/A</v>
      </c>
      <c r="AM16" s="61"/>
      <c r="AO16" s="232"/>
      <c r="AP16" s="237">
        <f t="shared" si="3"/>
        <v>0</v>
      </c>
      <c r="AQ16" s="237"/>
      <c r="AR16" s="237">
        <f t="shared" si="4"/>
        <v>0</v>
      </c>
      <c r="AS16" s="237"/>
      <c r="AT16" s="237">
        <f t="shared" si="5"/>
        <v>0</v>
      </c>
      <c r="AU16" s="237"/>
      <c r="AV16" s="237">
        <f t="shared" si="6"/>
        <v>0</v>
      </c>
      <c r="AW16" s="237"/>
      <c r="AX16" s="237">
        <f t="shared" si="7"/>
        <v>0</v>
      </c>
      <c r="AY16" s="237"/>
      <c r="AZ16" s="237">
        <f t="shared" si="8"/>
        <v>0</v>
      </c>
      <c r="BA16" s="237"/>
      <c r="BB16" s="76">
        <f t="shared" si="9"/>
        <v>0</v>
      </c>
      <c r="BC16" s="237"/>
      <c r="BD16" s="237">
        <f t="shared" si="10"/>
        <v>0</v>
      </c>
      <c r="BE16" s="237"/>
      <c r="BF16" s="237">
        <f t="shared" si="11"/>
        <v>0</v>
      </c>
      <c r="BG16" s="237"/>
      <c r="BH16" s="237">
        <f t="shared" si="12"/>
        <v>0</v>
      </c>
      <c r="BI16" s="237"/>
      <c r="BJ16" s="237">
        <f t="shared" si="13"/>
        <v>0</v>
      </c>
      <c r="BK16" s="237"/>
      <c r="BL16" s="237">
        <f t="shared" si="14"/>
        <v>0</v>
      </c>
    </row>
    <row r="17" spans="1:64" hidden="1">
      <c r="A17" s="61">
        <v>13</v>
      </c>
      <c r="B17" s="65" t="str">
        <f>'[6]NOI TAC 2026'!B19</f>
        <v>R062214</v>
      </c>
      <c r="C17" s="36" t="str">
        <f t="shared" si="0"/>
        <v>XEM</v>
      </c>
      <c r="D17" s="36">
        <f>'[6]NOI TAC 2026'!F19</f>
        <v>1</v>
      </c>
      <c r="E17" s="63">
        <f>'[6]NOI TAC 2026'!AL19</f>
        <v>55.553640000000001</v>
      </c>
      <c r="F17" s="61"/>
      <c r="G17" s="61"/>
      <c r="H17" s="61"/>
      <c r="I17" s="61"/>
      <c r="J17" s="61"/>
      <c r="K17" s="52"/>
      <c r="L17" s="61"/>
      <c r="M17" s="61"/>
      <c r="N17" s="61">
        <v>1</v>
      </c>
      <c r="O17" s="61"/>
      <c r="P17" s="61"/>
      <c r="Q17" s="61"/>
      <c r="R17" s="61">
        <f t="shared" si="1"/>
        <v>1</v>
      </c>
      <c r="T17" s="62">
        <f t="shared" si="2"/>
        <v>0</v>
      </c>
      <c r="U17" s="62">
        <f t="shared" si="2"/>
        <v>0</v>
      </c>
      <c r="V17" s="62">
        <f t="shared" si="2"/>
        <v>0</v>
      </c>
      <c r="W17" s="62">
        <f t="shared" si="2"/>
        <v>0</v>
      </c>
      <c r="X17" s="62">
        <f t="shared" si="2"/>
        <v>0</v>
      </c>
      <c r="Y17" s="62">
        <f t="shared" si="2"/>
        <v>0</v>
      </c>
      <c r="Z17" s="62">
        <f t="shared" si="2"/>
        <v>0</v>
      </c>
      <c r="AA17" s="62">
        <f t="shared" si="2"/>
        <v>0</v>
      </c>
      <c r="AB17" s="62">
        <f t="shared" si="2"/>
        <v>55.553640000000001</v>
      </c>
      <c r="AC17" s="62">
        <f t="shared" si="2"/>
        <v>0</v>
      </c>
      <c r="AD17" s="62">
        <f t="shared" si="2"/>
        <v>0</v>
      </c>
      <c r="AE17" s="62">
        <f t="shared" si="2"/>
        <v>0</v>
      </c>
      <c r="AG17" s="2" t="e">
        <v>#N/A</v>
      </c>
      <c r="AH17" s="293" t="e">
        <v>#N/A</v>
      </c>
      <c r="AI17" s="293" t="e">
        <v>#N/A</v>
      </c>
      <c r="AJ17" s="293" t="e">
        <v>#N/A</v>
      </c>
      <c r="AK17" s="2" t="e">
        <v>#N/A</v>
      </c>
      <c r="AL17" s="293" t="e">
        <v>#N/A</v>
      </c>
      <c r="AM17" s="61"/>
      <c r="AO17" s="232"/>
      <c r="AP17" s="237">
        <f t="shared" si="3"/>
        <v>0</v>
      </c>
      <c r="AQ17" s="237"/>
      <c r="AR17" s="237">
        <f t="shared" si="4"/>
        <v>0</v>
      </c>
      <c r="AS17" s="237"/>
      <c r="AT17" s="237">
        <f t="shared" si="5"/>
        <v>0</v>
      </c>
      <c r="AU17" s="237"/>
      <c r="AV17" s="237">
        <f t="shared" si="6"/>
        <v>0</v>
      </c>
      <c r="AW17" s="237"/>
      <c r="AX17" s="237">
        <f t="shared" si="7"/>
        <v>0</v>
      </c>
      <c r="AY17" s="237"/>
      <c r="AZ17" s="237">
        <f t="shared" si="8"/>
        <v>0</v>
      </c>
      <c r="BA17" s="237"/>
      <c r="BB17" s="76">
        <f t="shared" si="9"/>
        <v>0</v>
      </c>
      <c r="BC17" s="237"/>
      <c r="BD17" s="237">
        <f t="shared" si="10"/>
        <v>0</v>
      </c>
      <c r="BE17" s="237"/>
      <c r="BF17" s="237">
        <f t="shared" si="11"/>
        <v>0</v>
      </c>
      <c r="BG17" s="237"/>
      <c r="BH17" s="237">
        <f t="shared" si="12"/>
        <v>0</v>
      </c>
      <c r="BI17" s="237"/>
      <c r="BJ17" s="237">
        <f t="shared" si="13"/>
        <v>0</v>
      </c>
      <c r="BK17" s="237"/>
      <c r="BL17" s="237">
        <f t="shared" si="14"/>
        <v>0</v>
      </c>
    </row>
    <row r="18" spans="1:64" hidden="1">
      <c r="A18" s="61">
        <v>14</v>
      </c>
      <c r="B18" s="65" t="str">
        <f>'[6]NOI TAC 2026'!B20</f>
        <v>R062217</v>
      </c>
      <c r="C18" s="36" t="str">
        <f t="shared" si="0"/>
        <v>XEM</v>
      </c>
      <c r="D18" s="36">
        <f>'[6]NOI TAC 2026'!F20</f>
        <v>1</v>
      </c>
      <c r="E18" s="63">
        <f>'[6]NOI TAC 2026'!AL20</f>
        <v>72.7042</v>
      </c>
      <c r="F18" s="61"/>
      <c r="G18" s="61"/>
      <c r="H18" s="61"/>
      <c r="I18" s="61"/>
      <c r="J18" s="61"/>
      <c r="K18" s="52"/>
      <c r="L18" s="61"/>
      <c r="M18" s="61"/>
      <c r="N18" s="61"/>
      <c r="O18" s="61">
        <v>1</v>
      </c>
      <c r="P18" s="61"/>
      <c r="Q18" s="61"/>
      <c r="R18" s="61">
        <f t="shared" si="1"/>
        <v>1</v>
      </c>
      <c r="T18" s="62">
        <f t="shared" si="2"/>
        <v>0</v>
      </c>
      <c r="U18" s="62">
        <f t="shared" si="2"/>
        <v>0</v>
      </c>
      <c r="V18" s="62">
        <f t="shared" si="2"/>
        <v>0</v>
      </c>
      <c r="W18" s="62">
        <f t="shared" si="2"/>
        <v>0</v>
      </c>
      <c r="X18" s="62">
        <f t="shared" si="2"/>
        <v>0</v>
      </c>
      <c r="Y18" s="62">
        <f t="shared" si="2"/>
        <v>0</v>
      </c>
      <c r="Z18" s="62">
        <f t="shared" si="2"/>
        <v>0</v>
      </c>
      <c r="AA18" s="62">
        <f t="shared" si="2"/>
        <v>0</v>
      </c>
      <c r="AB18" s="62">
        <f t="shared" si="2"/>
        <v>0</v>
      </c>
      <c r="AC18" s="62">
        <f t="shared" si="2"/>
        <v>72.7042</v>
      </c>
      <c r="AD18" s="62">
        <f t="shared" si="2"/>
        <v>0</v>
      </c>
      <c r="AE18" s="62">
        <f t="shared" si="2"/>
        <v>0</v>
      </c>
      <c r="AG18" s="2" t="e">
        <v>#N/A</v>
      </c>
      <c r="AH18" s="293" t="e">
        <v>#N/A</v>
      </c>
      <c r="AI18" s="293" t="e">
        <v>#N/A</v>
      </c>
      <c r="AJ18" s="293" t="e">
        <v>#N/A</v>
      </c>
      <c r="AK18" s="2" t="e">
        <v>#N/A</v>
      </c>
      <c r="AL18" s="293" t="e">
        <v>#N/A</v>
      </c>
      <c r="AM18" s="61"/>
      <c r="AO18" s="232"/>
      <c r="AP18" s="237">
        <f t="shared" si="3"/>
        <v>0</v>
      </c>
      <c r="AQ18" s="237"/>
      <c r="AR18" s="237">
        <f t="shared" si="4"/>
        <v>0</v>
      </c>
      <c r="AS18" s="237"/>
      <c r="AT18" s="237">
        <f t="shared" si="5"/>
        <v>0</v>
      </c>
      <c r="AU18" s="237"/>
      <c r="AV18" s="237">
        <f t="shared" si="6"/>
        <v>0</v>
      </c>
      <c r="AW18" s="237"/>
      <c r="AX18" s="237">
        <f t="shared" si="7"/>
        <v>0</v>
      </c>
      <c r="AY18" s="237"/>
      <c r="AZ18" s="237">
        <f t="shared" si="8"/>
        <v>0</v>
      </c>
      <c r="BA18" s="237"/>
      <c r="BB18" s="76">
        <f t="shared" si="9"/>
        <v>0</v>
      </c>
      <c r="BC18" s="237"/>
      <c r="BD18" s="237">
        <f t="shared" si="10"/>
        <v>0</v>
      </c>
      <c r="BE18" s="237"/>
      <c r="BF18" s="237">
        <f t="shared" si="11"/>
        <v>0</v>
      </c>
      <c r="BG18" s="237"/>
      <c r="BH18" s="237">
        <f t="shared" si="12"/>
        <v>0</v>
      </c>
      <c r="BI18" s="237"/>
      <c r="BJ18" s="237">
        <f t="shared" si="13"/>
        <v>0</v>
      </c>
      <c r="BK18" s="237"/>
      <c r="BL18" s="237">
        <f t="shared" si="14"/>
        <v>0</v>
      </c>
    </row>
    <row r="19" spans="1:64" hidden="1">
      <c r="A19" s="61">
        <v>15</v>
      </c>
      <c r="B19" s="65" t="str">
        <f>'[6]NOI TAC 2026'!B21</f>
        <v>R369692</v>
      </c>
      <c r="C19" s="36" t="str">
        <f t="shared" si="0"/>
        <v>XEM</v>
      </c>
      <c r="D19" s="36">
        <f>'[6]NOI TAC 2026'!F21</f>
        <v>1</v>
      </c>
      <c r="E19" s="63">
        <f>'[6]NOI TAC 2026'!AL21</f>
        <v>54.753119999999996</v>
      </c>
      <c r="F19" s="61"/>
      <c r="G19" s="61"/>
      <c r="H19" s="61"/>
      <c r="I19" s="61"/>
      <c r="J19" s="61"/>
      <c r="K19" s="52"/>
      <c r="L19" s="61"/>
      <c r="M19" s="61"/>
      <c r="N19" s="61"/>
      <c r="O19" s="61"/>
      <c r="P19" s="61">
        <v>1</v>
      </c>
      <c r="Q19" s="61"/>
      <c r="R19" s="61">
        <f t="shared" si="1"/>
        <v>1</v>
      </c>
      <c r="T19" s="62">
        <f t="shared" si="2"/>
        <v>0</v>
      </c>
      <c r="U19" s="62">
        <f t="shared" si="2"/>
        <v>0</v>
      </c>
      <c r="V19" s="62">
        <f t="shared" si="2"/>
        <v>0</v>
      </c>
      <c r="W19" s="62">
        <f t="shared" si="2"/>
        <v>0</v>
      </c>
      <c r="X19" s="62">
        <f t="shared" si="2"/>
        <v>0</v>
      </c>
      <c r="Y19" s="62">
        <f t="shared" si="2"/>
        <v>0</v>
      </c>
      <c r="Z19" s="62">
        <f t="shared" si="2"/>
        <v>0</v>
      </c>
      <c r="AA19" s="62">
        <f t="shared" si="2"/>
        <v>0</v>
      </c>
      <c r="AB19" s="62">
        <f t="shared" si="2"/>
        <v>0</v>
      </c>
      <c r="AC19" s="62">
        <f t="shared" si="2"/>
        <v>0</v>
      </c>
      <c r="AD19" s="62">
        <f t="shared" si="2"/>
        <v>54.753119999999996</v>
      </c>
      <c r="AE19" s="62">
        <f t="shared" si="2"/>
        <v>0</v>
      </c>
      <c r="AG19" s="2" t="e">
        <v>#N/A</v>
      </c>
      <c r="AH19" s="293" t="e">
        <v>#N/A</v>
      </c>
      <c r="AI19" s="293" t="e">
        <v>#N/A</v>
      </c>
      <c r="AJ19" s="293" t="e">
        <v>#N/A</v>
      </c>
      <c r="AK19" s="2" t="e">
        <v>#N/A</v>
      </c>
      <c r="AL19" s="293" t="e">
        <v>#N/A</v>
      </c>
      <c r="AM19" s="61"/>
      <c r="AO19" s="232"/>
      <c r="AP19" s="237">
        <f t="shared" si="3"/>
        <v>0</v>
      </c>
      <c r="AQ19" s="237"/>
      <c r="AR19" s="237">
        <f t="shared" si="4"/>
        <v>0</v>
      </c>
      <c r="AS19" s="237"/>
      <c r="AT19" s="237">
        <f t="shared" si="5"/>
        <v>0</v>
      </c>
      <c r="AU19" s="237"/>
      <c r="AV19" s="237">
        <f t="shared" si="6"/>
        <v>0</v>
      </c>
      <c r="AW19" s="237"/>
      <c r="AX19" s="237">
        <f t="shared" si="7"/>
        <v>0</v>
      </c>
      <c r="AY19" s="237"/>
      <c r="AZ19" s="237">
        <f t="shared" si="8"/>
        <v>0</v>
      </c>
      <c r="BA19" s="237"/>
      <c r="BB19" s="76">
        <f t="shared" si="9"/>
        <v>0</v>
      </c>
      <c r="BC19" s="237"/>
      <c r="BD19" s="237">
        <f t="shared" si="10"/>
        <v>0</v>
      </c>
      <c r="BE19" s="237"/>
      <c r="BF19" s="237">
        <f t="shared" si="11"/>
        <v>0</v>
      </c>
      <c r="BG19" s="237"/>
      <c r="BH19" s="237">
        <f t="shared" si="12"/>
        <v>0</v>
      </c>
      <c r="BI19" s="237"/>
      <c r="BJ19" s="237">
        <f t="shared" si="13"/>
        <v>0</v>
      </c>
      <c r="BK19" s="237"/>
      <c r="BL19" s="237">
        <f t="shared" si="14"/>
        <v>0</v>
      </c>
    </row>
    <row r="20" spans="1:64" hidden="1">
      <c r="A20" s="61">
        <v>16</v>
      </c>
      <c r="B20" s="65" t="str">
        <f>'[6]NOI TAC 2026'!B22</f>
        <v>R337601</v>
      </c>
      <c r="C20" s="36" t="str">
        <f t="shared" si="0"/>
        <v>XEM</v>
      </c>
      <c r="D20" s="36">
        <f>'[6]NOI TAC 2026'!F22</f>
        <v>1</v>
      </c>
      <c r="E20" s="63">
        <f>'[6]NOI TAC 2026'!AL22</f>
        <v>86.264280000000014</v>
      </c>
      <c r="F20" s="61"/>
      <c r="G20" s="61"/>
      <c r="H20" s="61"/>
      <c r="I20" s="61"/>
      <c r="J20" s="61"/>
      <c r="K20" s="52"/>
      <c r="L20" s="61"/>
      <c r="M20" s="61"/>
      <c r="N20" s="61"/>
      <c r="O20" s="61"/>
      <c r="P20" s="61"/>
      <c r="Q20" s="61">
        <v>1</v>
      </c>
      <c r="R20" s="61">
        <f t="shared" si="1"/>
        <v>1</v>
      </c>
      <c r="T20" s="62">
        <f t="shared" si="2"/>
        <v>0</v>
      </c>
      <c r="U20" s="62">
        <f t="shared" si="2"/>
        <v>0</v>
      </c>
      <c r="V20" s="62">
        <f t="shared" si="2"/>
        <v>0</v>
      </c>
      <c r="W20" s="62">
        <f t="shared" si="2"/>
        <v>0</v>
      </c>
      <c r="X20" s="62">
        <f t="shared" si="2"/>
        <v>0</v>
      </c>
      <c r="Y20" s="62">
        <f t="shared" si="2"/>
        <v>0</v>
      </c>
      <c r="Z20" s="62">
        <f t="shared" si="2"/>
        <v>0</v>
      </c>
      <c r="AA20" s="62">
        <f t="shared" si="2"/>
        <v>0</v>
      </c>
      <c r="AB20" s="62">
        <f t="shared" si="2"/>
        <v>0</v>
      </c>
      <c r="AC20" s="62">
        <f t="shared" si="2"/>
        <v>0</v>
      </c>
      <c r="AD20" s="62">
        <f t="shared" si="2"/>
        <v>0</v>
      </c>
      <c r="AE20" s="62">
        <f t="shared" si="2"/>
        <v>86.264280000000014</v>
      </c>
      <c r="AG20" s="2" t="e">
        <v>#N/A</v>
      </c>
      <c r="AH20" s="293" t="e">
        <v>#N/A</v>
      </c>
      <c r="AI20" s="293" t="e">
        <v>#N/A</v>
      </c>
      <c r="AJ20" s="293" t="e">
        <v>#N/A</v>
      </c>
      <c r="AK20" s="2" t="e">
        <v>#N/A</v>
      </c>
      <c r="AL20" s="293" t="e">
        <v>#N/A</v>
      </c>
      <c r="AM20" s="61"/>
      <c r="AO20" s="232"/>
      <c r="AP20" s="237">
        <f t="shared" si="3"/>
        <v>0</v>
      </c>
      <c r="AQ20" s="237"/>
      <c r="AR20" s="237">
        <f t="shared" si="4"/>
        <v>0</v>
      </c>
      <c r="AS20" s="237"/>
      <c r="AT20" s="237">
        <f t="shared" si="5"/>
        <v>0</v>
      </c>
      <c r="AU20" s="237"/>
      <c r="AV20" s="237">
        <f t="shared" si="6"/>
        <v>0</v>
      </c>
      <c r="AW20" s="237"/>
      <c r="AX20" s="237">
        <f t="shared" si="7"/>
        <v>0</v>
      </c>
      <c r="AY20" s="237"/>
      <c r="AZ20" s="237">
        <f t="shared" si="8"/>
        <v>0</v>
      </c>
      <c r="BA20" s="237"/>
      <c r="BB20" s="76">
        <f t="shared" si="9"/>
        <v>0</v>
      </c>
      <c r="BC20" s="237"/>
      <c r="BD20" s="237">
        <f t="shared" si="10"/>
        <v>0</v>
      </c>
      <c r="BE20" s="237"/>
      <c r="BF20" s="237">
        <f t="shared" si="11"/>
        <v>0</v>
      </c>
      <c r="BG20" s="237"/>
      <c r="BH20" s="237">
        <f t="shared" si="12"/>
        <v>0</v>
      </c>
      <c r="BI20" s="237"/>
      <c r="BJ20" s="237">
        <f t="shared" si="13"/>
        <v>0</v>
      </c>
      <c r="BK20" s="237"/>
      <c r="BL20" s="237">
        <f t="shared" si="14"/>
        <v>0</v>
      </c>
    </row>
    <row r="21" spans="1:64" hidden="1">
      <c r="A21" s="61">
        <v>17</v>
      </c>
      <c r="B21" s="65" t="str">
        <f>'[6]NOI TAC 2026'!B23</f>
        <v>R009210</v>
      </c>
      <c r="C21" s="36" t="str">
        <f t="shared" si="0"/>
        <v>XEM</v>
      </c>
      <c r="D21" s="36">
        <f>'[6]NOI TAC 2026'!F23</f>
        <v>1</v>
      </c>
      <c r="E21" s="63">
        <f>'[6]NOI TAC 2026'!AL23</f>
        <v>137.97264000000001</v>
      </c>
      <c r="F21" s="61">
        <v>1</v>
      </c>
      <c r="G21" s="61"/>
      <c r="H21" s="61"/>
      <c r="I21" s="61"/>
      <c r="J21" s="61"/>
      <c r="K21" s="52"/>
      <c r="L21" s="61"/>
      <c r="M21" s="61"/>
      <c r="N21" s="61"/>
      <c r="O21" s="61"/>
      <c r="P21" s="61"/>
      <c r="Q21" s="61"/>
      <c r="R21" s="61">
        <f t="shared" si="1"/>
        <v>1</v>
      </c>
      <c r="T21" s="62">
        <f t="shared" si="2"/>
        <v>137.97264000000001</v>
      </c>
      <c r="U21" s="62">
        <f t="shared" si="2"/>
        <v>0</v>
      </c>
      <c r="V21" s="62">
        <f t="shared" si="2"/>
        <v>0</v>
      </c>
      <c r="W21" s="62">
        <f t="shared" si="2"/>
        <v>0</v>
      </c>
      <c r="X21" s="62">
        <f t="shared" si="2"/>
        <v>0</v>
      </c>
      <c r="Y21" s="62">
        <f t="shared" si="2"/>
        <v>0</v>
      </c>
      <c r="Z21" s="62">
        <f t="shared" si="2"/>
        <v>0</v>
      </c>
      <c r="AA21" s="62">
        <f t="shared" si="2"/>
        <v>0</v>
      </c>
      <c r="AB21" s="62">
        <f t="shared" si="2"/>
        <v>0</v>
      </c>
      <c r="AC21" s="62">
        <f t="shared" si="2"/>
        <v>0</v>
      </c>
      <c r="AD21" s="62">
        <f t="shared" si="2"/>
        <v>0</v>
      </c>
      <c r="AE21" s="62">
        <f t="shared" si="2"/>
        <v>0</v>
      </c>
      <c r="AG21" s="2" t="e">
        <v>#N/A</v>
      </c>
      <c r="AH21" s="293" t="e">
        <v>#N/A</v>
      </c>
      <c r="AI21" s="293" t="e">
        <v>#N/A</v>
      </c>
      <c r="AJ21" s="293" t="e">
        <v>#N/A</v>
      </c>
      <c r="AK21" s="2" t="e">
        <v>#N/A</v>
      </c>
      <c r="AL21" s="293" t="e">
        <v>#N/A</v>
      </c>
      <c r="AM21" s="61"/>
      <c r="AO21" s="232"/>
      <c r="AP21" s="237">
        <f t="shared" si="3"/>
        <v>0</v>
      </c>
      <c r="AQ21" s="237"/>
      <c r="AR21" s="237">
        <f t="shared" si="4"/>
        <v>0</v>
      </c>
      <c r="AS21" s="237"/>
      <c r="AT21" s="237">
        <f t="shared" si="5"/>
        <v>0</v>
      </c>
      <c r="AU21" s="237"/>
      <c r="AV21" s="237">
        <f t="shared" si="6"/>
        <v>0</v>
      </c>
      <c r="AW21" s="237"/>
      <c r="AX21" s="237">
        <f t="shared" si="7"/>
        <v>0</v>
      </c>
      <c r="AY21" s="237"/>
      <c r="AZ21" s="237">
        <f t="shared" si="8"/>
        <v>0</v>
      </c>
      <c r="BA21" s="237"/>
      <c r="BB21" s="76">
        <f t="shared" si="9"/>
        <v>0</v>
      </c>
      <c r="BC21" s="237"/>
      <c r="BD21" s="237">
        <f t="shared" si="10"/>
        <v>0</v>
      </c>
      <c r="BE21" s="237"/>
      <c r="BF21" s="237">
        <f t="shared" si="11"/>
        <v>0</v>
      </c>
      <c r="BG21" s="237"/>
      <c r="BH21" s="237">
        <f t="shared" si="12"/>
        <v>0</v>
      </c>
      <c r="BI21" s="237"/>
      <c r="BJ21" s="237">
        <f t="shared" si="13"/>
        <v>0</v>
      </c>
      <c r="BK21" s="237"/>
      <c r="BL21" s="237">
        <f t="shared" si="14"/>
        <v>0</v>
      </c>
    </row>
    <row r="22" spans="1:64" hidden="1">
      <c r="A22" s="61">
        <v>18</v>
      </c>
      <c r="B22" s="65" t="str">
        <f>'[6]NOI TAC 2026'!B24</f>
        <v>S210886</v>
      </c>
      <c r="C22" s="36" t="str">
        <f t="shared" si="0"/>
        <v>XEM</v>
      </c>
      <c r="D22" s="36">
        <f>'[6]NOI TAC 2026'!F24</f>
        <v>1</v>
      </c>
      <c r="E22" s="63">
        <f>'[6]NOI TAC 2026'!AL24</f>
        <v>126.60041423076922</v>
      </c>
      <c r="F22" s="61"/>
      <c r="G22" s="61"/>
      <c r="H22" s="61">
        <v>1</v>
      </c>
      <c r="I22" s="61"/>
      <c r="J22" s="61"/>
      <c r="K22" s="52"/>
      <c r="L22" s="61"/>
      <c r="M22" s="61"/>
      <c r="N22" s="61"/>
      <c r="O22" s="61"/>
      <c r="P22" s="61"/>
      <c r="Q22" s="61"/>
      <c r="R22" s="61">
        <f t="shared" si="1"/>
        <v>1</v>
      </c>
      <c r="T22" s="62">
        <f t="shared" si="2"/>
        <v>0</v>
      </c>
      <c r="U22" s="62">
        <f t="shared" si="2"/>
        <v>0</v>
      </c>
      <c r="V22" s="62">
        <f t="shared" si="2"/>
        <v>126.60041423076922</v>
      </c>
      <c r="W22" s="62">
        <f t="shared" si="2"/>
        <v>0</v>
      </c>
      <c r="X22" s="62">
        <f t="shared" si="2"/>
        <v>0</v>
      </c>
      <c r="Y22" s="62">
        <f t="shared" si="2"/>
        <v>0</v>
      </c>
      <c r="Z22" s="62">
        <f t="shared" si="2"/>
        <v>0</v>
      </c>
      <c r="AA22" s="62">
        <f t="shared" si="2"/>
        <v>0</v>
      </c>
      <c r="AB22" s="62">
        <f t="shared" si="2"/>
        <v>0</v>
      </c>
      <c r="AC22" s="62">
        <f t="shared" si="2"/>
        <v>0</v>
      </c>
      <c r="AD22" s="62">
        <f t="shared" si="2"/>
        <v>0</v>
      </c>
      <c r="AE22" s="62">
        <f t="shared" si="2"/>
        <v>0</v>
      </c>
      <c r="AG22" s="2" t="e">
        <v>#N/A</v>
      </c>
      <c r="AH22" s="293" t="e">
        <v>#N/A</v>
      </c>
      <c r="AI22" s="293" t="e">
        <v>#N/A</v>
      </c>
      <c r="AJ22" s="293" t="e">
        <v>#N/A</v>
      </c>
      <c r="AK22" s="2" t="e">
        <v>#N/A</v>
      </c>
      <c r="AL22" s="293" t="e">
        <v>#N/A</v>
      </c>
      <c r="AM22" s="61"/>
      <c r="AO22" s="232"/>
      <c r="AP22" s="237">
        <f t="shared" si="3"/>
        <v>0</v>
      </c>
      <c r="AQ22" s="237"/>
      <c r="AR22" s="237">
        <f t="shared" si="4"/>
        <v>0</v>
      </c>
      <c r="AS22" s="237"/>
      <c r="AT22" s="237">
        <f t="shared" si="5"/>
        <v>0</v>
      </c>
      <c r="AU22" s="237"/>
      <c r="AV22" s="237">
        <f t="shared" si="6"/>
        <v>0</v>
      </c>
      <c r="AW22" s="237"/>
      <c r="AX22" s="237">
        <f t="shared" si="7"/>
        <v>0</v>
      </c>
      <c r="AY22" s="237"/>
      <c r="AZ22" s="237">
        <f t="shared" si="8"/>
        <v>0</v>
      </c>
      <c r="BA22" s="237"/>
      <c r="BB22" s="76">
        <f t="shared" si="9"/>
        <v>0</v>
      </c>
      <c r="BC22" s="237"/>
      <c r="BD22" s="237">
        <f t="shared" si="10"/>
        <v>0</v>
      </c>
      <c r="BE22" s="237"/>
      <c r="BF22" s="237">
        <f t="shared" si="11"/>
        <v>0</v>
      </c>
      <c r="BG22" s="237"/>
      <c r="BH22" s="237">
        <f t="shared" si="12"/>
        <v>0</v>
      </c>
      <c r="BI22" s="237"/>
      <c r="BJ22" s="237">
        <f t="shared" si="13"/>
        <v>0</v>
      </c>
      <c r="BK22" s="237"/>
      <c r="BL22" s="237">
        <f t="shared" si="14"/>
        <v>0</v>
      </c>
    </row>
    <row r="23" spans="1:64" hidden="1">
      <c r="A23" s="61">
        <v>19</v>
      </c>
      <c r="B23" s="65" t="str">
        <f>'[6]NOI TAC 2026'!B25</f>
        <v>R061781</v>
      </c>
      <c r="C23" s="36" t="str">
        <f t="shared" si="0"/>
        <v>XEM</v>
      </c>
      <c r="D23" s="36">
        <f>'[6]NOI TAC 2026'!F25</f>
        <v>1</v>
      </c>
      <c r="E23" s="63">
        <f>'[6]NOI TAC 2026'!AL25</f>
        <v>166.59895999999998</v>
      </c>
      <c r="F23" s="61"/>
      <c r="G23" s="61"/>
      <c r="H23" s="61"/>
      <c r="I23" s="61">
        <v>1</v>
      </c>
      <c r="J23" s="61"/>
      <c r="K23" s="52"/>
      <c r="L23" s="61"/>
      <c r="M23" s="61"/>
      <c r="N23" s="61"/>
      <c r="O23" s="61"/>
      <c r="P23" s="61"/>
      <c r="Q23" s="61"/>
      <c r="R23" s="61">
        <f t="shared" si="1"/>
        <v>1</v>
      </c>
      <c r="T23" s="62">
        <f t="shared" si="2"/>
        <v>0</v>
      </c>
      <c r="U23" s="62">
        <f t="shared" si="2"/>
        <v>0</v>
      </c>
      <c r="V23" s="62">
        <f t="shared" si="2"/>
        <v>0</v>
      </c>
      <c r="W23" s="62">
        <f t="shared" si="2"/>
        <v>166.59895999999998</v>
      </c>
      <c r="X23" s="62">
        <f t="shared" si="2"/>
        <v>0</v>
      </c>
      <c r="Y23" s="62">
        <f t="shared" si="2"/>
        <v>0</v>
      </c>
      <c r="Z23" s="62">
        <f t="shared" si="2"/>
        <v>0</v>
      </c>
      <c r="AA23" s="62">
        <f t="shared" si="2"/>
        <v>0</v>
      </c>
      <c r="AB23" s="62">
        <f t="shared" si="2"/>
        <v>0</v>
      </c>
      <c r="AC23" s="62">
        <f t="shared" si="2"/>
        <v>0</v>
      </c>
      <c r="AD23" s="62">
        <f t="shared" si="2"/>
        <v>0</v>
      </c>
      <c r="AE23" s="62">
        <f t="shared" si="2"/>
        <v>0</v>
      </c>
      <c r="AG23" s="2" t="e">
        <v>#N/A</v>
      </c>
      <c r="AH23" s="293" t="e">
        <v>#N/A</v>
      </c>
      <c r="AI23" s="293" t="e">
        <v>#N/A</v>
      </c>
      <c r="AJ23" s="293" t="e">
        <v>#N/A</v>
      </c>
      <c r="AK23" s="2" t="e">
        <v>#N/A</v>
      </c>
      <c r="AL23" s="293" t="e">
        <v>#N/A</v>
      </c>
      <c r="AM23" s="61"/>
      <c r="AO23" s="232"/>
      <c r="AP23" s="237">
        <f t="shared" si="3"/>
        <v>0</v>
      </c>
      <c r="AQ23" s="237"/>
      <c r="AR23" s="237">
        <f t="shared" si="4"/>
        <v>0</v>
      </c>
      <c r="AS23" s="237"/>
      <c r="AT23" s="237">
        <f t="shared" si="5"/>
        <v>0</v>
      </c>
      <c r="AU23" s="237"/>
      <c r="AV23" s="237">
        <f t="shared" si="6"/>
        <v>0</v>
      </c>
      <c r="AW23" s="237"/>
      <c r="AX23" s="237">
        <f t="shared" si="7"/>
        <v>0</v>
      </c>
      <c r="AY23" s="237"/>
      <c r="AZ23" s="237">
        <f t="shared" si="8"/>
        <v>0</v>
      </c>
      <c r="BA23" s="237"/>
      <c r="BB23" s="76">
        <f t="shared" si="9"/>
        <v>0</v>
      </c>
      <c r="BC23" s="237"/>
      <c r="BD23" s="237">
        <f t="shared" si="10"/>
        <v>0</v>
      </c>
      <c r="BE23" s="237"/>
      <c r="BF23" s="237">
        <f t="shared" si="11"/>
        <v>0</v>
      </c>
      <c r="BG23" s="237"/>
      <c r="BH23" s="237">
        <f t="shared" si="12"/>
        <v>0</v>
      </c>
      <c r="BI23" s="237"/>
      <c r="BJ23" s="237">
        <f t="shared" si="13"/>
        <v>0</v>
      </c>
      <c r="BK23" s="237"/>
      <c r="BL23" s="237">
        <f t="shared" si="14"/>
        <v>0</v>
      </c>
    </row>
    <row r="24" spans="1:64" hidden="1">
      <c r="A24" s="61">
        <v>20</v>
      </c>
      <c r="B24" s="65" t="str">
        <f>'[6]NOI TAC 2026'!B26</f>
        <v>R021019</v>
      </c>
      <c r="C24" s="36" t="str">
        <f t="shared" si="0"/>
        <v>XEM</v>
      </c>
      <c r="D24" s="36">
        <f>'[6]NOI TAC 2026'!F26</f>
        <v>5</v>
      </c>
      <c r="E24" s="63">
        <f>'[6]NOI TAC 2026'!AL26</f>
        <v>137.70420192307691</v>
      </c>
      <c r="F24" s="61"/>
      <c r="G24" s="61">
        <v>1</v>
      </c>
      <c r="H24" s="61"/>
      <c r="I24" s="61"/>
      <c r="J24" s="61">
        <v>1</v>
      </c>
      <c r="K24" s="52"/>
      <c r="L24" s="61"/>
      <c r="M24" s="61">
        <v>1</v>
      </c>
      <c r="N24" s="61"/>
      <c r="O24" s="61">
        <v>1</v>
      </c>
      <c r="P24" s="61"/>
      <c r="Q24" s="61">
        <v>1</v>
      </c>
      <c r="R24" s="61">
        <f t="shared" si="1"/>
        <v>5</v>
      </c>
      <c r="T24" s="62">
        <f t="shared" si="2"/>
        <v>0</v>
      </c>
      <c r="U24" s="62">
        <f t="shared" si="2"/>
        <v>137.70420192307691</v>
      </c>
      <c r="V24" s="62">
        <f t="shared" si="2"/>
        <v>0</v>
      </c>
      <c r="W24" s="62">
        <f t="shared" si="2"/>
        <v>0</v>
      </c>
      <c r="X24" s="62">
        <f t="shared" si="2"/>
        <v>137.70420192307691</v>
      </c>
      <c r="Y24" s="62">
        <f t="shared" si="2"/>
        <v>0</v>
      </c>
      <c r="Z24" s="62">
        <f t="shared" si="2"/>
        <v>0</v>
      </c>
      <c r="AA24" s="62">
        <f t="shared" si="2"/>
        <v>137.70420192307691</v>
      </c>
      <c r="AB24" s="62">
        <f t="shared" si="2"/>
        <v>0</v>
      </c>
      <c r="AC24" s="62">
        <f t="shared" si="2"/>
        <v>137.70420192307691</v>
      </c>
      <c r="AD24" s="62">
        <f t="shared" si="2"/>
        <v>0</v>
      </c>
      <c r="AE24" s="62">
        <f t="shared" si="2"/>
        <v>137.70420192307691</v>
      </c>
      <c r="AG24" s="2" t="e">
        <v>#N/A</v>
      </c>
      <c r="AH24" s="293" t="e">
        <v>#N/A</v>
      </c>
      <c r="AI24" s="293" t="e">
        <v>#N/A</v>
      </c>
      <c r="AJ24" s="293" t="e">
        <v>#N/A</v>
      </c>
      <c r="AK24" s="2" t="e">
        <v>#N/A</v>
      </c>
      <c r="AL24" s="293" t="e">
        <v>#N/A</v>
      </c>
      <c r="AM24" s="61"/>
      <c r="AO24" s="232"/>
      <c r="AP24" s="237">
        <f t="shared" si="3"/>
        <v>0</v>
      </c>
      <c r="AQ24" s="237"/>
      <c r="AR24" s="237">
        <f t="shared" si="4"/>
        <v>0</v>
      </c>
      <c r="AS24" s="237"/>
      <c r="AT24" s="237">
        <f t="shared" si="5"/>
        <v>0</v>
      </c>
      <c r="AU24" s="237"/>
      <c r="AV24" s="237">
        <f t="shared" si="6"/>
        <v>0</v>
      </c>
      <c r="AW24" s="237"/>
      <c r="AX24" s="237">
        <f t="shared" si="7"/>
        <v>0</v>
      </c>
      <c r="AY24" s="237"/>
      <c r="AZ24" s="237">
        <f t="shared" si="8"/>
        <v>0</v>
      </c>
      <c r="BA24" s="237"/>
      <c r="BB24" s="76">
        <f t="shared" si="9"/>
        <v>0</v>
      </c>
      <c r="BC24" s="237"/>
      <c r="BD24" s="237">
        <f t="shared" si="10"/>
        <v>0</v>
      </c>
      <c r="BE24" s="237"/>
      <c r="BF24" s="237">
        <f t="shared" si="11"/>
        <v>0</v>
      </c>
      <c r="BG24" s="237"/>
      <c r="BH24" s="237">
        <f t="shared" si="12"/>
        <v>0</v>
      </c>
      <c r="BI24" s="237"/>
      <c r="BJ24" s="237">
        <f t="shared" si="13"/>
        <v>0</v>
      </c>
      <c r="BK24" s="237"/>
      <c r="BL24" s="237">
        <f t="shared" si="14"/>
        <v>0</v>
      </c>
    </row>
    <row r="25" spans="1:64" hidden="1">
      <c r="A25" s="61">
        <v>21</v>
      </c>
      <c r="B25" s="65" t="str">
        <f>'[6]NOI TAC 2026'!B27</f>
        <v>R029254</v>
      </c>
      <c r="C25" s="36" t="str">
        <f t="shared" si="0"/>
        <v>XEM</v>
      </c>
      <c r="D25" s="36">
        <f>'[6]NOI TAC 2026'!F27</f>
        <v>1</v>
      </c>
      <c r="E25" s="63">
        <f>'[6]NOI TAC 2026'!AL27</f>
        <v>277.48540000000003</v>
      </c>
      <c r="F25" s="61"/>
      <c r="G25" s="61"/>
      <c r="H25" s="61">
        <v>1</v>
      </c>
      <c r="I25" s="61"/>
      <c r="J25" s="61"/>
      <c r="K25" s="52"/>
      <c r="L25" s="61"/>
      <c r="M25" s="61"/>
      <c r="N25" s="61"/>
      <c r="O25" s="61"/>
      <c r="P25" s="61"/>
      <c r="Q25" s="61"/>
      <c r="R25" s="61">
        <f t="shared" si="1"/>
        <v>1</v>
      </c>
      <c r="T25" s="62">
        <f t="shared" si="2"/>
        <v>0</v>
      </c>
      <c r="U25" s="62">
        <f t="shared" si="2"/>
        <v>0</v>
      </c>
      <c r="V25" s="62">
        <f t="shared" si="2"/>
        <v>277.48540000000003</v>
      </c>
      <c r="W25" s="62">
        <f t="shared" si="2"/>
        <v>0</v>
      </c>
      <c r="X25" s="62">
        <f t="shared" si="2"/>
        <v>0</v>
      </c>
      <c r="Y25" s="62">
        <f t="shared" si="2"/>
        <v>0</v>
      </c>
      <c r="Z25" s="62">
        <f t="shared" si="2"/>
        <v>0</v>
      </c>
      <c r="AA25" s="62">
        <f t="shared" si="2"/>
        <v>0</v>
      </c>
      <c r="AB25" s="62">
        <f t="shared" si="2"/>
        <v>0</v>
      </c>
      <c r="AC25" s="62">
        <f t="shared" si="2"/>
        <v>0</v>
      </c>
      <c r="AD25" s="62">
        <f t="shared" si="2"/>
        <v>0</v>
      </c>
      <c r="AE25" s="62">
        <f t="shared" si="2"/>
        <v>0</v>
      </c>
      <c r="AG25" s="2" t="e">
        <v>#N/A</v>
      </c>
      <c r="AH25" s="293" t="e">
        <v>#N/A</v>
      </c>
      <c r="AI25" s="293" t="e">
        <v>#N/A</v>
      </c>
      <c r="AJ25" s="293" t="e">
        <v>#N/A</v>
      </c>
      <c r="AK25" s="2" t="e">
        <v>#N/A</v>
      </c>
      <c r="AL25" s="293" t="e">
        <v>#N/A</v>
      </c>
      <c r="AM25" s="61"/>
      <c r="AO25" s="232"/>
      <c r="AP25" s="237">
        <f t="shared" si="3"/>
        <v>0</v>
      </c>
      <c r="AQ25" s="237"/>
      <c r="AR25" s="237">
        <f t="shared" si="4"/>
        <v>0</v>
      </c>
      <c r="AS25" s="237"/>
      <c r="AT25" s="237">
        <f t="shared" si="5"/>
        <v>0</v>
      </c>
      <c r="AU25" s="237"/>
      <c r="AV25" s="237">
        <f t="shared" si="6"/>
        <v>0</v>
      </c>
      <c r="AW25" s="237"/>
      <c r="AX25" s="237">
        <f t="shared" si="7"/>
        <v>0</v>
      </c>
      <c r="AY25" s="237"/>
      <c r="AZ25" s="237">
        <f t="shared" si="8"/>
        <v>0</v>
      </c>
      <c r="BA25" s="237"/>
      <c r="BB25" s="76">
        <f t="shared" si="9"/>
        <v>0</v>
      </c>
      <c r="BC25" s="237"/>
      <c r="BD25" s="237">
        <f t="shared" si="10"/>
        <v>0</v>
      </c>
      <c r="BE25" s="237"/>
      <c r="BF25" s="237">
        <f t="shared" si="11"/>
        <v>0</v>
      </c>
      <c r="BG25" s="237"/>
      <c r="BH25" s="237">
        <f t="shared" si="12"/>
        <v>0</v>
      </c>
      <c r="BI25" s="237"/>
      <c r="BJ25" s="237">
        <f t="shared" si="13"/>
        <v>0</v>
      </c>
      <c r="BK25" s="237"/>
      <c r="BL25" s="237">
        <f t="shared" si="14"/>
        <v>0</v>
      </c>
    </row>
    <row r="26" spans="1:64" hidden="1">
      <c r="A26" s="61">
        <v>22</v>
      </c>
      <c r="B26" s="65" t="str">
        <f>'[6]NOI TAC 2026'!B28</f>
        <v>S919918</v>
      </c>
      <c r="C26" s="36" t="str">
        <f t="shared" si="0"/>
        <v>XEM</v>
      </c>
      <c r="D26" s="36">
        <f>'[6]NOI TAC 2026'!F28</f>
        <v>1</v>
      </c>
      <c r="E26" s="63">
        <f>'[6]NOI TAC 2026'!AL28</f>
        <v>340.15280000000001</v>
      </c>
      <c r="F26" s="61"/>
      <c r="G26" s="61"/>
      <c r="H26" s="61"/>
      <c r="I26" s="61">
        <v>1</v>
      </c>
      <c r="J26" s="61"/>
      <c r="K26" s="52"/>
      <c r="L26" s="61"/>
      <c r="M26" s="61"/>
      <c r="N26" s="61"/>
      <c r="O26" s="61"/>
      <c r="P26" s="61"/>
      <c r="Q26" s="61"/>
      <c r="R26" s="61">
        <f t="shared" si="1"/>
        <v>1</v>
      </c>
      <c r="T26" s="62">
        <f t="shared" si="2"/>
        <v>0</v>
      </c>
      <c r="U26" s="62">
        <f t="shared" si="2"/>
        <v>0</v>
      </c>
      <c r="V26" s="62">
        <f t="shared" si="2"/>
        <v>0</v>
      </c>
      <c r="W26" s="62">
        <f t="shared" ref="W26:AE49" si="15">$E26*I26</f>
        <v>340.15280000000001</v>
      </c>
      <c r="X26" s="62">
        <f t="shared" si="15"/>
        <v>0</v>
      </c>
      <c r="Y26" s="62">
        <f t="shared" si="15"/>
        <v>0</v>
      </c>
      <c r="Z26" s="62">
        <f t="shared" si="15"/>
        <v>0</v>
      </c>
      <c r="AA26" s="62">
        <f t="shared" si="15"/>
        <v>0</v>
      </c>
      <c r="AB26" s="62">
        <f t="shared" si="15"/>
        <v>0</v>
      </c>
      <c r="AC26" s="62">
        <f t="shared" si="15"/>
        <v>0</v>
      </c>
      <c r="AD26" s="62">
        <f t="shared" si="15"/>
        <v>0</v>
      </c>
      <c r="AE26" s="62">
        <f t="shared" si="15"/>
        <v>0</v>
      </c>
      <c r="AG26" s="2" t="e">
        <v>#N/A</v>
      </c>
      <c r="AH26" s="293" t="e">
        <v>#N/A</v>
      </c>
      <c r="AI26" s="293" t="e">
        <v>#N/A</v>
      </c>
      <c r="AJ26" s="293" t="e">
        <v>#N/A</v>
      </c>
      <c r="AK26" s="2" t="e">
        <v>#N/A</v>
      </c>
      <c r="AL26" s="293" t="e">
        <v>#N/A</v>
      </c>
      <c r="AM26" s="61"/>
      <c r="AO26" s="232"/>
      <c r="AP26" s="237">
        <f t="shared" si="3"/>
        <v>0</v>
      </c>
      <c r="AQ26" s="237"/>
      <c r="AR26" s="237">
        <f t="shared" si="4"/>
        <v>0</v>
      </c>
      <c r="AS26" s="237"/>
      <c r="AT26" s="237">
        <f t="shared" si="5"/>
        <v>0</v>
      </c>
      <c r="AU26" s="237"/>
      <c r="AV26" s="237">
        <f t="shared" si="6"/>
        <v>0</v>
      </c>
      <c r="AW26" s="237"/>
      <c r="AX26" s="237">
        <f t="shared" si="7"/>
        <v>0</v>
      </c>
      <c r="AY26" s="237"/>
      <c r="AZ26" s="237">
        <f t="shared" si="8"/>
        <v>0</v>
      </c>
      <c r="BA26" s="237"/>
      <c r="BB26" s="76">
        <f t="shared" si="9"/>
        <v>0</v>
      </c>
      <c r="BC26" s="237"/>
      <c r="BD26" s="237">
        <f t="shared" si="10"/>
        <v>0</v>
      </c>
      <c r="BE26" s="237"/>
      <c r="BF26" s="237">
        <f t="shared" si="11"/>
        <v>0</v>
      </c>
      <c r="BG26" s="237"/>
      <c r="BH26" s="237">
        <f t="shared" si="12"/>
        <v>0</v>
      </c>
      <c r="BI26" s="237"/>
      <c r="BJ26" s="237">
        <f t="shared" si="13"/>
        <v>0</v>
      </c>
      <c r="BK26" s="237"/>
      <c r="BL26" s="237">
        <f t="shared" si="14"/>
        <v>0</v>
      </c>
    </row>
    <row r="27" spans="1:64" s="66" customFormat="1" hidden="1">
      <c r="A27" s="61">
        <v>23</v>
      </c>
      <c r="B27" s="65" t="str">
        <f>'[6]NOI TAC 2026'!B29</f>
        <v>S814330</v>
      </c>
      <c r="C27" s="36" t="str">
        <f t="shared" si="0"/>
        <v>XEM</v>
      </c>
      <c r="D27" s="36">
        <f>'[6]NOI TAC 2026'!F29</f>
        <v>1</v>
      </c>
      <c r="E27" s="63">
        <f>'[6]NOI TAC 2026'!AL29</f>
        <v>388.68711999999999</v>
      </c>
      <c r="F27" s="67"/>
      <c r="G27" s="67"/>
      <c r="H27" s="67"/>
      <c r="I27" s="67"/>
      <c r="J27" s="67">
        <v>1</v>
      </c>
      <c r="K27" s="68"/>
      <c r="L27" s="67"/>
      <c r="M27" s="67"/>
      <c r="N27" s="67"/>
      <c r="O27" s="67"/>
      <c r="P27" s="67"/>
      <c r="Q27" s="67"/>
      <c r="R27" s="61">
        <f t="shared" si="1"/>
        <v>1</v>
      </c>
      <c r="T27" s="62">
        <f t="shared" ref="T27:AE65" si="16">$E27*F27</f>
        <v>0</v>
      </c>
      <c r="U27" s="62">
        <f t="shared" si="16"/>
        <v>0</v>
      </c>
      <c r="V27" s="242">
        <f t="shared" si="16"/>
        <v>0</v>
      </c>
      <c r="W27" s="242">
        <f t="shared" si="15"/>
        <v>0</v>
      </c>
      <c r="X27" s="242">
        <f t="shared" si="15"/>
        <v>388.68711999999999</v>
      </c>
      <c r="Y27" s="242">
        <f t="shared" si="15"/>
        <v>0</v>
      </c>
      <c r="Z27" s="242">
        <f t="shared" si="15"/>
        <v>0</v>
      </c>
      <c r="AA27" s="242">
        <f t="shared" si="15"/>
        <v>0</v>
      </c>
      <c r="AB27" s="242">
        <f t="shared" si="15"/>
        <v>0</v>
      </c>
      <c r="AC27" s="242">
        <f t="shared" si="15"/>
        <v>0</v>
      </c>
      <c r="AD27" s="242">
        <f t="shared" si="15"/>
        <v>0</v>
      </c>
      <c r="AE27" s="242">
        <f t="shared" si="15"/>
        <v>0</v>
      </c>
      <c r="AF27" s="193"/>
      <c r="AG27" s="2" t="e">
        <v>#N/A</v>
      </c>
      <c r="AH27" s="293" t="e">
        <v>#N/A</v>
      </c>
      <c r="AI27" s="293" t="e">
        <v>#N/A</v>
      </c>
      <c r="AJ27" s="293" t="e">
        <v>#N/A</v>
      </c>
      <c r="AK27" s="2" t="e">
        <v>#N/A</v>
      </c>
      <c r="AL27" s="293" t="e">
        <v>#N/A</v>
      </c>
      <c r="AM27" s="67"/>
      <c r="AO27" s="232"/>
      <c r="AP27" s="237">
        <f t="shared" si="3"/>
        <v>0</v>
      </c>
      <c r="AQ27" s="237"/>
      <c r="AR27" s="237">
        <f t="shared" si="4"/>
        <v>0</v>
      </c>
      <c r="AS27" s="237"/>
      <c r="AT27" s="237">
        <f t="shared" si="5"/>
        <v>0</v>
      </c>
      <c r="AU27" s="237"/>
      <c r="AV27" s="237">
        <f t="shared" si="6"/>
        <v>0</v>
      </c>
      <c r="AW27" s="237"/>
      <c r="AX27" s="237">
        <f t="shared" si="7"/>
        <v>0</v>
      </c>
      <c r="AY27" s="237"/>
      <c r="AZ27" s="237">
        <f t="shared" si="8"/>
        <v>0</v>
      </c>
      <c r="BA27" s="237"/>
      <c r="BB27" s="76">
        <f t="shared" si="9"/>
        <v>0</v>
      </c>
      <c r="BC27" s="237"/>
      <c r="BD27" s="237">
        <f t="shared" si="10"/>
        <v>0</v>
      </c>
      <c r="BE27" s="237"/>
      <c r="BF27" s="237">
        <f t="shared" si="11"/>
        <v>0</v>
      </c>
      <c r="BG27" s="237"/>
      <c r="BH27" s="237">
        <f t="shared" si="12"/>
        <v>0</v>
      </c>
      <c r="BI27" s="237"/>
      <c r="BJ27" s="237">
        <f t="shared" si="13"/>
        <v>0</v>
      </c>
      <c r="BK27" s="237"/>
      <c r="BL27" s="237">
        <f t="shared" si="14"/>
        <v>0</v>
      </c>
    </row>
    <row r="28" spans="1:64" hidden="1">
      <c r="A28" s="61">
        <v>24</v>
      </c>
      <c r="B28" s="65" t="str">
        <f>'[6]NOI TAC 2026'!B30</f>
        <v>S945605</v>
      </c>
      <c r="C28" s="36" t="str">
        <f t="shared" si="0"/>
        <v>XEM</v>
      </c>
      <c r="D28" s="36">
        <f>'[6]NOI TAC 2026'!F30</f>
        <v>1</v>
      </c>
      <c r="E28" s="63">
        <f>'[6]NOI TAC 2026'!AL30</f>
        <v>324.71083999999996</v>
      </c>
      <c r="F28" s="61"/>
      <c r="G28" s="61"/>
      <c r="H28" s="61"/>
      <c r="I28" s="61"/>
      <c r="J28" s="61"/>
      <c r="K28" s="61">
        <v>1</v>
      </c>
      <c r="L28" s="52"/>
      <c r="M28" s="61"/>
      <c r="N28" s="61"/>
      <c r="O28" s="61"/>
      <c r="P28" s="61"/>
      <c r="Q28" s="61"/>
      <c r="R28" s="61">
        <f t="shared" si="1"/>
        <v>1</v>
      </c>
      <c r="T28" s="62">
        <f t="shared" si="16"/>
        <v>0</v>
      </c>
      <c r="U28" s="62">
        <f t="shared" si="16"/>
        <v>0</v>
      </c>
      <c r="V28" s="62">
        <f t="shared" si="16"/>
        <v>0</v>
      </c>
      <c r="W28" s="62">
        <f t="shared" si="15"/>
        <v>0</v>
      </c>
      <c r="X28" s="62">
        <f t="shared" si="15"/>
        <v>0</v>
      </c>
      <c r="Y28" s="62">
        <f t="shared" si="15"/>
        <v>324.71083999999996</v>
      </c>
      <c r="Z28" s="62">
        <f t="shared" si="15"/>
        <v>0</v>
      </c>
      <c r="AA28" s="62">
        <f t="shared" si="15"/>
        <v>0</v>
      </c>
      <c r="AB28" s="62">
        <f t="shared" si="15"/>
        <v>0</v>
      </c>
      <c r="AC28" s="62">
        <f t="shared" si="15"/>
        <v>0</v>
      </c>
      <c r="AD28" s="62">
        <f t="shared" si="15"/>
        <v>0</v>
      </c>
      <c r="AE28" s="62">
        <f t="shared" si="15"/>
        <v>0</v>
      </c>
      <c r="AG28" s="2" t="e">
        <v>#N/A</v>
      </c>
      <c r="AH28" s="293" t="e">
        <v>#N/A</v>
      </c>
      <c r="AI28" s="293" t="e">
        <v>#N/A</v>
      </c>
      <c r="AJ28" s="293" t="e">
        <v>#N/A</v>
      </c>
      <c r="AK28" s="2" t="e">
        <v>#N/A</v>
      </c>
      <c r="AL28" s="293" t="e">
        <v>#N/A</v>
      </c>
      <c r="AM28" s="61"/>
      <c r="AO28" s="232"/>
      <c r="AP28" s="237">
        <f t="shared" si="3"/>
        <v>0</v>
      </c>
      <c r="AQ28" s="237"/>
      <c r="AR28" s="237">
        <f t="shared" si="4"/>
        <v>0</v>
      </c>
      <c r="AS28" s="237"/>
      <c r="AT28" s="237">
        <f t="shared" si="5"/>
        <v>0</v>
      </c>
      <c r="AU28" s="237"/>
      <c r="AV28" s="237">
        <f t="shared" si="6"/>
        <v>0</v>
      </c>
      <c r="AW28" s="237"/>
      <c r="AX28" s="237">
        <f t="shared" si="7"/>
        <v>0</v>
      </c>
      <c r="AY28" s="237"/>
      <c r="AZ28" s="237">
        <f t="shared" si="8"/>
        <v>0</v>
      </c>
      <c r="BA28" s="237"/>
      <c r="BB28" s="76">
        <f t="shared" si="9"/>
        <v>0</v>
      </c>
      <c r="BC28" s="237"/>
      <c r="BD28" s="237">
        <f t="shared" si="10"/>
        <v>0</v>
      </c>
      <c r="BE28" s="237"/>
      <c r="BF28" s="237">
        <f t="shared" si="11"/>
        <v>0</v>
      </c>
      <c r="BG28" s="237"/>
      <c r="BH28" s="237">
        <f t="shared" si="12"/>
        <v>0</v>
      </c>
      <c r="BI28" s="237"/>
      <c r="BJ28" s="237">
        <f t="shared" si="13"/>
        <v>0</v>
      </c>
      <c r="BK28" s="237"/>
      <c r="BL28" s="237">
        <f t="shared" si="14"/>
        <v>0</v>
      </c>
    </row>
    <row r="29" spans="1:64" hidden="1">
      <c r="A29" s="61">
        <v>25</v>
      </c>
      <c r="B29" s="65" t="str">
        <f>'[6]NOI TAC 2026'!B31</f>
        <v>R031206</v>
      </c>
      <c r="C29" s="36" t="str">
        <f t="shared" si="0"/>
        <v>XEM</v>
      </c>
      <c r="D29" s="36">
        <f>'[6]NOI TAC 2026'!F31</f>
        <v>1</v>
      </c>
      <c r="E29" s="63">
        <f>'[6]NOI TAC 2026'!AL31</f>
        <v>390.59956000000005</v>
      </c>
      <c r="F29" s="61"/>
      <c r="G29" s="61"/>
      <c r="H29" s="61"/>
      <c r="I29" s="61"/>
      <c r="J29" s="61"/>
      <c r="K29" s="61"/>
      <c r="L29" s="52">
        <v>1</v>
      </c>
      <c r="M29" s="61"/>
      <c r="N29" s="61"/>
      <c r="O29" s="61"/>
      <c r="P29" s="61"/>
      <c r="Q29" s="61"/>
      <c r="R29" s="61">
        <f t="shared" si="1"/>
        <v>1</v>
      </c>
      <c r="T29" s="62">
        <f t="shared" si="16"/>
        <v>0</v>
      </c>
      <c r="U29" s="62">
        <f t="shared" si="16"/>
        <v>0</v>
      </c>
      <c r="V29" s="62">
        <f t="shared" si="16"/>
        <v>0</v>
      </c>
      <c r="W29" s="62">
        <f t="shared" si="15"/>
        <v>0</v>
      </c>
      <c r="X29" s="62">
        <f t="shared" si="15"/>
        <v>0</v>
      </c>
      <c r="Y29" s="62">
        <f t="shared" si="15"/>
        <v>0</v>
      </c>
      <c r="Z29" s="62">
        <f t="shared" si="15"/>
        <v>390.59956000000005</v>
      </c>
      <c r="AA29" s="62">
        <f t="shared" si="15"/>
        <v>0</v>
      </c>
      <c r="AB29" s="62">
        <f t="shared" si="15"/>
        <v>0</v>
      </c>
      <c r="AC29" s="62">
        <f t="shared" si="15"/>
        <v>0</v>
      </c>
      <c r="AD29" s="62">
        <f t="shared" si="15"/>
        <v>0</v>
      </c>
      <c r="AE29" s="62">
        <f t="shared" si="15"/>
        <v>0</v>
      </c>
      <c r="AG29" s="2" t="e">
        <v>#N/A</v>
      </c>
      <c r="AH29" s="293" t="e">
        <v>#N/A</v>
      </c>
      <c r="AI29" s="293" t="e">
        <v>#N/A</v>
      </c>
      <c r="AJ29" s="293" t="e">
        <v>#N/A</v>
      </c>
      <c r="AK29" s="2" t="e">
        <v>#N/A</v>
      </c>
      <c r="AL29" s="293" t="e">
        <v>#N/A</v>
      </c>
      <c r="AM29" s="61"/>
      <c r="AO29" s="232"/>
      <c r="AP29" s="237">
        <f t="shared" si="3"/>
        <v>0</v>
      </c>
      <c r="AQ29" s="237"/>
      <c r="AR29" s="237">
        <f t="shared" si="4"/>
        <v>0</v>
      </c>
      <c r="AS29" s="237"/>
      <c r="AT29" s="237">
        <f t="shared" si="5"/>
        <v>0</v>
      </c>
      <c r="AU29" s="237"/>
      <c r="AV29" s="237">
        <f t="shared" si="6"/>
        <v>0</v>
      </c>
      <c r="AW29" s="237"/>
      <c r="AX29" s="237">
        <f t="shared" si="7"/>
        <v>0</v>
      </c>
      <c r="AY29" s="237"/>
      <c r="AZ29" s="237">
        <f t="shared" si="8"/>
        <v>0</v>
      </c>
      <c r="BA29" s="237"/>
      <c r="BB29" s="76">
        <f t="shared" si="9"/>
        <v>0</v>
      </c>
      <c r="BC29" s="237"/>
      <c r="BD29" s="237">
        <f t="shared" si="10"/>
        <v>0</v>
      </c>
      <c r="BE29" s="237"/>
      <c r="BF29" s="237">
        <f t="shared" si="11"/>
        <v>0</v>
      </c>
      <c r="BG29" s="237"/>
      <c r="BH29" s="237">
        <f t="shared" si="12"/>
        <v>0</v>
      </c>
      <c r="BI29" s="237"/>
      <c r="BJ29" s="237">
        <f t="shared" si="13"/>
        <v>0</v>
      </c>
      <c r="BK29" s="237"/>
      <c r="BL29" s="237">
        <f t="shared" si="14"/>
        <v>0</v>
      </c>
    </row>
    <row r="30" spans="1:64" hidden="1">
      <c r="A30" s="61">
        <v>26</v>
      </c>
      <c r="B30" s="65" t="str">
        <f>'[6]NOI TAC 2026'!B32</f>
        <v>S919631</v>
      </c>
      <c r="C30" s="36" t="str">
        <f t="shared" si="0"/>
        <v>XEM</v>
      </c>
      <c r="D30" s="36">
        <f>'[6]NOI TAC 2026'!F32</f>
        <v>1</v>
      </c>
      <c r="E30" s="63">
        <f>'[6]NOI TAC 2026'!AL32</f>
        <v>450.93883999999997</v>
      </c>
      <c r="F30" s="61"/>
      <c r="G30" s="61"/>
      <c r="H30" s="61"/>
      <c r="I30" s="61"/>
      <c r="J30" s="61"/>
      <c r="K30" s="61"/>
      <c r="L30" s="52"/>
      <c r="M30" s="61">
        <v>1</v>
      </c>
      <c r="N30" s="61"/>
      <c r="O30" s="61"/>
      <c r="P30" s="61"/>
      <c r="Q30" s="61"/>
      <c r="R30" s="61">
        <f t="shared" si="1"/>
        <v>1</v>
      </c>
      <c r="T30" s="62">
        <f t="shared" si="16"/>
        <v>0</v>
      </c>
      <c r="U30" s="62">
        <f t="shared" si="16"/>
        <v>0</v>
      </c>
      <c r="V30" s="62">
        <f t="shared" si="16"/>
        <v>0</v>
      </c>
      <c r="W30" s="62">
        <f t="shared" si="15"/>
        <v>0</v>
      </c>
      <c r="X30" s="62">
        <f t="shared" si="15"/>
        <v>0</v>
      </c>
      <c r="Y30" s="62">
        <f t="shared" si="15"/>
        <v>0</v>
      </c>
      <c r="Z30" s="62">
        <f t="shared" si="15"/>
        <v>0</v>
      </c>
      <c r="AA30" s="62">
        <f t="shared" si="15"/>
        <v>450.93883999999997</v>
      </c>
      <c r="AB30" s="62">
        <f t="shared" si="15"/>
        <v>0</v>
      </c>
      <c r="AC30" s="62">
        <f t="shared" si="15"/>
        <v>0</v>
      </c>
      <c r="AD30" s="62">
        <f t="shared" si="15"/>
        <v>0</v>
      </c>
      <c r="AE30" s="62">
        <f t="shared" si="15"/>
        <v>0</v>
      </c>
      <c r="AG30" s="2" t="e">
        <v>#N/A</v>
      </c>
      <c r="AH30" s="293" t="e">
        <v>#N/A</v>
      </c>
      <c r="AI30" s="293" t="e">
        <v>#N/A</v>
      </c>
      <c r="AJ30" s="293" t="e">
        <v>#N/A</v>
      </c>
      <c r="AK30" s="2" t="e">
        <v>#N/A</v>
      </c>
      <c r="AL30" s="293" t="e">
        <v>#N/A</v>
      </c>
      <c r="AM30" s="61"/>
      <c r="AO30" s="232"/>
      <c r="AP30" s="237">
        <f t="shared" si="3"/>
        <v>0</v>
      </c>
      <c r="AQ30" s="237"/>
      <c r="AR30" s="237">
        <f t="shared" si="4"/>
        <v>0</v>
      </c>
      <c r="AS30" s="237"/>
      <c r="AT30" s="237">
        <f t="shared" si="5"/>
        <v>0</v>
      </c>
      <c r="AU30" s="237"/>
      <c r="AV30" s="237">
        <f t="shared" si="6"/>
        <v>0</v>
      </c>
      <c r="AW30" s="237"/>
      <c r="AX30" s="237">
        <f t="shared" si="7"/>
        <v>0</v>
      </c>
      <c r="AY30" s="237"/>
      <c r="AZ30" s="237">
        <f t="shared" si="8"/>
        <v>0</v>
      </c>
      <c r="BA30" s="237"/>
      <c r="BB30" s="76">
        <f t="shared" si="9"/>
        <v>0</v>
      </c>
      <c r="BC30" s="237"/>
      <c r="BD30" s="237">
        <f t="shared" si="10"/>
        <v>0</v>
      </c>
      <c r="BE30" s="237"/>
      <c r="BF30" s="237">
        <f t="shared" si="11"/>
        <v>0</v>
      </c>
      <c r="BG30" s="237"/>
      <c r="BH30" s="237">
        <f t="shared" si="12"/>
        <v>0</v>
      </c>
      <c r="BI30" s="237"/>
      <c r="BJ30" s="237">
        <f t="shared" si="13"/>
        <v>0</v>
      </c>
      <c r="BK30" s="237"/>
      <c r="BL30" s="237">
        <f t="shared" si="14"/>
        <v>0</v>
      </c>
    </row>
    <row r="31" spans="1:64" hidden="1">
      <c r="A31" s="61">
        <v>27</v>
      </c>
      <c r="B31" s="65" t="str">
        <f>'[6]NOI TAC 2026'!B33</f>
        <v>S029583</v>
      </c>
      <c r="C31" s="36" t="str">
        <f t="shared" si="0"/>
        <v>XEM</v>
      </c>
      <c r="D31" s="36">
        <f>'[6]NOI TAC 2026'!F33</f>
        <v>1</v>
      </c>
      <c r="E31" s="63">
        <f>'[6]NOI TAC 2026'!AL33</f>
        <v>483.10575999999998</v>
      </c>
      <c r="F31" s="61"/>
      <c r="G31" s="61"/>
      <c r="H31" s="61"/>
      <c r="I31" s="61"/>
      <c r="J31" s="61"/>
      <c r="K31" s="61"/>
      <c r="L31" s="61"/>
      <c r="M31" s="52"/>
      <c r="N31" s="61">
        <v>1</v>
      </c>
      <c r="O31" s="61"/>
      <c r="P31" s="61"/>
      <c r="Q31" s="61"/>
      <c r="R31" s="61">
        <f t="shared" si="1"/>
        <v>1</v>
      </c>
      <c r="T31" s="62">
        <f t="shared" si="16"/>
        <v>0</v>
      </c>
      <c r="U31" s="62">
        <f t="shared" si="16"/>
        <v>0</v>
      </c>
      <c r="V31" s="62">
        <f t="shared" si="16"/>
        <v>0</v>
      </c>
      <c r="W31" s="62">
        <f t="shared" si="15"/>
        <v>0</v>
      </c>
      <c r="X31" s="62">
        <f t="shared" si="15"/>
        <v>0</v>
      </c>
      <c r="Y31" s="62">
        <f t="shared" si="15"/>
        <v>0</v>
      </c>
      <c r="Z31" s="62">
        <f t="shared" si="15"/>
        <v>0</v>
      </c>
      <c r="AA31" s="62">
        <f t="shared" si="15"/>
        <v>0</v>
      </c>
      <c r="AB31" s="62">
        <f t="shared" si="15"/>
        <v>483.10575999999998</v>
      </c>
      <c r="AC31" s="62">
        <f t="shared" si="15"/>
        <v>0</v>
      </c>
      <c r="AD31" s="62">
        <f t="shared" si="15"/>
        <v>0</v>
      </c>
      <c r="AE31" s="62">
        <f t="shared" si="15"/>
        <v>0</v>
      </c>
      <c r="AG31" s="2" t="e">
        <v>#N/A</v>
      </c>
      <c r="AH31" s="293" t="e">
        <v>#N/A</v>
      </c>
      <c r="AI31" s="293" t="e">
        <v>#N/A</v>
      </c>
      <c r="AJ31" s="293" t="e">
        <v>#N/A</v>
      </c>
      <c r="AK31" s="2" t="e">
        <v>#N/A</v>
      </c>
      <c r="AL31" s="293" t="e">
        <v>#N/A</v>
      </c>
      <c r="AM31" s="61"/>
      <c r="AO31" s="232"/>
      <c r="AP31" s="237">
        <f t="shared" si="3"/>
        <v>0</v>
      </c>
      <c r="AQ31" s="237"/>
      <c r="AR31" s="237">
        <f t="shared" si="4"/>
        <v>0</v>
      </c>
      <c r="AS31" s="237"/>
      <c r="AT31" s="237">
        <f t="shared" si="5"/>
        <v>0</v>
      </c>
      <c r="AU31" s="237"/>
      <c r="AV31" s="237">
        <f t="shared" si="6"/>
        <v>0</v>
      </c>
      <c r="AW31" s="237"/>
      <c r="AX31" s="237">
        <f t="shared" si="7"/>
        <v>0</v>
      </c>
      <c r="AY31" s="237"/>
      <c r="AZ31" s="237">
        <f t="shared" si="8"/>
        <v>0</v>
      </c>
      <c r="BA31" s="237"/>
      <c r="BB31" s="76">
        <f t="shared" si="9"/>
        <v>0</v>
      </c>
      <c r="BC31" s="237"/>
      <c r="BD31" s="237">
        <f t="shared" si="10"/>
        <v>0</v>
      </c>
      <c r="BE31" s="237"/>
      <c r="BF31" s="237">
        <f t="shared" si="11"/>
        <v>0</v>
      </c>
      <c r="BG31" s="237"/>
      <c r="BH31" s="237">
        <f t="shared" si="12"/>
        <v>0</v>
      </c>
      <c r="BI31" s="237"/>
      <c r="BJ31" s="237">
        <f t="shared" si="13"/>
        <v>0</v>
      </c>
      <c r="BK31" s="237"/>
      <c r="BL31" s="237">
        <f t="shared" si="14"/>
        <v>0</v>
      </c>
    </row>
    <row r="32" spans="1:64" hidden="1">
      <c r="A32" s="61">
        <v>28</v>
      </c>
      <c r="B32" s="65" t="str">
        <f>'[6]NOI TAC 2026'!B34</f>
        <v>R462231</v>
      </c>
      <c r="C32" s="36" t="str">
        <f t="shared" si="0"/>
        <v>XEM</v>
      </c>
      <c r="D32" s="36">
        <f>'[6]NOI TAC 2026'!F34</f>
        <v>1</v>
      </c>
      <c r="E32" s="63">
        <f>'[6]NOI TAC 2026'!AL34</f>
        <v>2.1008575752508136</v>
      </c>
      <c r="F32" s="61"/>
      <c r="G32" s="61"/>
      <c r="H32" s="61"/>
      <c r="I32" s="61"/>
      <c r="J32" s="61"/>
      <c r="K32" s="61"/>
      <c r="L32" s="61"/>
      <c r="M32" s="52"/>
      <c r="N32" s="61"/>
      <c r="O32" s="61">
        <v>1</v>
      </c>
      <c r="P32" s="61"/>
      <c r="Q32" s="61"/>
      <c r="R32" s="61">
        <f t="shared" si="1"/>
        <v>1</v>
      </c>
      <c r="T32" s="62">
        <f t="shared" si="16"/>
        <v>0</v>
      </c>
      <c r="U32" s="62">
        <f t="shared" si="16"/>
        <v>0</v>
      </c>
      <c r="V32" s="62">
        <f t="shared" si="16"/>
        <v>0</v>
      </c>
      <c r="W32" s="62">
        <f t="shared" si="15"/>
        <v>0</v>
      </c>
      <c r="X32" s="62">
        <f t="shared" si="15"/>
        <v>0</v>
      </c>
      <c r="Y32" s="62">
        <f t="shared" si="15"/>
        <v>0</v>
      </c>
      <c r="Z32" s="62">
        <f t="shared" si="15"/>
        <v>0</v>
      </c>
      <c r="AA32" s="62">
        <f t="shared" si="15"/>
        <v>0</v>
      </c>
      <c r="AB32" s="62">
        <f t="shared" si="15"/>
        <v>0</v>
      </c>
      <c r="AC32" s="62">
        <f t="shared" si="15"/>
        <v>2.1008575752508136</v>
      </c>
      <c r="AD32" s="62">
        <f t="shared" si="15"/>
        <v>0</v>
      </c>
      <c r="AE32" s="62">
        <f t="shared" si="15"/>
        <v>0</v>
      </c>
      <c r="AG32" s="2" t="e">
        <v>#N/A</v>
      </c>
      <c r="AH32" s="293" t="e">
        <v>#N/A</v>
      </c>
      <c r="AI32" s="293" t="e">
        <v>#N/A</v>
      </c>
      <c r="AJ32" s="293" t="e">
        <v>#N/A</v>
      </c>
      <c r="AK32" s="2" t="e">
        <v>#N/A</v>
      </c>
      <c r="AL32" s="293" t="e">
        <v>#N/A</v>
      </c>
      <c r="AM32" s="61"/>
      <c r="AO32" s="232"/>
      <c r="AP32" s="237">
        <f t="shared" si="3"/>
        <v>0</v>
      </c>
      <c r="AQ32" s="237"/>
      <c r="AR32" s="237">
        <f t="shared" si="4"/>
        <v>0</v>
      </c>
      <c r="AS32" s="237"/>
      <c r="AT32" s="237">
        <f t="shared" si="5"/>
        <v>0</v>
      </c>
      <c r="AU32" s="237"/>
      <c r="AV32" s="237">
        <f t="shared" si="6"/>
        <v>0</v>
      </c>
      <c r="AW32" s="237"/>
      <c r="AX32" s="237">
        <f t="shared" si="7"/>
        <v>0</v>
      </c>
      <c r="AY32" s="237"/>
      <c r="AZ32" s="237">
        <f t="shared" si="8"/>
        <v>0</v>
      </c>
      <c r="BA32" s="237"/>
      <c r="BB32" s="76">
        <f t="shared" si="9"/>
        <v>0</v>
      </c>
      <c r="BC32" s="237"/>
      <c r="BD32" s="237">
        <f t="shared" si="10"/>
        <v>0</v>
      </c>
      <c r="BE32" s="237"/>
      <c r="BF32" s="237">
        <f t="shared" si="11"/>
        <v>0</v>
      </c>
      <c r="BG32" s="237"/>
      <c r="BH32" s="237">
        <f t="shared" si="12"/>
        <v>0</v>
      </c>
      <c r="BI32" s="237"/>
      <c r="BJ32" s="237">
        <f t="shared" si="13"/>
        <v>0</v>
      </c>
      <c r="BK32" s="237"/>
      <c r="BL32" s="237">
        <f t="shared" si="14"/>
        <v>0</v>
      </c>
    </row>
    <row r="33" spans="1:64" hidden="1">
      <c r="A33" s="61">
        <v>29</v>
      </c>
      <c r="B33" s="65" t="str">
        <f>'[6]NOI TAC 2026'!B35</f>
        <v>R028995</v>
      </c>
      <c r="C33" s="36" t="str">
        <f t="shared" si="0"/>
        <v>XEM</v>
      </c>
      <c r="D33" s="36">
        <f>'[6]NOI TAC 2026'!F35</f>
        <v>1</v>
      </c>
      <c r="E33" s="63">
        <f>'[6]NOI TAC 2026'!AL35</f>
        <v>59.678271304347845</v>
      </c>
      <c r="F33" s="61"/>
      <c r="G33" s="61"/>
      <c r="H33" s="61"/>
      <c r="I33" s="61"/>
      <c r="J33" s="61"/>
      <c r="K33" s="61"/>
      <c r="L33" s="61"/>
      <c r="M33" s="52"/>
      <c r="N33" s="61"/>
      <c r="O33" s="61"/>
      <c r="P33" s="61">
        <v>1</v>
      </c>
      <c r="Q33" s="61"/>
      <c r="R33" s="61">
        <f t="shared" si="1"/>
        <v>1</v>
      </c>
      <c r="T33" s="62">
        <f t="shared" si="16"/>
        <v>0</v>
      </c>
      <c r="U33" s="62">
        <f t="shared" si="16"/>
        <v>0</v>
      </c>
      <c r="V33" s="62">
        <f t="shared" si="16"/>
        <v>0</v>
      </c>
      <c r="W33" s="62">
        <f t="shared" si="15"/>
        <v>0</v>
      </c>
      <c r="X33" s="62">
        <f t="shared" si="15"/>
        <v>0</v>
      </c>
      <c r="Y33" s="62">
        <f t="shared" si="15"/>
        <v>0</v>
      </c>
      <c r="Z33" s="62">
        <f t="shared" si="15"/>
        <v>0</v>
      </c>
      <c r="AA33" s="62">
        <f t="shared" si="15"/>
        <v>0</v>
      </c>
      <c r="AB33" s="62">
        <f t="shared" si="15"/>
        <v>0</v>
      </c>
      <c r="AC33" s="62">
        <f t="shared" si="15"/>
        <v>0</v>
      </c>
      <c r="AD33" s="62">
        <f t="shared" si="15"/>
        <v>59.678271304347845</v>
      </c>
      <c r="AE33" s="62">
        <f t="shared" si="15"/>
        <v>0</v>
      </c>
      <c r="AG33" s="2" t="e">
        <v>#N/A</v>
      </c>
      <c r="AH33" s="293" t="e">
        <v>#N/A</v>
      </c>
      <c r="AI33" s="293" t="e">
        <v>#N/A</v>
      </c>
      <c r="AJ33" s="293" t="e">
        <v>#N/A</v>
      </c>
      <c r="AK33" s="2" t="e">
        <v>#N/A</v>
      </c>
      <c r="AL33" s="293" t="e">
        <v>#N/A</v>
      </c>
      <c r="AM33" s="61"/>
      <c r="AO33" s="232"/>
      <c r="AP33" s="237">
        <f t="shared" si="3"/>
        <v>0</v>
      </c>
      <c r="AQ33" s="237"/>
      <c r="AR33" s="237">
        <f t="shared" si="4"/>
        <v>0</v>
      </c>
      <c r="AS33" s="237"/>
      <c r="AT33" s="237">
        <f t="shared" si="5"/>
        <v>0</v>
      </c>
      <c r="AU33" s="237"/>
      <c r="AV33" s="237">
        <f t="shared" si="6"/>
        <v>0</v>
      </c>
      <c r="AW33" s="237"/>
      <c r="AX33" s="237">
        <f t="shared" si="7"/>
        <v>0</v>
      </c>
      <c r="AY33" s="237"/>
      <c r="AZ33" s="237">
        <f t="shared" si="8"/>
        <v>0</v>
      </c>
      <c r="BA33" s="237"/>
      <c r="BB33" s="76">
        <f t="shared" si="9"/>
        <v>0</v>
      </c>
      <c r="BC33" s="237"/>
      <c r="BD33" s="237">
        <f t="shared" si="10"/>
        <v>0</v>
      </c>
      <c r="BE33" s="237"/>
      <c r="BF33" s="237">
        <f t="shared" si="11"/>
        <v>0</v>
      </c>
      <c r="BG33" s="237"/>
      <c r="BH33" s="237">
        <f t="shared" si="12"/>
        <v>0</v>
      </c>
      <c r="BI33" s="237"/>
      <c r="BJ33" s="237">
        <f t="shared" si="13"/>
        <v>0</v>
      </c>
      <c r="BK33" s="237"/>
      <c r="BL33" s="237">
        <f t="shared" si="14"/>
        <v>0</v>
      </c>
    </row>
    <row r="34" spans="1:64" hidden="1">
      <c r="A34" s="61">
        <v>30</v>
      </c>
      <c r="B34" s="65" t="str">
        <f>'[6]NOI TAC 2026'!B36</f>
        <v>R408546</v>
      </c>
      <c r="C34" s="36" t="str">
        <f t="shared" si="0"/>
        <v>XEM</v>
      </c>
      <c r="D34" s="36">
        <f>'[6]NOI TAC 2026'!F36</f>
        <v>1</v>
      </c>
      <c r="E34" s="63">
        <f>'[6]NOI TAC 2026'!AL36</f>
        <v>34.102066086956512</v>
      </c>
      <c r="F34" s="61">
        <v>1</v>
      </c>
      <c r="G34" s="61"/>
      <c r="H34" s="61"/>
      <c r="I34" s="61"/>
      <c r="J34" s="61"/>
      <c r="K34" s="61"/>
      <c r="L34" s="61"/>
      <c r="M34" s="52"/>
      <c r="N34" s="61"/>
      <c r="O34" s="61"/>
      <c r="P34" s="61"/>
      <c r="Q34" s="61"/>
      <c r="R34" s="61">
        <f t="shared" si="1"/>
        <v>1</v>
      </c>
      <c r="T34" s="62">
        <f t="shared" si="16"/>
        <v>34.102066086956512</v>
      </c>
      <c r="U34" s="62">
        <f t="shared" si="16"/>
        <v>0</v>
      </c>
      <c r="V34" s="62">
        <f t="shared" si="16"/>
        <v>0</v>
      </c>
      <c r="W34" s="62">
        <f t="shared" si="15"/>
        <v>0</v>
      </c>
      <c r="X34" s="62">
        <f t="shared" si="15"/>
        <v>0</v>
      </c>
      <c r="Y34" s="62">
        <f t="shared" si="15"/>
        <v>0</v>
      </c>
      <c r="Z34" s="62">
        <f t="shared" si="15"/>
        <v>0</v>
      </c>
      <c r="AA34" s="62">
        <f t="shared" si="15"/>
        <v>0</v>
      </c>
      <c r="AB34" s="62">
        <f t="shared" si="15"/>
        <v>0</v>
      </c>
      <c r="AC34" s="62">
        <f t="shared" si="15"/>
        <v>0</v>
      </c>
      <c r="AD34" s="62">
        <f t="shared" si="15"/>
        <v>0</v>
      </c>
      <c r="AE34" s="62">
        <f t="shared" si="15"/>
        <v>0</v>
      </c>
      <c r="AG34" s="2" t="e">
        <v>#N/A</v>
      </c>
      <c r="AH34" s="293" t="e">
        <v>#N/A</v>
      </c>
      <c r="AI34" s="293" t="e">
        <v>#N/A</v>
      </c>
      <c r="AJ34" s="293" t="e">
        <v>#N/A</v>
      </c>
      <c r="AK34" s="2" t="e">
        <v>#N/A</v>
      </c>
      <c r="AL34" s="293" t="e">
        <v>#N/A</v>
      </c>
      <c r="AM34" s="61"/>
      <c r="AO34" s="232"/>
      <c r="AP34" s="237">
        <f t="shared" si="3"/>
        <v>0</v>
      </c>
      <c r="AQ34" s="237"/>
      <c r="AR34" s="237">
        <f t="shared" si="4"/>
        <v>0</v>
      </c>
      <c r="AS34" s="237"/>
      <c r="AT34" s="237">
        <f t="shared" si="5"/>
        <v>0</v>
      </c>
      <c r="AU34" s="237"/>
      <c r="AV34" s="237">
        <f t="shared" si="6"/>
        <v>0</v>
      </c>
      <c r="AW34" s="237"/>
      <c r="AX34" s="237">
        <f t="shared" si="7"/>
        <v>0</v>
      </c>
      <c r="AY34" s="237"/>
      <c r="AZ34" s="237">
        <f t="shared" si="8"/>
        <v>0</v>
      </c>
      <c r="BA34" s="237"/>
      <c r="BB34" s="76">
        <f t="shared" si="9"/>
        <v>0</v>
      </c>
      <c r="BC34" s="237"/>
      <c r="BD34" s="237">
        <f t="shared" si="10"/>
        <v>0</v>
      </c>
      <c r="BE34" s="237"/>
      <c r="BF34" s="237">
        <f t="shared" si="11"/>
        <v>0</v>
      </c>
      <c r="BG34" s="237"/>
      <c r="BH34" s="237">
        <f t="shared" si="12"/>
        <v>0</v>
      </c>
      <c r="BI34" s="237"/>
      <c r="BJ34" s="237">
        <f t="shared" si="13"/>
        <v>0</v>
      </c>
      <c r="BK34" s="237"/>
      <c r="BL34" s="237">
        <f t="shared" si="14"/>
        <v>0</v>
      </c>
    </row>
    <row r="35" spans="1:64" hidden="1">
      <c r="A35" s="61">
        <v>31</v>
      </c>
      <c r="B35" s="65" t="str">
        <f>'[6]NOI TAC 2026'!B37</f>
        <v>R173347</v>
      </c>
      <c r="C35" s="36" t="str">
        <f t="shared" si="0"/>
        <v>XEM</v>
      </c>
      <c r="D35" s="36">
        <f>'[6]NOI TAC 2026'!F37</f>
        <v>1</v>
      </c>
      <c r="E35" s="63">
        <f>'[6]NOI TAC 2026'!AL37</f>
        <v>52.34683130434783</v>
      </c>
      <c r="F35" s="61"/>
      <c r="G35" s="61"/>
      <c r="H35" s="61"/>
      <c r="I35" s="61">
        <v>1</v>
      </c>
      <c r="J35" s="61"/>
      <c r="K35" s="61"/>
      <c r="L35" s="61"/>
      <c r="M35" s="61"/>
      <c r="N35" s="52"/>
      <c r="O35" s="61"/>
      <c r="P35" s="61"/>
      <c r="Q35" s="61"/>
      <c r="R35" s="61">
        <f t="shared" si="1"/>
        <v>1</v>
      </c>
      <c r="T35" s="62">
        <f t="shared" si="16"/>
        <v>0</v>
      </c>
      <c r="U35" s="62">
        <f t="shared" si="16"/>
        <v>0</v>
      </c>
      <c r="V35" s="62">
        <f t="shared" si="16"/>
        <v>0</v>
      </c>
      <c r="W35" s="62">
        <f t="shared" si="15"/>
        <v>52.34683130434783</v>
      </c>
      <c r="X35" s="62">
        <f t="shared" si="15"/>
        <v>0</v>
      </c>
      <c r="Y35" s="62">
        <f t="shared" si="15"/>
        <v>0</v>
      </c>
      <c r="Z35" s="62">
        <f t="shared" si="15"/>
        <v>0</v>
      </c>
      <c r="AA35" s="62">
        <f t="shared" si="15"/>
        <v>0</v>
      </c>
      <c r="AB35" s="62">
        <f t="shared" si="15"/>
        <v>0</v>
      </c>
      <c r="AC35" s="62">
        <f t="shared" si="15"/>
        <v>0</v>
      </c>
      <c r="AD35" s="62">
        <f t="shared" si="15"/>
        <v>0</v>
      </c>
      <c r="AE35" s="62">
        <f t="shared" si="15"/>
        <v>0</v>
      </c>
      <c r="AG35" s="2" t="e">
        <v>#N/A</v>
      </c>
      <c r="AH35" s="293" t="e">
        <v>#N/A</v>
      </c>
      <c r="AI35" s="293" t="e">
        <v>#N/A</v>
      </c>
      <c r="AJ35" s="293" t="e">
        <v>#N/A</v>
      </c>
      <c r="AK35" s="2" t="e">
        <v>#N/A</v>
      </c>
      <c r="AL35" s="293" t="e">
        <v>#N/A</v>
      </c>
      <c r="AM35" s="61"/>
      <c r="AO35" s="232"/>
      <c r="AP35" s="237">
        <f t="shared" si="3"/>
        <v>0</v>
      </c>
      <c r="AQ35" s="237"/>
      <c r="AR35" s="237">
        <f t="shared" si="4"/>
        <v>0</v>
      </c>
      <c r="AS35" s="237"/>
      <c r="AT35" s="237">
        <f t="shared" si="5"/>
        <v>0</v>
      </c>
      <c r="AU35" s="237"/>
      <c r="AV35" s="237">
        <f t="shared" si="6"/>
        <v>0</v>
      </c>
      <c r="AW35" s="237"/>
      <c r="AX35" s="237">
        <f t="shared" si="7"/>
        <v>0</v>
      </c>
      <c r="AY35" s="237"/>
      <c r="AZ35" s="237">
        <f t="shared" si="8"/>
        <v>0</v>
      </c>
      <c r="BA35" s="237"/>
      <c r="BB35" s="76">
        <f t="shared" si="9"/>
        <v>0</v>
      </c>
      <c r="BC35" s="237"/>
      <c r="BD35" s="237">
        <f t="shared" si="10"/>
        <v>0</v>
      </c>
      <c r="BE35" s="237"/>
      <c r="BF35" s="237">
        <f t="shared" si="11"/>
        <v>0</v>
      </c>
      <c r="BG35" s="237"/>
      <c r="BH35" s="237">
        <f t="shared" si="12"/>
        <v>0</v>
      </c>
      <c r="BI35" s="237"/>
      <c r="BJ35" s="237">
        <f t="shared" si="13"/>
        <v>0</v>
      </c>
      <c r="BK35" s="237"/>
      <c r="BL35" s="237">
        <f t="shared" si="14"/>
        <v>0</v>
      </c>
    </row>
    <row r="36" spans="1:64" hidden="1">
      <c r="A36" s="61">
        <v>32</v>
      </c>
      <c r="B36" s="65" t="str">
        <f>'[6]NOI TAC 2026'!B38</f>
        <v>S445272</v>
      </c>
      <c r="C36" s="36" t="str">
        <f t="shared" si="0"/>
        <v>XEM</v>
      </c>
      <c r="D36" s="36">
        <f>'[6]NOI TAC 2026'!F38</f>
        <v>2</v>
      </c>
      <c r="E36" s="63">
        <f>'[6]NOI TAC 2026'!AL38</f>
        <v>51.651455652173908</v>
      </c>
      <c r="F36" s="61"/>
      <c r="G36" s="61">
        <v>1</v>
      </c>
      <c r="H36" s="61"/>
      <c r="I36" s="61"/>
      <c r="J36" s="61"/>
      <c r="K36" s="61"/>
      <c r="L36" s="61"/>
      <c r="M36" s="61"/>
      <c r="N36" s="52"/>
      <c r="O36" s="61">
        <v>1</v>
      </c>
      <c r="P36" s="61"/>
      <c r="Q36" s="61"/>
      <c r="R36" s="61">
        <f t="shared" si="1"/>
        <v>2</v>
      </c>
      <c r="T36" s="62">
        <f t="shared" si="16"/>
        <v>0</v>
      </c>
      <c r="U36" s="62">
        <f t="shared" si="16"/>
        <v>51.651455652173908</v>
      </c>
      <c r="V36" s="62">
        <f t="shared" si="16"/>
        <v>0</v>
      </c>
      <c r="W36" s="62">
        <f t="shared" si="15"/>
        <v>0</v>
      </c>
      <c r="X36" s="62">
        <f t="shared" si="15"/>
        <v>0</v>
      </c>
      <c r="Y36" s="62">
        <f t="shared" si="15"/>
        <v>0</v>
      </c>
      <c r="Z36" s="62">
        <f t="shared" si="15"/>
        <v>0</v>
      </c>
      <c r="AA36" s="62">
        <f t="shared" si="15"/>
        <v>0</v>
      </c>
      <c r="AB36" s="62">
        <f t="shared" si="15"/>
        <v>0</v>
      </c>
      <c r="AC36" s="62">
        <f t="shared" si="15"/>
        <v>51.651455652173908</v>
      </c>
      <c r="AD36" s="62">
        <f t="shared" si="15"/>
        <v>0</v>
      </c>
      <c r="AE36" s="62">
        <f t="shared" si="15"/>
        <v>0</v>
      </c>
      <c r="AG36" s="2" t="e">
        <v>#N/A</v>
      </c>
      <c r="AH36" s="293" t="e">
        <v>#N/A</v>
      </c>
      <c r="AI36" s="293" t="e">
        <v>#N/A</v>
      </c>
      <c r="AJ36" s="293" t="e">
        <v>#N/A</v>
      </c>
      <c r="AK36" s="2" t="e">
        <v>#N/A</v>
      </c>
      <c r="AL36" s="293" t="e">
        <v>#N/A</v>
      </c>
      <c r="AM36" s="61"/>
      <c r="AO36" s="232"/>
      <c r="AP36" s="237">
        <f t="shared" si="3"/>
        <v>0</v>
      </c>
      <c r="AQ36" s="237"/>
      <c r="AR36" s="237">
        <f t="shared" si="4"/>
        <v>0</v>
      </c>
      <c r="AS36" s="237"/>
      <c r="AT36" s="237">
        <f t="shared" si="5"/>
        <v>0</v>
      </c>
      <c r="AU36" s="237"/>
      <c r="AV36" s="237">
        <f t="shared" si="6"/>
        <v>0</v>
      </c>
      <c r="AW36" s="237"/>
      <c r="AX36" s="237">
        <f t="shared" si="7"/>
        <v>0</v>
      </c>
      <c r="AY36" s="237"/>
      <c r="AZ36" s="237">
        <f t="shared" si="8"/>
        <v>0</v>
      </c>
      <c r="BA36" s="237"/>
      <c r="BB36" s="76">
        <f t="shared" si="9"/>
        <v>0</v>
      </c>
      <c r="BC36" s="237"/>
      <c r="BD36" s="237">
        <f t="shared" si="10"/>
        <v>0</v>
      </c>
      <c r="BE36" s="237"/>
      <c r="BF36" s="237">
        <f t="shared" si="11"/>
        <v>0</v>
      </c>
      <c r="BG36" s="237"/>
      <c r="BH36" s="237">
        <f t="shared" si="12"/>
        <v>0</v>
      </c>
      <c r="BI36" s="237"/>
      <c r="BJ36" s="237">
        <f t="shared" si="13"/>
        <v>0</v>
      </c>
      <c r="BK36" s="237"/>
      <c r="BL36" s="237">
        <f t="shared" si="14"/>
        <v>0</v>
      </c>
    </row>
    <row r="37" spans="1:64" hidden="1">
      <c r="A37" s="61">
        <v>33</v>
      </c>
      <c r="B37" s="65" t="str">
        <f>'[6]NOI TAC 2026'!B39</f>
        <v>R028307</v>
      </c>
      <c r="C37" s="36" t="str">
        <f t="shared" si="0"/>
        <v>XEM</v>
      </c>
      <c r="D37" s="36">
        <f>'[6]NOI TAC 2026'!F39</f>
        <v>1</v>
      </c>
      <c r="E37" s="63">
        <f>'[6]NOI TAC 2026'!AL39</f>
        <v>316.44079999999997</v>
      </c>
      <c r="F37" s="61"/>
      <c r="G37" s="61"/>
      <c r="H37" s="61"/>
      <c r="I37" s="61"/>
      <c r="J37" s="61"/>
      <c r="K37" s="61"/>
      <c r="L37" s="61"/>
      <c r="M37" s="61"/>
      <c r="N37" s="52"/>
      <c r="O37" s="61"/>
      <c r="P37" s="61">
        <v>1</v>
      </c>
      <c r="Q37" s="61"/>
      <c r="R37" s="61">
        <f t="shared" si="1"/>
        <v>1</v>
      </c>
      <c r="T37" s="62">
        <f t="shared" si="16"/>
        <v>0</v>
      </c>
      <c r="U37" s="62">
        <f t="shared" si="16"/>
        <v>0</v>
      </c>
      <c r="V37" s="62">
        <f t="shared" si="16"/>
        <v>0</v>
      </c>
      <c r="W37" s="62">
        <f t="shared" si="15"/>
        <v>0</v>
      </c>
      <c r="X37" s="62">
        <f t="shared" si="15"/>
        <v>0</v>
      </c>
      <c r="Y37" s="62">
        <f t="shared" si="15"/>
        <v>0</v>
      </c>
      <c r="Z37" s="62">
        <f t="shared" si="15"/>
        <v>0</v>
      </c>
      <c r="AA37" s="62">
        <f t="shared" si="15"/>
        <v>0</v>
      </c>
      <c r="AB37" s="62">
        <f t="shared" si="15"/>
        <v>0</v>
      </c>
      <c r="AC37" s="62">
        <f t="shared" si="15"/>
        <v>0</v>
      </c>
      <c r="AD37" s="62">
        <f t="shared" si="15"/>
        <v>316.44079999999997</v>
      </c>
      <c r="AE37" s="62">
        <f t="shared" si="15"/>
        <v>0</v>
      </c>
      <c r="AG37" s="2" t="e">
        <v>#N/A</v>
      </c>
      <c r="AH37" s="293" t="e">
        <v>#N/A</v>
      </c>
      <c r="AI37" s="293" t="e">
        <v>#N/A</v>
      </c>
      <c r="AJ37" s="293" t="e">
        <v>#N/A</v>
      </c>
      <c r="AK37" s="2" t="e">
        <v>#N/A</v>
      </c>
      <c r="AL37" s="293" t="e">
        <v>#N/A</v>
      </c>
      <c r="AM37" s="61"/>
      <c r="AO37" s="232"/>
      <c r="AP37" s="237">
        <f t="shared" si="3"/>
        <v>0</v>
      </c>
      <c r="AQ37" s="237"/>
      <c r="AR37" s="237">
        <f t="shared" si="4"/>
        <v>0</v>
      </c>
      <c r="AS37" s="237"/>
      <c r="AT37" s="237">
        <f t="shared" si="5"/>
        <v>0</v>
      </c>
      <c r="AU37" s="237"/>
      <c r="AV37" s="237">
        <f t="shared" si="6"/>
        <v>0</v>
      </c>
      <c r="AW37" s="237"/>
      <c r="AX37" s="237">
        <f t="shared" si="7"/>
        <v>0</v>
      </c>
      <c r="AY37" s="237"/>
      <c r="AZ37" s="237">
        <f t="shared" si="8"/>
        <v>0</v>
      </c>
      <c r="BA37" s="237"/>
      <c r="BB37" s="76">
        <f t="shared" si="9"/>
        <v>0</v>
      </c>
      <c r="BC37" s="237"/>
      <c r="BD37" s="237">
        <f t="shared" si="10"/>
        <v>0</v>
      </c>
      <c r="BE37" s="237"/>
      <c r="BF37" s="237">
        <f t="shared" si="11"/>
        <v>0</v>
      </c>
      <c r="BG37" s="237"/>
      <c r="BH37" s="237">
        <f t="shared" si="12"/>
        <v>0</v>
      </c>
      <c r="BI37" s="237"/>
      <c r="BJ37" s="237">
        <f t="shared" si="13"/>
        <v>0</v>
      </c>
      <c r="BK37" s="237"/>
      <c r="BL37" s="237">
        <f t="shared" si="14"/>
        <v>0</v>
      </c>
    </row>
    <row r="38" spans="1:64" hidden="1">
      <c r="A38" s="61">
        <v>34</v>
      </c>
      <c r="B38" s="65" t="str">
        <f>'[6]NOI TAC 2026'!B40</f>
        <v>R063169</v>
      </c>
      <c r="C38" s="36" t="str">
        <f t="shared" si="0"/>
        <v>XEM</v>
      </c>
      <c r="D38" s="36">
        <f>'[6]NOI TAC 2026'!F40</f>
        <v>1</v>
      </c>
      <c r="E38" s="63">
        <f>'[6]NOI TAC 2026'!AL40</f>
        <v>851.55439999999999</v>
      </c>
      <c r="F38" s="61"/>
      <c r="G38" s="61"/>
      <c r="H38" s="61"/>
      <c r="I38" s="61"/>
      <c r="J38" s="61"/>
      <c r="K38" s="61"/>
      <c r="L38" s="61">
        <v>1</v>
      </c>
      <c r="M38" s="61"/>
      <c r="N38" s="52"/>
      <c r="O38" s="61"/>
      <c r="P38" s="61"/>
      <c r="Q38" s="61"/>
      <c r="R38" s="61">
        <f t="shared" si="1"/>
        <v>1</v>
      </c>
      <c r="T38" s="62">
        <f t="shared" si="16"/>
        <v>0</v>
      </c>
      <c r="U38" s="62">
        <f t="shared" si="16"/>
        <v>0</v>
      </c>
      <c r="V38" s="62">
        <f t="shared" si="16"/>
        <v>0</v>
      </c>
      <c r="W38" s="62">
        <f t="shared" si="15"/>
        <v>0</v>
      </c>
      <c r="X38" s="62">
        <f t="shared" si="15"/>
        <v>0</v>
      </c>
      <c r="Y38" s="62">
        <f t="shared" si="15"/>
        <v>0</v>
      </c>
      <c r="Z38" s="62">
        <f t="shared" si="15"/>
        <v>851.55439999999999</v>
      </c>
      <c r="AA38" s="62">
        <f t="shared" si="15"/>
        <v>0</v>
      </c>
      <c r="AB38" s="62">
        <f t="shared" si="15"/>
        <v>0</v>
      </c>
      <c r="AC38" s="62">
        <f t="shared" si="15"/>
        <v>0</v>
      </c>
      <c r="AD38" s="62">
        <f t="shared" si="15"/>
        <v>0</v>
      </c>
      <c r="AE38" s="62">
        <f t="shared" si="15"/>
        <v>0</v>
      </c>
      <c r="AG38" s="2" t="e">
        <v>#N/A</v>
      </c>
      <c r="AH38" s="293" t="e">
        <v>#N/A</v>
      </c>
      <c r="AI38" s="293" t="e">
        <v>#N/A</v>
      </c>
      <c r="AJ38" s="293" t="e">
        <v>#N/A</v>
      </c>
      <c r="AK38" s="2" t="e">
        <v>#N/A</v>
      </c>
      <c r="AL38" s="293" t="e">
        <v>#N/A</v>
      </c>
      <c r="AM38" s="61"/>
      <c r="AO38" s="232"/>
      <c r="AP38" s="237">
        <f t="shared" si="3"/>
        <v>0</v>
      </c>
      <c r="AQ38" s="237"/>
      <c r="AR38" s="237">
        <f t="shared" si="4"/>
        <v>0</v>
      </c>
      <c r="AS38" s="237"/>
      <c r="AT38" s="237">
        <f t="shared" si="5"/>
        <v>0</v>
      </c>
      <c r="AU38" s="237"/>
      <c r="AV38" s="237">
        <f t="shared" si="6"/>
        <v>0</v>
      </c>
      <c r="AW38" s="237"/>
      <c r="AX38" s="237">
        <f t="shared" si="7"/>
        <v>0</v>
      </c>
      <c r="AY38" s="237"/>
      <c r="AZ38" s="237">
        <f t="shared" si="8"/>
        <v>0</v>
      </c>
      <c r="BA38" s="237"/>
      <c r="BB38" s="76">
        <f t="shared" si="9"/>
        <v>0</v>
      </c>
      <c r="BC38" s="237"/>
      <c r="BD38" s="237">
        <f t="shared" si="10"/>
        <v>0</v>
      </c>
      <c r="BE38" s="237"/>
      <c r="BF38" s="237">
        <f t="shared" si="11"/>
        <v>0</v>
      </c>
      <c r="BG38" s="237"/>
      <c r="BH38" s="237">
        <f t="shared" si="12"/>
        <v>0</v>
      </c>
      <c r="BI38" s="237"/>
      <c r="BJ38" s="237">
        <f t="shared" si="13"/>
        <v>0</v>
      </c>
      <c r="BK38" s="237"/>
      <c r="BL38" s="237">
        <f t="shared" si="14"/>
        <v>0</v>
      </c>
    </row>
    <row r="39" spans="1:64" hidden="1">
      <c r="A39" s="61">
        <v>35</v>
      </c>
      <c r="B39" s="65" t="str">
        <f>'[6]NOI TAC 2026'!B41</f>
        <v>R422776</v>
      </c>
      <c r="C39" s="36" t="str">
        <f t="shared" si="0"/>
        <v>XEM</v>
      </c>
      <c r="D39" s="36">
        <f>'[6]NOI TAC 2026'!F41</f>
        <v>4</v>
      </c>
      <c r="E39" s="63">
        <f>'[6]NOI TAC 2026'!AL41</f>
        <v>164.37479999999999</v>
      </c>
      <c r="F39" s="61"/>
      <c r="G39" s="61"/>
      <c r="H39" s="61"/>
      <c r="I39" s="61">
        <v>1</v>
      </c>
      <c r="J39" s="61"/>
      <c r="K39" s="61"/>
      <c r="L39" s="61">
        <v>1</v>
      </c>
      <c r="M39" s="61"/>
      <c r="N39" s="52">
        <v>1</v>
      </c>
      <c r="O39" s="61"/>
      <c r="P39" s="61"/>
      <c r="Q39" s="61">
        <v>1</v>
      </c>
      <c r="R39" s="61">
        <f t="shared" si="1"/>
        <v>4</v>
      </c>
      <c r="T39" s="62">
        <f t="shared" si="16"/>
        <v>0</v>
      </c>
      <c r="U39" s="62">
        <f t="shared" si="16"/>
        <v>0</v>
      </c>
      <c r="V39" s="62">
        <f t="shared" si="16"/>
        <v>0</v>
      </c>
      <c r="W39" s="62">
        <f t="shared" si="15"/>
        <v>164.37479999999999</v>
      </c>
      <c r="X39" s="62">
        <f t="shared" si="15"/>
        <v>0</v>
      </c>
      <c r="Y39" s="62">
        <f t="shared" si="15"/>
        <v>0</v>
      </c>
      <c r="Z39" s="62">
        <f t="shared" si="15"/>
        <v>164.37479999999999</v>
      </c>
      <c r="AA39" s="62">
        <f t="shared" si="15"/>
        <v>0</v>
      </c>
      <c r="AB39" s="62">
        <f t="shared" si="15"/>
        <v>164.37479999999999</v>
      </c>
      <c r="AC39" s="62">
        <f t="shared" si="15"/>
        <v>0</v>
      </c>
      <c r="AD39" s="62">
        <f t="shared" si="15"/>
        <v>0</v>
      </c>
      <c r="AE39" s="62">
        <f t="shared" si="15"/>
        <v>164.37479999999999</v>
      </c>
      <c r="AG39" s="2" t="e">
        <v>#N/A</v>
      </c>
      <c r="AH39" s="293" t="e">
        <v>#N/A</v>
      </c>
      <c r="AI39" s="293" t="e">
        <v>#N/A</v>
      </c>
      <c r="AJ39" s="293" t="e">
        <v>#N/A</v>
      </c>
      <c r="AK39" s="2" t="e">
        <v>#N/A</v>
      </c>
      <c r="AL39" s="293" t="e">
        <v>#N/A</v>
      </c>
      <c r="AM39" s="61"/>
      <c r="AO39" s="232"/>
      <c r="AP39" s="237">
        <f t="shared" si="3"/>
        <v>0</v>
      </c>
      <c r="AQ39" s="237"/>
      <c r="AR39" s="237">
        <f t="shared" si="4"/>
        <v>0</v>
      </c>
      <c r="AS39" s="237"/>
      <c r="AT39" s="237">
        <f t="shared" si="5"/>
        <v>0</v>
      </c>
      <c r="AU39" s="237"/>
      <c r="AV39" s="237">
        <f t="shared" si="6"/>
        <v>0</v>
      </c>
      <c r="AW39" s="237"/>
      <c r="AX39" s="237">
        <f t="shared" si="7"/>
        <v>0</v>
      </c>
      <c r="AY39" s="237"/>
      <c r="AZ39" s="237">
        <f t="shared" si="8"/>
        <v>0</v>
      </c>
      <c r="BA39" s="237"/>
      <c r="BB39" s="76">
        <f t="shared" si="9"/>
        <v>0</v>
      </c>
      <c r="BC39" s="237"/>
      <c r="BD39" s="237">
        <f t="shared" si="10"/>
        <v>0</v>
      </c>
      <c r="BE39" s="237"/>
      <c r="BF39" s="237">
        <f t="shared" si="11"/>
        <v>0</v>
      </c>
      <c r="BG39" s="237"/>
      <c r="BH39" s="237">
        <f t="shared" si="12"/>
        <v>0</v>
      </c>
      <c r="BI39" s="237"/>
      <c r="BJ39" s="237">
        <f t="shared" si="13"/>
        <v>0</v>
      </c>
      <c r="BK39" s="237"/>
      <c r="BL39" s="237">
        <f t="shared" si="14"/>
        <v>0</v>
      </c>
    </row>
    <row r="40" spans="1:64" hidden="1">
      <c r="A40" s="61">
        <v>36</v>
      </c>
      <c r="B40" s="65" t="str">
        <f>'[6]NOI TAC 2026'!B42</f>
        <v>R530898</v>
      </c>
      <c r="C40" s="36" t="str">
        <f t="shared" si="0"/>
        <v>XEM</v>
      </c>
      <c r="D40" s="36">
        <f>'[6]NOI TAC 2026'!F42</f>
        <v>1</v>
      </c>
      <c r="E40" s="63">
        <f>'[6]NOI TAC 2026'!AL42</f>
        <v>172.28359999999998</v>
      </c>
      <c r="F40" s="61">
        <v>1</v>
      </c>
      <c r="G40" s="61"/>
      <c r="H40" s="61"/>
      <c r="I40" s="61"/>
      <c r="J40" s="61"/>
      <c r="K40" s="61"/>
      <c r="L40" s="61"/>
      <c r="M40" s="61"/>
      <c r="N40" s="52"/>
      <c r="O40" s="61"/>
      <c r="P40" s="61"/>
      <c r="Q40" s="61"/>
      <c r="R40" s="61">
        <f t="shared" si="1"/>
        <v>1</v>
      </c>
      <c r="T40" s="62">
        <f t="shared" si="16"/>
        <v>172.28359999999998</v>
      </c>
      <c r="U40" s="62">
        <f t="shared" si="16"/>
        <v>0</v>
      </c>
      <c r="V40" s="62">
        <f t="shared" si="16"/>
        <v>0</v>
      </c>
      <c r="W40" s="62">
        <f t="shared" si="15"/>
        <v>0</v>
      </c>
      <c r="X40" s="62">
        <f t="shared" si="15"/>
        <v>0</v>
      </c>
      <c r="Y40" s="62">
        <f t="shared" si="15"/>
        <v>0</v>
      </c>
      <c r="Z40" s="62">
        <f t="shared" si="15"/>
        <v>0</v>
      </c>
      <c r="AA40" s="62">
        <f t="shared" si="15"/>
        <v>0</v>
      </c>
      <c r="AB40" s="62">
        <f t="shared" si="15"/>
        <v>0</v>
      </c>
      <c r="AC40" s="62">
        <f t="shared" si="15"/>
        <v>0</v>
      </c>
      <c r="AD40" s="62">
        <f t="shared" si="15"/>
        <v>0</v>
      </c>
      <c r="AE40" s="62">
        <f t="shared" si="15"/>
        <v>0</v>
      </c>
      <c r="AG40" s="2" t="e">
        <v>#N/A</v>
      </c>
      <c r="AH40" s="293" t="e">
        <v>#N/A</v>
      </c>
      <c r="AI40" s="293" t="e">
        <v>#N/A</v>
      </c>
      <c r="AJ40" s="293" t="e">
        <v>#N/A</v>
      </c>
      <c r="AK40" s="2" t="e">
        <v>#N/A</v>
      </c>
      <c r="AL40" s="293" t="e">
        <v>#N/A</v>
      </c>
      <c r="AM40" s="61"/>
      <c r="AO40" s="232"/>
      <c r="AP40" s="237">
        <f t="shared" si="3"/>
        <v>0</v>
      </c>
      <c r="AQ40" s="237"/>
      <c r="AR40" s="237">
        <f t="shared" si="4"/>
        <v>0</v>
      </c>
      <c r="AS40" s="237"/>
      <c r="AT40" s="237">
        <f t="shared" si="5"/>
        <v>0</v>
      </c>
      <c r="AU40" s="237"/>
      <c r="AV40" s="237">
        <f t="shared" si="6"/>
        <v>0</v>
      </c>
      <c r="AW40" s="237"/>
      <c r="AX40" s="237">
        <f t="shared" si="7"/>
        <v>0</v>
      </c>
      <c r="AY40" s="237"/>
      <c r="AZ40" s="237">
        <f t="shared" si="8"/>
        <v>0</v>
      </c>
      <c r="BA40" s="237"/>
      <c r="BB40" s="76">
        <f t="shared" si="9"/>
        <v>0</v>
      </c>
      <c r="BC40" s="237"/>
      <c r="BD40" s="237">
        <f t="shared" si="10"/>
        <v>0</v>
      </c>
      <c r="BE40" s="237"/>
      <c r="BF40" s="237">
        <f t="shared" si="11"/>
        <v>0</v>
      </c>
      <c r="BG40" s="237"/>
      <c r="BH40" s="237">
        <f t="shared" si="12"/>
        <v>0</v>
      </c>
      <c r="BI40" s="237"/>
      <c r="BJ40" s="237">
        <f t="shared" si="13"/>
        <v>0</v>
      </c>
      <c r="BK40" s="237"/>
      <c r="BL40" s="237">
        <f t="shared" si="14"/>
        <v>0</v>
      </c>
    </row>
    <row r="41" spans="1:64" hidden="1">
      <c r="A41" s="61">
        <v>37</v>
      </c>
      <c r="B41" s="65" t="str">
        <f>'[6]NOI TAC 2026'!B43</f>
        <v>R558748</v>
      </c>
      <c r="C41" s="36" t="str">
        <f t="shared" si="0"/>
        <v>XEM</v>
      </c>
      <c r="D41" s="36">
        <f>'[6]NOI TAC 2026'!F43</f>
        <v>1</v>
      </c>
      <c r="E41" s="63">
        <f>'[6]NOI TAC 2026'!AL43</f>
        <v>230.97564543269232</v>
      </c>
      <c r="F41" s="61"/>
      <c r="G41" s="61"/>
      <c r="H41" s="61">
        <v>1</v>
      </c>
      <c r="I41" s="61"/>
      <c r="J41" s="61"/>
      <c r="K41" s="61"/>
      <c r="L41" s="61"/>
      <c r="M41" s="61"/>
      <c r="N41" s="52"/>
      <c r="O41" s="61"/>
      <c r="P41" s="61"/>
      <c r="Q41" s="61"/>
      <c r="R41" s="61">
        <f t="shared" si="1"/>
        <v>1</v>
      </c>
      <c r="T41" s="62">
        <f t="shared" si="16"/>
        <v>0</v>
      </c>
      <c r="U41" s="62">
        <f t="shared" si="16"/>
        <v>0</v>
      </c>
      <c r="V41" s="62">
        <f t="shared" si="16"/>
        <v>230.97564543269232</v>
      </c>
      <c r="W41" s="62">
        <f t="shared" si="15"/>
        <v>0</v>
      </c>
      <c r="X41" s="62">
        <f t="shared" si="15"/>
        <v>0</v>
      </c>
      <c r="Y41" s="62">
        <f t="shared" si="15"/>
        <v>0</v>
      </c>
      <c r="Z41" s="62">
        <f t="shared" si="15"/>
        <v>0</v>
      </c>
      <c r="AA41" s="62">
        <f t="shared" si="15"/>
        <v>0</v>
      </c>
      <c r="AB41" s="62">
        <f t="shared" si="15"/>
        <v>0</v>
      </c>
      <c r="AC41" s="62">
        <f t="shared" si="15"/>
        <v>0</v>
      </c>
      <c r="AD41" s="62">
        <f t="shared" si="15"/>
        <v>0</v>
      </c>
      <c r="AE41" s="62">
        <f t="shared" si="15"/>
        <v>0</v>
      </c>
      <c r="AG41" s="2" t="e">
        <v>#N/A</v>
      </c>
      <c r="AH41" s="293" t="e">
        <v>#N/A</v>
      </c>
      <c r="AI41" s="293" t="e">
        <v>#N/A</v>
      </c>
      <c r="AJ41" s="293" t="e">
        <v>#N/A</v>
      </c>
      <c r="AK41" s="2" t="e">
        <v>#N/A</v>
      </c>
      <c r="AL41" s="293" t="e">
        <v>#N/A</v>
      </c>
      <c r="AM41" s="61"/>
      <c r="AO41" s="232"/>
      <c r="AP41" s="237">
        <f t="shared" si="3"/>
        <v>0</v>
      </c>
      <c r="AQ41" s="237"/>
      <c r="AR41" s="237">
        <f t="shared" si="4"/>
        <v>0</v>
      </c>
      <c r="AS41" s="237"/>
      <c r="AT41" s="237">
        <f t="shared" si="5"/>
        <v>0</v>
      </c>
      <c r="AU41" s="237"/>
      <c r="AV41" s="237">
        <f t="shared" si="6"/>
        <v>0</v>
      </c>
      <c r="AW41" s="237"/>
      <c r="AX41" s="237">
        <f t="shared" si="7"/>
        <v>0</v>
      </c>
      <c r="AY41" s="237"/>
      <c r="AZ41" s="237">
        <f t="shared" si="8"/>
        <v>0</v>
      </c>
      <c r="BA41" s="237"/>
      <c r="BB41" s="76">
        <f t="shared" si="9"/>
        <v>0</v>
      </c>
      <c r="BC41" s="237"/>
      <c r="BD41" s="237">
        <f t="shared" si="10"/>
        <v>0</v>
      </c>
      <c r="BE41" s="237"/>
      <c r="BF41" s="237">
        <f t="shared" si="11"/>
        <v>0</v>
      </c>
      <c r="BG41" s="237"/>
      <c r="BH41" s="237">
        <f t="shared" si="12"/>
        <v>0</v>
      </c>
      <c r="BI41" s="237"/>
      <c r="BJ41" s="237">
        <f t="shared" si="13"/>
        <v>0</v>
      </c>
      <c r="BK41" s="237"/>
      <c r="BL41" s="237">
        <f t="shared" si="14"/>
        <v>0</v>
      </c>
    </row>
    <row r="42" spans="1:64" hidden="1">
      <c r="A42" s="61">
        <v>38</v>
      </c>
      <c r="B42" s="65" t="str">
        <f>'[6]NOI TAC 2026'!B44</f>
        <v>S156674</v>
      </c>
      <c r="C42" s="36" t="str">
        <f t="shared" si="0"/>
        <v>XEM</v>
      </c>
      <c r="D42" s="36">
        <f>'[6]NOI TAC 2026'!F44</f>
        <v>1</v>
      </c>
      <c r="E42" s="63">
        <f>'[6]NOI TAC 2026'!AL44</f>
        <v>227.13943846153848</v>
      </c>
      <c r="F42" s="61"/>
      <c r="G42" s="61"/>
      <c r="H42" s="61"/>
      <c r="I42" s="61">
        <v>1</v>
      </c>
      <c r="J42" s="61"/>
      <c r="K42" s="61"/>
      <c r="L42" s="61"/>
      <c r="M42" s="61"/>
      <c r="N42" s="52"/>
      <c r="O42" s="61"/>
      <c r="P42" s="61"/>
      <c r="Q42" s="61"/>
      <c r="R42" s="61">
        <f t="shared" si="1"/>
        <v>1</v>
      </c>
      <c r="T42" s="62">
        <f t="shared" si="16"/>
        <v>0</v>
      </c>
      <c r="U42" s="62">
        <f t="shared" si="16"/>
        <v>0</v>
      </c>
      <c r="V42" s="62">
        <f t="shared" si="16"/>
        <v>0</v>
      </c>
      <c r="W42" s="62">
        <f t="shared" si="15"/>
        <v>227.13943846153848</v>
      </c>
      <c r="X42" s="62">
        <f t="shared" si="15"/>
        <v>0</v>
      </c>
      <c r="Y42" s="62">
        <f t="shared" si="15"/>
        <v>0</v>
      </c>
      <c r="Z42" s="62">
        <f t="shared" si="15"/>
        <v>0</v>
      </c>
      <c r="AA42" s="62">
        <f t="shared" si="15"/>
        <v>0</v>
      </c>
      <c r="AB42" s="62">
        <f t="shared" si="15"/>
        <v>0</v>
      </c>
      <c r="AC42" s="62">
        <f t="shared" si="15"/>
        <v>0</v>
      </c>
      <c r="AD42" s="62">
        <f t="shared" si="15"/>
        <v>0</v>
      </c>
      <c r="AE42" s="62">
        <f t="shared" si="15"/>
        <v>0</v>
      </c>
      <c r="AG42" s="2" t="e">
        <v>#N/A</v>
      </c>
      <c r="AH42" s="293" t="e">
        <v>#N/A</v>
      </c>
      <c r="AI42" s="293" t="e">
        <v>#N/A</v>
      </c>
      <c r="AJ42" s="293" t="e">
        <v>#N/A</v>
      </c>
      <c r="AK42" s="2" t="e">
        <v>#N/A</v>
      </c>
      <c r="AL42" s="293" t="e">
        <v>#N/A</v>
      </c>
      <c r="AM42" s="61"/>
      <c r="AO42" s="232"/>
      <c r="AP42" s="237">
        <f t="shared" si="3"/>
        <v>0</v>
      </c>
      <c r="AQ42" s="237"/>
      <c r="AR42" s="237">
        <f t="shared" si="4"/>
        <v>0</v>
      </c>
      <c r="AS42" s="237"/>
      <c r="AT42" s="237">
        <f t="shared" si="5"/>
        <v>0</v>
      </c>
      <c r="AU42" s="237"/>
      <c r="AV42" s="237">
        <f t="shared" si="6"/>
        <v>0</v>
      </c>
      <c r="AW42" s="237"/>
      <c r="AX42" s="237">
        <f t="shared" si="7"/>
        <v>0</v>
      </c>
      <c r="AY42" s="237"/>
      <c r="AZ42" s="237">
        <f t="shared" si="8"/>
        <v>0</v>
      </c>
      <c r="BA42" s="237"/>
      <c r="BB42" s="76">
        <f t="shared" si="9"/>
        <v>0</v>
      </c>
      <c r="BC42" s="237"/>
      <c r="BD42" s="237">
        <f t="shared" si="10"/>
        <v>0</v>
      </c>
      <c r="BE42" s="237"/>
      <c r="BF42" s="237">
        <f t="shared" si="11"/>
        <v>0</v>
      </c>
      <c r="BG42" s="237"/>
      <c r="BH42" s="237">
        <f t="shared" si="12"/>
        <v>0</v>
      </c>
      <c r="BI42" s="237"/>
      <c r="BJ42" s="237">
        <f t="shared" si="13"/>
        <v>0</v>
      </c>
      <c r="BK42" s="237"/>
      <c r="BL42" s="237">
        <f t="shared" si="14"/>
        <v>0</v>
      </c>
    </row>
    <row r="43" spans="1:64" hidden="1">
      <c r="A43" s="61">
        <v>39</v>
      </c>
      <c r="B43" s="65" t="str">
        <f>'[6]NOI TAC 2026'!B45</f>
        <v>S740084</v>
      </c>
      <c r="C43" s="36" t="str">
        <f t="shared" si="0"/>
        <v>XEM</v>
      </c>
      <c r="D43" s="36">
        <f>'[6]NOI TAC 2026'!F45</f>
        <v>2</v>
      </c>
      <c r="E43" s="63">
        <f>'[6]NOI TAC 2026'!AL45</f>
        <v>97.460800000000006</v>
      </c>
      <c r="F43" s="61"/>
      <c r="G43" s="61"/>
      <c r="H43" s="61"/>
      <c r="I43" s="61"/>
      <c r="J43" s="61">
        <v>1</v>
      </c>
      <c r="K43" s="61"/>
      <c r="L43" s="61"/>
      <c r="M43" s="61">
        <v>1</v>
      </c>
      <c r="N43" s="61"/>
      <c r="O43" s="52"/>
      <c r="P43" s="61"/>
      <c r="Q43" s="61"/>
      <c r="R43" s="61">
        <f t="shared" si="1"/>
        <v>2</v>
      </c>
      <c r="T43" s="62">
        <f t="shared" si="16"/>
        <v>0</v>
      </c>
      <c r="U43" s="62">
        <f t="shared" si="16"/>
        <v>0</v>
      </c>
      <c r="V43" s="62">
        <f t="shared" si="16"/>
        <v>0</v>
      </c>
      <c r="W43" s="62">
        <f t="shared" si="15"/>
        <v>0</v>
      </c>
      <c r="X43" s="62">
        <f t="shared" si="15"/>
        <v>97.460800000000006</v>
      </c>
      <c r="Y43" s="62">
        <f t="shared" si="15"/>
        <v>0</v>
      </c>
      <c r="Z43" s="62">
        <f t="shared" si="15"/>
        <v>0</v>
      </c>
      <c r="AA43" s="62">
        <f t="shared" si="15"/>
        <v>97.460800000000006</v>
      </c>
      <c r="AB43" s="62">
        <f t="shared" si="15"/>
        <v>0</v>
      </c>
      <c r="AC43" s="62">
        <f t="shared" si="15"/>
        <v>0</v>
      </c>
      <c r="AD43" s="62">
        <f t="shared" si="15"/>
        <v>0</v>
      </c>
      <c r="AE43" s="62">
        <f t="shared" si="15"/>
        <v>0</v>
      </c>
      <c r="AG43" s="2" t="e">
        <v>#N/A</v>
      </c>
      <c r="AH43" s="293" t="e">
        <v>#N/A</v>
      </c>
      <c r="AI43" s="293" t="e">
        <v>#N/A</v>
      </c>
      <c r="AJ43" s="293" t="e">
        <v>#N/A</v>
      </c>
      <c r="AK43" s="2" t="e">
        <v>#N/A</v>
      </c>
      <c r="AL43" s="293" t="e">
        <v>#N/A</v>
      </c>
      <c r="AM43" s="61"/>
      <c r="AO43" s="232"/>
      <c r="AP43" s="237">
        <f t="shared" si="3"/>
        <v>0</v>
      </c>
      <c r="AQ43" s="237"/>
      <c r="AR43" s="237">
        <f t="shared" si="4"/>
        <v>0</v>
      </c>
      <c r="AS43" s="237"/>
      <c r="AT43" s="237">
        <f t="shared" si="5"/>
        <v>0</v>
      </c>
      <c r="AU43" s="237"/>
      <c r="AV43" s="237">
        <f t="shared" si="6"/>
        <v>0</v>
      </c>
      <c r="AW43" s="237"/>
      <c r="AX43" s="237">
        <f t="shared" si="7"/>
        <v>0</v>
      </c>
      <c r="AY43" s="237"/>
      <c r="AZ43" s="237">
        <f t="shared" si="8"/>
        <v>0</v>
      </c>
      <c r="BA43" s="237"/>
      <c r="BB43" s="76">
        <f t="shared" si="9"/>
        <v>0</v>
      </c>
      <c r="BC43" s="237"/>
      <c r="BD43" s="237">
        <f t="shared" si="10"/>
        <v>0</v>
      </c>
      <c r="BE43" s="237"/>
      <c r="BF43" s="237">
        <f t="shared" si="11"/>
        <v>0</v>
      </c>
      <c r="BG43" s="237"/>
      <c r="BH43" s="237">
        <f t="shared" si="12"/>
        <v>0</v>
      </c>
      <c r="BI43" s="237"/>
      <c r="BJ43" s="237">
        <f t="shared" si="13"/>
        <v>0</v>
      </c>
      <c r="BK43" s="237"/>
      <c r="BL43" s="237">
        <f t="shared" si="14"/>
        <v>0</v>
      </c>
    </row>
    <row r="44" spans="1:64" ht="18" thickBot="1">
      <c r="A44" s="61">
        <v>40</v>
      </c>
      <c r="B44" s="65" t="str">
        <f>'[6]NOI TAC 2026'!B46</f>
        <v>S880855</v>
      </c>
      <c r="C44" s="36" t="str">
        <f t="shared" si="0"/>
        <v>XEM</v>
      </c>
      <c r="D44" s="36">
        <f>'[6]NOI TAC 2026'!F46</f>
        <v>25</v>
      </c>
      <c r="E44" s="63">
        <f>'[6]NOI TAC 2026'!AL46</f>
        <v>213.67079999999999</v>
      </c>
      <c r="F44" s="61">
        <v>5</v>
      </c>
      <c r="G44" s="61"/>
      <c r="H44" s="61">
        <v>5</v>
      </c>
      <c r="I44" s="61"/>
      <c r="J44" s="61">
        <v>5</v>
      </c>
      <c r="K44" s="61"/>
      <c r="L44" s="61"/>
      <c r="M44" s="61">
        <v>5</v>
      </c>
      <c r="N44" s="61"/>
      <c r="O44" s="52"/>
      <c r="P44" s="61"/>
      <c r="Q44" s="61">
        <v>5</v>
      </c>
      <c r="R44" s="61">
        <f t="shared" si="1"/>
        <v>25</v>
      </c>
      <c r="T44" s="62">
        <f t="shared" si="16"/>
        <v>1068.3539999999998</v>
      </c>
      <c r="U44" s="62">
        <f t="shared" si="16"/>
        <v>0</v>
      </c>
      <c r="V44" s="62">
        <f t="shared" si="16"/>
        <v>1068.3539999999998</v>
      </c>
      <c r="W44" s="62">
        <f t="shared" si="15"/>
        <v>0</v>
      </c>
      <c r="X44" s="62">
        <f t="shared" si="15"/>
        <v>1068.3539999999998</v>
      </c>
      <c r="Y44" s="62">
        <f t="shared" si="15"/>
        <v>0</v>
      </c>
      <c r="Z44" s="62">
        <f t="shared" si="15"/>
        <v>0</v>
      </c>
      <c r="AA44" s="62">
        <f t="shared" si="15"/>
        <v>1068.3539999999998</v>
      </c>
      <c r="AB44" s="62">
        <f t="shared" si="15"/>
        <v>0</v>
      </c>
      <c r="AC44" s="62">
        <f t="shared" si="15"/>
        <v>0</v>
      </c>
      <c r="AD44" s="62">
        <f t="shared" si="15"/>
        <v>0</v>
      </c>
      <c r="AE44" s="62">
        <f t="shared" si="15"/>
        <v>1068.3539999999998</v>
      </c>
      <c r="AG44" s="370" t="s">
        <v>877</v>
      </c>
      <c r="AH44" s="293">
        <v>1</v>
      </c>
      <c r="AI44" s="293">
        <v>10</v>
      </c>
      <c r="AJ44" s="293" t="s">
        <v>116</v>
      </c>
      <c r="AK44" s="2" t="s">
        <v>858</v>
      </c>
      <c r="AL44" s="371">
        <v>46083</v>
      </c>
      <c r="AM44" s="61" t="s">
        <v>613</v>
      </c>
      <c r="AO44" s="232">
        <v>6</v>
      </c>
      <c r="AP44" s="237">
        <f t="shared" si="3"/>
        <v>1282.0247999999999</v>
      </c>
      <c r="AQ44" s="237"/>
      <c r="AR44" s="237">
        <f t="shared" si="4"/>
        <v>0</v>
      </c>
      <c r="AS44" s="237">
        <v>2</v>
      </c>
      <c r="AT44" s="237">
        <f t="shared" si="5"/>
        <v>427.34159999999997</v>
      </c>
      <c r="AU44" s="237"/>
      <c r="AV44" s="237">
        <f t="shared" si="6"/>
        <v>0</v>
      </c>
      <c r="AW44" s="237"/>
      <c r="AX44" s="237">
        <f t="shared" si="7"/>
        <v>0</v>
      </c>
      <c r="AY44" s="237"/>
      <c r="AZ44" s="237">
        <f t="shared" si="8"/>
        <v>0</v>
      </c>
      <c r="BA44" s="237"/>
      <c r="BB44" s="76">
        <f t="shared" si="9"/>
        <v>0</v>
      </c>
      <c r="BC44" s="237"/>
      <c r="BD44" s="237">
        <f t="shared" si="10"/>
        <v>0</v>
      </c>
      <c r="BE44" s="237"/>
      <c r="BF44" s="237">
        <f t="shared" si="11"/>
        <v>0</v>
      </c>
      <c r="BG44" s="237"/>
      <c r="BH44" s="237">
        <f t="shared" si="12"/>
        <v>0</v>
      </c>
      <c r="BI44" s="237"/>
      <c r="BJ44" s="237">
        <f t="shared" si="13"/>
        <v>0</v>
      </c>
      <c r="BK44" s="237"/>
      <c r="BL44" s="237">
        <f t="shared" si="14"/>
        <v>0</v>
      </c>
    </row>
    <row r="45" spans="1:64" hidden="1">
      <c r="A45" s="61">
        <v>41</v>
      </c>
      <c r="B45" s="65" t="str">
        <f>'[6]NOI TAC 2026'!B47</f>
        <v>S899744</v>
      </c>
      <c r="C45" s="36" t="str">
        <f t="shared" si="0"/>
        <v>XEM</v>
      </c>
      <c r="D45" s="36">
        <f>'[6]NOI TAC 2026'!F47</f>
        <v>1</v>
      </c>
      <c r="E45" s="63">
        <f>'[6]NOI TAC 2026'!AL47</f>
        <v>376.53480000000002</v>
      </c>
      <c r="F45" s="61"/>
      <c r="G45" s="61"/>
      <c r="H45" s="61"/>
      <c r="I45" s="61">
        <v>1</v>
      </c>
      <c r="J45" s="61"/>
      <c r="K45" s="61"/>
      <c r="L45" s="61"/>
      <c r="M45" s="61"/>
      <c r="N45" s="61"/>
      <c r="O45" s="52"/>
      <c r="P45" s="61"/>
      <c r="Q45" s="61"/>
      <c r="R45" s="61">
        <f t="shared" si="1"/>
        <v>1</v>
      </c>
      <c r="T45" s="62">
        <f t="shared" si="16"/>
        <v>0</v>
      </c>
      <c r="U45" s="62">
        <f t="shared" si="16"/>
        <v>0</v>
      </c>
      <c r="V45" s="62">
        <f t="shared" si="16"/>
        <v>0</v>
      </c>
      <c r="W45" s="62">
        <f t="shared" si="15"/>
        <v>376.53480000000002</v>
      </c>
      <c r="X45" s="62">
        <f t="shared" si="15"/>
        <v>0</v>
      </c>
      <c r="Y45" s="62">
        <f t="shared" si="15"/>
        <v>0</v>
      </c>
      <c r="Z45" s="62">
        <f t="shared" si="15"/>
        <v>0</v>
      </c>
      <c r="AA45" s="62">
        <f t="shared" si="15"/>
        <v>0</v>
      </c>
      <c r="AB45" s="62">
        <f t="shared" si="15"/>
        <v>0</v>
      </c>
      <c r="AC45" s="62">
        <f t="shared" si="15"/>
        <v>0</v>
      </c>
      <c r="AD45" s="62">
        <f t="shared" si="15"/>
        <v>0</v>
      </c>
      <c r="AE45" s="62">
        <f t="shared" si="15"/>
        <v>0</v>
      </c>
      <c r="AG45" s="2" t="e">
        <v>#N/A</v>
      </c>
      <c r="AH45" s="293" t="e">
        <v>#N/A</v>
      </c>
      <c r="AI45" s="293" t="e">
        <v>#N/A</v>
      </c>
      <c r="AJ45" s="293" t="e">
        <v>#N/A</v>
      </c>
      <c r="AK45" s="2" t="e">
        <v>#N/A</v>
      </c>
      <c r="AL45" s="293" t="e">
        <v>#N/A</v>
      </c>
      <c r="AM45" s="61"/>
      <c r="AO45" s="232"/>
      <c r="AP45" s="237">
        <f t="shared" si="3"/>
        <v>0</v>
      </c>
      <c r="AQ45" s="237"/>
      <c r="AR45" s="237">
        <f t="shared" si="4"/>
        <v>0</v>
      </c>
      <c r="AS45" s="237"/>
      <c r="AT45" s="237">
        <f t="shared" si="5"/>
        <v>0</v>
      </c>
      <c r="AU45" s="237"/>
      <c r="AV45" s="237">
        <f t="shared" si="6"/>
        <v>0</v>
      </c>
      <c r="AW45" s="237"/>
      <c r="AX45" s="237">
        <f t="shared" si="7"/>
        <v>0</v>
      </c>
      <c r="AY45" s="237"/>
      <c r="AZ45" s="237">
        <f t="shared" si="8"/>
        <v>0</v>
      </c>
      <c r="BA45" s="237"/>
      <c r="BB45" s="76">
        <f t="shared" si="9"/>
        <v>0</v>
      </c>
      <c r="BC45" s="237"/>
      <c r="BD45" s="237">
        <f t="shared" si="10"/>
        <v>0</v>
      </c>
      <c r="BE45" s="237"/>
      <c r="BF45" s="237">
        <f t="shared" si="11"/>
        <v>0</v>
      </c>
      <c r="BG45" s="237"/>
      <c r="BH45" s="237">
        <f t="shared" si="12"/>
        <v>0</v>
      </c>
      <c r="BI45" s="237"/>
      <c r="BJ45" s="237">
        <f t="shared" si="13"/>
        <v>0</v>
      </c>
      <c r="BK45" s="237"/>
      <c r="BL45" s="237">
        <f t="shared" si="14"/>
        <v>0</v>
      </c>
    </row>
    <row r="46" spans="1:64" hidden="1">
      <c r="A46" s="61">
        <v>42</v>
      </c>
      <c r="B46" s="65" t="str">
        <f>'[6]NOI TAC 2026'!B48</f>
        <v>S788281</v>
      </c>
      <c r="C46" s="36" t="str">
        <f t="shared" si="0"/>
        <v>XEM</v>
      </c>
      <c r="D46" s="36">
        <f>'[6]NOI TAC 2026'!F48</f>
        <v>1</v>
      </c>
      <c r="E46" s="63">
        <f>'[6]NOI TAC 2026'!AL48</f>
        <v>1219.4599999999998</v>
      </c>
      <c r="F46" s="61"/>
      <c r="G46" s="61"/>
      <c r="H46" s="61"/>
      <c r="I46" s="61"/>
      <c r="J46" s="61">
        <v>1</v>
      </c>
      <c r="K46" s="61"/>
      <c r="L46" s="61"/>
      <c r="M46" s="61"/>
      <c r="N46" s="61"/>
      <c r="O46" s="52"/>
      <c r="P46" s="61"/>
      <c r="Q46" s="61"/>
      <c r="R46" s="61">
        <f t="shared" si="1"/>
        <v>1</v>
      </c>
      <c r="T46" s="62">
        <f t="shared" si="16"/>
        <v>0</v>
      </c>
      <c r="U46" s="62">
        <f t="shared" si="16"/>
        <v>0</v>
      </c>
      <c r="V46" s="62">
        <f t="shared" si="16"/>
        <v>0</v>
      </c>
      <c r="W46" s="62">
        <f t="shared" si="15"/>
        <v>0</v>
      </c>
      <c r="X46" s="62">
        <f t="shared" si="15"/>
        <v>1219.4599999999998</v>
      </c>
      <c r="Y46" s="62">
        <f t="shared" si="15"/>
        <v>0</v>
      </c>
      <c r="Z46" s="62">
        <f t="shared" si="15"/>
        <v>0</v>
      </c>
      <c r="AA46" s="62">
        <f t="shared" si="15"/>
        <v>0</v>
      </c>
      <c r="AB46" s="62">
        <f t="shared" si="15"/>
        <v>0</v>
      </c>
      <c r="AC46" s="62">
        <f t="shared" si="15"/>
        <v>0</v>
      </c>
      <c r="AD46" s="62">
        <f t="shared" si="15"/>
        <v>0</v>
      </c>
      <c r="AE46" s="62">
        <f t="shared" si="15"/>
        <v>0</v>
      </c>
      <c r="AG46" s="2" t="e">
        <v>#N/A</v>
      </c>
      <c r="AH46" s="293" t="e">
        <v>#N/A</v>
      </c>
      <c r="AI46" s="293" t="e">
        <v>#N/A</v>
      </c>
      <c r="AJ46" s="293" t="e">
        <v>#N/A</v>
      </c>
      <c r="AK46" s="2" t="e">
        <v>#N/A</v>
      </c>
      <c r="AL46" s="293" t="e">
        <v>#N/A</v>
      </c>
      <c r="AM46" s="61"/>
      <c r="AO46" s="232"/>
      <c r="AP46" s="237">
        <f t="shared" si="3"/>
        <v>0</v>
      </c>
      <c r="AQ46" s="237"/>
      <c r="AR46" s="237">
        <f t="shared" si="4"/>
        <v>0</v>
      </c>
      <c r="AS46" s="237"/>
      <c r="AT46" s="237">
        <f t="shared" si="5"/>
        <v>0</v>
      </c>
      <c r="AU46" s="237"/>
      <c r="AV46" s="237">
        <f t="shared" si="6"/>
        <v>0</v>
      </c>
      <c r="AW46" s="237"/>
      <c r="AX46" s="237">
        <f t="shared" si="7"/>
        <v>0</v>
      </c>
      <c r="AY46" s="237"/>
      <c r="AZ46" s="237">
        <f t="shared" si="8"/>
        <v>0</v>
      </c>
      <c r="BA46" s="237"/>
      <c r="BB46" s="76">
        <f t="shared" si="9"/>
        <v>0</v>
      </c>
      <c r="BC46" s="237"/>
      <c r="BD46" s="237">
        <f t="shared" si="10"/>
        <v>0</v>
      </c>
      <c r="BE46" s="237"/>
      <c r="BF46" s="237">
        <f t="shared" si="11"/>
        <v>0</v>
      </c>
      <c r="BG46" s="237"/>
      <c r="BH46" s="237">
        <f t="shared" si="12"/>
        <v>0</v>
      </c>
      <c r="BI46" s="237"/>
      <c r="BJ46" s="237">
        <f t="shared" si="13"/>
        <v>0</v>
      </c>
      <c r="BK46" s="237"/>
      <c r="BL46" s="237">
        <f t="shared" si="14"/>
        <v>0</v>
      </c>
    </row>
    <row r="47" spans="1:64" hidden="1">
      <c r="A47" s="61">
        <v>43</v>
      </c>
      <c r="B47" s="65" t="str">
        <f>'[6]NOI TAC 2026'!B49</f>
        <v>S870534</v>
      </c>
      <c r="C47" s="36" t="str">
        <f t="shared" si="0"/>
        <v>XEM</v>
      </c>
      <c r="D47" s="36">
        <f>'[6]NOI TAC 2026'!F49</f>
        <v>1</v>
      </c>
      <c r="E47" s="63">
        <f>'[6]NOI TAC 2026'!AL49</f>
        <v>636.08823846153837</v>
      </c>
      <c r="F47" s="61"/>
      <c r="G47" s="61"/>
      <c r="H47" s="61"/>
      <c r="I47" s="61"/>
      <c r="J47" s="61"/>
      <c r="K47" s="61"/>
      <c r="L47" s="61">
        <v>1</v>
      </c>
      <c r="M47" s="61"/>
      <c r="N47" s="61"/>
      <c r="O47" s="64"/>
      <c r="P47" s="61"/>
      <c r="Q47" s="61"/>
      <c r="R47" s="61">
        <f t="shared" si="1"/>
        <v>1</v>
      </c>
      <c r="T47" s="62">
        <f t="shared" si="16"/>
        <v>0</v>
      </c>
      <c r="U47" s="62">
        <f t="shared" si="16"/>
        <v>0</v>
      </c>
      <c r="V47" s="62">
        <f t="shared" si="16"/>
        <v>0</v>
      </c>
      <c r="W47" s="62">
        <f t="shared" si="15"/>
        <v>0</v>
      </c>
      <c r="X47" s="62">
        <f t="shared" si="15"/>
        <v>0</v>
      </c>
      <c r="Y47" s="62">
        <f t="shared" si="15"/>
        <v>0</v>
      </c>
      <c r="Z47" s="62">
        <f t="shared" si="15"/>
        <v>636.08823846153837</v>
      </c>
      <c r="AA47" s="62">
        <f t="shared" si="15"/>
        <v>0</v>
      </c>
      <c r="AB47" s="62">
        <f t="shared" si="15"/>
        <v>0</v>
      </c>
      <c r="AC47" s="62">
        <f t="shared" si="15"/>
        <v>0</v>
      </c>
      <c r="AD47" s="62">
        <f t="shared" si="15"/>
        <v>0</v>
      </c>
      <c r="AE47" s="62">
        <f t="shared" si="15"/>
        <v>0</v>
      </c>
      <c r="AG47" s="2" t="e">
        <v>#N/A</v>
      </c>
      <c r="AH47" s="293" t="e">
        <v>#N/A</v>
      </c>
      <c r="AI47" s="293" t="e">
        <v>#N/A</v>
      </c>
      <c r="AJ47" s="293" t="e">
        <v>#N/A</v>
      </c>
      <c r="AK47" s="2" t="e">
        <v>#N/A</v>
      </c>
      <c r="AL47" s="293" t="e">
        <v>#N/A</v>
      </c>
      <c r="AM47" s="61"/>
      <c r="AO47" s="232"/>
      <c r="AP47" s="237">
        <f t="shared" si="3"/>
        <v>0</v>
      </c>
      <c r="AQ47" s="237"/>
      <c r="AR47" s="237">
        <f t="shared" si="4"/>
        <v>0</v>
      </c>
      <c r="AS47" s="237"/>
      <c r="AT47" s="237">
        <f t="shared" si="5"/>
        <v>0</v>
      </c>
      <c r="AU47" s="237"/>
      <c r="AV47" s="237">
        <f t="shared" si="6"/>
        <v>0</v>
      </c>
      <c r="AW47" s="237"/>
      <c r="AX47" s="237">
        <f t="shared" si="7"/>
        <v>0</v>
      </c>
      <c r="AY47" s="237"/>
      <c r="AZ47" s="237">
        <f t="shared" si="8"/>
        <v>0</v>
      </c>
      <c r="BA47" s="237"/>
      <c r="BB47" s="76">
        <f t="shared" si="9"/>
        <v>0</v>
      </c>
      <c r="BC47" s="237"/>
      <c r="BD47" s="237">
        <f t="shared" si="10"/>
        <v>0</v>
      </c>
      <c r="BE47" s="237"/>
      <c r="BF47" s="237">
        <f t="shared" si="11"/>
        <v>0</v>
      </c>
      <c r="BG47" s="237"/>
      <c r="BH47" s="237">
        <f t="shared" si="12"/>
        <v>0</v>
      </c>
      <c r="BI47" s="237"/>
      <c r="BJ47" s="237">
        <f t="shared" si="13"/>
        <v>0</v>
      </c>
      <c r="BK47" s="237"/>
      <c r="BL47" s="237">
        <f t="shared" si="14"/>
        <v>0</v>
      </c>
    </row>
    <row r="48" spans="1:64" hidden="1">
      <c r="A48" s="61">
        <v>44</v>
      </c>
      <c r="B48" s="65" t="str">
        <f>'[6]NOI TAC 2026'!B50</f>
        <v>R063124</v>
      </c>
      <c r="C48" s="36" t="str">
        <f t="shared" si="0"/>
        <v>XEM</v>
      </c>
      <c r="D48" s="36">
        <f>'[6]NOI TAC 2026'!F50</f>
        <v>1</v>
      </c>
      <c r="E48" s="63">
        <f>'[6]NOI TAC 2026'!AL50</f>
        <v>540.6882384615385</v>
      </c>
      <c r="F48" s="61"/>
      <c r="G48" s="61"/>
      <c r="H48" s="61"/>
      <c r="I48" s="61"/>
      <c r="J48" s="61"/>
      <c r="K48" s="61"/>
      <c r="L48" s="61"/>
      <c r="M48" s="61">
        <v>1</v>
      </c>
      <c r="N48" s="61"/>
      <c r="O48" s="64"/>
      <c r="P48" s="61"/>
      <c r="Q48" s="61"/>
      <c r="R48" s="61">
        <f t="shared" si="1"/>
        <v>1</v>
      </c>
      <c r="T48" s="62">
        <f t="shared" si="16"/>
        <v>0</v>
      </c>
      <c r="U48" s="62">
        <f t="shared" si="16"/>
        <v>0</v>
      </c>
      <c r="V48" s="62">
        <f t="shared" si="16"/>
        <v>0</v>
      </c>
      <c r="W48" s="62">
        <f t="shared" si="15"/>
        <v>0</v>
      </c>
      <c r="X48" s="62">
        <f t="shared" si="15"/>
        <v>0</v>
      </c>
      <c r="Y48" s="62">
        <f t="shared" si="15"/>
        <v>0</v>
      </c>
      <c r="Z48" s="62">
        <f t="shared" si="15"/>
        <v>0</v>
      </c>
      <c r="AA48" s="62">
        <f t="shared" si="15"/>
        <v>540.6882384615385</v>
      </c>
      <c r="AB48" s="62">
        <f t="shared" si="15"/>
        <v>0</v>
      </c>
      <c r="AC48" s="62">
        <f t="shared" si="15"/>
        <v>0</v>
      </c>
      <c r="AD48" s="62">
        <f t="shared" si="15"/>
        <v>0</v>
      </c>
      <c r="AE48" s="62">
        <f t="shared" si="15"/>
        <v>0</v>
      </c>
      <c r="AG48" s="2" t="e">
        <v>#N/A</v>
      </c>
      <c r="AH48" s="293" t="e">
        <v>#N/A</v>
      </c>
      <c r="AI48" s="293" t="e">
        <v>#N/A</v>
      </c>
      <c r="AJ48" s="293" t="e">
        <v>#N/A</v>
      </c>
      <c r="AK48" s="2" t="e">
        <v>#N/A</v>
      </c>
      <c r="AL48" s="293" t="e">
        <v>#N/A</v>
      </c>
      <c r="AM48" s="61"/>
      <c r="AO48" s="232"/>
      <c r="AP48" s="237">
        <f t="shared" si="3"/>
        <v>0</v>
      </c>
      <c r="AQ48" s="237"/>
      <c r="AR48" s="237">
        <f t="shared" si="4"/>
        <v>0</v>
      </c>
      <c r="AS48" s="237"/>
      <c r="AT48" s="237">
        <f t="shared" si="5"/>
        <v>0</v>
      </c>
      <c r="AU48" s="237"/>
      <c r="AV48" s="237">
        <f t="shared" si="6"/>
        <v>0</v>
      </c>
      <c r="AW48" s="237"/>
      <c r="AX48" s="237">
        <f t="shared" si="7"/>
        <v>0</v>
      </c>
      <c r="AY48" s="237"/>
      <c r="AZ48" s="237">
        <f t="shared" si="8"/>
        <v>0</v>
      </c>
      <c r="BA48" s="237"/>
      <c r="BB48" s="76">
        <f t="shared" si="9"/>
        <v>0</v>
      </c>
      <c r="BC48" s="237"/>
      <c r="BD48" s="237">
        <f t="shared" si="10"/>
        <v>0</v>
      </c>
      <c r="BE48" s="237"/>
      <c r="BF48" s="237">
        <f t="shared" si="11"/>
        <v>0</v>
      </c>
      <c r="BG48" s="237"/>
      <c r="BH48" s="237">
        <f t="shared" si="12"/>
        <v>0</v>
      </c>
      <c r="BI48" s="237"/>
      <c r="BJ48" s="237">
        <f t="shared" si="13"/>
        <v>0</v>
      </c>
      <c r="BK48" s="237"/>
      <c r="BL48" s="237">
        <f t="shared" si="14"/>
        <v>0</v>
      </c>
    </row>
    <row r="49" spans="1:64" hidden="1">
      <c r="A49" s="61">
        <v>45</v>
      </c>
      <c r="B49" s="65" t="str">
        <f>'[6]NOI TAC 2026'!B51</f>
        <v>R028300</v>
      </c>
      <c r="C49" s="36" t="str">
        <f t="shared" si="0"/>
        <v>XEM</v>
      </c>
      <c r="D49" s="36">
        <f>'[6]NOI TAC 2026'!F51</f>
        <v>1</v>
      </c>
      <c r="E49" s="63">
        <f>'[6]NOI TAC 2026'!AL51</f>
        <v>697.14800000000002</v>
      </c>
      <c r="F49" s="61"/>
      <c r="G49" s="61"/>
      <c r="H49" s="61"/>
      <c r="I49" s="61"/>
      <c r="J49" s="61"/>
      <c r="K49" s="61"/>
      <c r="L49" s="61"/>
      <c r="M49" s="61"/>
      <c r="N49" s="61">
        <v>1</v>
      </c>
      <c r="O49" s="64"/>
      <c r="P49" s="61"/>
      <c r="Q49" s="61"/>
      <c r="R49" s="61">
        <f t="shared" si="1"/>
        <v>1</v>
      </c>
      <c r="T49" s="62">
        <f t="shared" si="16"/>
        <v>0</v>
      </c>
      <c r="U49" s="62">
        <f t="shared" si="16"/>
        <v>0</v>
      </c>
      <c r="V49" s="62">
        <f t="shared" si="16"/>
        <v>0</v>
      </c>
      <c r="W49" s="62">
        <f t="shared" si="15"/>
        <v>0</v>
      </c>
      <c r="X49" s="62">
        <f t="shared" si="15"/>
        <v>0</v>
      </c>
      <c r="Y49" s="62">
        <f t="shared" si="15"/>
        <v>0</v>
      </c>
      <c r="Z49" s="62">
        <f t="shared" si="15"/>
        <v>0</v>
      </c>
      <c r="AA49" s="62">
        <f t="shared" si="15"/>
        <v>0</v>
      </c>
      <c r="AB49" s="62">
        <f t="shared" si="15"/>
        <v>697.14800000000002</v>
      </c>
      <c r="AC49" s="62">
        <f t="shared" si="15"/>
        <v>0</v>
      </c>
      <c r="AD49" s="62">
        <f t="shared" si="15"/>
        <v>0</v>
      </c>
      <c r="AE49" s="62">
        <f t="shared" si="15"/>
        <v>0</v>
      </c>
      <c r="AG49" s="2" t="e">
        <v>#N/A</v>
      </c>
      <c r="AH49" s="293" t="e">
        <v>#N/A</v>
      </c>
      <c r="AI49" s="293" t="e">
        <v>#N/A</v>
      </c>
      <c r="AJ49" s="293" t="e">
        <v>#N/A</v>
      </c>
      <c r="AK49" s="2" t="e">
        <v>#N/A</v>
      </c>
      <c r="AL49" s="293" t="e">
        <v>#N/A</v>
      </c>
      <c r="AM49" s="61"/>
      <c r="AO49" s="232"/>
      <c r="AP49" s="237">
        <f t="shared" si="3"/>
        <v>0</v>
      </c>
      <c r="AQ49" s="237"/>
      <c r="AR49" s="237">
        <f t="shared" si="4"/>
        <v>0</v>
      </c>
      <c r="AS49" s="237"/>
      <c r="AT49" s="237">
        <f t="shared" si="5"/>
        <v>0</v>
      </c>
      <c r="AU49" s="237"/>
      <c r="AV49" s="237">
        <f t="shared" si="6"/>
        <v>0</v>
      </c>
      <c r="AW49" s="237"/>
      <c r="AX49" s="237">
        <f t="shared" si="7"/>
        <v>0</v>
      </c>
      <c r="AY49" s="237"/>
      <c r="AZ49" s="237">
        <f t="shared" si="8"/>
        <v>0</v>
      </c>
      <c r="BA49" s="237"/>
      <c r="BB49" s="76">
        <f t="shared" si="9"/>
        <v>0</v>
      </c>
      <c r="BC49" s="237"/>
      <c r="BD49" s="237">
        <f t="shared" si="10"/>
        <v>0</v>
      </c>
      <c r="BE49" s="237"/>
      <c r="BF49" s="237">
        <f t="shared" si="11"/>
        <v>0</v>
      </c>
      <c r="BG49" s="237"/>
      <c r="BH49" s="237">
        <f t="shared" si="12"/>
        <v>0</v>
      </c>
      <c r="BI49" s="237"/>
      <c r="BJ49" s="237">
        <f t="shared" si="13"/>
        <v>0</v>
      </c>
      <c r="BK49" s="237"/>
      <c r="BL49" s="237">
        <f t="shared" si="14"/>
        <v>0</v>
      </c>
    </row>
    <row r="50" spans="1:64" hidden="1">
      <c r="A50" s="61">
        <v>46</v>
      </c>
      <c r="B50" s="65" t="str">
        <f>'[6]NOI TAC 2026'!B52</f>
        <v>R410256</v>
      </c>
      <c r="C50" s="36" t="str">
        <f t="shared" si="0"/>
        <v>XEM</v>
      </c>
      <c r="D50" s="36">
        <f>'[6]NOI TAC 2026'!F52</f>
        <v>1</v>
      </c>
      <c r="E50" s="63">
        <f>'[6]NOI TAC 2026'!AL52</f>
        <v>356.61143846153846</v>
      </c>
      <c r="F50" s="61"/>
      <c r="G50" s="61"/>
      <c r="H50" s="61"/>
      <c r="I50" s="61"/>
      <c r="J50" s="61"/>
      <c r="K50" s="61"/>
      <c r="L50" s="61"/>
      <c r="M50" s="61"/>
      <c r="N50" s="61"/>
      <c r="O50" s="64">
        <v>1</v>
      </c>
      <c r="P50" s="61"/>
      <c r="Q50" s="61"/>
      <c r="R50" s="61">
        <f t="shared" si="1"/>
        <v>1</v>
      </c>
      <c r="T50" s="62">
        <f t="shared" si="16"/>
        <v>0</v>
      </c>
      <c r="U50" s="62">
        <f t="shared" si="16"/>
        <v>0</v>
      </c>
      <c r="V50" s="62">
        <f t="shared" si="16"/>
        <v>0</v>
      </c>
      <c r="W50" s="62">
        <f t="shared" si="16"/>
        <v>0</v>
      </c>
      <c r="X50" s="62">
        <f t="shared" si="16"/>
        <v>0</v>
      </c>
      <c r="Y50" s="62">
        <f t="shared" si="16"/>
        <v>0</v>
      </c>
      <c r="Z50" s="62">
        <f t="shared" si="16"/>
        <v>0</v>
      </c>
      <c r="AA50" s="62">
        <f t="shared" si="16"/>
        <v>0</v>
      </c>
      <c r="AB50" s="62">
        <f t="shared" si="16"/>
        <v>0</v>
      </c>
      <c r="AC50" s="62">
        <f t="shared" si="16"/>
        <v>356.61143846153846</v>
      </c>
      <c r="AD50" s="62">
        <f t="shared" si="16"/>
        <v>0</v>
      </c>
      <c r="AE50" s="62">
        <f t="shared" si="16"/>
        <v>0</v>
      </c>
      <c r="AG50" s="373" t="e">
        <v>#N/A</v>
      </c>
      <c r="AH50" s="293" t="e">
        <v>#N/A</v>
      </c>
      <c r="AI50" s="293" t="e">
        <v>#N/A</v>
      </c>
      <c r="AJ50" s="293" t="e">
        <v>#N/A</v>
      </c>
      <c r="AK50" s="2" t="e">
        <v>#N/A</v>
      </c>
      <c r="AL50" s="293" t="e">
        <v>#N/A</v>
      </c>
      <c r="AM50" s="61"/>
      <c r="AO50" s="232"/>
      <c r="AP50" s="237">
        <f t="shared" si="3"/>
        <v>0</v>
      </c>
      <c r="AQ50" s="237"/>
      <c r="AR50" s="237">
        <f t="shared" si="4"/>
        <v>0</v>
      </c>
      <c r="AS50" s="237"/>
      <c r="AT50" s="237">
        <f t="shared" si="5"/>
        <v>0</v>
      </c>
      <c r="AU50" s="237"/>
      <c r="AV50" s="237">
        <f t="shared" si="6"/>
        <v>0</v>
      </c>
      <c r="AW50" s="237"/>
      <c r="AX50" s="237">
        <f t="shared" si="7"/>
        <v>0</v>
      </c>
      <c r="AY50" s="237"/>
      <c r="AZ50" s="237">
        <f t="shared" si="8"/>
        <v>0</v>
      </c>
      <c r="BA50" s="237"/>
      <c r="BB50" s="76">
        <f t="shared" si="9"/>
        <v>0</v>
      </c>
      <c r="BC50" s="237"/>
      <c r="BD50" s="237">
        <f t="shared" si="10"/>
        <v>0</v>
      </c>
      <c r="BE50" s="237"/>
      <c r="BF50" s="237">
        <f t="shared" si="11"/>
        <v>0</v>
      </c>
      <c r="BG50" s="237"/>
      <c r="BH50" s="237">
        <f t="shared" si="12"/>
        <v>0</v>
      </c>
      <c r="BI50" s="237"/>
      <c r="BJ50" s="237">
        <f t="shared" si="13"/>
        <v>0</v>
      </c>
      <c r="BK50" s="237"/>
      <c r="BL50" s="237">
        <f t="shared" si="14"/>
        <v>0</v>
      </c>
    </row>
    <row r="51" spans="1:64" ht="17.25">
      <c r="A51" s="61">
        <v>47</v>
      </c>
      <c r="B51" s="65" t="str">
        <f>'[6]NOI TAC 2026'!B53</f>
        <v>R021021</v>
      </c>
      <c r="C51" s="36" t="str">
        <f t="shared" si="0"/>
        <v>XEM</v>
      </c>
      <c r="D51" s="36">
        <f>'[6]NOI TAC 2026'!F53</f>
        <v>4</v>
      </c>
      <c r="E51" s="63">
        <f>'[6]NOI TAC 2026'!AL53</f>
        <v>785.53313846153844</v>
      </c>
      <c r="F51" s="61"/>
      <c r="G51" s="61"/>
      <c r="H51" s="61"/>
      <c r="I51" s="61"/>
      <c r="J51" s="61"/>
      <c r="K51" s="61">
        <v>1</v>
      </c>
      <c r="L51" s="61">
        <v>1</v>
      </c>
      <c r="M51" s="61"/>
      <c r="N51" s="61">
        <v>1</v>
      </c>
      <c r="O51" s="52"/>
      <c r="P51" s="61">
        <v>1</v>
      </c>
      <c r="Q51" s="61"/>
      <c r="R51" s="61">
        <f t="shared" si="1"/>
        <v>4</v>
      </c>
      <c r="T51" s="62">
        <f t="shared" si="16"/>
        <v>0</v>
      </c>
      <c r="U51" s="62">
        <f t="shared" si="16"/>
        <v>0</v>
      </c>
      <c r="V51" s="62">
        <f t="shared" si="16"/>
        <v>0</v>
      </c>
      <c r="W51" s="62">
        <f t="shared" si="16"/>
        <v>0</v>
      </c>
      <c r="X51" s="62">
        <f t="shared" si="16"/>
        <v>0</v>
      </c>
      <c r="Y51" s="62">
        <f t="shared" si="16"/>
        <v>785.53313846153844</v>
      </c>
      <c r="Z51" s="62">
        <f t="shared" si="16"/>
        <v>785.53313846153844</v>
      </c>
      <c r="AA51" s="62">
        <f t="shared" si="16"/>
        <v>0</v>
      </c>
      <c r="AB51" s="62">
        <f t="shared" si="16"/>
        <v>785.53313846153844</v>
      </c>
      <c r="AC51" s="62">
        <f t="shared" si="16"/>
        <v>0</v>
      </c>
      <c r="AD51" s="62">
        <f t="shared" si="16"/>
        <v>785.53313846153844</v>
      </c>
      <c r="AE51" s="62">
        <f t="shared" si="16"/>
        <v>0</v>
      </c>
      <c r="AG51" s="362">
        <v>2136038301</v>
      </c>
      <c r="AH51" s="306">
        <v>1</v>
      </c>
      <c r="AI51" s="293">
        <v>1</v>
      </c>
      <c r="AJ51" s="293" t="s">
        <v>100</v>
      </c>
      <c r="AK51" s="2" t="s">
        <v>824</v>
      </c>
      <c r="AL51" s="371">
        <v>46114</v>
      </c>
      <c r="AM51" s="61"/>
      <c r="AO51" s="232"/>
      <c r="AP51" s="237">
        <f t="shared" si="3"/>
        <v>0</v>
      </c>
      <c r="AQ51" s="237"/>
      <c r="AR51" s="237">
        <f t="shared" si="4"/>
        <v>0</v>
      </c>
      <c r="AS51" s="237"/>
      <c r="AT51" s="237">
        <f t="shared" si="5"/>
        <v>0</v>
      </c>
      <c r="AU51" s="237"/>
      <c r="AV51" s="237">
        <f t="shared" si="6"/>
        <v>0</v>
      </c>
      <c r="AW51" s="237"/>
      <c r="AX51" s="237">
        <f t="shared" si="7"/>
        <v>0</v>
      </c>
      <c r="AY51" s="237"/>
      <c r="AZ51" s="237">
        <f t="shared" si="8"/>
        <v>0</v>
      </c>
      <c r="BA51" s="237"/>
      <c r="BB51" s="76">
        <f t="shared" si="9"/>
        <v>0</v>
      </c>
      <c r="BC51" s="237"/>
      <c r="BD51" s="237">
        <f t="shared" si="10"/>
        <v>0</v>
      </c>
      <c r="BE51" s="237"/>
      <c r="BF51" s="237">
        <f t="shared" si="11"/>
        <v>0</v>
      </c>
      <c r="BG51" s="237"/>
      <c r="BH51" s="237">
        <f t="shared" si="12"/>
        <v>0</v>
      </c>
      <c r="BI51" s="237"/>
      <c r="BJ51" s="237">
        <f t="shared" si="13"/>
        <v>0</v>
      </c>
      <c r="BK51" s="237"/>
      <c r="BL51" s="237">
        <f t="shared" si="14"/>
        <v>0</v>
      </c>
    </row>
    <row r="52" spans="1:64" hidden="1">
      <c r="A52" s="61">
        <v>48</v>
      </c>
      <c r="B52" s="65" t="str">
        <f>'[6]NOI TAC 2026'!B54</f>
        <v>S911086</v>
      </c>
      <c r="C52" s="36" t="str">
        <f t="shared" si="0"/>
        <v>XEM</v>
      </c>
      <c r="D52" s="36">
        <f>'[6]NOI TAC 2026'!F54</f>
        <v>2</v>
      </c>
      <c r="E52" s="63">
        <f>'[6]NOI TAC 2026'!AL54</f>
        <v>968.88986205128208</v>
      </c>
      <c r="F52" s="61"/>
      <c r="G52" s="61"/>
      <c r="H52" s="61"/>
      <c r="I52" s="61">
        <v>1</v>
      </c>
      <c r="J52" s="61"/>
      <c r="K52" s="61"/>
      <c r="L52" s="61"/>
      <c r="M52" s="61">
        <v>1</v>
      </c>
      <c r="N52" s="61"/>
      <c r="O52" s="64"/>
      <c r="P52" s="61"/>
      <c r="Q52" s="61"/>
      <c r="R52" s="61">
        <f t="shared" si="1"/>
        <v>2</v>
      </c>
      <c r="T52" s="62">
        <f t="shared" si="16"/>
        <v>0</v>
      </c>
      <c r="U52" s="62">
        <f t="shared" si="16"/>
        <v>0</v>
      </c>
      <c r="V52" s="62">
        <f t="shared" si="16"/>
        <v>0</v>
      </c>
      <c r="W52" s="62">
        <f t="shared" si="16"/>
        <v>968.88986205128208</v>
      </c>
      <c r="X52" s="62">
        <f t="shared" si="16"/>
        <v>0</v>
      </c>
      <c r="Y52" s="62">
        <f t="shared" si="16"/>
        <v>0</v>
      </c>
      <c r="Z52" s="62">
        <f t="shared" si="16"/>
        <v>0</v>
      </c>
      <c r="AA52" s="62">
        <f t="shared" si="16"/>
        <v>968.88986205128208</v>
      </c>
      <c r="AB52" s="62">
        <f t="shared" si="16"/>
        <v>0</v>
      </c>
      <c r="AC52" s="62">
        <f t="shared" si="16"/>
        <v>0</v>
      </c>
      <c r="AD52" s="62">
        <f t="shared" si="16"/>
        <v>0</v>
      </c>
      <c r="AE52" s="62">
        <f t="shared" si="16"/>
        <v>0</v>
      </c>
      <c r="AG52" s="374" t="e">
        <v>#N/A</v>
      </c>
      <c r="AH52" s="293" t="e">
        <v>#N/A</v>
      </c>
      <c r="AI52" s="293" t="e">
        <v>#N/A</v>
      </c>
      <c r="AJ52" s="293" t="e">
        <v>#N/A</v>
      </c>
      <c r="AK52" s="2" t="e">
        <v>#N/A</v>
      </c>
      <c r="AL52" s="293" t="e">
        <v>#N/A</v>
      </c>
      <c r="AM52" s="61"/>
      <c r="AO52" s="232"/>
      <c r="AP52" s="237">
        <f t="shared" si="3"/>
        <v>0</v>
      </c>
      <c r="AQ52" s="237"/>
      <c r="AR52" s="237">
        <f t="shared" si="4"/>
        <v>0</v>
      </c>
      <c r="AS52" s="237"/>
      <c r="AT52" s="237">
        <f t="shared" si="5"/>
        <v>0</v>
      </c>
      <c r="AU52" s="237"/>
      <c r="AV52" s="237">
        <f t="shared" si="6"/>
        <v>0</v>
      </c>
      <c r="AW52" s="237"/>
      <c r="AX52" s="237">
        <f t="shared" si="7"/>
        <v>0</v>
      </c>
      <c r="AY52" s="237"/>
      <c r="AZ52" s="237">
        <f t="shared" si="8"/>
        <v>0</v>
      </c>
      <c r="BA52" s="237"/>
      <c r="BB52" s="76">
        <f t="shared" si="9"/>
        <v>0</v>
      </c>
      <c r="BC52" s="237"/>
      <c r="BD52" s="237">
        <f t="shared" si="10"/>
        <v>0</v>
      </c>
      <c r="BE52" s="237"/>
      <c r="BF52" s="237">
        <f t="shared" si="11"/>
        <v>0</v>
      </c>
      <c r="BG52" s="237"/>
      <c r="BH52" s="237">
        <f t="shared" si="12"/>
        <v>0</v>
      </c>
      <c r="BI52" s="237"/>
      <c r="BJ52" s="237">
        <f t="shared" si="13"/>
        <v>0</v>
      </c>
      <c r="BK52" s="237"/>
      <c r="BL52" s="237">
        <f t="shared" si="14"/>
        <v>0</v>
      </c>
    </row>
    <row r="53" spans="1:64" hidden="1">
      <c r="A53" s="61">
        <v>49</v>
      </c>
      <c r="B53" s="65" t="str">
        <f>'[6]NOI TAC 2026'!B55</f>
        <v>R116174</v>
      </c>
      <c r="C53" s="36" t="str">
        <f t="shared" si="0"/>
        <v>XEM</v>
      </c>
      <c r="D53" s="36">
        <f>'[6]NOI TAC 2026'!F55</f>
        <v>3</v>
      </c>
      <c r="E53" s="63">
        <f>'[6]NOI TAC 2026'!AL55</f>
        <v>836.04620192307675</v>
      </c>
      <c r="F53" s="61"/>
      <c r="G53" s="61">
        <v>1</v>
      </c>
      <c r="H53" s="61"/>
      <c r="I53" s="61"/>
      <c r="J53" s="61"/>
      <c r="K53" s="61">
        <v>1</v>
      </c>
      <c r="L53" s="61"/>
      <c r="M53" s="61"/>
      <c r="N53" s="61"/>
      <c r="O53" s="64">
        <v>1</v>
      </c>
      <c r="P53" s="61"/>
      <c r="Q53" s="61"/>
      <c r="R53" s="61">
        <f t="shared" si="1"/>
        <v>3</v>
      </c>
      <c r="T53" s="62">
        <f t="shared" si="16"/>
        <v>0</v>
      </c>
      <c r="U53" s="62">
        <f t="shared" si="16"/>
        <v>836.04620192307675</v>
      </c>
      <c r="V53" s="62">
        <f t="shared" si="16"/>
        <v>0</v>
      </c>
      <c r="W53" s="62">
        <f t="shared" si="16"/>
        <v>0</v>
      </c>
      <c r="X53" s="62">
        <f t="shared" si="16"/>
        <v>0</v>
      </c>
      <c r="Y53" s="62">
        <f t="shared" si="16"/>
        <v>836.04620192307675</v>
      </c>
      <c r="Z53" s="62">
        <f t="shared" si="16"/>
        <v>0</v>
      </c>
      <c r="AA53" s="62">
        <f t="shared" si="16"/>
        <v>0</v>
      </c>
      <c r="AB53" s="62">
        <f t="shared" si="16"/>
        <v>0</v>
      </c>
      <c r="AC53" s="62">
        <f t="shared" si="16"/>
        <v>836.04620192307675</v>
      </c>
      <c r="AD53" s="62">
        <f t="shared" si="16"/>
        <v>0</v>
      </c>
      <c r="AE53" s="62">
        <f t="shared" si="16"/>
        <v>0</v>
      </c>
      <c r="AG53" s="2" t="e">
        <v>#N/A</v>
      </c>
      <c r="AH53" s="293" t="e">
        <v>#N/A</v>
      </c>
      <c r="AI53" s="293" t="e">
        <v>#N/A</v>
      </c>
      <c r="AJ53" s="293" t="e">
        <v>#N/A</v>
      </c>
      <c r="AK53" s="2" t="e">
        <v>#N/A</v>
      </c>
      <c r="AL53" s="293" t="e">
        <v>#N/A</v>
      </c>
      <c r="AM53" s="61"/>
      <c r="AO53" s="232"/>
      <c r="AP53" s="237">
        <f t="shared" si="3"/>
        <v>0</v>
      </c>
      <c r="AQ53" s="237"/>
      <c r="AR53" s="237">
        <f t="shared" si="4"/>
        <v>0</v>
      </c>
      <c r="AS53" s="237"/>
      <c r="AT53" s="237">
        <f t="shared" si="5"/>
        <v>0</v>
      </c>
      <c r="AU53" s="237"/>
      <c r="AV53" s="237">
        <f t="shared" si="6"/>
        <v>0</v>
      </c>
      <c r="AW53" s="237"/>
      <c r="AX53" s="237">
        <f t="shared" si="7"/>
        <v>0</v>
      </c>
      <c r="AY53" s="237"/>
      <c r="AZ53" s="237">
        <f t="shared" si="8"/>
        <v>0</v>
      </c>
      <c r="BA53" s="237"/>
      <c r="BB53" s="76">
        <f t="shared" si="9"/>
        <v>0</v>
      </c>
      <c r="BC53" s="237"/>
      <c r="BD53" s="237">
        <f t="shared" si="10"/>
        <v>0</v>
      </c>
      <c r="BE53" s="237"/>
      <c r="BF53" s="237">
        <f t="shared" si="11"/>
        <v>0</v>
      </c>
      <c r="BG53" s="237"/>
      <c r="BH53" s="237">
        <f t="shared" si="12"/>
        <v>0</v>
      </c>
      <c r="BI53" s="237"/>
      <c r="BJ53" s="237">
        <f t="shared" si="13"/>
        <v>0</v>
      </c>
      <c r="BK53" s="237"/>
      <c r="BL53" s="237">
        <f t="shared" si="14"/>
        <v>0</v>
      </c>
    </row>
    <row r="54" spans="1:64" hidden="1">
      <c r="A54" s="61">
        <v>50</v>
      </c>
      <c r="B54" s="65" t="str">
        <f>'[6]NOI TAC 2026'!B56</f>
        <v>S937542</v>
      </c>
      <c r="C54" s="36" t="str">
        <f t="shared" si="0"/>
        <v>XEM</v>
      </c>
      <c r="D54" s="36">
        <f>'[6]NOI TAC 2026'!F56</f>
        <v>3</v>
      </c>
      <c r="E54" s="63">
        <f>'[6]NOI TAC 2026'!AL56</f>
        <v>416.45654205128199</v>
      </c>
      <c r="F54" s="61"/>
      <c r="G54" s="61"/>
      <c r="H54" s="61"/>
      <c r="I54" s="61">
        <v>1</v>
      </c>
      <c r="J54" s="61"/>
      <c r="K54" s="61"/>
      <c r="L54" s="61">
        <v>1</v>
      </c>
      <c r="M54" s="61"/>
      <c r="N54" s="61"/>
      <c r="O54" s="64"/>
      <c r="P54" s="61"/>
      <c r="Q54" s="61">
        <v>1</v>
      </c>
      <c r="R54" s="61">
        <f t="shared" si="1"/>
        <v>3</v>
      </c>
      <c r="T54" s="62">
        <f t="shared" si="16"/>
        <v>0</v>
      </c>
      <c r="U54" s="62">
        <f t="shared" si="16"/>
        <v>0</v>
      </c>
      <c r="V54" s="62">
        <f t="shared" si="16"/>
        <v>0</v>
      </c>
      <c r="W54" s="62">
        <f t="shared" si="16"/>
        <v>416.45654205128199</v>
      </c>
      <c r="X54" s="62">
        <f t="shared" si="16"/>
        <v>0</v>
      </c>
      <c r="Y54" s="62">
        <f t="shared" si="16"/>
        <v>0</v>
      </c>
      <c r="Z54" s="62">
        <f t="shared" si="16"/>
        <v>416.45654205128199</v>
      </c>
      <c r="AA54" s="62">
        <f t="shared" si="16"/>
        <v>0</v>
      </c>
      <c r="AB54" s="62">
        <f t="shared" si="16"/>
        <v>0</v>
      </c>
      <c r="AC54" s="62">
        <f t="shared" si="16"/>
        <v>0</v>
      </c>
      <c r="AD54" s="62">
        <f t="shared" si="16"/>
        <v>0</v>
      </c>
      <c r="AE54" s="62">
        <f t="shared" si="16"/>
        <v>416.45654205128199</v>
      </c>
      <c r="AG54" s="2" t="e">
        <v>#N/A</v>
      </c>
      <c r="AH54" s="293" t="e">
        <v>#N/A</v>
      </c>
      <c r="AI54" s="293" t="e">
        <v>#N/A</v>
      </c>
      <c r="AJ54" s="293" t="e">
        <v>#N/A</v>
      </c>
      <c r="AK54" s="2" t="e">
        <v>#N/A</v>
      </c>
      <c r="AL54" s="293" t="e">
        <v>#N/A</v>
      </c>
      <c r="AM54" s="61"/>
      <c r="AO54" s="232"/>
      <c r="AP54" s="237">
        <f t="shared" si="3"/>
        <v>0</v>
      </c>
      <c r="AQ54" s="237"/>
      <c r="AR54" s="237">
        <f t="shared" si="4"/>
        <v>0</v>
      </c>
      <c r="AS54" s="237"/>
      <c r="AT54" s="237">
        <f t="shared" si="5"/>
        <v>0</v>
      </c>
      <c r="AU54" s="237"/>
      <c r="AV54" s="237">
        <f t="shared" si="6"/>
        <v>0</v>
      </c>
      <c r="AW54" s="237"/>
      <c r="AX54" s="237">
        <f t="shared" si="7"/>
        <v>0</v>
      </c>
      <c r="AY54" s="237"/>
      <c r="AZ54" s="237">
        <f t="shared" si="8"/>
        <v>0</v>
      </c>
      <c r="BA54" s="237"/>
      <c r="BB54" s="76">
        <f t="shared" si="9"/>
        <v>0</v>
      </c>
      <c r="BC54" s="237"/>
      <c r="BD54" s="237">
        <f t="shared" si="10"/>
        <v>0</v>
      </c>
      <c r="BE54" s="237"/>
      <c r="BF54" s="237">
        <f t="shared" si="11"/>
        <v>0</v>
      </c>
      <c r="BG54" s="237"/>
      <c r="BH54" s="237">
        <f t="shared" si="12"/>
        <v>0</v>
      </c>
      <c r="BI54" s="237"/>
      <c r="BJ54" s="237">
        <f t="shared" si="13"/>
        <v>0</v>
      </c>
      <c r="BK54" s="237"/>
      <c r="BL54" s="237">
        <f t="shared" si="14"/>
        <v>0</v>
      </c>
    </row>
    <row r="55" spans="1:64" hidden="1">
      <c r="A55" s="61">
        <v>51</v>
      </c>
      <c r="B55" s="65" t="str">
        <f>'[6]NOI TAC 2026'!B57</f>
        <v>S439169</v>
      </c>
      <c r="C55" s="36" t="str">
        <f t="shared" si="0"/>
        <v>XEM</v>
      </c>
      <c r="D55" s="36">
        <f>'[6]NOI TAC 2026'!F57</f>
        <v>2</v>
      </c>
      <c r="E55" s="63">
        <f>'[6]NOI TAC 2026'!AL57</f>
        <v>500.80999846153838</v>
      </c>
      <c r="F55" s="61"/>
      <c r="G55" s="61"/>
      <c r="H55" s="61"/>
      <c r="I55" s="61"/>
      <c r="J55" s="61">
        <v>1</v>
      </c>
      <c r="K55" s="61"/>
      <c r="L55" s="61"/>
      <c r="M55" s="61"/>
      <c r="N55" s="61"/>
      <c r="O55" s="64">
        <v>1</v>
      </c>
      <c r="P55" s="61"/>
      <c r="Q55" s="61"/>
      <c r="R55" s="61">
        <f t="shared" si="1"/>
        <v>2</v>
      </c>
      <c r="T55" s="62">
        <f t="shared" si="16"/>
        <v>0</v>
      </c>
      <c r="U55" s="62">
        <f t="shared" si="16"/>
        <v>0</v>
      </c>
      <c r="V55" s="62">
        <f t="shared" si="16"/>
        <v>0</v>
      </c>
      <c r="W55" s="62">
        <f t="shared" si="16"/>
        <v>0</v>
      </c>
      <c r="X55" s="62">
        <f t="shared" si="16"/>
        <v>500.80999846153838</v>
      </c>
      <c r="Y55" s="62">
        <f t="shared" si="16"/>
        <v>0</v>
      </c>
      <c r="Z55" s="62">
        <f t="shared" si="16"/>
        <v>0</v>
      </c>
      <c r="AA55" s="62">
        <f t="shared" si="16"/>
        <v>0</v>
      </c>
      <c r="AB55" s="62">
        <f t="shared" si="16"/>
        <v>0</v>
      </c>
      <c r="AC55" s="62">
        <f t="shared" si="16"/>
        <v>500.80999846153838</v>
      </c>
      <c r="AD55" s="62">
        <f t="shared" si="16"/>
        <v>0</v>
      </c>
      <c r="AE55" s="62">
        <f t="shared" si="16"/>
        <v>0</v>
      </c>
      <c r="AG55" s="2" t="e">
        <v>#N/A</v>
      </c>
      <c r="AH55" s="293" t="e">
        <v>#N/A</v>
      </c>
      <c r="AI55" s="293" t="e">
        <v>#N/A</v>
      </c>
      <c r="AJ55" s="293" t="e">
        <v>#N/A</v>
      </c>
      <c r="AK55" s="2" t="e">
        <v>#N/A</v>
      </c>
      <c r="AL55" s="293" t="e">
        <v>#N/A</v>
      </c>
      <c r="AM55" s="61"/>
      <c r="AO55" s="232"/>
      <c r="AP55" s="237">
        <f t="shared" si="3"/>
        <v>0</v>
      </c>
      <c r="AQ55" s="237"/>
      <c r="AR55" s="237">
        <f t="shared" si="4"/>
        <v>0</v>
      </c>
      <c r="AS55" s="237"/>
      <c r="AT55" s="237">
        <f t="shared" si="5"/>
        <v>0</v>
      </c>
      <c r="AU55" s="237"/>
      <c r="AV55" s="237">
        <f t="shared" si="6"/>
        <v>0</v>
      </c>
      <c r="AW55" s="237"/>
      <c r="AX55" s="237">
        <f t="shared" si="7"/>
        <v>0</v>
      </c>
      <c r="AY55" s="237"/>
      <c r="AZ55" s="237">
        <f t="shared" si="8"/>
        <v>0</v>
      </c>
      <c r="BA55" s="237"/>
      <c r="BB55" s="76">
        <f t="shared" si="9"/>
        <v>0</v>
      </c>
      <c r="BC55" s="237"/>
      <c r="BD55" s="237">
        <f t="shared" si="10"/>
        <v>0</v>
      </c>
      <c r="BE55" s="237"/>
      <c r="BF55" s="237">
        <f t="shared" si="11"/>
        <v>0</v>
      </c>
      <c r="BG55" s="237"/>
      <c r="BH55" s="237">
        <f t="shared" si="12"/>
        <v>0</v>
      </c>
      <c r="BI55" s="237"/>
      <c r="BJ55" s="237">
        <f t="shared" si="13"/>
        <v>0</v>
      </c>
      <c r="BK55" s="237"/>
      <c r="BL55" s="237">
        <f t="shared" si="14"/>
        <v>0</v>
      </c>
    </row>
    <row r="56" spans="1:64" hidden="1">
      <c r="A56" s="61">
        <v>52</v>
      </c>
      <c r="B56" s="65" t="str">
        <f>'[6]NOI TAC 2026'!B58</f>
        <v>R179385</v>
      </c>
      <c r="C56" s="36" t="str">
        <f t="shared" si="0"/>
        <v>XEM</v>
      </c>
      <c r="D56" s="36">
        <f>'[6]NOI TAC 2026'!F58</f>
        <v>3</v>
      </c>
      <c r="E56" s="63">
        <f>'[6]NOI TAC 2026'!AL58</f>
        <v>477.53020192307696</v>
      </c>
      <c r="F56" s="61"/>
      <c r="G56" s="61"/>
      <c r="H56" s="61"/>
      <c r="I56" s="61"/>
      <c r="J56" s="61"/>
      <c r="K56" s="61">
        <v>1</v>
      </c>
      <c r="L56" s="61"/>
      <c r="M56" s="61"/>
      <c r="N56" s="61">
        <v>1</v>
      </c>
      <c r="O56" s="64"/>
      <c r="P56" s="61"/>
      <c r="Q56" s="61">
        <v>1</v>
      </c>
      <c r="R56" s="61">
        <f t="shared" si="1"/>
        <v>3</v>
      </c>
      <c r="T56" s="62">
        <f t="shared" si="16"/>
        <v>0</v>
      </c>
      <c r="U56" s="62">
        <f t="shared" si="16"/>
        <v>0</v>
      </c>
      <c r="V56" s="62">
        <f t="shared" si="16"/>
        <v>0</v>
      </c>
      <c r="W56" s="62">
        <f t="shared" si="16"/>
        <v>0</v>
      </c>
      <c r="X56" s="62">
        <f t="shared" si="16"/>
        <v>0</v>
      </c>
      <c r="Y56" s="62">
        <f t="shared" si="16"/>
        <v>477.53020192307696</v>
      </c>
      <c r="Z56" s="62">
        <f t="shared" si="16"/>
        <v>0</v>
      </c>
      <c r="AA56" s="62">
        <f t="shared" si="16"/>
        <v>0</v>
      </c>
      <c r="AB56" s="62">
        <f t="shared" si="16"/>
        <v>477.53020192307696</v>
      </c>
      <c r="AC56" s="62">
        <f t="shared" si="16"/>
        <v>0</v>
      </c>
      <c r="AD56" s="62">
        <f t="shared" si="16"/>
        <v>0</v>
      </c>
      <c r="AE56" s="62">
        <f t="shared" si="16"/>
        <v>477.53020192307696</v>
      </c>
      <c r="AG56" s="2" t="e">
        <v>#N/A</v>
      </c>
      <c r="AH56" s="293" t="e">
        <v>#N/A</v>
      </c>
      <c r="AI56" s="293" t="e">
        <v>#N/A</v>
      </c>
      <c r="AJ56" s="293" t="e">
        <v>#N/A</v>
      </c>
      <c r="AK56" s="2" t="e">
        <v>#N/A</v>
      </c>
      <c r="AL56" s="293" t="e">
        <v>#N/A</v>
      </c>
      <c r="AM56" s="61"/>
      <c r="AO56" s="232"/>
      <c r="AP56" s="237">
        <f t="shared" si="3"/>
        <v>0</v>
      </c>
      <c r="AQ56" s="237"/>
      <c r="AR56" s="237">
        <f t="shared" si="4"/>
        <v>0</v>
      </c>
      <c r="AS56" s="237"/>
      <c r="AT56" s="237">
        <f t="shared" si="5"/>
        <v>0</v>
      </c>
      <c r="AU56" s="237"/>
      <c r="AV56" s="237">
        <f t="shared" si="6"/>
        <v>0</v>
      </c>
      <c r="AW56" s="237"/>
      <c r="AX56" s="237">
        <f t="shared" si="7"/>
        <v>0</v>
      </c>
      <c r="AY56" s="237"/>
      <c r="AZ56" s="237">
        <f t="shared" si="8"/>
        <v>0</v>
      </c>
      <c r="BA56" s="237"/>
      <c r="BB56" s="76">
        <f t="shared" si="9"/>
        <v>0</v>
      </c>
      <c r="BC56" s="237"/>
      <c r="BD56" s="237">
        <f t="shared" si="10"/>
        <v>0</v>
      </c>
      <c r="BE56" s="237"/>
      <c r="BF56" s="237">
        <f t="shared" si="11"/>
        <v>0</v>
      </c>
      <c r="BG56" s="237"/>
      <c r="BH56" s="237">
        <f t="shared" si="12"/>
        <v>0</v>
      </c>
      <c r="BI56" s="237"/>
      <c r="BJ56" s="237">
        <f t="shared" si="13"/>
        <v>0</v>
      </c>
      <c r="BK56" s="237"/>
      <c r="BL56" s="237">
        <f t="shared" si="14"/>
        <v>0</v>
      </c>
    </row>
    <row r="57" spans="1:64" hidden="1">
      <c r="A57" s="61">
        <v>53</v>
      </c>
      <c r="B57" s="65" t="str">
        <f>'[6]NOI TAC 2026'!B59</f>
        <v>S799035</v>
      </c>
      <c r="C57" s="36" t="str">
        <f t="shared" si="0"/>
        <v>XEM</v>
      </c>
      <c r="D57" s="36">
        <f>'[6]NOI TAC 2026'!F59</f>
        <v>2</v>
      </c>
      <c r="E57" s="63">
        <f>'[6]NOI TAC 2026'!AL59</f>
        <v>363.57119999999998</v>
      </c>
      <c r="F57" s="61">
        <v>1</v>
      </c>
      <c r="G57" s="61"/>
      <c r="H57" s="61"/>
      <c r="I57" s="61"/>
      <c r="J57" s="61"/>
      <c r="K57" s="61"/>
      <c r="L57" s="61"/>
      <c r="M57" s="61">
        <v>1</v>
      </c>
      <c r="N57" s="61"/>
      <c r="O57" s="64"/>
      <c r="P57" s="61"/>
      <c r="Q57" s="61"/>
      <c r="R57" s="61">
        <f t="shared" si="1"/>
        <v>2</v>
      </c>
      <c r="T57" s="62">
        <f t="shared" si="16"/>
        <v>363.57119999999998</v>
      </c>
      <c r="U57" s="62">
        <f t="shared" si="16"/>
        <v>0</v>
      </c>
      <c r="V57" s="62">
        <f t="shared" si="16"/>
        <v>0</v>
      </c>
      <c r="W57" s="62">
        <f t="shared" si="16"/>
        <v>0</v>
      </c>
      <c r="X57" s="62">
        <f t="shared" si="16"/>
        <v>0</v>
      </c>
      <c r="Y57" s="62">
        <f t="shared" si="16"/>
        <v>0</v>
      </c>
      <c r="Z57" s="62">
        <f t="shared" si="16"/>
        <v>0</v>
      </c>
      <c r="AA57" s="62">
        <f t="shared" si="16"/>
        <v>363.57119999999998</v>
      </c>
      <c r="AB57" s="62">
        <f t="shared" si="16"/>
        <v>0</v>
      </c>
      <c r="AC57" s="62">
        <f t="shared" si="16"/>
        <v>0</v>
      </c>
      <c r="AD57" s="62">
        <f t="shared" si="16"/>
        <v>0</v>
      </c>
      <c r="AE57" s="62">
        <f t="shared" si="16"/>
        <v>0</v>
      </c>
      <c r="AG57" s="2" t="e">
        <v>#N/A</v>
      </c>
      <c r="AH57" s="293" t="e">
        <v>#N/A</v>
      </c>
      <c r="AI57" s="293" t="e">
        <v>#N/A</v>
      </c>
      <c r="AJ57" s="293" t="e">
        <v>#N/A</v>
      </c>
      <c r="AK57" s="2" t="e">
        <v>#N/A</v>
      </c>
      <c r="AL57" s="293" t="e">
        <v>#N/A</v>
      </c>
      <c r="AM57" s="61"/>
      <c r="AO57" s="232"/>
      <c r="AP57" s="237">
        <f t="shared" si="3"/>
        <v>0</v>
      </c>
      <c r="AQ57" s="237"/>
      <c r="AR57" s="237">
        <f t="shared" si="4"/>
        <v>0</v>
      </c>
      <c r="AS57" s="237"/>
      <c r="AT57" s="237">
        <f t="shared" si="5"/>
        <v>0</v>
      </c>
      <c r="AU57" s="237"/>
      <c r="AV57" s="237">
        <f t="shared" si="6"/>
        <v>0</v>
      </c>
      <c r="AW57" s="237"/>
      <c r="AX57" s="237">
        <f t="shared" si="7"/>
        <v>0</v>
      </c>
      <c r="AY57" s="237"/>
      <c r="AZ57" s="237">
        <f t="shared" si="8"/>
        <v>0</v>
      </c>
      <c r="BA57" s="237"/>
      <c r="BB57" s="76">
        <f t="shared" si="9"/>
        <v>0</v>
      </c>
      <c r="BC57" s="237"/>
      <c r="BD57" s="237">
        <f t="shared" si="10"/>
        <v>0</v>
      </c>
      <c r="BE57" s="237"/>
      <c r="BF57" s="237">
        <f t="shared" si="11"/>
        <v>0</v>
      </c>
      <c r="BG57" s="237"/>
      <c r="BH57" s="237">
        <f t="shared" si="12"/>
        <v>0</v>
      </c>
      <c r="BI57" s="237"/>
      <c r="BJ57" s="237">
        <f t="shared" si="13"/>
        <v>0</v>
      </c>
      <c r="BK57" s="237"/>
      <c r="BL57" s="237">
        <f t="shared" si="14"/>
        <v>0</v>
      </c>
    </row>
    <row r="58" spans="1:64" hidden="1">
      <c r="A58" s="61">
        <v>54</v>
      </c>
      <c r="B58" s="65" t="str">
        <f>'[6]NOI TAC 2026'!B60</f>
        <v>S933931</v>
      </c>
      <c r="C58" s="36" t="str">
        <f t="shared" si="0"/>
        <v>XEM</v>
      </c>
      <c r="D58" s="36">
        <f>'[6]NOI TAC 2026'!F60</f>
        <v>3</v>
      </c>
      <c r="E58" s="63">
        <f>'[6]NOI TAC 2026'!AL60</f>
        <v>349.77057423076917</v>
      </c>
      <c r="F58" s="61"/>
      <c r="G58" s="61"/>
      <c r="H58" s="61">
        <v>1</v>
      </c>
      <c r="I58" s="61"/>
      <c r="J58" s="61"/>
      <c r="K58" s="61"/>
      <c r="L58" s="61">
        <v>1</v>
      </c>
      <c r="M58" s="61"/>
      <c r="N58" s="61"/>
      <c r="O58" s="61"/>
      <c r="P58" s="61">
        <v>1</v>
      </c>
      <c r="Q58" s="61"/>
      <c r="R58" s="61">
        <f t="shared" si="1"/>
        <v>3</v>
      </c>
      <c r="T58" s="62">
        <f t="shared" si="16"/>
        <v>0</v>
      </c>
      <c r="U58" s="62">
        <f t="shared" si="16"/>
        <v>0</v>
      </c>
      <c r="V58" s="62">
        <f t="shared" si="16"/>
        <v>349.77057423076917</v>
      </c>
      <c r="W58" s="62">
        <f t="shared" si="16"/>
        <v>0</v>
      </c>
      <c r="X58" s="62">
        <f t="shared" si="16"/>
        <v>0</v>
      </c>
      <c r="Y58" s="62">
        <f t="shared" si="16"/>
        <v>0</v>
      </c>
      <c r="Z58" s="62">
        <f t="shared" si="16"/>
        <v>349.77057423076917</v>
      </c>
      <c r="AA58" s="62">
        <f t="shared" si="16"/>
        <v>0</v>
      </c>
      <c r="AB58" s="62">
        <f t="shared" si="16"/>
        <v>0</v>
      </c>
      <c r="AC58" s="62">
        <f t="shared" si="16"/>
        <v>0</v>
      </c>
      <c r="AD58" s="62">
        <f t="shared" si="16"/>
        <v>349.77057423076917</v>
      </c>
      <c r="AE58" s="62">
        <f t="shared" si="16"/>
        <v>0</v>
      </c>
      <c r="AG58" s="2" t="e">
        <v>#N/A</v>
      </c>
      <c r="AH58" s="293" t="e">
        <v>#N/A</v>
      </c>
      <c r="AI58" s="293" t="e">
        <v>#N/A</v>
      </c>
      <c r="AJ58" s="293" t="e">
        <v>#N/A</v>
      </c>
      <c r="AK58" s="2" t="e">
        <v>#N/A</v>
      </c>
      <c r="AL58" s="293" t="e">
        <v>#N/A</v>
      </c>
      <c r="AM58" s="61"/>
      <c r="AO58" s="232"/>
      <c r="AP58" s="237">
        <f t="shared" si="3"/>
        <v>0</v>
      </c>
      <c r="AQ58" s="237"/>
      <c r="AR58" s="237">
        <f t="shared" si="4"/>
        <v>0</v>
      </c>
      <c r="AS58" s="237"/>
      <c r="AT58" s="237">
        <f t="shared" si="5"/>
        <v>0</v>
      </c>
      <c r="AU58" s="237"/>
      <c r="AV58" s="237">
        <f t="shared" si="6"/>
        <v>0</v>
      </c>
      <c r="AW58" s="237"/>
      <c r="AX58" s="237">
        <f t="shared" si="7"/>
        <v>0</v>
      </c>
      <c r="AY58" s="237"/>
      <c r="AZ58" s="237">
        <f t="shared" si="8"/>
        <v>0</v>
      </c>
      <c r="BA58" s="237"/>
      <c r="BB58" s="76">
        <f t="shared" si="9"/>
        <v>0</v>
      </c>
      <c r="BC58" s="237"/>
      <c r="BD58" s="237">
        <f t="shared" si="10"/>
        <v>0</v>
      </c>
      <c r="BE58" s="237"/>
      <c r="BF58" s="237">
        <f t="shared" si="11"/>
        <v>0</v>
      </c>
      <c r="BG58" s="237"/>
      <c r="BH58" s="237">
        <f t="shared" si="12"/>
        <v>0</v>
      </c>
      <c r="BI58" s="237"/>
      <c r="BJ58" s="237">
        <f t="shared" si="13"/>
        <v>0</v>
      </c>
      <c r="BK58" s="237"/>
      <c r="BL58" s="237">
        <f t="shared" si="14"/>
        <v>0</v>
      </c>
    </row>
    <row r="59" spans="1:64" hidden="1">
      <c r="A59" s="61">
        <v>55</v>
      </c>
      <c r="B59" s="65" t="str">
        <f>'[6]NOI TAC 2026'!B61</f>
        <v>S847749</v>
      </c>
      <c r="C59" s="36" t="str">
        <f t="shared" si="0"/>
        <v>XEM</v>
      </c>
      <c r="D59" s="36">
        <f>'[6]NOI TAC 2026'!F61</f>
        <v>1</v>
      </c>
      <c r="E59" s="63">
        <f>'[6]NOI TAC 2026'!AL61</f>
        <v>502.33328192307698</v>
      </c>
      <c r="F59" s="61"/>
      <c r="G59" s="61"/>
      <c r="H59" s="61"/>
      <c r="I59" s="61"/>
      <c r="J59" s="61">
        <v>1</v>
      </c>
      <c r="K59" s="61"/>
      <c r="L59" s="61"/>
      <c r="M59" s="61"/>
      <c r="N59" s="61"/>
      <c r="O59" s="61"/>
      <c r="P59" s="61"/>
      <c r="Q59" s="61"/>
      <c r="R59" s="61">
        <f t="shared" si="1"/>
        <v>1</v>
      </c>
      <c r="T59" s="62">
        <f t="shared" si="16"/>
        <v>0</v>
      </c>
      <c r="U59" s="62">
        <f t="shared" si="16"/>
        <v>0</v>
      </c>
      <c r="V59" s="62">
        <f t="shared" si="16"/>
        <v>0</v>
      </c>
      <c r="W59" s="62">
        <f t="shared" si="16"/>
        <v>0</v>
      </c>
      <c r="X59" s="62">
        <f t="shared" si="16"/>
        <v>502.33328192307698</v>
      </c>
      <c r="Y59" s="62">
        <f t="shared" si="16"/>
        <v>0</v>
      </c>
      <c r="Z59" s="62">
        <f t="shared" si="16"/>
        <v>0</v>
      </c>
      <c r="AA59" s="62">
        <f t="shared" si="16"/>
        <v>0</v>
      </c>
      <c r="AB59" s="62">
        <f t="shared" si="16"/>
        <v>0</v>
      </c>
      <c r="AC59" s="62">
        <f t="shared" si="16"/>
        <v>0</v>
      </c>
      <c r="AD59" s="62">
        <f t="shared" si="16"/>
        <v>0</v>
      </c>
      <c r="AE59" s="62">
        <f t="shared" si="16"/>
        <v>0</v>
      </c>
      <c r="AG59" s="2" t="e">
        <v>#N/A</v>
      </c>
      <c r="AH59" s="293" t="e">
        <v>#N/A</v>
      </c>
      <c r="AI59" s="293" t="e">
        <v>#N/A</v>
      </c>
      <c r="AJ59" s="293" t="e">
        <v>#N/A</v>
      </c>
      <c r="AK59" s="2" t="e">
        <v>#N/A</v>
      </c>
      <c r="AL59" s="293" t="e">
        <v>#N/A</v>
      </c>
      <c r="AM59" s="61"/>
      <c r="AO59" s="232"/>
      <c r="AP59" s="237">
        <f t="shared" si="3"/>
        <v>0</v>
      </c>
      <c r="AQ59" s="237"/>
      <c r="AR59" s="237">
        <f t="shared" si="4"/>
        <v>0</v>
      </c>
      <c r="AS59" s="237"/>
      <c r="AT59" s="237">
        <f t="shared" si="5"/>
        <v>0</v>
      </c>
      <c r="AU59" s="237"/>
      <c r="AV59" s="237">
        <f t="shared" si="6"/>
        <v>0</v>
      </c>
      <c r="AW59" s="237"/>
      <c r="AX59" s="237">
        <f t="shared" si="7"/>
        <v>0</v>
      </c>
      <c r="AY59" s="237"/>
      <c r="AZ59" s="237">
        <f t="shared" si="8"/>
        <v>0</v>
      </c>
      <c r="BA59" s="237"/>
      <c r="BB59" s="76">
        <f t="shared" si="9"/>
        <v>0</v>
      </c>
      <c r="BC59" s="237"/>
      <c r="BD59" s="237">
        <f t="shared" si="10"/>
        <v>0</v>
      </c>
      <c r="BE59" s="237"/>
      <c r="BF59" s="237">
        <f t="shared" si="11"/>
        <v>0</v>
      </c>
      <c r="BG59" s="237"/>
      <c r="BH59" s="237">
        <f t="shared" si="12"/>
        <v>0</v>
      </c>
      <c r="BI59" s="237"/>
      <c r="BJ59" s="237">
        <f t="shared" si="13"/>
        <v>0</v>
      </c>
      <c r="BK59" s="237"/>
      <c r="BL59" s="237">
        <f t="shared" si="14"/>
        <v>0</v>
      </c>
    </row>
    <row r="60" spans="1:64" hidden="1">
      <c r="A60" s="61">
        <v>56</v>
      </c>
      <c r="B60" s="65" t="str">
        <f>'[6]NOI TAC 2026'!B62</f>
        <v>S938435</v>
      </c>
      <c r="C60" s="36" t="str">
        <f t="shared" si="0"/>
        <v>XEM</v>
      </c>
      <c r="D60" s="36">
        <f>'[6]NOI TAC 2026'!F62</f>
        <v>2</v>
      </c>
      <c r="E60" s="63">
        <f>'[6]NOI TAC 2026'!AL62</f>
        <v>184.77919192307684</v>
      </c>
      <c r="F60" s="61"/>
      <c r="G60" s="61"/>
      <c r="H60" s="61">
        <v>1</v>
      </c>
      <c r="I60" s="61"/>
      <c r="J60" s="61"/>
      <c r="K60" s="61"/>
      <c r="L60" s="61"/>
      <c r="M60" s="61">
        <v>1</v>
      </c>
      <c r="N60" s="61"/>
      <c r="O60" s="61"/>
      <c r="P60" s="61"/>
      <c r="Q60" s="61"/>
      <c r="R60" s="61">
        <f t="shared" si="1"/>
        <v>2</v>
      </c>
      <c r="T60" s="62">
        <f t="shared" si="16"/>
        <v>0</v>
      </c>
      <c r="U60" s="62">
        <f t="shared" si="16"/>
        <v>0</v>
      </c>
      <c r="V60" s="62">
        <f t="shared" si="16"/>
        <v>184.77919192307684</v>
      </c>
      <c r="W60" s="62">
        <f t="shared" si="16"/>
        <v>0</v>
      </c>
      <c r="X60" s="62">
        <f t="shared" si="16"/>
        <v>0</v>
      </c>
      <c r="Y60" s="62">
        <f t="shared" si="16"/>
        <v>0</v>
      </c>
      <c r="Z60" s="62">
        <f t="shared" si="16"/>
        <v>0</v>
      </c>
      <c r="AA60" s="62">
        <f t="shared" si="16"/>
        <v>184.77919192307684</v>
      </c>
      <c r="AB60" s="62">
        <f t="shared" si="16"/>
        <v>0</v>
      </c>
      <c r="AC60" s="62">
        <f t="shared" si="16"/>
        <v>0</v>
      </c>
      <c r="AD60" s="62">
        <f t="shared" si="16"/>
        <v>0</v>
      </c>
      <c r="AE60" s="62">
        <f t="shared" si="16"/>
        <v>0</v>
      </c>
      <c r="AG60" s="2" t="e">
        <v>#N/A</v>
      </c>
      <c r="AH60" s="293" t="e">
        <v>#N/A</v>
      </c>
      <c r="AI60" s="293" t="e">
        <v>#N/A</v>
      </c>
      <c r="AJ60" s="293" t="e">
        <v>#N/A</v>
      </c>
      <c r="AK60" s="2" t="e">
        <v>#N/A</v>
      </c>
      <c r="AL60" s="293" t="e">
        <v>#N/A</v>
      </c>
      <c r="AM60" s="61"/>
      <c r="AO60" s="232"/>
      <c r="AP60" s="237">
        <f t="shared" si="3"/>
        <v>0</v>
      </c>
      <c r="AQ60" s="237"/>
      <c r="AR60" s="237">
        <f t="shared" si="4"/>
        <v>0</v>
      </c>
      <c r="AS60" s="237"/>
      <c r="AT60" s="237">
        <f t="shared" si="5"/>
        <v>0</v>
      </c>
      <c r="AU60" s="237"/>
      <c r="AV60" s="237">
        <f t="shared" si="6"/>
        <v>0</v>
      </c>
      <c r="AW60" s="237"/>
      <c r="AX60" s="237">
        <f t="shared" si="7"/>
        <v>0</v>
      </c>
      <c r="AY60" s="237"/>
      <c r="AZ60" s="237">
        <f t="shared" si="8"/>
        <v>0</v>
      </c>
      <c r="BA60" s="237"/>
      <c r="BB60" s="76">
        <f t="shared" si="9"/>
        <v>0</v>
      </c>
      <c r="BC60" s="237"/>
      <c r="BD60" s="237">
        <f t="shared" si="10"/>
        <v>0</v>
      </c>
      <c r="BE60" s="237"/>
      <c r="BF60" s="237">
        <f t="shared" si="11"/>
        <v>0</v>
      </c>
      <c r="BG60" s="237"/>
      <c r="BH60" s="237">
        <f t="shared" si="12"/>
        <v>0</v>
      </c>
      <c r="BI60" s="237"/>
      <c r="BJ60" s="237">
        <f t="shared" si="13"/>
        <v>0</v>
      </c>
      <c r="BK60" s="237"/>
      <c r="BL60" s="237">
        <f t="shared" si="14"/>
        <v>0</v>
      </c>
    </row>
    <row r="61" spans="1:64" hidden="1">
      <c r="A61" s="61">
        <v>57</v>
      </c>
      <c r="B61" s="65" t="str">
        <f>'[6]NOI TAC 2026'!B63</f>
        <v>S028119</v>
      </c>
      <c r="C61" s="36" t="str">
        <f t="shared" si="0"/>
        <v>XEM</v>
      </c>
      <c r="D61" s="36">
        <f>'[6]NOI TAC 2026'!F63</f>
        <v>2</v>
      </c>
      <c r="E61" s="63">
        <f>'[6]NOI TAC 2026'!AL63</f>
        <v>338.99541423076926</v>
      </c>
      <c r="F61" s="61"/>
      <c r="G61" s="61"/>
      <c r="H61" s="61"/>
      <c r="I61" s="61">
        <v>1</v>
      </c>
      <c r="J61" s="61"/>
      <c r="K61" s="61"/>
      <c r="L61" s="61"/>
      <c r="M61" s="61"/>
      <c r="N61" s="61">
        <v>1</v>
      </c>
      <c r="O61" s="61"/>
      <c r="P61" s="61"/>
      <c r="Q61" s="61"/>
      <c r="R61" s="61">
        <f t="shared" si="1"/>
        <v>2</v>
      </c>
      <c r="T61" s="62">
        <f t="shared" si="16"/>
        <v>0</v>
      </c>
      <c r="U61" s="62">
        <f t="shared" si="16"/>
        <v>0</v>
      </c>
      <c r="V61" s="62">
        <f t="shared" si="16"/>
        <v>0</v>
      </c>
      <c r="W61" s="62">
        <f t="shared" si="16"/>
        <v>338.99541423076926</v>
      </c>
      <c r="X61" s="62">
        <f t="shared" si="16"/>
        <v>0</v>
      </c>
      <c r="Y61" s="62">
        <f t="shared" si="16"/>
        <v>0</v>
      </c>
      <c r="Z61" s="62">
        <f t="shared" si="16"/>
        <v>0</v>
      </c>
      <c r="AA61" s="62">
        <f t="shared" si="16"/>
        <v>0</v>
      </c>
      <c r="AB61" s="62">
        <f t="shared" si="16"/>
        <v>338.99541423076926</v>
      </c>
      <c r="AC61" s="62">
        <f t="shared" si="16"/>
        <v>0</v>
      </c>
      <c r="AD61" s="62">
        <f t="shared" si="16"/>
        <v>0</v>
      </c>
      <c r="AE61" s="62">
        <f t="shared" si="16"/>
        <v>0</v>
      </c>
      <c r="AG61" s="2" t="e">
        <v>#N/A</v>
      </c>
      <c r="AH61" s="293" t="e">
        <v>#N/A</v>
      </c>
      <c r="AI61" s="293" t="e">
        <v>#N/A</v>
      </c>
      <c r="AJ61" s="293" t="e">
        <v>#N/A</v>
      </c>
      <c r="AK61" s="2" t="e">
        <v>#N/A</v>
      </c>
      <c r="AL61" s="293" t="e">
        <v>#N/A</v>
      </c>
      <c r="AM61" s="61"/>
      <c r="AO61" s="232"/>
      <c r="AP61" s="237">
        <f t="shared" si="3"/>
        <v>0</v>
      </c>
      <c r="AQ61" s="237"/>
      <c r="AR61" s="237">
        <f t="shared" si="4"/>
        <v>0</v>
      </c>
      <c r="AS61" s="237"/>
      <c r="AT61" s="237">
        <f t="shared" si="5"/>
        <v>0</v>
      </c>
      <c r="AU61" s="237"/>
      <c r="AV61" s="237">
        <f t="shared" si="6"/>
        <v>0</v>
      </c>
      <c r="AW61" s="237"/>
      <c r="AX61" s="237">
        <f t="shared" si="7"/>
        <v>0</v>
      </c>
      <c r="AY61" s="237"/>
      <c r="AZ61" s="237">
        <f t="shared" si="8"/>
        <v>0</v>
      </c>
      <c r="BA61" s="237"/>
      <c r="BB61" s="76">
        <f t="shared" si="9"/>
        <v>0</v>
      </c>
      <c r="BC61" s="237"/>
      <c r="BD61" s="237">
        <f t="shared" si="10"/>
        <v>0</v>
      </c>
      <c r="BE61" s="237"/>
      <c r="BF61" s="237">
        <f t="shared" si="11"/>
        <v>0</v>
      </c>
      <c r="BG61" s="237"/>
      <c r="BH61" s="237">
        <f t="shared" si="12"/>
        <v>0</v>
      </c>
      <c r="BI61" s="237"/>
      <c r="BJ61" s="237">
        <f t="shared" si="13"/>
        <v>0</v>
      </c>
      <c r="BK61" s="237"/>
      <c r="BL61" s="237">
        <f t="shared" si="14"/>
        <v>0</v>
      </c>
    </row>
    <row r="62" spans="1:64" hidden="1">
      <c r="A62" s="61">
        <v>58</v>
      </c>
      <c r="B62" s="65" t="str">
        <f>'[6]NOI TAC 2026'!B64</f>
        <v>R337025</v>
      </c>
      <c r="C62" s="36" t="str">
        <f t="shared" si="0"/>
        <v>XEM</v>
      </c>
      <c r="D62" s="36">
        <f>'[6]NOI TAC 2026'!F64</f>
        <v>3</v>
      </c>
      <c r="E62" s="63">
        <f>'[6]NOI TAC 2026'!AL64</f>
        <v>311.61673423076923</v>
      </c>
      <c r="F62" s="61"/>
      <c r="G62" s="61"/>
      <c r="H62" s="61">
        <v>1</v>
      </c>
      <c r="I62" s="61"/>
      <c r="J62" s="61"/>
      <c r="K62" s="61">
        <v>1</v>
      </c>
      <c r="L62" s="61"/>
      <c r="M62" s="61"/>
      <c r="N62" s="61"/>
      <c r="O62" s="61"/>
      <c r="P62" s="61">
        <v>1</v>
      </c>
      <c r="Q62" s="61"/>
      <c r="R62" s="61">
        <f t="shared" si="1"/>
        <v>3</v>
      </c>
      <c r="T62" s="62">
        <f t="shared" si="16"/>
        <v>0</v>
      </c>
      <c r="U62" s="62">
        <f t="shared" si="16"/>
        <v>0</v>
      </c>
      <c r="V62" s="62">
        <f t="shared" si="16"/>
        <v>311.61673423076923</v>
      </c>
      <c r="W62" s="62">
        <f t="shared" si="16"/>
        <v>0</v>
      </c>
      <c r="X62" s="62">
        <f t="shared" si="16"/>
        <v>0</v>
      </c>
      <c r="Y62" s="62">
        <f t="shared" si="16"/>
        <v>311.61673423076923</v>
      </c>
      <c r="Z62" s="62">
        <f t="shared" si="16"/>
        <v>0</v>
      </c>
      <c r="AA62" s="62">
        <f t="shared" si="16"/>
        <v>0</v>
      </c>
      <c r="AB62" s="62">
        <f t="shared" si="16"/>
        <v>0</v>
      </c>
      <c r="AC62" s="62">
        <f t="shared" si="16"/>
        <v>0</v>
      </c>
      <c r="AD62" s="62">
        <f t="shared" si="16"/>
        <v>311.61673423076923</v>
      </c>
      <c r="AE62" s="62">
        <f t="shared" si="16"/>
        <v>0</v>
      </c>
      <c r="AG62" s="373" t="e">
        <v>#N/A</v>
      </c>
      <c r="AH62" s="293" t="e">
        <v>#N/A</v>
      </c>
      <c r="AI62" s="293" t="e">
        <v>#N/A</v>
      </c>
      <c r="AJ62" s="293" t="e">
        <v>#N/A</v>
      </c>
      <c r="AK62" s="2" t="e">
        <v>#N/A</v>
      </c>
      <c r="AL62" s="293" t="e">
        <v>#N/A</v>
      </c>
      <c r="AM62" s="61"/>
      <c r="AO62" s="232"/>
      <c r="AP62" s="237">
        <f t="shared" si="3"/>
        <v>0</v>
      </c>
      <c r="AQ62" s="237"/>
      <c r="AR62" s="237">
        <f t="shared" si="4"/>
        <v>0</v>
      </c>
      <c r="AS62" s="237"/>
      <c r="AT62" s="237">
        <f t="shared" si="5"/>
        <v>0</v>
      </c>
      <c r="AU62" s="237"/>
      <c r="AV62" s="237">
        <f t="shared" si="6"/>
        <v>0</v>
      </c>
      <c r="AW62" s="237"/>
      <c r="AX62" s="237">
        <f t="shared" si="7"/>
        <v>0</v>
      </c>
      <c r="AY62" s="237"/>
      <c r="AZ62" s="237">
        <f t="shared" si="8"/>
        <v>0</v>
      </c>
      <c r="BA62" s="237"/>
      <c r="BB62" s="76">
        <f t="shared" si="9"/>
        <v>0</v>
      </c>
      <c r="BC62" s="237"/>
      <c r="BD62" s="237">
        <f t="shared" si="10"/>
        <v>0</v>
      </c>
      <c r="BE62" s="237"/>
      <c r="BF62" s="237">
        <f t="shared" si="11"/>
        <v>0</v>
      </c>
      <c r="BG62" s="237"/>
      <c r="BH62" s="237">
        <f t="shared" si="12"/>
        <v>0</v>
      </c>
      <c r="BI62" s="237"/>
      <c r="BJ62" s="237">
        <f t="shared" si="13"/>
        <v>0</v>
      </c>
      <c r="BK62" s="237"/>
      <c r="BL62" s="237">
        <f t="shared" si="14"/>
        <v>0</v>
      </c>
    </row>
    <row r="63" spans="1:64" ht="17.25">
      <c r="A63" s="61">
        <v>59</v>
      </c>
      <c r="B63" s="65" t="str">
        <f>'[6]NOI TAC 2026'!B65</f>
        <v>R062772</v>
      </c>
      <c r="C63" s="36" t="str">
        <f t="shared" si="0"/>
        <v>XEM</v>
      </c>
      <c r="D63" s="36">
        <f>'[6]NOI TAC 2026'!F65</f>
        <v>2</v>
      </c>
      <c r="E63" s="63">
        <f>'[6]NOI TAC 2026'!AL65</f>
        <v>336.41595192307693</v>
      </c>
      <c r="F63" s="61"/>
      <c r="G63" s="61"/>
      <c r="H63" s="61"/>
      <c r="I63" s="61"/>
      <c r="J63" s="61">
        <v>1</v>
      </c>
      <c r="K63" s="61"/>
      <c r="L63" s="61"/>
      <c r="M63" s="61"/>
      <c r="N63" s="61"/>
      <c r="O63" s="61">
        <v>1</v>
      </c>
      <c r="P63" s="61"/>
      <c r="Q63" s="61"/>
      <c r="R63" s="61">
        <f t="shared" si="1"/>
        <v>2</v>
      </c>
      <c r="T63" s="62">
        <f t="shared" si="16"/>
        <v>0</v>
      </c>
      <c r="U63" s="62">
        <f t="shared" si="16"/>
        <v>0</v>
      </c>
      <c r="V63" s="62">
        <f t="shared" si="16"/>
        <v>0</v>
      </c>
      <c r="W63" s="62">
        <f t="shared" si="16"/>
        <v>0</v>
      </c>
      <c r="X63" s="62">
        <f t="shared" si="16"/>
        <v>336.41595192307693</v>
      </c>
      <c r="Y63" s="62">
        <f t="shared" si="16"/>
        <v>0</v>
      </c>
      <c r="Z63" s="62">
        <f t="shared" si="16"/>
        <v>0</v>
      </c>
      <c r="AA63" s="62">
        <f t="shared" si="16"/>
        <v>0</v>
      </c>
      <c r="AB63" s="62">
        <f t="shared" si="16"/>
        <v>0</v>
      </c>
      <c r="AC63" s="62">
        <f t="shared" si="16"/>
        <v>336.41595192307693</v>
      </c>
      <c r="AD63" s="62">
        <f t="shared" si="16"/>
        <v>0</v>
      </c>
      <c r="AE63" s="62">
        <f t="shared" si="16"/>
        <v>0</v>
      </c>
      <c r="AG63" s="361">
        <v>2136038302</v>
      </c>
      <c r="AH63" s="372">
        <v>2</v>
      </c>
      <c r="AI63" s="293">
        <v>1</v>
      </c>
      <c r="AJ63" s="293" t="s">
        <v>815</v>
      </c>
      <c r="AK63" s="2" t="s">
        <v>819</v>
      </c>
      <c r="AL63" s="371">
        <v>46114</v>
      </c>
      <c r="AM63" s="61"/>
      <c r="AO63" s="232"/>
      <c r="AP63" s="237">
        <f t="shared" si="3"/>
        <v>0</v>
      </c>
      <c r="AQ63" s="237"/>
      <c r="AR63" s="237">
        <f t="shared" si="4"/>
        <v>0</v>
      </c>
      <c r="AS63" s="237"/>
      <c r="AT63" s="237">
        <f t="shared" si="5"/>
        <v>0</v>
      </c>
      <c r="AU63" s="237"/>
      <c r="AV63" s="237">
        <f t="shared" si="6"/>
        <v>0</v>
      </c>
      <c r="AW63" s="237"/>
      <c r="AX63" s="237">
        <f t="shared" si="7"/>
        <v>0</v>
      </c>
      <c r="AY63" s="237"/>
      <c r="AZ63" s="237">
        <f t="shared" si="8"/>
        <v>0</v>
      </c>
      <c r="BA63" s="237"/>
      <c r="BB63" s="76">
        <f t="shared" si="9"/>
        <v>0</v>
      </c>
      <c r="BC63" s="237"/>
      <c r="BD63" s="237">
        <f t="shared" si="10"/>
        <v>0</v>
      </c>
      <c r="BE63" s="237"/>
      <c r="BF63" s="237">
        <f t="shared" si="11"/>
        <v>0</v>
      </c>
      <c r="BG63" s="237"/>
      <c r="BH63" s="237">
        <f t="shared" si="12"/>
        <v>0</v>
      </c>
      <c r="BI63" s="237"/>
      <c r="BJ63" s="237">
        <f t="shared" si="13"/>
        <v>0</v>
      </c>
      <c r="BK63" s="237"/>
      <c r="BL63" s="237">
        <f t="shared" si="14"/>
        <v>0</v>
      </c>
    </row>
    <row r="64" spans="1:64" hidden="1">
      <c r="A64" s="61">
        <v>60</v>
      </c>
      <c r="B64" s="65" t="str">
        <f>'[6]NOI TAC 2026'!B66</f>
        <v>S764009</v>
      </c>
      <c r="C64" s="36" t="str">
        <f t="shared" si="0"/>
        <v>XEM</v>
      </c>
      <c r="D64" s="36">
        <f>'[6]NOI TAC 2026'!F66</f>
        <v>3</v>
      </c>
      <c r="E64" s="63">
        <f>'[6]NOI TAC 2026'!AL66</f>
        <v>284.6670680769231</v>
      </c>
      <c r="F64" s="61">
        <v>1</v>
      </c>
      <c r="G64" s="61"/>
      <c r="H64" s="61"/>
      <c r="I64" s="61">
        <v>1</v>
      </c>
      <c r="J64" s="61"/>
      <c r="K64" s="61"/>
      <c r="L64" s="61"/>
      <c r="M64" s="61">
        <v>1</v>
      </c>
      <c r="N64" s="61"/>
      <c r="O64" s="61"/>
      <c r="P64" s="52"/>
      <c r="Q64" s="61"/>
      <c r="R64" s="61">
        <f t="shared" si="1"/>
        <v>3</v>
      </c>
      <c r="T64" s="62">
        <f t="shared" si="16"/>
        <v>284.6670680769231</v>
      </c>
      <c r="U64" s="62">
        <f t="shared" si="16"/>
        <v>0</v>
      </c>
      <c r="V64" s="62">
        <f t="shared" si="16"/>
        <v>0</v>
      </c>
      <c r="W64" s="62">
        <f t="shared" si="16"/>
        <v>284.6670680769231</v>
      </c>
      <c r="X64" s="62">
        <f t="shared" si="16"/>
        <v>0</v>
      </c>
      <c r="Y64" s="62">
        <f t="shared" si="16"/>
        <v>0</v>
      </c>
      <c r="Z64" s="62">
        <f t="shared" si="16"/>
        <v>0</v>
      </c>
      <c r="AA64" s="62">
        <f t="shared" si="16"/>
        <v>284.6670680769231</v>
      </c>
      <c r="AB64" s="62">
        <f t="shared" si="16"/>
        <v>0</v>
      </c>
      <c r="AC64" s="62">
        <f t="shared" si="16"/>
        <v>0</v>
      </c>
      <c r="AD64" s="62">
        <f t="shared" si="16"/>
        <v>0</v>
      </c>
      <c r="AE64" s="62">
        <f t="shared" si="16"/>
        <v>0</v>
      </c>
      <c r="AG64" s="374" t="e">
        <v>#N/A</v>
      </c>
      <c r="AH64" s="293" t="e">
        <v>#N/A</v>
      </c>
      <c r="AI64" s="293" t="e">
        <v>#N/A</v>
      </c>
      <c r="AJ64" s="293" t="e">
        <v>#N/A</v>
      </c>
      <c r="AK64" s="2" t="e">
        <v>#N/A</v>
      </c>
      <c r="AL64" s="293" t="e">
        <v>#N/A</v>
      </c>
      <c r="AM64" s="61"/>
      <c r="AO64" s="232"/>
      <c r="AP64" s="237">
        <f t="shared" si="3"/>
        <v>0</v>
      </c>
      <c r="AQ64" s="237"/>
      <c r="AR64" s="237">
        <f t="shared" si="4"/>
        <v>0</v>
      </c>
      <c r="AS64" s="237"/>
      <c r="AT64" s="237">
        <f t="shared" si="5"/>
        <v>0</v>
      </c>
      <c r="AU64" s="237"/>
      <c r="AV64" s="237">
        <f t="shared" si="6"/>
        <v>0</v>
      </c>
      <c r="AW64" s="237"/>
      <c r="AX64" s="237">
        <f t="shared" si="7"/>
        <v>0</v>
      </c>
      <c r="AY64" s="237"/>
      <c r="AZ64" s="237">
        <f t="shared" si="8"/>
        <v>0</v>
      </c>
      <c r="BA64" s="237"/>
      <c r="BB64" s="76">
        <f t="shared" si="9"/>
        <v>0</v>
      </c>
      <c r="BC64" s="237"/>
      <c r="BD64" s="237">
        <f t="shared" si="10"/>
        <v>0</v>
      </c>
      <c r="BE64" s="237"/>
      <c r="BF64" s="237">
        <f t="shared" si="11"/>
        <v>0</v>
      </c>
      <c r="BG64" s="237"/>
      <c r="BH64" s="237">
        <f t="shared" si="12"/>
        <v>0</v>
      </c>
      <c r="BI64" s="237"/>
      <c r="BJ64" s="237">
        <f t="shared" si="13"/>
        <v>0</v>
      </c>
      <c r="BK64" s="237"/>
      <c r="BL64" s="237">
        <f t="shared" si="14"/>
        <v>0</v>
      </c>
    </row>
    <row r="65" spans="1:64" hidden="1">
      <c r="A65" s="61">
        <v>61</v>
      </c>
      <c r="B65" s="65" t="str">
        <f>'[6]NOI TAC 2026'!B67</f>
        <v>R351899</v>
      </c>
      <c r="C65" s="36" t="str">
        <f t="shared" si="0"/>
        <v>XEM</v>
      </c>
      <c r="D65" s="36">
        <f>'[6]NOI TAC 2026'!F67</f>
        <v>8</v>
      </c>
      <c r="E65" s="63">
        <f>'[6]NOI TAC 2026'!AL67</f>
        <v>201.57333423076915</v>
      </c>
      <c r="F65" s="61"/>
      <c r="G65" s="61"/>
      <c r="H65" s="61">
        <v>2</v>
      </c>
      <c r="I65" s="61"/>
      <c r="J65" s="61"/>
      <c r="K65" s="61">
        <v>2</v>
      </c>
      <c r="L65" s="61"/>
      <c r="M65" s="61"/>
      <c r="N65" s="61">
        <v>2</v>
      </c>
      <c r="O65" s="61"/>
      <c r="P65" s="52"/>
      <c r="Q65" s="61">
        <v>2</v>
      </c>
      <c r="R65" s="61">
        <f t="shared" si="1"/>
        <v>8</v>
      </c>
      <c r="T65" s="62">
        <f t="shared" si="16"/>
        <v>0</v>
      </c>
      <c r="U65" s="62">
        <f t="shared" si="16"/>
        <v>0</v>
      </c>
      <c r="V65" s="62">
        <f t="shared" si="16"/>
        <v>403.1466684615383</v>
      </c>
      <c r="W65" s="62">
        <f t="shared" si="16"/>
        <v>0</v>
      </c>
      <c r="X65" s="62">
        <f t="shared" si="16"/>
        <v>0</v>
      </c>
      <c r="Y65" s="62">
        <f t="shared" si="16"/>
        <v>403.1466684615383</v>
      </c>
      <c r="Z65" s="62">
        <f t="shared" ref="Z65:AE85" si="17">$E65*L65</f>
        <v>0</v>
      </c>
      <c r="AA65" s="62">
        <f t="shared" si="17"/>
        <v>0</v>
      </c>
      <c r="AB65" s="62">
        <f t="shared" si="17"/>
        <v>403.1466684615383</v>
      </c>
      <c r="AC65" s="62">
        <f t="shared" si="17"/>
        <v>0</v>
      </c>
      <c r="AD65" s="62">
        <f t="shared" si="17"/>
        <v>0</v>
      </c>
      <c r="AE65" s="62">
        <f t="shared" si="17"/>
        <v>403.1466684615383</v>
      </c>
      <c r="AG65" s="373" t="e">
        <v>#N/A</v>
      </c>
      <c r="AH65" s="293" t="e">
        <v>#N/A</v>
      </c>
      <c r="AI65" s="293" t="e">
        <v>#N/A</v>
      </c>
      <c r="AJ65" s="293" t="e">
        <v>#N/A</v>
      </c>
      <c r="AK65" s="2" t="e">
        <v>#N/A</v>
      </c>
      <c r="AL65" s="293" t="e">
        <v>#N/A</v>
      </c>
      <c r="AM65" s="61"/>
      <c r="AO65" s="232"/>
      <c r="AP65" s="237">
        <f t="shared" si="3"/>
        <v>0</v>
      </c>
      <c r="AQ65" s="237"/>
      <c r="AR65" s="237">
        <f t="shared" si="4"/>
        <v>0</v>
      </c>
      <c r="AS65" s="237"/>
      <c r="AT65" s="237">
        <f t="shared" si="5"/>
        <v>0</v>
      </c>
      <c r="AU65" s="237"/>
      <c r="AV65" s="237">
        <f t="shared" si="6"/>
        <v>0</v>
      </c>
      <c r="AW65" s="237"/>
      <c r="AX65" s="237">
        <f t="shared" si="7"/>
        <v>0</v>
      </c>
      <c r="AY65" s="237"/>
      <c r="AZ65" s="237">
        <f t="shared" si="8"/>
        <v>0</v>
      </c>
      <c r="BA65" s="237"/>
      <c r="BB65" s="76">
        <f t="shared" si="9"/>
        <v>0</v>
      </c>
      <c r="BC65" s="237"/>
      <c r="BD65" s="237">
        <f t="shared" si="10"/>
        <v>0</v>
      </c>
      <c r="BE65" s="237"/>
      <c r="BF65" s="237">
        <f t="shared" si="11"/>
        <v>0</v>
      </c>
      <c r="BG65" s="237"/>
      <c r="BH65" s="237">
        <f t="shared" si="12"/>
        <v>0</v>
      </c>
      <c r="BI65" s="237"/>
      <c r="BJ65" s="237">
        <f t="shared" si="13"/>
        <v>0</v>
      </c>
      <c r="BK65" s="237"/>
      <c r="BL65" s="237">
        <f t="shared" si="14"/>
        <v>0</v>
      </c>
    </row>
    <row r="66" spans="1:64" ht="17.25">
      <c r="A66" s="61">
        <v>62</v>
      </c>
      <c r="B66" s="65" t="str">
        <f>'[6]NOI TAC 2026'!B68</f>
        <v>R307560</v>
      </c>
      <c r="C66" s="36" t="str">
        <f t="shared" si="0"/>
        <v>XEM</v>
      </c>
      <c r="D66" s="36">
        <f>'[6]NOI TAC 2026'!F68</f>
        <v>2</v>
      </c>
      <c r="E66" s="63">
        <f>'[6]NOI TAC 2026'!AL68</f>
        <v>242.23635192307688</v>
      </c>
      <c r="F66" s="61"/>
      <c r="G66" s="61"/>
      <c r="H66" s="61"/>
      <c r="I66" s="61">
        <v>1</v>
      </c>
      <c r="J66" s="61"/>
      <c r="K66" s="61"/>
      <c r="L66" s="61"/>
      <c r="M66" s="61"/>
      <c r="N66" s="61"/>
      <c r="O66" s="61">
        <v>1</v>
      </c>
      <c r="P66" s="64"/>
      <c r="Q66" s="61"/>
      <c r="R66" s="61">
        <f t="shared" si="1"/>
        <v>2</v>
      </c>
      <c r="T66" s="62">
        <f t="shared" ref="T66:Y84" si="18">$E66*F66</f>
        <v>0</v>
      </c>
      <c r="U66" s="62">
        <f t="shared" si="18"/>
        <v>0</v>
      </c>
      <c r="V66" s="62">
        <f t="shared" si="18"/>
        <v>0</v>
      </c>
      <c r="W66" s="62">
        <f t="shared" si="18"/>
        <v>242.23635192307688</v>
      </c>
      <c r="X66" s="62">
        <f t="shared" si="18"/>
        <v>0</v>
      </c>
      <c r="Y66" s="62">
        <f t="shared" si="18"/>
        <v>0</v>
      </c>
      <c r="Z66" s="62">
        <f t="shared" si="17"/>
        <v>0</v>
      </c>
      <c r="AA66" s="62">
        <f t="shared" si="17"/>
        <v>0</v>
      </c>
      <c r="AB66" s="62">
        <f t="shared" si="17"/>
        <v>0</v>
      </c>
      <c r="AC66" s="62">
        <f t="shared" si="17"/>
        <v>242.23635192307688</v>
      </c>
      <c r="AD66" s="62">
        <f t="shared" si="17"/>
        <v>0</v>
      </c>
      <c r="AE66" s="62">
        <f t="shared" si="17"/>
        <v>0</v>
      </c>
      <c r="AG66" s="362">
        <v>2136038303</v>
      </c>
      <c r="AH66" s="372">
        <v>3</v>
      </c>
      <c r="AI66" s="293">
        <v>1</v>
      </c>
      <c r="AJ66" s="293" t="s">
        <v>816</v>
      </c>
      <c r="AK66" s="2" t="s">
        <v>817</v>
      </c>
      <c r="AL66" s="371">
        <v>46114</v>
      </c>
      <c r="AM66" s="61"/>
      <c r="AO66" s="232"/>
      <c r="AP66" s="237">
        <f t="shared" si="3"/>
        <v>0</v>
      </c>
      <c r="AQ66" s="237"/>
      <c r="AR66" s="237">
        <f t="shared" si="4"/>
        <v>0</v>
      </c>
      <c r="AS66" s="237"/>
      <c r="AT66" s="237">
        <f t="shared" si="5"/>
        <v>0</v>
      </c>
      <c r="AU66" s="237"/>
      <c r="AV66" s="237">
        <f t="shared" si="6"/>
        <v>0</v>
      </c>
      <c r="AW66" s="237"/>
      <c r="AX66" s="237">
        <f t="shared" si="7"/>
        <v>0</v>
      </c>
      <c r="AY66" s="237"/>
      <c r="AZ66" s="237">
        <f t="shared" si="8"/>
        <v>0</v>
      </c>
      <c r="BA66" s="237"/>
      <c r="BB66" s="76">
        <f t="shared" si="9"/>
        <v>0</v>
      </c>
      <c r="BC66" s="237"/>
      <c r="BD66" s="237">
        <f t="shared" si="10"/>
        <v>0</v>
      </c>
      <c r="BE66" s="237"/>
      <c r="BF66" s="237">
        <f t="shared" si="11"/>
        <v>0</v>
      </c>
      <c r="BG66" s="237"/>
      <c r="BH66" s="237">
        <f t="shared" si="12"/>
        <v>0</v>
      </c>
      <c r="BI66" s="237"/>
      <c r="BJ66" s="237">
        <f t="shared" si="13"/>
        <v>0</v>
      </c>
      <c r="BK66" s="237"/>
      <c r="BL66" s="237">
        <f t="shared" si="14"/>
        <v>0</v>
      </c>
    </row>
    <row r="67" spans="1:64" hidden="1">
      <c r="A67" s="61">
        <v>63</v>
      </c>
      <c r="B67" s="65" t="str">
        <f>'[6]NOI TAC 2026'!B69</f>
        <v>S938430</v>
      </c>
      <c r="C67" s="36" t="str">
        <f t="shared" si="0"/>
        <v>XEM</v>
      </c>
      <c r="D67" s="36">
        <f>'[6]NOI TAC 2026'!F69</f>
        <v>2</v>
      </c>
      <c r="E67" s="63">
        <f>'[6]NOI TAC 2026'!AL69</f>
        <v>13.037431923076952</v>
      </c>
      <c r="F67" s="61"/>
      <c r="G67" s="61"/>
      <c r="H67" s="61"/>
      <c r="I67" s="61"/>
      <c r="J67" s="61">
        <v>1</v>
      </c>
      <c r="K67" s="61"/>
      <c r="L67" s="61"/>
      <c r="M67" s="61"/>
      <c r="N67" s="61"/>
      <c r="O67" s="61"/>
      <c r="P67" s="61">
        <v>1</v>
      </c>
      <c r="Q67" s="61"/>
      <c r="R67" s="61">
        <f t="shared" si="1"/>
        <v>2</v>
      </c>
      <c r="T67" s="62">
        <f t="shared" si="18"/>
        <v>0</v>
      </c>
      <c r="U67" s="62">
        <f t="shared" si="18"/>
        <v>0</v>
      </c>
      <c r="V67" s="62">
        <f t="shared" si="18"/>
        <v>0</v>
      </c>
      <c r="W67" s="62">
        <f t="shared" si="18"/>
        <v>0</v>
      </c>
      <c r="X67" s="62">
        <f t="shared" si="18"/>
        <v>13.037431923076952</v>
      </c>
      <c r="Y67" s="62">
        <f t="shared" si="18"/>
        <v>0</v>
      </c>
      <c r="Z67" s="62">
        <f t="shared" si="17"/>
        <v>0</v>
      </c>
      <c r="AA67" s="62">
        <f t="shared" si="17"/>
        <v>0</v>
      </c>
      <c r="AB67" s="62">
        <f t="shared" si="17"/>
        <v>0</v>
      </c>
      <c r="AC67" s="62">
        <f t="shared" si="17"/>
        <v>0</v>
      </c>
      <c r="AD67" s="62">
        <f t="shared" si="17"/>
        <v>13.037431923076952</v>
      </c>
      <c r="AE67" s="62">
        <f t="shared" si="17"/>
        <v>0</v>
      </c>
      <c r="AG67" s="374" t="e">
        <v>#N/A</v>
      </c>
      <c r="AH67" s="293" t="e">
        <v>#N/A</v>
      </c>
      <c r="AI67" s="293" t="e">
        <v>#N/A</v>
      </c>
      <c r="AJ67" s="293" t="e">
        <v>#N/A</v>
      </c>
      <c r="AK67" s="2" t="e">
        <v>#N/A</v>
      </c>
      <c r="AL67" s="293" t="e">
        <v>#N/A</v>
      </c>
      <c r="AM67" s="61"/>
      <c r="AO67" s="232"/>
      <c r="AP67" s="237">
        <f t="shared" si="3"/>
        <v>0</v>
      </c>
      <c r="AQ67" s="237"/>
      <c r="AR67" s="237">
        <f t="shared" si="4"/>
        <v>0</v>
      </c>
      <c r="AS67" s="237"/>
      <c r="AT67" s="237">
        <f t="shared" si="5"/>
        <v>0</v>
      </c>
      <c r="AU67" s="237"/>
      <c r="AV67" s="237">
        <f t="shared" si="6"/>
        <v>0</v>
      </c>
      <c r="AW67" s="237"/>
      <c r="AX67" s="237">
        <f t="shared" si="7"/>
        <v>0</v>
      </c>
      <c r="AY67" s="237"/>
      <c r="AZ67" s="237">
        <f t="shared" si="8"/>
        <v>0</v>
      </c>
      <c r="BA67" s="237"/>
      <c r="BB67" s="76">
        <f t="shared" si="9"/>
        <v>0</v>
      </c>
      <c r="BC67" s="237"/>
      <c r="BD67" s="237">
        <f t="shared" si="10"/>
        <v>0</v>
      </c>
      <c r="BE67" s="237"/>
      <c r="BF67" s="237">
        <f t="shared" si="11"/>
        <v>0</v>
      </c>
      <c r="BG67" s="237"/>
      <c r="BH67" s="237">
        <f t="shared" si="12"/>
        <v>0</v>
      </c>
      <c r="BI67" s="237"/>
      <c r="BJ67" s="237">
        <f t="shared" si="13"/>
        <v>0</v>
      </c>
      <c r="BK67" s="237"/>
      <c r="BL67" s="237">
        <f t="shared" si="14"/>
        <v>0</v>
      </c>
    </row>
    <row r="68" spans="1:64" hidden="1">
      <c r="A68" s="61">
        <v>64</v>
      </c>
      <c r="B68" s="65" t="str">
        <f>'[6]NOI TAC 2026'!B70</f>
        <v>S299835</v>
      </c>
      <c r="C68" s="36" t="str">
        <f t="shared" si="0"/>
        <v>XEM</v>
      </c>
      <c r="D68" s="36">
        <f>'[6]NOI TAC 2026'!F70</f>
        <v>1</v>
      </c>
      <c r="E68" s="63">
        <f>'[6]NOI TAC 2026'!AL70</f>
        <v>377.77292</v>
      </c>
      <c r="F68" s="61"/>
      <c r="G68" s="61"/>
      <c r="H68" s="61"/>
      <c r="I68" s="61">
        <v>1</v>
      </c>
      <c r="J68" s="61"/>
      <c r="K68" s="61"/>
      <c r="L68" s="61"/>
      <c r="M68" s="61"/>
      <c r="N68" s="61"/>
      <c r="O68" s="61"/>
      <c r="P68" s="61"/>
      <c r="Q68" s="61"/>
      <c r="R68" s="61">
        <f t="shared" si="1"/>
        <v>1</v>
      </c>
      <c r="T68" s="62">
        <f t="shared" si="18"/>
        <v>0</v>
      </c>
      <c r="U68" s="62">
        <f t="shared" si="18"/>
        <v>0</v>
      </c>
      <c r="V68" s="62">
        <f t="shared" si="18"/>
        <v>0</v>
      </c>
      <c r="W68" s="62">
        <f t="shared" si="18"/>
        <v>377.77292</v>
      </c>
      <c r="X68" s="62">
        <f t="shared" si="18"/>
        <v>0</v>
      </c>
      <c r="Y68" s="62">
        <f t="shared" si="18"/>
        <v>0</v>
      </c>
      <c r="Z68" s="62">
        <f t="shared" si="17"/>
        <v>0</v>
      </c>
      <c r="AA68" s="62">
        <f t="shared" si="17"/>
        <v>0</v>
      </c>
      <c r="AB68" s="62">
        <f t="shared" si="17"/>
        <v>0</v>
      </c>
      <c r="AC68" s="62">
        <f t="shared" si="17"/>
        <v>0</v>
      </c>
      <c r="AD68" s="62">
        <f t="shared" si="17"/>
        <v>0</v>
      </c>
      <c r="AE68" s="62">
        <f t="shared" si="17"/>
        <v>0</v>
      </c>
      <c r="AG68" s="2" t="e">
        <v>#N/A</v>
      </c>
      <c r="AH68" s="293" t="e">
        <v>#N/A</v>
      </c>
      <c r="AI68" s="293" t="e">
        <v>#N/A</v>
      </c>
      <c r="AJ68" s="293" t="e">
        <v>#N/A</v>
      </c>
      <c r="AK68" s="2" t="e">
        <v>#N/A</v>
      </c>
      <c r="AL68" s="293" t="e">
        <v>#N/A</v>
      </c>
      <c r="AM68" s="61"/>
      <c r="AO68" s="232"/>
      <c r="AP68" s="237">
        <f t="shared" si="3"/>
        <v>0</v>
      </c>
      <c r="AQ68" s="237"/>
      <c r="AR68" s="237">
        <f t="shared" si="4"/>
        <v>0</v>
      </c>
      <c r="AS68" s="237"/>
      <c r="AT68" s="237">
        <f t="shared" si="5"/>
        <v>0</v>
      </c>
      <c r="AU68" s="237"/>
      <c r="AV68" s="237">
        <f t="shared" si="6"/>
        <v>0</v>
      </c>
      <c r="AW68" s="237"/>
      <c r="AX68" s="237">
        <f t="shared" si="7"/>
        <v>0</v>
      </c>
      <c r="AY68" s="237"/>
      <c r="AZ68" s="237">
        <f t="shared" si="8"/>
        <v>0</v>
      </c>
      <c r="BA68" s="237"/>
      <c r="BB68" s="76">
        <f t="shared" si="9"/>
        <v>0</v>
      </c>
      <c r="BC68" s="237"/>
      <c r="BD68" s="237">
        <f t="shared" si="10"/>
        <v>0</v>
      </c>
      <c r="BE68" s="237"/>
      <c r="BF68" s="237">
        <f t="shared" si="11"/>
        <v>0</v>
      </c>
      <c r="BG68" s="237"/>
      <c r="BH68" s="237">
        <f t="shared" si="12"/>
        <v>0</v>
      </c>
      <c r="BI68" s="237"/>
      <c r="BJ68" s="237">
        <f t="shared" si="13"/>
        <v>0</v>
      </c>
      <c r="BK68" s="237"/>
      <c r="BL68" s="237">
        <f t="shared" si="14"/>
        <v>0</v>
      </c>
    </row>
    <row r="69" spans="1:64" hidden="1">
      <c r="A69" s="61">
        <v>65</v>
      </c>
      <c r="B69" s="65" t="str">
        <f>'[6]NOI TAC 2026'!B71</f>
        <v>S884105</v>
      </c>
      <c r="C69" s="36" t="str">
        <f t="shared" ref="C69:C102" si="19">IF(B69="","",HYPERLINK("\\vdm-fsvr\Cokhi-機工\CONG VIEC CHUNG 2026\★2026年度年次目標設定\5.COSTDOWN 2026\5.MỤC TIÊU 2026\COSTDOWN 2026\PDF\"&amp;B69&amp;".pdf","XEM"))</f>
        <v>XEM</v>
      </c>
      <c r="D69" s="36">
        <f>'[6]NOI TAC 2026'!F71</f>
        <v>6</v>
      </c>
      <c r="E69" s="63">
        <f>'[6]NOI TAC 2026'!AL71</f>
        <v>305.38920000000002</v>
      </c>
      <c r="F69" s="61"/>
      <c r="G69" s="61"/>
      <c r="H69" s="61">
        <v>2</v>
      </c>
      <c r="I69" s="61"/>
      <c r="J69" s="61"/>
      <c r="K69" s="61"/>
      <c r="L69" s="61">
        <v>2</v>
      </c>
      <c r="M69" s="61"/>
      <c r="N69" s="61"/>
      <c r="O69" s="61"/>
      <c r="P69" s="61">
        <v>2</v>
      </c>
      <c r="Q69" s="61"/>
      <c r="R69" s="61">
        <f t="shared" ref="R69:R102" si="20">SUM(F69:Q69)</f>
        <v>6</v>
      </c>
      <c r="T69" s="62">
        <f t="shared" si="18"/>
        <v>0</v>
      </c>
      <c r="U69" s="62">
        <f t="shared" si="18"/>
        <v>0</v>
      </c>
      <c r="V69" s="62">
        <f t="shared" si="18"/>
        <v>610.77840000000003</v>
      </c>
      <c r="W69" s="62">
        <f t="shared" si="18"/>
        <v>0</v>
      </c>
      <c r="X69" s="62">
        <f t="shared" si="18"/>
        <v>0</v>
      </c>
      <c r="Y69" s="62">
        <f t="shared" si="18"/>
        <v>0</v>
      </c>
      <c r="Z69" s="62">
        <f t="shared" si="17"/>
        <v>610.77840000000003</v>
      </c>
      <c r="AA69" s="62">
        <f t="shared" si="17"/>
        <v>0</v>
      </c>
      <c r="AB69" s="62">
        <f t="shared" si="17"/>
        <v>0</v>
      </c>
      <c r="AC69" s="62">
        <f t="shared" si="17"/>
        <v>0</v>
      </c>
      <c r="AD69" s="62">
        <f t="shared" si="17"/>
        <v>610.77840000000003</v>
      </c>
      <c r="AE69" s="62">
        <f t="shared" si="17"/>
        <v>0</v>
      </c>
      <c r="AG69" s="2" t="e">
        <v>#N/A</v>
      </c>
      <c r="AH69" s="293" t="e">
        <v>#N/A</v>
      </c>
      <c r="AI69" s="293" t="e">
        <v>#N/A</v>
      </c>
      <c r="AJ69" s="293" t="e">
        <v>#N/A</v>
      </c>
      <c r="AK69" s="2" t="e">
        <v>#N/A</v>
      </c>
      <c r="AL69" s="293" t="e">
        <v>#N/A</v>
      </c>
      <c r="AM69" s="61"/>
      <c r="AO69" s="232"/>
      <c r="AP69" s="237">
        <f t="shared" si="3"/>
        <v>0</v>
      </c>
      <c r="AQ69" s="237"/>
      <c r="AR69" s="237">
        <f t="shared" si="4"/>
        <v>0</v>
      </c>
      <c r="AS69" s="237"/>
      <c r="AT69" s="237">
        <f t="shared" si="5"/>
        <v>0</v>
      </c>
      <c r="AU69" s="237"/>
      <c r="AV69" s="237">
        <f t="shared" si="6"/>
        <v>0</v>
      </c>
      <c r="AW69" s="237"/>
      <c r="AX69" s="237">
        <f t="shared" si="7"/>
        <v>0</v>
      </c>
      <c r="AY69" s="237"/>
      <c r="AZ69" s="237">
        <f t="shared" si="8"/>
        <v>0</v>
      </c>
      <c r="BA69" s="237"/>
      <c r="BB69" s="76">
        <f t="shared" si="9"/>
        <v>0</v>
      </c>
      <c r="BC69" s="237"/>
      <c r="BD69" s="237">
        <f t="shared" si="10"/>
        <v>0</v>
      </c>
      <c r="BE69" s="237"/>
      <c r="BF69" s="237">
        <f t="shared" si="11"/>
        <v>0</v>
      </c>
      <c r="BG69" s="237"/>
      <c r="BH69" s="237">
        <f t="shared" si="12"/>
        <v>0</v>
      </c>
      <c r="BI69" s="237"/>
      <c r="BJ69" s="237">
        <f t="shared" si="13"/>
        <v>0</v>
      </c>
      <c r="BK69" s="237"/>
      <c r="BL69" s="237">
        <f t="shared" si="14"/>
        <v>0</v>
      </c>
    </row>
    <row r="70" spans="1:64" hidden="1">
      <c r="A70" s="61">
        <v>66</v>
      </c>
      <c r="B70" s="65" t="str">
        <f>'[6]NOI TAC 2026'!B72</f>
        <v>R009185</v>
      </c>
      <c r="C70" s="36" t="str">
        <f t="shared" si="19"/>
        <v>XEM</v>
      </c>
      <c r="D70" s="36">
        <f>'[6]NOI TAC 2026'!F72</f>
        <v>3</v>
      </c>
      <c r="E70" s="63">
        <f>'[6]NOI TAC 2026'!AL72</f>
        <v>350.00308000000001</v>
      </c>
      <c r="F70" s="61">
        <v>1</v>
      </c>
      <c r="G70" s="61"/>
      <c r="H70" s="61"/>
      <c r="I70" s="61"/>
      <c r="J70" s="61"/>
      <c r="K70" s="61">
        <v>1</v>
      </c>
      <c r="L70" s="61"/>
      <c r="M70" s="61"/>
      <c r="N70" s="61"/>
      <c r="O70" s="61"/>
      <c r="P70" s="61"/>
      <c r="Q70" s="61">
        <v>1</v>
      </c>
      <c r="R70" s="61">
        <f t="shared" si="20"/>
        <v>3</v>
      </c>
      <c r="T70" s="62">
        <f t="shared" si="18"/>
        <v>350.00308000000001</v>
      </c>
      <c r="U70" s="62">
        <f t="shared" si="18"/>
        <v>0</v>
      </c>
      <c r="V70" s="62">
        <f t="shared" si="18"/>
        <v>0</v>
      </c>
      <c r="W70" s="62">
        <f t="shared" si="18"/>
        <v>0</v>
      </c>
      <c r="X70" s="62">
        <f t="shared" si="18"/>
        <v>0</v>
      </c>
      <c r="Y70" s="62">
        <f t="shared" si="18"/>
        <v>350.00308000000001</v>
      </c>
      <c r="Z70" s="62">
        <f t="shared" si="17"/>
        <v>0</v>
      </c>
      <c r="AA70" s="62">
        <f t="shared" si="17"/>
        <v>0</v>
      </c>
      <c r="AB70" s="62">
        <f t="shared" si="17"/>
        <v>0</v>
      </c>
      <c r="AC70" s="62">
        <f t="shared" si="17"/>
        <v>0</v>
      </c>
      <c r="AD70" s="62">
        <f t="shared" si="17"/>
        <v>0</v>
      </c>
      <c r="AE70" s="62">
        <f t="shared" si="17"/>
        <v>350.00308000000001</v>
      </c>
      <c r="AG70" s="2" t="e">
        <v>#N/A</v>
      </c>
      <c r="AH70" s="293" t="e">
        <v>#N/A</v>
      </c>
      <c r="AI70" s="293" t="e">
        <v>#N/A</v>
      </c>
      <c r="AJ70" s="293" t="e">
        <v>#N/A</v>
      </c>
      <c r="AK70" s="2" t="e">
        <v>#N/A</v>
      </c>
      <c r="AL70" s="293" t="e">
        <v>#N/A</v>
      </c>
      <c r="AM70" s="61"/>
      <c r="AO70" s="232"/>
      <c r="AP70" s="237">
        <f t="shared" ref="AP70:AP102" si="21">AO70*E70</f>
        <v>0</v>
      </c>
      <c r="AQ70" s="237"/>
      <c r="AR70" s="237">
        <f t="shared" ref="AR70:AR102" si="22">AQ70*E70</f>
        <v>0</v>
      </c>
      <c r="AS70" s="237"/>
      <c r="AT70" s="237">
        <f t="shared" ref="AT70:AT102" si="23">AS70*E70</f>
        <v>0</v>
      </c>
      <c r="AU70" s="237"/>
      <c r="AV70" s="237">
        <f t="shared" ref="AV70:AV102" si="24">AU70*E70</f>
        <v>0</v>
      </c>
      <c r="AW70" s="237"/>
      <c r="AX70" s="237">
        <f t="shared" ref="AX70:AX102" si="25">AW70*E70</f>
        <v>0</v>
      </c>
      <c r="AY70" s="237"/>
      <c r="AZ70" s="237">
        <f t="shared" ref="AZ70:AZ102" si="26">AY70*E70</f>
        <v>0</v>
      </c>
      <c r="BA70" s="237"/>
      <c r="BB70" s="76">
        <f t="shared" ref="BB70:BB102" si="27">BA70*E70</f>
        <v>0</v>
      </c>
      <c r="BC70" s="237"/>
      <c r="BD70" s="237">
        <f t="shared" ref="BD70:BD102" si="28">BC70*E70</f>
        <v>0</v>
      </c>
      <c r="BE70" s="237"/>
      <c r="BF70" s="237">
        <f t="shared" ref="BF70:BF102" si="29">BE70*E70</f>
        <v>0</v>
      </c>
      <c r="BG70" s="237"/>
      <c r="BH70" s="237">
        <f t="shared" ref="BH70:BH102" si="30">BG70*E70</f>
        <v>0</v>
      </c>
      <c r="BI70" s="237"/>
      <c r="BJ70" s="237">
        <f t="shared" ref="BJ70:BJ102" si="31">BI70*E70</f>
        <v>0</v>
      </c>
      <c r="BK70" s="237"/>
      <c r="BL70" s="237">
        <f t="shared" ref="BL70:BL102" si="32">BK70*E70</f>
        <v>0</v>
      </c>
    </row>
    <row r="71" spans="1:64" hidden="1">
      <c r="A71" s="61">
        <v>67</v>
      </c>
      <c r="B71" s="65" t="str">
        <f>'[6]NOI TAC 2026'!B73</f>
        <v>S059015</v>
      </c>
      <c r="C71" s="36" t="str">
        <f t="shared" si="19"/>
        <v>XEM</v>
      </c>
      <c r="D71" s="36">
        <f>'[6]NOI TAC 2026'!F73</f>
        <v>2</v>
      </c>
      <c r="E71" s="63">
        <f>'[6]NOI TAC 2026'!AL73</f>
        <v>212.27444543269229</v>
      </c>
      <c r="F71" s="61"/>
      <c r="G71" s="61"/>
      <c r="H71" s="61"/>
      <c r="I71" s="61">
        <v>1</v>
      </c>
      <c r="J71" s="61"/>
      <c r="K71" s="61"/>
      <c r="L71" s="61"/>
      <c r="M71" s="61"/>
      <c r="N71" s="61"/>
      <c r="O71" s="61">
        <v>1</v>
      </c>
      <c r="P71" s="61"/>
      <c r="Q71" s="61"/>
      <c r="R71" s="61">
        <f t="shared" si="20"/>
        <v>2</v>
      </c>
      <c r="T71" s="62">
        <f t="shared" si="18"/>
        <v>0</v>
      </c>
      <c r="U71" s="62">
        <f t="shared" si="18"/>
        <v>0</v>
      </c>
      <c r="V71" s="62">
        <f t="shared" si="18"/>
        <v>0</v>
      </c>
      <c r="W71" s="62">
        <f t="shared" si="18"/>
        <v>212.27444543269229</v>
      </c>
      <c r="X71" s="62">
        <f t="shared" si="18"/>
        <v>0</v>
      </c>
      <c r="Y71" s="62">
        <f t="shared" si="18"/>
        <v>0</v>
      </c>
      <c r="Z71" s="62">
        <f t="shared" si="17"/>
        <v>0</v>
      </c>
      <c r="AA71" s="62">
        <f t="shared" si="17"/>
        <v>0</v>
      </c>
      <c r="AB71" s="62">
        <f t="shared" si="17"/>
        <v>0</v>
      </c>
      <c r="AC71" s="62">
        <f t="shared" si="17"/>
        <v>212.27444543269229</v>
      </c>
      <c r="AD71" s="62">
        <f t="shared" si="17"/>
        <v>0</v>
      </c>
      <c r="AE71" s="62">
        <f t="shared" si="17"/>
        <v>0</v>
      </c>
      <c r="AG71" s="2" t="e">
        <v>#N/A</v>
      </c>
      <c r="AH71" s="293" t="e">
        <v>#N/A</v>
      </c>
      <c r="AI71" s="293" t="e">
        <v>#N/A</v>
      </c>
      <c r="AJ71" s="293" t="e">
        <v>#N/A</v>
      </c>
      <c r="AK71" s="2" t="e">
        <v>#N/A</v>
      </c>
      <c r="AL71" s="293" t="e">
        <v>#N/A</v>
      </c>
      <c r="AM71" s="61"/>
      <c r="AO71" s="232"/>
      <c r="AP71" s="237">
        <f t="shared" si="21"/>
        <v>0</v>
      </c>
      <c r="AQ71" s="237"/>
      <c r="AR71" s="237">
        <f t="shared" si="22"/>
        <v>0</v>
      </c>
      <c r="AS71" s="237"/>
      <c r="AT71" s="237">
        <f t="shared" si="23"/>
        <v>0</v>
      </c>
      <c r="AU71" s="237"/>
      <c r="AV71" s="237">
        <f t="shared" si="24"/>
        <v>0</v>
      </c>
      <c r="AW71" s="237"/>
      <c r="AX71" s="237">
        <f t="shared" si="25"/>
        <v>0</v>
      </c>
      <c r="AY71" s="237"/>
      <c r="AZ71" s="237">
        <f t="shared" si="26"/>
        <v>0</v>
      </c>
      <c r="BA71" s="237"/>
      <c r="BB71" s="76">
        <f t="shared" si="27"/>
        <v>0</v>
      </c>
      <c r="BC71" s="237"/>
      <c r="BD71" s="237">
        <f t="shared" si="28"/>
        <v>0</v>
      </c>
      <c r="BE71" s="237"/>
      <c r="BF71" s="237">
        <f t="shared" si="29"/>
        <v>0</v>
      </c>
      <c r="BG71" s="237"/>
      <c r="BH71" s="237">
        <f t="shared" si="30"/>
        <v>0</v>
      </c>
      <c r="BI71" s="237"/>
      <c r="BJ71" s="237">
        <f t="shared" si="31"/>
        <v>0</v>
      </c>
      <c r="BK71" s="237"/>
      <c r="BL71" s="237">
        <f t="shared" si="32"/>
        <v>0</v>
      </c>
    </row>
    <row r="72" spans="1:64" hidden="1">
      <c r="A72" s="61">
        <v>68</v>
      </c>
      <c r="B72" s="65" t="str">
        <f>'[6]NOI TAC 2026'!B74</f>
        <v>S862626</v>
      </c>
      <c r="C72" s="36" t="str">
        <f t="shared" si="19"/>
        <v>XEM</v>
      </c>
      <c r="D72" s="36">
        <f>'[6]NOI TAC 2026'!F74</f>
        <v>1</v>
      </c>
      <c r="E72" s="63">
        <f>'[6]NOI TAC 2026'!AL74</f>
        <v>296.73320000000001</v>
      </c>
      <c r="F72" s="61"/>
      <c r="G72" s="61"/>
      <c r="H72" s="61"/>
      <c r="I72" s="61"/>
      <c r="J72" s="61"/>
      <c r="K72" s="61">
        <v>1</v>
      </c>
      <c r="L72" s="61"/>
      <c r="M72" s="61"/>
      <c r="N72" s="61"/>
      <c r="O72" s="61"/>
      <c r="P72" s="61"/>
      <c r="Q72" s="61"/>
      <c r="R72" s="61">
        <f t="shared" si="20"/>
        <v>1</v>
      </c>
      <c r="T72" s="62">
        <f t="shared" si="18"/>
        <v>0</v>
      </c>
      <c r="U72" s="62">
        <f t="shared" si="18"/>
        <v>0</v>
      </c>
      <c r="V72" s="62">
        <f t="shared" si="18"/>
        <v>0</v>
      </c>
      <c r="W72" s="62">
        <f t="shared" si="18"/>
        <v>0</v>
      </c>
      <c r="X72" s="62">
        <f t="shared" si="18"/>
        <v>0</v>
      </c>
      <c r="Y72" s="62">
        <f t="shared" si="18"/>
        <v>296.73320000000001</v>
      </c>
      <c r="Z72" s="62">
        <f t="shared" si="17"/>
        <v>0</v>
      </c>
      <c r="AA72" s="62">
        <f t="shared" si="17"/>
        <v>0</v>
      </c>
      <c r="AB72" s="62">
        <f t="shared" si="17"/>
        <v>0</v>
      </c>
      <c r="AC72" s="62">
        <f t="shared" si="17"/>
        <v>0</v>
      </c>
      <c r="AD72" s="62">
        <f t="shared" si="17"/>
        <v>0</v>
      </c>
      <c r="AE72" s="62">
        <f t="shared" si="17"/>
        <v>0</v>
      </c>
      <c r="AG72" s="2" t="e">
        <v>#N/A</v>
      </c>
      <c r="AH72" s="293" t="e">
        <v>#N/A</v>
      </c>
      <c r="AI72" s="293" t="e">
        <v>#N/A</v>
      </c>
      <c r="AJ72" s="293" t="e">
        <v>#N/A</v>
      </c>
      <c r="AK72" s="2" t="e">
        <v>#N/A</v>
      </c>
      <c r="AL72" s="293" t="e">
        <v>#N/A</v>
      </c>
      <c r="AM72" s="61"/>
      <c r="AO72" s="232"/>
      <c r="AP72" s="237">
        <f t="shared" si="21"/>
        <v>0</v>
      </c>
      <c r="AQ72" s="237"/>
      <c r="AR72" s="237">
        <f t="shared" si="22"/>
        <v>0</v>
      </c>
      <c r="AS72" s="237"/>
      <c r="AT72" s="237">
        <f t="shared" si="23"/>
        <v>0</v>
      </c>
      <c r="AU72" s="237"/>
      <c r="AV72" s="237">
        <f t="shared" si="24"/>
        <v>0</v>
      </c>
      <c r="AW72" s="237"/>
      <c r="AX72" s="237">
        <f t="shared" si="25"/>
        <v>0</v>
      </c>
      <c r="AY72" s="237"/>
      <c r="AZ72" s="237">
        <f t="shared" si="26"/>
        <v>0</v>
      </c>
      <c r="BA72" s="237"/>
      <c r="BB72" s="76">
        <f t="shared" si="27"/>
        <v>0</v>
      </c>
      <c r="BC72" s="237"/>
      <c r="BD72" s="237">
        <f t="shared" si="28"/>
        <v>0</v>
      </c>
      <c r="BE72" s="237"/>
      <c r="BF72" s="237">
        <f t="shared" si="29"/>
        <v>0</v>
      </c>
      <c r="BG72" s="237"/>
      <c r="BH72" s="237">
        <f t="shared" si="30"/>
        <v>0</v>
      </c>
      <c r="BI72" s="237"/>
      <c r="BJ72" s="237">
        <f t="shared" si="31"/>
        <v>0</v>
      </c>
      <c r="BK72" s="237"/>
      <c r="BL72" s="237">
        <f t="shared" si="32"/>
        <v>0</v>
      </c>
    </row>
    <row r="73" spans="1:64" hidden="1">
      <c r="A73" s="61">
        <v>69</v>
      </c>
      <c r="B73" s="65" t="str">
        <f>'[6]NOI TAC 2026'!B75</f>
        <v>S764013</v>
      </c>
      <c r="C73" s="36" t="str">
        <f t="shared" si="19"/>
        <v>XEM</v>
      </c>
      <c r="D73" s="36">
        <f>'[6]NOI TAC 2026'!F75</f>
        <v>2</v>
      </c>
      <c r="E73" s="63">
        <f>'[6]NOI TAC 2026'!AL75</f>
        <v>140.21146807692304</v>
      </c>
      <c r="F73" s="61"/>
      <c r="G73" s="61"/>
      <c r="H73" s="61">
        <v>1</v>
      </c>
      <c r="I73" s="61"/>
      <c r="J73" s="61"/>
      <c r="K73" s="61"/>
      <c r="L73" s="61"/>
      <c r="M73" s="61"/>
      <c r="N73" s="61">
        <v>1</v>
      </c>
      <c r="O73" s="61"/>
      <c r="P73" s="61"/>
      <c r="Q73" s="61"/>
      <c r="R73" s="61">
        <f t="shared" si="20"/>
        <v>2</v>
      </c>
      <c r="T73" s="62">
        <f t="shared" si="18"/>
        <v>0</v>
      </c>
      <c r="U73" s="62">
        <f t="shared" si="18"/>
        <v>0</v>
      </c>
      <c r="V73" s="62">
        <f t="shared" si="18"/>
        <v>140.21146807692304</v>
      </c>
      <c r="W73" s="62">
        <f t="shared" si="18"/>
        <v>0</v>
      </c>
      <c r="X73" s="62">
        <f t="shared" si="18"/>
        <v>0</v>
      </c>
      <c r="Y73" s="62">
        <f t="shared" si="18"/>
        <v>0</v>
      </c>
      <c r="Z73" s="62">
        <f t="shared" si="17"/>
        <v>0</v>
      </c>
      <c r="AA73" s="62">
        <f t="shared" si="17"/>
        <v>0</v>
      </c>
      <c r="AB73" s="62">
        <f t="shared" si="17"/>
        <v>140.21146807692304</v>
      </c>
      <c r="AC73" s="62">
        <f t="shared" si="17"/>
        <v>0</v>
      </c>
      <c r="AD73" s="62">
        <f t="shared" si="17"/>
        <v>0</v>
      </c>
      <c r="AE73" s="62">
        <f t="shared" si="17"/>
        <v>0</v>
      </c>
      <c r="AG73" s="2" t="e">
        <v>#N/A</v>
      </c>
      <c r="AH73" s="293" t="e">
        <v>#N/A</v>
      </c>
      <c r="AI73" s="293" t="e">
        <v>#N/A</v>
      </c>
      <c r="AJ73" s="293" t="e">
        <v>#N/A</v>
      </c>
      <c r="AK73" s="2" t="e">
        <v>#N/A</v>
      </c>
      <c r="AL73" s="293" t="e">
        <v>#N/A</v>
      </c>
      <c r="AM73" s="61"/>
      <c r="AO73" s="232"/>
      <c r="AP73" s="237">
        <f t="shared" si="21"/>
        <v>0</v>
      </c>
      <c r="AQ73" s="237"/>
      <c r="AR73" s="237">
        <f t="shared" si="22"/>
        <v>0</v>
      </c>
      <c r="AS73" s="237"/>
      <c r="AT73" s="237">
        <f t="shared" si="23"/>
        <v>0</v>
      </c>
      <c r="AU73" s="237"/>
      <c r="AV73" s="237">
        <f t="shared" si="24"/>
        <v>0</v>
      </c>
      <c r="AW73" s="237"/>
      <c r="AX73" s="237">
        <f t="shared" si="25"/>
        <v>0</v>
      </c>
      <c r="AY73" s="237"/>
      <c r="AZ73" s="237">
        <f t="shared" si="26"/>
        <v>0</v>
      </c>
      <c r="BA73" s="237"/>
      <c r="BB73" s="76">
        <f t="shared" si="27"/>
        <v>0</v>
      </c>
      <c r="BC73" s="237"/>
      <c r="BD73" s="237">
        <f t="shared" si="28"/>
        <v>0</v>
      </c>
      <c r="BE73" s="237"/>
      <c r="BF73" s="237">
        <f t="shared" si="29"/>
        <v>0</v>
      </c>
      <c r="BG73" s="237"/>
      <c r="BH73" s="237">
        <f t="shared" si="30"/>
        <v>0</v>
      </c>
      <c r="BI73" s="237"/>
      <c r="BJ73" s="237">
        <f t="shared" si="31"/>
        <v>0</v>
      </c>
      <c r="BK73" s="237"/>
      <c r="BL73" s="237">
        <f t="shared" si="32"/>
        <v>0</v>
      </c>
    </row>
    <row r="74" spans="1:64" hidden="1">
      <c r="A74" s="61">
        <v>70</v>
      </c>
      <c r="B74" s="65" t="str">
        <f>'[6]NOI TAC 2026'!B76</f>
        <v>R009204</v>
      </c>
      <c r="C74" s="36" t="str">
        <f t="shared" si="19"/>
        <v>XEM</v>
      </c>
      <c r="D74" s="36">
        <f>'[6]NOI TAC 2026'!F76</f>
        <v>5</v>
      </c>
      <c r="E74" s="63">
        <f>'[6]NOI TAC 2026'!AL76</f>
        <v>288.12768</v>
      </c>
      <c r="F74" s="61"/>
      <c r="G74" s="61"/>
      <c r="H74" s="61"/>
      <c r="I74" s="61">
        <v>1</v>
      </c>
      <c r="J74" s="61"/>
      <c r="K74" s="61"/>
      <c r="L74" s="61">
        <v>1</v>
      </c>
      <c r="M74" s="61"/>
      <c r="N74" s="61"/>
      <c r="O74" s="61">
        <v>2</v>
      </c>
      <c r="P74" s="52"/>
      <c r="Q74" s="61">
        <v>1</v>
      </c>
      <c r="R74" s="61">
        <f t="shared" si="20"/>
        <v>5</v>
      </c>
      <c r="T74" s="62">
        <f t="shared" si="18"/>
        <v>0</v>
      </c>
      <c r="U74" s="62">
        <f t="shared" si="18"/>
        <v>0</v>
      </c>
      <c r="V74" s="62">
        <f t="shared" si="18"/>
        <v>0</v>
      </c>
      <c r="W74" s="62">
        <f t="shared" si="18"/>
        <v>288.12768</v>
      </c>
      <c r="X74" s="62">
        <f t="shared" si="18"/>
        <v>0</v>
      </c>
      <c r="Y74" s="62">
        <f t="shared" si="18"/>
        <v>0</v>
      </c>
      <c r="Z74" s="62">
        <f t="shared" si="17"/>
        <v>288.12768</v>
      </c>
      <c r="AA74" s="62">
        <f t="shared" si="17"/>
        <v>0</v>
      </c>
      <c r="AB74" s="62">
        <f t="shared" si="17"/>
        <v>0</v>
      </c>
      <c r="AC74" s="62">
        <f t="shared" si="17"/>
        <v>576.25536</v>
      </c>
      <c r="AD74" s="62">
        <f t="shared" si="17"/>
        <v>0</v>
      </c>
      <c r="AE74" s="62">
        <f t="shared" si="17"/>
        <v>288.12768</v>
      </c>
      <c r="AG74" s="2" t="e">
        <v>#N/A</v>
      </c>
      <c r="AH74" s="293" t="e">
        <v>#N/A</v>
      </c>
      <c r="AI74" s="293" t="e">
        <v>#N/A</v>
      </c>
      <c r="AJ74" s="293" t="e">
        <v>#N/A</v>
      </c>
      <c r="AK74" s="2" t="e">
        <v>#N/A</v>
      </c>
      <c r="AL74" s="293" t="e">
        <v>#N/A</v>
      </c>
      <c r="AM74" s="61"/>
      <c r="AO74" s="232"/>
      <c r="AP74" s="237">
        <f t="shared" si="21"/>
        <v>0</v>
      </c>
      <c r="AQ74" s="237"/>
      <c r="AR74" s="237">
        <f t="shared" si="22"/>
        <v>0</v>
      </c>
      <c r="AS74" s="237"/>
      <c r="AT74" s="237">
        <f t="shared" si="23"/>
        <v>0</v>
      </c>
      <c r="AU74" s="237"/>
      <c r="AV74" s="237">
        <f t="shared" si="24"/>
        <v>0</v>
      </c>
      <c r="AW74" s="237"/>
      <c r="AX74" s="237">
        <f t="shared" si="25"/>
        <v>0</v>
      </c>
      <c r="AY74" s="237"/>
      <c r="AZ74" s="237">
        <f t="shared" si="26"/>
        <v>0</v>
      </c>
      <c r="BA74" s="237"/>
      <c r="BB74" s="76">
        <f t="shared" si="27"/>
        <v>0</v>
      </c>
      <c r="BC74" s="237"/>
      <c r="BD74" s="237">
        <f t="shared" si="28"/>
        <v>0</v>
      </c>
      <c r="BE74" s="237"/>
      <c r="BF74" s="237">
        <f t="shared" si="29"/>
        <v>0</v>
      </c>
      <c r="BG74" s="237"/>
      <c r="BH74" s="237">
        <f t="shared" si="30"/>
        <v>0</v>
      </c>
      <c r="BI74" s="237"/>
      <c r="BJ74" s="237">
        <f t="shared" si="31"/>
        <v>0</v>
      </c>
      <c r="BK74" s="237"/>
      <c r="BL74" s="237">
        <f t="shared" si="32"/>
        <v>0</v>
      </c>
    </row>
    <row r="75" spans="1:64" hidden="1">
      <c r="A75" s="61">
        <v>71</v>
      </c>
      <c r="B75" s="65" t="str">
        <f>'[6]NOI TAC 2026'!B77</f>
        <v>S911094</v>
      </c>
      <c r="C75" s="36" t="str">
        <f t="shared" si="19"/>
        <v>XEM</v>
      </c>
      <c r="D75" s="36">
        <f>'[6]NOI TAC 2026'!F77</f>
        <v>2</v>
      </c>
      <c r="E75" s="63">
        <f>'[6]NOI TAC 2026'!AL77</f>
        <v>160.25715192307689</v>
      </c>
      <c r="F75" s="61"/>
      <c r="G75" s="61"/>
      <c r="H75" s="61"/>
      <c r="I75" s="61"/>
      <c r="J75" s="61">
        <v>1</v>
      </c>
      <c r="K75" s="61"/>
      <c r="L75" s="61"/>
      <c r="M75" s="61"/>
      <c r="N75" s="61"/>
      <c r="O75" s="61"/>
      <c r="P75" s="64">
        <v>1</v>
      </c>
      <c r="Q75" s="61"/>
      <c r="R75" s="61">
        <f t="shared" si="20"/>
        <v>2</v>
      </c>
      <c r="T75" s="62">
        <f t="shared" si="18"/>
        <v>0</v>
      </c>
      <c r="U75" s="62">
        <f t="shared" si="18"/>
        <v>0</v>
      </c>
      <c r="V75" s="62">
        <f t="shared" si="18"/>
        <v>0</v>
      </c>
      <c r="W75" s="62">
        <f t="shared" si="18"/>
        <v>0</v>
      </c>
      <c r="X75" s="62">
        <f t="shared" si="18"/>
        <v>160.25715192307689</v>
      </c>
      <c r="Y75" s="62">
        <f t="shared" si="18"/>
        <v>0</v>
      </c>
      <c r="Z75" s="62">
        <f t="shared" si="17"/>
        <v>0</v>
      </c>
      <c r="AA75" s="62">
        <f t="shared" si="17"/>
        <v>0</v>
      </c>
      <c r="AB75" s="62">
        <f t="shared" si="17"/>
        <v>0</v>
      </c>
      <c r="AC75" s="62">
        <f t="shared" si="17"/>
        <v>0</v>
      </c>
      <c r="AD75" s="62">
        <f t="shared" si="17"/>
        <v>160.25715192307689</v>
      </c>
      <c r="AE75" s="62">
        <f t="shared" si="17"/>
        <v>0</v>
      </c>
      <c r="AG75" s="373" t="e">
        <v>#N/A</v>
      </c>
      <c r="AH75" s="293" t="e">
        <v>#N/A</v>
      </c>
      <c r="AI75" s="293" t="e">
        <v>#N/A</v>
      </c>
      <c r="AJ75" s="293" t="e">
        <v>#N/A</v>
      </c>
      <c r="AK75" s="2" t="e">
        <v>#N/A</v>
      </c>
      <c r="AL75" s="293" t="e">
        <v>#N/A</v>
      </c>
      <c r="AM75" s="61"/>
      <c r="AO75" s="232"/>
      <c r="AP75" s="237">
        <f t="shared" si="21"/>
        <v>0</v>
      </c>
      <c r="AQ75" s="237"/>
      <c r="AR75" s="237">
        <f t="shared" si="22"/>
        <v>0</v>
      </c>
      <c r="AS75" s="237"/>
      <c r="AT75" s="237">
        <f t="shared" si="23"/>
        <v>0</v>
      </c>
      <c r="AU75" s="237"/>
      <c r="AV75" s="237">
        <f t="shared" si="24"/>
        <v>0</v>
      </c>
      <c r="AW75" s="237"/>
      <c r="AX75" s="237">
        <f t="shared" si="25"/>
        <v>0</v>
      </c>
      <c r="AY75" s="237"/>
      <c r="AZ75" s="237">
        <f t="shared" si="26"/>
        <v>0</v>
      </c>
      <c r="BA75" s="237"/>
      <c r="BB75" s="76">
        <f t="shared" si="27"/>
        <v>0</v>
      </c>
      <c r="BC75" s="237"/>
      <c r="BD75" s="237">
        <f t="shared" si="28"/>
        <v>0</v>
      </c>
      <c r="BE75" s="237"/>
      <c r="BF75" s="237">
        <f t="shared" si="29"/>
        <v>0</v>
      </c>
      <c r="BG75" s="237"/>
      <c r="BH75" s="237">
        <f t="shared" si="30"/>
        <v>0</v>
      </c>
      <c r="BI75" s="237"/>
      <c r="BJ75" s="237">
        <f t="shared" si="31"/>
        <v>0</v>
      </c>
      <c r="BK75" s="237"/>
      <c r="BL75" s="237">
        <f t="shared" si="32"/>
        <v>0</v>
      </c>
    </row>
    <row r="76" spans="1:64" ht="17.25">
      <c r="A76" s="61">
        <v>72</v>
      </c>
      <c r="B76" s="65" t="str">
        <f>'[6]NOI TAC 2026'!B78</f>
        <v>R003078</v>
      </c>
      <c r="C76" s="36" t="str">
        <f t="shared" si="19"/>
        <v>XEM</v>
      </c>
      <c r="D76" s="36">
        <f>'[6]NOI TAC 2026'!F78</f>
        <v>8</v>
      </c>
      <c r="E76" s="63">
        <f>'[6]NOI TAC 2026'!AL78</f>
        <v>100.90823192307693</v>
      </c>
      <c r="F76" s="61"/>
      <c r="G76" s="61"/>
      <c r="H76" s="61">
        <v>2</v>
      </c>
      <c r="I76" s="61"/>
      <c r="J76" s="61"/>
      <c r="K76" s="61">
        <v>2</v>
      </c>
      <c r="L76" s="61"/>
      <c r="M76" s="61">
        <v>2</v>
      </c>
      <c r="N76" s="61"/>
      <c r="O76" s="61"/>
      <c r="P76" s="64"/>
      <c r="Q76" s="61">
        <v>2</v>
      </c>
      <c r="R76" s="61">
        <f t="shared" si="20"/>
        <v>8</v>
      </c>
      <c r="T76" s="62">
        <f t="shared" si="18"/>
        <v>0</v>
      </c>
      <c r="U76" s="62">
        <f t="shared" si="18"/>
        <v>0</v>
      </c>
      <c r="V76" s="62">
        <f t="shared" si="18"/>
        <v>201.81646384615385</v>
      </c>
      <c r="W76" s="62">
        <f t="shared" si="18"/>
        <v>0</v>
      </c>
      <c r="X76" s="62">
        <f t="shared" si="18"/>
        <v>0</v>
      </c>
      <c r="Y76" s="62">
        <f t="shared" si="18"/>
        <v>201.81646384615385</v>
      </c>
      <c r="Z76" s="62">
        <f t="shared" si="17"/>
        <v>0</v>
      </c>
      <c r="AA76" s="62">
        <f t="shared" si="17"/>
        <v>201.81646384615385</v>
      </c>
      <c r="AB76" s="62">
        <f t="shared" si="17"/>
        <v>0</v>
      </c>
      <c r="AC76" s="62">
        <f t="shared" si="17"/>
        <v>0</v>
      </c>
      <c r="AD76" s="62">
        <f t="shared" si="17"/>
        <v>0</v>
      </c>
      <c r="AE76" s="62">
        <f t="shared" si="17"/>
        <v>201.81646384615385</v>
      </c>
      <c r="AG76" s="361">
        <v>2136038304</v>
      </c>
      <c r="AH76" s="372">
        <v>4</v>
      </c>
      <c r="AI76" s="293">
        <v>1</v>
      </c>
      <c r="AJ76" s="293" t="s">
        <v>822</v>
      </c>
      <c r="AK76" s="2" t="s">
        <v>823</v>
      </c>
      <c r="AL76" s="371">
        <v>46114</v>
      </c>
      <c r="AM76" s="61"/>
      <c r="AO76" s="232"/>
      <c r="AP76" s="237">
        <f t="shared" si="21"/>
        <v>0</v>
      </c>
      <c r="AQ76" s="237"/>
      <c r="AR76" s="237">
        <f t="shared" si="22"/>
        <v>0</v>
      </c>
      <c r="AS76" s="237"/>
      <c r="AT76" s="237">
        <f t="shared" si="23"/>
        <v>0</v>
      </c>
      <c r="AU76" s="237"/>
      <c r="AV76" s="237">
        <f t="shared" si="24"/>
        <v>0</v>
      </c>
      <c r="AW76" s="237"/>
      <c r="AX76" s="237">
        <f t="shared" si="25"/>
        <v>0</v>
      </c>
      <c r="AY76" s="237"/>
      <c r="AZ76" s="237">
        <f t="shared" si="26"/>
        <v>0</v>
      </c>
      <c r="BA76" s="237"/>
      <c r="BB76" s="76">
        <f t="shared" si="27"/>
        <v>0</v>
      </c>
      <c r="BC76" s="237"/>
      <c r="BD76" s="237">
        <f t="shared" si="28"/>
        <v>0</v>
      </c>
      <c r="BE76" s="237"/>
      <c r="BF76" s="237">
        <f t="shared" si="29"/>
        <v>0</v>
      </c>
      <c r="BG76" s="237"/>
      <c r="BH76" s="237">
        <f t="shared" si="30"/>
        <v>0</v>
      </c>
      <c r="BI76" s="237"/>
      <c r="BJ76" s="237">
        <f t="shared" si="31"/>
        <v>0</v>
      </c>
      <c r="BK76" s="237"/>
      <c r="BL76" s="237">
        <f t="shared" si="32"/>
        <v>0</v>
      </c>
    </row>
    <row r="77" spans="1:64" hidden="1">
      <c r="A77" s="61">
        <v>73</v>
      </c>
      <c r="B77" s="65" t="str">
        <f>'[6]NOI TAC 2026'!B79</f>
        <v>R172140</v>
      </c>
      <c r="C77" s="36" t="str">
        <f t="shared" si="19"/>
        <v>XEM</v>
      </c>
      <c r="D77" s="36">
        <f>'[6]NOI TAC 2026'!F79</f>
        <v>2</v>
      </c>
      <c r="E77" s="63">
        <f>'[6]NOI TAC 2026'!AL79</f>
        <v>188.88360000000003</v>
      </c>
      <c r="F77" s="61"/>
      <c r="G77" s="61"/>
      <c r="H77" s="61"/>
      <c r="I77" s="61">
        <v>1</v>
      </c>
      <c r="J77" s="61"/>
      <c r="K77" s="61"/>
      <c r="L77" s="61"/>
      <c r="M77" s="61"/>
      <c r="N77" s="61">
        <v>1</v>
      </c>
      <c r="O77" s="61"/>
      <c r="P77" s="61"/>
      <c r="Q77" s="61"/>
      <c r="R77" s="61">
        <f t="shared" si="20"/>
        <v>2</v>
      </c>
      <c r="T77" s="62">
        <f t="shared" si="18"/>
        <v>0</v>
      </c>
      <c r="U77" s="62">
        <f t="shared" si="18"/>
        <v>0</v>
      </c>
      <c r="V77" s="62">
        <f t="shared" si="18"/>
        <v>0</v>
      </c>
      <c r="W77" s="62">
        <f t="shared" si="18"/>
        <v>188.88360000000003</v>
      </c>
      <c r="X77" s="62">
        <f t="shared" si="18"/>
        <v>0</v>
      </c>
      <c r="Y77" s="62">
        <f t="shared" si="18"/>
        <v>0</v>
      </c>
      <c r="Z77" s="62">
        <f t="shared" si="17"/>
        <v>0</v>
      </c>
      <c r="AA77" s="62">
        <f t="shared" si="17"/>
        <v>0</v>
      </c>
      <c r="AB77" s="62">
        <f t="shared" si="17"/>
        <v>188.88360000000003</v>
      </c>
      <c r="AC77" s="62">
        <f t="shared" si="17"/>
        <v>0</v>
      </c>
      <c r="AD77" s="62">
        <f t="shared" si="17"/>
        <v>0</v>
      </c>
      <c r="AE77" s="62">
        <f t="shared" si="17"/>
        <v>0</v>
      </c>
      <c r="AG77" s="374" t="e">
        <v>#N/A</v>
      </c>
      <c r="AH77" s="293" t="e">
        <v>#N/A</v>
      </c>
      <c r="AI77" s="293" t="e">
        <v>#N/A</v>
      </c>
      <c r="AJ77" s="293" t="e">
        <v>#N/A</v>
      </c>
      <c r="AK77" s="2" t="e">
        <v>#N/A</v>
      </c>
      <c r="AL77" s="293" t="e">
        <v>#N/A</v>
      </c>
      <c r="AM77" s="61"/>
      <c r="AO77" s="232"/>
      <c r="AP77" s="237">
        <f t="shared" si="21"/>
        <v>0</v>
      </c>
      <c r="AQ77" s="237"/>
      <c r="AR77" s="237">
        <f t="shared" si="22"/>
        <v>0</v>
      </c>
      <c r="AS77" s="237"/>
      <c r="AT77" s="237">
        <f t="shared" si="23"/>
        <v>0</v>
      </c>
      <c r="AU77" s="237"/>
      <c r="AV77" s="237">
        <f t="shared" si="24"/>
        <v>0</v>
      </c>
      <c r="AW77" s="237"/>
      <c r="AX77" s="237">
        <f t="shared" si="25"/>
        <v>0</v>
      </c>
      <c r="AY77" s="237"/>
      <c r="AZ77" s="237">
        <f t="shared" si="26"/>
        <v>0</v>
      </c>
      <c r="BA77" s="237"/>
      <c r="BB77" s="76">
        <f t="shared" si="27"/>
        <v>0</v>
      </c>
      <c r="BC77" s="237"/>
      <c r="BD77" s="237">
        <f t="shared" si="28"/>
        <v>0</v>
      </c>
      <c r="BE77" s="237"/>
      <c r="BF77" s="237">
        <f t="shared" si="29"/>
        <v>0</v>
      </c>
      <c r="BG77" s="237"/>
      <c r="BH77" s="237">
        <f t="shared" si="30"/>
        <v>0</v>
      </c>
      <c r="BI77" s="237"/>
      <c r="BJ77" s="237">
        <f t="shared" si="31"/>
        <v>0</v>
      </c>
      <c r="BK77" s="237"/>
      <c r="BL77" s="237">
        <f t="shared" si="32"/>
        <v>0</v>
      </c>
    </row>
    <row r="78" spans="1:64" hidden="1">
      <c r="A78" s="61">
        <v>74</v>
      </c>
      <c r="B78" s="65" t="str">
        <f>'[6]NOI TAC 2026'!B80</f>
        <v>R341026</v>
      </c>
      <c r="C78" s="36" t="str">
        <f t="shared" si="19"/>
        <v>XEM</v>
      </c>
      <c r="D78" s="36">
        <f>'[6]NOI TAC 2026'!F80</f>
        <v>2</v>
      </c>
      <c r="E78" s="63">
        <f>'[6]NOI TAC 2026'!AL80</f>
        <v>161.21984000000003</v>
      </c>
      <c r="F78" s="61"/>
      <c r="G78" s="61"/>
      <c r="H78" s="61">
        <v>1</v>
      </c>
      <c r="I78" s="61"/>
      <c r="J78" s="61"/>
      <c r="K78" s="61"/>
      <c r="L78" s="61"/>
      <c r="M78" s="61"/>
      <c r="N78" s="61"/>
      <c r="O78" s="61">
        <v>1</v>
      </c>
      <c r="P78" s="61"/>
      <c r="Q78" s="61"/>
      <c r="R78" s="61">
        <f t="shared" si="20"/>
        <v>2</v>
      </c>
      <c r="T78" s="62">
        <f t="shared" si="18"/>
        <v>0</v>
      </c>
      <c r="U78" s="62">
        <f t="shared" si="18"/>
        <v>0</v>
      </c>
      <c r="V78" s="62">
        <f t="shared" si="18"/>
        <v>161.21984000000003</v>
      </c>
      <c r="W78" s="62">
        <f t="shared" si="18"/>
        <v>0</v>
      </c>
      <c r="X78" s="62">
        <f t="shared" si="18"/>
        <v>0</v>
      </c>
      <c r="Y78" s="62">
        <f t="shared" si="18"/>
        <v>0</v>
      </c>
      <c r="Z78" s="62">
        <f t="shared" si="17"/>
        <v>0</v>
      </c>
      <c r="AA78" s="62">
        <f t="shared" si="17"/>
        <v>0</v>
      </c>
      <c r="AB78" s="62">
        <f t="shared" si="17"/>
        <v>0</v>
      </c>
      <c r="AC78" s="62">
        <f t="shared" si="17"/>
        <v>161.21984000000003</v>
      </c>
      <c r="AD78" s="62">
        <f t="shared" si="17"/>
        <v>0</v>
      </c>
      <c r="AE78" s="62">
        <f t="shared" si="17"/>
        <v>0</v>
      </c>
      <c r="AG78" s="2" t="e">
        <v>#N/A</v>
      </c>
      <c r="AH78" s="293" t="e">
        <v>#N/A</v>
      </c>
      <c r="AI78" s="293" t="e">
        <v>#N/A</v>
      </c>
      <c r="AJ78" s="293" t="e">
        <v>#N/A</v>
      </c>
      <c r="AK78" s="2" t="e">
        <v>#N/A</v>
      </c>
      <c r="AL78" s="293" t="e">
        <v>#N/A</v>
      </c>
      <c r="AM78" s="61"/>
      <c r="AO78" s="232"/>
      <c r="AP78" s="237">
        <f t="shared" si="21"/>
        <v>0</v>
      </c>
      <c r="AQ78" s="237"/>
      <c r="AR78" s="237">
        <f t="shared" si="22"/>
        <v>0</v>
      </c>
      <c r="AS78" s="237"/>
      <c r="AT78" s="237">
        <f t="shared" si="23"/>
        <v>0</v>
      </c>
      <c r="AU78" s="237"/>
      <c r="AV78" s="237">
        <f t="shared" si="24"/>
        <v>0</v>
      </c>
      <c r="AW78" s="237"/>
      <c r="AX78" s="237">
        <f t="shared" si="25"/>
        <v>0</v>
      </c>
      <c r="AY78" s="237"/>
      <c r="AZ78" s="237">
        <f t="shared" si="26"/>
        <v>0</v>
      </c>
      <c r="BA78" s="237"/>
      <c r="BB78" s="76">
        <f t="shared" si="27"/>
        <v>0</v>
      </c>
      <c r="BC78" s="237"/>
      <c r="BD78" s="237">
        <f t="shared" si="28"/>
        <v>0</v>
      </c>
      <c r="BE78" s="237"/>
      <c r="BF78" s="237">
        <f t="shared" si="29"/>
        <v>0</v>
      </c>
      <c r="BG78" s="237"/>
      <c r="BH78" s="237">
        <f t="shared" si="30"/>
        <v>0</v>
      </c>
      <c r="BI78" s="237"/>
      <c r="BJ78" s="237">
        <f t="shared" si="31"/>
        <v>0</v>
      </c>
      <c r="BK78" s="237"/>
      <c r="BL78" s="237">
        <f t="shared" si="32"/>
        <v>0</v>
      </c>
    </row>
    <row r="79" spans="1:64" hidden="1">
      <c r="A79" s="61">
        <v>75</v>
      </c>
      <c r="B79" s="65" t="str">
        <f>'[6]NOI TAC 2026'!B81</f>
        <v>S473898</v>
      </c>
      <c r="C79" s="36" t="str">
        <f t="shared" si="19"/>
        <v>XEM</v>
      </c>
      <c r="D79" s="36">
        <f>'[6]NOI TAC 2026'!F81</f>
        <v>2</v>
      </c>
      <c r="E79" s="63">
        <f>'[6]NOI TAC 2026'!AL81</f>
        <v>172.16116</v>
      </c>
      <c r="F79" s="61"/>
      <c r="G79" s="61"/>
      <c r="H79" s="61"/>
      <c r="I79" s="61">
        <v>1</v>
      </c>
      <c r="J79" s="61"/>
      <c r="K79" s="61"/>
      <c r="L79" s="61"/>
      <c r="M79" s="61"/>
      <c r="N79" s="61"/>
      <c r="O79" s="61"/>
      <c r="P79" s="61">
        <v>1</v>
      </c>
      <c r="Q79" s="61"/>
      <c r="R79" s="61">
        <f t="shared" si="20"/>
        <v>2</v>
      </c>
      <c r="T79" s="62">
        <f t="shared" si="18"/>
        <v>0</v>
      </c>
      <c r="U79" s="62">
        <f t="shared" si="18"/>
        <v>0</v>
      </c>
      <c r="V79" s="62">
        <f t="shared" si="18"/>
        <v>0</v>
      </c>
      <c r="W79" s="62">
        <f t="shared" si="18"/>
        <v>172.16116</v>
      </c>
      <c r="X79" s="62">
        <f t="shared" si="18"/>
        <v>0</v>
      </c>
      <c r="Y79" s="62">
        <f t="shared" si="18"/>
        <v>0</v>
      </c>
      <c r="Z79" s="62">
        <f t="shared" si="17"/>
        <v>0</v>
      </c>
      <c r="AA79" s="62">
        <f t="shared" si="17"/>
        <v>0</v>
      </c>
      <c r="AB79" s="62">
        <f t="shared" si="17"/>
        <v>0</v>
      </c>
      <c r="AC79" s="62">
        <f t="shared" si="17"/>
        <v>0</v>
      </c>
      <c r="AD79" s="62">
        <f t="shared" si="17"/>
        <v>172.16116</v>
      </c>
      <c r="AE79" s="62">
        <f t="shared" si="17"/>
        <v>0</v>
      </c>
      <c r="AG79" s="2" t="e">
        <v>#N/A</v>
      </c>
      <c r="AH79" s="293" t="e">
        <v>#N/A</v>
      </c>
      <c r="AI79" s="293" t="e">
        <v>#N/A</v>
      </c>
      <c r="AJ79" s="293" t="e">
        <v>#N/A</v>
      </c>
      <c r="AK79" s="2" t="e">
        <v>#N/A</v>
      </c>
      <c r="AL79" s="293" t="e">
        <v>#N/A</v>
      </c>
      <c r="AM79" s="61"/>
      <c r="AO79" s="232"/>
      <c r="AP79" s="237">
        <f t="shared" si="21"/>
        <v>0</v>
      </c>
      <c r="AQ79" s="237"/>
      <c r="AR79" s="237">
        <f t="shared" si="22"/>
        <v>0</v>
      </c>
      <c r="AS79" s="237"/>
      <c r="AT79" s="237">
        <f t="shared" si="23"/>
        <v>0</v>
      </c>
      <c r="AU79" s="237"/>
      <c r="AV79" s="237">
        <f t="shared" si="24"/>
        <v>0</v>
      </c>
      <c r="AW79" s="237"/>
      <c r="AX79" s="237">
        <f t="shared" si="25"/>
        <v>0</v>
      </c>
      <c r="AY79" s="237"/>
      <c r="AZ79" s="237">
        <f t="shared" si="26"/>
        <v>0</v>
      </c>
      <c r="BA79" s="237"/>
      <c r="BB79" s="76">
        <f t="shared" si="27"/>
        <v>0</v>
      </c>
      <c r="BC79" s="237"/>
      <c r="BD79" s="237">
        <f t="shared" si="28"/>
        <v>0</v>
      </c>
      <c r="BE79" s="237"/>
      <c r="BF79" s="237">
        <f t="shared" si="29"/>
        <v>0</v>
      </c>
      <c r="BG79" s="237"/>
      <c r="BH79" s="237">
        <f t="shared" si="30"/>
        <v>0</v>
      </c>
      <c r="BI79" s="237"/>
      <c r="BJ79" s="237">
        <f t="shared" si="31"/>
        <v>0</v>
      </c>
      <c r="BK79" s="237"/>
      <c r="BL79" s="237">
        <f t="shared" si="32"/>
        <v>0</v>
      </c>
    </row>
    <row r="80" spans="1:64" hidden="1">
      <c r="A80" s="61">
        <v>76</v>
      </c>
      <c r="B80" s="65" t="str">
        <f>'[6]NOI TAC 2026'!B82</f>
        <v>R176671</v>
      </c>
      <c r="C80" s="36" t="str">
        <f t="shared" si="19"/>
        <v>XEM</v>
      </c>
      <c r="D80" s="36">
        <f>'[6]NOI TAC 2026'!F82</f>
        <v>2</v>
      </c>
      <c r="E80" s="63">
        <f>'[6]NOI TAC 2026'!AL82</f>
        <v>89.487151923076908</v>
      </c>
      <c r="F80" s="61"/>
      <c r="G80" s="61"/>
      <c r="H80" s="61"/>
      <c r="I80" s="61"/>
      <c r="J80" s="61">
        <v>1</v>
      </c>
      <c r="K80" s="61"/>
      <c r="L80" s="61"/>
      <c r="M80" s="61"/>
      <c r="N80" s="61"/>
      <c r="O80" s="61"/>
      <c r="P80" s="61"/>
      <c r="Q80" s="61">
        <v>1</v>
      </c>
      <c r="R80" s="61">
        <f t="shared" si="20"/>
        <v>2</v>
      </c>
      <c r="T80" s="62">
        <f t="shared" si="18"/>
        <v>0</v>
      </c>
      <c r="U80" s="62">
        <f t="shared" si="18"/>
        <v>0</v>
      </c>
      <c r="V80" s="62">
        <f t="shared" si="18"/>
        <v>0</v>
      </c>
      <c r="W80" s="62">
        <f t="shared" si="18"/>
        <v>0</v>
      </c>
      <c r="X80" s="62">
        <f t="shared" si="18"/>
        <v>89.487151923076908</v>
      </c>
      <c r="Y80" s="62">
        <f t="shared" si="18"/>
        <v>0</v>
      </c>
      <c r="Z80" s="62">
        <f t="shared" si="17"/>
        <v>0</v>
      </c>
      <c r="AA80" s="62">
        <f t="shared" si="17"/>
        <v>0</v>
      </c>
      <c r="AB80" s="62">
        <f t="shared" si="17"/>
        <v>0</v>
      </c>
      <c r="AC80" s="62">
        <f t="shared" si="17"/>
        <v>0</v>
      </c>
      <c r="AD80" s="62">
        <f t="shared" si="17"/>
        <v>0</v>
      </c>
      <c r="AE80" s="62">
        <f t="shared" si="17"/>
        <v>89.487151923076908</v>
      </c>
      <c r="AG80" s="2" t="e">
        <v>#N/A</v>
      </c>
      <c r="AH80" s="293" t="e">
        <v>#N/A</v>
      </c>
      <c r="AI80" s="293" t="e">
        <v>#N/A</v>
      </c>
      <c r="AJ80" s="293" t="e">
        <v>#N/A</v>
      </c>
      <c r="AK80" s="2" t="e">
        <v>#N/A</v>
      </c>
      <c r="AL80" s="293" t="e">
        <v>#N/A</v>
      </c>
      <c r="AM80" s="61"/>
      <c r="AO80" s="232"/>
      <c r="AP80" s="237">
        <f t="shared" si="21"/>
        <v>0</v>
      </c>
      <c r="AQ80" s="237"/>
      <c r="AR80" s="237">
        <f t="shared" si="22"/>
        <v>0</v>
      </c>
      <c r="AS80" s="237"/>
      <c r="AT80" s="237">
        <f t="shared" si="23"/>
        <v>0</v>
      </c>
      <c r="AU80" s="237"/>
      <c r="AV80" s="237">
        <f t="shared" si="24"/>
        <v>0</v>
      </c>
      <c r="AW80" s="237"/>
      <c r="AX80" s="237">
        <f t="shared" si="25"/>
        <v>0</v>
      </c>
      <c r="AY80" s="237"/>
      <c r="AZ80" s="237">
        <f t="shared" si="26"/>
        <v>0</v>
      </c>
      <c r="BA80" s="237"/>
      <c r="BB80" s="76">
        <f t="shared" si="27"/>
        <v>0</v>
      </c>
      <c r="BC80" s="237"/>
      <c r="BD80" s="237">
        <f t="shared" si="28"/>
        <v>0</v>
      </c>
      <c r="BE80" s="237"/>
      <c r="BF80" s="237">
        <f t="shared" si="29"/>
        <v>0</v>
      </c>
      <c r="BG80" s="237"/>
      <c r="BH80" s="237">
        <f t="shared" si="30"/>
        <v>0</v>
      </c>
      <c r="BI80" s="237"/>
      <c r="BJ80" s="237">
        <f t="shared" si="31"/>
        <v>0</v>
      </c>
      <c r="BK80" s="237"/>
      <c r="BL80" s="237">
        <f t="shared" si="32"/>
        <v>0</v>
      </c>
    </row>
    <row r="81" spans="1:64" hidden="1">
      <c r="A81" s="61">
        <v>77</v>
      </c>
      <c r="B81" s="65" t="str">
        <f>'[6]NOI TAC 2026'!B83</f>
        <v>R341202</v>
      </c>
      <c r="C81" s="36" t="str">
        <f t="shared" si="19"/>
        <v>XEM</v>
      </c>
      <c r="D81" s="36">
        <f>'[6]NOI TAC 2026'!F83</f>
        <v>8</v>
      </c>
      <c r="E81" s="63">
        <f>'[6]NOI TAC 2026'!AL83</f>
        <v>217.54844000000003</v>
      </c>
      <c r="F81" s="61">
        <v>1</v>
      </c>
      <c r="G81" s="61"/>
      <c r="H81" s="61">
        <v>1</v>
      </c>
      <c r="I81" s="61"/>
      <c r="J81" s="61"/>
      <c r="K81" s="61">
        <v>2</v>
      </c>
      <c r="L81" s="61"/>
      <c r="M81" s="61"/>
      <c r="N81" s="61">
        <v>2</v>
      </c>
      <c r="O81" s="61"/>
      <c r="P81" s="61">
        <v>2</v>
      </c>
      <c r="Q81" s="61"/>
      <c r="R81" s="61">
        <f t="shared" si="20"/>
        <v>8</v>
      </c>
      <c r="T81" s="62">
        <f t="shared" si="18"/>
        <v>217.54844000000003</v>
      </c>
      <c r="U81" s="62">
        <f t="shared" si="18"/>
        <v>0</v>
      </c>
      <c r="V81" s="62">
        <f t="shared" si="18"/>
        <v>217.54844000000003</v>
      </c>
      <c r="W81" s="62">
        <f t="shared" si="18"/>
        <v>0</v>
      </c>
      <c r="X81" s="62">
        <f t="shared" si="18"/>
        <v>0</v>
      </c>
      <c r="Y81" s="62">
        <f t="shared" si="18"/>
        <v>435.09688000000006</v>
      </c>
      <c r="Z81" s="62">
        <f t="shared" si="17"/>
        <v>0</v>
      </c>
      <c r="AA81" s="62">
        <f t="shared" si="17"/>
        <v>0</v>
      </c>
      <c r="AB81" s="62">
        <f t="shared" si="17"/>
        <v>435.09688000000006</v>
      </c>
      <c r="AC81" s="62">
        <f t="shared" si="17"/>
        <v>0</v>
      </c>
      <c r="AD81" s="62">
        <f t="shared" si="17"/>
        <v>435.09688000000006</v>
      </c>
      <c r="AE81" s="62">
        <f t="shared" si="17"/>
        <v>0</v>
      </c>
      <c r="AG81" s="2" t="e">
        <v>#N/A</v>
      </c>
      <c r="AH81" s="293" t="e">
        <v>#N/A</v>
      </c>
      <c r="AI81" s="293" t="e">
        <v>#N/A</v>
      </c>
      <c r="AJ81" s="293" t="e">
        <v>#N/A</v>
      </c>
      <c r="AK81" s="2" t="e">
        <v>#N/A</v>
      </c>
      <c r="AL81" s="293" t="e">
        <v>#N/A</v>
      </c>
      <c r="AM81" s="61"/>
      <c r="AO81" s="232"/>
      <c r="AP81" s="237">
        <f t="shared" si="21"/>
        <v>0</v>
      </c>
      <c r="AQ81" s="237"/>
      <c r="AR81" s="237">
        <f t="shared" si="22"/>
        <v>0</v>
      </c>
      <c r="AS81" s="237"/>
      <c r="AT81" s="237">
        <f t="shared" si="23"/>
        <v>0</v>
      </c>
      <c r="AU81" s="237"/>
      <c r="AV81" s="237">
        <f t="shared" si="24"/>
        <v>0</v>
      </c>
      <c r="AW81" s="237"/>
      <c r="AX81" s="237">
        <f t="shared" si="25"/>
        <v>0</v>
      </c>
      <c r="AY81" s="237"/>
      <c r="AZ81" s="237">
        <f t="shared" si="26"/>
        <v>0</v>
      </c>
      <c r="BA81" s="237"/>
      <c r="BB81" s="76">
        <f t="shared" si="27"/>
        <v>0</v>
      </c>
      <c r="BC81" s="237"/>
      <c r="BD81" s="237">
        <f t="shared" si="28"/>
        <v>0</v>
      </c>
      <c r="BE81" s="237"/>
      <c r="BF81" s="237">
        <f t="shared" si="29"/>
        <v>0</v>
      </c>
      <c r="BG81" s="237"/>
      <c r="BH81" s="237">
        <f t="shared" si="30"/>
        <v>0</v>
      </c>
      <c r="BI81" s="237"/>
      <c r="BJ81" s="237">
        <f t="shared" si="31"/>
        <v>0</v>
      </c>
      <c r="BK81" s="237"/>
      <c r="BL81" s="237">
        <f t="shared" si="32"/>
        <v>0</v>
      </c>
    </row>
    <row r="82" spans="1:64" hidden="1">
      <c r="A82" s="61">
        <v>78</v>
      </c>
      <c r="B82" s="65" t="str">
        <f>'[6]NOI TAC 2026'!B84</f>
        <v>R403433</v>
      </c>
      <c r="C82" s="36" t="str">
        <f t="shared" si="19"/>
        <v>XEM</v>
      </c>
      <c r="D82" s="36">
        <f>'[6]NOI TAC 2026'!F84</f>
        <v>2</v>
      </c>
      <c r="E82" s="63">
        <f>'[6]NOI TAC 2026'!AL84</f>
        <v>153.2341619230769</v>
      </c>
      <c r="F82" s="61"/>
      <c r="G82" s="61"/>
      <c r="H82" s="61"/>
      <c r="I82" s="61">
        <v>1</v>
      </c>
      <c r="J82" s="61"/>
      <c r="K82" s="61"/>
      <c r="L82" s="61">
        <v>1</v>
      </c>
      <c r="M82" s="61"/>
      <c r="N82" s="61"/>
      <c r="O82" s="61"/>
      <c r="P82" s="61"/>
      <c r="Q82" s="61"/>
      <c r="R82" s="61">
        <f t="shared" si="20"/>
        <v>2</v>
      </c>
      <c r="T82" s="62">
        <f t="shared" si="18"/>
        <v>0</v>
      </c>
      <c r="U82" s="62">
        <f t="shared" si="18"/>
        <v>0</v>
      </c>
      <c r="V82" s="62">
        <f t="shared" si="18"/>
        <v>0</v>
      </c>
      <c r="W82" s="62">
        <f t="shared" si="18"/>
        <v>153.2341619230769</v>
      </c>
      <c r="X82" s="62">
        <f t="shared" si="18"/>
        <v>0</v>
      </c>
      <c r="Y82" s="62">
        <f t="shared" si="18"/>
        <v>0</v>
      </c>
      <c r="Z82" s="62">
        <f t="shared" si="17"/>
        <v>153.2341619230769</v>
      </c>
      <c r="AA82" s="62">
        <f t="shared" si="17"/>
        <v>0</v>
      </c>
      <c r="AB82" s="62">
        <f t="shared" si="17"/>
        <v>0</v>
      </c>
      <c r="AC82" s="62">
        <f t="shared" si="17"/>
        <v>0</v>
      </c>
      <c r="AD82" s="62">
        <f t="shared" si="17"/>
        <v>0</v>
      </c>
      <c r="AE82" s="62">
        <f t="shared" si="17"/>
        <v>0</v>
      </c>
      <c r="AG82" s="2" t="e">
        <v>#N/A</v>
      </c>
      <c r="AH82" s="293" t="e">
        <v>#N/A</v>
      </c>
      <c r="AI82" s="293" t="e">
        <v>#N/A</v>
      </c>
      <c r="AJ82" s="293" t="e">
        <v>#N/A</v>
      </c>
      <c r="AK82" s="2" t="e">
        <v>#N/A</v>
      </c>
      <c r="AL82" s="293" t="e">
        <v>#N/A</v>
      </c>
      <c r="AM82" s="61"/>
      <c r="AO82" s="232"/>
      <c r="AP82" s="237">
        <f t="shared" si="21"/>
        <v>0</v>
      </c>
      <c r="AQ82" s="237"/>
      <c r="AR82" s="237">
        <f t="shared" si="22"/>
        <v>0</v>
      </c>
      <c r="AS82" s="237"/>
      <c r="AT82" s="237">
        <f t="shared" si="23"/>
        <v>0</v>
      </c>
      <c r="AU82" s="237"/>
      <c r="AV82" s="237">
        <f t="shared" si="24"/>
        <v>0</v>
      </c>
      <c r="AW82" s="237"/>
      <c r="AX82" s="237">
        <f t="shared" si="25"/>
        <v>0</v>
      </c>
      <c r="AY82" s="237"/>
      <c r="AZ82" s="237">
        <f t="shared" si="26"/>
        <v>0</v>
      </c>
      <c r="BA82" s="237"/>
      <c r="BB82" s="76">
        <f t="shared" si="27"/>
        <v>0</v>
      </c>
      <c r="BC82" s="237"/>
      <c r="BD82" s="237">
        <f t="shared" si="28"/>
        <v>0</v>
      </c>
      <c r="BE82" s="237"/>
      <c r="BF82" s="237">
        <f t="shared" si="29"/>
        <v>0</v>
      </c>
      <c r="BG82" s="237"/>
      <c r="BH82" s="237">
        <f t="shared" si="30"/>
        <v>0</v>
      </c>
      <c r="BI82" s="237"/>
      <c r="BJ82" s="237">
        <f t="shared" si="31"/>
        <v>0</v>
      </c>
      <c r="BK82" s="237"/>
      <c r="BL82" s="237">
        <f t="shared" si="32"/>
        <v>0</v>
      </c>
    </row>
    <row r="83" spans="1:64" hidden="1">
      <c r="A83" s="61">
        <v>79</v>
      </c>
      <c r="B83" s="65" t="str">
        <f>'[6]NOI TAC 2026'!B85</f>
        <v>R175057</v>
      </c>
      <c r="C83" s="36" t="str">
        <f t="shared" si="19"/>
        <v>XEM</v>
      </c>
      <c r="D83" s="36">
        <f>'[6]NOI TAC 2026'!F85</f>
        <v>3</v>
      </c>
      <c r="E83" s="63">
        <f>'[6]NOI TAC 2026'!AL85</f>
        <v>203.93243999999999</v>
      </c>
      <c r="F83" s="61"/>
      <c r="G83" s="61"/>
      <c r="H83" s="61">
        <v>1</v>
      </c>
      <c r="I83" s="61"/>
      <c r="J83" s="61"/>
      <c r="K83" s="61"/>
      <c r="L83" s="61"/>
      <c r="M83" s="61">
        <v>2</v>
      </c>
      <c r="N83" s="61"/>
      <c r="O83" s="61"/>
      <c r="P83" s="61"/>
      <c r="Q83" s="61"/>
      <c r="R83" s="61">
        <f t="shared" si="20"/>
        <v>3</v>
      </c>
      <c r="T83" s="62">
        <f t="shared" si="18"/>
        <v>0</v>
      </c>
      <c r="U83" s="62">
        <f t="shared" si="18"/>
        <v>0</v>
      </c>
      <c r="V83" s="62">
        <f t="shared" si="18"/>
        <v>203.93243999999999</v>
      </c>
      <c r="W83" s="62">
        <f t="shared" si="18"/>
        <v>0</v>
      </c>
      <c r="X83" s="62">
        <f t="shared" si="18"/>
        <v>0</v>
      </c>
      <c r="Y83" s="62">
        <f t="shared" si="18"/>
        <v>0</v>
      </c>
      <c r="Z83" s="62">
        <f t="shared" si="17"/>
        <v>0</v>
      </c>
      <c r="AA83" s="62">
        <f t="shared" si="17"/>
        <v>407.86487999999997</v>
      </c>
      <c r="AB83" s="62">
        <f t="shared" si="17"/>
        <v>0</v>
      </c>
      <c r="AC83" s="62">
        <f t="shared" si="17"/>
        <v>0</v>
      </c>
      <c r="AD83" s="62">
        <f t="shared" si="17"/>
        <v>0</v>
      </c>
      <c r="AE83" s="62">
        <f t="shared" si="17"/>
        <v>0</v>
      </c>
      <c r="AG83" s="2" t="e">
        <v>#N/A</v>
      </c>
      <c r="AH83" s="293" t="e">
        <v>#N/A</v>
      </c>
      <c r="AI83" s="293" t="e">
        <v>#N/A</v>
      </c>
      <c r="AJ83" s="293" t="e">
        <v>#N/A</v>
      </c>
      <c r="AK83" s="2" t="e">
        <v>#N/A</v>
      </c>
      <c r="AL83" s="293" t="e">
        <v>#N/A</v>
      </c>
      <c r="AM83" s="61"/>
      <c r="AO83" s="232"/>
      <c r="AP83" s="237">
        <f t="shared" si="21"/>
        <v>0</v>
      </c>
      <c r="AQ83" s="237"/>
      <c r="AR83" s="237">
        <f t="shared" si="22"/>
        <v>0</v>
      </c>
      <c r="AS83" s="237"/>
      <c r="AT83" s="237">
        <f t="shared" si="23"/>
        <v>0</v>
      </c>
      <c r="AU83" s="237"/>
      <c r="AV83" s="237">
        <f t="shared" si="24"/>
        <v>0</v>
      </c>
      <c r="AW83" s="237"/>
      <c r="AX83" s="237">
        <f t="shared" si="25"/>
        <v>0</v>
      </c>
      <c r="AY83" s="237"/>
      <c r="AZ83" s="237">
        <f t="shared" si="26"/>
        <v>0</v>
      </c>
      <c r="BA83" s="237"/>
      <c r="BB83" s="76">
        <f t="shared" si="27"/>
        <v>0</v>
      </c>
      <c r="BC83" s="237"/>
      <c r="BD83" s="237">
        <f t="shared" si="28"/>
        <v>0</v>
      </c>
      <c r="BE83" s="237"/>
      <c r="BF83" s="237">
        <f t="shared" si="29"/>
        <v>0</v>
      </c>
      <c r="BG83" s="237"/>
      <c r="BH83" s="237">
        <f t="shared" si="30"/>
        <v>0</v>
      </c>
      <c r="BI83" s="237"/>
      <c r="BJ83" s="237">
        <f t="shared" si="31"/>
        <v>0</v>
      </c>
      <c r="BK83" s="237"/>
      <c r="BL83" s="237">
        <f t="shared" si="32"/>
        <v>0</v>
      </c>
    </row>
    <row r="84" spans="1:64" hidden="1">
      <c r="A84" s="61">
        <v>80</v>
      </c>
      <c r="B84" s="65" t="str">
        <f>'[6]NOI TAC 2026'!B86</f>
        <v>R067539</v>
      </c>
      <c r="C84" s="36" t="str">
        <f t="shared" si="19"/>
        <v>XEM</v>
      </c>
      <c r="D84" s="36">
        <f>'[6]NOI TAC 2026'!F86</f>
        <v>1</v>
      </c>
      <c r="E84" s="63">
        <f>'[6]NOI TAC 2026'!AL86</f>
        <v>67.399151923076886</v>
      </c>
      <c r="F84" s="61"/>
      <c r="G84" s="61"/>
      <c r="H84" s="61"/>
      <c r="I84" s="61">
        <v>1</v>
      </c>
      <c r="J84" s="61"/>
      <c r="K84" s="61"/>
      <c r="L84" s="61"/>
      <c r="M84" s="61"/>
      <c r="N84" s="61"/>
      <c r="O84" s="61"/>
      <c r="P84" s="61"/>
      <c r="Q84" s="61"/>
      <c r="R84" s="61">
        <f t="shared" si="20"/>
        <v>1</v>
      </c>
      <c r="T84" s="62">
        <f t="shared" si="18"/>
        <v>0</v>
      </c>
      <c r="U84" s="62">
        <f t="shared" si="18"/>
        <v>0</v>
      </c>
      <c r="V84" s="62">
        <f t="shared" si="18"/>
        <v>0</v>
      </c>
      <c r="W84" s="62">
        <f t="shared" si="18"/>
        <v>67.399151923076886</v>
      </c>
      <c r="X84" s="62">
        <f t="shared" si="18"/>
        <v>0</v>
      </c>
      <c r="Y84" s="62">
        <f t="shared" si="18"/>
        <v>0</v>
      </c>
      <c r="Z84" s="62">
        <f t="shared" si="17"/>
        <v>0</v>
      </c>
      <c r="AA84" s="62">
        <f t="shared" si="17"/>
        <v>0</v>
      </c>
      <c r="AB84" s="62">
        <f t="shared" si="17"/>
        <v>0</v>
      </c>
      <c r="AC84" s="62">
        <f t="shared" si="17"/>
        <v>0</v>
      </c>
      <c r="AD84" s="62">
        <f t="shared" si="17"/>
        <v>0</v>
      </c>
      <c r="AE84" s="62">
        <f t="shared" si="17"/>
        <v>0</v>
      </c>
      <c r="AG84" s="2" t="e">
        <v>#N/A</v>
      </c>
      <c r="AH84" s="293" t="e">
        <v>#N/A</v>
      </c>
      <c r="AI84" s="293" t="e">
        <v>#N/A</v>
      </c>
      <c r="AJ84" s="293" t="e">
        <v>#N/A</v>
      </c>
      <c r="AK84" s="2" t="e">
        <v>#N/A</v>
      </c>
      <c r="AL84" s="293" t="e">
        <v>#N/A</v>
      </c>
      <c r="AM84" s="61"/>
      <c r="AO84" s="232"/>
      <c r="AP84" s="237">
        <f t="shared" si="21"/>
        <v>0</v>
      </c>
      <c r="AQ84" s="237"/>
      <c r="AR84" s="237">
        <f t="shared" si="22"/>
        <v>0</v>
      </c>
      <c r="AS84" s="237"/>
      <c r="AT84" s="237">
        <f t="shared" si="23"/>
        <v>0</v>
      </c>
      <c r="AU84" s="237"/>
      <c r="AV84" s="237">
        <f t="shared" si="24"/>
        <v>0</v>
      </c>
      <c r="AW84" s="237"/>
      <c r="AX84" s="237">
        <f t="shared" si="25"/>
        <v>0</v>
      </c>
      <c r="AY84" s="237"/>
      <c r="AZ84" s="237">
        <f t="shared" si="26"/>
        <v>0</v>
      </c>
      <c r="BA84" s="237"/>
      <c r="BB84" s="76">
        <f t="shared" si="27"/>
        <v>0</v>
      </c>
      <c r="BC84" s="237"/>
      <c r="BD84" s="237">
        <f t="shared" si="28"/>
        <v>0</v>
      </c>
      <c r="BE84" s="237"/>
      <c r="BF84" s="237">
        <f t="shared" si="29"/>
        <v>0</v>
      </c>
      <c r="BG84" s="237"/>
      <c r="BH84" s="237">
        <f t="shared" si="30"/>
        <v>0</v>
      </c>
      <c r="BI84" s="237"/>
      <c r="BJ84" s="237">
        <f t="shared" si="31"/>
        <v>0</v>
      </c>
      <c r="BK84" s="237"/>
      <c r="BL84" s="237">
        <f t="shared" si="32"/>
        <v>0</v>
      </c>
    </row>
    <row r="85" spans="1:64" hidden="1">
      <c r="A85" s="61">
        <v>81</v>
      </c>
      <c r="B85" s="65" t="str">
        <f>'[6]NOI TAC 2026'!B87</f>
        <v>R175052</v>
      </c>
      <c r="C85" s="36" t="str">
        <f t="shared" si="19"/>
        <v>XEM</v>
      </c>
      <c r="D85" s="36">
        <f>'[6]NOI TAC 2026'!F87</f>
        <v>1</v>
      </c>
      <c r="E85" s="63">
        <f>'[6]NOI TAC 2026'!AL87</f>
        <v>150.86276820512825</v>
      </c>
      <c r="F85" s="61"/>
      <c r="G85" s="61"/>
      <c r="H85" s="61"/>
      <c r="I85" s="61"/>
      <c r="J85" s="61">
        <v>1</v>
      </c>
      <c r="K85" s="61"/>
      <c r="L85" s="61"/>
      <c r="M85" s="61"/>
      <c r="N85" s="61"/>
      <c r="O85" s="61"/>
      <c r="P85" s="61"/>
      <c r="Q85" s="61"/>
      <c r="R85" s="61">
        <f t="shared" si="20"/>
        <v>1</v>
      </c>
      <c r="T85" s="62">
        <f t="shared" ref="T85:AE102" si="33">$E85*F85</f>
        <v>0</v>
      </c>
      <c r="U85" s="62">
        <f t="shared" si="33"/>
        <v>0</v>
      </c>
      <c r="V85" s="62">
        <f t="shared" si="33"/>
        <v>0</v>
      </c>
      <c r="W85" s="62">
        <f t="shared" si="33"/>
        <v>0</v>
      </c>
      <c r="X85" s="62">
        <f t="shared" si="33"/>
        <v>150.86276820512825</v>
      </c>
      <c r="Y85" s="62">
        <f t="shared" si="33"/>
        <v>0</v>
      </c>
      <c r="Z85" s="62">
        <f t="shared" si="17"/>
        <v>0</v>
      </c>
      <c r="AA85" s="62">
        <f t="shared" si="17"/>
        <v>0</v>
      </c>
      <c r="AB85" s="62">
        <f t="shared" si="17"/>
        <v>0</v>
      </c>
      <c r="AC85" s="62">
        <f t="shared" si="17"/>
        <v>0</v>
      </c>
      <c r="AD85" s="62">
        <f t="shared" si="17"/>
        <v>0</v>
      </c>
      <c r="AE85" s="62">
        <f t="shared" si="17"/>
        <v>0</v>
      </c>
      <c r="AG85" s="2" t="e">
        <v>#N/A</v>
      </c>
      <c r="AH85" s="293" t="e">
        <v>#N/A</v>
      </c>
      <c r="AI85" s="293" t="e">
        <v>#N/A</v>
      </c>
      <c r="AJ85" s="293" t="e">
        <v>#N/A</v>
      </c>
      <c r="AK85" s="2" t="e">
        <v>#N/A</v>
      </c>
      <c r="AL85" s="293" t="e">
        <v>#N/A</v>
      </c>
      <c r="AM85" s="61"/>
      <c r="AO85" s="232"/>
      <c r="AP85" s="237">
        <f t="shared" si="21"/>
        <v>0</v>
      </c>
      <c r="AQ85" s="237"/>
      <c r="AR85" s="237">
        <f t="shared" si="22"/>
        <v>0</v>
      </c>
      <c r="AS85" s="237"/>
      <c r="AT85" s="237">
        <f t="shared" si="23"/>
        <v>0</v>
      </c>
      <c r="AU85" s="237"/>
      <c r="AV85" s="237">
        <f t="shared" si="24"/>
        <v>0</v>
      </c>
      <c r="AW85" s="237"/>
      <c r="AX85" s="237">
        <f t="shared" si="25"/>
        <v>0</v>
      </c>
      <c r="AY85" s="237"/>
      <c r="AZ85" s="237">
        <f t="shared" si="26"/>
        <v>0</v>
      </c>
      <c r="BA85" s="237"/>
      <c r="BB85" s="76">
        <f t="shared" si="27"/>
        <v>0</v>
      </c>
      <c r="BC85" s="237"/>
      <c r="BD85" s="237">
        <f t="shared" si="28"/>
        <v>0</v>
      </c>
      <c r="BE85" s="237"/>
      <c r="BF85" s="237">
        <f t="shared" si="29"/>
        <v>0</v>
      </c>
      <c r="BG85" s="237"/>
      <c r="BH85" s="237">
        <f t="shared" si="30"/>
        <v>0</v>
      </c>
      <c r="BI85" s="237"/>
      <c r="BJ85" s="237">
        <f t="shared" si="31"/>
        <v>0</v>
      </c>
      <c r="BK85" s="237"/>
      <c r="BL85" s="237">
        <f t="shared" si="32"/>
        <v>0</v>
      </c>
    </row>
    <row r="86" spans="1:64" hidden="1">
      <c r="A86" s="61">
        <v>82</v>
      </c>
      <c r="B86" s="65" t="str">
        <f>'[6]NOI TAC 2026'!B88</f>
        <v>R171362</v>
      </c>
      <c r="C86" s="36" t="str">
        <f t="shared" si="19"/>
        <v>XEM</v>
      </c>
      <c r="D86" s="36">
        <f>'[6]NOI TAC 2026'!F88</f>
        <v>2</v>
      </c>
      <c r="E86" s="63">
        <f>'[6]NOI TAC 2026'!AL88</f>
        <v>74.788839999999993</v>
      </c>
      <c r="F86" s="61"/>
      <c r="G86" s="61"/>
      <c r="H86" s="61"/>
      <c r="I86" s="61">
        <v>1</v>
      </c>
      <c r="J86" s="61"/>
      <c r="K86" s="61"/>
      <c r="L86" s="61">
        <v>1</v>
      </c>
      <c r="M86" s="61"/>
      <c r="N86" s="61"/>
      <c r="O86" s="61"/>
      <c r="P86" s="61"/>
      <c r="Q86" s="61"/>
      <c r="R86" s="61">
        <f t="shared" si="20"/>
        <v>2</v>
      </c>
      <c r="T86" s="62">
        <f t="shared" si="33"/>
        <v>0</v>
      </c>
      <c r="U86" s="62">
        <f t="shared" si="33"/>
        <v>0</v>
      </c>
      <c r="V86" s="62">
        <f t="shared" si="33"/>
        <v>0</v>
      </c>
      <c r="W86" s="62">
        <f t="shared" si="33"/>
        <v>74.788839999999993</v>
      </c>
      <c r="X86" s="62">
        <f t="shared" si="33"/>
        <v>0</v>
      </c>
      <c r="Y86" s="62">
        <f t="shared" si="33"/>
        <v>0</v>
      </c>
      <c r="Z86" s="62">
        <f t="shared" si="33"/>
        <v>74.788839999999993</v>
      </c>
      <c r="AA86" s="62">
        <f t="shared" si="33"/>
        <v>0</v>
      </c>
      <c r="AB86" s="62">
        <f t="shared" si="33"/>
        <v>0</v>
      </c>
      <c r="AC86" s="62">
        <f t="shared" si="33"/>
        <v>0</v>
      </c>
      <c r="AD86" s="62">
        <f t="shared" si="33"/>
        <v>0</v>
      </c>
      <c r="AE86" s="62">
        <f t="shared" si="33"/>
        <v>0</v>
      </c>
      <c r="AG86" s="2" t="e">
        <v>#N/A</v>
      </c>
      <c r="AH86" s="293" t="e">
        <v>#N/A</v>
      </c>
      <c r="AI86" s="293" t="e">
        <v>#N/A</v>
      </c>
      <c r="AJ86" s="293" t="e">
        <v>#N/A</v>
      </c>
      <c r="AK86" s="2" t="e">
        <v>#N/A</v>
      </c>
      <c r="AL86" s="293" t="e">
        <v>#N/A</v>
      </c>
      <c r="AM86" s="61"/>
      <c r="AO86" s="232"/>
      <c r="AP86" s="237">
        <f t="shared" si="21"/>
        <v>0</v>
      </c>
      <c r="AQ86" s="237"/>
      <c r="AR86" s="237">
        <f t="shared" si="22"/>
        <v>0</v>
      </c>
      <c r="AS86" s="237"/>
      <c r="AT86" s="237">
        <f t="shared" si="23"/>
        <v>0</v>
      </c>
      <c r="AU86" s="237"/>
      <c r="AV86" s="237">
        <f t="shared" si="24"/>
        <v>0</v>
      </c>
      <c r="AW86" s="237"/>
      <c r="AX86" s="237">
        <f t="shared" si="25"/>
        <v>0</v>
      </c>
      <c r="AY86" s="237"/>
      <c r="AZ86" s="237">
        <f t="shared" si="26"/>
        <v>0</v>
      </c>
      <c r="BA86" s="237"/>
      <c r="BB86" s="76">
        <f t="shared" si="27"/>
        <v>0</v>
      </c>
      <c r="BC86" s="237"/>
      <c r="BD86" s="237">
        <f t="shared" si="28"/>
        <v>0</v>
      </c>
      <c r="BE86" s="237"/>
      <c r="BF86" s="237">
        <f t="shared" si="29"/>
        <v>0</v>
      </c>
      <c r="BG86" s="237"/>
      <c r="BH86" s="237">
        <f t="shared" si="30"/>
        <v>0</v>
      </c>
      <c r="BI86" s="237"/>
      <c r="BJ86" s="237">
        <f t="shared" si="31"/>
        <v>0</v>
      </c>
      <c r="BK86" s="237"/>
      <c r="BL86" s="237">
        <f t="shared" si="32"/>
        <v>0</v>
      </c>
    </row>
    <row r="87" spans="1:64" hidden="1">
      <c r="A87" s="61">
        <v>83</v>
      </c>
      <c r="B87" s="65" t="str">
        <f>'[6]NOI TAC 2026'!B89</f>
        <v>R009220</v>
      </c>
      <c r="C87" s="36" t="str">
        <f t="shared" si="19"/>
        <v>XEM</v>
      </c>
      <c r="D87" s="36">
        <f>'[6]NOI TAC 2026'!F89</f>
        <v>3</v>
      </c>
      <c r="E87" s="63">
        <f>'[6]NOI TAC 2026'!AL89</f>
        <v>203.27664000000001</v>
      </c>
      <c r="F87" s="61"/>
      <c r="G87" s="61"/>
      <c r="H87" s="61">
        <v>1</v>
      </c>
      <c r="I87" s="61"/>
      <c r="J87" s="61"/>
      <c r="K87" s="61">
        <v>1</v>
      </c>
      <c r="L87" s="61"/>
      <c r="M87" s="61"/>
      <c r="N87" s="61">
        <v>1</v>
      </c>
      <c r="O87" s="61"/>
      <c r="P87" s="61"/>
      <c r="Q87" s="61"/>
      <c r="R87" s="61">
        <f t="shared" si="20"/>
        <v>3</v>
      </c>
      <c r="T87" s="62">
        <f t="shared" si="33"/>
        <v>0</v>
      </c>
      <c r="U87" s="62">
        <f t="shared" si="33"/>
        <v>0</v>
      </c>
      <c r="V87" s="62">
        <f t="shared" si="33"/>
        <v>203.27664000000001</v>
      </c>
      <c r="W87" s="62">
        <f t="shared" si="33"/>
        <v>0</v>
      </c>
      <c r="X87" s="62">
        <f t="shared" si="33"/>
        <v>0</v>
      </c>
      <c r="Y87" s="62">
        <f t="shared" si="33"/>
        <v>203.27664000000001</v>
      </c>
      <c r="Z87" s="62">
        <f t="shared" si="33"/>
        <v>0</v>
      </c>
      <c r="AA87" s="62">
        <f t="shared" si="33"/>
        <v>0</v>
      </c>
      <c r="AB87" s="62">
        <f t="shared" si="33"/>
        <v>203.27664000000001</v>
      </c>
      <c r="AC87" s="62">
        <f t="shared" si="33"/>
        <v>0</v>
      </c>
      <c r="AD87" s="62">
        <f t="shared" si="33"/>
        <v>0</v>
      </c>
      <c r="AE87" s="62">
        <f t="shared" si="33"/>
        <v>0</v>
      </c>
      <c r="AG87" s="2" t="e">
        <v>#N/A</v>
      </c>
      <c r="AH87" s="293" t="e">
        <v>#N/A</v>
      </c>
      <c r="AI87" s="293" t="e">
        <v>#N/A</v>
      </c>
      <c r="AJ87" s="293" t="e">
        <v>#N/A</v>
      </c>
      <c r="AK87" s="2" t="e">
        <v>#N/A</v>
      </c>
      <c r="AL87" s="293" t="e">
        <v>#N/A</v>
      </c>
      <c r="AM87" s="61"/>
      <c r="AO87" s="232"/>
      <c r="AP87" s="237">
        <f t="shared" si="21"/>
        <v>0</v>
      </c>
      <c r="AQ87" s="237"/>
      <c r="AR87" s="237">
        <f t="shared" si="22"/>
        <v>0</v>
      </c>
      <c r="AS87" s="237"/>
      <c r="AT87" s="237">
        <f t="shared" si="23"/>
        <v>0</v>
      </c>
      <c r="AU87" s="237"/>
      <c r="AV87" s="237">
        <f t="shared" si="24"/>
        <v>0</v>
      </c>
      <c r="AW87" s="237"/>
      <c r="AX87" s="237">
        <f t="shared" si="25"/>
        <v>0</v>
      </c>
      <c r="AY87" s="237"/>
      <c r="AZ87" s="237">
        <f t="shared" si="26"/>
        <v>0</v>
      </c>
      <c r="BA87" s="237"/>
      <c r="BB87" s="76">
        <f t="shared" si="27"/>
        <v>0</v>
      </c>
      <c r="BC87" s="237"/>
      <c r="BD87" s="237">
        <f t="shared" si="28"/>
        <v>0</v>
      </c>
      <c r="BE87" s="237"/>
      <c r="BF87" s="237">
        <f t="shared" si="29"/>
        <v>0</v>
      </c>
      <c r="BG87" s="237"/>
      <c r="BH87" s="237">
        <f t="shared" si="30"/>
        <v>0</v>
      </c>
      <c r="BI87" s="237"/>
      <c r="BJ87" s="237">
        <f t="shared" si="31"/>
        <v>0</v>
      </c>
      <c r="BK87" s="237"/>
      <c r="BL87" s="237">
        <f t="shared" si="32"/>
        <v>0</v>
      </c>
    </row>
    <row r="88" spans="1:64" hidden="1">
      <c r="A88" s="61">
        <v>84</v>
      </c>
      <c r="B88" s="65" t="str">
        <f>'[6]NOI TAC 2026'!B90</f>
        <v>S833640</v>
      </c>
      <c r="C88" s="36" t="str">
        <f t="shared" si="19"/>
        <v>XEM</v>
      </c>
      <c r="D88" s="36">
        <f>'[6]NOI TAC 2026'!F90</f>
        <v>2</v>
      </c>
      <c r="E88" s="63">
        <f>'[6]NOI TAC 2026'!AL90</f>
        <v>160.79303999999999</v>
      </c>
      <c r="F88" s="61"/>
      <c r="G88" s="61"/>
      <c r="H88" s="61"/>
      <c r="I88" s="61">
        <v>1</v>
      </c>
      <c r="J88" s="61"/>
      <c r="K88" s="61"/>
      <c r="L88" s="61"/>
      <c r="M88" s="61"/>
      <c r="N88" s="61"/>
      <c r="O88" s="61">
        <v>1</v>
      </c>
      <c r="P88" s="61"/>
      <c r="Q88" s="61"/>
      <c r="R88" s="61">
        <f t="shared" si="20"/>
        <v>2</v>
      </c>
      <c r="T88" s="62">
        <f t="shared" si="33"/>
        <v>0</v>
      </c>
      <c r="U88" s="62">
        <f t="shared" si="33"/>
        <v>0</v>
      </c>
      <c r="V88" s="62">
        <f t="shared" si="33"/>
        <v>0</v>
      </c>
      <c r="W88" s="62">
        <f t="shared" si="33"/>
        <v>160.79303999999999</v>
      </c>
      <c r="X88" s="62">
        <f t="shared" si="33"/>
        <v>0</v>
      </c>
      <c r="Y88" s="62">
        <f t="shared" si="33"/>
        <v>0</v>
      </c>
      <c r="Z88" s="62">
        <f t="shared" si="33"/>
        <v>0</v>
      </c>
      <c r="AA88" s="62">
        <f t="shared" si="33"/>
        <v>0</v>
      </c>
      <c r="AB88" s="62">
        <f t="shared" si="33"/>
        <v>0</v>
      </c>
      <c r="AC88" s="62">
        <f t="shared" si="33"/>
        <v>160.79303999999999</v>
      </c>
      <c r="AD88" s="62">
        <f t="shared" si="33"/>
        <v>0</v>
      </c>
      <c r="AE88" s="62">
        <f t="shared" si="33"/>
        <v>0</v>
      </c>
      <c r="AG88" s="2" t="e">
        <v>#N/A</v>
      </c>
      <c r="AH88" s="293" t="e">
        <v>#N/A</v>
      </c>
      <c r="AI88" s="293" t="e">
        <v>#N/A</v>
      </c>
      <c r="AJ88" s="293" t="e">
        <v>#N/A</v>
      </c>
      <c r="AK88" s="2" t="e">
        <v>#N/A</v>
      </c>
      <c r="AL88" s="293" t="e">
        <v>#N/A</v>
      </c>
      <c r="AM88" s="61"/>
      <c r="AO88" s="232"/>
      <c r="AP88" s="237">
        <f t="shared" si="21"/>
        <v>0</v>
      </c>
      <c r="AQ88" s="237"/>
      <c r="AR88" s="237">
        <f t="shared" si="22"/>
        <v>0</v>
      </c>
      <c r="AS88" s="237"/>
      <c r="AT88" s="237">
        <f t="shared" si="23"/>
        <v>0</v>
      </c>
      <c r="AU88" s="237"/>
      <c r="AV88" s="237">
        <f t="shared" si="24"/>
        <v>0</v>
      </c>
      <c r="AW88" s="237"/>
      <c r="AX88" s="237">
        <f t="shared" si="25"/>
        <v>0</v>
      </c>
      <c r="AY88" s="237"/>
      <c r="AZ88" s="237">
        <f t="shared" si="26"/>
        <v>0</v>
      </c>
      <c r="BA88" s="237"/>
      <c r="BB88" s="76">
        <f t="shared" si="27"/>
        <v>0</v>
      </c>
      <c r="BC88" s="237"/>
      <c r="BD88" s="237">
        <f t="shared" si="28"/>
        <v>0</v>
      </c>
      <c r="BE88" s="237"/>
      <c r="BF88" s="237">
        <f t="shared" si="29"/>
        <v>0</v>
      </c>
      <c r="BG88" s="237"/>
      <c r="BH88" s="237">
        <f t="shared" si="30"/>
        <v>0</v>
      </c>
      <c r="BI88" s="237"/>
      <c r="BJ88" s="237">
        <f t="shared" si="31"/>
        <v>0</v>
      </c>
      <c r="BK88" s="237"/>
      <c r="BL88" s="237">
        <f t="shared" si="32"/>
        <v>0</v>
      </c>
    </row>
    <row r="89" spans="1:64" hidden="1">
      <c r="A89" s="61">
        <v>85</v>
      </c>
      <c r="B89" s="65" t="str">
        <f>'[6]NOI TAC 2026'!B91</f>
        <v>S609462</v>
      </c>
      <c r="C89" s="36" t="str">
        <f t="shared" si="19"/>
        <v>XEM</v>
      </c>
      <c r="D89" s="36">
        <f>'[6]NOI TAC 2026'!F91</f>
        <v>2</v>
      </c>
      <c r="E89" s="63">
        <f>'[6]NOI TAC 2026'!AL91</f>
        <v>131.27884</v>
      </c>
      <c r="F89" s="61"/>
      <c r="G89" s="61"/>
      <c r="H89" s="61"/>
      <c r="I89" s="61"/>
      <c r="J89" s="61">
        <v>1</v>
      </c>
      <c r="K89" s="61"/>
      <c r="L89" s="61"/>
      <c r="M89" s="61"/>
      <c r="N89" s="61"/>
      <c r="O89" s="61"/>
      <c r="P89" s="61">
        <v>1</v>
      </c>
      <c r="Q89" s="61"/>
      <c r="R89" s="61">
        <f t="shared" si="20"/>
        <v>2</v>
      </c>
      <c r="T89" s="62">
        <f t="shared" si="33"/>
        <v>0</v>
      </c>
      <c r="U89" s="62">
        <f t="shared" si="33"/>
        <v>0</v>
      </c>
      <c r="V89" s="62">
        <f t="shared" si="33"/>
        <v>0</v>
      </c>
      <c r="W89" s="62">
        <f t="shared" si="33"/>
        <v>0</v>
      </c>
      <c r="X89" s="62">
        <f t="shared" si="33"/>
        <v>131.27884</v>
      </c>
      <c r="Y89" s="62">
        <f t="shared" si="33"/>
        <v>0</v>
      </c>
      <c r="Z89" s="62">
        <f t="shared" si="33"/>
        <v>0</v>
      </c>
      <c r="AA89" s="62">
        <f t="shared" si="33"/>
        <v>0</v>
      </c>
      <c r="AB89" s="62">
        <f t="shared" si="33"/>
        <v>0</v>
      </c>
      <c r="AC89" s="62">
        <f t="shared" si="33"/>
        <v>0</v>
      </c>
      <c r="AD89" s="62">
        <f t="shared" si="33"/>
        <v>131.27884</v>
      </c>
      <c r="AE89" s="62">
        <f t="shared" si="33"/>
        <v>0</v>
      </c>
      <c r="AG89" s="2" t="e">
        <v>#N/A</v>
      </c>
      <c r="AH89" s="293" t="e">
        <v>#N/A</v>
      </c>
      <c r="AI89" s="293" t="e">
        <v>#N/A</v>
      </c>
      <c r="AJ89" s="293" t="e">
        <v>#N/A</v>
      </c>
      <c r="AK89" s="2" t="e">
        <v>#N/A</v>
      </c>
      <c r="AL89" s="293" t="e">
        <v>#N/A</v>
      </c>
      <c r="AM89" s="61"/>
      <c r="AO89" s="232"/>
      <c r="AP89" s="237">
        <f t="shared" si="21"/>
        <v>0</v>
      </c>
      <c r="AQ89" s="237"/>
      <c r="AR89" s="237">
        <f t="shared" si="22"/>
        <v>0</v>
      </c>
      <c r="AS89" s="237"/>
      <c r="AT89" s="237">
        <f t="shared" si="23"/>
        <v>0</v>
      </c>
      <c r="AU89" s="237"/>
      <c r="AV89" s="237">
        <f t="shared" si="24"/>
        <v>0</v>
      </c>
      <c r="AW89" s="237"/>
      <c r="AX89" s="237">
        <f t="shared" si="25"/>
        <v>0</v>
      </c>
      <c r="AY89" s="237"/>
      <c r="AZ89" s="237">
        <f t="shared" si="26"/>
        <v>0</v>
      </c>
      <c r="BA89" s="237"/>
      <c r="BB89" s="76">
        <f t="shared" si="27"/>
        <v>0</v>
      </c>
      <c r="BC89" s="237"/>
      <c r="BD89" s="237">
        <f t="shared" si="28"/>
        <v>0</v>
      </c>
      <c r="BE89" s="237"/>
      <c r="BF89" s="237">
        <f t="shared" si="29"/>
        <v>0</v>
      </c>
      <c r="BG89" s="237"/>
      <c r="BH89" s="237">
        <f t="shared" si="30"/>
        <v>0</v>
      </c>
      <c r="BI89" s="237"/>
      <c r="BJ89" s="237">
        <f t="shared" si="31"/>
        <v>0</v>
      </c>
      <c r="BK89" s="237"/>
      <c r="BL89" s="237">
        <f t="shared" si="32"/>
        <v>0</v>
      </c>
    </row>
    <row r="90" spans="1:64" hidden="1">
      <c r="A90" s="61">
        <v>86</v>
      </c>
      <c r="B90" s="65" t="str">
        <f>'[6]NOI TAC 2026'!B92</f>
        <v>R341198</v>
      </c>
      <c r="C90" s="36" t="str">
        <f t="shared" si="19"/>
        <v>XEM</v>
      </c>
      <c r="D90" s="36">
        <f>'[6]NOI TAC 2026'!F92</f>
        <v>8</v>
      </c>
      <c r="E90" s="63">
        <f>'[6]NOI TAC 2026'!AL92</f>
        <v>43.551466153846121</v>
      </c>
      <c r="F90" s="61">
        <v>1</v>
      </c>
      <c r="G90" s="61"/>
      <c r="H90" s="61">
        <v>1</v>
      </c>
      <c r="I90" s="61"/>
      <c r="J90" s="61"/>
      <c r="K90" s="61">
        <v>2</v>
      </c>
      <c r="L90" s="61"/>
      <c r="M90" s="61"/>
      <c r="N90" s="61">
        <v>2</v>
      </c>
      <c r="O90" s="61"/>
      <c r="P90" s="61"/>
      <c r="Q90" s="61">
        <v>2</v>
      </c>
      <c r="R90" s="61">
        <f t="shared" si="20"/>
        <v>8</v>
      </c>
      <c r="T90" s="62">
        <f t="shared" si="33"/>
        <v>43.551466153846121</v>
      </c>
      <c r="U90" s="62">
        <f t="shared" si="33"/>
        <v>0</v>
      </c>
      <c r="V90" s="62">
        <f t="shared" si="33"/>
        <v>43.551466153846121</v>
      </c>
      <c r="W90" s="62">
        <f t="shared" si="33"/>
        <v>0</v>
      </c>
      <c r="X90" s="62">
        <f t="shared" si="33"/>
        <v>0</v>
      </c>
      <c r="Y90" s="62">
        <f t="shared" si="33"/>
        <v>87.102932307692242</v>
      </c>
      <c r="Z90" s="62">
        <f t="shared" si="33"/>
        <v>0</v>
      </c>
      <c r="AA90" s="62">
        <f t="shared" si="33"/>
        <v>0</v>
      </c>
      <c r="AB90" s="62">
        <f t="shared" si="33"/>
        <v>87.102932307692242</v>
      </c>
      <c r="AC90" s="62">
        <f t="shared" si="33"/>
        <v>0</v>
      </c>
      <c r="AD90" s="62">
        <f t="shared" si="33"/>
        <v>0</v>
      </c>
      <c r="AE90" s="62">
        <f t="shared" si="33"/>
        <v>87.102932307692242</v>
      </c>
      <c r="AG90" s="373" t="e">
        <v>#N/A</v>
      </c>
      <c r="AH90" s="293" t="e">
        <v>#N/A</v>
      </c>
      <c r="AI90" s="293" t="e">
        <v>#N/A</v>
      </c>
      <c r="AJ90" s="293" t="e">
        <v>#N/A</v>
      </c>
      <c r="AK90" s="2" t="e">
        <v>#N/A</v>
      </c>
      <c r="AL90" s="293" t="e">
        <v>#N/A</v>
      </c>
      <c r="AM90" s="61"/>
      <c r="AO90" s="232"/>
      <c r="AP90" s="237">
        <f t="shared" si="21"/>
        <v>0</v>
      </c>
      <c r="AQ90" s="237"/>
      <c r="AR90" s="237">
        <f t="shared" si="22"/>
        <v>0</v>
      </c>
      <c r="AS90" s="237"/>
      <c r="AT90" s="237">
        <f t="shared" si="23"/>
        <v>0</v>
      </c>
      <c r="AU90" s="237"/>
      <c r="AV90" s="237">
        <f t="shared" si="24"/>
        <v>0</v>
      </c>
      <c r="AW90" s="237"/>
      <c r="AX90" s="237">
        <f t="shared" si="25"/>
        <v>0</v>
      </c>
      <c r="AY90" s="237"/>
      <c r="AZ90" s="237">
        <f t="shared" si="26"/>
        <v>0</v>
      </c>
      <c r="BA90" s="237"/>
      <c r="BB90" s="76">
        <f t="shared" si="27"/>
        <v>0</v>
      </c>
      <c r="BC90" s="237"/>
      <c r="BD90" s="237">
        <f t="shared" si="28"/>
        <v>0</v>
      </c>
      <c r="BE90" s="237"/>
      <c r="BF90" s="237">
        <f t="shared" si="29"/>
        <v>0</v>
      </c>
      <c r="BG90" s="237"/>
      <c r="BH90" s="237">
        <f t="shared" si="30"/>
        <v>0</v>
      </c>
      <c r="BI90" s="237"/>
      <c r="BJ90" s="237">
        <f t="shared" si="31"/>
        <v>0</v>
      </c>
      <c r="BK90" s="237"/>
      <c r="BL90" s="237">
        <f t="shared" si="32"/>
        <v>0</v>
      </c>
    </row>
    <row r="91" spans="1:64" ht="17.25">
      <c r="A91" s="61">
        <v>87</v>
      </c>
      <c r="B91" s="65" t="str">
        <f>'[6]NOI TAC 2026'!B93</f>
        <v>R316203</v>
      </c>
      <c r="C91" s="36" t="str">
        <f t="shared" si="19"/>
        <v>XEM</v>
      </c>
      <c r="D91" s="36">
        <f>'[6]NOI TAC 2026'!F93</f>
        <v>2</v>
      </c>
      <c r="E91" s="63">
        <f>'[6]NOI TAC 2026'!AL93</f>
        <v>86.524839999999983</v>
      </c>
      <c r="F91" s="61"/>
      <c r="G91" s="61"/>
      <c r="H91" s="61"/>
      <c r="I91" s="61">
        <v>1</v>
      </c>
      <c r="J91" s="61"/>
      <c r="K91" s="61"/>
      <c r="L91" s="61"/>
      <c r="M91" s="61">
        <v>1</v>
      </c>
      <c r="N91" s="61"/>
      <c r="O91" s="61"/>
      <c r="P91" s="61"/>
      <c r="Q91" s="61"/>
      <c r="R91" s="61">
        <f t="shared" si="20"/>
        <v>2</v>
      </c>
      <c r="T91" s="62">
        <f t="shared" si="33"/>
        <v>0</v>
      </c>
      <c r="U91" s="62">
        <f t="shared" si="33"/>
        <v>0</v>
      </c>
      <c r="V91" s="62">
        <f t="shared" si="33"/>
        <v>0</v>
      </c>
      <c r="W91" s="62">
        <f t="shared" si="33"/>
        <v>86.524839999999983</v>
      </c>
      <c r="X91" s="62">
        <f t="shared" si="33"/>
        <v>0</v>
      </c>
      <c r="Y91" s="62">
        <f t="shared" si="33"/>
        <v>0</v>
      </c>
      <c r="Z91" s="62">
        <f t="shared" si="33"/>
        <v>0</v>
      </c>
      <c r="AA91" s="62">
        <f t="shared" si="33"/>
        <v>86.524839999999983</v>
      </c>
      <c r="AB91" s="62">
        <f t="shared" si="33"/>
        <v>0</v>
      </c>
      <c r="AC91" s="62">
        <f t="shared" si="33"/>
        <v>0</v>
      </c>
      <c r="AD91" s="62">
        <f t="shared" si="33"/>
        <v>0</v>
      </c>
      <c r="AE91" s="62">
        <f t="shared" si="33"/>
        <v>0</v>
      </c>
      <c r="AG91" s="361">
        <v>2136038305</v>
      </c>
      <c r="AH91" s="372">
        <v>5</v>
      </c>
      <c r="AI91" s="293">
        <v>1</v>
      </c>
      <c r="AJ91" s="293" t="s">
        <v>815</v>
      </c>
      <c r="AK91" s="2" t="s">
        <v>818</v>
      </c>
      <c r="AL91" s="371">
        <v>46114</v>
      </c>
      <c r="AM91" s="61"/>
      <c r="AO91" s="232"/>
      <c r="AP91" s="237">
        <f t="shared" si="21"/>
        <v>0</v>
      </c>
      <c r="AQ91" s="237"/>
      <c r="AR91" s="237">
        <f t="shared" si="22"/>
        <v>0</v>
      </c>
      <c r="AS91" s="237"/>
      <c r="AT91" s="237">
        <f t="shared" si="23"/>
        <v>0</v>
      </c>
      <c r="AU91" s="237"/>
      <c r="AV91" s="237">
        <f t="shared" si="24"/>
        <v>0</v>
      </c>
      <c r="AW91" s="237"/>
      <c r="AX91" s="237">
        <f t="shared" si="25"/>
        <v>0</v>
      </c>
      <c r="AY91" s="237"/>
      <c r="AZ91" s="237">
        <f t="shared" si="26"/>
        <v>0</v>
      </c>
      <c r="BA91" s="237"/>
      <c r="BB91" s="76">
        <f t="shared" si="27"/>
        <v>0</v>
      </c>
      <c r="BC91" s="237"/>
      <c r="BD91" s="237">
        <f t="shared" si="28"/>
        <v>0</v>
      </c>
      <c r="BE91" s="237"/>
      <c r="BF91" s="237">
        <f t="shared" si="29"/>
        <v>0</v>
      </c>
      <c r="BG91" s="237"/>
      <c r="BH91" s="237">
        <f t="shared" si="30"/>
        <v>0</v>
      </c>
      <c r="BI91" s="237"/>
      <c r="BJ91" s="237">
        <f t="shared" si="31"/>
        <v>0</v>
      </c>
      <c r="BK91" s="237"/>
      <c r="BL91" s="237">
        <f t="shared" si="32"/>
        <v>0</v>
      </c>
    </row>
    <row r="92" spans="1:64" hidden="1">
      <c r="A92" s="61">
        <v>88</v>
      </c>
      <c r="B92" s="65" t="str">
        <f>'[6]NOI TAC 2026'!B94</f>
        <v>S416593</v>
      </c>
      <c r="C92" s="36" t="str">
        <f t="shared" si="19"/>
        <v>XEM</v>
      </c>
      <c r="D92" s="36">
        <f>'[6]NOI TAC 2026'!F94</f>
        <v>3</v>
      </c>
      <c r="E92" s="63">
        <f>'[6]NOI TAC 2026'!AL94</f>
        <v>45.322651923076904</v>
      </c>
      <c r="F92" s="61"/>
      <c r="G92" s="61"/>
      <c r="H92" s="61"/>
      <c r="I92" s="61"/>
      <c r="J92" s="61">
        <v>1</v>
      </c>
      <c r="K92" s="61"/>
      <c r="L92" s="61"/>
      <c r="M92" s="61"/>
      <c r="N92" s="61">
        <v>1</v>
      </c>
      <c r="O92" s="61"/>
      <c r="P92" s="61"/>
      <c r="Q92" s="61">
        <v>1</v>
      </c>
      <c r="R92" s="61">
        <f t="shared" si="20"/>
        <v>3</v>
      </c>
      <c r="T92" s="62">
        <f t="shared" si="33"/>
        <v>0</v>
      </c>
      <c r="U92" s="62">
        <f t="shared" si="33"/>
        <v>0</v>
      </c>
      <c r="V92" s="62">
        <f t="shared" si="33"/>
        <v>0</v>
      </c>
      <c r="W92" s="62">
        <f t="shared" si="33"/>
        <v>0</v>
      </c>
      <c r="X92" s="62">
        <f t="shared" si="33"/>
        <v>45.322651923076904</v>
      </c>
      <c r="Y92" s="62">
        <f t="shared" si="33"/>
        <v>0</v>
      </c>
      <c r="Z92" s="62">
        <f t="shared" si="33"/>
        <v>0</v>
      </c>
      <c r="AA92" s="62">
        <f t="shared" si="33"/>
        <v>0</v>
      </c>
      <c r="AB92" s="62">
        <f t="shared" si="33"/>
        <v>45.322651923076904</v>
      </c>
      <c r="AC92" s="62">
        <f t="shared" si="33"/>
        <v>0</v>
      </c>
      <c r="AD92" s="62">
        <f t="shared" si="33"/>
        <v>0</v>
      </c>
      <c r="AE92" s="62">
        <f t="shared" si="33"/>
        <v>45.322651923076904</v>
      </c>
      <c r="AG92" s="375" t="e">
        <v>#N/A</v>
      </c>
      <c r="AH92" s="293" t="e">
        <v>#N/A</v>
      </c>
      <c r="AI92" s="293" t="e">
        <v>#N/A</v>
      </c>
      <c r="AJ92" s="293" t="e">
        <v>#N/A</v>
      </c>
      <c r="AK92" s="2" t="e">
        <v>#N/A</v>
      </c>
      <c r="AL92" s="293" t="e">
        <v>#N/A</v>
      </c>
      <c r="AM92" s="61"/>
      <c r="AO92" s="232"/>
      <c r="AP92" s="237">
        <f t="shared" si="21"/>
        <v>0</v>
      </c>
      <c r="AQ92" s="237"/>
      <c r="AR92" s="237">
        <f t="shared" si="22"/>
        <v>0</v>
      </c>
      <c r="AS92" s="237"/>
      <c r="AT92" s="237">
        <f t="shared" si="23"/>
        <v>0</v>
      </c>
      <c r="AU92" s="237"/>
      <c r="AV92" s="237">
        <f t="shared" si="24"/>
        <v>0</v>
      </c>
      <c r="AW92" s="237"/>
      <c r="AX92" s="237">
        <f t="shared" si="25"/>
        <v>0</v>
      </c>
      <c r="AY92" s="237"/>
      <c r="AZ92" s="237">
        <f t="shared" si="26"/>
        <v>0</v>
      </c>
      <c r="BA92" s="237"/>
      <c r="BB92" s="76">
        <f t="shared" si="27"/>
        <v>0</v>
      </c>
      <c r="BC92" s="237"/>
      <c r="BD92" s="237">
        <f t="shared" si="28"/>
        <v>0</v>
      </c>
      <c r="BE92" s="237"/>
      <c r="BF92" s="237">
        <f t="shared" si="29"/>
        <v>0</v>
      </c>
      <c r="BG92" s="237"/>
      <c r="BH92" s="237">
        <f t="shared" si="30"/>
        <v>0</v>
      </c>
      <c r="BI92" s="237"/>
      <c r="BJ92" s="237">
        <f t="shared" si="31"/>
        <v>0</v>
      </c>
      <c r="BK92" s="237"/>
      <c r="BL92" s="237">
        <f t="shared" si="32"/>
        <v>0</v>
      </c>
    </row>
    <row r="93" spans="1:64" ht="17.25">
      <c r="A93" s="61">
        <v>89</v>
      </c>
      <c r="B93" s="65" t="str">
        <f>'[6]NOI TAC 2026'!B95</f>
        <v>R152945</v>
      </c>
      <c r="C93" s="36" t="str">
        <f t="shared" si="19"/>
        <v>XEM</v>
      </c>
      <c r="D93" s="36">
        <f>'[6]NOI TAC 2026'!F95</f>
        <v>2</v>
      </c>
      <c r="E93" s="63">
        <f>'[6]NOI TAC 2026'!AL95</f>
        <v>65.093961923076932</v>
      </c>
      <c r="F93" s="61"/>
      <c r="G93" s="61"/>
      <c r="H93" s="61">
        <v>1</v>
      </c>
      <c r="I93" s="61"/>
      <c r="J93" s="61"/>
      <c r="K93" s="61"/>
      <c r="L93" s="61">
        <v>1</v>
      </c>
      <c r="M93" s="61"/>
      <c r="N93" s="61"/>
      <c r="O93" s="61"/>
      <c r="P93" s="61"/>
      <c r="Q93" s="61"/>
      <c r="R93" s="61">
        <f t="shared" si="20"/>
        <v>2</v>
      </c>
      <c r="T93" s="62">
        <f t="shared" si="33"/>
        <v>0</v>
      </c>
      <c r="U93" s="62">
        <f t="shared" si="33"/>
        <v>0</v>
      </c>
      <c r="V93" s="62">
        <f t="shared" si="33"/>
        <v>65.093961923076932</v>
      </c>
      <c r="W93" s="62">
        <f t="shared" si="33"/>
        <v>0</v>
      </c>
      <c r="X93" s="62">
        <f t="shared" si="33"/>
        <v>0</v>
      </c>
      <c r="Y93" s="62">
        <f t="shared" si="33"/>
        <v>0</v>
      </c>
      <c r="Z93" s="62">
        <f t="shared" si="33"/>
        <v>65.093961923076932</v>
      </c>
      <c r="AA93" s="62">
        <f t="shared" si="33"/>
        <v>0</v>
      </c>
      <c r="AB93" s="62">
        <f t="shared" si="33"/>
        <v>0</v>
      </c>
      <c r="AC93" s="62">
        <f t="shared" si="33"/>
        <v>0</v>
      </c>
      <c r="AD93" s="62">
        <f t="shared" si="33"/>
        <v>0</v>
      </c>
      <c r="AE93" s="62">
        <f t="shared" si="33"/>
        <v>0</v>
      </c>
      <c r="AG93" s="361">
        <v>2136038306</v>
      </c>
      <c r="AH93" s="372">
        <v>6</v>
      </c>
      <c r="AI93" s="293">
        <v>1</v>
      </c>
      <c r="AJ93" s="293" t="s">
        <v>114</v>
      </c>
      <c r="AK93" s="2" t="s">
        <v>878</v>
      </c>
      <c r="AL93" s="371">
        <v>46114</v>
      </c>
      <c r="AM93" s="61"/>
      <c r="AO93" s="232"/>
      <c r="AP93" s="237">
        <f t="shared" si="21"/>
        <v>0</v>
      </c>
      <c r="AQ93" s="237"/>
      <c r="AR93" s="237">
        <f t="shared" si="22"/>
        <v>0</v>
      </c>
      <c r="AS93" s="237"/>
      <c r="AT93" s="237">
        <f t="shared" si="23"/>
        <v>0</v>
      </c>
      <c r="AU93" s="237"/>
      <c r="AV93" s="237">
        <f t="shared" si="24"/>
        <v>0</v>
      </c>
      <c r="AW93" s="237"/>
      <c r="AX93" s="237">
        <f t="shared" si="25"/>
        <v>0</v>
      </c>
      <c r="AY93" s="237"/>
      <c r="AZ93" s="237">
        <f t="shared" si="26"/>
        <v>0</v>
      </c>
      <c r="BA93" s="237"/>
      <c r="BB93" s="76">
        <f t="shared" si="27"/>
        <v>0</v>
      </c>
      <c r="BC93" s="237"/>
      <c r="BD93" s="237">
        <f t="shared" si="28"/>
        <v>0</v>
      </c>
      <c r="BE93" s="237"/>
      <c r="BF93" s="237">
        <f t="shared" si="29"/>
        <v>0</v>
      </c>
      <c r="BG93" s="237"/>
      <c r="BH93" s="237">
        <f t="shared" si="30"/>
        <v>0</v>
      </c>
      <c r="BI93" s="237"/>
      <c r="BJ93" s="237">
        <f t="shared" si="31"/>
        <v>0</v>
      </c>
      <c r="BK93" s="237"/>
      <c r="BL93" s="237">
        <f t="shared" si="32"/>
        <v>0</v>
      </c>
    </row>
    <row r="94" spans="1:64" hidden="1">
      <c r="A94" s="61">
        <v>90</v>
      </c>
      <c r="B94" s="65" t="str">
        <f>'[6]NOI TAC 2026'!B96</f>
        <v>R172139</v>
      </c>
      <c r="C94" s="36" t="str">
        <f t="shared" si="19"/>
        <v>XEM</v>
      </c>
      <c r="D94" s="36">
        <f>'[6]NOI TAC 2026'!F96</f>
        <v>2</v>
      </c>
      <c r="E94" s="63">
        <f>'[6]NOI TAC 2026'!AL96</f>
        <v>116.23384000000001</v>
      </c>
      <c r="F94" s="61"/>
      <c r="G94" s="61"/>
      <c r="H94" s="61"/>
      <c r="I94" s="61">
        <v>1</v>
      </c>
      <c r="J94" s="61"/>
      <c r="K94" s="61"/>
      <c r="L94" s="61"/>
      <c r="M94" s="61">
        <v>1</v>
      </c>
      <c r="N94" s="61"/>
      <c r="O94" s="61"/>
      <c r="P94" s="61"/>
      <c r="Q94" s="61"/>
      <c r="R94" s="61">
        <f t="shared" si="20"/>
        <v>2</v>
      </c>
      <c r="T94" s="62">
        <f t="shared" si="33"/>
        <v>0</v>
      </c>
      <c r="U94" s="62">
        <f t="shared" si="33"/>
        <v>0</v>
      </c>
      <c r="V94" s="62">
        <f t="shared" si="33"/>
        <v>0</v>
      </c>
      <c r="W94" s="62">
        <f t="shared" si="33"/>
        <v>116.23384000000001</v>
      </c>
      <c r="X94" s="62">
        <f t="shared" si="33"/>
        <v>0</v>
      </c>
      <c r="Y94" s="62">
        <f t="shared" si="33"/>
        <v>0</v>
      </c>
      <c r="Z94" s="62">
        <f t="shared" si="33"/>
        <v>0</v>
      </c>
      <c r="AA94" s="62">
        <f t="shared" si="33"/>
        <v>116.23384000000001</v>
      </c>
      <c r="AB94" s="62">
        <f t="shared" si="33"/>
        <v>0</v>
      </c>
      <c r="AC94" s="62">
        <f t="shared" si="33"/>
        <v>0</v>
      </c>
      <c r="AD94" s="62">
        <f t="shared" si="33"/>
        <v>0</v>
      </c>
      <c r="AE94" s="62">
        <f t="shared" si="33"/>
        <v>0</v>
      </c>
      <c r="AG94" s="374" t="e">
        <v>#N/A</v>
      </c>
      <c r="AH94" s="293" t="e">
        <v>#N/A</v>
      </c>
      <c r="AI94" s="293" t="e">
        <v>#N/A</v>
      </c>
      <c r="AJ94" s="293" t="e">
        <v>#N/A</v>
      </c>
      <c r="AK94" s="2" t="e">
        <v>#N/A</v>
      </c>
      <c r="AL94" s="293" t="e">
        <v>#N/A</v>
      </c>
      <c r="AM94" s="61"/>
      <c r="AO94" s="232"/>
      <c r="AP94" s="237">
        <f t="shared" si="21"/>
        <v>0</v>
      </c>
      <c r="AQ94" s="237"/>
      <c r="AR94" s="237">
        <f t="shared" si="22"/>
        <v>0</v>
      </c>
      <c r="AS94" s="237"/>
      <c r="AT94" s="237">
        <f t="shared" si="23"/>
        <v>0</v>
      </c>
      <c r="AU94" s="237"/>
      <c r="AV94" s="237">
        <f t="shared" si="24"/>
        <v>0</v>
      </c>
      <c r="AW94" s="237"/>
      <c r="AX94" s="237">
        <f t="shared" si="25"/>
        <v>0</v>
      </c>
      <c r="AY94" s="237"/>
      <c r="AZ94" s="237">
        <f t="shared" si="26"/>
        <v>0</v>
      </c>
      <c r="BA94" s="237"/>
      <c r="BB94" s="76">
        <f t="shared" si="27"/>
        <v>0</v>
      </c>
      <c r="BC94" s="237"/>
      <c r="BD94" s="237">
        <f t="shared" si="28"/>
        <v>0</v>
      </c>
      <c r="BE94" s="237"/>
      <c r="BF94" s="237">
        <f t="shared" si="29"/>
        <v>0</v>
      </c>
      <c r="BG94" s="237"/>
      <c r="BH94" s="237">
        <f t="shared" si="30"/>
        <v>0</v>
      </c>
      <c r="BI94" s="237"/>
      <c r="BJ94" s="237">
        <f t="shared" si="31"/>
        <v>0</v>
      </c>
      <c r="BK94" s="237"/>
      <c r="BL94" s="237">
        <f t="shared" si="32"/>
        <v>0</v>
      </c>
    </row>
    <row r="95" spans="1:64" hidden="1">
      <c r="A95" s="61">
        <v>91</v>
      </c>
      <c r="B95" s="65" t="str">
        <f>'[6]NOI TAC 2026'!B97</f>
        <v>R009208</v>
      </c>
      <c r="C95" s="36" t="str">
        <f t="shared" si="19"/>
        <v>XEM</v>
      </c>
      <c r="D95" s="36">
        <f>'[6]NOI TAC 2026'!F97</f>
        <v>5</v>
      </c>
      <c r="E95" s="63">
        <f>'[6]NOI TAC 2026'!AL97</f>
        <v>118.94159999999999</v>
      </c>
      <c r="F95" s="61"/>
      <c r="G95" s="61"/>
      <c r="H95" s="61"/>
      <c r="I95" s="61"/>
      <c r="J95" s="61">
        <v>2</v>
      </c>
      <c r="K95" s="61"/>
      <c r="L95" s="61"/>
      <c r="M95" s="61"/>
      <c r="N95" s="61">
        <v>2</v>
      </c>
      <c r="O95" s="61"/>
      <c r="P95" s="61">
        <v>1</v>
      </c>
      <c r="Q95" s="61"/>
      <c r="R95" s="61">
        <f t="shared" si="20"/>
        <v>5</v>
      </c>
      <c r="T95" s="62">
        <f t="shared" si="33"/>
        <v>0</v>
      </c>
      <c r="U95" s="62">
        <f t="shared" si="33"/>
        <v>0</v>
      </c>
      <c r="V95" s="62">
        <f t="shared" si="33"/>
        <v>0</v>
      </c>
      <c r="W95" s="62">
        <f t="shared" si="33"/>
        <v>0</v>
      </c>
      <c r="X95" s="62">
        <f t="shared" si="33"/>
        <v>237.88319999999999</v>
      </c>
      <c r="Y95" s="62">
        <f t="shared" si="33"/>
        <v>0</v>
      </c>
      <c r="Z95" s="62">
        <f t="shared" si="33"/>
        <v>0</v>
      </c>
      <c r="AA95" s="62">
        <f t="shared" si="33"/>
        <v>0</v>
      </c>
      <c r="AB95" s="62">
        <f t="shared" si="33"/>
        <v>237.88319999999999</v>
      </c>
      <c r="AC95" s="62">
        <f t="shared" si="33"/>
        <v>0</v>
      </c>
      <c r="AD95" s="62">
        <f t="shared" si="33"/>
        <v>118.94159999999999</v>
      </c>
      <c r="AE95" s="62">
        <f t="shared" si="33"/>
        <v>0</v>
      </c>
      <c r="AG95" s="2" t="e">
        <v>#N/A</v>
      </c>
      <c r="AH95" s="293" t="e">
        <v>#N/A</v>
      </c>
      <c r="AI95" s="293" t="e">
        <v>#N/A</v>
      </c>
      <c r="AJ95" s="293" t="e">
        <v>#N/A</v>
      </c>
      <c r="AK95" s="2" t="e">
        <v>#N/A</v>
      </c>
      <c r="AL95" s="293" t="e">
        <v>#N/A</v>
      </c>
      <c r="AM95" s="61"/>
      <c r="AO95" s="232"/>
      <c r="AP95" s="237">
        <f t="shared" si="21"/>
        <v>0</v>
      </c>
      <c r="AQ95" s="237"/>
      <c r="AR95" s="237">
        <f t="shared" si="22"/>
        <v>0</v>
      </c>
      <c r="AS95" s="237"/>
      <c r="AT95" s="237">
        <f t="shared" si="23"/>
        <v>0</v>
      </c>
      <c r="AU95" s="237"/>
      <c r="AV95" s="237">
        <f t="shared" si="24"/>
        <v>0</v>
      </c>
      <c r="AW95" s="237"/>
      <c r="AX95" s="237">
        <f t="shared" si="25"/>
        <v>0</v>
      </c>
      <c r="AY95" s="237"/>
      <c r="AZ95" s="237">
        <f t="shared" si="26"/>
        <v>0</v>
      </c>
      <c r="BA95" s="237"/>
      <c r="BB95" s="76">
        <f t="shared" si="27"/>
        <v>0</v>
      </c>
      <c r="BC95" s="237"/>
      <c r="BD95" s="237">
        <f t="shared" si="28"/>
        <v>0</v>
      </c>
      <c r="BE95" s="237"/>
      <c r="BF95" s="237">
        <f t="shared" si="29"/>
        <v>0</v>
      </c>
      <c r="BG95" s="237"/>
      <c r="BH95" s="237">
        <f t="shared" si="30"/>
        <v>0</v>
      </c>
      <c r="BI95" s="237"/>
      <c r="BJ95" s="237">
        <f t="shared" si="31"/>
        <v>0</v>
      </c>
      <c r="BK95" s="237"/>
      <c r="BL95" s="237">
        <f t="shared" si="32"/>
        <v>0</v>
      </c>
    </row>
    <row r="96" spans="1:64" hidden="1">
      <c r="A96" s="61">
        <v>92</v>
      </c>
      <c r="B96" s="65" t="str">
        <f>'[6]NOI TAC 2026'!B98</f>
        <v>S015137</v>
      </c>
      <c r="C96" s="36" t="str">
        <f t="shared" si="19"/>
        <v>XEM</v>
      </c>
      <c r="D96" s="36">
        <f>'[6]NOI TAC 2026'!F98</f>
        <v>2</v>
      </c>
      <c r="E96" s="63">
        <f>'[6]NOI TAC 2026'!AL98</f>
        <v>117.71199999999999</v>
      </c>
      <c r="F96" s="61"/>
      <c r="G96" s="61"/>
      <c r="H96" s="61">
        <v>1</v>
      </c>
      <c r="I96" s="61"/>
      <c r="J96" s="61"/>
      <c r="K96" s="61"/>
      <c r="L96" s="61">
        <v>1</v>
      </c>
      <c r="M96" s="61"/>
      <c r="N96" s="61"/>
      <c r="O96" s="61"/>
      <c r="P96" s="61"/>
      <c r="Q96" s="61"/>
      <c r="R96" s="61">
        <f t="shared" si="20"/>
        <v>2</v>
      </c>
      <c r="T96" s="62">
        <f t="shared" si="33"/>
        <v>0</v>
      </c>
      <c r="U96" s="62">
        <f t="shared" si="33"/>
        <v>0</v>
      </c>
      <c r="V96" s="62">
        <f t="shared" si="33"/>
        <v>117.71199999999999</v>
      </c>
      <c r="W96" s="62">
        <f t="shared" si="33"/>
        <v>0</v>
      </c>
      <c r="X96" s="62">
        <f t="shared" si="33"/>
        <v>0</v>
      </c>
      <c r="Y96" s="62">
        <f t="shared" si="33"/>
        <v>0</v>
      </c>
      <c r="Z96" s="62">
        <f t="shared" si="33"/>
        <v>117.71199999999999</v>
      </c>
      <c r="AA96" s="62">
        <f t="shared" si="33"/>
        <v>0</v>
      </c>
      <c r="AB96" s="62">
        <f t="shared" si="33"/>
        <v>0</v>
      </c>
      <c r="AC96" s="62">
        <f t="shared" si="33"/>
        <v>0</v>
      </c>
      <c r="AD96" s="62">
        <f t="shared" si="33"/>
        <v>0</v>
      </c>
      <c r="AE96" s="62">
        <f t="shared" si="33"/>
        <v>0</v>
      </c>
      <c r="AG96" s="2" t="e">
        <v>#N/A</v>
      </c>
      <c r="AH96" s="293" t="e">
        <v>#N/A</v>
      </c>
      <c r="AI96" s="293" t="e">
        <v>#N/A</v>
      </c>
      <c r="AJ96" s="293" t="e">
        <v>#N/A</v>
      </c>
      <c r="AK96" s="2" t="e">
        <v>#N/A</v>
      </c>
      <c r="AL96" s="293" t="e">
        <v>#N/A</v>
      </c>
      <c r="AM96" s="61"/>
      <c r="AO96" s="232"/>
      <c r="AP96" s="237">
        <f t="shared" si="21"/>
        <v>0</v>
      </c>
      <c r="AQ96" s="237"/>
      <c r="AR96" s="237">
        <f t="shared" si="22"/>
        <v>0</v>
      </c>
      <c r="AS96" s="237"/>
      <c r="AT96" s="237">
        <f t="shared" si="23"/>
        <v>0</v>
      </c>
      <c r="AU96" s="237"/>
      <c r="AV96" s="237">
        <f t="shared" si="24"/>
        <v>0</v>
      </c>
      <c r="AW96" s="237"/>
      <c r="AX96" s="237">
        <f t="shared" si="25"/>
        <v>0</v>
      </c>
      <c r="AY96" s="237"/>
      <c r="AZ96" s="237">
        <f t="shared" si="26"/>
        <v>0</v>
      </c>
      <c r="BA96" s="237"/>
      <c r="BB96" s="76">
        <f t="shared" si="27"/>
        <v>0</v>
      </c>
      <c r="BC96" s="237"/>
      <c r="BD96" s="237">
        <f t="shared" si="28"/>
        <v>0</v>
      </c>
      <c r="BE96" s="237"/>
      <c r="BF96" s="237">
        <f t="shared" si="29"/>
        <v>0</v>
      </c>
      <c r="BG96" s="237"/>
      <c r="BH96" s="237">
        <f t="shared" si="30"/>
        <v>0</v>
      </c>
      <c r="BI96" s="237"/>
      <c r="BJ96" s="237">
        <f t="shared" si="31"/>
        <v>0</v>
      </c>
      <c r="BK96" s="237"/>
      <c r="BL96" s="237">
        <f t="shared" si="32"/>
        <v>0</v>
      </c>
    </row>
    <row r="97" spans="1:64" hidden="1">
      <c r="A97" s="61">
        <v>93</v>
      </c>
      <c r="B97" s="65" t="str">
        <f>'[6]NOI TAC 2026'!B99</f>
        <v>R030339</v>
      </c>
      <c r="C97" s="36" t="str">
        <f t="shared" si="19"/>
        <v>XEM</v>
      </c>
      <c r="D97" s="36">
        <f>'[6]NOI TAC 2026'!F99</f>
        <v>4</v>
      </c>
      <c r="E97" s="63">
        <f>'[6]NOI TAC 2026'!AL99</f>
        <v>100.08620000000001</v>
      </c>
      <c r="F97" s="61"/>
      <c r="G97" s="61"/>
      <c r="H97" s="61">
        <v>1</v>
      </c>
      <c r="I97" s="61"/>
      <c r="J97" s="61">
        <v>1</v>
      </c>
      <c r="K97" s="61"/>
      <c r="L97" s="61"/>
      <c r="M97" s="61">
        <v>1</v>
      </c>
      <c r="N97" s="61"/>
      <c r="O97" s="61"/>
      <c r="P97" s="61">
        <v>1</v>
      </c>
      <c r="Q97" s="61"/>
      <c r="R97" s="61">
        <f t="shared" si="20"/>
        <v>4</v>
      </c>
      <c r="T97" s="62">
        <f t="shared" si="33"/>
        <v>0</v>
      </c>
      <c r="U97" s="62">
        <f t="shared" si="33"/>
        <v>0</v>
      </c>
      <c r="V97" s="62">
        <f t="shared" si="33"/>
        <v>100.08620000000001</v>
      </c>
      <c r="W97" s="62">
        <f t="shared" si="33"/>
        <v>0</v>
      </c>
      <c r="X97" s="62">
        <f t="shared" si="33"/>
        <v>100.08620000000001</v>
      </c>
      <c r="Y97" s="62">
        <f t="shared" si="33"/>
        <v>0</v>
      </c>
      <c r="Z97" s="62">
        <f t="shared" si="33"/>
        <v>0</v>
      </c>
      <c r="AA97" s="62">
        <f t="shared" si="33"/>
        <v>100.08620000000001</v>
      </c>
      <c r="AB97" s="62">
        <f t="shared" si="33"/>
        <v>0</v>
      </c>
      <c r="AC97" s="62">
        <f t="shared" si="33"/>
        <v>0</v>
      </c>
      <c r="AD97" s="62">
        <f t="shared" si="33"/>
        <v>100.08620000000001</v>
      </c>
      <c r="AE97" s="62">
        <f t="shared" si="33"/>
        <v>0</v>
      </c>
      <c r="AG97" s="2" t="e">
        <v>#N/A</v>
      </c>
      <c r="AH97" s="293" t="e">
        <v>#N/A</v>
      </c>
      <c r="AI97" s="293" t="e">
        <v>#N/A</v>
      </c>
      <c r="AJ97" s="293" t="e">
        <v>#N/A</v>
      </c>
      <c r="AK97" s="2" t="e">
        <v>#N/A</v>
      </c>
      <c r="AL97" s="293" t="e">
        <v>#N/A</v>
      </c>
      <c r="AM97" s="61"/>
      <c r="AO97" s="232"/>
      <c r="AP97" s="237">
        <f t="shared" si="21"/>
        <v>0</v>
      </c>
      <c r="AQ97" s="237"/>
      <c r="AR97" s="237">
        <f t="shared" si="22"/>
        <v>0</v>
      </c>
      <c r="AS97" s="237"/>
      <c r="AT97" s="237">
        <f t="shared" si="23"/>
        <v>0</v>
      </c>
      <c r="AU97" s="237"/>
      <c r="AV97" s="237">
        <f t="shared" si="24"/>
        <v>0</v>
      </c>
      <c r="AW97" s="237"/>
      <c r="AX97" s="237">
        <f t="shared" si="25"/>
        <v>0</v>
      </c>
      <c r="AY97" s="237"/>
      <c r="AZ97" s="237">
        <f t="shared" si="26"/>
        <v>0</v>
      </c>
      <c r="BA97" s="237"/>
      <c r="BB97" s="76">
        <f t="shared" si="27"/>
        <v>0</v>
      </c>
      <c r="BC97" s="237"/>
      <c r="BD97" s="237">
        <f t="shared" si="28"/>
        <v>0</v>
      </c>
      <c r="BE97" s="237"/>
      <c r="BF97" s="237">
        <f t="shared" si="29"/>
        <v>0</v>
      </c>
      <c r="BG97" s="237"/>
      <c r="BH97" s="237">
        <f t="shared" si="30"/>
        <v>0</v>
      </c>
      <c r="BI97" s="237"/>
      <c r="BJ97" s="237">
        <f t="shared" si="31"/>
        <v>0</v>
      </c>
      <c r="BK97" s="237"/>
      <c r="BL97" s="237">
        <f t="shared" si="32"/>
        <v>0</v>
      </c>
    </row>
    <row r="98" spans="1:64" hidden="1">
      <c r="A98" s="61">
        <v>94</v>
      </c>
      <c r="B98" s="65" t="str">
        <f>'[6]NOI TAC 2026'!B100</f>
        <v>S100314</v>
      </c>
      <c r="C98" s="36" t="str">
        <f t="shared" si="19"/>
        <v>XEM</v>
      </c>
      <c r="D98" s="36">
        <f>'[6]NOI TAC 2026'!F100</f>
        <v>2</v>
      </c>
      <c r="E98" s="63">
        <f>'[6]NOI TAC 2026'!AL100</f>
        <v>89.041899999999998</v>
      </c>
      <c r="F98" s="61"/>
      <c r="G98" s="61"/>
      <c r="H98" s="61"/>
      <c r="I98" s="61">
        <v>1</v>
      </c>
      <c r="J98" s="61"/>
      <c r="K98" s="61"/>
      <c r="L98" s="61"/>
      <c r="M98" s="61"/>
      <c r="N98" s="61">
        <v>1</v>
      </c>
      <c r="O98" s="61"/>
      <c r="P98" s="61"/>
      <c r="Q98" s="61"/>
      <c r="R98" s="61">
        <f t="shared" si="20"/>
        <v>2</v>
      </c>
      <c r="T98" s="62">
        <f t="shared" si="33"/>
        <v>0</v>
      </c>
      <c r="U98" s="62">
        <f t="shared" si="33"/>
        <v>0</v>
      </c>
      <c r="V98" s="62">
        <f t="shared" si="33"/>
        <v>0</v>
      </c>
      <c r="W98" s="62">
        <f t="shared" si="33"/>
        <v>89.041899999999998</v>
      </c>
      <c r="X98" s="62">
        <f t="shared" si="33"/>
        <v>0</v>
      </c>
      <c r="Y98" s="62">
        <f t="shared" si="33"/>
        <v>0</v>
      </c>
      <c r="Z98" s="62">
        <f t="shared" si="33"/>
        <v>0</v>
      </c>
      <c r="AA98" s="62">
        <f t="shared" si="33"/>
        <v>0</v>
      </c>
      <c r="AB98" s="62">
        <f t="shared" si="33"/>
        <v>89.041899999999998</v>
      </c>
      <c r="AC98" s="62">
        <f t="shared" si="33"/>
        <v>0</v>
      </c>
      <c r="AD98" s="62">
        <f t="shared" si="33"/>
        <v>0</v>
      </c>
      <c r="AE98" s="62">
        <f t="shared" si="33"/>
        <v>0</v>
      </c>
      <c r="AG98" s="373" t="e">
        <v>#N/A</v>
      </c>
      <c r="AH98" s="293" t="e">
        <v>#N/A</v>
      </c>
      <c r="AI98" s="293" t="e">
        <v>#N/A</v>
      </c>
      <c r="AJ98" s="293" t="e">
        <v>#N/A</v>
      </c>
      <c r="AK98" s="2" t="e">
        <v>#N/A</v>
      </c>
      <c r="AL98" s="293" t="e">
        <v>#N/A</v>
      </c>
      <c r="AM98" s="61"/>
      <c r="AO98" s="232"/>
      <c r="AP98" s="237">
        <f t="shared" si="21"/>
        <v>0</v>
      </c>
      <c r="AQ98" s="237"/>
      <c r="AR98" s="237">
        <f t="shared" si="22"/>
        <v>0</v>
      </c>
      <c r="AS98" s="237"/>
      <c r="AT98" s="237">
        <f t="shared" si="23"/>
        <v>0</v>
      </c>
      <c r="AU98" s="237"/>
      <c r="AV98" s="237">
        <f t="shared" si="24"/>
        <v>0</v>
      </c>
      <c r="AW98" s="237"/>
      <c r="AX98" s="237">
        <f t="shared" si="25"/>
        <v>0</v>
      </c>
      <c r="AY98" s="237"/>
      <c r="AZ98" s="237">
        <f t="shared" si="26"/>
        <v>0</v>
      </c>
      <c r="BA98" s="237"/>
      <c r="BB98" s="76">
        <f t="shared" si="27"/>
        <v>0</v>
      </c>
      <c r="BC98" s="237"/>
      <c r="BD98" s="237">
        <f t="shared" si="28"/>
        <v>0</v>
      </c>
      <c r="BE98" s="237"/>
      <c r="BF98" s="237">
        <f t="shared" si="29"/>
        <v>0</v>
      </c>
      <c r="BG98" s="237"/>
      <c r="BH98" s="237">
        <f t="shared" si="30"/>
        <v>0</v>
      </c>
      <c r="BI98" s="237"/>
      <c r="BJ98" s="237">
        <f t="shared" si="31"/>
        <v>0</v>
      </c>
      <c r="BK98" s="237"/>
      <c r="BL98" s="237">
        <f t="shared" si="32"/>
        <v>0</v>
      </c>
    </row>
    <row r="99" spans="1:64" ht="17.25">
      <c r="A99" s="61">
        <v>95</v>
      </c>
      <c r="B99" s="65" t="str">
        <f>'[6]NOI TAC 2026'!B101</f>
        <v>S621125</v>
      </c>
      <c r="C99" s="36" t="str">
        <f t="shared" si="19"/>
        <v>XEM</v>
      </c>
      <c r="D99" s="36">
        <f>'[6]NOI TAC 2026'!F101</f>
        <v>2</v>
      </c>
      <c r="E99" s="63">
        <f>'[6]NOI TAC 2026'!AL101</f>
        <v>57.517700000000005</v>
      </c>
      <c r="F99" s="61"/>
      <c r="G99" s="61"/>
      <c r="H99" s="61"/>
      <c r="I99" s="61"/>
      <c r="J99" s="61">
        <v>1</v>
      </c>
      <c r="K99" s="61"/>
      <c r="L99" s="61"/>
      <c r="M99" s="61"/>
      <c r="N99" s="61"/>
      <c r="O99" s="61">
        <v>1</v>
      </c>
      <c r="P99" s="61"/>
      <c r="Q99" s="61"/>
      <c r="R99" s="61">
        <f t="shared" si="20"/>
        <v>2</v>
      </c>
      <c r="T99" s="62">
        <f t="shared" si="33"/>
        <v>0</v>
      </c>
      <c r="U99" s="62">
        <f t="shared" si="33"/>
        <v>0</v>
      </c>
      <c r="V99" s="62">
        <f t="shared" si="33"/>
        <v>0</v>
      </c>
      <c r="W99" s="62">
        <f t="shared" si="33"/>
        <v>0</v>
      </c>
      <c r="X99" s="62">
        <f t="shared" si="33"/>
        <v>57.517700000000005</v>
      </c>
      <c r="Y99" s="62">
        <f t="shared" si="33"/>
        <v>0</v>
      </c>
      <c r="Z99" s="62">
        <f t="shared" si="33"/>
        <v>0</v>
      </c>
      <c r="AA99" s="62">
        <f t="shared" si="33"/>
        <v>0</v>
      </c>
      <c r="AB99" s="62">
        <f t="shared" si="33"/>
        <v>0</v>
      </c>
      <c r="AC99" s="62">
        <f t="shared" si="33"/>
        <v>57.517700000000005</v>
      </c>
      <c r="AD99" s="62">
        <f t="shared" si="33"/>
        <v>0</v>
      </c>
      <c r="AE99" s="62">
        <f t="shared" si="33"/>
        <v>0</v>
      </c>
      <c r="AG99" s="306" t="s">
        <v>829</v>
      </c>
      <c r="AH99" s="372">
        <v>37</v>
      </c>
      <c r="AI99" s="293">
        <v>1</v>
      </c>
      <c r="AJ99" s="298" t="s">
        <v>97</v>
      </c>
      <c r="AK99" s="2" t="s">
        <v>859</v>
      </c>
      <c r="AL99" s="371">
        <v>46114</v>
      </c>
      <c r="AM99" s="61" t="s">
        <v>613</v>
      </c>
      <c r="AO99" s="232">
        <v>1</v>
      </c>
      <c r="AP99" s="237">
        <f t="shared" si="21"/>
        <v>57.517700000000005</v>
      </c>
      <c r="AQ99" s="237"/>
      <c r="AR99" s="237">
        <f t="shared" si="22"/>
        <v>0</v>
      </c>
      <c r="AS99" s="237"/>
      <c r="AT99" s="237">
        <f t="shared" si="23"/>
        <v>0</v>
      </c>
      <c r="AU99" s="237"/>
      <c r="AV99" s="237">
        <f t="shared" si="24"/>
        <v>0</v>
      </c>
      <c r="AW99" s="237"/>
      <c r="AX99" s="237">
        <f t="shared" si="25"/>
        <v>0</v>
      </c>
      <c r="AY99" s="237"/>
      <c r="AZ99" s="237">
        <f t="shared" si="26"/>
        <v>0</v>
      </c>
      <c r="BA99" s="237"/>
      <c r="BB99" s="76">
        <f t="shared" si="27"/>
        <v>0</v>
      </c>
      <c r="BC99" s="237"/>
      <c r="BD99" s="237">
        <f t="shared" si="28"/>
        <v>0</v>
      </c>
      <c r="BE99" s="237"/>
      <c r="BF99" s="237">
        <f t="shared" si="29"/>
        <v>0</v>
      </c>
      <c r="BG99" s="237"/>
      <c r="BH99" s="237">
        <f t="shared" si="30"/>
        <v>0</v>
      </c>
      <c r="BI99" s="237"/>
      <c r="BJ99" s="237">
        <f t="shared" si="31"/>
        <v>0</v>
      </c>
      <c r="BK99" s="237"/>
      <c r="BL99" s="237">
        <f t="shared" si="32"/>
        <v>0</v>
      </c>
    </row>
    <row r="100" spans="1:64" hidden="1">
      <c r="A100" s="61">
        <v>96</v>
      </c>
      <c r="B100" s="65" t="str">
        <f>'[6]NOI TAC 2026'!B102</f>
        <v>S252742</v>
      </c>
      <c r="C100" s="36" t="str">
        <f t="shared" si="19"/>
        <v>XEM</v>
      </c>
      <c r="D100" s="36">
        <f>'[6]NOI TAC 2026'!F102</f>
        <v>2</v>
      </c>
      <c r="E100" s="63">
        <f>'[6]NOI TAC 2026'!AL102</f>
        <v>89.38176</v>
      </c>
      <c r="F100" s="61"/>
      <c r="G100" s="61"/>
      <c r="H100" s="61"/>
      <c r="I100" s="61"/>
      <c r="J100" s="61"/>
      <c r="K100" s="61">
        <v>1</v>
      </c>
      <c r="L100" s="61"/>
      <c r="M100" s="61"/>
      <c r="N100" s="61"/>
      <c r="O100" s="61"/>
      <c r="P100" s="61">
        <v>1</v>
      </c>
      <c r="Q100" s="61"/>
      <c r="R100" s="61">
        <f t="shared" si="20"/>
        <v>2</v>
      </c>
      <c r="T100" s="62">
        <f t="shared" si="33"/>
        <v>0</v>
      </c>
      <c r="U100" s="62">
        <f t="shared" si="33"/>
        <v>0</v>
      </c>
      <c r="V100" s="62">
        <f t="shared" si="33"/>
        <v>0</v>
      </c>
      <c r="W100" s="62">
        <f t="shared" si="33"/>
        <v>0</v>
      </c>
      <c r="X100" s="62">
        <f t="shared" si="33"/>
        <v>0</v>
      </c>
      <c r="Y100" s="62">
        <f t="shared" si="33"/>
        <v>89.38176</v>
      </c>
      <c r="Z100" s="62">
        <f t="shared" si="33"/>
        <v>0</v>
      </c>
      <c r="AA100" s="62">
        <f t="shared" si="33"/>
        <v>0</v>
      </c>
      <c r="AB100" s="62">
        <f t="shared" si="33"/>
        <v>0</v>
      </c>
      <c r="AC100" s="62">
        <f t="shared" si="33"/>
        <v>0</v>
      </c>
      <c r="AD100" s="62">
        <f t="shared" si="33"/>
        <v>89.38176</v>
      </c>
      <c r="AE100" s="62">
        <f t="shared" si="33"/>
        <v>0</v>
      </c>
      <c r="AG100" s="374" t="e">
        <v>#N/A</v>
      </c>
      <c r="AH100" s="293" t="e">
        <v>#N/A</v>
      </c>
      <c r="AI100" s="293" t="e">
        <v>#N/A</v>
      </c>
      <c r="AJ100" s="293" t="e">
        <v>#N/A</v>
      </c>
      <c r="AK100" s="2" t="e">
        <v>#N/A</v>
      </c>
      <c r="AL100" s="293" t="e">
        <v>#N/A</v>
      </c>
      <c r="AM100" s="61"/>
      <c r="AO100" s="232"/>
      <c r="AP100" s="237">
        <f t="shared" si="21"/>
        <v>0</v>
      </c>
      <c r="AQ100" s="237"/>
      <c r="AR100" s="237">
        <f t="shared" si="22"/>
        <v>0</v>
      </c>
      <c r="AS100" s="237"/>
      <c r="AT100" s="237">
        <f t="shared" si="23"/>
        <v>0</v>
      </c>
      <c r="AU100" s="237"/>
      <c r="AV100" s="237">
        <f t="shared" si="24"/>
        <v>0</v>
      </c>
      <c r="AW100" s="237"/>
      <c r="AX100" s="237">
        <f t="shared" si="25"/>
        <v>0</v>
      </c>
      <c r="AY100" s="237"/>
      <c r="AZ100" s="237">
        <f t="shared" si="26"/>
        <v>0</v>
      </c>
      <c r="BA100" s="237"/>
      <c r="BB100" s="76">
        <f t="shared" si="27"/>
        <v>0</v>
      </c>
      <c r="BC100" s="237"/>
      <c r="BD100" s="237">
        <f t="shared" si="28"/>
        <v>0</v>
      </c>
      <c r="BE100" s="237"/>
      <c r="BF100" s="237">
        <f t="shared" si="29"/>
        <v>0</v>
      </c>
      <c r="BG100" s="237"/>
      <c r="BH100" s="237">
        <f t="shared" si="30"/>
        <v>0</v>
      </c>
      <c r="BI100" s="237"/>
      <c r="BJ100" s="237">
        <f t="shared" si="31"/>
        <v>0</v>
      </c>
      <c r="BK100" s="237"/>
      <c r="BL100" s="237">
        <f t="shared" si="32"/>
        <v>0</v>
      </c>
    </row>
    <row r="101" spans="1:64" hidden="1">
      <c r="A101" s="61">
        <v>97</v>
      </c>
      <c r="B101" s="65" t="str">
        <f>'[6]NOI TAC 2026'!B103</f>
        <v>S868063</v>
      </c>
      <c r="C101" s="36" t="str">
        <f t="shared" si="19"/>
        <v>XEM</v>
      </c>
      <c r="D101" s="36">
        <f>'[6]NOI TAC 2026'!F103</f>
        <v>2</v>
      </c>
      <c r="E101" s="63">
        <f>'[6]NOI TAC 2026'!AL103</f>
        <v>86.812559999999991</v>
      </c>
      <c r="F101" s="61"/>
      <c r="G101" s="61"/>
      <c r="H101" s="61"/>
      <c r="I101" s="61">
        <v>1</v>
      </c>
      <c r="J101" s="61"/>
      <c r="K101" s="61"/>
      <c r="L101" s="61"/>
      <c r="M101" s="61"/>
      <c r="N101" s="61">
        <v>1</v>
      </c>
      <c r="O101" s="61"/>
      <c r="P101" s="61"/>
      <c r="Q101" s="61"/>
      <c r="R101" s="61">
        <f t="shared" si="20"/>
        <v>2</v>
      </c>
      <c r="T101" s="62">
        <f t="shared" si="33"/>
        <v>0</v>
      </c>
      <c r="U101" s="62">
        <f t="shared" si="33"/>
        <v>0</v>
      </c>
      <c r="V101" s="62">
        <f t="shared" si="33"/>
        <v>0</v>
      </c>
      <c r="W101" s="62">
        <f t="shared" si="33"/>
        <v>86.812559999999991</v>
      </c>
      <c r="X101" s="62">
        <f t="shared" si="33"/>
        <v>0</v>
      </c>
      <c r="Y101" s="62">
        <f t="shared" si="33"/>
        <v>0</v>
      </c>
      <c r="Z101" s="62">
        <f t="shared" si="33"/>
        <v>0</v>
      </c>
      <c r="AA101" s="62">
        <f t="shared" si="33"/>
        <v>0</v>
      </c>
      <c r="AB101" s="62">
        <f t="shared" si="33"/>
        <v>86.812559999999991</v>
      </c>
      <c r="AC101" s="62">
        <f t="shared" si="33"/>
        <v>0</v>
      </c>
      <c r="AD101" s="62">
        <f t="shared" si="33"/>
        <v>0</v>
      </c>
      <c r="AE101" s="62">
        <f t="shared" si="33"/>
        <v>0</v>
      </c>
      <c r="AG101" s="2" t="e">
        <v>#N/A</v>
      </c>
      <c r="AH101" s="293" t="e">
        <v>#N/A</v>
      </c>
      <c r="AI101" s="293" t="e">
        <v>#N/A</v>
      </c>
      <c r="AJ101" s="293" t="e">
        <v>#N/A</v>
      </c>
      <c r="AK101" s="2" t="e">
        <v>#N/A</v>
      </c>
      <c r="AL101" s="293" t="e">
        <v>#N/A</v>
      </c>
      <c r="AM101" s="61"/>
      <c r="AO101" s="232"/>
      <c r="AP101" s="237">
        <f t="shared" si="21"/>
        <v>0</v>
      </c>
      <c r="AQ101" s="237"/>
      <c r="AR101" s="237">
        <f t="shared" si="22"/>
        <v>0</v>
      </c>
      <c r="AS101" s="237"/>
      <c r="AT101" s="237">
        <f t="shared" si="23"/>
        <v>0</v>
      </c>
      <c r="AU101" s="237"/>
      <c r="AV101" s="237">
        <f t="shared" si="24"/>
        <v>0</v>
      </c>
      <c r="AW101" s="237"/>
      <c r="AX101" s="237">
        <f t="shared" si="25"/>
        <v>0</v>
      </c>
      <c r="AY101" s="237"/>
      <c r="AZ101" s="237">
        <f t="shared" si="26"/>
        <v>0</v>
      </c>
      <c r="BA101" s="237"/>
      <c r="BB101" s="76">
        <f t="shared" si="27"/>
        <v>0</v>
      </c>
      <c r="BC101" s="237"/>
      <c r="BD101" s="237">
        <f t="shared" si="28"/>
        <v>0</v>
      </c>
      <c r="BE101" s="237"/>
      <c r="BF101" s="237">
        <f t="shared" si="29"/>
        <v>0</v>
      </c>
      <c r="BG101" s="237"/>
      <c r="BH101" s="237">
        <f t="shared" si="30"/>
        <v>0</v>
      </c>
      <c r="BI101" s="237"/>
      <c r="BJ101" s="237">
        <f t="shared" si="31"/>
        <v>0</v>
      </c>
      <c r="BK101" s="237"/>
      <c r="BL101" s="237">
        <f t="shared" si="32"/>
        <v>0</v>
      </c>
    </row>
    <row r="102" spans="1:64" hidden="1">
      <c r="A102" s="61">
        <v>98</v>
      </c>
      <c r="B102" s="65" t="str">
        <f>'[6]NOI TAC 2026'!B104</f>
        <v>S064670</v>
      </c>
      <c r="C102" s="36" t="str">
        <f t="shared" si="19"/>
        <v>XEM</v>
      </c>
      <c r="D102" s="36">
        <f>'[6]NOI TAC 2026'!F104</f>
        <v>2</v>
      </c>
      <c r="E102" s="63">
        <f>'[6]NOI TAC 2026'!AL104</f>
        <v>60.610999999999997</v>
      </c>
      <c r="F102" s="61"/>
      <c r="G102" s="61"/>
      <c r="H102" s="61">
        <v>1</v>
      </c>
      <c r="I102" s="61"/>
      <c r="J102" s="61"/>
      <c r="K102" s="61"/>
      <c r="L102" s="61"/>
      <c r="M102" s="61"/>
      <c r="N102" s="61"/>
      <c r="O102" s="61">
        <v>1</v>
      </c>
      <c r="P102" s="61"/>
      <c r="Q102" s="61"/>
      <c r="R102" s="61">
        <f t="shared" si="20"/>
        <v>2</v>
      </c>
      <c r="T102" s="62">
        <f t="shared" si="33"/>
        <v>0</v>
      </c>
      <c r="U102" s="62">
        <f t="shared" si="33"/>
        <v>0</v>
      </c>
      <c r="V102" s="62">
        <f t="shared" si="33"/>
        <v>60.610999999999997</v>
      </c>
      <c r="W102" s="62">
        <f t="shared" si="33"/>
        <v>0</v>
      </c>
      <c r="X102" s="62">
        <f t="shared" si="33"/>
        <v>0</v>
      </c>
      <c r="Y102" s="62">
        <f t="shared" si="33"/>
        <v>0</v>
      </c>
      <c r="Z102" s="62">
        <f t="shared" si="33"/>
        <v>0</v>
      </c>
      <c r="AA102" s="62">
        <f t="shared" si="33"/>
        <v>0</v>
      </c>
      <c r="AB102" s="62">
        <f t="shared" si="33"/>
        <v>0</v>
      </c>
      <c r="AC102" s="62">
        <f t="shared" si="33"/>
        <v>60.610999999999997</v>
      </c>
      <c r="AD102" s="62">
        <f t="shared" si="33"/>
        <v>0</v>
      </c>
      <c r="AE102" s="62">
        <f t="shared" si="33"/>
        <v>0</v>
      </c>
      <c r="AG102" s="2" t="e">
        <v>#N/A</v>
      </c>
      <c r="AH102" s="293" t="e">
        <v>#N/A</v>
      </c>
      <c r="AI102" s="293" t="e">
        <v>#N/A</v>
      </c>
      <c r="AJ102" s="293" t="e">
        <v>#N/A</v>
      </c>
      <c r="AK102" s="2" t="e">
        <v>#N/A</v>
      </c>
      <c r="AL102" s="293" t="e">
        <v>#N/A</v>
      </c>
      <c r="AM102" s="61"/>
      <c r="AO102" s="232"/>
      <c r="AP102" s="237">
        <f t="shared" si="21"/>
        <v>0</v>
      </c>
      <c r="AQ102" s="237"/>
      <c r="AR102" s="237">
        <f t="shared" si="22"/>
        <v>0</v>
      </c>
      <c r="AS102" s="237"/>
      <c r="AT102" s="237">
        <f t="shared" si="23"/>
        <v>0</v>
      </c>
      <c r="AU102" s="237"/>
      <c r="AV102" s="237">
        <f t="shared" si="24"/>
        <v>0</v>
      </c>
      <c r="AW102" s="237"/>
      <c r="AX102" s="237">
        <f t="shared" si="25"/>
        <v>0</v>
      </c>
      <c r="AY102" s="237"/>
      <c r="AZ102" s="237">
        <f t="shared" si="26"/>
        <v>0</v>
      </c>
      <c r="BA102" s="237"/>
      <c r="BB102" s="76">
        <f t="shared" si="27"/>
        <v>0</v>
      </c>
      <c r="BC102" s="237"/>
      <c r="BD102" s="237">
        <f t="shared" si="28"/>
        <v>0</v>
      </c>
      <c r="BE102" s="237"/>
      <c r="BF102" s="237">
        <f t="shared" si="29"/>
        <v>0</v>
      </c>
      <c r="BG102" s="237"/>
      <c r="BH102" s="237">
        <f t="shared" si="30"/>
        <v>0</v>
      </c>
      <c r="BI102" s="237"/>
      <c r="BJ102" s="237">
        <f t="shared" si="31"/>
        <v>0</v>
      </c>
      <c r="BK102" s="237"/>
      <c r="BL102" s="237">
        <f t="shared" si="32"/>
        <v>0</v>
      </c>
    </row>
    <row r="103" spans="1:64">
      <c r="B103" s="243"/>
      <c r="D103" s="57">
        <f>SUM(D5:D102)</f>
        <v>230</v>
      </c>
      <c r="F103" s="56">
        <f t="shared" ref="F103:R103" si="34">SUM(F5:F102)</f>
        <v>13</v>
      </c>
      <c r="G103" s="56">
        <f t="shared" si="34"/>
        <v>5</v>
      </c>
      <c r="H103" s="56">
        <f t="shared" si="34"/>
        <v>29</v>
      </c>
      <c r="I103" s="56">
        <f t="shared" si="34"/>
        <v>26</v>
      </c>
      <c r="J103" s="56">
        <f t="shared" si="34"/>
        <v>24</v>
      </c>
      <c r="K103" s="56">
        <f t="shared" si="34"/>
        <v>19</v>
      </c>
      <c r="L103" s="56">
        <f t="shared" si="34"/>
        <v>16</v>
      </c>
      <c r="M103" s="56">
        <f t="shared" si="34"/>
        <v>22</v>
      </c>
      <c r="N103" s="56">
        <f t="shared" si="34"/>
        <v>21</v>
      </c>
      <c r="O103" s="56">
        <f t="shared" si="34"/>
        <v>16</v>
      </c>
      <c r="P103" s="56">
        <f t="shared" si="34"/>
        <v>18</v>
      </c>
      <c r="Q103" s="56">
        <f t="shared" si="34"/>
        <v>21</v>
      </c>
      <c r="R103" s="56">
        <f t="shared" si="34"/>
        <v>230</v>
      </c>
      <c r="T103" s="60">
        <f>SUM(T5:T102)</f>
        <v>2672.053560317725</v>
      </c>
      <c r="U103" s="60">
        <f t="shared" ref="U103" si="35">SUM(U5:U102)</f>
        <v>1059.4515394983275</v>
      </c>
      <c r="V103" s="60">
        <f t="shared" ref="V103" si="36">SUM(V5:V102)</f>
        <v>5112.2572113667566</v>
      </c>
      <c r="W103" s="60">
        <f t="shared" ref="W103" si="37">SUM(W5:W102)</f>
        <v>5704.2514873780647</v>
      </c>
      <c r="X103" s="60">
        <f t="shared" ref="X103" si="38">SUM(X5:X102)</f>
        <v>5290.2889301282048</v>
      </c>
      <c r="Y103" s="60">
        <f t="shared" ref="Y103" si="39">SUM(Y5:Y102)</f>
        <v>4861.0405811538467</v>
      </c>
      <c r="Z103" s="60">
        <f t="shared" ref="Z103" si="40">SUM(Z5:Z102)</f>
        <v>4974.0658170512816</v>
      </c>
      <c r="AA103" s="60">
        <f t="shared" ref="AA103" si="41">SUM(AA5:AA102)</f>
        <v>5093.9639462820505</v>
      </c>
      <c r="AB103" s="60">
        <f t="shared" ref="AB103" si="42">SUM(AB5:AB102)</f>
        <v>4919.0194553846159</v>
      </c>
      <c r="AC103" s="60">
        <f t="shared" ref="AC103" si="43">SUM(AC5:AC102)</f>
        <v>3764.9520432755012</v>
      </c>
      <c r="AD103" s="60">
        <f t="shared" ref="AD103" si="44">SUM(AD5:AD102)</f>
        <v>3725.9139020735793</v>
      </c>
      <c r="AE103" s="60">
        <f t="shared" ref="AE103" si="45">SUM(AE5:AE102)</f>
        <v>3845.5032943589745</v>
      </c>
      <c r="AF103" s="194">
        <f>SUM(T103:AE103)</f>
        <v>51022.761768268931</v>
      </c>
      <c r="AP103" s="301">
        <f>SUM(AP5:AP102)</f>
        <v>1339.5425</v>
      </c>
      <c r="AQ103" s="244"/>
      <c r="AR103" s="244">
        <f t="shared" ref="AR103:BL103" si="46">SUM(AR5:AR102)</f>
        <v>0</v>
      </c>
      <c r="AS103" s="244"/>
      <c r="AT103" s="244">
        <f t="shared" si="46"/>
        <v>427.34159999999997</v>
      </c>
      <c r="AU103" s="244"/>
      <c r="AV103" s="244">
        <f t="shared" si="46"/>
        <v>0</v>
      </c>
      <c r="AW103" s="244"/>
      <c r="AX103" s="244">
        <f t="shared" si="46"/>
        <v>0</v>
      </c>
      <c r="AY103" s="244"/>
      <c r="AZ103" s="244">
        <f t="shared" si="46"/>
        <v>0</v>
      </c>
      <c r="BA103" s="244"/>
      <c r="BB103" s="244">
        <f t="shared" si="46"/>
        <v>0</v>
      </c>
      <c r="BC103" s="244"/>
      <c r="BD103" s="244">
        <f t="shared" si="46"/>
        <v>0</v>
      </c>
      <c r="BE103" s="244"/>
      <c r="BF103" s="244">
        <f t="shared" si="46"/>
        <v>0</v>
      </c>
      <c r="BG103" s="244"/>
      <c r="BH103" s="244">
        <f t="shared" si="46"/>
        <v>0</v>
      </c>
      <c r="BI103" s="244"/>
      <c r="BJ103" s="244">
        <f t="shared" si="46"/>
        <v>0</v>
      </c>
      <c r="BK103" s="244"/>
      <c r="BL103" s="244">
        <f t="shared" si="46"/>
        <v>0</v>
      </c>
    </row>
    <row r="104" spans="1:64">
      <c r="B104" s="245"/>
      <c r="T104" s="207">
        <f>T103*26000/1000000</f>
        <v>69.473392568260849</v>
      </c>
      <c r="U104" s="207">
        <f t="shared" ref="U104:AF104" si="47">U103*26000/1000000</f>
        <v>27.545740026956516</v>
      </c>
      <c r="V104" s="207">
        <f t="shared" si="47"/>
        <v>132.91868749553566</v>
      </c>
      <c r="W104" s="207">
        <f t="shared" si="47"/>
        <v>148.31053867182968</v>
      </c>
      <c r="X104" s="207">
        <f t="shared" si="47"/>
        <v>137.54751218333334</v>
      </c>
      <c r="Y104" s="207">
        <f t="shared" si="47"/>
        <v>126.38705511000002</v>
      </c>
      <c r="Z104" s="207">
        <f t="shared" si="47"/>
        <v>129.32571124333333</v>
      </c>
      <c r="AA104" s="207">
        <f t="shared" si="47"/>
        <v>132.44306260333332</v>
      </c>
      <c r="AB104" s="207">
        <f t="shared" si="47"/>
        <v>127.89450584000002</v>
      </c>
      <c r="AC104" s="207">
        <f t="shared" si="47"/>
        <v>97.888753125163035</v>
      </c>
      <c r="AD104" s="207">
        <f t="shared" si="47"/>
        <v>96.873761453913062</v>
      </c>
      <c r="AE104" s="207">
        <f t="shared" si="47"/>
        <v>99.983085653333333</v>
      </c>
      <c r="AF104" s="207">
        <f t="shared" si="47"/>
        <v>1326.5918059749922</v>
      </c>
      <c r="AP104" s="300">
        <f>AP103*26000/1000000</f>
        <v>34.828105000000001</v>
      </c>
      <c r="AQ104" s="300"/>
      <c r="AR104" s="300">
        <f t="shared" ref="AR104:BL104" si="48">AR103*26000/1000000</f>
        <v>0</v>
      </c>
      <c r="AS104" s="300"/>
      <c r="AT104" s="300">
        <f t="shared" si="48"/>
        <v>11.110881599999999</v>
      </c>
      <c r="AU104" s="300"/>
      <c r="AV104" s="300">
        <f t="shared" si="48"/>
        <v>0</v>
      </c>
      <c r="AW104" s="300"/>
      <c r="AX104" s="300">
        <f t="shared" si="48"/>
        <v>0</v>
      </c>
      <c r="AY104" s="300"/>
      <c r="AZ104" s="300">
        <f t="shared" si="48"/>
        <v>0</v>
      </c>
      <c r="BA104" s="300"/>
      <c r="BB104" s="300">
        <f t="shared" si="48"/>
        <v>0</v>
      </c>
      <c r="BC104" s="300"/>
      <c r="BD104" s="300">
        <f t="shared" si="48"/>
        <v>0</v>
      </c>
      <c r="BE104" s="300"/>
      <c r="BF104" s="300">
        <f t="shared" si="48"/>
        <v>0</v>
      </c>
      <c r="BG104" s="300"/>
      <c r="BH104" s="300">
        <f t="shared" si="48"/>
        <v>0</v>
      </c>
      <c r="BI104" s="300"/>
      <c r="BJ104" s="300">
        <f t="shared" si="48"/>
        <v>0</v>
      </c>
      <c r="BK104" s="300"/>
      <c r="BL104" s="300">
        <f t="shared" si="48"/>
        <v>0</v>
      </c>
    </row>
    <row r="105" spans="1:64">
      <c r="B105" s="246"/>
      <c r="AP105" s="300"/>
    </row>
    <row r="106" spans="1:64">
      <c r="B106" s="246"/>
    </row>
    <row r="107" spans="1:64">
      <c r="B107" s="246"/>
    </row>
    <row r="108" spans="1:64">
      <c r="B108" s="246"/>
    </row>
    <row r="109" spans="1:64">
      <c r="B109" s="246"/>
    </row>
    <row r="110" spans="1:64">
      <c r="B110" s="246"/>
    </row>
    <row r="111" spans="1:64">
      <c r="B111" s="246"/>
    </row>
    <row r="112" spans="1:64">
      <c r="B112" s="246"/>
    </row>
    <row r="113" spans="2:2">
      <c r="B113" s="246"/>
    </row>
    <row r="114" spans="2:2">
      <c r="B114" s="243"/>
    </row>
    <row r="115" spans="2:2">
      <c r="B115" s="246"/>
    </row>
    <row r="116" spans="2:2">
      <c r="B116" s="245"/>
    </row>
    <row r="117" spans="2:2">
      <c r="B117" s="246"/>
    </row>
    <row r="118" spans="2:2">
      <c r="B118" s="245"/>
    </row>
    <row r="119" spans="2:2">
      <c r="B119" s="247"/>
    </row>
    <row r="120" spans="2:2">
      <c r="B120" s="248"/>
    </row>
    <row r="121" spans="2:2">
      <c r="B121" s="248"/>
    </row>
    <row r="122" spans="2:2">
      <c r="B122" s="248"/>
    </row>
    <row r="123" spans="2:2">
      <c r="B123" s="249"/>
    </row>
    <row r="124" spans="2:2">
      <c r="B124" s="249"/>
    </row>
    <row r="125" spans="2:2">
      <c r="B125" s="249"/>
    </row>
    <row r="126" spans="2:2">
      <c r="B126" s="249"/>
    </row>
    <row r="127" spans="2:2">
      <c r="B127" s="249"/>
    </row>
    <row r="128" spans="2:2">
      <c r="B128" s="250"/>
    </row>
    <row r="129" spans="2:2">
      <c r="B129" s="250"/>
    </row>
    <row r="130" spans="2:2">
      <c r="B130" s="251"/>
    </row>
    <row r="131" spans="2:2">
      <c r="B131" s="250"/>
    </row>
    <row r="132" spans="2:2">
      <c r="B132" s="250"/>
    </row>
    <row r="133" spans="2:2">
      <c r="B133" s="250"/>
    </row>
    <row r="134" spans="2:2">
      <c r="B134" s="252"/>
    </row>
    <row r="135" spans="2:2">
      <c r="B135" s="252"/>
    </row>
    <row r="136" spans="2:2">
      <c r="B136" s="252"/>
    </row>
    <row r="137" spans="2:2">
      <c r="B137" s="252"/>
    </row>
    <row r="138" spans="2:2">
      <c r="B138" s="252"/>
    </row>
    <row r="139" spans="2:2">
      <c r="B139" s="252"/>
    </row>
    <row r="140" spans="2:2">
      <c r="B140" s="252"/>
    </row>
    <row r="141" spans="2:2">
      <c r="B141" s="252"/>
    </row>
    <row r="142" spans="2:2">
      <c r="B142" s="252"/>
    </row>
    <row r="143" spans="2:2">
      <c r="B143" s="252"/>
    </row>
    <row r="144" spans="2:2">
      <c r="B144" s="252"/>
    </row>
    <row r="145" spans="2:2">
      <c r="B145" s="252"/>
    </row>
    <row r="146" spans="2:2">
      <c r="B146" s="252"/>
    </row>
    <row r="147" spans="2:2">
      <c r="B147" s="252"/>
    </row>
    <row r="148" spans="2:2">
      <c r="B148" s="252"/>
    </row>
    <row r="149" spans="2:2">
      <c r="B149" s="252"/>
    </row>
    <row r="150" spans="2:2">
      <c r="B150" s="252"/>
    </row>
    <row r="151" spans="2:2">
      <c r="B151" s="252"/>
    </row>
    <row r="152" spans="2:2">
      <c r="B152" s="252"/>
    </row>
    <row r="153" spans="2:2">
      <c r="B153" s="252"/>
    </row>
    <row r="154" spans="2:2">
      <c r="B154" s="252"/>
    </row>
    <row r="155" spans="2:2">
      <c r="B155" s="252"/>
    </row>
    <row r="156" spans="2:2">
      <c r="B156" s="252"/>
    </row>
    <row r="157" spans="2:2">
      <c r="B157" s="252"/>
    </row>
    <row r="158" spans="2:2">
      <c r="B158" s="253"/>
    </row>
    <row r="159" spans="2:2">
      <c r="B159" s="254"/>
    </row>
    <row r="160" spans="2:2">
      <c r="B160" s="254"/>
    </row>
    <row r="161" spans="2:2">
      <c r="B161" s="254"/>
    </row>
    <row r="162" spans="2:2">
      <c r="B162" s="254"/>
    </row>
    <row r="163" spans="2:2">
      <c r="B163" s="254"/>
    </row>
    <row r="164" spans="2:2">
      <c r="B164" s="255"/>
    </row>
    <row r="165" spans="2:2">
      <c r="B165" s="255"/>
    </row>
    <row r="166" spans="2:2">
      <c r="B166" s="256"/>
    </row>
    <row r="167" spans="2:2">
      <c r="B167" s="256"/>
    </row>
    <row r="168" spans="2:2">
      <c r="B168" s="255"/>
    </row>
    <row r="169" spans="2:2">
      <c r="B169" s="257"/>
    </row>
    <row r="170" spans="2:2">
      <c r="B170" s="258"/>
    </row>
    <row r="171" spans="2:2">
      <c r="B171" s="258"/>
    </row>
    <row r="172" spans="2:2">
      <c r="B172" s="259"/>
    </row>
    <row r="173" spans="2:2">
      <c r="B173" s="260"/>
    </row>
    <row r="174" spans="2:2">
      <c r="B174" s="260"/>
    </row>
    <row r="175" spans="2:2">
      <c r="B175" s="261"/>
    </row>
    <row r="176" spans="2:2">
      <c r="B176" s="260"/>
    </row>
    <row r="177" spans="2:2">
      <c r="B177" s="261"/>
    </row>
    <row r="178" spans="2:2">
      <c r="B178" s="260"/>
    </row>
    <row r="179" spans="2:2">
      <c r="B179" s="260"/>
    </row>
    <row r="180" spans="2:2">
      <c r="B180" s="260"/>
    </row>
    <row r="181" spans="2:2">
      <c r="B181" s="260"/>
    </row>
    <row r="182" spans="2:2">
      <c r="B182" s="260"/>
    </row>
    <row r="183" spans="2:2">
      <c r="B183" s="260"/>
    </row>
    <row r="184" spans="2:2">
      <c r="B184" s="262"/>
    </row>
    <row r="185" spans="2:2">
      <c r="B185" s="263"/>
    </row>
    <row r="186" spans="2:2">
      <c r="B186" s="262"/>
    </row>
    <row r="187" spans="2:2" ht="15.75">
      <c r="B187" s="264"/>
    </row>
    <row r="188" spans="2:2" ht="15.75">
      <c r="B188" s="264"/>
    </row>
    <row r="189" spans="2:2" ht="15.75">
      <c r="B189" s="264"/>
    </row>
    <row r="190" spans="2:2" ht="15.75">
      <c r="B190" s="264"/>
    </row>
    <row r="191" spans="2:2">
      <c r="B191" s="265"/>
    </row>
    <row r="192" spans="2:2">
      <c r="B192" s="265"/>
    </row>
    <row r="193" spans="2:2">
      <c r="B193" s="265"/>
    </row>
    <row r="194" spans="2:2">
      <c r="B194" s="265"/>
    </row>
    <row r="195" spans="2:2">
      <c r="B195" s="265"/>
    </row>
    <row r="196" spans="2:2">
      <c r="B196" s="265"/>
    </row>
    <row r="197" spans="2:2">
      <c r="B197" s="265"/>
    </row>
    <row r="198" spans="2:2">
      <c r="B198" s="265"/>
    </row>
    <row r="199" spans="2:2">
      <c r="B199" s="265"/>
    </row>
    <row r="200" spans="2:2">
      <c r="B200" s="265"/>
    </row>
    <row r="201" spans="2:2">
      <c r="B201" s="265"/>
    </row>
    <row r="202" spans="2:2">
      <c r="B202" s="265"/>
    </row>
    <row r="203" spans="2:2">
      <c r="B203" s="265"/>
    </row>
    <row r="204" spans="2:2">
      <c r="B204" s="265"/>
    </row>
    <row r="205" spans="2:2">
      <c r="B205" s="265"/>
    </row>
    <row r="206" spans="2:2">
      <c r="B206" s="265"/>
    </row>
    <row r="207" spans="2:2">
      <c r="B207" s="265"/>
    </row>
    <row r="208" spans="2:2">
      <c r="B208" s="265"/>
    </row>
    <row r="209" spans="2:2">
      <c r="B209" s="265"/>
    </row>
    <row r="210" spans="2:2">
      <c r="B210" s="265"/>
    </row>
    <row r="211" spans="2:2">
      <c r="B211" s="265"/>
    </row>
    <row r="212" spans="2:2">
      <c r="B212" s="265"/>
    </row>
    <row r="213" spans="2:2">
      <c r="B213" s="265"/>
    </row>
    <row r="214" spans="2:2">
      <c r="B214" s="265"/>
    </row>
    <row r="215" spans="2:2">
      <c r="B215" s="265"/>
    </row>
    <row r="216" spans="2:2">
      <c r="B216" s="265"/>
    </row>
    <row r="217" spans="2:2">
      <c r="B217" s="266"/>
    </row>
  </sheetData>
  <autoFilter ref="A4:AM103" xr:uid="{7402F5F6-75EB-4C85-9BE5-DA45583C9A21}">
    <filterColumn colId="32">
      <filters blank="1">
        <filter val="213602111A"/>
        <filter val="2136038301"/>
        <filter val="2136038302"/>
        <filter val="2136038303"/>
        <filter val="2136038304"/>
        <filter val="2136038305"/>
        <filter val="2136038306"/>
        <filter val="6115110007"/>
      </filters>
    </filterColumn>
  </autoFilter>
  <mergeCells count="54">
    <mergeCell ref="BE3:BF3"/>
    <mergeCell ref="BG3:BH3"/>
    <mergeCell ref="BI3:BJ3"/>
    <mergeCell ref="BK3:BL3"/>
    <mergeCell ref="AS3:AT3"/>
    <mergeCell ref="AU3:AV3"/>
    <mergeCell ref="AW3:AX3"/>
    <mergeCell ref="AY3:AZ3"/>
    <mergeCell ref="BA3:BB3"/>
    <mergeCell ref="BC3:BD3"/>
    <mergeCell ref="K3:K4"/>
    <mergeCell ref="L3:L4"/>
    <mergeCell ref="AQ3:AR3"/>
    <mergeCell ref="AB3:AB4"/>
    <mergeCell ref="AC3:AC4"/>
    <mergeCell ref="AD3:AD4"/>
    <mergeCell ref="AE3:AE4"/>
    <mergeCell ref="AG3:AG4"/>
    <mergeCell ref="AH3:AH4"/>
    <mergeCell ref="AM2:AM4"/>
    <mergeCell ref="AO2:BL2"/>
    <mergeCell ref="AI3:AI4"/>
    <mergeCell ref="AJ3:AJ4"/>
    <mergeCell ref="AK3:AK4"/>
    <mergeCell ref="AL3:AL4"/>
    <mergeCell ref="AO3:AP3"/>
    <mergeCell ref="AA3:AA4"/>
    <mergeCell ref="N3:N4"/>
    <mergeCell ref="O3:O4"/>
    <mergeCell ref="P3:P4"/>
    <mergeCell ref="Q3:Q4"/>
    <mergeCell ref="T3:T4"/>
    <mergeCell ref="U3:U4"/>
    <mergeCell ref="V3:V4"/>
    <mergeCell ref="W3:W4"/>
    <mergeCell ref="X3:X4"/>
    <mergeCell ref="Y3:Y4"/>
    <mergeCell ref="Z3:Z4"/>
    <mergeCell ref="M3:M4"/>
    <mergeCell ref="B1:AL1"/>
    <mergeCell ref="A2:A4"/>
    <mergeCell ref="B2:B4"/>
    <mergeCell ref="C2:C4"/>
    <mergeCell ref="D2:D4"/>
    <mergeCell ref="E2:E4"/>
    <mergeCell ref="F2:Q2"/>
    <mergeCell ref="R2:R4"/>
    <mergeCell ref="T2:AE2"/>
    <mergeCell ref="AG2:AL2"/>
    <mergeCell ref="F3:F4"/>
    <mergeCell ref="G3:G4"/>
    <mergeCell ref="H3:H4"/>
    <mergeCell ref="I3:I4"/>
    <mergeCell ref="J3:J4"/>
  </mergeCells>
  <phoneticPr fontId="24"/>
  <conditionalFormatting sqref="B1:B1048576">
    <cfRule type="duplicateValues" dxfId="92" priority="1"/>
    <cfRule type="duplicateValues" dxfId="91" priority="2"/>
  </conditionalFormatting>
  <conditionalFormatting sqref="B103:B133">
    <cfRule type="duplicateValues" dxfId="90" priority="25"/>
    <cfRule type="duplicateValues" dxfId="89" priority="26"/>
  </conditionalFormatting>
  <conditionalFormatting sqref="B103:B171">
    <cfRule type="duplicateValues" dxfId="88" priority="29"/>
  </conditionalFormatting>
  <conditionalFormatting sqref="B103:B183">
    <cfRule type="duplicateValues" dxfId="87" priority="34"/>
  </conditionalFormatting>
  <conditionalFormatting sqref="B103:B190">
    <cfRule type="duplicateValues" dxfId="86" priority="36"/>
  </conditionalFormatting>
  <conditionalFormatting sqref="B134:B157">
    <cfRule type="duplicateValues" dxfId="85" priority="14"/>
    <cfRule type="duplicateValues" dxfId="84" priority="15"/>
  </conditionalFormatting>
  <conditionalFormatting sqref="B158:B171">
    <cfRule type="duplicateValues" dxfId="83" priority="12"/>
    <cfRule type="duplicateValues" dxfId="82" priority="13"/>
  </conditionalFormatting>
  <conditionalFormatting sqref="B172:B183">
    <cfRule type="duplicateValues" dxfId="81" priority="20"/>
  </conditionalFormatting>
  <conditionalFormatting sqref="B172:B186">
    <cfRule type="expression" dxfId="80" priority="7">
      <formula>COLUMN()=CELL("col")</formula>
    </cfRule>
    <cfRule type="expression" dxfId="79" priority="8">
      <formula>ROW()=CELL("Row")</formula>
    </cfRule>
  </conditionalFormatting>
  <conditionalFormatting sqref="B184:B190">
    <cfRule type="duplicateValues" dxfId="78" priority="5"/>
    <cfRule type="duplicateValues" dxfId="77" priority="6"/>
  </conditionalFormatting>
  <conditionalFormatting sqref="B191:B216">
    <cfRule type="expression" dxfId="76" priority="3">
      <formula>COLUMN()=CELL("col")</formula>
    </cfRule>
    <cfRule type="expression" dxfId="75" priority="4">
      <formula>ROW()=CELL("Row")</formula>
    </cfRule>
  </conditionalFormatting>
  <conditionalFormatting sqref="B217:B1048576 B1:B102">
    <cfRule type="duplicateValues" dxfId="74" priority="16"/>
  </conditionalFormatting>
  <conditionalFormatting sqref="B5:E102 K15:K27 L28:L30 M31:M34 N35:N42 O43:O57 P64:P66 P74:P76">
    <cfRule type="expression" dxfId="73" priority="17">
      <formula>COLUMN()=CELL("col")</formula>
    </cfRule>
    <cfRule type="expression" dxfId="72" priority="18">
      <formula>ROW()=CELL("Row")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B707-EEBC-4DC7-B13B-4214406B6803}">
  <dimension ref="A1:BO120"/>
  <sheetViews>
    <sheetView workbookViewId="0">
      <pane xSplit="3" ySplit="3" topLeftCell="AE28" activePane="bottomRight" state="frozen"/>
      <selection pane="topRight" activeCell="D1" sqref="D1"/>
      <selection pane="bottomLeft" activeCell="A3" sqref="A3"/>
      <selection pane="bottomRight" activeCell="AM31" sqref="AM31"/>
    </sheetView>
  </sheetViews>
  <sheetFormatPr defaultRowHeight="15"/>
  <cols>
    <col min="1" max="1" width="6.140625" style="189" customWidth="1"/>
    <col min="2" max="2" width="7.42578125" style="189" customWidth="1"/>
    <col min="3" max="3" width="9" style="135"/>
    <col min="4" max="15" width="4.28515625" style="135" hidden="1" customWidth="1"/>
    <col min="16" max="16" width="6.140625" style="135" hidden="1" customWidth="1"/>
    <col min="17" max="17" width="8.42578125" style="135" hidden="1" customWidth="1"/>
    <col min="18" max="18" width="3" style="135" hidden="1" customWidth="1"/>
    <col min="19" max="19" width="6.7109375" style="32" hidden="1" customWidth="1"/>
    <col min="20" max="23" width="6.7109375" hidden="1" customWidth="1"/>
    <col min="24" max="24" width="6.7109375" style="135" hidden="1" customWidth="1"/>
    <col min="25" max="30" width="6.7109375" hidden="1" customWidth="1"/>
    <col min="31" max="31" width="10.42578125" customWidth="1"/>
    <col min="32" max="32" width="16.5703125" style="135" customWidth="1"/>
    <col min="36" max="36" width="40.5703125" bestFit="1" customWidth="1"/>
    <col min="37" max="37" width="11.42578125" bestFit="1" customWidth="1"/>
    <col min="40" max="40" width="6" customWidth="1"/>
    <col min="41" max="41" width="12.7109375" bestFit="1" customWidth="1"/>
    <col min="42" max="63" width="6" customWidth="1"/>
  </cols>
  <sheetData>
    <row r="1" spans="1:63" ht="15.75">
      <c r="AN1" s="467" t="s">
        <v>82</v>
      </c>
      <c r="AO1" s="468"/>
      <c r="AP1" s="468"/>
      <c r="AQ1" s="468"/>
      <c r="AR1" s="468"/>
      <c r="AS1" s="468"/>
      <c r="AT1" s="468"/>
      <c r="AU1" s="468"/>
      <c r="AV1" s="468"/>
      <c r="AW1" s="468"/>
      <c r="AX1" s="468"/>
      <c r="AY1" s="468"/>
      <c r="AZ1" s="468"/>
      <c r="BA1" s="468"/>
      <c r="BB1" s="468"/>
      <c r="BC1" s="468"/>
      <c r="BD1" s="468"/>
      <c r="BE1" s="468"/>
      <c r="BF1" s="468"/>
      <c r="BG1" s="468"/>
      <c r="BH1" s="468"/>
      <c r="BI1" s="468"/>
      <c r="BJ1" s="468"/>
      <c r="BK1" s="469"/>
    </row>
    <row r="2" spans="1:63" ht="25.5" customHeight="1">
      <c r="A2" s="470" t="s">
        <v>56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S2" s="471" t="s">
        <v>55</v>
      </c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F2" s="472" t="s">
        <v>54</v>
      </c>
      <c r="AG2" s="473"/>
      <c r="AH2" s="473"/>
      <c r="AI2" s="473"/>
      <c r="AJ2" s="473"/>
      <c r="AK2" s="473"/>
      <c r="AL2" s="473"/>
      <c r="AN2" s="228" t="s">
        <v>71</v>
      </c>
      <c r="AO2" s="229"/>
      <c r="AP2" s="228" t="s">
        <v>70</v>
      </c>
      <c r="AQ2" s="229"/>
      <c r="AR2" s="228" t="s">
        <v>69</v>
      </c>
      <c r="AS2" s="229"/>
      <c r="AT2" s="228" t="s">
        <v>68</v>
      </c>
      <c r="AU2" s="229"/>
      <c r="AV2" s="228" t="s">
        <v>67</v>
      </c>
      <c r="AW2" s="229"/>
      <c r="AX2" s="228" t="s">
        <v>66</v>
      </c>
      <c r="AY2" s="229"/>
      <c r="AZ2" s="228" t="s">
        <v>65</v>
      </c>
      <c r="BA2" s="229"/>
      <c r="BB2" s="228" t="s">
        <v>64</v>
      </c>
      <c r="BC2" s="229"/>
      <c r="BD2" s="228" t="s">
        <v>63</v>
      </c>
      <c r="BE2" s="229"/>
      <c r="BF2" s="228" t="s">
        <v>62</v>
      </c>
      <c r="BG2" s="229"/>
      <c r="BH2" s="228" t="s">
        <v>61</v>
      </c>
      <c r="BI2" s="229"/>
      <c r="BJ2" s="230" t="s">
        <v>60</v>
      </c>
      <c r="BK2" s="231"/>
    </row>
    <row r="3" spans="1:63" s="45" customFormat="1" ht="15" customHeight="1">
      <c r="A3" s="44" t="s">
        <v>53</v>
      </c>
      <c r="B3" s="44" t="s">
        <v>52</v>
      </c>
      <c r="C3" s="44" t="s">
        <v>51</v>
      </c>
      <c r="D3" s="233" t="s">
        <v>18</v>
      </c>
      <c r="E3" s="233" t="s">
        <v>17</v>
      </c>
      <c r="F3" s="233" t="s">
        <v>8</v>
      </c>
      <c r="G3" s="233" t="s">
        <v>16</v>
      </c>
      <c r="H3" s="233" t="s">
        <v>14</v>
      </c>
      <c r="I3" s="233" t="s">
        <v>15</v>
      </c>
      <c r="J3" s="233" t="s">
        <v>13</v>
      </c>
      <c r="K3" s="233" t="s">
        <v>11</v>
      </c>
      <c r="L3" s="233" t="s">
        <v>12</v>
      </c>
      <c r="M3" s="233" t="s">
        <v>10</v>
      </c>
      <c r="N3" s="233" t="s">
        <v>9</v>
      </c>
      <c r="O3" s="233" t="s">
        <v>7</v>
      </c>
      <c r="P3" s="233" t="s">
        <v>50</v>
      </c>
      <c r="Q3" s="233" t="s">
        <v>391</v>
      </c>
      <c r="S3" s="233" t="s">
        <v>18</v>
      </c>
      <c r="T3" s="233" t="s">
        <v>17</v>
      </c>
      <c r="U3" s="233" t="s">
        <v>8</v>
      </c>
      <c r="V3" s="233" t="s">
        <v>16</v>
      </c>
      <c r="W3" s="233" t="s">
        <v>14</v>
      </c>
      <c r="X3" s="233" t="s">
        <v>15</v>
      </c>
      <c r="Y3" s="233" t="s">
        <v>13</v>
      </c>
      <c r="Z3" s="233" t="s">
        <v>11</v>
      </c>
      <c r="AA3" s="233" t="s">
        <v>12</v>
      </c>
      <c r="AB3" s="233" t="s">
        <v>10</v>
      </c>
      <c r="AC3" s="233" t="s">
        <v>9</v>
      </c>
      <c r="AD3" s="233" t="s">
        <v>7</v>
      </c>
      <c r="AF3" s="376" t="s">
        <v>49</v>
      </c>
      <c r="AG3" s="233" t="s">
        <v>4</v>
      </c>
      <c r="AH3" s="233" t="s">
        <v>48</v>
      </c>
      <c r="AI3" s="233" t="s">
        <v>47</v>
      </c>
      <c r="AJ3" s="233" t="s">
        <v>46</v>
      </c>
      <c r="AK3" s="233" t="s">
        <v>45</v>
      </c>
      <c r="AL3" s="46" t="s">
        <v>44</v>
      </c>
      <c r="AN3" s="70" t="s">
        <v>83</v>
      </c>
      <c r="AO3" s="71" t="s">
        <v>84</v>
      </c>
      <c r="AP3" s="70" t="s">
        <v>83</v>
      </c>
      <c r="AQ3" s="71" t="s">
        <v>84</v>
      </c>
      <c r="AR3" s="70" t="s">
        <v>83</v>
      </c>
      <c r="AS3" s="71" t="s">
        <v>84</v>
      </c>
      <c r="AT3" s="70" t="s">
        <v>83</v>
      </c>
      <c r="AU3" s="71" t="s">
        <v>84</v>
      </c>
      <c r="AV3" s="70" t="s">
        <v>83</v>
      </c>
      <c r="AW3" s="71" t="s">
        <v>84</v>
      </c>
      <c r="AX3" s="70" t="s">
        <v>83</v>
      </c>
      <c r="AY3" s="71" t="s">
        <v>84</v>
      </c>
      <c r="AZ3" s="70" t="s">
        <v>83</v>
      </c>
      <c r="BA3" s="71" t="s">
        <v>84</v>
      </c>
      <c r="BB3" s="70" t="s">
        <v>83</v>
      </c>
      <c r="BC3" s="71" t="s">
        <v>84</v>
      </c>
      <c r="BD3" s="70" t="s">
        <v>83</v>
      </c>
      <c r="BE3" s="71" t="s">
        <v>84</v>
      </c>
      <c r="BF3" s="70" t="s">
        <v>83</v>
      </c>
      <c r="BG3" s="72" t="s">
        <v>84</v>
      </c>
      <c r="BH3" s="70" t="s">
        <v>83</v>
      </c>
      <c r="BI3" s="71" t="s">
        <v>84</v>
      </c>
      <c r="BJ3" s="73" t="s">
        <v>83</v>
      </c>
      <c r="BK3" s="74" t="s">
        <v>84</v>
      </c>
    </row>
    <row r="4" spans="1:63" ht="15.75">
      <c r="A4" s="44">
        <v>1</v>
      </c>
      <c r="B4" s="187" t="str">
        <f>'[7]LIST S.NO'!C7</f>
        <v>R067135</v>
      </c>
      <c r="C4" s="39" t="str">
        <f>IF(B4="","",HYPERLINK("\\vdm-fsvr\Cokhi-機工\CONG VIEC CHUNG 2026\★2026年度年次目標設定\5.COSTDOWN 2026\5.MỤC TIÊU 2026\COSTDOWN 2026\PDF\"&amp;B4&amp;".pdf","XEM"))</f>
        <v>XEM</v>
      </c>
      <c r="D4" s="43"/>
      <c r="E4" s="43"/>
      <c r="F4" s="29">
        <v>1</v>
      </c>
      <c r="G4" s="29"/>
      <c r="H4" s="29"/>
      <c r="I4" s="29"/>
      <c r="J4" s="29"/>
      <c r="K4" s="29"/>
      <c r="L4" s="29">
        <v>1</v>
      </c>
      <c r="M4" s="29"/>
      <c r="N4" s="29"/>
      <c r="O4" s="29"/>
      <c r="P4" s="38">
        <f>SUM(D4:O4)</f>
        <v>2</v>
      </c>
      <c r="Q4" s="281">
        <f>'[7]LIST S.NO'!AM7</f>
        <v>1112.041217948718</v>
      </c>
      <c r="S4" s="35">
        <f>$Q4*D4</f>
        <v>0</v>
      </c>
      <c r="T4" s="35">
        <f t="shared" ref="T4:AD19" si="0">$Q4*E4</f>
        <v>0</v>
      </c>
      <c r="U4" s="35">
        <f t="shared" si="0"/>
        <v>1112.041217948718</v>
      </c>
      <c r="V4" s="35">
        <f t="shared" si="0"/>
        <v>0</v>
      </c>
      <c r="W4" s="35">
        <f t="shared" si="0"/>
        <v>0</v>
      </c>
      <c r="X4" s="35">
        <f t="shared" si="0"/>
        <v>0</v>
      </c>
      <c r="Y4" s="35">
        <f t="shared" si="0"/>
        <v>0</v>
      </c>
      <c r="Z4" s="35">
        <f t="shared" si="0"/>
        <v>0</v>
      </c>
      <c r="AA4" s="35">
        <f t="shared" si="0"/>
        <v>1112.041217948718</v>
      </c>
      <c r="AB4" s="35">
        <f t="shared" si="0"/>
        <v>0</v>
      </c>
      <c r="AC4" s="35">
        <f t="shared" si="0"/>
        <v>0</v>
      </c>
      <c r="AD4" s="35">
        <f t="shared" si="0"/>
        <v>0</v>
      </c>
      <c r="AF4" s="381">
        <v>2136038309</v>
      </c>
      <c r="AG4" s="19">
        <v>9</v>
      </c>
      <c r="AH4" s="19">
        <v>1</v>
      </c>
      <c r="AI4" s="19" t="s">
        <v>113</v>
      </c>
      <c r="AJ4" s="19" t="s">
        <v>879</v>
      </c>
      <c r="AK4" s="369">
        <v>46135</v>
      </c>
      <c r="AL4" s="19"/>
      <c r="AN4" s="232"/>
      <c r="AO4" s="232">
        <f>AN4*Q4</f>
        <v>0</v>
      </c>
      <c r="AP4" s="232"/>
      <c r="AQ4" s="232">
        <f>AP4*Q4</f>
        <v>0</v>
      </c>
      <c r="AR4" s="232"/>
      <c r="AS4" s="232">
        <f>AR4*Q4</f>
        <v>0</v>
      </c>
      <c r="AT4" s="232"/>
      <c r="AU4" s="232">
        <f>AT4*Q4</f>
        <v>0</v>
      </c>
      <c r="AV4" s="232"/>
      <c r="AW4" s="232">
        <f>AV4*Q4</f>
        <v>0</v>
      </c>
      <c r="AX4" s="232"/>
      <c r="AY4" s="232">
        <f>AX4*Q4</f>
        <v>0</v>
      </c>
      <c r="AZ4" s="232"/>
      <c r="BA4" s="76">
        <f>AZ4*Q4</f>
        <v>0</v>
      </c>
      <c r="BB4" s="232"/>
      <c r="BC4" s="232">
        <f>BB4*Q4</f>
        <v>0</v>
      </c>
      <c r="BD4" s="232"/>
      <c r="BE4" s="232">
        <f>BD4*Q4</f>
        <v>0</v>
      </c>
      <c r="BF4" s="232"/>
      <c r="BG4" s="232">
        <f>BF4*Q4</f>
        <v>0</v>
      </c>
      <c r="BH4" s="232"/>
      <c r="BI4" s="232">
        <f>BH4*Q4</f>
        <v>0</v>
      </c>
      <c r="BJ4" s="232"/>
      <c r="BK4" s="232">
        <f>BJ4*Q4</f>
        <v>0</v>
      </c>
    </row>
    <row r="5" spans="1:63" ht="19.5" customHeight="1">
      <c r="A5" s="188">
        <v>2</v>
      </c>
      <c r="B5" s="187" t="str">
        <f>'[7]LIST S.NO'!C8</f>
        <v>R062763</v>
      </c>
      <c r="C5" s="39" t="str">
        <f t="shared" ref="C5:C30" si="1">IF(B5="","",HYPERLINK("\\vdm-fsvr\Cokhi-機工\CONG VIEC CHUNG 2026\★2026年度年次目標設定\5.COSTDOWN 2026\5.MỤC TIÊU 2026\COSTDOWN 2026\PDF\"&amp;B5&amp;".pdf","XEM"))</f>
        <v>XEM</v>
      </c>
      <c r="D5" s="43"/>
      <c r="E5" s="43">
        <v>1</v>
      </c>
      <c r="F5" s="29"/>
      <c r="G5" s="29"/>
      <c r="H5" s="29"/>
      <c r="I5" s="29"/>
      <c r="J5" s="29"/>
      <c r="K5" s="29">
        <v>1</v>
      </c>
      <c r="L5" s="29"/>
      <c r="M5" s="29"/>
      <c r="N5" s="29"/>
      <c r="O5" s="29"/>
      <c r="P5" s="38">
        <f t="shared" ref="P5:P30" si="2">SUM(D5:O5)</f>
        <v>2</v>
      </c>
      <c r="Q5" s="281">
        <f>'[7]LIST S.NO'!AM8</f>
        <v>1291.8607403846154</v>
      </c>
      <c r="S5" s="35">
        <f t="shared" ref="S5:AD29" si="3">$Q5*D5</f>
        <v>0</v>
      </c>
      <c r="T5" s="35">
        <f t="shared" si="0"/>
        <v>1291.8607403846154</v>
      </c>
      <c r="U5" s="35">
        <f t="shared" si="0"/>
        <v>0</v>
      </c>
      <c r="V5" s="35">
        <f t="shared" si="0"/>
        <v>0</v>
      </c>
      <c r="W5" s="35">
        <f t="shared" si="0"/>
        <v>0</v>
      </c>
      <c r="X5" s="35">
        <f t="shared" si="0"/>
        <v>0</v>
      </c>
      <c r="Y5" s="35">
        <f t="shared" si="0"/>
        <v>0</v>
      </c>
      <c r="Z5" s="35">
        <f t="shared" si="0"/>
        <v>1291.8607403846154</v>
      </c>
      <c r="AA5" s="35">
        <f t="shared" si="0"/>
        <v>0</v>
      </c>
      <c r="AB5" s="35">
        <f t="shared" si="0"/>
        <v>0</v>
      </c>
      <c r="AC5" s="35">
        <f t="shared" si="0"/>
        <v>0</v>
      </c>
      <c r="AD5" s="35">
        <f t="shared" si="0"/>
        <v>0</v>
      </c>
      <c r="AF5" s="382">
        <v>2136038310</v>
      </c>
      <c r="AG5" s="19">
        <v>10</v>
      </c>
      <c r="AH5" s="19">
        <v>1</v>
      </c>
      <c r="AI5" s="19" t="s">
        <v>95</v>
      </c>
      <c r="AJ5" s="19" t="s">
        <v>860</v>
      </c>
      <c r="AK5" s="369">
        <v>46136</v>
      </c>
      <c r="AL5" s="19"/>
      <c r="AN5" s="232"/>
      <c r="AO5" s="232">
        <f t="shared" ref="AO5:AO30" si="4">AN5*Q5</f>
        <v>0</v>
      </c>
      <c r="AP5" s="232"/>
      <c r="AQ5" s="232">
        <f t="shared" ref="AQ5:AQ30" si="5">AP5*Q5</f>
        <v>0</v>
      </c>
      <c r="AR5" s="232"/>
      <c r="AS5" s="232">
        <f t="shared" ref="AS5:AS30" si="6">AR5*Q5</f>
        <v>0</v>
      </c>
      <c r="AT5" s="232"/>
      <c r="AU5" s="232">
        <f t="shared" ref="AU5:AU29" si="7">AT5*Q5</f>
        <v>0</v>
      </c>
      <c r="AV5" s="232"/>
      <c r="AW5" s="232">
        <f t="shared" ref="AW5:AW30" si="8">AV5*Q5</f>
        <v>0</v>
      </c>
      <c r="AX5" s="232"/>
      <c r="AY5" s="232">
        <f t="shared" ref="AY5:AY30" si="9">AX5*Q5</f>
        <v>0</v>
      </c>
      <c r="AZ5" s="232"/>
      <c r="BA5" s="76">
        <f t="shared" ref="BA5:BA30" si="10">AZ5*Q5</f>
        <v>0</v>
      </c>
      <c r="BB5" s="232"/>
      <c r="BC5" s="232">
        <f t="shared" ref="BC5:BC30" si="11">BB5*Q5</f>
        <v>0</v>
      </c>
      <c r="BD5" s="232"/>
      <c r="BE5" s="232">
        <f t="shared" ref="BE5:BE30" si="12">BD5*Q5</f>
        <v>0</v>
      </c>
      <c r="BF5" s="232"/>
      <c r="BG5" s="232">
        <f t="shared" ref="BG5:BG30" si="13">BF5*Q5</f>
        <v>0</v>
      </c>
      <c r="BH5" s="232"/>
      <c r="BI5" s="232">
        <f t="shared" ref="BI5:BI30" si="14">BH5*Q5</f>
        <v>0</v>
      </c>
      <c r="BJ5" s="232"/>
      <c r="BK5" s="232">
        <f t="shared" ref="BK5:BK30" si="15">BJ5*Q5</f>
        <v>0</v>
      </c>
    </row>
    <row r="6" spans="1:63">
      <c r="A6" s="44">
        <v>3</v>
      </c>
      <c r="B6" s="187" t="str">
        <f>'[7]LIST S.NO'!C9</f>
        <v>S031476</v>
      </c>
      <c r="C6" s="39" t="str">
        <f t="shared" si="1"/>
        <v>XEM</v>
      </c>
      <c r="D6" s="43">
        <v>1</v>
      </c>
      <c r="E6" s="43"/>
      <c r="F6" s="29"/>
      <c r="G6" s="29"/>
      <c r="H6" s="29"/>
      <c r="I6" s="29"/>
      <c r="J6" s="29">
        <v>1</v>
      </c>
      <c r="K6" s="29"/>
      <c r="L6" s="29"/>
      <c r="M6" s="29"/>
      <c r="N6" s="29"/>
      <c r="O6" s="29"/>
      <c r="P6" s="38">
        <f t="shared" si="2"/>
        <v>2</v>
      </c>
      <c r="Q6" s="281">
        <f>'[7]LIST S.NO'!AM9</f>
        <v>1040.0568256410259</v>
      </c>
      <c r="S6" s="35">
        <f t="shared" si="3"/>
        <v>1040.0568256410259</v>
      </c>
      <c r="T6" s="35">
        <f t="shared" si="0"/>
        <v>0</v>
      </c>
      <c r="U6" s="35">
        <f t="shared" si="0"/>
        <v>0</v>
      </c>
      <c r="V6" s="35">
        <f t="shared" si="0"/>
        <v>0</v>
      </c>
      <c r="W6" s="35">
        <f t="shared" si="0"/>
        <v>0</v>
      </c>
      <c r="X6" s="35">
        <f t="shared" si="0"/>
        <v>0</v>
      </c>
      <c r="Y6" s="35">
        <f t="shared" si="0"/>
        <v>1040.0568256410259</v>
      </c>
      <c r="Z6" s="35">
        <f t="shared" si="0"/>
        <v>0</v>
      </c>
      <c r="AA6" s="35">
        <f t="shared" si="0"/>
        <v>0</v>
      </c>
      <c r="AB6" s="35">
        <f t="shared" si="0"/>
        <v>0</v>
      </c>
      <c r="AC6" s="35">
        <f t="shared" si="0"/>
        <v>0</v>
      </c>
      <c r="AD6" s="35">
        <f t="shared" si="0"/>
        <v>0</v>
      </c>
      <c r="AF6" s="34" t="e">
        <v>#N/A</v>
      </c>
      <c r="AG6" s="19" t="e">
        <v>#N/A</v>
      </c>
      <c r="AH6" s="19" t="e">
        <v>#N/A</v>
      </c>
      <c r="AI6" s="19" t="e">
        <v>#N/A</v>
      </c>
      <c r="AJ6" s="19" t="e">
        <v>#N/A</v>
      </c>
      <c r="AK6" s="294" t="e">
        <v>#N/A</v>
      </c>
      <c r="AL6" s="19"/>
      <c r="AN6" s="232"/>
      <c r="AO6" s="232">
        <f t="shared" si="4"/>
        <v>0</v>
      </c>
      <c r="AP6" s="232"/>
      <c r="AQ6" s="232">
        <f t="shared" si="5"/>
        <v>0</v>
      </c>
      <c r="AR6" s="232"/>
      <c r="AS6" s="232">
        <f t="shared" si="6"/>
        <v>0</v>
      </c>
      <c r="AT6" s="232"/>
      <c r="AU6" s="232">
        <f t="shared" si="7"/>
        <v>0</v>
      </c>
      <c r="AV6" s="232"/>
      <c r="AW6" s="232">
        <f t="shared" si="8"/>
        <v>0</v>
      </c>
      <c r="AX6" s="232"/>
      <c r="AY6" s="232">
        <f t="shared" si="9"/>
        <v>0</v>
      </c>
      <c r="AZ6" s="232"/>
      <c r="BA6" s="76">
        <f t="shared" si="10"/>
        <v>0</v>
      </c>
      <c r="BB6" s="232"/>
      <c r="BC6" s="232">
        <f t="shared" si="11"/>
        <v>0</v>
      </c>
      <c r="BD6" s="232"/>
      <c r="BE6" s="232">
        <f t="shared" si="12"/>
        <v>0</v>
      </c>
      <c r="BF6" s="232"/>
      <c r="BG6" s="232">
        <f t="shared" si="13"/>
        <v>0</v>
      </c>
      <c r="BH6" s="232"/>
      <c r="BI6" s="232">
        <f t="shared" si="14"/>
        <v>0</v>
      </c>
      <c r="BJ6" s="232"/>
      <c r="BK6" s="232">
        <f t="shared" si="15"/>
        <v>0</v>
      </c>
    </row>
    <row r="7" spans="1:63">
      <c r="A7" s="188">
        <v>4</v>
      </c>
      <c r="B7" s="187" t="str">
        <f>'[7]LIST S.NO'!C10</f>
        <v>S899529</v>
      </c>
      <c r="C7" s="39" t="str">
        <f t="shared" si="1"/>
        <v>XEM</v>
      </c>
      <c r="D7" s="43"/>
      <c r="E7" s="43"/>
      <c r="F7" s="39"/>
      <c r="G7" s="29">
        <v>1</v>
      </c>
      <c r="H7" s="29"/>
      <c r="I7" s="29"/>
      <c r="J7" s="29"/>
      <c r="K7" s="29"/>
      <c r="L7" s="29"/>
      <c r="M7" s="29">
        <v>1</v>
      </c>
      <c r="N7" s="29"/>
      <c r="O7" s="29"/>
      <c r="P7" s="38">
        <f t="shared" si="2"/>
        <v>2</v>
      </c>
      <c r="Q7" s="281">
        <f>'[7]LIST S.NO'!AM10</f>
        <v>1079.1915096153846</v>
      </c>
      <c r="S7" s="35">
        <f t="shared" si="3"/>
        <v>0</v>
      </c>
      <c r="T7" s="35">
        <f t="shared" si="0"/>
        <v>0</v>
      </c>
      <c r="U7" s="35">
        <f t="shared" si="0"/>
        <v>0</v>
      </c>
      <c r="V7" s="35">
        <f t="shared" si="0"/>
        <v>1079.1915096153846</v>
      </c>
      <c r="W7" s="35">
        <f t="shared" si="0"/>
        <v>0</v>
      </c>
      <c r="X7" s="35">
        <f t="shared" si="0"/>
        <v>0</v>
      </c>
      <c r="Y7" s="35">
        <f t="shared" si="0"/>
        <v>0</v>
      </c>
      <c r="Z7" s="35">
        <f t="shared" si="0"/>
        <v>0</v>
      </c>
      <c r="AA7" s="35">
        <f t="shared" si="0"/>
        <v>0</v>
      </c>
      <c r="AB7" s="35">
        <f t="shared" si="0"/>
        <v>1079.1915096153846</v>
      </c>
      <c r="AC7" s="35">
        <f t="shared" si="0"/>
        <v>0</v>
      </c>
      <c r="AD7" s="35">
        <f t="shared" si="0"/>
        <v>0</v>
      </c>
      <c r="AF7" s="380" t="s">
        <v>772</v>
      </c>
      <c r="AG7" s="19">
        <v>48</v>
      </c>
      <c r="AH7" s="19">
        <v>1</v>
      </c>
      <c r="AI7" s="302" t="s">
        <v>356</v>
      </c>
      <c r="AJ7" s="19"/>
      <c r="AK7" s="310" t="s">
        <v>723</v>
      </c>
      <c r="AL7" s="19" t="s">
        <v>888</v>
      </c>
      <c r="AN7" s="232"/>
      <c r="AO7" s="232">
        <f t="shared" si="4"/>
        <v>0</v>
      </c>
      <c r="AP7" s="232"/>
      <c r="AQ7" s="232">
        <f t="shared" si="5"/>
        <v>0</v>
      </c>
      <c r="AR7" s="232">
        <v>1</v>
      </c>
      <c r="AS7" s="232">
        <f t="shared" si="6"/>
        <v>1079.1915096153846</v>
      </c>
      <c r="AT7" s="232"/>
      <c r="AU7" s="232">
        <f t="shared" si="7"/>
        <v>0</v>
      </c>
      <c r="AV7" s="232"/>
      <c r="AW7" s="232">
        <f t="shared" si="8"/>
        <v>0</v>
      </c>
      <c r="AX7" s="232"/>
      <c r="AY7" s="232">
        <f t="shared" si="9"/>
        <v>0</v>
      </c>
      <c r="AZ7" s="232"/>
      <c r="BA7" s="76">
        <f t="shared" si="10"/>
        <v>0</v>
      </c>
      <c r="BB7" s="232"/>
      <c r="BC7" s="232">
        <f t="shared" si="11"/>
        <v>0</v>
      </c>
      <c r="BD7" s="232"/>
      <c r="BE7" s="232">
        <f t="shared" si="12"/>
        <v>0</v>
      </c>
      <c r="BF7" s="232"/>
      <c r="BG7" s="232">
        <f t="shared" si="13"/>
        <v>0</v>
      </c>
      <c r="BH7" s="232"/>
      <c r="BI7" s="232">
        <f t="shared" si="14"/>
        <v>0</v>
      </c>
      <c r="BJ7" s="232"/>
      <c r="BK7" s="232">
        <f t="shared" si="15"/>
        <v>0</v>
      </c>
    </row>
    <row r="8" spans="1:63" ht="17.25">
      <c r="A8" s="44">
        <v>5</v>
      </c>
      <c r="B8" s="187" t="str">
        <f>'[7]LIST S.NO'!C11</f>
        <v>S742878</v>
      </c>
      <c r="C8" s="39" t="str">
        <f t="shared" si="1"/>
        <v>XEM</v>
      </c>
      <c r="D8" s="43"/>
      <c r="E8" s="43"/>
      <c r="F8" s="39">
        <v>1</v>
      </c>
      <c r="G8" s="29"/>
      <c r="H8" s="29"/>
      <c r="I8" s="29"/>
      <c r="J8" s="29"/>
      <c r="K8" s="29"/>
      <c r="L8" s="29">
        <v>1</v>
      </c>
      <c r="M8" s="29"/>
      <c r="N8" s="29"/>
      <c r="O8" s="29"/>
      <c r="P8" s="38">
        <f t="shared" si="2"/>
        <v>2</v>
      </c>
      <c r="Q8" s="281">
        <f>'[7]LIST S.NO'!AM11</f>
        <v>639.56458653846153</v>
      </c>
      <c r="S8" s="35">
        <f t="shared" si="3"/>
        <v>0</v>
      </c>
      <c r="T8" s="35">
        <f t="shared" si="0"/>
        <v>0</v>
      </c>
      <c r="U8" s="35">
        <f t="shared" si="0"/>
        <v>639.56458653846153</v>
      </c>
      <c r="V8" s="35">
        <f t="shared" si="0"/>
        <v>0</v>
      </c>
      <c r="W8" s="35">
        <f t="shared" si="0"/>
        <v>0</v>
      </c>
      <c r="X8" s="35">
        <f t="shared" si="0"/>
        <v>0</v>
      </c>
      <c r="Y8" s="35">
        <f t="shared" si="0"/>
        <v>0</v>
      </c>
      <c r="Z8" s="35">
        <f t="shared" si="0"/>
        <v>0</v>
      </c>
      <c r="AA8" s="35">
        <f t="shared" si="0"/>
        <v>639.56458653846153</v>
      </c>
      <c r="AB8" s="35">
        <f t="shared" si="0"/>
        <v>0</v>
      </c>
      <c r="AC8" s="35">
        <f t="shared" si="0"/>
        <v>0</v>
      </c>
      <c r="AD8" s="35">
        <f t="shared" si="0"/>
        <v>0</v>
      </c>
      <c r="AF8" s="382">
        <v>2136038311</v>
      </c>
      <c r="AG8" s="19">
        <v>11</v>
      </c>
      <c r="AH8" s="19">
        <v>1</v>
      </c>
      <c r="AI8" s="19" t="s">
        <v>95</v>
      </c>
      <c r="AJ8" s="19" t="s">
        <v>880</v>
      </c>
      <c r="AK8" s="369">
        <v>46115</v>
      </c>
      <c r="AL8" s="19"/>
      <c r="AN8" s="232"/>
      <c r="AO8" s="232">
        <f t="shared" si="4"/>
        <v>0</v>
      </c>
      <c r="AP8" s="232"/>
      <c r="AQ8" s="232">
        <f t="shared" si="5"/>
        <v>0</v>
      </c>
      <c r="AR8" s="232"/>
      <c r="AS8" s="232">
        <f t="shared" si="6"/>
        <v>0</v>
      </c>
      <c r="AT8" s="232"/>
      <c r="AU8" s="232">
        <f t="shared" si="7"/>
        <v>0</v>
      </c>
      <c r="AV8" s="232"/>
      <c r="AW8" s="232">
        <f t="shared" si="8"/>
        <v>0</v>
      </c>
      <c r="AX8" s="232"/>
      <c r="AY8" s="232">
        <f t="shared" si="9"/>
        <v>0</v>
      </c>
      <c r="AZ8" s="232"/>
      <c r="BA8" s="76">
        <f t="shared" si="10"/>
        <v>0</v>
      </c>
      <c r="BB8" s="232"/>
      <c r="BC8" s="232">
        <f t="shared" si="11"/>
        <v>0</v>
      </c>
      <c r="BD8" s="232"/>
      <c r="BE8" s="232">
        <f t="shared" si="12"/>
        <v>0</v>
      </c>
      <c r="BF8" s="232"/>
      <c r="BG8" s="232">
        <f t="shared" si="13"/>
        <v>0</v>
      </c>
      <c r="BH8" s="232"/>
      <c r="BI8" s="232">
        <f t="shared" si="14"/>
        <v>0</v>
      </c>
      <c r="BJ8" s="232"/>
      <c r="BK8" s="232">
        <f t="shared" si="15"/>
        <v>0</v>
      </c>
    </row>
    <row r="9" spans="1:63">
      <c r="A9" s="188">
        <v>6</v>
      </c>
      <c r="B9" s="187" t="str">
        <f>'[7]LIST S.NO'!C12</f>
        <v>S899525</v>
      </c>
      <c r="C9" s="39" t="str">
        <f t="shared" si="1"/>
        <v>XEM</v>
      </c>
      <c r="D9" s="43"/>
      <c r="E9" s="43"/>
      <c r="F9" s="39"/>
      <c r="G9" s="29"/>
      <c r="H9" s="29">
        <v>1</v>
      </c>
      <c r="I9" s="29"/>
      <c r="J9" s="29"/>
      <c r="K9" s="29"/>
      <c r="L9" s="29"/>
      <c r="M9" s="29"/>
      <c r="N9" s="29">
        <v>1</v>
      </c>
      <c r="O9" s="29"/>
      <c r="P9" s="38">
        <f t="shared" si="2"/>
        <v>2</v>
      </c>
      <c r="Q9" s="281">
        <f>'[7]LIST S.NO'!AM12</f>
        <v>847.60756410256408</v>
      </c>
      <c r="S9" s="35">
        <f t="shared" si="3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847.60756410256408</v>
      </c>
      <c r="X9" s="35">
        <f t="shared" si="0"/>
        <v>0</v>
      </c>
      <c r="Y9" s="35">
        <f t="shared" si="0"/>
        <v>0</v>
      </c>
      <c r="Z9" s="35">
        <f t="shared" si="0"/>
        <v>0</v>
      </c>
      <c r="AA9" s="35">
        <f t="shared" si="0"/>
        <v>0</v>
      </c>
      <c r="AB9" s="35">
        <f t="shared" si="0"/>
        <v>0</v>
      </c>
      <c r="AC9" s="35">
        <f t="shared" si="0"/>
        <v>847.60756410256408</v>
      </c>
      <c r="AD9" s="35">
        <f t="shared" si="0"/>
        <v>0</v>
      </c>
      <c r="AF9" s="34" t="e">
        <v>#N/A</v>
      </c>
      <c r="AG9" s="19" t="e">
        <v>#N/A</v>
      </c>
      <c r="AH9" s="19" t="e">
        <v>#N/A</v>
      </c>
      <c r="AI9" s="19" t="e">
        <v>#N/A</v>
      </c>
      <c r="AJ9" s="19" t="e">
        <v>#N/A</v>
      </c>
      <c r="AK9" s="294" t="e">
        <v>#N/A</v>
      </c>
      <c r="AL9" s="19"/>
      <c r="AN9" s="232"/>
      <c r="AO9" s="232">
        <f t="shared" si="4"/>
        <v>0</v>
      </c>
      <c r="AP9" s="232"/>
      <c r="AQ9" s="232">
        <f t="shared" si="5"/>
        <v>0</v>
      </c>
      <c r="AR9" s="232"/>
      <c r="AS9" s="232">
        <f t="shared" si="6"/>
        <v>0</v>
      </c>
      <c r="AT9" s="232"/>
      <c r="AU9" s="232">
        <f t="shared" si="7"/>
        <v>0</v>
      </c>
      <c r="AV9" s="232"/>
      <c r="AW9" s="232">
        <f t="shared" si="8"/>
        <v>0</v>
      </c>
      <c r="AX9" s="232"/>
      <c r="AY9" s="232">
        <f t="shared" si="9"/>
        <v>0</v>
      </c>
      <c r="AZ9" s="232"/>
      <c r="BA9" s="76">
        <f t="shared" si="10"/>
        <v>0</v>
      </c>
      <c r="BB9" s="232"/>
      <c r="BC9" s="232">
        <f t="shared" si="11"/>
        <v>0</v>
      </c>
      <c r="BD9" s="232"/>
      <c r="BE9" s="232">
        <f t="shared" si="12"/>
        <v>0</v>
      </c>
      <c r="BF9" s="232"/>
      <c r="BG9" s="232">
        <f t="shared" si="13"/>
        <v>0</v>
      </c>
      <c r="BH9" s="232"/>
      <c r="BI9" s="232">
        <f t="shared" si="14"/>
        <v>0</v>
      </c>
      <c r="BJ9" s="232"/>
      <c r="BK9" s="232">
        <f t="shared" si="15"/>
        <v>0</v>
      </c>
    </row>
    <row r="10" spans="1:63">
      <c r="A10" s="44">
        <v>7</v>
      </c>
      <c r="B10" s="187" t="str">
        <f>'[7]LIST S.NO'!C13</f>
        <v>S202159</v>
      </c>
      <c r="C10" s="39" t="str">
        <f t="shared" si="1"/>
        <v>XEM</v>
      </c>
      <c r="D10" s="43"/>
      <c r="E10" s="43"/>
      <c r="F10" s="39"/>
      <c r="G10" s="29"/>
      <c r="H10" s="29"/>
      <c r="I10" s="29">
        <v>1</v>
      </c>
      <c r="J10" s="29"/>
      <c r="K10" s="29"/>
      <c r="L10" s="29"/>
      <c r="M10" s="29"/>
      <c r="N10" s="29"/>
      <c r="O10" s="29">
        <v>1</v>
      </c>
      <c r="P10" s="38">
        <f t="shared" si="2"/>
        <v>2</v>
      </c>
      <c r="Q10" s="281">
        <f>'[7]LIST S.NO'!AM13</f>
        <v>201.93641025641026</v>
      </c>
      <c r="S10" s="35">
        <f t="shared" si="3"/>
        <v>0</v>
      </c>
      <c r="T10" s="35">
        <f t="shared" si="0"/>
        <v>0</v>
      </c>
      <c r="U10" s="35">
        <f t="shared" si="0"/>
        <v>0</v>
      </c>
      <c r="V10" s="35">
        <f t="shared" si="0"/>
        <v>0</v>
      </c>
      <c r="W10" s="35">
        <f t="shared" si="0"/>
        <v>0</v>
      </c>
      <c r="X10" s="35">
        <f t="shared" si="0"/>
        <v>201.93641025641026</v>
      </c>
      <c r="Y10" s="35">
        <f t="shared" si="0"/>
        <v>0</v>
      </c>
      <c r="Z10" s="35">
        <f t="shared" si="0"/>
        <v>0</v>
      </c>
      <c r="AA10" s="35">
        <f t="shared" si="0"/>
        <v>0</v>
      </c>
      <c r="AB10" s="35">
        <f t="shared" si="0"/>
        <v>0</v>
      </c>
      <c r="AC10" s="35">
        <f t="shared" si="0"/>
        <v>0</v>
      </c>
      <c r="AD10" s="35">
        <f t="shared" si="0"/>
        <v>201.93641025641026</v>
      </c>
      <c r="AF10" s="380" t="s">
        <v>606</v>
      </c>
      <c r="AG10" s="19">
        <v>30</v>
      </c>
      <c r="AH10" s="19">
        <v>1</v>
      </c>
      <c r="AI10" s="302" t="s">
        <v>356</v>
      </c>
      <c r="AJ10" s="19"/>
      <c r="AK10" s="294" t="s">
        <v>569</v>
      </c>
      <c r="AL10" s="19" t="s">
        <v>888</v>
      </c>
      <c r="AN10" s="232"/>
      <c r="AO10" s="232">
        <f t="shared" si="4"/>
        <v>0</v>
      </c>
      <c r="AP10" s="232"/>
      <c r="AQ10" s="232">
        <f t="shared" si="5"/>
        <v>0</v>
      </c>
      <c r="AR10" s="232">
        <v>1</v>
      </c>
      <c r="AS10" s="232">
        <f t="shared" si="6"/>
        <v>201.93641025641026</v>
      </c>
      <c r="AT10" s="232"/>
      <c r="AU10" s="232">
        <f t="shared" si="7"/>
        <v>0</v>
      </c>
      <c r="AV10" s="232"/>
      <c r="AW10" s="232">
        <f t="shared" si="8"/>
        <v>0</v>
      </c>
      <c r="AX10" s="232"/>
      <c r="AY10" s="232">
        <f t="shared" si="9"/>
        <v>0</v>
      </c>
      <c r="AZ10" s="232"/>
      <c r="BA10" s="76">
        <f t="shared" si="10"/>
        <v>0</v>
      </c>
      <c r="BB10" s="232"/>
      <c r="BC10" s="232">
        <f t="shared" si="11"/>
        <v>0</v>
      </c>
      <c r="BD10" s="232"/>
      <c r="BE10" s="232">
        <f t="shared" si="12"/>
        <v>0</v>
      </c>
      <c r="BF10" s="232"/>
      <c r="BG10" s="232">
        <f t="shared" si="13"/>
        <v>0</v>
      </c>
      <c r="BH10" s="232"/>
      <c r="BI10" s="232">
        <f t="shared" si="14"/>
        <v>0</v>
      </c>
      <c r="BJ10" s="232"/>
      <c r="BK10" s="232">
        <f t="shared" si="15"/>
        <v>0</v>
      </c>
    </row>
    <row r="11" spans="1:63">
      <c r="A11" s="188">
        <v>8</v>
      </c>
      <c r="B11" s="187" t="str">
        <f>'[7]LIST S.NO'!C14</f>
        <v>R485016</v>
      </c>
      <c r="C11" s="39" t="str">
        <f t="shared" si="1"/>
        <v>XEM</v>
      </c>
      <c r="D11" s="43">
        <v>1</v>
      </c>
      <c r="E11" s="43"/>
      <c r="F11" s="39"/>
      <c r="G11" s="29"/>
      <c r="H11" s="29"/>
      <c r="I11" s="29"/>
      <c r="J11" s="29"/>
      <c r="K11" s="29">
        <v>1</v>
      </c>
      <c r="L11" s="29"/>
      <c r="M11" s="29"/>
      <c r="N11" s="29"/>
      <c r="O11" s="29"/>
      <c r="P11" s="38">
        <f t="shared" si="2"/>
        <v>2</v>
      </c>
      <c r="Q11" s="281">
        <f>'[7]LIST S.NO'!AM14</f>
        <v>411.30381730769227</v>
      </c>
      <c r="S11" s="35">
        <f t="shared" si="3"/>
        <v>411.30381730769227</v>
      </c>
      <c r="T11" s="35">
        <f t="shared" si="0"/>
        <v>0</v>
      </c>
      <c r="U11" s="35">
        <f t="shared" si="0"/>
        <v>0</v>
      </c>
      <c r="V11" s="35">
        <f t="shared" si="0"/>
        <v>0</v>
      </c>
      <c r="W11" s="35">
        <f t="shared" si="0"/>
        <v>0</v>
      </c>
      <c r="X11" s="35">
        <f t="shared" si="0"/>
        <v>0</v>
      </c>
      <c r="Y11" s="35">
        <f t="shared" si="0"/>
        <v>0</v>
      </c>
      <c r="Z11" s="35">
        <f t="shared" si="0"/>
        <v>411.30381730769227</v>
      </c>
      <c r="AA11" s="35">
        <f t="shared" si="0"/>
        <v>0</v>
      </c>
      <c r="AB11" s="35">
        <f t="shared" si="0"/>
        <v>0</v>
      </c>
      <c r="AC11" s="35">
        <f t="shared" si="0"/>
        <v>0</v>
      </c>
      <c r="AD11" s="35">
        <f t="shared" si="0"/>
        <v>0</v>
      </c>
      <c r="AF11" s="34" t="e">
        <v>#N/A</v>
      </c>
      <c r="AG11" s="19" t="e">
        <v>#N/A</v>
      </c>
      <c r="AH11" s="19" t="e">
        <v>#N/A</v>
      </c>
      <c r="AI11" s="19" t="e">
        <v>#N/A</v>
      </c>
      <c r="AJ11" s="19" t="e">
        <v>#N/A</v>
      </c>
      <c r="AK11" s="294" t="e">
        <v>#N/A</v>
      </c>
      <c r="AL11" s="19"/>
      <c r="AN11" s="232"/>
      <c r="AO11" s="232">
        <f t="shared" si="4"/>
        <v>0</v>
      </c>
      <c r="AP11" s="232"/>
      <c r="AQ11" s="232">
        <f t="shared" si="5"/>
        <v>0</v>
      </c>
      <c r="AR11" s="232"/>
      <c r="AS11" s="232">
        <f t="shared" si="6"/>
        <v>0</v>
      </c>
      <c r="AT11" s="232"/>
      <c r="AU11" s="232">
        <f t="shared" si="7"/>
        <v>0</v>
      </c>
      <c r="AV11" s="232"/>
      <c r="AW11" s="232">
        <f t="shared" si="8"/>
        <v>0</v>
      </c>
      <c r="AX11" s="232"/>
      <c r="AY11" s="232">
        <f t="shared" si="9"/>
        <v>0</v>
      </c>
      <c r="AZ11" s="232"/>
      <c r="BA11" s="76">
        <f t="shared" si="10"/>
        <v>0</v>
      </c>
      <c r="BB11" s="232"/>
      <c r="BC11" s="232">
        <f t="shared" si="11"/>
        <v>0</v>
      </c>
      <c r="BD11" s="232"/>
      <c r="BE11" s="232">
        <f t="shared" si="12"/>
        <v>0</v>
      </c>
      <c r="BF11" s="232"/>
      <c r="BG11" s="232">
        <f t="shared" si="13"/>
        <v>0</v>
      </c>
      <c r="BH11" s="232"/>
      <c r="BI11" s="232">
        <f t="shared" si="14"/>
        <v>0</v>
      </c>
      <c r="BJ11" s="232"/>
      <c r="BK11" s="232">
        <f t="shared" si="15"/>
        <v>0</v>
      </c>
    </row>
    <row r="12" spans="1:63">
      <c r="A12" s="44">
        <v>9</v>
      </c>
      <c r="B12" s="187" t="str">
        <f>'[7]LIST S.NO'!C15</f>
        <v>R485011</v>
      </c>
      <c r="C12" s="39" t="str">
        <f t="shared" si="1"/>
        <v>XEM</v>
      </c>
      <c r="D12" s="43"/>
      <c r="E12" s="43">
        <v>1</v>
      </c>
      <c r="F12" s="39"/>
      <c r="G12" s="29"/>
      <c r="H12" s="29"/>
      <c r="I12" s="29"/>
      <c r="J12" s="29">
        <v>1</v>
      </c>
      <c r="K12" s="29"/>
      <c r="L12" s="29"/>
      <c r="M12" s="29"/>
      <c r="N12" s="29"/>
      <c r="O12" s="29"/>
      <c r="P12" s="38">
        <f t="shared" si="2"/>
        <v>2</v>
      </c>
      <c r="Q12" s="281">
        <f>'[7]LIST S.NO'!AM15</f>
        <v>62.352179487179484</v>
      </c>
      <c r="S12" s="35">
        <f t="shared" si="3"/>
        <v>0</v>
      </c>
      <c r="T12" s="35">
        <f t="shared" si="0"/>
        <v>62.352179487179484</v>
      </c>
      <c r="U12" s="35">
        <f t="shared" si="0"/>
        <v>0</v>
      </c>
      <c r="V12" s="35">
        <f t="shared" si="0"/>
        <v>0</v>
      </c>
      <c r="W12" s="35">
        <f t="shared" si="0"/>
        <v>0</v>
      </c>
      <c r="X12" s="35">
        <f t="shared" si="0"/>
        <v>0</v>
      </c>
      <c r="Y12" s="35">
        <f t="shared" si="0"/>
        <v>62.352179487179484</v>
      </c>
      <c r="Z12" s="35">
        <f t="shared" si="0"/>
        <v>0</v>
      </c>
      <c r="AA12" s="35">
        <f t="shared" si="0"/>
        <v>0</v>
      </c>
      <c r="AB12" s="35">
        <f t="shared" si="0"/>
        <v>0</v>
      </c>
      <c r="AC12" s="35">
        <f t="shared" si="0"/>
        <v>0</v>
      </c>
      <c r="AD12" s="35">
        <f t="shared" si="0"/>
        <v>0</v>
      </c>
      <c r="AF12" s="34" t="e">
        <v>#N/A</v>
      </c>
      <c r="AG12" s="19" t="e">
        <v>#N/A</v>
      </c>
      <c r="AH12" s="19" t="e">
        <v>#N/A</v>
      </c>
      <c r="AI12" s="19" t="e">
        <v>#N/A</v>
      </c>
      <c r="AJ12" s="19" t="e">
        <v>#N/A</v>
      </c>
      <c r="AK12" s="294" t="e">
        <v>#N/A</v>
      </c>
      <c r="AL12" s="19"/>
      <c r="AN12" s="232"/>
      <c r="AO12" s="232">
        <f t="shared" si="4"/>
        <v>0</v>
      </c>
      <c r="AP12" s="232"/>
      <c r="AQ12" s="232">
        <f t="shared" si="5"/>
        <v>0</v>
      </c>
      <c r="AR12" s="232"/>
      <c r="AS12" s="232">
        <f t="shared" si="6"/>
        <v>0</v>
      </c>
      <c r="AT12" s="232"/>
      <c r="AU12" s="232">
        <f t="shared" si="7"/>
        <v>0</v>
      </c>
      <c r="AV12" s="232"/>
      <c r="AW12" s="232">
        <f t="shared" si="8"/>
        <v>0</v>
      </c>
      <c r="AX12" s="232"/>
      <c r="AY12" s="232">
        <f t="shared" si="9"/>
        <v>0</v>
      </c>
      <c r="AZ12" s="232"/>
      <c r="BA12" s="76">
        <f t="shared" si="10"/>
        <v>0</v>
      </c>
      <c r="BB12" s="232"/>
      <c r="BC12" s="232">
        <f t="shared" si="11"/>
        <v>0</v>
      </c>
      <c r="BD12" s="232"/>
      <c r="BE12" s="232">
        <f t="shared" si="12"/>
        <v>0</v>
      </c>
      <c r="BF12" s="232"/>
      <c r="BG12" s="232">
        <f t="shared" si="13"/>
        <v>0</v>
      </c>
      <c r="BH12" s="232"/>
      <c r="BI12" s="232">
        <f t="shared" si="14"/>
        <v>0</v>
      </c>
      <c r="BJ12" s="232"/>
      <c r="BK12" s="232">
        <f t="shared" si="15"/>
        <v>0</v>
      </c>
    </row>
    <row r="13" spans="1:63">
      <c r="A13" s="188">
        <v>10</v>
      </c>
      <c r="B13" s="187" t="str">
        <f>'[7]LIST S.NO'!C16</f>
        <v>R059797</v>
      </c>
      <c r="C13" s="39" t="str">
        <f t="shared" si="1"/>
        <v>XEM</v>
      </c>
      <c r="D13" s="43"/>
      <c r="E13" s="43"/>
      <c r="F13" s="39"/>
      <c r="G13" s="29"/>
      <c r="H13" s="29"/>
      <c r="I13" s="29"/>
      <c r="J13" s="29">
        <v>1</v>
      </c>
      <c r="K13" s="29"/>
      <c r="L13" s="29">
        <v>1</v>
      </c>
      <c r="M13" s="29"/>
      <c r="N13" s="29"/>
      <c r="O13" s="29"/>
      <c r="P13" s="38">
        <f t="shared" si="2"/>
        <v>2</v>
      </c>
      <c r="Q13" s="281">
        <f>'[7]LIST S.NO'!AM16</f>
        <v>348.68871794871791</v>
      </c>
      <c r="S13" s="35">
        <f t="shared" si="3"/>
        <v>0</v>
      </c>
      <c r="T13" s="35">
        <f t="shared" si="0"/>
        <v>0</v>
      </c>
      <c r="U13" s="35">
        <f t="shared" si="0"/>
        <v>0</v>
      </c>
      <c r="V13" s="35">
        <f t="shared" si="0"/>
        <v>0</v>
      </c>
      <c r="W13" s="35">
        <f t="shared" si="0"/>
        <v>0</v>
      </c>
      <c r="X13" s="35">
        <f t="shared" si="0"/>
        <v>0</v>
      </c>
      <c r="Y13" s="35">
        <f t="shared" si="0"/>
        <v>348.68871794871791</v>
      </c>
      <c r="Z13" s="35">
        <f t="shared" si="0"/>
        <v>0</v>
      </c>
      <c r="AA13" s="35">
        <f t="shared" si="0"/>
        <v>348.68871794871791</v>
      </c>
      <c r="AB13" s="35">
        <f t="shared" si="0"/>
        <v>0</v>
      </c>
      <c r="AC13" s="35">
        <f t="shared" si="0"/>
        <v>0</v>
      </c>
      <c r="AD13" s="35">
        <f t="shared" si="0"/>
        <v>0</v>
      </c>
      <c r="AF13" s="380" t="s">
        <v>570</v>
      </c>
      <c r="AG13" s="19">
        <v>6</v>
      </c>
      <c r="AH13" s="19">
        <v>1</v>
      </c>
      <c r="AI13" s="302" t="s">
        <v>356</v>
      </c>
      <c r="AJ13" s="19"/>
      <c r="AK13" s="294" t="s">
        <v>571</v>
      </c>
      <c r="AL13" s="19" t="s">
        <v>722</v>
      </c>
      <c r="AN13" s="232">
        <v>1</v>
      </c>
      <c r="AO13" s="76">
        <f t="shared" si="4"/>
        <v>348.68871794871791</v>
      </c>
      <c r="AP13" s="232"/>
      <c r="AQ13" s="232">
        <f t="shared" si="5"/>
        <v>0</v>
      </c>
      <c r="AR13" s="232"/>
      <c r="AS13" s="232">
        <f t="shared" si="6"/>
        <v>0</v>
      </c>
      <c r="AT13" s="232"/>
      <c r="AU13" s="232">
        <f t="shared" si="7"/>
        <v>0</v>
      </c>
      <c r="AV13" s="232"/>
      <c r="AW13" s="232">
        <f t="shared" si="8"/>
        <v>0</v>
      </c>
      <c r="AX13" s="232"/>
      <c r="AY13" s="232">
        <f t="shared" si="9"/>
        <v>0</v>
      </c>
      <c r="AZ13" s="232"/>
      <c r="BA13" s="76">
        <f t="shared" si="10"/>
        <v>0</v>
      </c>
      <c r="BB13" s="232"/>
      <c r="BC13" s="232">
        <f t="shared" si="11"/>
        <v>0</v>
      </c>
      <c r="BD13" s="232"/>
      <c r="BE13" s="232">
        <f t="shared" si="12"/>
        <v>0</v>
      </c>
      <c r="BF13" s="232"/>
      <c r="BG13" s="232">
        <f t="shared" si="13"/>
        <v>0</v>
      </c>
      <c r="BH13" s="232"/>
      <c r="BI13" s="232">
        <f t="shared" si="14"/>
        <v>0</v>
      </c>
      <c r="BJ13" s="232"/>
      <c r="BK13" s="232">
        <f t="shared" si="15"/>
        <v>0</v>
      </c>
    </row>
    <row r="14" spans="1:63">
      <c r="A14" s="44">
        <v>11</v>
      </c>
      <c r="B14" s="187" t="str">
        <f>'[7]LIST S.NO'!C17</f>
        <v>R067136</v>
      </c>
      <c r="C14" s="39" t="str">
        <f t="shared" si="1"/>
        <v>XEM</v>
      </c>
      <c r="D14" s="43"/>
      <c r="E14" s="43"/>
      <c r="F14" s="29">
        <v>1</v>
      </c>
      <c r="G14" s="39"/>
      <c r="H14" s="29"/>
      <c r="I14" s="29"/>
      <c r="J14" s="29"/>
      <c r="K14" s="29"/>
      <c r="L14" s="29">
        <v>1</v>
      </c>
      <c r="M14" s="29"/>
      <c r="N14" s="29"/>
      <c r="O14" s="29"/>
      <c r="P14" s="38">
        <f t="shared" si="2"/>
        <v>2</v>
      </c>
      <c r="Q14" s="281">
        <f>'[7]LIST S.NO'!AM17</f>
        <v>462.11179487179487</v>
      </c>
      <c r="S14" s="35">
        <f t="shared" si="3"/>
        <v>0</v>
      </c>
      <c r="T14" s="35">
        <f t="shared" si="0"/>
        <v>0</v>
      </c>
      <c r="U14" s="35">
        <f t="shared" si="0"/>
        <v>462.11179487179487</v>
      </c>
      <c r="V14" s="35">
        <f t="shared" si="0"/>
        <v>0</v>
      </c>
      <c r="W14" s="35">
        <f t="shared" si="0"/>
        <v>0</v>
      </c>
      <c r="X14" s="35">
        <f t="shared" si="0"/>
        <v>0</v>
      </c>
      <c r="Y14" s="35">
        <f t="shared" si="0"/>
        <v>0</v>
      </c>
      <c r="Z14" s="35">
        <f t="shared" si="0"/>
        <v>0</v>
      </c>
      <c r="AA14" s="35">
        <f t="shared" si="0"/>
        <v>462.11179487179487</v>
      </c>
      <c r="AB14" s="35">
        <f t="shared" si="0"/>
        <v>0</v>
      </c>
      <c r="AC14" s="35">
        <f t="shared" si="0"/>
        <v>0</v>
      </c>
      <c r="AD14" s="35">
        <f t="shared" si="0"/>
        <v>0</v>
      </c>
      <c r="AF14" s="380" t="s">
        <v>726</v>
      </c>
      <c r="AG14" s="19">
        <v>7</v>
      </c>
      <c r="AH14" s="19">
        <v>1</v>
      </c>
      <c r="AI14" s="302" t="s">
        <v>356</v>
      </c>
      <c r="AJ14" s="19"/>
      <c r="AK14" s="294" t="s">
        <v>572</v>
      </c>
      <c r="AL14" s="19" t="s">
        <v>722</v>
      </c>
      <c r="AN14" s="232">
        <v>1</v>
      </c>
      <c r="AO14" s="76">
        <f t="shared" si="4"/>
        <v>462.11179487179487</v>
      </c>
      <c r="AP14" s="232"/>
      <c r="AQ14" s="232">
        <f t="shared" si="5"/>
        <v>0</v>
      </c>
      <c r="AR14" s="232"/>
      <c r="AS14" s="232">
        <f t="shared" si="6"/>
        <v>0</v>
      </c>
      <c r="AT14" s="232"/>
      <c r="AU14" s="232">
        <f t="shared" si="7"/>
        <v>0</v>
      </c>
      <c r="AV14" s="232"/>
      <c r="AW14" s="232">
        <f t="shared" si="8"/>
        <v>0</v>
      </c>
      <c r="AX14" s="232"/>
      <c r="AY14" s="232">
        <f t="shared" si="9"/>
        <v>0</v>
      </c>
      <c r="AZ14" s="232"/>
      <c r="BA14" s="76">
        <f t="shared" si="10"/>
        <v>0</v>
      </c>
      <c r="BB14" s="232"/>
      <c r="BC14" s="232">
        <f t="shared" si="11"/>
        <v>0</v>
      </c>
      <c r="BD14" s="232"/>
      <c r="BE14" s="232">
        <f t="shared" si="12"/>
        <v>0</v>
      </c>
      <c r="BF14" s="232"/>
      <c r="BG14" s="232">
        <f t="shared" si="13"/>
        <v>0</v>
      </c>
      <c r="BH14" s="232"/>
      <c r="BI14" s="232">
        <f t="shared" si="14"/>
        <v>0</v>
      </c>
      <c r="BJ14" s="232"/>
      <c r="BK14" s="232">
        <f t="shared" si="15"/>
        <v>0</v>
      </c>
    </row>
    <row r="15" spans="1:63">
      <c r="A15" s="188">
        <v>12</v>
      </c>
      <c r="B15" s="187" t="str">
        <f>'[7]LIST S.NO'!C18</f>
        <v>R067143</v>
      </c>
      <c r="C15" s="39" t="str">
        <f t="shared" si="1"/>
        <v>XEM</v>
      </c>
      <c r="D15" s="43"/>
      <c r="E15" s="43"/>
      <c r="F15" s="29"/>
      <c r="G15" s="39">
        <v>1</v>
      </c>
      <c r="H15" s="29"/>
      <c r="I15" s="29"/>
      <c r="J15" s="29"/>
      <c r="K15" s="29"/>
      <c r="L15" s="29"/>
      <c r="M15" s="29"/>
      <c r="N15" s="29">
        <v>1</v>
      </c>
      <c r="O15" s="29"/>
      <c r="P15" s="38">
        <f t="shared" si="2"/>
        <v>2</v>
      </c>
      <c r="Q15" s="281">
        <f>'[7]LIST S.NO'!AM18</f>
        <v>123.58064102564103</v>
      </c>
      <c r="S15" s="35">
        <f t="shared" si="3"/>
        <v>0</v>
      </c>
      <c r="T15" s="35">
        <f t="shared" si="0"/>
        <v>0</v>
      </c>
      <c r="U15" s="35">
        <f t="shared" si="0"/>
        <v>0</v>
      </c>
      <c r="V15" s="35">
        <f t="shared" si="0"/>
        <v>123.58064102564103</v>
      </c>
      <c r="W15" s="35">
        <f t="shared" si="0"/>
        <v>0</v>
      </c>
      <c r="X15" s="35">
        <f t="shared" si="0"/>
        <v>0</v>
      </c>
      <c r="Y15" s="35">
        <f t="shared" si="0"/>
        <v>0</v>
      </c>
      <c r="Z15" s="35">
        <f t="shared" si="0"/>
        <v>0</v>
      </c>
      <c r="AA15" s="35">
        <f t="shared" si="0"/>
        <v>0</v>
      </c>
      <c r="AB15" s="35">
        <f t="shared" si="0"/>
        <v>0</v>
      </c>
      <c r="AC15" s="35">
        <f t="shared" si="0"/>
        <v>123.58064102564103</v>
      </c>
      <c r="AD15" s="35">
        <f t="shared" si="0"/>
        <v>0</v>
      </c>
      <c r="AF15" s="380" t="s">
        <v>573</v>
      </c>
      <c r="AG15" s="19">
        <v>8</v>
      </c>
      <c r="AH15" s="19">
        <v>1</v>
      </c>
      <c r="AI15" s="302" t="s">
        <v>356</v>
      </c>
      <c r="AJ15" s="19"/>
      <c r="AK15" s="294" t="s">
        <v>574</v>
      </c>
      <c r="AL15" s="19" t="s">
        <v>888</v>
      </c>
      <c r="AN15" s="232"/>
      <c r="AO15" s="232">
        <f t="shared" si="4"/>
        <v>0</v>
      </c>
      <c r="AP15" s="232"/>
      <c r="AQ15" s="232">
        <f t="shared" si="5"/>
        <v>0</v>
      </c>
      <c r="AR15" s="232">
        <v>1</v>
      </c>
      <c r="AS15" s="232">
        <f t="shared" si="6"/>
        <v>123.58064102564103</v>
      </c>
      <c r="AT15" s="232"/>
      <c r="AU15" s="232">
        <f t="shared" si="7"/>
        <v>0</v>
      </c>
      <c r="AV15" s="232"/>
      <c r="AW15" s="232">
        <f t="shared" si="8"/>
        <v>0</v>
      </c>
      <c r="AX15" s="232"/>
      <c r="AY15" s="232">
        <f t="shared" si="9"/>
        <v>0</v>
      </c>
      <c r="AZ15" s="232"/>
      <c r="BA15" s="76">
        <f t="shared" si="10"/>
        <v>0</v>
      </c>
      <c r="BB15" s="232"/>
      <c r="BC15" s="232">
        <f t="shared" si="11"/>
        <v>0</v>
      </c>
      <c r="BD15" s="232"/>
      <c r="BE15" s="232">
        <f t="shared" si="12"/>
        <v>0</v>
      </c>
      <c r="BF15" s="232"/>
      <c r="BG15" s="232">
        <f t="shared" si="13"/>
        <v>0</v>
      </c>
      <c r="BH15" s="232"/>
      <c r="BI15" s="232">
        <f t="shared" si="14"/>
        <v>0</v>
      </c>
      <c r="BJ15" s="232"/>
      <c r="BK15" s="232">
        <f t="shared" si="15"/>
        <v>0</v>
      </c>
    </row>
    <row r="16" spans="1:63">
      <c r="A16" s="44">
        <v>13</v>
      </c>
      <c r="B16" s="187" t="str">
        <f>'[7]LIST S.NO'!C19</f>
        <v>R062773</v>
      </c>
      <c r="C16" s="39" t="str">
        <f t="shared" si="1"/>
        <v>XEM</v>
      </c>
      <c r="D16" s="43"/>
      <c r="E16" s="43"/>
      <c r="F16" s="29"/>
      <c r="G16" s="39"/>
      <c r="H16" s="29"/>
      <c r="I16" s="29">
        <v>1</v>
      </c>
      <c r="J16" s="29"/>
      <c r="K16" s="29"/>
      <c r="L16" s="29"/>
      <c r="M16" s="29">
        <v>1</v>
      </c>
      <c r="N16" s="29"/>
      <c r="O16" s="29"/>
      <c r="P16" s="38">
        <f t="shared" si="2"/>
        <v>2</v>
      </c>
      <c r="Q16" s="281">
        <f>'[7]LIST S.NO'!AM19</f>
        <v>127.1298717948718</v>
      </c>
      <c r="S16" s="35">
        <f t="shared" si="3"/>
        <v>0</v>
      </c>
      <c r="T16" s="35">
        <f t="shared" si="0"/>
        <v>0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127.1298717948718</v>
      </c>
      <c r="Y16" s="35">
        <f t="shared" si="0"/>
        <v>0</v>
      </c>
      <c r="Z16" s="35">
        <f t="shared" si="0"/>
        <v>0</v>
      </c>
      <c r="AA16" s="35">
        <f t="shared" si="0"/>
        <v>0</v>
      </c>
      <c r="AB16" s="35">
        <f t="shared" si="0"/>
        <v>127.1298717948718</v>
      </c>
      <c r="AC16" s="35">
        <f t="shared" si="0"/>
        <v>0</v>
      </c>
      <c r="AD16" s="35">
        <f t="shared" si="0"/>
        <v>0</v>
      </c>
      <c r="AF16" s="380" t="s">
        <v>787</v>
      </c>
      <c r="AG16" s="19">
        <v>3</v>
      </c>
      <c r="AH16" s="19">
        <v>3</v>
      </c>
      <c r="AI16" s="302" t="s">
        <v>356</v>
      </c>
      <c r="AJ16" s="19"/>
      <c r="AK16" s="294" t="s">
        <v>575</v>
      </c>
      <c r="AL16" s="19" t="s">
        <v>889</v>
      </c>
      <c r="AN16" s="232"/>
      <c r="AO16" s="232">
        <f t="shared" si="4"/>
        <v>0</v>
      </c>
      <c r="AP16" s="232">
        <v>2</v>
      </c>
      <c r="AQ16" s="232">
        <f t="shared" si="5"/>
        <v>254.25974358974361</v>
      </c>
      <c r="AR16" s="232">
        <v>3</v>
      </c>
      <c r="AS16" s="232">
        <f t="shared" si="6"/>
        <v>381.38961538461541</v>
      </c>
      <c r="AT16" s="232"/>
      <c r="AU16" s="232">
        <f t="shared" si="7"/>
        <v>0</v>
      </c>
      <c r="AV16" s="232"/>
      <c r="AW16" s="232">
        <f t="shared" si="8"/>
        <v>0</v>
      </c>
      <c r="AX16" s="232"/>
      <c r="AY16" s="232">
        <f t="shared" si="9"/>
        <v>0</v>
      </c>
      <c r="AZ16" s="232"/>
      <c r="BA16" s="76">
        <f t="shared" si="10"/>
        <v>0</v>
      </c>
      <c r="BB16" s="232"/>
      <c r="BC16" s="232">
        <f t="shared" si="11"/>
        <v>0</v>
      </c>
      <c r="BD16" s="232"/>
      <c r="BE16" s="232">
        <f t="shared" si="12"/>
        <v>0</v>
      </c>
      <c r="BF16" s="232"/>
      <c r="BG16" s="232">
        <f t="shared" si="13"/>
        <v>0</v>
      </c>
      <c r="BH16" s="232"/>
      <c r="BI16" s="232">
        <f t="shared" si="14"/>
        <v>0</v>
      </c>
      <c r="BJ16" s="232"/>
      <c r="BK16" s="232">
        <f t="shared" si="15"/>
        <v>0</v>
      </c>
    </row>
    <row r="17" spans="1:67" ht="15.75" thickBot="1">
      <c r="A17" s="188">
        <v>14</v>
      </c>
      <c r="B17" s="187" t="str">
        <f>'[7]LIST S.NO'!C20</f>
        <v>R070100</v>
      </c>
      <c r="C17" s="39" t="str">
        <f t="shared" si="1"/>
        <v>XEM</v>
      </c>
      <c r="D17" s="43">
        <v>1</v>
      </c>
      <c r="E17" s="43"/>
      <c r="F17" s="29"/>
      <c r="G17" s="39"/>
      <c r="H17" s="29"/>
      <c r="I17" s="29"/>
      <c r="J17" s="29"/>
      <c r="K17" s="29">
        <v>1</v>
      </c>
      <c r="L17" s="29"/>
      <c r="M17" s="29"/>
      <c r="N17" s="29"/>
      <c r="O17" s="29"/>
      <c r="P17" s="38">
        <f t="shared" si="2"/>
        <v>2</v>
      </c>
      <c r="Q17" s="281">
        <f>'[7]LIST S.NO'!AM20</f>
        <v>513.20381730769236</v>
      </c>
      <c r="S17" s="35">
        <f t="shared" si="3"/>
        <v>513.20381730769236</v>
      </c>
      <c r="T17" s="35">
        <f t="shared" si="0"/>
        <v>0</v>
      </c>
      <c r="U17" s="35">
        <f t="shared" si="0"/>
        <v>0</v>
      </c>
      <c r="V17" s="35">
        <f t="shared" si="0"/>
        <v>0</v>
      </c>
      <c r="W17" s="35">
        <f t="shared" si="0"/>
        <v>0</v>
      </c>
      <c r="X17" s="35">
        <f t="shared" si="0"/>
        <v>0</v>
      </c>
      <c r="Y17" s="35">
        <f t="shared" si="0"/>
        <v>0</v>
      </c>
      <c r="Z17" s="35">
        <f t="shared" si="0"/>
        <v>513.20381730769236</v>
      </c>
      <c r="AA17" s="35">
        <f t="shared" si="0"/>
        <v>0</v>
      </c>
      <c r="AB17" s="35">
        <f t="shared" si="0"/>
        <v>0</v>
      </c>
      <c r="AC17" s="35">
        <f t="shared" si="0"/>
        <v>0</v>
      </c>
      <c r="AD17" s="35">
        <f t="shared" si="0"/>
        <v>0</v>
      </c>
      <c r="AF17" s="34" t="e">
        <v>#N/A</v>
      </c>
      <c r="AG17" s="19" t="e">
        <v>#N/A</v>
      </c>
      <c r="AH17" s="19" t="e">
        <v>#N/A</v>
      </c>
      <c r="AI17" s="19" t="e">
        <v>#N/A</v>
      </c>
      <c r="AJ17" s="19" t="e">
        <v>#N/A</v>
      </c>
      <c r="AK17" s="294" t="e">
        <v>#N/A</v>
      </c>
      <c r="AL17" s="19"/>
      <c r="AN17" s="232"/>
      <c r="AO17" s="232">
        <f t="shared" si="4"/>
        <v>0</v>
      </c>
      <c r="AP17" s="232"/>
      <c r="AQ17" s="232">
        <f t="shared" si="5"/>
        <v>0</v>
      </c>
      <c r="AR17" s="232"/>
      <c r="AS17" s="232">
        <f t="shared" si="6"/>
        <v>0</v>
      </c>
      <c r="AT17" s="232"/>
      <c r="AU17" s="232">
        <f t="shared" si="7"/>
        <v>0</v>
      </c>
      <c r="AV17" s="232"/>
      <c r="AW17" s="232">
        <f t="shared" si="8"/>
        <v>0</v>
      </c>
      <c r="AX17" s="232"/>
      <c r="AY17" s="232">
        <f t="shared" si="9"/>
        <v>0</v>
      </c>
      <c r="AZ17" s="232"/>
      <c r="BA17" s="76">
        <f t="shared" si="10"/>
        <v>0</v>
      </c>
      <c r="BB17" s="232"/>
      <c r="BC17" s="232">
        <f t="shared" si="11"/>
        <v>0</v>
      </c>
      <c r="BD17" s="232"/>
      <c r="BE17" s="232">
        <f t="shared" si="12"/>
        <v>0</v>
      </c>
      <c r="BF17" s="232"/>
      <c r="BG17" s="232">
        <f t="shared" si="13"/>
        <v>0</v>
      </c>
      <c r="BH17" s="232"/>
      <c r="BI17" s="232">
        <f t="shared" si="14"/>
        <v>0</v>
      </c>
      <c r="BJ17" s="232"/>
      <c r="BK17" s="232">
        <f t="shared" si="15"/>
        <v>0</v>
      </c>
    </row>
    <row r="18" spans="1:67" ht="18" thickBot="1">
      <c r="A18" s="44">
        <v>15</v>
      </c>
      <c r="B18" s="187" t="str">
        <f>'[7]LIST S.NO'!C21</f>
        <v>R175058</v>
      </c>
      <c r="C18" s="39" t="str">
        <f t="shared" si="1"/>
        <v>XEM</v>
      </c>
      <c r="D18" s="43"/>
      <c r="E18" s="43"/>
      <c r="F18" s="29"/>
      <c r="G18" s="29"/>
      <c r="H18" s="39"/>
      <c r="I18" s="29">
        <v>1</v>
      </c>
      <c r="J18" s="29"/>
      <c r="K18" s="29"/>
      <c r="L18" s="29"/>
      <c r="M18" s="29"/>
      <c r="N18" s="29"/>
      <c r="O18" s="29">
        <v>1</v>
      </c>
      <c r="P18" s="38">
        <f t="shared" si="2"/>
        <v>2</v>
      </c>
      <c r="Q18" s="281">
        <f>'[7]LIST S.NO'!AM21</f>
        <v>2534.7908096153847</v>
      </c>
      <c r="S18" s="35">
        <f t="shared" si="3"/>
        <v>0</v>
      </c>
      <c r="T18" s="35">
        <f t="shared" si="0"/>
        <v>0</v>
      </c>
      <c r="U18" s="35">
        <f t="shared" si="0"/>
        <v>0</v>
      </c>
      <c r="V18" s="35">
        <f t="shared" si="0"/>
        <v>0</v>
      </c>
      <c r="W18" s="35">
        <f t="shared" si="0"/>
        <v>0</v>
      </c>
      <c r="X18" s="35">
        <f t="shared" si="0"/>
        <v>2534.7908096153847</v>
      </c>
      <c r="Y18" s="35">
        <f t="shared" si="0"/>
        <v>0</v>
      </c>
      <c r="Z18" s="35">
        <f t="shared" si="0"/>
        <v>0</v>
      </c>
      <c r="AA18" s="35">
        <f t="shared" si="0"/>
        <v>0</v>
      </c>
      <c r="AB18" s="35">
        <f t="shared" si="0"/>
        <v>0</v>
      </c>
      <c r="AC18" s="35">
        <f t="shared" si="0"/>
        <v>0</v>
      </c>
      <c r="AD18" s="35">
        <f t="shared" si="0"/>
        <v>2534.7908096153847</v>
      </c>
      <c r="AF18" s="370" t="s">
        <v>862</v>
      </c>
      <c r="AG18" s="19">
        <v>17</v>
      </c>
      <c r="AH18" s="19">
        <v>4</v>
      </c>
      <c r="AI18" s="19" t="s">
        <v>99</v>
      </c>
      <c r="AJ18" s="19" t="s">
        <v>863</v>
      </c>
      <c r="AK18" s="310" t="s">
        <v>582</v>
      </c>
      <c r="AL18" s="19" t="s">
        <v>826</v>
      </c>
      <c r="AN18" s="232">
        <v>1</v>
      </c>
      <c r="AO18" s="76">
        <f t="shared" si="4"/>
        <v>2534.7908096153847</v>
      </c>
      <c r="AP18" s="232"/>
      <c r="AQ18" s="232">
        <f t="shared" si="5"/>
        <v>0</v>
      </c>
      <c r="AR18" s="232">
        <v>1</v>
      </c>
      <c r="AS18" s="232">
        <f t="shared" si="6"/>
        <v>2534.7908096153847</v>
      </c>
      <c r="AT18" s="232"/>
      <c r="AU18" s="232">
        <f t="shared" si="7"/>
        <v>0</v>
      </c>
      <c r="AV18" s="232"/>
      <c r="AW18" s="232">
        <f t="shared" si="8"/>
        <v>0</v>
      </c>
      <c r="AX18" s="232"/>
      <c r="AY18" s="232">
        <f t="shared" si="9"/>
        <v>0</v>
      </c>
      <c r="AZ18" s="232"/>
      <c r="BA18" s="76">
        <f t="shared" si="10"/>
        <v>0</v>
      </c>
      <c r="BB18" s="232"/>
      <c r="BC18" s="232">
        <f t="shared" si="11"/>
        <v>0</v>
      </c>
      <c r="BD18" s="232"/>
      <c r="BE18" s="232">
        <f t="shared" si="12"/>
        <v>0</v>
      </c>
      <c r="BF18" s="232"/>
      <c r="BG18" s="232">
        <f t="shared" si="13"/>
        <v>0</v>
      </c>
      <c r="BH18" s="232"/>
      <c r="BI18" s="232">
        <f t="shared" si="14"/>
        <v>0</v>
      </c>
      <c r="BJ18" s="232"/>
      <c r="BK18" s="232">
        <f t="shared" si="15"/>
        <v>0</v>
      </c>
    </row>
    <row r="19" spans="1:67">
      <c r="A19" s="188">
        <v>16</v>
      </c>
      <c r="B19" s="187" t="str">
        <f>'[7]LIST S.NO'!C22</f>
        <v>R021024</v>
      </c>
      <c r="C19" s="39" t="str">
        <f t="shared" si="1"/>
        <v>XEM</v>
      </c>
      <c r="D19" s="43"/>
      <c r="E19" s="43">
        <v>1</v>
      </c>
      <c r="F19" s="29"/>
      <c r="G19" s="29"/>
      <c r="H19" s="39"/>
      <c r="I19" s="29"/>
      <c r="J19" s="29">
        <v>1</v>
      </c>
      <c r="K19" s="29"/>
      <c r="L19" s="29"/>
      <c r="M19" s="29"/>
      <c r="N19" s="29"/>
      <c r="O19" s="29"/>
      <c r="P19" s="38">
        <f t="shared" si="2"/>
        <v>2</v>
      </c>
      <c r="Q19" s="281">
        <f>'[7]LIST S.NO'!AM22</f>
        <v>1432.8029852564105</v>
      </c>
      <c r="S19" s="35">
        <f t="shared" si="3"/>
        <v>0</v>
      </c>
      <c r="T19" s="35">
        <f t="shared" si="0"/>
        <v>1432.8029852564105</v>
      </c>
      <c r="U19" s="35">
        <f t="shared" si="0"/>
        <v>0</v>
      </c>
      <c r="V19" s="35">
        <f t="shared" si="0"/>
        <v>0</v>
      </c>
      <c r="W19" s="35">
        <f t="shared" si="0"/>
        <v>0</v>
      </c>
      <c r="X19" s="35">
        <f t="shared" si="0"/>
        <v>0</v>
      </c>
      <c r="Y19" s="35">
        <f t="shared" si="0"/>
        <v>1432.8029852564105</v>
      </c>
      <c r="Z19" s="35">
        <f t="shared" si="0"/>
        <v>0</v>
      </c>
      <c r="AA19" s="35">
        <f t="shared" si="0"/>
        <v>0</v>
      </c>
      <c r="AB19" s="35">
        <f t="shared" si="0"/>
        <v>0</v>
      </c>
      <c r="AC19" s="35">
        <f t="shared" si="0"/>
        <v>0</v>
      </c>
      <c r="AD19" s="35">
        <f t="shared" si="0"/>
        <v>0</v>
      </c>
      <c r="AF19" s="34" t="e">
        <v>#N/A</v>
      </c>
      <c r="AG19" s="19" t="e">
        <v>#N/A</v>
      </c>
      <c r="AH19" s="19" t="e">
        <v>#N/A</v>
      </c>
      <c r="AI19" s="19" t="e">
        <v>#N/A</v>
      </c>
      <c r="AJ19" s="19" t="e">
        <v>#N/A</v>
      </c>
      <c r="AK19" s="294" t="e">
        <v>#N/A</v>
      </c>
      <c r="AL19" s="19"/>
      <c r="AN19" s="232"/>
      <c r="AO19" s="232">
        <f t="shared" si="4"/>
        <v>0</v>
      </c>
      <c r="AP19" s="232"/>
      <c r="AQ19" s="232">
        <f t="shared" si="5"/>
        <v>0</v>
      </c>
      <c r="AR19" s="232"/>
      <c r="AS19" s="232">
        <f t="shared" si="6"/>
        <v>0</v>
      </c>
      <c r="AT19" s="232"/>
      <c r="AU19" s="232">
        <f t="shared" si="7"/>
        <v>0</v>
      </c>
      <c r="AV19" s="232"/>
      <c r="AW19" s="232">
        <f t="shared" si="8"/>
        <v>0</v>
      </c>
      <c r="AX19" s="232"/>
      <c r="AY19" s="232">
        <f t="shared" si="9"/>
        <v>0</v>
      </c>
      <c r="AZ19" s="232"/>
      <c r="BA19" s="76">
        <f t="shared" si="10"/>
        <v>0</v>
      </c>
      <c r="BB19" s="232"/>
      <c r="BC19" s="232">
        <f t="shared" si="11"/>
        <v>0</v>
      </c>
      <c r="BD19" s="232"/>
      <c r="BE19" s="232">
        <f t="shared" si="12"/>
        <v>0</v>
      </c>
      <c r="BF19" s="232"/>
      <c r="BG19" s="232">
        <f t="shared" si="13"/>
        <v>0</v>
      </c>
      <c r="BH19" s="232"/>
      <c r="BI19" s="232">
        <f t="shared" si="14"/>
        <v>0</v>
      </c>
      <c r="BJ19" s="232"/>
      <c r="BK19" s="232">
        <f t="shared" si="15"/>
        <v>0</v>
      </c>
    </row>
    <row r="20" spans="1:67">
      <c r="A20" s="44">
        <v>17</v>
      </c>
      <c r="B20" s="187" t="str">
        <f>'[7]LIST S.NO'!C23</f>
        <v>R307558</v>
      </c>
      <c r="C20" s="39" t="str">
        <f t="shared" si="1"/>
        <v>XEM</v>
      </c>
      <c r="D20" s="43"/>
      <c r="E20" s="43"/>
      <c r="F20" s="29"/>
      <c r="G20" s="29">
        <v>1</v>
      </c>
      <c r="H20" s="39"/>
      <c r="I20" s="29"/>
      <c r="J20" s="29"/>
      <c r="K20" s="29"/>
      <c r="L20" s="29">
        <v>1</v>
      </c>
      <c r="M20" s="29"/>
      <c r="N20" s="29"/>
      <c r="O20" s="29"/>
      <c r="P20" s="38">
        <f t="shared" si="2"/>
        <v>2</v>
      </c>
      <c r="Q20" s="281">
        <f>'[7]LIST S.NO'!AM23</f>
        <v>310.24109717948716</v>
      </c>
      <c r="S20" s="35">
        <f t="shared" si="3"/>
        <v>0</v>
      </c>
      <c r="T20" s="35">
        <f t="shared" si="3"/>
        <v>0</v>
      </c>
      <c r="U20" s="35">
        <f t="shared" si="3"/>
        <v>0</v>
      </c>
      <c r="V20" s="35">
        <f t="shared" si="3"/>
        <v>310.24109717948716</v>
      </c>
      <c r="W20" s="35">
        <f t="shared" si="3"/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35">
        <f t="shared" si="3"/>
        <v>310.24109717948716</v>
      </c>
      <c r="AB20" s="35">
        <f t="shared" si="3"/>
        <v>0</v>
      </c>
      <c r="AC20" s="35">
        <f t="shared" si="3"/>
        <v>0</v>
      </c>
      <c r="AD20" s="35">
        <f t="shared" si="3"/>
        <v>0</v>
      </c>
      <c r="AF20" s="380" t="s">
        <v>802</v>
      </c>
      <c r="AG20" s="19">
        <v>17</v>
      </c>
      <c r="AH20" s="19">
        <v>1</v>
      </c>
      <c r="AI20" s="19" t="s">
        <v>803</v>
      </c>
      <c r="AJ20" s="19" t="s">
        <v>804</v>
      </c>
      <c r="AK20" s="359" t="s">
        <v>582</v>
      </c>
      <c r="AL20" s="19"/>
      <c r="AN20" s="232"/>
      <c r="AO20" s="232">
        <f t="shared" si="4"/>
        <v>0</v>
      </c>
      <c r="AP20" s="232"/>
      <c r="AQ20" s="232">
        <f t="shared" si="5"/>
        <v>0</v>
      </c>
      <c r="AR20" s="232"/>
      <c r="AS20" s="232">
        <f t="shared" si="6"/>
        <v>0</v>
      </c>
      <c r="AT20" s="232"/>
      <c r="AU20" s="232">
        <f t="shared" si="7"/>
        <v>0</v>
      </c>
      <c r="AV20" s="232"/>
      <c r="AW20" s="232">
        <f t="shared" si="8"/>
        <v>0</v>
      </c>
      <c r="AX20" s="232"/>
      <c r="AY20" s="232">
        <f t="shared" si="9"/>
        <v>0</v>
      </c>
      <c r="AZ20" s="232"/>
      <c r="BA20" s="76">
        <f t="shared" si="10"/>
        <v>0</v>
      </c>
      <c r="BB20" s="232"/>
      <c r="BC20" s="232">
        <f t="shared" si="11"/>
        <v>0</v>
      </c>
      <c r="BD20" s="232"/>
      <c r="BE20" s="232">
        <f t="shared" si="12"/>
        <v>0</v>
      </c>
      <c r="BF20" s="232"/>
      <c r="BG20" s="232">
        <f t="shared" si="13"/>
        <v>0</v>
      </c>
      <c r="BH20" s="232"/>
      <c r="BI20" s="232">
        <f t="shared" si="14"/>
        <v>0</v>
      </c>
      <c r="BJ20" s="232"/>
      <c r="BK20" s="232">
        <f t="shared" si="15"/>
        <v>0</v>
      </c>
    </row>
    <row r="21" spans="1:67">
      <c r="A21" s="188">
        <v>18</v>
      </c>
      <c r="B21" s="187" t="str">
        <f>'[7]LIST S.NO'!C24</f>
        <v>R324592</v>
      </c>
      <c r="C21" s="39" t="str">
        <f t="shared" si="1"/>
        <v>XEM</v>
      </c>
      <c r="D21" s="42"/>
      <c r="E21" s="42"/>
      <c r="F21" s="40">
        <v>1</v>
      </c>
      <c r="G21" s="40"/>
      <c r="H21" s="41"/>
      <c r="I21" s="40"/>
      <c r="J21" s="40"/>
      <c r="K21" s="40"/>
      <c r="L21" s="40"/>
      <c r="M21" s="40"/>
      <c r="N21" s="40">
        <v>1</v>
      </c>
      <c r="O21" s="40"/>
      <c r="P21" s="38">
        <f t="shared" si="2"/>
        <v>2</v>
      </c>
      <c r="Q21" s="281">
        <f>'[7]LIST S.NO'!AM24</f>
        <v>1274.8222807692307</v>
      </c>
      <c r="S21" s="35">
        <f t="shared" si="3"/>
        <v>0</v>
      </c>
      <c r="T21" s="35">
        <f t="shared" si="3"/>
        <v>0</v>
      </c>
      <c r="U21" s="35">
        <f t="shared" si="3"/>
        <v>1274.8222807692307</v>
      </c>
      <c r="V21" s="35">
        <f t="shared" si="3"/>
        <v>0</v>
      </c>
      <c r="W21" s="35">
        <f t="shared" si="3"/>
        <v>0</v>
      </c>
      <c r="X21" s="35">
        <f t="shared" si="3"/>
        <v>0</v>
      </c>
      <c r="Y21" s="35">
        <f t="shared" si="3"/>
        <v>0</v>
      </c>
      <c r="Z21" s="35">
        <f t="shared" si="3"/>
        <v>0</v>
      </c>
      <c r="AA21" s="35">
        <f t="shared" si="3"/>
        <v>0</v>
      </c>
      <c r="AB21" s="35">
        <f t="shared" si="3"/>
        <v>0</v>
      </c>
      <c r="AC21" s="35">
        <f t="shared" si="3"/>
        <v>1274.8222807692307</v>
      </c>
      <c r="AD21" s="35">
        <f t="shared" si="3"/>
        <v>0</v>
      </c>
      <c r="AF21" s="34" t="e">
        <v>#N/A</v>
      </c>
      <c r="AG21" s="19" t="e">
        <v>#N/A</v>
      </c>
      <c r="AH21" s="19" t="e">
        <v>#N/A</v>
      </c>
      <c r="AI21" s="19" t="e">
        <v>#N/A</v>
      </c>
      <c r="AJ21" s="19" t="e">
        <v>#N/A</v>
      </c>
      <c r="AK21" s="294" t="e">
        <v>#N/A</v>
      </c>
      <c r="AL21" s="26"/>
      <c r="AN21" s="232"/>
      <c r="AO21" s="232">
        <f t="shared" si="4"/>
        <v>0</v>
      </c>
      <c r="AP21" s="232"/>
      <c r="AQ21" s="232">
        <f t="shared" si="5"/>
        <v>0</v>
      </c>
      <c r="AR21" s="232"/>
      <c r="AS21" s="232">
        <f t="shared" si="6"/>
        <v>0</v>
      </c>
      <c r="AT21" s="232"/>
      <c r="AU21" s="232">
        <f t="shared" si="7"/>
        <v>0</v>
      </c>
      <c r="AV21" s="232"/>
      <c r="AW21" s="232">
        <f t="shared" si="8"/>
        <v>0</v>
      </c>
      <c r="AX21" s="232"/>
      <c r="AY21" s="232">
        <f t="shared" si="9"/>
        <v>0</v>
      </c>
      <c r="AZ21" s="232"/>
      <c r="BA21" s="76">
        <f t="shared" si="10"/>
        <v>0</v>
      </c>
      <c r="BB21" s="232"/>
      <c r="BC21" s="232">
        <f t="shared" si="11"/>
        <v>0</v>
      </c>
      <c r="BD21" s="232"/>
      <c r="BE21" s="232">
        <f t="shared" si="12"/>
        <v>0</v>
      </c>
      <c r="BF21" s="232"/>
      <c r="BG21" s="232">
        <f t="shared" si="13"/>
        <v>0</v>
      </c>
      <c r="BH21" s="232"/>
      <c r="BI21" s="232">
        <f t="shared" si="14"/>
        <v>0</v>
      </c>
      <c r="BJ21" s="232"/>
      <c r="BK21" s="232">
        <f t="shared" si="15"/>
        <v>0</v>
      </c>
    </row>
    <row r="22" spans="1:67">
      <c r="A22" s="44">
        <v>19</v>
      </c>
      <c r="B22" s="187" t="str">
        <f>'[7]LIST S.NO'!C25</f>
        <v>R070109</v>
      </c>
      <c r="C22" s="39" t="str">
        <f t="shared" si="1"/>
        <v>XEM</v>
      </c>
      <c r="D22" s="37"/>
      <c r="E22" s="37"/>
      <c r="F22" s="22"/>
      <c r="G22" s="22">
        <v>1</v>
      </c>
      <c r="H22" s="22"/>
      <c r="I22" s="22"/>
      <c r="J22" s="22"/>
      <c r="K22" s="22">
        <v>1</v>
      </c>
      <c r="L22" s="22"/>
      <c r="M22" s="22"/>
      <c r="N22" s="22"/>
      <c r="O22" s="22"/>
      <c r="P22" s="38">
        <f t="shared" si="2"/>
        <v>2</v>
      </c>
      <c r="Q22" s="281">
        <f>'[7]LIST S.NO'!AM25</f>
        <v>364.8907737179486</v>
      </c>
      <c r="S22" s="35">
        <f t="shared" si="3"/>
        <v>0</v>
      </c>
      <c r="T22" s="35">
        <f t="shared" si="3"/>
        <v>0</v>
      </c>
      <c r="U22" s="35">
        <f t="shared" si="3"/>
        <v>0</v>
      </c>
      <c r="V22" s="35">
        <f t="shared" si="3"/>
        <v>364.8907737179486</v>
      </c>
      <c r="W22" s="35">
        <f t="shared" si="3"/>
        <v>0</v>
      </c>
      <c r="X22" s="35">
        <f t="shared" si="3"/>
        <v>0</v>
      </c>
      <c r="Y22" s="35">
        <f t="shared" si="3"/>
        <v>0</v>
      </c>
      <c r="Z22" s="35">
        <f t="shared" si="3"/>
        <v>364.8907737179486</v>
      </c>
      <c r="AA22" s="35">
        <f t="shared" si="3"/>
        <v>0</v>
      </c>
      <c r="AB22" s="35">
        <f t="shared" si="3"/>
        <v>0</v>
      </c>
      <c r="AC22" s="35">
        <f t="shared" si="3"/>
        <v>0</v>
      </c>
      <c r="AD22" s="35">
        <f t="shared" si="3"/>
        <v>0</v>
      </c>
      <c r="AF22" s="34" t="e">
        <v>#N/A</v>
      </c>
      <c r="AG22" s="19" t="e">
        <v>#N/A</v>
      </c>
      <c r="AH22" s="19" t="e">
        <v>#N/A</v>
      </c>
      <c r="AI22" s="19" t="e">
        <v>#N/A</v>
      </c>
      <c r="AJ22" s="19" t="e">
        <v>#N/A</v>
      </c>
      <c r="AK22" s="294" t="e">
        <v>#N/A</v>
      </c>
      <c r="AL22" s="19"/>
      <c r="AN22" s="232"/>
      <c r="AO22" s="232">
        <f t="shared" si="4"/>
        <v>0</v>
      </c>
      <c r="AP22" s="232"/>
      <c r="AQ22" s="232">
        <f t="shared" si="5"/>
        <v>0</v>
      </c>
      <c r="AR22" s="232"/>
      <c r="AS22" s="232">
        <f t="shared" si="6"/>
        <v>0</v>
      </c>
      <c r="AT22" s="232"/>
      <c r="AU22" s="232">
        <f t="shared" si="7"/>
        <v>0</v>
      </c>
      <c r="AV22" s="232"/>
      <c r="AW22" s="232">
        <f t="shared" si="8"/>
        <v>0</v>
      </c>
      <c r="AX22" s="232"/>
      <c r="AY22" s="232">
        <f t="shared" si="9"/>
        <v>0</v>
      </c>
      <c r="AZ22" s="232"/>
      <c r="BA22" s="76">
        <f t="shared" si="10"/>
        <v>0</v>
      </c>
      <c r="BB22" s="232"/>
      <c r="BC22" s="232">
        <f t="shared" si="11"/>
        <v>0</v>
      </c>
      <c r="BD22" s="232"/>
      <c r="BE22" s="232">
        <f t="shared" si="12"/>
        <v>0</v>
      </c>
      <c r="BF22" s="232"/>
      <c r="BG22" s="232">
        <f t="shared" si="13"/>
        <v>0</v>
      </c>
      <c r="BH22" s="232"/>
      <c r="BI22" s="232">
        <f t="shared" si="14"/>
        <v>0</v>
      </c>
      <c r="BJ22" s="232"/>
      <c r="BK22" s="232">
        <f t="shared" si="15"/>
        <v>0</v>
      </c>
    </row>
    <row r="23" spans="1:67">
      <c r="A23" s="188">
        <v>20</v>
      </c>
      <c r="B23" s="187" t="str">
        <f>'[7]LIST S.NO'!C26</f>
        <v>R067554</v>
      </c>
      <c r="C23" s="39" t="str">
        <f t="shared" si="1"/>
        <v>XEM</v>
      </c>
      <c r="D23" s="37"/>
      <c r="E23" s="37"/>
      <c r="F23" s="22">
        <v>1</v>
      </c>
      <c r="G23" s="22"/>
      <c r="H23" s="22"/>
      <c r="I23" s="22"/>
      <c r="J23" s="22"/>
      <c r="K23" s="22"/>
      <c r="L23" s="22">
        <v>1</v>
      </c>
      <c r="M23" s="22"/>
      <c r="N23" s="22"/>
      <c r="O23" s="22"/>
      <c r="P23" s="38">
        <f t="shared" si="2"/>
        <v>2</v>
      </c>
      <c r="Q23" s="281">
        <f>'[7]LIST S.NO'!AM26</f>
        <v>332.03944102564105</v>
      </c>
      <c r="S23" s="35">
        <f t="shared" si="3"/>
        <v>0</v>
      </c>
      <c r="T23" s="35">
        <f t="shared" si="3"/>
        <v>0</v>
      </c>
      <c r="U23" s="35">
        <f t="shared" si="3"/>
        <v>332.03944102564105</v>
      </c>
      <c r="V23" s="35">
        <f t="shared" si="3"/>
        <v>0</v>
      </c>
      <c r="W23" s="35">
        <f t="shared" si="3"/>
        <v>0</v>
      </c>
      <c r="X23" s="35">
        <f t="shared" si="3"/>
        <v>0</v>
      </c>
      <c r="Y23" s="35">
        <f t="shared" si="3"/>
        <v>0</v>
      </c>
      <c r="Z23" s="35">
        <f t="shared" si="3"/>
        <v>0</v>
      </c>
      <c r="AA23" s="35">
        <f t="shared" si="3"/>
        <v>332.03944102564105</v>
      </c>
      <c r="AB23" s="35">
        <f t="shared" si="3"/>
        <v>0</v>
      </c>
      <c r="AC23" s="35">
        <f t="shared" si="3"/>
        <v>0</v>
      </c>
      <c r="AD23" s="35">
        <f t="shared" si="3"/>
        <v>0</v>
      </c>
      <c r="AF23" s="34" t="e">
        <v>#N/A</v>
      </c>
      <c r="AG23" s="19" t="e">
        <v>#N/A</v>
      </c>
      <c r="AH23" s="19" t="e">
        <v>#N/A</v>
      </c>
      <c r="AI23" s="19" t="e">
        <v>#N/A</v>
      </c>
      <c r="AJ23" s="19" t="e">
        <v>#N/A</v>
      </c>
      <c r="AK23" s="294" t="e">
        <v>#N/A</v>
      </c>
      <c r="AL23" s="19"/>
      <c r="AN23" s="232"/>
      <c r="AO23" s="232">
        <f t="shared" si="4"/>
        <v>0</v>
      </c>
      <c r="AP23" s="232"/>
      <c r="AQ23" s="232">
        <f t="shared" si="5"/>
        <v>0</v>
      </c>
      <c r="AR23" s="232"/>
      <c r="AS23" s="232">
        <f t="shared" si="6"/>
        <v>0</v>
      </c>
      <c r="AT23" s="232"/>
      <c r="AU23" s="232">
        <f t="shared" si="7"/>
        <v>0</v>
      </c>
      <c r="AV23" s="232"/>
      <c r="AW23" s="232">
        <f t="shared" si="8"/>
        <v>0</v>
      </c>
      <c r="AX23" s="232"/>
      <c r="AY23" s="232">
        <f t="shared" si="9"/>
        <v>0</v>
      </c>
      <c r="AZ23" s="232"/>
      <c r="BA23" s="76">
        <f t="shared" si="10"/>
        <v>0</v>
      </c>
      <c r="BB23" s="232"/>
      <c r="BC23" s="232">
        <f t="shared" si="11"/>
        <v>0</v>
      </c>
      <c r="BD23" s="232"/>
      <c r="BE23" s="232">
        <f t="shared" si="12"/>
        <v>0</v>
      </c>
      <c r="BF23" s="232"/>
      <c r="BG23" s="232">
        <f t="shared" si="13"/>
        <v>0</v>
      </c>
      <c r="BH23" s="232"/>
      <c r="BI23" s="232">
        <f t="shared" si="14"/>
        <v>0</v>
      </c>
      <c r="BJ23" s="232"/>
      <c r="BK23" s="232">
        <f t="shared" si="15"/>
        <v>0</v>
      </c>
    </row>
    <row r="24" spans="1:67">
      <c r="A24" s="44">
        <v>21</v>
      </c>
      <c r="B24" s="187" t="str">
        <f>'[7]LIST S.NO'!C27</f>
        <v>S939685</v>
      </c>
      <c r="C24" s="39" t="str">
        <f t="shared" si="1"/>
        <v>XEM</v>
      </c>
      <c r="D24" s="37"/>
      <c r="E24" s="37"/>
      <c r="F24" s="22"/>
      <c r="G24" s="22"/>
      <c r="H24" s="22">
        <v>1</v>
      </c>
      <c r="I24" s="22"/>
      <c r="J24" s="22"/>
      <c r="K24" s="22"/>
      <c r="L24" s="22"/>
      <c r="M24" s="22"/>
      <c r="N24" s="22">
        <v>1</v>
      </c>
      <c r="O24" s="22"/>
      <c r="P24" s="38">
        <f t="shared" si="2"/>
        <v>2</v>
      </c>
      <c r="Q24" s="281">
        <f>'[7]LIST S.NO'!AM27</f>
        <v>1034.6751326923077</v>
      </c>
      <c r="S24" s="35">
        <f t="shared" si="3"/>
        <v>0</v>
      </c>
      <c r="T24" s="35">
        <f t="shared" si="3"/>
        <v>0</v>
      </c>
      <c r="U24" s="35">
        <f t="shared" si="3"/>
        <v>0</v>
      </c>
      <c r="V24" s="35">
        <f t="shared" si="3"/>
        <v>0</v>
      </c>
      <c r="W24" s="35">
        <f t="shared" si="3"/>
        <v>1034.6751326923077</v>
      </c>
      <c r="X24" s="35">
        <f t="shared" si="3"/>
        <v>0</v>
      </c>
      <c r="Y24" s="35">
        <f t="shared" si="3"/>
        <v>0</v>
      </c>
      <c r="Z24" s="35">
        <f t="shared" si="3"/>
        <v>0</v>
      </c>
      <c r="AA24" s="35">
        <f t="shared" si="3"/>
        <v>0</v>
      </c>
      <c r="AB24" s="35">
        <f t="shared" si="3"/>
        <v>0</v>
      </c>
      <c r="AC24" s="35">
        <f t="shared" si="3"/>
        <v>1034.6751326923077</v>
      </c>
      <c r="AD24" s="35">
        <f t="shared" si="3"/>
        <v>0</v>
      </c>
      <c r="AF24" s="380" t="s">
        <v>576</v>
      </c>
      <c r="AG24" s="19">
        <v>32</v>
      </c>
      <c r="AH24" s="19">
        <v>2</v>
      </c>
      <c r="AI24" s="302" t="s">
        <v>720</v>
      </c>
      <c r="AJ24" s="19"/>
      <c r="AK24" s="294" t="s">
        <v>577</v>
      </c>
      <c r="AL24" s="19" t="s">
        <v>721</v>
      </c>
      <c r="AN24" s="232">
        <v>2</v>
      </c>
      <c r="AO24" s="76">
        <f t="shared" si="4"/>
        <v>2069.3502653846153</v>
      </c>
      <c r="AP24" s="232"/>
      <c r="AQ24" s="232">
        <f t="shared" si="5"/>
        <v>0</v>
      </c>
      <c r="AR24" s="232"/>
      <c r="AS24" s="232">
        <f t="shared" si="6"/>
        <v>0</v>
      </c>
      <c r="AT24" s="232"/>
      <c r="AU24" s="232">
        <f t="shared" si="7"/>
        <v>0</v>
      </c>
      <c r="AV24" s="232"/>
      <c r="AW24" s="232">
        <f t="shared" si="8"/>
        <v>0</v>
      </c>
      <c r="AX24" s="232"/>
      <c r="AY24" s="232">
        <f t="shared" si="9"/>
        <v>0</v>
      </c>
      <c r="AZ24" s="232"/>
      <c r="BA24" s="76">
        <f t="shared" si="10"/>
        <v>0</v>
      </c>
      <c r="BB24" s="232"/>
      <c r="BC24" s="232">
        <f t="shared" si="11"/>
        <v>0</v>
      </c>
      <c r="BD24" s="232"/>
      <c r="BE24" s="232">
        <f t="shared" si="12"/>
        <v>0</v>
      </c>
      <c r="BF24" s="232"/>
      <c r="BG24" s="232">
        <f t="shared" si="13"/>
        <v>0</v>
      </c>
      <c r="BH24" s="232"/>
      <c r="BI24" s="232">
        <f t="shared" si="14"/>
        <v>0</v>
      </c>
      <c r="BJ24" s="232"/>
      <c r="BK24" s="232">
        <f t="shared" si="15"/>
        <v>0</v>
      </c>
    </row>
    <row r="25" spans="1:67">
      <c r="A25" s="188">
        <v>22</v>
      </c>
      <c r="B25" s="187" t="str">
        <f>'[7]LIST S.NO'!C28</f>
        <v>R480421</v>
      </c>
      <c r="C25" s="39" t="str">
        <f t="shared" si="1"/>
        <v>XEM</v>
      </c>
      <c r="D25" s="37">
        <v>1</v>
      </c>
      <c r="E25" s="37"/>
      <c r="F25" s="22"/>
      <c r="G25" s="22"/>
      <c r="H25" s="22"/>
      <c r="I25" s="22"/>
      <c r="J25" s="22">
        <v>1</v>
      </c>
      <c r="K25" s="22"/>
      <c r="L25" s="22"/>
      <c r="M25" s="22"/>
      <c r="N25" s="22"/>
      <c r="O25" s="22"/>
      <c r="P25" s="38">
        <f t="shared" si="2"/>
        <v>2</v>
      </c>
      <c r="Q25" s="281">
        <f>'[7]LIST S.NO'!AM28</f>
        <v>479.31151923076931</v>
      </c>
      <c r="S25" s="35">
        <f t="shared" si="3"/>
        <v>479.31151923076931</v>
      </c>
      <c r="T25" s="35">
        <f t="shared" si="3"/>
        <v>0</v>
      </c>
      <c r="U25" s="35">
        <f t="shared" si="3"/>
        <v>0</v>
      </c>
      <c r="V25" s="35">
        <f t="shared" si="3"/>
        <v>0</v>
      </c>
      <c r="W25" s="35">
        <f t="shared" si="3"/>
        <v>0</v>
      </c>
      <c r="X25" s="35">
        <f t="shared" si="3"/>
        <v>0</v>
      </c>
      <c r="Y25" s="35">
        <f t="shared" si="3"/>
        <v>479.31151923076931</v>
      </c>
      <c r="Z25" s="35">
        <f t="shared" si="3"/>
        <v>0</v>
      </c>
      <c r="AA25" s="35">
        <f t="shared" si="3"/>
        <v>0</v>
      </c>
      <c r="AB25" s="35">
        <f t="shared" si="3"/>
        <v>0</v>
      </c>
      <c r="AC25" s="35">
        <f t="shared" si="3"/>
        <v>0</v>
      </c>
      <c r="AD25" s="35">
        <f t="shared" si="3"/>
        <v>0</v>
      </c>
      <c r="AF25" s="34" t="e">
        <v>#N/A</v>
      </c>
      <c r="AG25" s="19" t="e">
        <v>#N/A</v>
      </c>
      <c r="AH25" s="19" t="e">
        <v>#N/A</v>
      </c>
      <c r="AI25" s="19" t="e">
        <v>#N/A</v>
      </c>
      <c r="AJ25" s="19" t="e">
        <v>#N/A</v>
      </c>
      <c r="AK25" s="294" t="e">
        <v>#N/A</v>
      </c>
      <c r="AL25" s="19"/>
      <c r="AN25" s="232"/>
      <c r="AO25" s="232">
        <f t="shared" si="4"/>
        <v>0</v>
      </c>
      <c r="AP25" s="232"/>
      <c r="AQ25" s="232">
        <f t="shared" si="5"/>
        <v>0</v>
      </c>
      <c r="AR25" s="232"/>
      <c r="AS25" s="232">
        <f t="shared" si="6"/>
        <v>0</v>
      </c>
      <c r="AT25" s="232"/>
      <c r="AU25" s="232">
        <f t="shared" si="7"/>
        <v>0</v>
      </c>
      <c r="AV25" s="232"/>
      <c r="AW25" s="232">
        <f t="shared" si="8"/>
        <v>0</v>
      </c>
      <c r="AX25" s="232"/>
      <c r="AY25" s="232">
        <f t="shared" si="9"/>
        <v>0</v>
      </c>
      <c r="AZ25" s="232"/>
      <c r="BA25" s="76">
        <f t="shared" si="10"/>
        <v>0</v>
      </c>
      <c r="BB25" s="232"/>
      <c r="BC25" s="232">
        <f t="shared" si="11"/>
        <v>0</v>
      </c>
      <c r="BD25" s="232"/>
      <c r="BE25" s="232">
        <f t="shared" si="12"/>
        <v>0</v>
      </c>
      <c r="BF25" s="232"/>
      <c r="BG25" s="232">
        <f t="shared" si="13"/>
        <v>0</v>
      </c>
      <c r="BH25" s="232"/>
      <c r="BI25" s="232">
        <f t="shared" si="14"/>
        <v>0</v>
      </c>
      <c r="BJ25" s="232"/>
      <c r="BK25" s="232">
        <f t="shared" si="15"/>
        <v>0</v>
      </c>
    </row>
    <row r="26" spans="1:67">
      <c r="A26" s="44">
        <v>23</v>
      </c>
      <c r="B26" s="187" t="str">
        <f>'[7]LIST S.NO'!C29</f>
        <v>R372298</v>
      </c>
      <c r="C26" s="39" t="str">
        <f t="shared" si="1"/>
        <v>XEM</v>
      </c>
      <c r="D26" s="37"/>
      <c r="E26" s="37"/>
      <c r="F26" s="22"/>
      <c r="G26" s="22">
        <v>1</v>
      </c>
      <c r="H26" s="22"/>
      <c r="I26" s="22"/>
      <c r="J26" s="22"/>
      <c r="K26" s="22"/>
      <c r="L26" s="22"/>
      <c r="M26" s="22">
        <v>1</v>
      </c>
      <c r="N26" s="22"/>
      <c r="O26" s="22"/>
      <c r="P26" s="38">
        <f t="shared" si="2"/>
        <v>2</v>
      </c>
      <c r="Q26" s="281">
        <f>'[7]LIST S.NO'!AM29</f>
        <v>359.31127500000002</v>
      </c>
      <c r="S26" s="35">
        <f t="shared" si="3"/>
        <v>0</v>
      </c>
      <c r="T26" s="35">
        <f t="shared" si="3"/>
        <v>0</v>
      </c>
      <c r="U26" s="35">
        <f t="shared" si="3"/>
        <v>0</v>
      </c>
      <c r="V26" s="35">
        <f t="shared" si="3"/>
        <v>359.31127500000002</v>
      </c>
      <c r="W26" s="35">
        <f t="shared" si="3"/>
        <v>0</v>
      </c>
      <c r="X26" s="35">
        <f t="shared" si="3"/>
        <v>0</v>
      </c>
      <c r="Y26" s="35">
        <f t="shared" si="3"/>
        <v>0</v>
      </c>
      <c r="Z26" s="35">
        <f t="shared" si="3"/>
        <v>0</v>
      </c>
      <c r="AA26" s="35">
        <f t="shared" si="3"/>
        <v>0</v>
      </c>
      <c r="AB26" s="35">
        <f t="shared" si="3"/>
        <v>359.31127500000002</v>
      </c>
      <c r="AC26" s="35">
        <f t="shared" si="3"/>
        <v>0</v>
      </c>
      <c r="AD26" s="35">
        <f t="shared" si="3"/>
        <v>0</v>
      </c>
      <c r="AF26" s="380" t="s">
        <v>578</v>
      </c>
      <c r="AG26" s="19">
        <v>19</v>
      </c>
      <c r="AH26" s="19">
        <v>2</v>
      </c>
      <c r="AI26" s="302" t="s">
        <v>356</v>
      </c>
      <c r="AJ26" s="19"/>
      <c r="AK26" s="310" t="s">
        <v>579</v>
      </c>
      <c r="AL26" s="19" t="s">
        <v>793</v>
      </c>
      <c r="AN26" s="232"/>
      <c r="AO26" s="232">
        <f t="shared" si="4"/>
        <v>0</v>
      </c>
      <c r="AP26" s="232">
        <v>2</v>
      </c>
      <c r="AQ26" s="232">
        <f t="shared" si="5"/>
        <v>718.62255000000005</v>
      </c>
      <c r="AR26" s="232"/>
      <c r="AS26" s="232">
        <f t="shared" si="6"/>
        <v>0</v>
      </c>
      <c r="AT26" s="232"/>
      <c r="AU26" s="232">
        <f t="shared" si="7"/>
        <v>0</v>
      </c>
      <c r="AV26" s="232"/>
      <c r="AW26" s="232">
        <f t="shared" si="8"/>
        <v>0</v>
      </c>
      <c r="AX26" s="232"/>
      <c r="AY26" s="232">
        <f t="shared" si="9"/>
        <v>0</v>
      </c>
      <c r="AZ26" s="232"/>
      <c r="BA26" s="76">
        <f t="shared" si="10"/>
        <v>0</v>
      </c>
      <c r="BB26" s="232"/>
      <c r="BC26" s="232">
        <f t="shared" si="11"/>
        <v>0</v>
      </c>
      <c r="BD26" s="232"/>
      <c r="BE26" s="232">
        <f t="shared" si="12"/>
        <v>0</v>
      </c>
      <c r="BF26" s="232"/>
      <c r="BG26" s="232">
        <f t="shared" si="13"/>
        <v>0</v>
      </c>
      <c r="BH26" s="232"/>
      <c r="BI26" s="232">
        <f t="shared" si="14"/>
        <v>0</v>
      </c>
      <c r="BJ26" s="232"/>
      <c r="BK26" s="232">
        <f t="shared" si="15"/>
        <v>0</v>
      </c>
    </row>
    <row r="27" spans="1:67">
      <c r="A27" s="188">
        <v>24</v>
      </c>
      <c r="B27" s="187" t="str">
        <f>'[7]LIST S.NO'!C30</f>
        <v>R067142</v>
      </c>
      <c r="C27" s="39" t="str">
        <f t="shared" si="1"/>
        <v>XEM</v>
      </c>
      <c r="D27" s="37"/>
      <c r="E27" s="37"/>
      <c r="F27" s="22"/>
      <c r="G27" s="22"/>
      <c r="H27" s="22"/>
      <c r="I27" s="22">
        <v>1</v>
      </c>
      <c r="J27" s="22"/>
      <c r="K27" s="22"/>
      <c r="L27" s="22"/>
      <c r="M27" s="22"/>
      <c r="N27" s="22"/>
      <c r="O27" s="22">
        <v>1</v>
      </c>
      <c r="P27" s="38">
        <f t="shared" si="2"/>
        <v>2</v>
      </c>
      <c r="Q27" s="281">
        <f>'[7]LIST S.NO'!AM30</f>
        <v>384.25929615384609</v>
      </c>
      <c r="S27" s="35">
        <f t="shared" si="3"/>
        <v>0</v>
      </c>
      <c r="T27" s="35">
        <f t="shared" si="3"/>
        <v>0</v>
      </c>
      <c r="U27" s="35">
        <f t="shared" si="3"/>
        <v>0</v>
      </c>
      <c r="V27" s="35">
        <f t="shared" si="3"/>
        <v>0</v>
      </c>
      <c r="W27" s="35">
        <f t="shared" si="3"/>
        <v>0</v>
      </c>
      <c r="X27" s="35">
        <f t="shared" si="3"/>
        <v>384.25929615384609</v>
      </c>
      <c r="Y27" s="35">
        <f t="shared" si="3"/>
        <v>0</v>
      </c>
      <c r="Z27" s="35">
        <f t="shared" si="3"/>
        <v>0</v>
      </c>
      <c r="AA27" s="35">
        <f t="shared" si="3"/>
        <v>0</v>
      </c>
      <c r="AB27" s="35">
        <f t="shared" si="3"/>
        <v>0</v>
      </c>
      <c r="AC27" s="35">
        <f t="shared" si="3"/>
        <v>0</v>
      </c>
      <c r="AD27" s="35">
        <f t="shared" si="3"/>
        <v>384.25929615384609</v>
      </c>
      <c r="AF27" s="380" t="s">
        <v>580</v>
      </c>
      <c r="AG27" s="19">
        <v>5</v>
      </c>
      <c r="AH27" s="19">
        <v>3</v>
      </c>
      <c r="AI27" s="302" t="s">
        <v>805</v>
      </c>
      <c r="AJ27" s="19"/>
      <c r="AK27" s="310" t="s">
        <v>568</v>
      </c>
      <c r="AL27" s="19" t="s">
        <v>888</v>
      </c>
      <c r="AN27" s="232"/>
      <c r="AO27" s="232">
        <f t="shared" si="4"/>
        <v>0</v>
      </c>
      <c r="AP27" s="232"/>
      <c r="AQ27" s="232">
        <f t="shared" si="5"/>
        <v>0</v>
      </c>
      <c r="AR27" s="232">
        <v>3</v>
      </c>
      <c r="AS27" s="232">
        <f t="shared" si="6"/>
        <v>1152.7778884615382</v>
      </c>
      <c r="AT27" s="232"/>
      <c r="AU27" s="232">
        <f t="shared" si="7"/>
        <v>0</v>
      </c>
      <c r="AV27" s="232"/>
      <c r="AW27" s="232">
        <f t="shared" si="8"/>
        <v>0</v>
      </c>
      <c r="AX27" s="232"/>
      <c r="AY27" s="232">
        <f t="shared" si="9"/>
        <v>0</v>
      </c>
      <c r="AZ27" s="232"/>
      <c r="BA27" s="76">
        <f t="shared" si="10"/>
        <v>0</v>
      </c>
      <c r="BB27" s="232"/>
      <c r="BC27" s="232">
        <f t="shared" si="11"/>
        <v>0</v>
      </c>
      <c r="BD27" s="232"/>
      <c r="BE27" s="232">
        <f t="shared" si="12"/>
        <v>0</v>
      </c>
      <c r="BF27" s="232"/>
      <c r="BG27" s="232">
        <f t="shared" si="13"/>
        <v>0</v>
      </c>
      <c r="BH27" s="232"/>
      <c r="BI27" s="232">
        <f t="shared" si="14"/>
        <v>0</v>
      </c>
      <c r="BJ27" s="232"/>
      <c r="BK27" s="232">
        <f t="shared" si="15"/>
        <v>0</v>
      </c>
    </row>
    <row r="28" spans="1:67">
      <c r="A28" s="44">
        <v>25</v>
      </c>
      <c r="B28" s="187" t="str">
        <f>'[7]LIST S.NO'!C31</f>
        <v>S837815</v>
      </c>
      <c r="C28" s="39" t="str">
        <f t="shared" si="1"/>
        <v>XEM</v>
      </c>
      <c r="D28" s="37"/>
      <c r="E28" s="37"/>
      <c r="F28" s="22"/>
      <c r="G28" s="22"/>
      <c r="H28" s="22">
        <v>2</v>
      </c>
      <c r="I28" s="22"/>
      <c r="J28" s="22"/>
      <c r="K28" s="22"/>
      <c r="L28" s="22"/>
      <c r="M28" s="22"/>
      <c r="N28" s="22"/>
      <c r="O28" s="22"/>
      <c r="P28" s="38">
        <f t="shared" si="2"/>
        <v>2</v>
      </c>
      <c r="Q28" s="281">
        <f>'[7]LIST S.NO'!AM31</f>
        <v>401.82805192307694</v>
      </c>
      <c r="S28" s="35">
        <f t="shared" si="3"/>
        <v>0</v>
      </c>
      <c r="T28" s="35">
        <f t="shared" si="3"/>
        <v>0</v>
      </c>
      <c r="U28" s="35">
        <f t="shared" si="3"/>
        <v>0</v>
      </c>
      <c r="V28" s="35">
        <f t="shared" si="3"/>
        <v>0</v>
      </c>
      <c r="W28" s="35">
        <f t="shared" si="3"/>
        <v>803.65610384615388</v>
      </c>
      <c r="X28" s="35">
        <f t="shared" si="3"/>
        <v>0</v>
      </c>
      <c r="Y28" s="35">
        <f t="shared" si="3"/>
        <v>0</v>
      </c>
      <c r="Z28" s="35">
        <f t="shared" si="3"/>
        <v>0</v>
      </c>
      <c r="AA28" s="35">
        <f t="shared" si="3"/>
        <v>0</v>
      </c>
      <c r="AB28" s="35">
        <f t="shared" si="3"/>
        <v>0</v>
      </c>
      <c r="AC28" s="35">
        <f t="shared" si="3"/>
        <v>0</v>
      </c>
      <c r="AD28" s="35">
        <f t="shared" si="3"/>
        <v>0</v>
      </c>
      <c r="AF28" s="380" t="s">
        <v>773</v>
      </c>
      <c r="AG28" s="19">
        <v>32</v>
      </c>
      <c r="AH28" s="19">
        <v>4</v>
      </c>
      <c r="AI28" s="19" t="s">
        <v>356</v>
      </c>
      <c r="AJ28" s="19"/>
      <c r="AK28" s="310" t="s">
        <v>589</v>
      </c>
      <c r="AL28" s="19" t="s">
        <v>890</v>
      </c>
      <c r="AN28" s="75"/>
      <c r="AO28" s="232">
        <f t="shared" si="4"/>
        <v>0</v>
      </c>
      <c r="AP28" s="75">
        <v>2</v>
      </c>
      <c r="AQ28" s="232">
        <f t="shared" si="5"/>
        <v>803.65610384615388</v>
      </c>
      <c r="AR28" s="75">
        <v>4</v>
      </c>
      <c r="AS28" s="232">
        <f t="shared" si="6"/>
        <v>1607.3122076923078</v>
      </c>
      <c r="AT28" s="75"/>
      <c r="AU28" s="232">
        <f t="shared" si="7"/>
        <v>0</v>
      </c>
      <c r="AV28" s="75"/>
      <c r="AW28" s="232">
        <f t="shared" si="8"/>
        <v>0</v>
      </c>
      <c r="AX28" s="75"/>
      <c r="AY28" s="232">
        <f t="shared" si="9"/>
        <v>0</v>
      </c>
      <c r="AZ28" s="75"/>
      <c r="BA28" s="76">
        <f t="shared" si="10"/>
        <v>0</v>
      </c>
      <c r="BB28" s="75"/>
      <c r="BC28" s="232">
        <f t="shared" si="11"/>
        <v>0</v>
      </c>
      <c r="BD28" s="75"/>
      <c r="BE28" s="232">
        <f t="shared" si="12"/>
        <v>0</v>
      </c>
      <c r="BF28" s="75"/>
      <c r="BG28" s="232">
        <f t="shared" si="13"/>
        <v>0</v>
      </c>
      <c r="BH28" s="75"/>
      <c r="BI28" s="232">
        <f t="shared" si="14"/>
        <v>0</v>
      </c>
      <c r="BJ28" s="75"/>
      <c r="BK28" s="232">
        <f t="shared" si="15"/>
        <v>0</v>
      </c>
    </row>
    <row r="29" spans="1:67">
      <c r="A29" s="188">
        <v>26</v>
      </c>
      <c r="B29" s="187" t="str">
        <f>'[7]LIST S.NO'!C32</f>
        <v>R440397</v>
      </c>
      <c r="C29" s="39" t="str">
        <f t="shared" si="1"/>
        <v>XEM</v>
      </c>
      <c r="D29" s="37"/>
      <c r="E29" s="37"/>
      <c r="F29" s="22"/>
      <c r="G29" s="22"/>
      <c r="H29" s="22"/>
      <c r="I29" s="22">
        <v>1</v>
      </c>
      <c r="J29" s="22"/>
      <c r="K29" s="22"/>
      <c r="L29" s="22"/>
      <c r="M29" s="22">
        <v>1</v>
      </c>
      <c r="N29" s="22"/>
      <c r="O29" s="22"/>
      <c r="P29" s="38">
        <f t="shared" si="2"/>
        <v>2</v>
      </c>
      <c r="Q29" s="281">
        <f>'[7]LIST S.NO'!AM32</f>
        <v>197.42458141025642</v>
      </c>
      <c r="S29" s="35">
        <f t="shared" si="3"/>
        <v>0</v>
      </c>
      <c r="T29" s="35">
        <f t="shared" si="3"/>
        <v>0</v>
      </c>
      <c r="U29" s="35">
        <f t="shared" si="3"/>
        <v>0</v>
      </c>
      <c r="V29" s="35">
        <f t="shared" si="3"/>
        <v>0</v>
      </c>
      <c r="W29" s="35">
        <f t="shared" si="3"/>
        <v>0</v>
      </c>
      <c r="X29" s="35">
        <f t="shared" si="3"/>
        <v>197.42458141025642</v>
      </c>
      <c r="Y29" s="35">
        <f t="shared" si="3"/>
        <v>0</v>
      </c>
      <c r="Z29" s="35">
        <f t="shared" si="3"/>
        <v>0</v>
      </c>
      <c r="AA29" s="35">
        <f t="shared" si="3"/>
        <v>0</v>
      </c>
      <c r="AB29" s="35">
        <f t="shared" si="3"/>
        <v>197.42458141025642</v>
      </c>
      <c r="AC29" s="35">
        <f t="shared" si="3"/>
        <v>0</v>
      </c>
      <c r="AD29" s="35">
        <f t="shared" si="3"/>
        <v>0</v>
      </c>
      <c r="AF29" s="34" t="e">
        <v>#N/A</v>
      </c>
      <c r="AG29" s="19" t="e">
        <v>#N/A</v>
      </c>
      <c r="AH29" s="19" t="e">
        <v>#N/A</v>
      </c>
      <c r="AI29" s="19" t="e">
        <v>#N/A</v>
      </c>
      <c r="AJ29" s="19" t="e">
        <v>#N/A</v>
      </c>
      <c r="AK29" s="294" t="e">
        <v>#N/A</v>
      </c>
      <c r="AL29" s="19"/>
      <c r="AN29" s="232"/>
      <c r="AO29" s="232">
        <f t="shared" si="4"/>
        <v>0</v>
      </c>
      <c r="AP29" s="232"/>
      <c r="AQ29" s="232">
        <f t="shared" si="5"/>
        <v>0</v>
      </c>
      <c r="AR29" s="232"/>
      <c r="AS29" s="232">
        <f t="shared" si="6"/>
        <v>0</v>
      </c>
      <c r="AT29" s="232"/>
      <c r="AU29" s="232">
        <f t="shared" si="7"/>
        <v>0</v>
      </c>
      <c r="AV29" s="232"/>
      <c r="AW29" s="232">
        <f t="shared" si="8"/>
        <v>0</v>
      </c>
      <c r="AX29" s="232"/>
      <c r="AY29" s="232">
        <f t="shared" si="9"/>
        <v>0</v>
      </c>
      <c r="AZ29" s="232"/>
      <c r="BA29" s="76">
        <f t="shared" si="10"/>
        <v>0</v>
      </c>
      <c r="BB29" s="232"/>
      <c r="BC29" s="232">
        <f t="shared" si="11"/>
        <v>0</v>
      </c>
      <c r="BD29" s="232"/>
      <c r="BE29" s="232">
        <f t="shared" si="12"/>
        <v>0</v>
      </c>
      <c r="BF29" s="232"/>
      <c r="BG29" s="232">
        <f t="shared" si="13"/>
        <v>0</v>
      </c>
      <c r="BH29" s="232"/>
      <c r="BI29" s="232">
        <f t="shared" si="14"/>
        <v>0</v>
      </c>
      <c r="BJ29" s="232"/>
      <c r="BK29" s="232">
        <f t="shared" si="15"/>
        <v>0</v>
      </c>
    </row>
    <row r="30" spans="1:67">
      <c r="A30" s="44">
        <v>27</v>
      </c>
      <c r="B30" s="187" t="str">
        <f>'[7]LIST S.NO'!C33</f>
        <v>S844919</v>
      </c>
      <c r="C30" s="39" t="str">
        <f t="shared" si="1"/>
        <v>XEM</v>
      </c>
      <c r="D30" s="37"/>
      <c r="E30" s="37"/>
      <c r="F30" s="37"/>
      <c r="G30" s="37">
        <v>1</v>
      </c>
      <c r="H30" s="37"/>
      <c r="I30" s="37"/>
      <c r="J30" s="37"/>
      <c r="K30" s="37"/>
      <c r="L30" s="37"/>
      <c r="M30" s="37">
        <v>1</v>
      </c>
      <c r="N30" s="37"/>
      <c r="O30" s="37"/>
      <c r="P30" s="38">
        <f t="shared" si="2"/>
        <v>2</v>
      </c>
      <c r="Q30" s="281">
        <f>'[7]LIST S.NO'!AM33</f>
        <v>450.24074038461538</v>
      </c>
      <c r="S30" s="35">
        <f t="shared" ref="S30:AD30" si="16">$Q30*D30</f>
        <v>0</v>
      </c>
      <c r="T30" s="35">
        <f t="shared" si="16"/>
        <v>0</v>
      </c>
      <c r="U30" s="35">
        <f t="shared" si="16"/>
        <v>0</v>
      </c>
      <c r="V30" s="35">
        <f t="shared" si="16"/>
        <v>450.24074038461538</v>
      </c>
      <c r="W30" s="35">
        <f t="shared" si="16"/>
        <v>0</v>
      </c>
      <c r="X30" s="35">
        <f t="shared" si="16"/>
        <v>0</v>
      </c>
      <c r="Y30" s="35">
        <f t="shared" si="16"/>
        <v>0</v>
      </c>
      <c r="Z30" s="35">
        <f t="shared" si="16"/>
        <v>0</v>
      </c>
      <c r="AA30" s="35">
        <f t="shared" si="16"/>
        <v>0</v>
      </c>
      <c r="AB30" s="35">
        <f t="shared" si="16"/>
        <v>450.24074038461538</v>
      </c>
      <c r="AC30" s="35">
        <f t="shared" si="16"/>
        <v>0</v>
      </c>
      <c r="AD30" s="35">
        <f t="shared" si="16"/>
        <v>0</v>
      </c>
      <c r="AF30" s="34" t="e">
        <v>#N/A</v>
      </c>
      <c r="AG30" s="19" t="e">
        <v>#N/A</v>
      </c>
      <c r="AH30" s="19" t="e">
        <v>#N/A</v>
      </c>
      <c r="AI30" s="19" t="e">
        <v>#N/A</v>
      </c>
      <c r="AJ30" s="19" t="e">
        <v>#N/A</v>
      </c>
      <c r="AK30" s="294" t="e">
        <v>#N/A</v>
      </c>
      <c r="AL30" s="19"/>
      <c r="AN30" s="232"/>
      <c r="AO30" s="232">
        <f t="shared" si="4"/>
        <v>0</v>
      </c>
      <c r="AP30" s="232"/>
      <c r="AQ30" s="232">
        <f t="shared" si="5"/>
        <v>0</v>
      </c>
      <c r="AR30" s="232"/>
      <c r="AS30" s="232">
        <f t="shared" si="6"/>
        <v>0</v>
      </c>
      <c r="AT30" s="232"/>
      <c r="AU30" s="232">
        <f>AT29*Q29</f>
        <v>0</v>
      </c>
      <c r="AV30" s="232"/>
      <c r="AW30" s="232">
        <f t="shared" si="8"/>
        <v>0</v>
      </c>
      <c r="AX30" s="232"/>
      <c r="AY30" s="232">
        <f t="shared" si="9"/>
        <v>0</v>
      </c>
      <c r="AZ30" s="232"/>
      <c r="BA30" s="76">
        <f t="shared" si="10"/>
        <v>0</v>
      </c>
      <c r="BB30" s="232"/>
      <c r="BC30" s="232">
        <f t="shared" si="11"/>
        <v>0</v>
      </c>
      <c r="BD30" s="232"/>
      <c r="BE30" s="232">
        <f t="shared" si="12"/>
        <v>0</v>
      </c>
      <c r="BF30" s="232"/>
      <c r="BG30" s="232">
        <f t="shared" si="13"/>
        <v>0</v>
      </c>
      <c r="BH30" s="232"/>
      <c r="BI30" s="232">
        <f t="shared" si="14"/>
        <v>0</v>
      </c>
      <c r="BJ30" s="232"/>
      <c r="BK30" s="232">
        <f t="shared" si="15"/>
        <v>0</v>
      </c>
    </row>
    <row r="31" spans="1:67"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267">
        <f>SUM(P4:P30)</f>
        <v>54</v>
      </c>
      <c r="Q31" s="267"/>
      <c r="R31" s="189"/>
      <c r="S31" s="268">
        <f>SUM(S4:S30)</f>
        <v>2443.8759794871798</v>
      </c>
      <c r="T31" s="268">
        <f t="shared" ref="T31:AD31" si="17">SUM(T4:T30)</f>
        <v>2787.0159051282053</v>
      </c>
      <c r="U31" s="268">
        <f t="shared" si="17"/>
        <v>3820.5793211538466</v>
      </c>
      <c r="V31" s="268">
        <f t="shared" si="17"/>
        <v>2687.4560369230767</v>
      </c>
      <c r="W31" s="268">
        <f t="shared" si="17"/>
        <v>2685.9388006410254</v>
      </c>
      <c r="X31" s="268">
        <f t="shared" si="17"/>
        <v>3445.5409692307694</v>
      </c>
      <c r="Y31" s="268">
        <f t="shared" si="17"/>
        <v>3363.2122275641027</v>
      </c>
      <c r="Z31" s="268">
        <f t="shared" si="17"/>
        <v>2581.2591487179488</v>
      </c>
      <c r="AA31" s="268">
        <f t="shared" si="17"/>
        <v>3204.6868555128203</v>
      </c>
      <c r="AB31" s="268">
        <f t="shared" si="17"/>
        <v>2213.2979782051284</v>
      </c>
      <c r="AC31" s="268">
        <f t="shared" si="17"/>
        <v>3280.6856185897436</v>
      </c>
      <c r="AD31" s="268">
        <f t="shared" si="17"/>
        <v>3120.9865160256413</v>
      </c>
      <c r="AE31" s="268">
        <f>SUM(S31:AD31)</f>
        <v>35634.535357179484</v>
      </c>
      <c r="AF31" s="189"/>
      <c r="AG31" s="189"/>
      <c r="AH31" s="189"/>
      <c r="AI31" s="189"/>
      <c r="AJ31" s="189"/>
      <c r="AK31" s="189"/>
      <c r="AL31" s="189"/>
      <c r="AM31" s="189"/>
      <c r="AN31" s="189"/>
      <c r="AO31" s="267">
        <f>SUM(AO4:AO30)</f>
        <v>5414.9415878205127</v>
      </c>
      <c r="AP31" s="189"/>
      <c r="AQ31" s="189">
        <f>SUM(AQ4:AQ30)</f>
        <v>1776.5383974358974</v>
      </c>
      <c r="AR31" s="189"/>
      <c r="AS31" s="189">
        <f t="shared" ref="AS31:BK31" si="18">SUM(AS4:AS30)</f>
        <v>7080.9790820512826</v>
      </c>
      <c r="AT31" s="189"/>
      <c r="AU31" s="189">
        <f t="shared" si="18"/>
        <v>0</v>
      </c>
      <c r="AV31" s="189"/>
      <c r="AW31" s="189">
        <f t="shared" si="18"/>
        <v>0</v>
      </c>
      <c r="AX31" s="189"/>
      <c r="AY31" s="189">
        <f t="shared" si="18"/>
        <v>0</v>
      </c>
      <c r="AZ31" s="189"/>
      <c r="BA31" s="189">
        <f t="shared" si="18"/>
        <v>0</v>
      </c>
      <c r="BB31" s="189"/>
      <c r="BC31" s="189">
        <f t="shared" si="18"/>
        <v>0</v>
      </c>
      <c r="BD31" s="189"/>
      <c r="BE31" s="189">
        <f t="shared" si="18"/>
        <v>0</v>
      </c>
      <c r="BF31" s="189"/>
      <c r="BG31" s="189">
        <f t="shared" si="18"/>
        <v>0</v>
      </c>
      <c r="BH31" s="189"/>
      <c r="BI31" s="189">
        <f t="shared" si="18"/>
        <v>0</v>
      </c>
      <c r="BJ31" s="189"/>
      <c r="BK31" s="189">
        <f t="shared" si="18"/>
        <v>0</v>
      </c>
    </row>
    <row r="32" spans="1:67">
      <c r="B32" s="246"/>
      <c r="S32" s="208">
        <f>S31*26000/1000000</f>
        <v>63.540775466666673</v>
      </c>
      <c r="T32" s="208">
        <f t="shared" ref="T32:AD32" si="19">T31*26000/1000000</f>
        <v>72.462413533333333</v>
      </c>
      <c r="U32" s="208">
        <f t="shared" si="19"/>
        <v>99.335062350000015</v>
      </c>
      <c r="V32" s="208">
        <f t="shared" si="19"/>
        <v>69.873856959999998</v>
      </c>
      <c r="W32" s="208">
        <f t="shared" si="19"/>
        <v>69.834408816666667</v>
      </c>
      <c r="X32" s="208">
        <f t="shared" si="19"/>
        <v>89.584065199999998</v>
      </c>
      <c r="Y32" s="208">
        <f t="shared" si="19"/>
        <v>87.443517916666679</v>
      </c>
      <c r="Z32" s="208">
        <f t="shared" si="19"/>
        <v>67.112737866666677</v>
      </c>
      <c r="AA32" s="208">
        <f t="shared" si="19"/>
        <v>83.321858243333324</v>
      </c>
      <c r="AB32" s="208">
        <f t="shared" si="19"/>
        <v>57.545747433333339</v>
      </c>
      <c r="AC32" s="208">
        <f t="shared" si="19"/>
        <v>85.297826083333334</v>
      </c>
      <c r="AD32" s="208">
        <f t="shared" si="19"/>
        <v>81.145649416666672</v>
      </c>
      <c r="AE32" s="269">
        <f>AE31*26000/1000000</f>
        <v>926.49791928666662</v>
      </c>
      <c r="AN32" s="270"/>
      <c r="AO32" s="303">
        <f>AO31*26000/1000000</f>
        <v>140.78848128333334</v>
      </c>
      <c r="AP32" s="270"/>
      <c r="AQ32" s="270">
        <f t="shared" ref="AQ32:BK32" si="20">AQ31/26</f>
        <v>68.328399901380664</v>
      </c>
      <c r="AR32" s="270"/>
      <c r="AS32" s="270">
        <f t="shared" si="20"/>
        <v>272.3453493096647</v>
      </c>
      <c r="AT32" s="270"/>
      <c r="AU32" s="270">
        <f t="shared" si="20"/>
        <v>0</v>
      </c>
      <c r="AV32" s="270"/>
      <c r="AW32" s="270">
        <f t="shared" si="20"/>
        <v>0</v>
      </c>
      <c r="AX32" s="270"/>
      <c r="AY32" s="270">
        <f t="shared" si="20"/>
        <v>0</v>
      </c>
      <c r="AZ32" s="270"/>
      <c r="BA32" s="270">
        <f t="shared" si="20"/>
        <v>0</v>
      </c>
      <c r="BB32" s="270"/>
      <c r="BC32" s="270">
        <f t="shared" si="20"/>
        <v>0</v>
      </c>
      <c r="BD32" s="270"/>
      <c r="BE32" s="270">
        <f t="shared" si="20"/>
        <v>0</v>
      </c>
      <c r="BF32" s="270"/>
      <c r="BG32" s="270">
        <f t="shared" si="20"/>
        <v>0</v>
      </c>
      <c r="BH32" s="270"/>
      <c r="BI32" s="270">
        <f t="shared" si="20"/>
        <v>0</v>
      </c>
      <c r="BJ32" s="270"/>
      <c r="BK32" s="270">
        <f t="shared" si="20"/>
        <v>0</v>
      </c>
      <c r="BL32" s="271"/>
      <c r="BM32" s="271"/>
      <c r="BN32" s="271"/>
      <c r="BO32" s="271"/>
    </row>
    <row r="33" spans="2:67">
      <c r="B33" s="246"/>
      <c r="AN33" s="271"/>
      <c r="AO33" s="272"/>
      <c r="AP33" s="272"/>
      <c r="AQ33" s="272"/>
      <c r="AR33" s="272"/>
      <c r="AS33" s="272"/>
      <c r="AT33" s="272"/>
      <c r="AU33" s="272"/>
      <c r="AV33" s="272"/>
      <c r="AW33" s="272"/>
      <c r="AX33" s="272"/>
      <c r="AY33" s="272"/>
      <c r="AZ33" s="272"/>
      <c r="BA33" s="272"/>
      <c r="BB33" s="272"/>
      <c r="BC33" s="272"/>
      <c r="BD33" s="272"/>
      <c r="BE33" s="272"/>
      <c r="BF33" s="272"/>
      <c r="BG33" s="272"/>
      <c r="BH33" s="272"/>
      <c r="BI33" s="272"/>
      <c r="BJ33" s="272"/>
      <c r="BK33" s="272"/>
      <c r="BL33" s="271"/>
      <c r="BM33" s="271"/>
      <c r="BN33" s="271"/>
      <c r="BO33" s="271"/>
    </row>
    <row r="34" spans="2:67">
      <c r="B34" s="246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1"/>
      <c r="BJ34" s="271"/>
      <c r="BK34" s="271"/>
      <c r="BL34" s="271"/>
      <c r="BM34" s="271"/>
      <c r="BN34" s="271"/>
      <c r="BO34" s="271"/>
    </row>
    <row r="35" spans="2:67">
      <c r="B35" s="246"/>
      <c r="AG35" s="19"/>
    </row>
    <row r="36" spans="2:67">
      <c r="B36" s="246"/>
    </row>
    <row r="37" spans="2:67">
      <c r="B37" s="246"/>
    </row>
    <row r="38" spans="2:67">
      <c r="B38" s="246"/>
    </row>
    <row r="39" spans="2:67">
      <c r="B39" s="246"/>
    </row>
    <row r="40" spans="2:67">
      <c r="B40" s="246"/>
    </row>
    <row r="41" spans="2:67">
      <c r="B41" s="246"/>
    </row>
    <row r="42" spans="2:67">
      <c r="B42" s="243"/>
    </row>
    <row r="43" spans="2:67">
      <c r="B43" s="246"/>
    </row>
    <row r="44" spans="2:67">
      <c r="B44" s="245"/>
    </row>
    <row r="45" spans="2:67">
      <c r="B45" s="246"/>
    </row>
    <row r="46" spans="2:67">
      <c r="B46" s="245"/>
    </row>
    <row r="47" spans="2:67">
      <c r="B47" s="247"/>
    </row>
    <row r="48" spans="2:67">
      <c r="B48" s="273"/>
    </row>
    <row r="49" spans="2:2">
      <c r="B49" s="273"/>
    </row>
    <row r="50" spans="2:2">
      <c r="B50" s="273"/>
    </row>
    <row r="51" spans="2:2">
      <c r="B51" s="249"/>
    </row>
    <row r="52" spans="2:2">
      <c r="B52" s="249"/>
    </row>
    <row r="53" spans="2:2">
      <c r="B53" s="249"/>
    </row>
    <row r="54" spans="2:2">
      <c r="B54" s="249"/>
    </row>
    <row r="55" spans="2:2">
      <c r="B55" s="249"/>
    </row>
    <row r="56" spans="2:2">
      <c r="B56" s="274"/>
    </row>
    <row r="57" spans="2:2">
      <c r="B57" s="274"/>
    </row>
    <row r="58" spans="2:2">
      <c r="B58" s="251"/>
    </row>
    <row r="59" spans="2:2">
      <c r="B59" s="274"/>
    </row>
    <row r="60" spans="2:2">
      <c r="B60" s="274"/>
    </row>
    <row r="61" spans="2:2">
      <c r="B61" s="274"/>
    </row>
    <row r="62" spans="2:2">
      <c r="B62" s="275"/>
    </row>
    <row r="63" spans="2:2">
      <c r="B63" s="275"/>
    </row>
    <row r="64" spans="2:2">
      <c r="B64" s="275"/>
    </row>
    <row r="65" spans="2:2">
      <c r="B65" s="275"/>
    </row>
    <row r="66" spans="2:2">
      <c r="B66" s="275"/>
    </row>
    <row r="67" spans="2:2">
      <c r="B67" s="275"/>
    </row>
    <row r="68" spans="2:2">
      <c r="B68" s="275"/>
    </row>
    <row r="69" spans="2:2">
      <c r="B69" s="275"/>
    </row>
    <row r="70" spans="2:2">
      <c r="B70" s="275"/>
    </row>
    <row r="71" spans="2:2">
      <c r="B71" s="275"/>
    </row>
    <row r="72" spans="2:2">
      <c r="B72" s="275"/>
    </row>
    <row r="73" spans="2:2">
      <c r="B73" s="275"/>
    </row>
    <row r="74" spans="2:2">
      <c r="B74" s="275"/>
    </row>
    <row r="75" spans="2:2">
      <c r="B75" s="275"/>
    </row>
    <row r="76" spans="2:2">
      <c r="B76" s="275"/>
    </row>
    <row r="77" spans="2:2">
      <c r="B77" s="275"/>
    </row>
    <row r="78" spans="2:2">
      <c r="B78" s="275"/>
    </row>
    <row r="79" spans="2:2">
      <c r="B79" s="275"/>
    </row>
    <row r="80" spans="2:2">
      <c r="B80" s="275"/>
    </row>
    <row r="81" spans="2:2">
      <c r="B81" s="275"/>
    </row>
    <row r="82" spans="2:2">
      <c r="B82" s="275"/>
    </row>
    <row r="83" spans="2:2">
      <c r="B83" s="275"/>
    </row>
    <row r="84" spans="2:2">
      <c r="B84" s="275"/>
    </row>
    <row r="85" spans="2:2">
      <c r="B85" s="275"/>
    </row>
    <row r="86" spans="2:2">
      <c r="B86" s="253"/>
    </row>
    <row r="87" spans="2:2">
      <c r="B87" s="254"/>
    </row>
    <row r="88" spans="2:2">
      <c r="B88" s="254"/>
    </row>
    <row r="89" spans="2:2">
      <c r="B89" s="254"/>
    </row>
    <row r="90" spans="2:2">
      <c r="B90" s="254"/>
    </row>
    <row r="91" spans="2:2">
      <c r="B91" s="254"/>
    </row>
    <row r="92" spans="2:2">
      <c r="B92" s="276"/>
    </row>
    <row r="93" spans="2:2">
      <c r="B93" s="276"/>
    </row>
    <row r="94" spans="2:2">
      <c r="B94" s="256"/>
    </row>
    <row r="95" spans="2:2">
      <c r="B95" s="256"/>
    </row>
    <row r="96" spans="2:2">
      <c r="B96" s="276"/>
    </row>
    <row r="97" spans="2:2">
      <c r="B97" s="257"/>
    </row>
    <row r="98" spans="2:2">
      <c r="B98" s="258"/>
    </row>
    <row r="99" spans="2:2">
      <c r="B99" s="258"/>
    </row>
    <row r="100" spans="2:2">
      <c r="B100" s="259"/>
    </row>
    <row r="101" spans="2:2">
      <c r="B101" s="260"/>
    </row>
    <row r="102" spans="2:2">
      <c r="B102" s="260"/>
    </row>
    <row r="103" spans="2:2">
      <c r="B103" s="261"/>
    </row>
    <row r="104" spans="2:2">
      <c r="B104" s="260"/>
    </row>
    <row r="105" spans="2:2">
      <c r="B105" s="260"/>
    </row>
    <row r="106" spans="2:2">
      <c r="B106" s="261"/>
    </row>
    <row r="107" spans="2:2">
      <c r="B107" s="260"/>
    </row>
    <row r="108" spans="2:2">
      <c r="B108" s="260"/>
    </row>
    <row r="109" spans="2:2">
      <c r="B109" s="260"/>
    </row>
    <row r="110" spans="2:2">
      <c r="B110" s="260"/>
    </row>
    <row r="111" spans="2:2">
      <c r="B111" s="260"/>
    </row>
    <row r="112" spans="2:2">
      <c r="B112" s="260"/>
    </row>
    <row r="113" spans="2:2">
      <c r="B113" s="262"/>
    </row>
    <row r="114" spans="2:2">
      <c r="B114" s="263"/>
    </row>
    <row r="115" spans="2:2">
      <c r="B115" s="262"/>
    </row>
    <row r="116" spans="2:2" ht="15.75">
      <c r="B116" s="277"/>
    </row>
    <row r="117" spans="2:2" ht="15.75">
      <c r="B117" s="277"/>
    </row>
    <row r="118" spans="2:2" ht="15.75">
      <c r="B118" s="277"/>
    </row>
    <row r="119" spans="2:2" ht="15.75">
      <c r="B119" s="277"/>
    </row>
    <row r="120" spans="2:2">
      <c r="B120" s="278"/>
    </row>
  </sheetData>
  <autoFilter ref="A3:BO31" xr:uid="{5C4DF0FD-46EA-4695-9A83-3C2756B75484}"/>
  <mergeCells count="4">
    <mergeCell ref="AN1:BK1"/>
    <mergeCell ref="A2:Q2"/>
    <mergeCell ref="S2:AD2"/>
    <mergeCell ref="AF2:AL2"/>
  </mergeCells>
  <phoneticPr fontId="24"/>
  <conditionalFormatting sqref="A4:C4 B5:C30 P4:P30 A6 A8 A10 A12 A14 A16 A18 H18:H21 A20 A22 A24 A26 A28 A30">
    <cfRule type="expression" dxfId="71" priority="17">
      <formula>COLUMN()=CELL("col")</formula>
    </cfRule>
    <cfRule type="expression" dxfId="70" priority="18">
      <formula>ROW()=CELL("Row")</formula>
    </cfRule>
  </conditionalFormatting>
  <conditionalFormatting sqref="B1:B1048576">
    <cfRule type="duplicateValues" dxfId="69" priority="1"/>
  </conditionalFormatting>
  <conditionalFormatting sqref="B32:B61">
    <cfRule type="duplicateValues" dxfId="68" priority="19"/>
    <cfRule type="duplicateValues" dxfId="67" priority="20"/>
  </conditionalFormatting>
  <conditionalFormatting sqref="B32:B99">
    <cfRule type="duplicateValues" dxfId="66" priority="21"/>
  </conditionalFormatting>
  <conditionalFormatting sqref="B32:B112">
    <cfRule type="duplicateValues" dxfId="65" priority="22"/>
  </conditionalFormatting>
  <conditionalFormatting sqref="B32:B119">
    <cfRule type="duplicateValues" dxfId="64" priority="23"/>
  </conditionalFormatting>
  <conditionalFormatting sqref="B62:B85">
    <cfRule type="duplicateValues" dxfId="63" priority="11"/>
    <cfRule type="duplicateValues" dxfId="62" priority="12"/>
  </conditionalFormatting>
  <conditionalFormatting sqref="B86:B99">
    <cfRule type="duplicateValues" dxfId="61" priority="9"/>
    <cfRule type="duplicateValues" dxfId="60" priority="10"/>
  </conditionalFormatting>
  <conditionalFormatting sqref="B100:B112">
    <cfRule type="duplicateValues" dxfId="59" priority="8"/>
  </conditionalFormatting>
  <conditionalFormatting sqref="B100:B115">
    <cfRule type="expression" dxfId="58" priority="4">
      <formula>COLUMN()=CELL("col")</formula>
    </cfRule>
    <cfRule type="expression" dxfId="57" priority="5">
      <formula>ROW()=CELL("Row")</formula>
    </cfRule>
  </conditionalFormatting>
  <conditionalFormatting sqref="B113:B119">
    <cfRule type="duplicateValues" dxfId="56" priority="2"/>
    <cfRule type="duplicateValues" dxfId="55" priority="3"/>
  </conditionalFormatting>
  <conditionalFormatting sqref="F7:F13">
    <cfRule type="expression" dxfId="54" priority="15">
      <formula>COLUMN()=CELL("col")</formula>
    </cfRule>
    <cfRule type="expression" dxfId="53" priority="16">
      <formula>ROW()=CELL("Row")</formula>
    </cfRule>
  </conditionalFormatting>
  <conditionalFormatting sqref="G14:G17">
    <cfRule type="expression" dxfId="52" priority="13">
      <formula>COLUMN()=CELL("col")</formula>
    </cfRule>
    <cfRule type="expression" dxfId="51" priority="14">
      <formula>ROW()=CELL("Row")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4D32-9038-41C9-B93F-2401AE525619}">
  <dimension ref="A1:BK131"/>
  <sheetViews>
    <sheetView zoomScale="120" zoomScaleNormal="120" workbookViewId="0">
      <pane ySplit="1" topLeftCell="A83" activePane="bottomLeft" state="frozen"/>
      <selection pane="bottomLeft" activeCell="AK101" sqref="AK101"/>
    </sheetView>
  </sheetViews>
  <sheetFormatPr defaultRowHeight="15"/>
  <cols>
    <col min="1" max="1" width="3.85546875" style="135" bestFit="1" customWidth="1"/>
    <col min="2" max="2" width="8.7109375" bestFit="1" customWidth="1"/>
    <col min="3" max="3" width="5.42578125" bestFit="1" customWidth="1"/>
    <col min="4" max="4" width="7" style="135" hidden="1" customWidth="1"/>
    <col min="5" max="5" width="9.28515625" style="202" hidden="1" customWidth="1"/>
    <col min="6" max="7" width="4.140625" hidden="1" customWidth="1"/>
    <col min="8" max="17" width="5" hidden="1" customWidth="1"/>
    <col min="18" max="18" width="7.42578125" style="135" hidden="1" customWidth="1"/>
    <col min="19" max="19" width="3.42578125" hidden="1" customWidth="1"/>
    <col min="20" max="31" width="7" hidden="1" customWidth="1"/>
    <col min="32" max="32" width="7.85546875" customWidth="1"/>
    <col min="33" max="33" width="14.42578125" customWidth="1"/>
    <col min="37" max="37" width="29.42578125" style="32" bestFit="1" customWidth="1"/>
    <col min="38" max="38" width="11.7109375" bestFit="1" customWidth="1"/>
    <col min="40" max="40" width="7.85546875" customWidth="1"/>
    <col min="41" max="41" width="9.28515625" bestFit="1" customWidth="1"/>
    <col min="42" max="44" width="7.85546875" customWidth="1"/>
    <col min="45" max="45" width="9.5703125" customWidth="1"/>
    <col min="46" max="63" width="7.85546875" customWidth="1"/>
  </cols>
  <sheetData>
    <row r="1" spans="1:63" ht="27">
      <c r="A1" s="45"/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5"/>
    </row>
    <row r="2" spans="1:63" ht="18.75">
      <c r="A2" s="476" t="s">
        <v>78</v>
      </c>
      <c r="B2" s="477" t="s">
        <v>77</v>
      </c>
      <c r="C2" s="478" t="s">
        <v>76</v>
      </c>
      <c r="D2" s="478" t="s">
        <v>408</v>
      </c>
      <c r="E2" s="479" t="s">
        <v>398</v>
      </c>
      <c r="F2" s="482" t="s">
        <v>75</v>
      </c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 t="s">
        <v>74</v>
      </c>
      <c r="S2" s="55"/>
      <c r="T2" s="482" t="s">
        <v>73</v>
      </c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55"/>
      <c r="AG2" s="483" t="s">
        <v>72</v>
      </c>
      <c r="AH2" s="483"/>
      <c r="AI2" s="483"/>
      <c r="AJ2" s="483"/>
      <c r="AK2" s="483"/>
      <c r="AL2" s="483"/>
      <c r="AN2" s="467" t="s">
        <v>82</v>
      </c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9"/>
    </row>
    <row r="3" spans="1:63" ht="18.75">
      <c r="A3" s="476"/>
      <c r="B3" s="477"/>
      <c r="C3" s="477"/>
      <c r="D3" s="477"/>
      <c r="E3" s="480"/>
      <c r="F3" s="477" t="s">
        <v>71</v>
      </c>
      <c r="G3" s="477" t="s">
        <v>70</v>
      </c>
      <c r="H3" s="477" t="s">
        <v>69</v>
      </c>
      <c r="I3" s="477" t="s">
        <v>68</v>
      </c>
      <c r="J3" s="477" t="s">
        <v>67</v>
      </c>
      <c r="K3" s="477" t="s">
        <v>66</v>
      </c>
      <c r="L3" s="477" t="s">
        <v>65</v>
      </c>
      <c r="M3" s="477" t="s">
        <v>64</v>
      </c>
      <c r="N3" s="477" t="s">
        <v>63</v>
      </c>
      <c r="O3" s="477" t="s">
        <v>62</v>
      </c>
      <c r="P3" s="477" t="s">
        <v>61</v>
      </c>
      <c r="Q3" s="477" t="s">
        <v>60</v>
      </c>
      <c r="R3" s="482"/>
      <c r="S3" s="55"/>
      <c r="T3" s="477" t="s">
        <v>71</v>
      </c>
      <c r="U3" s="477" t="s">
        <v>70</v>
      </c>
      <c r="V3" s="477" t="s">
        <v>69</v>
      </c>
      <c r="W3" s="477" t="s">
        <v>68</v>
      </c>
      <c r="X3" s="477" t="s">
        <v>67</v>
      </c>
      <c r="Y3" s="477" t="s">
        <v>66</v>
      </c>
      <c r="Z3" s="477" t="s">
        <v>65</v>
      </c>
      <c r="AA3" s="477" t="s">
        <v>64</v>
      </c>
      <c r="AB3" s="477" t="s">
        <v>63</v>
      </c>
      <c r="AC3" s="477" t="s">
        <v>62</v>
      </c>
      <c r="AD3" s="477" t="s">
        <v>61</v>
      </c>
      <c r="AE3" s="477" t="s">
        <v>60</v>
      </c>
      <c r="AF3" s="54"/>
      <c r="AG3" s="486" t="s">
        <v>59</v>
      </c>
      <c r="AH3" s="487" t="s">
        <v>4</v>
      </c>
      <c r="AI3" s="486" t="s">
        <v>58</v>
      </c>
      <c r="AJ3" s="489" t="s">
        <v>2</v>
      </c>
      <c r="AK3" s="489" t="s">
        <v>1</v>
      </c>
      <c r="AL3" s="486" t="s">
        <v>0</v>
      </c>
      <c r="AN3" s="490" t="s">
        <v>71</v>
      </c>
      <c r="AO3" s="491"/>
      <c r="AP3" s="484" t="s">
        <v>70</v>
      </c>
      <c r="AQ3" s="485"/>
      <c r="AR3" s="484" t="s">
        <v>69</v>
      </c>
      <c r="AS3" s="485"/>
      <c r="AT3" s="484" t="s">
        <v>68</v>
      </c>
      <c r="AU3" s="485"/>
      <c r="AV3" s="484" t="s">
        <v>67</v>
      </c>
      <c r="AW3" s="485"/>
      <c r="AX3" s="484" t="s">
        <v>66</v>
      </c>
      <c r="AY3" s="485"/>
      <c r="AZ3" s="484" t="s">
        <v>65</v>
      </c>
      <c r="BA3" s="485"/>
      <c r="BB3" s="484" t="s">
        <v>64</v>
      </c>
      <c r="BC3" s="485"/>
      <c r="BD3" s="484" t="s">
        <v>63</v>
      </c>
      <c r="BE3" s="485"/>
      <c r="BF3" s="484" t="s">
        <v>62</v>
      </c>
      <c r="BG3" s="485"/>
      <c r="BH3" s="484" t="s">
        <v>61</v>
      </c>
      <c r="BI3" s="485"/>
      <c r="BJ3" s="492" t="s">
        <v>60</v>
      </c>
      <c r="BK3" s="493"/>
    </row>
    <row r="4" spans="1:63" ht="18.75">
      <c r="A4" s="476"/>
      <c r="B4" s="477"/>
      <c r="C4" s="477"/>
      <c r="D4" s="477"/>
      <c r="E4" s="481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  <c r="R4" s="482"/>
      <c r="S4" s="55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54"/>
      <c r="AG4" s="486"/>
      <c r="AH4" s="488"/>
      <c r="AI4" s="486"/>
      <c r="AJ4" s="486"/>
      <c r="AK4" s="486"/>
      <c r="AL4" s="486"/>
      <c r="AM4" t="s">
        <v>57</v>
      </c>
      <c r="AN4" s="70" t="s">
        <v>83</v>
      </c>
      <c r="AO4" s="71" t="s">
        <v>84</v>
      </c>
      <c r="AP4" s="70" t="s">
        <v>83</v>
      </c>
      <c r="AQ4" s="71" t="s">
        <v>84</v>
      </c>
      <c r="AR4" s="70" t="s">
        <v>83</v>
      </c>
      <c r="AS4" s="71" t="s">
        <v>84</v>
      </c>
      <c r="AT4" s="70" t="s">
        <v>83</v>
      </c>
      <c r="AU4" s="71" t="s">
        <v>84</v>
      </c>
      <c r="AV4" s="70" t="s">
        <v>83</v>
      </c>
      <c r="AW4" s="71" t="s">
        <v>84</v>
      </c>
      <c r="AX4" s="70" t="s">
        <v>83</v>
      </c>
      <c r="AY4" s="71" t="s">
        <v>84</v>
      </c>
      <c r="AZ4" s="70" t="s">
        <v>83</v>
      </c>
      <c r="BA4" s="71" t="s">
        <v>84</v>
      </c>
      <c r="BB4" s="70" t="s">
        <v>83</v>
      </c>
      <c r="BC4" s="71" t="s">
        <v>84</v>
      </c>
      <c r="BD4" s="70" t="s">
        <v>83</v>
      </c>
      <c r="BE4" s="71" t="s">
        <v>84</v>
      </c>
      <c r="BF4" s="70" t="s">
        <v>83</v>
      </c>
      <c r="BG4" s="72" t="s">
        <v>84</v>
      </c>
      <c r="BH4" s="70" t="s">
        <v>83</v>
      </c>
      <c r="BI4" s="71" t="s">
        <v>84</v>
      </c>
      <c r="BJ4" s="73" t="s">
        <v>83</v>
      </c>
      <c r="BK4" s="74" t="s">
        <v>84</v>
      </c>
    </row>
    <row r="5" spans="1:63" ht="18.75">
      <c r="A5" s="233">
        <v>1</v>
      </c>
      <c r="B5" s="53" t="str">
        <f>'[8]Linh Kiện'!D7</f>
        <v>R171379</v>
      </c>
      <c r="C5" s="51" t="str">
        <f>IF(B5="","",HYPERLINK("\\vdm-fsvr\Cokhi-機工\CONG VIEC CHUNG 2026\★2026年度年次目標設定\5.COSTDOWN 2026\5.MỤC TIÊU 2026\COSTDOWN 2026\PDF\"&amp;B5&amp;".pdf","XEM"))</f>
        <v>XEM</v>
      </c>
      <c r="D5" s="49">
        <f>'[8]Linh Kiện'!E7</f>
        <v>1</v>
      </c>
      <c r="E5" s="195">
        <f>'[8]Linh Kiện'!AK7</f>
        <v>72.92</v>
      </c>
      <c r="F5" s="196"/>
      <c r="G5" s="196">
        <v>1</v>
      </c>
      <c r="H5" s="49"/>
      <c r="I5" s="196"/>
      <c r="J5" s="196"/>
      <c r="K5" s="196"/>
      <c r="L5" s="196"/>
      <c r="M5" s="196"/>
      <c r="N5" s="196"/>
      <c r="O5" s="196"/>
      <c r="P5" s="196"/>
      <c r="Q5" s="196"/>
      <c r="R5" s="197">
        <f>SUM(F5:Q5)</f>
        <v>1</v>
      </c>
      <c r="S5" s="55"/>
      <c r="T5" s="48">
        <f>$E5*F5</f>
        <v>0</v>
      </c>
      <c r="U5" s="48">
        <f t="shared" ref="U5:AE20" si="0">$E5*G5</f>
        <v>72.92</v>
      </c>
      <c r="V5" s="48">
        <f t="shared" si="0"/>
        <v>0</v>
      </c>
      <c r="W5" s="48">
        <f t="shared" si="0"/>
        <v>0</v>
      </c>
      <c r="X5" s="48">
        <f t="shared" si="0"/>
        <v>0</v>
      </c>
      <c r="Y5" s="48">
        <f t="shared" si="0"/>
        <v>0</v>
      </c>
      <c r="Z5" s="48">
        <f t="shared" si="0"/>
        <v>0</v>
      </c>
      <c r="AA5" s="48">
        <f t="shared" si="0"/>
        <v>0</v>
      </c>
      <c r="AB5" s="48">
        <f t="shared" si="0"/>
        <v>0</v>
      </c>
      <c r="AC5" s="48">
        <f t="shared" si="0"/>
        <v>0</v>
      </c>
      <c r="AD5" s="48">
        <f t="shared" si="0"/>
        <v>0</v>
      </c>
      <c r="AE5" s="48">
        <f t="shared" si="0"/>
        <v>0</v>
      </c>
      <c r="AF5" s="1"/>
      <c r="AG5" s="293" t="e">
        <v>#N/A</v>
      </c>
      <c r="AH5" s="293" t="e">
        <v>#N/A</v>
      </c>
      <c r="AI5" s="293" t="e">
        <v>#N/A</v>
      </c>
      <c r="AJ5" s="293" t="e">
        <v>#N/A</v>
      </c>
      <c r="AK5" s="2" t="e">
        <v>#N/A</v>
      </c>
      <c r="AL5" s="293" t="e">
        <v>#N/A</v>
      </c>
      <c r="AN5" s="232"/>
      <c r="AO5" s="77">
        <f>AN5*E5</f>
        <v>0</v>
      </c>
      <c r="AP5" s="232"/>
      <c r="AQ5" s="279">
        <f>AP5*E5</f>
        <v>0</v>
      </c>
      <c r="AR5" s="232"/>
      <c r="AS5" s="279">
        <f>AR5*E5</f>
        <v>0</v>
      </c>
      <c r="AT5" s="232"/>
      <c r="AU5" s="279">
        <f>AT5*E5</f>
        <v>0</v>
      </c>
      <c r="AV5" s="232"/>
      <c r="AW5" s="279">
        <f>AV5*E5</f>
        <v>0</v>
      </c>
      <c r="AX5" s="232"/>
      <c r="AY5" s="279">
        <f>AX5*E5</f>
        <v>0</v>
      </c>
      <c r="AZ5" s="232"/>
      <c r="BA5" s="279">
        <f>AZ5*E5</f>
        <v>0</v>
      </c>
      <c r="BB5" s="232"/>
      <c r="BC5" s="279">
        <f>BB5*E5</f>
        <v>0</v>
      </c>
      <c r="BD5" s="232"/>
      <c r="BE5" s="279">
        <f>BD5*E5</f>
        <v>0</v>
      </c>
      <c r="BF5" s="232"/>
      <c r="BG5" s="279">
        <f>BF5*E5</f>
        <v>0</v>
      </c>
      <c r="BH5" s="232"/>
      <c r="BI5" s="279">
        <f>BH5*E5</f>
        <v>0</v>
      </c>
      <c r="BJ5" s="232"/>
      <c r="BK5" s="279">
        <f>BJ5*E5</f>
        <v>0</v>
      </c>
    </row>
    <row r="6" spans="1:63" ht="18.75">
      <c r="A6" s="233">
        <v>2</v>
      </c>
      <c r="B6" s="53" t="str">
        <f>'[8]Linh Kiện'!D8</f>
        <v>S792796</v>
      </c>
      <c r="C6" s="51" t="str">
        <f t="shared" ref="C6:C69" si="1">IF(B6="","",HYPERLINK("\\vdm-fsvr\Cokhi-機工\CONG VIEC CHUNG 2026\★2026年度年次目標設定\5.COSTDOWN 2026\5.MỤC TIÊU 2026\COSTDOWN 2026\PDF\"&amp;B6&amp;".pdf","XEM"))</f>
        <v>XEM</v>
      </c>
      <c r="D6" s="49">
        <f>'[8]Linh Kiện'!E8</f>
        <v>1</v>
      </c>
      <c r="E6" s="195">
        <f>'[8]Linh Kiện'!AK8</f>
        <v>424.45907999999997</v>
      </c>
      <c r="F6" s="196"/>
      <c r="G6" s="196"/>
      <c r="H6" s="49">
        <v>1</v>
      </c>
      <c r="I6" s="196"/>
      <c r="J6" s="196"/>
      <c r="K6" s="196"/>
      <c r="L6" s="196"/>
      <c r="M6" s="196"/>
      <c r="N6" s="196"/>
      <c r="O6" s="196"/>
      <c r="P6" s="196"/>
      <c r="Q6" s="196"/>
      <c r="R6" s="197">
        <f t="shared" ref="R6:R69" si="2">SUM(F6:Q6)</f>
        <v>1</v>
      </c>
      <c r="S6" s="55"/>
      <c r="T6" s="48">
        <f t="shared" ref="T6:AE40" si="3">$E6*F6</f>
        <v>0</v>
      </c>
      <c r="U6" s="48">
        <f t="shared" si="0"/>
        <v>0</v>
      </c>
      <c r="V6" s="48">
        <f t="shared" si="0"/>
        <v>424.45907999999997</v>
      </c>
      <c r="W6" s="48">
        <f t="shared" si="0"/>
        <v>0</v>
      </c>
      <c r="X6" s="48">
        <f t="shared" si="0"/>
        <v>0</v>
      </c>
      <c r="Y6" s="48">
        <f t="shared" si="0"/>
        <v>0</v>
      </c>
      <c r="Z6" s="48">
        <f t="shared" si="0"/>
        <v>0</v>
      </c>
      <c r="AA6" s="48">
        <f t="shared" si="0"/>
        <v>0</v>
      </c>
      <c r="AB6" s="48">
        <f t="shared" si="0"/>
        <v>0</v>
      </c>
      <c r="AC6" s="48">
        <f t="shared" si="0"/>
        <v>0</v>
      </c>
      <c r="AD6" s="48">
        <f t="shared" si="0"/>
        <v>0</v>
      </c>
      <c r="AE6" s="48">
        <f t="shared" si="0"/>
        <v>0</v>
      </c>
      <c r="AF6" s="1"/>
      <c r="AG6" s="293" t="e">
        <v>#N/A</v>
      </c>
      <c r="AH6" s="293" t="e">
        <v>#N/A</v>
      </c>
      <c r="AI6" s="293" t="e">
        <v>#N/A</v>
      </c>
      <c r="AJ6" s="293" t="e">
        <v>#N/A</v>
      </c>
      <c r="AK6" s="2" t="e">
        <v>#N/A</v>
      </c>
      <c r="AL6" s="293" t="e">
        <v>#N/A</v>
      </c>
      <c r="AN6" s="232"/>
      <c r="AO6" s="77">
        <f t="shared" ref="AO6:AO69" si="4">AN6*E6</f>
        <v>0</v>
      </c>
      <c r="AP6" s="232"/>
      <c r="AQ6" s="279">
        <f t="shared" ref="AQ6:AQ69" si="5">AP6*E6</f>
        <v>0</v>
      </c>
      <c r="AR6" s="232"/>
      <c r="AS6" s="279">
        <f t="shared" ref="AS6:AS69" si="6">AR6*E6</f>
        <v>0</v>
      </c>
      <c r="AT6" s="232"/>
      <c r="AU6" s="279">
        <f t="shared" ref="AU6:AU69" si="7">AT6*E6</f>
        <v>0</v>
      </c>
      <c r="AV6" s="232"/>
      <c r="AW6" s="279">
        <f t="shared" ref="AW6:AW69" si="8">AV6*E6</f>
        <v>0</v>
      </c>
      <c r="AX6" s="232"/>
      <c r="AY6" s="279">
        <f t="shared" ref="AY6:AY69" si="9">AX6*E6</f>
        <v>0</v>
      </c>
      <c r="AZ6" s="232"/>
      <c r="BA6" s="279">
        <f t="shared" ref="BA6:BA69" si="10">AZ6*E6</f>
        <v>0</v>
      </c>
      <c r="BB6" s="232"/>
      <c r="BC6" s="279">
        <f t="shared" ref="BC6:BC69" si="11">BB6*E6</f>
        <v>0</v>
      </c>
      <c r="BD6" s="232"/>
      <c r="BE6" s="279">
        <f t="shared" ref="BE6:BE69" si="12">BD6*E6</f>
        <v>0</v>
      </c>
      <c r="BF6" s="232"/>
      <c r="BG6" s="279">
        <f t="shared" ref="BG6:BG69" si="13">BF6*E6</f>
        <v>0</v>
      </c>
      <c r="BH6" s="232"/>
      <c r="BI6" s="279">
        <f t="shared" ref="BI6:BI69" si="14">BH6*E6</f>
        <v>0</v>
      </c>
      <c r="BJ6" s="232"/>
      <c r="BK6" s="279">
        <f t="shared" ref="BK6:BK69" si="15">BJ6*E6</f>
        <v>0</v>
      </c>
    </row>
    <row r="7" spans="1:63" ht="18.75">
      <c r="A7" s="233">
        <v>3</v>
      </c>
      <c r="B7" s="53" t="str">
        <f>'[8]Linh Kiện'!D9</f>
        <v>S332383</v>
      </c>
      <c r="C7" s="51" t="str">
        <f t="shared" si="1"/>
        <v>XEM</v>
      </c>
      <c r="D7" s="49">
        <f>'[8]Linh Kiện'!E9</f>
        <v>1</v>
      </c>
      <c r="E7" s="195">
        <f>'[8]Linh Kiện'!AK9</f>
        <v>56.502400000000002</v>
      </c>
      <c r="F7" s="196">
        <v>1</v>
      </c>
      <c r="G7" s="196"/>
      <c r="H7" s="49"/>
      <c r="I7" s="196"/>
      <c r="J7" s="196"/>
      <c r="K7" s="196"/>
      <c r="L7" s="196"/>
      <c r="M7" s="196"/>
      <c r="N7" s="196"/>
      <c r="O7" s="196"/>
      <c r="P7" s="196"/>
      <c r="Q7" s="196"/>
      <c r="R7" s="197">
        <f t="shared" si="2"/>
        <v>1</v>
      </c>
      <c r="S7" s="55"/>
      <c r="T7" s="48">
        <f t="shared" si="3"/>
        <v>56.502400000000002</v>
      </c>
      <c r="U7" s="48">
        <f t="shared" si="0"/>
        <v>0</v>
      </c>
      <c r="V7" s="48">
        <f t="shared" si="0"/>
        <v>0</v>
      </c>
      <c r="W7" s="48">
        <f t="shared" si="0"/>
        <v>0</v>
      </c>
      <c r="X7" s="48">
        <f t="shared" si="0"/>
        <v>0</v>
      </c>
      <c r="Y7" s="48">
        <f t="shared" si="0"/>
        <v>0</v>
      </c>
      <c r="Z7" s="48">
        <f t="shared" si="0"/>
        <v>0</v>
      </c>
      <c r="AA7" s="48">
        <f t="shared" si="0"/>
        <v>0</v>
      </c>
      <c r="AB7" s="48">
        <f t="shared" si="0"/>
        <v>0</v>
      </c>
      <c r="AC7" s="48">
        <f t="shared" si="0"/>
        <v>0</v>
      </c>
      <c r="AD7" s="48">
        <f t="shared" si="0"/>
        <v>0</v>
      </c>
      <c r="AE7" s="48">
        <f t="shared" si="0"/>
        <v>0</v>
      </c>
      <c r="AF7" s="1"/>
      <c r="AG7" s="377" t="e">
        <v>#N/A</v>
      </c>
      <c r="AH7" s="293" t="e">
        <v>#N/A</v>
      </c>
      <c r="AI7" s="293" t="e">
        <v>#N/A</v>
      </c>
      <c r="AJ7" s="293" t="e">
        <v>#N/A</v>
      </c>
      <c r="AK7" s="2" t="e">
        <v>#N/A</v>
      </c>
      <c r="AL7" s="293" t="e">
        <v>#N/A</v>
      </c>
      <c r="AN7" s="232"/>
      <c r="AO7" s="77">
        <f t="shared" si="4"/>
        <v>0</v>
      </c>
      <c r="AP7" s="232"/>
      <c r="AQ7" s="279">
        <f t="shared" si="5"/>
        <v>0</v>
      </c>
      <c r="AR7" s="232"/>
      <c r="AS7" s="279">
        <f t="shared" si="6"/>
        <v>0</v>
      </c>
      <c r="AT7" s="232"/>
      <c r="AU7" s="279">
        <f t="shared" si="7"/>
        <v>0</v>
      </c>
      <c r="AV7" s="232"/>
      <c r="AW7" s="279">
        <f t="shared" si="8"/>
        <v>0</v>
      </c>
      <c r="AX7" s="232"/>
      <c r="AY7" s="279">
        <f t="shared" si="9"/>
        <v>0</v>
      </c>
      <c r="AZ7" s="232"/>
      <c r="BA7" s="279">
        <f t="shared" si="10"/>
        <v>0</v>
      </c>
      <c r="BB7" s="232"/>
      <c r="BC7" s="279">
        <f t="shared" si="11"/>
        <v>0</v>
      </c>
      <c r="BD7" s="232"/>
      <c r="BE7" s="279">
        <f t="shared" si="12"/>
        <v>0</v>
      </c>
      <c r="BF7" s="232"/>
      <c r="BG7" s="279">
        <f t="shared" si="13"/>
        <v>0</v>
      </c>
      <c r="BH7" s="232"/>
      <c r="BI7" s="279">
        <f t="shared" si="14"/>
        <v>0</v>
      </c>
      <c r="BJ7" s="232"/>
      <c r="BK7" s="279">
        <f t="shared" si="15"/>
        <v>0</v>
      </c>
    </row>
    <row r="8" spans="1:63" ht="18.75">
      <c r="A8" s="233">
        <v>4</v>
      </c>
      <c r="B8" s="53" t="str">
        <f>'[8]Linh Kiện'!D10</f>
        <v>S947762</v>
      </c>
      <c r="C8" s="51" t="str">
        <f t="shared" si="1"/>
        <v>XEM</v>
      </c>
      <c r="D8" s="49">
        <f>'[8]Linh Kiện'!E10</f>
        <v>1</v>
      </c>
      <c r="E8" s="195">
        <f>'[8]Linh Kiện'!AK10</f>
        <v>36.872800000000005</v>
      </c>
      <c r="F8" s="196"/>
      <c r="G8" s="196"/>
      <c r="H8" s="49">
        <v>1</v>
      </c>
      <c r="I8" s="49"/>
      <c r="J8" s="196"/>
      <c r="K8" s="196"/>
      <c r="L8" s="196"/>
      <c r="M8" s="196"/>
      <c r="N8" s="196"/>
      <c r="O8" s="196"/>
      <c r="P8" s="196"/>
      <c r="Q8" s="196"/>
      <c r="R8" s="197">
        <f t="shared" si="2"/>
        <v>1</v>
      </c>
      <c r="S8" s="55"/>
      <c r="T8" s="48">
        <f t="shared" si="3"/>
        <v>0</v>
      </c>
      <c r="U8" s="48">
        <f t="shared" si="0"/>
        <v>0</v>
      </c>
      <c r="V8" s="48">
        <f t="shared" si="0"/>
        <v>36.872800000000005</v>
      </c>
      <c r="W8" s="48">
        <f t="shared" si="0"/>
        <v>0</v>
      </c>
      <c r="X8" s="48">
        <f t="shared" si="0"/>
        <v>0</v>
      </c>
      <c r="Y8" s="48">
        <f t="shared" si="0"/>
        <v>0</v>
      </c>
      <c r="Z8" s="48">
        <f t="shared" si="0"/>
        <v>0</v>
      </c>
      <c r="AA8" s="48">
        <f t="shared" si="0"/>
        <v>0</v>
      </c>
      <c r="AB8" s="48">
        <f t="shared" si="0"/>
        <v>0</v>
      </c>
      <c r="AC8" s="48">
        <f t="shared" si="0"/>
        <v>0</v>
      </c>
      <c r="AD8" s="48">
        <f t="shared" si="0"/>
        <v>0</v>
      </c>
      <c r="AE8" s="48">
        <f t="shared" si="0"/>
        <v>0</v>
      </c>
      <c r="AF8" s="1"/>
      <c r="AG8" s="362">
        <v>2136038312</v>
      </c>
      <c r="AH8" s="372">
        <v>12</v>
      </c>
      <c r="AI8" s="293">
        <v>1</v>
      </c>
      <c r="AJ8" s="293" t="s">
        <v>820</v>
      </c>
      <c r="AK8" s="2" t="s">
        <v>821</v>
      </c>
      <c r="AL8" s="371">
        <v>46118</v>
      </c>
      <c r="AN8" s="232"/>
      <c r="AO8" s="77">
        <f t="shared" si="4"/>
        <v>0</v>
      </c>
      <c r="AP8" s="232"/>
      <c r="AQ8" s="279">
        <f t="shared" si="5"/>
        <v>0</v>
      </c>
      <c r="AR8" s="232"/>
      <c r="AS8" s="279">
        <f t="shared" si="6"/>
        <v>0</v>
      </c>
      <c r="AT8" s="232"/>
      <c r="AU8" s="279">
        <f t="shared" si="7"/>
        <v>0</v>
      </c>
      <c r="AV8" s="232"/>
      <c r="AW8" s="279">
        <f t="shared" si="8"/>
        <v>0</v>
      </c>
      <c r="AX8" s="232"/>
      <c r="AY8" s="279">
        <f t="shared" si="9"/>
        <v>0</v>
      </c>
      <c r="AZ8" s="232"/>
      <c r="BA8" s="279">
        <f t="shared" si="10"/>
        <v>0</v>
      </c>
      <c r="BB8" s="232"/>
      <c r="BC8" s="279">
        <f t="shared" si="11"/>
        <v>0</v>
      </c>
      <c r="BD8" s="232"/>
      <c r="BE8" s="279">
        <f t="shared" si="12"/>
        <v>0</v>
      </c>
      <c r="BF8" s="232"/>
      <c r="BG8" s="279">
        <f t="shared" si="13"/>
        <v>0</v>
      </c>
      <c r="BH8" s="232"/>
      <c r="BI8" s="279">
        <f t="shared" si="14"/>
        <v>0</v>
      </c>
      <c r="BJ8" s="232"/>
      <c r="BK8" s="279">
        <f t="shared" si="15"/>
        <v>0</v>
      </c>
    </row>
    <row r="9" spans="1:63" ht="18.75">
      <c r="A9" s="233">
        <v>5</v>
      </c>
      <c r="B9" s="53" t="str">
        <f>'[8]Linh Kiện'!D11</f>
        <v>R061779</v>
      </c>
      <c r="C9" s="51" t="str">
        <f t="shared" si="1"/>
        <v>XEM</v>
      </c>
      <c r="D9" s="49">
        <f>'[8]Linh Kiện'!E11</f>
        <v>1</v>
      </c>
      <c r="E9" s="195">
        <f>'[8]Linh Kiện'!AK11</f>
        <v>94.930400000000006</v>
      </c>
      <c r="F9" s="196"/>
      <c r="G9" s="196"/>
      <c r="H9" s="49">
        <v>1</v>
      </c>
      <c r="I9" s="49"/>
      <c r="J9" s="196"/>
      <c r="K9" s="196"/>
      <c r="L9" s="196"/>
      <c r="M9" s="196"/>
      <c r="N9" s="196"/>
      <c r="O9" s="196"/>
      <c r="P9" s="196"/>
      <c r="Q9" s="196"/>
      <c r="R9" s="197">
        <f t="shared" si="2"/>
        <v>1</v>
      </c>
      <c r="S9" s="55"/>
      <c r="T9" s="48">
        <f t="shared" si="3"/>
        <v>0</v>
      </c>
      <c r="U9" s="48">
        <f t="shared" si="0"/>
        <v>0</v>
      </c>
      <c r="V9" s="48">
        <f t="shared" si="0"/>
        <v>94.930400000000006</v>
      </c>
      <c r="W9" s="48">
        <f t="shared" si="0"/>
        <v>0</v>
      </c>
      <c r="X9" s="48">
        <f t="shared" si="0"/>
        <v>0</v>
      </c>
      <c r="Y9" s="48">
        <f t="shared" si="0"/>
        <v>0</v>
      </c>
      <c r="Z9" s="48">
        <f t="shared" si="0"/>
        <v>0</v>
      </c>
      <c r="AA9" s="48">
        <f t="shared" si="0"/>
        <v>0</v>
      </c>
      <c r="AB9" s="48">
        <f t="shared" si="0"/>
        <v>0</v>
      </c>
      <c r="AC9" s="48">
        <f t="shared" si="0"/>
        <v>0</v>
      </c>
      <c r="AD9" s="48">
        <f t="shared" si="0"/>
        <v>0</v>
      </c>
      <c r="AE9" s="48">
        <f t="shared" si="0"/>
        <v>0</v>
      </c>
      <c r="AF9" s="1"/>
      <c r="AG9" s="378" t="e">
        <v>#N/A</v>
      </c>
      <c r="AH9" s="293" t="e">
        <v>#N/A</v>
      </c>
      <c r="AI9" s="293" t="e">
        <v>#N/A</v>
      </c>
      <c r="AJ9" s="293" t="e">
        <v>#N/A</v>
      </c>
      <c r="AK9" s="2" t="e">
        <v>#N/A</v>
      </c>
      <c r="AL9" s="293" t="e">
        <v>#N/A</v>
      </c>
      <c r="AN9" s="232"/>
      <c r="AO9" s="77">
        <f t="shared" si="4"/>
        <v>0</v>
      </c>
      <c r="AP9" s="232"/>
      <c r="AQ9" s="279">
        <f t="shared" si="5"/>
        <v>0</v>
      </c>
      <c r="AR9" s="232"/>
      <c r="AS9" s="279">
        <f t="shared" si="6"/>
        <v>0</v>
      </c>
      <c r="AT9" s="232"/>
      <c r="AU9" s="279">
        <f t="shared" si="7"/>
        <v>0</v>
      </c>
      <c r="AV9" s="232"/>
      <c r="AW9" s="279">
        <f t="shared" si="8"/>
        <v>0</v>
      </c>
      <c r="AX9" s="232"/>
      <c r="AY9" s="279">
        <f t="shared" si="9"/>
        <v>0</v>
      </c>
      <c r="AZ9" s="232"/>
      <c r="BA9" s="279">
        <f t="shared" si="10"/>
        <v>0</v>
      </c>
      <c r="BB9" s="232"/>
      <c r="BC9" s="279">
        <f t="shared" si="11"/>
        <v>0</v>
      </c>
      <c r="BD9" s="232"/>
      <c r="BE9" s="279">
        <f t="shared" si="12"/>
        <v>0</v>
      </c>
      <c r="BF9" s="232"/>
      <c r="BG9" s="279">
        <f t="shared" si="13"/>
        <v>0</v>
      </c>
      <c r="BH9" s="232"/>
      <c r="BI9" s="279">
        <f t="shared" si="14"/>
        <v>0</v>
      </c>
      <c r="BJ9" s="232"/>
      <c r="BK9" s="279">
        <f t="shared" si="15"/>
        <v>0</v>
      </c>
    </row>
    <row r="10" spans="1:63" ht="18.75">
      <c r="A10" s="233">
        <v>6</v>
      </c>
      <c r="B10" s="53" t="str">
        <f>'[8]Linh Kiện'!D12</f>
        <v>S759985</v>
      </c>
      <c r="C10" s="51" t="str">
        <f t="shared" si="1"/>
        <v>XEM</v>
      </c>
      <c r="D10" s="49">
        <f>'[8]Linh Kiện'!E12</f>
        <v>1</v>
      </c>
      <c r="E10" s="195">
        <f>'[8]Linh Kiện'!AK12</f>
        <v>107.26439999999999</v>
      </c>
      <c r="F10" s="196">
        <v>1</v>
      </c>
      <c r="G10" s="196"/>
      <c r="H10" s="49"/>
      <c r="I10" s="49"/>
      <c r="J10" s="196"/>
      <c r="K10" s="196"/>
      <c r="L10" s="196"/>
      <c r="M10" s="196"/>
      <c r="N10" s="196"/>
      <c r="O10" s="196"/>
      <c r="P10" s="196"/>
      <c r="Q10" s="196"/>
      <c r="R10" s="197">
        <f t="shared" si="2"/>
        <v>1</v>
      </c>
      <c r="S10" s="55"/>
      <c r="T10" s="48">
        <f t="shared" si="3"/>
        <v>107.26439999999999</v>
      </c>
      <c r="U10" s="48">
        <f t="shared" si="0"/>
        <v>0</v>
      </c>
      <c r="V10" s="48">
        <f t="shared" si="0"/>
        <v>0</v>
      </c>
      <c r="W10" s="48">
        <f t="shared" si="0"/>
        <v>0</v>
      </c>
      <c r="X10" s="48">
        <f t="shared" si="0"/>
        <v>0</v>
      </c>
      <c r="Y10" s="48">
        <f t="shared" si="0"/>
        <v>0</v>
      </c>
      <c r="Z10" s="48">
        <f t="shared" si="0"/>
        <v>0</v>
      </c>
      <c r="AA10" s="48">
        <f t="shared" si="0"/>
        <v>0</v>
      </c>
      <c r="AB10" s="48">
        <f t="shared" si="0"/>
        <v>0</v>
      </c>
      <c r="AC10" s="48">
        <f t="shared" si="0"/>
        <v>0</v>
      </c>
      <c r="AD10" s="48">
        <f t="shared" si="0"/>
        <v>0</v>
      </c>
      <c r="AE10" s="48">
        <f t="shared" si="0"/>
        <v>0</v>
      </c>
      <c r="AF10" s="1"/>
      <c r="AG10" s="293" t="e">
        <v>#N/A</v>
      </c>
      <c r="AH10" s="293" t="e">
        <v>#N/A</v>
      </c>
      <c r="AI10" s="293" t="e">
        <v>#N/A</v>
      </c>
      <c r="AJ10" s="293" t="e">
        <v>#N/A</v>
      </c>
      <c r="AK10" s="2" t="e">
        <v>#N/A</v>
      </c>
      <c r="AL10" s="293" t="e">
        <v>#N/A</v>
      </c>
      <c r="AN10" s="232"/>
      <c r="AO10" s="77">
        <f t="shared" si="4"/>
        <v>0</v>
      </c>
      <c r="AP10" s="232"/>
      <c r="AQ10" s="279">
        <f t="shared" si="5"/>
        <v>0</v>
      </c>
      <c r="AR10" s="232"/>
      <c r="AS10" s="279">
        <f t="shared" si="6"/>
        <v>0</v>
      </c>
      <c r="AT10" s="232"/>
      <c r="AU10" s="279">
        <f t="shared" si="7"/>
        <v>0</v>
      </c>
      <c r="AV10" s="232"/>
      <c r="AW10" s="279">
        <f t="shared" si="8"/>
        <v>0</v>
      </c>
      <c r="AX10" s="232"/>
      <c r="AY10" s="279">
        <f t="shared" si="9"/>
        <v>0</v>
      </c>
      <c r="AZ10" s="232"/>
      <c r="BA10" s="279">
        <f t="shared" si="10"/>
        <v>0</v>
      </c>
      <c r="BB10" s="232"/>
      <c r="BC10" s="279">
        <f t="shared" si="11"/>
        <v>0</v>
      </c>
      <c r="BD10" s="232"/>
      <c r="BE10" s="279">
        <f t="shared" si="12"/>
        <v>0</v>
      </c>
      <c r="BF10" s="232"/>
      <c r="BG10" s="279">
        <f t="shared" si="13"/>
        <v>0</v>
      </c>
      <c r="BH10" s="232"/>
      <c r="BI10" s="279">
        <f t="shared" si="14"/>
        <v>0</v>
      </c>
      <c r="BJ10" s="232"/>
      <c r="BK10" s="279">
        <f t="shared" si="15"/>
        <v>0</v>
      </c>
    </row>
    <row r="11" spans="1:63" ht="18.75">
      <c r="A11" s="233">
        <v>7</v>
      </c>
      <c r="B11" s="53" t="str">
        <f>'[8]Linh Kiện'!D13</f>
        <v>R061772</v>
      </c>
      <c r="C11" s="51" t="str">
        <f t="shared" si="1"/>
        <v>XEM</v>
      </c>
      <c r="D11" s="49">
        <f>'[8]Linh Kiện'!E13</f>
        <v>1</v>
      </c>
      <c r="E11" s="195">
        <f>'[8]Linh Kiện'!AK13</f>
        <v>146.5436</v>
      </c>
      <c r="F11" s="196"/>
      <c r="G11" s="196"/>
      <c r="H11" s="49">
        <v>1</v>
      </c>
      <c r="I11" s="49"/>
      <c r="J11" s="196"/>
      <c r="K11" s="196"/>
      <c r="L11" s="196"/>
      <c r="M11" s="196"/>
      <c r="N11" s="196"/>
      <c r="O11" s="196"/>
      <c r="P11" s="196"/>
      <c r="Q11" s="196"/>
      <c r="R11" s="197">
        <f t="shared" si="2"/>
        <v>1</v>
      </c>
      <c r="S11" s="55"/>
      <c r="T11" s="48">
        <f t="shared" si="3"/>
        <v>0</v>
      </c>
      <c r="U11" s="48">
        <f t="shared" si="0"/>
        <v>0</v>
      </c>
      <c r="V11" s="48">
        <f t="shared" si="0"/>
        <v>146.5436</v>
      </c>
      <c r="W11" s="48">
        <f t="shared" si="0"/>
        <v>0</v>
      </c>
      <c r="X11" s="48">
        <f t="shared" si="0"/>
        <v>0</v>
      </c>
      <c r="Y11" s="48">
        <f t="shared" si="0"/>
        <v>0</v>
      </c>
      <c r="Z11" s="48">
        <f t="shared" si="0"/>
        <v>0</v>
      </c>
      <c r="AA11" s="48">
        <f t="shared" si="0"/>
        <v>0</v>
      </c>
      <c r="AB11" s="48">
        <f t="shared" si="0"/>
        <v>0</v>
      </c>
      <c r="AC11" s="48">
        <f t="shared" si="0"/>
        <v>0</v>
      </c>
      <c r="AD11" s="48">
        <f t="shared" si="0"/>
        <v>0</v>
      </c>
      <c r="AE11" s="48">
        <f t="shared" si="0"/>
        <v>0</v>
      </c>
      <c r="AF11" s="1"/>
      <c r="AG11" s="293" t="e">
        <v>#N/A</v>
      </c>
      <c r="AH11" s="293" t="e">
        <v>#N/A</v>
      </c>
      <c r="AI11" s="293" t="e">
        <v>#N/A</v>
      </c>
      <c r="AJ11" s="293" t="e">
        <v>#N/A</v>
      </c>
      <c r="AK11" s="2" t="e">
        <v>#N/A</v>
      </c>
      <c r="AL11" s="293" t="e">
        <v>#N/A</v>
      </c>
      <c r="AN11" s="232"/>
      <c r="AO11" s="77">
        <f t="shared" si="4"/>
        <v>0</v>
      </c>
      <c r="AP11" s="232"/>
      <c r="AQ11" s="279">
        <f t="shared" si="5"/>
        <v>0</v>
      </c>
      <c r="AR11" s="232"/>
      <c r="AS11" s="279">
        <f t="shared" si="6"/>
        <v>0</v>
      </c>
      <c r="AT11" s="232"/>
      <c r="AU11" s="279">
        <f t="shared" si="7"/>
        <v>0</v>
      </c>
      <c r="AV11" s="232"/>
      <c r="AW11" s="279">
        <f t="shared" si="8"/>
        <v>0</v>
      </c>
      <c r="AX11" s="232"/>
      <c r="AY11" s="279">
        <f t="shared" si="9"/>
        <v>0</v>
      </c>
      <c r="AZ11" s="232"/>
      <c r="BA11" s="279">
        <f t="shared" si="10"/>
        <v>0</v>
      </c>
      <c r="BB11" s="232"/>
      <c r="BC11" s="279">
        <f t="shared" si="11"/>
        <v>0</v>
      </c>
      <c r="BD11" s="232"/>
      <c r="BE11" s="279">
        <f t="shared" si="12"/>
        <v>0</v>
      </c>
      <c r="BF11" s="232"/>
      <c r="BG11" s="279">
        <f t="shared" si="13"/>
        <v>0</v>
      </c>
      <c r="BH11" s="232"/>
      <c r="BI11" s="279">
        <f t="shared" si="14"/>
        <v>0</v>
      </c>
      <c r="BJ11" s="232"/>
      <c r="BK11" s="279">
        <f t="shared" si="15"/>
        <v>0</v>
      </c>
    </row>
    <row r="12" spans="1:63" ht="18.75">
      <c r="A12" s="233">
        <v>8</v>
      </c>
      <c r="B12" s="53" t="str">
        <f>'[8]Linh Kiện'!D14</f>
        <v>S759979</v>
      </c>
      <c r="C12" s="51" t="str">
        <f t="shared" si="1"/>
        <v>XEM</v>
      </c>
      <c r="D12" s="49">
        <f>'[8]Linh Kiện'!E14</f>
        <v>1</v>
      </c>
      <c r="E12" s="195">
        <f>'[8]Linh Kiện'!AK14</f>
        <v>147.5436</v>
      </c>
      <c r="F12" s="196"/>
      <c r="G12" s="196"/>
      <c r="H12" s="49"/>
      <c r="I12" s="49"/>
      <c r="J12" s="196"/>
      <c r="K12" s="196">
        <v>1</v>
      </c>
      <c r="L12" s="196"/>
      <c r="M12" s="196"/>
      <c r="N12" s="196"/>
      <c r="O12" s="196"/>
      <c r="P12" s="196"/>
      <c r="Q12" s="196"/>
      <c r="R12" s="197">
        <f t="shared" si="2"/>
        <v>1</v>
      </c>
      <c r="S12" s="55"/>
      <c r="T12" s="48">
        <f t="shared" si="3"/>
        <v>0</v>
      </c>
      <c r="U12" s="48">
        <f t="shared" si="0"/>
        <v>0</v>
      </c>
      <c r="V12" s="48">
        <f t="shared" si="0"/>
        <v>0</v>
      </c>
      <c r="W12" s="48">
        <f t="shared" si="0"/>
        <v>0</v>
      </c>
      <c r="X12" s="48">
        <f t="shared" si="0"/>
        <v>0</v>
      </c>
      <c r="Y12" s="48">
        <f t="shared" si="0"/>
        <v>147.5436</v>
      </c>
      <c r="Z12" s="48">
        <f t="shared" si="0"/>
        <v>0</v>
      </c>
      <c r="AA12" s="48">
        <f t="shared" si="0"/>
        <v>0</v>
      </c>
      <c r="AB12" s="48">
        <f t="shared" si="0"/>
        <v>0</v>
      </c>
      <c r="AC12" s="48">
        <f t="shared" si="0"/>
        <v>0</v>
      </c>
      <c r="AD12" s="48">
        <f t="shared" si="0"/>
        <v>0</v>
      </c>
      <c r="AE12" s="48">
        <f t="shared" si="0"/>
        <v>0</v>
      </c>
      <c r="AF12" s="1"/>
      <c r="AG12" s="293" t="e">
        <v>#N/A</v>
      </c>
      <c r="AH12" s="293" t="e">
        <v>#N/A</v>
      </c>
      <c r="AI12" s="293" t="e">
        <v>#N/A</v>
      </c>
      <c r="AJ12" s="293" t="e">
        <v>#N/A</v>
      </c>
      <c r="AK12" s="2" t="e">
        <v>#N/A</v>
      </c>
      <c r="AL12" s="293" t="e">
        <v>#N/A</v>
      </c>
      <c r="AN12" s="232"/>
      <c r="AO12" s="77">
        <f t="shared" si="4"/>
        <v>0</v>
      </c>
      <c r="AP12" s="232"/>
      <c r="AQ12" s="279">
        <f t="shared" si="5"/>
        <v>0</v>
      </c>
      <c r="AR12" s="232"/>
      <c r="AS12" s="279">
        <f t="shared" si="6"/>
        <v>0</v>
      </c>
      <c r="AT12" s="232"/>
      <c r="AU12" s="279">
        <f t="shared" si="7"/>
        <v>0</v>
      </c>
      <c r="AV12" s="232"/>
      <c r="AW12" s="279">
        <f t="shared" si="8"/>
        <v>0</v>
      </c>
      <c r="AX12" s="232"/>
      <c r="AY12" s="279">
        <f t="shared" si="9"/>
        <v>0</v>
      </c>
      <c r="AZ12" s="232"/>
      <c r="BA12" s="279">
        <f t="shared" si="10"/>
        <v>0</v>
      </c>
      <c r="BB12" s="232"/>
      <c r="BC12" s="279">
        <f t="shared" si="11"/>
        <v>0</v>
      </c>
      <c r="BD12" s="232"/>
      <c r="BE12" s="279">
        <f t="shared" si="12"/>
        <v>0</v>
      </c>
      <c r="BF12" s="232"/>
      <c r="BG12" s="279">
        <f t="shared" si="13"/>
        <v>0</v>
      </c>
      <c r="BH12" s="232"/>
      <c r="BI12" s="279">
        <f t="shared" si="14"/>
        <v>0</v>
      </c>
      <c r="BJ12" s="232"/>
      <c r="BK12" s="279">
        <f t="shared" si="15"/>
        <v>0</v>
      </c>
    </row>
    <row r="13" spans="1:63" ht="18.75">
      <c r="A13" s="233">
        <v>9</v>
      </c>
      <c r="B13" s="53" t="str">
        <f>'[8]Linh Kiện'!D15</f>
        <v>S759990</v>
      </c>
      <c r="C13" s="51" t="str">
        <f t="shared" si="1"/>
        <v>XEM</v>
      </c>
      <c r="D13" s="49">
        <f>'[8]Linh Kiện'!E15</f>
        <v>1</v>
      </c>
      <c r="E13" s="195">
        <f>'[8]Linh Kiện'!AK15</f>
        <v>158.29199999999997</v>
      </c>
      <c r="F13" s="196">
        <v>1</v>
      </c>
      <c r="G13" s="196"/>
      <c r="H13" s="49"/>
      <c r="I13" s="49"/>
      <c r="J13" s="196"/>
      <c r="K13" s="196"/>
      <c r="L13" s="196"/>
      <c r="M13" s="196"/>
      <c r="N13" s="196"/>
      <c r="O13" s="196"/>
      <c r="P13" s="196"/>
      <c r="Q13" s="196"/>
      <c r="R13" s="197">
        <f t="shared" si="2"/>
        <v>1</v>
      </c>
      <c r="S13" s="55"/>
      <c r="T13" s="48">
        <f t="shared" si="3"/>
        <v>158.29199999999997</v>
      </c>
      <c r="U13" s="48">
        <f t="shared" si="0"/>
        <v>0</v>
      </c>
      <c r="V13" s="48">
        <f t="shared" si="0"/>
        <v>0</v>
      </c>
      <c r="W13" s="48">
        <f t="shared" si="0"/>
        <v>0</v>
      </c>
      <c r="X13" s="48">
        <f t="shared" si="0"/>
        <v>0</v>
      </c>
      <c r="Y13" s="48">
        <f t="shared" si="0"/>
        <v>0</v>
      </c>
      <c r="Z13" s="48">
        <f t="shared" si="0"/>
        <v>0</v>
      </c>
      <c r="AA13" s="48">
        <f t="shared" si="0"/>
        <v>0</v>
      </c>
      <c r="AB13" s="48">
        <f t="shared" si="0"/>
        <v>0</v>
      </c>
      <c r="AC13" s="48">
        <f t="shared" si="0"/>
        <v>0</v>
      </c>
      <c r="AD13" s="48">
        <f t="shared" si="0"/>
        <v>0</v>
      </c>
      <c r="AE13" s="48">
        <f t="shared" si="0"/>
        <v>0</v>
      </c>
      <c r="AF13" s="1"/>
      <c r="AG13" s="293" t="e">
        <v>#N/A</v>
      </c>
      <c r="AH13" s="293" t="e">
        <v>#N/A</v>
      </c>
      <c r="AI13" s="293" t="e">
        <v>#N/A</v>
      </c>
      <c r="AJ13" s="293" t="e">
        <v>#N/A</v>
      </c>
      <c r="AK13" s="2" t="e">
        <v>#N/A</v>
      </c>
      <c r="AL13" s="293" t="e">
        <v>#N/A</v>
      </c>
      <c r="AN13" s="232"/>
      <c r="AO13" s="77">
        <f t="shared" si="4"/>
        <v>0</v>
      </c>
      <c r="AP13" s="232"/>
      <c r="AQ13" s="279">
        <f t="shared" si="5"/>
        <v>0</v>
      </c>
      <c r="AR13" s="232"/>
      <c r="AS13" s="279">
        <f t="shared" si="6"/>
        <v>0</v>
      </c>
      <c r="AT13" s="232"/>
      <c r="AU13" s="279">
        <f t="shared" si="7"/>
        <v>0</v>
      </c>
      <c r="AV13" s="232"/>
      <c r="AW13" s="279">
        <f t="shared" si="8"/>
        <v>0</v>
      </c>
      <c r="AX13" s="232"/>
      <c r="AY13" s="279">
        <f t="shared" si="9"/>
        <v>0</v>
      </c>
      <c r="AZ13" s="232"/>
      <c r="BA13" s="279">
        <f t="shared" si="10"/>
        <v>0</v>
      </c>
      <c r="BB13" s="232"/>
      <c r="BC13" s="279">
        <f t="shared" si="11"/>
        <v>0</v>
      </c>
      <c r="BD13" s="232"/>
      <c r="BE13" s="279">
        <f t="shared" si="12"/>
        <v>0</v>
      </c>
      <c r="BF13" s="232"/>
      <c r="BG13" s="279">
        <f t="shared" si="13"/>
        <v>0</v>
      </c>
      <c r="BH13" s="232"/>
      <c r="BI13" s="279">
        <f t="shared" si="14"/>
        <v>0</v>
      </c>
      <c r="BJ13" s="232"/>
      <c r="BK13" s="279">
        <f t="shared" si="15"/>
        <v>0</v>
      </c>
    </row>
    <row r="14" spans="1:63" ht="18.75">
      <c r="A14" s="233">
        <v>10</v>
      </c>
      <c r="B14" s="53" t="str">
        <f>'[8]Linh Kiện'!D16</f>
        <v>R061784</v>
      </c>
      <c r="C14" s="51" t="str">
        <f t="shared" si="1"/>
        <v>XEM</v>
      </c>
      <c r="D14" s="49">
        <f>'[8]Linh Kiện'!E16</f>
        <v>1</v>
      </c>
      <c r="E14" s="195">
        <f>'[8]Linh Kiện'!AK16</f>
        <v>170.34800000000001</v>
      </c>
      <c r="F14" s="196"/>
      <c r="G14" s="196"/>
      <c r="H14" s="49">
        <v>1</v>
      </c>
      <c r="I14" s="49"/>
      <c r="J14" s="196"/>
      <c r="K14" s="196"/>
      <c r="L14" s="196"/>
      <c r="M14" s="196"/>
      <c r="N14" s="196"/>
      <c r="O14" s="196"/>
      <c r="P14" s="196"/>
      <c r="Q14" s="196"/>
      <c r="R14" s="197">
        <f t="shared" si="2"/>
        <v>1</v>
      </c>
      <c r="S14" s="55"/>
      <c r="T14" s="48">
        <f t="shared" si="3"/>
        <v>0</v>
      </c>
      <c r="U14" s="48">
        <f t="shared" si="0"/>
        <v>0</v>
      </c>
      <c r="V14" s="48">
        <f t="shared" si="0"/>
        <v>170.34800000000001</v>
      </c>
      <c r="W14" s="48">
        <f t="shared" si="0"/>
        <v>0</v>
      </c>
      <c r="X14" s="48">
        <f t="shared" si="0"/>
        <v>0</v>
      </c>
      <c r="Y14" s="48">
        <f t="shared" si="0"/>
        <v>0</v>
      </c>
      <c r="Z14" s="48">
        <f t="shared" si="0"/>
        <v>0</v>
      </c>
      <c r="AA14" s="48">
        <f t="shared" si="0"/>
        <v>0</v>
      </c>
      <c r="AB14" s="48">
        <f t="shared" si="0"/>
        <v>0</v>
      </c>
      <c r="AC14" s="48">
        <f t="shared" si="0"/>
        <v>0</v>
      </c>
      <c r="AD14" s="48">
        <f t="shared" si="0"/>
        <v>0</v>
      </c>
      <c r="AE14" s="48">
        <f t="shared" si="0"/>
        <v>0</v>
      </c>
      <c r="AF14" s="1"/>
      <c r="AG14" s="293" t="e">
        <v>#N/A</v>
      </c>
      <c r="AH14" s="293" t="e">
        <v>#N/A</v>
      </c>
      <c r="AI14" s="293" t="e">
        <v>#N/A</v>
      </c>
      <c r="AJ14" s="293" t="e">
        <v>#N/A</v>
      </c>
      <c r="AK14" s="2" t="e">
        <v>#N/A</v>
      </c>
      <c r="AL14" s="293" t="e">
        <v>#N/A</v>
      </c>
      <c r="AN14" s="232"/>
      <c r="AO14" s="77">
        <f t="shared" si="4"/>
        <v>0</v>
      </c>
      <c r="AP14" s="232"/>
      <c r="AQ14" s="279">
        <f t="shared" si="5"/>
        <v>0</v>
      </c>
      <c r="AR14" s="232"/>
      <c r="AS14" s="279">
        <f t="shared" si="6"/>
        <v>0</v>
      </c>
      <c r="AT14" s="232"/>
      <c r="AU14" s="279">
        <f t="shared" si="7"/>
        <v>0</v>
      </c>
      <c r="AV14" s="232"/>
      <c r="AW14" s="279">
        <f t="shared" si="8"/>
        <v>0</v>
      </c>
      <c r="AX14" s="232"/>
      <c r="AY14" s="279">
        <f t="shared" si="9"/>
        <v>0</v>
      </c>
      <c r="AZ14" s="232"/>
      <c r="BA14" s="279">
        <f t="shared" si="10"/>
        <v>0</v>
      </c>
      <c r="BB14" s="232"/>
      <c r="BC14" s="279">
        <f t="shared" si="11"/>
        <v>0</v>
      </c>
      <c r="BD14" s="232"/>
      <c r="BE14" s="279">
        <f t="shared" si="12"/>
        <v>0</v>
      </c>
      <c r="BF14" s="232"/>
      <c r="BG14" s="279">
        <f t="shared" si="13"/>
        <v>0</v>
      </c>
      <c r="BH14" s="232"/>
      <c r="BI14" s="279">
        <f t="shared" si="14"/>
        <v>0</v>
      </c>
      <c r="BJ14" s="232"/>
      <c r="BK14" s="279">
        <f t="shared" si="15"/>
        <v>0</v>
      </c>
    </row>
    <row r="15" spans="1:63" ht="18.75">
      <c r="A15" s="233">
        <v>11</v>
      </c>
      <c r="B15" s="53" t="str">
        <f>'[8]Linh Kiện'!D17</f>
        <v>R061775</v>
      </c>
      <c r="C15" s="51" t="str">
        <f t="shared" si="1"/>
        <v>XEM</v>
      </c>
      <c r="D15" s="49">
        <f>'[8]Linh Kiện'!E17</f>
        <v>1</v>
      </c>
      <c r="E15" s="195">
        <f>'[8]Linh Kiện'!AK17</f>
        <v>262.02719999999999</v>
      </c>
      <c r="F15" s="196"/>
      <c r="G15" s="196"/>
      <c r="H15" s="49">
        <v>1</v>
      </c>
      <c r="I15" s="49"/>
      <c r="J15" s="49"/>
      <c r="K15" s="196"/>
      <c r="L15" s="196"/>
      <c r="M15" s="196"/>
      <c r="N15" s="196"/>
      <c r="O15" s="196"/>
      <c r="P15" s="196"/>
      <c r="Q15" s="196"/>
      <c r="R15" s="197">
        <f t="shared" si="2"/>
        <v>1</v>
      </c>
      <c r="S15" s="55"/>
      <c r="T15" s="48">
        <f t="shared" si="3"/>
        <v>0</v>
      </c>
      <c r="U15" s="48">
        <f t="shared" si="0"/>
        <v>0</v>
      </c>
      <c r="V15" s="48">
        <f t="shared" si="0"/>
        <v>262.02719999999999</v>
      </c>
      <c r="W15" s="48">
        <f t="shared" si="0"/>
        <v>0</v>
      </c>
      <c r="X15" s="48">
        <f t="shared" si="0"/>
        <v>0</v>
      </c>
      <c r="Y15" s="48">
        <f t="shared" si="0"/>
        <v>0</v>
      </c>
      <c r="Z15" s="48">
        <f t="shared" si="0"/>
        <v>0</v>
      </c>
      <c r="AA15" s="48">
        <f t="shared" si="0"/>
        <v>0</v>
      </c>
      <c r="AB15" s="48">
        <f t="shared" si="0"/>
        <v>0</v>
      </c>
      <c r="AC15" s="48">
        <f t="shared" si="0"/>
        <v>0</v>
      </c>
      <c r="AD15" s="48">
        <f t="shared" si="0"/>
        <v>0</v>
      </c>
      <c r="AE15" s="48">
        <f t="shared" si="0"/>
        <v>0</v>
      </c>
      <c r="AF15" s="1"/>
      <c r="AG15" s="293" t="e">
        <v>#N/A</v>
      </c>
      <c r="AH15" s="293" t="e">
        <v>#N/A</v>
      </c>
      <c r="AI15" s="293" t="e">
        <v>#N/A</v>
      </c>
      <c r="AJ15" s="293" t="e">
        <v>#N/A</v>
      </c>
      <c r="AK15" s="2" t="e">
        <v>#N/A</v>
      </c>
      <c r="AL15" s="293" t="e">
        <v>#N/A</v>
      </c>
      <c r="AN15" s="232"/>
      <c r="AO15" s="77">
        <f t="shared" si="4"/>
        <v>0</v>
      </c>
      <c r="AP15" s="232"/>
      <c r="AQ15" s="279">
        <f t="shared" si="5"/>
        <v>0</v>
      </c>
      <c r="AR15" s="232"/>
      <c r="AS15" s="279">
        <f t="shared" si="6"/>
        <v>0</v>
      </c>
      <c r="AT15" s="232"/>
      <c r="AU15" s="279">
        <f t="shared" si="7"/>
        <v>0</v>
      </c>
      <c r="AV15" s="232"/>
      <c r="AW15" s="279">
        <f t="shared" si="8"/>
        <v>0</v>
      </c>
      <c r="AX15" s="232"/>
      <c r="AY15" s="279">
        <f t="shared" si="9"/>
        <v>0</v>
      </c>
      <c r="AZ15" s="232"/>
      <c r="BA15" s="279">
        <f t="shared" si="10"/>
        <v>0</v>
      </c>
      <c r="BB15" s="232"/>
      <c r="BC15" s="279">
        <f t="shared" si="11"/>
        <v>0</v>
      </c>
      <c r="BD15" s="232"/>
      <c r="BE15" s="279">
        <f t="shared" si="12"/>
        <v>0</v>
      </c>
      <c r="BF15" s="232"/>
      <c r="BG15" s="279">
        <f t="shared" si="13"/>
        <v>0</v>
      </c>
      <c r="BH15" s="232"/>
      <c r="BI15" s="279">
        <f t="shared" si="14"/>
        <v>0</v>
      </c>
      <c r="BJ15" s="232"/>
      <c r="BK15" s="279">
        <f t="shared" si="15"/>
        <v>0</v>
      </c>
    </row>
    <row r="16" spans="1:63" ht="18.75">
      <c r="A16" s="233">
        <v>12</v>
      </c>
      <c r="B16" s="53" t="str">
        <f>'[8]Linh Kiện'!D18</f>
        <v>R061777</v>
      </c>
      <c r="C16" s="51" t="str">
        <f t="shared" si="1"/>
        <v>XEM</v>
      </c>
      <c r="D16" s="49">
        <f>'[8]Linh Kiện'!E18</f>
        <v>1</v>
      </c>
      <c r="E16" s="195">
        <f>'[8]Linh Kiện'!AK18</f>
        <v>355.27440000000001</v>
      </c>
      <c r="F16" s="196"/>
      <c r="G16" s="196"/>
      <c r="H16" s="49"/>
      <c r="I16" s="49">
        <v>1</v>
      </c>
      <c r="J16" s="49"/>
      <c r="K16" s="196"/>
      <c r="L16" s="196"/>
      <c r="M16" s="196"/>
      <c r="N16" s="196"/>
      <c r="O16" s="196"/>
      <c r="P16" s="196"/>
      <c r="Q16" s="196"/>
      <c r="R16" s="197">
        <f t="shared" si="2"/>
        <v>1</v>
      </c>
      <c r="S16" s="55"/>
      <c r="T16" s="48">
        <f t="shared" si="3"/>
        <v>0</v>
      </c>
      <c r="U16" s="48">
        <f t="shared" si="0"/>
        <v>0</v>
      </c>
      <c r="V16" s="48">
        <f t="shared" si="0"/>
        <v>0</v>
      </c>
      <c r="W16" s="48">
        <f t="shared" si="0"/>
        <v>355.27440000000001</v>
      </c>
      <c r="X16" s="48">
        <f t="shared" si="0"/>
        <v>0</v>
      </c>
      <c r="Y16" s="48">
        <f t="shared" si="0"/>
        <v>0</v>
      </c>
      <c r="Z16" s="48">
        <f t="shared" si="0"/>
        <v>0</v>
      </c>
      <c r="AA16" s="48">
        <f t="shared" si="0"/>
        <v>0</v>
      </c>
      <c r="AB16" s="48">
        <f t="shared" si="0"/>
        <v>0</v>
      </c>
      <c r="AC16" s="48">
        <f t="shared" si="0"/>
        <v>0</v>
      </c>
      <c r="AD16" s="48">
        <f t="shared" si="0"/>
        <v>0</v>
      </c>
      <c r="AE16" s="48">
        <f t="shared" si="0"/>
        <v>0</v>
      </c>
      <c r="AF16" s="1"/>
      <c r="AG16" s="293" t="e">
        <v>#N/A</v>
      </c>
      <c r="AH16" s="293" t="e">
        <v>#N/A</v>
      </c>
      <c r="AI16" s="293" t="e">
        <v>#N/A</v>
      </c>
      <c r="AJ16" s="293" t="e">
        <v>#N/A</v>
      </c>
      <c r="AK16" s="2" t="e">
        <v>#N/A</v>
      </c>
      <c r="AL16" s="293" t="e">
        <v>#N/A</v>
      </c>
      <c r="AN16" s="232"/>
      <c r="AO16" s="77">
        <f t="shared" si="4"/>
        <v>0</v>
      </c>
      <c r="AP16" s="232"/>
      <c r="AQ16" s="279">
        <f t="shared" si="5"/>
        <v>0</v>
      </c>
      <c r="AR16" s="232"/>
      <c r="AS16" s="279">
        <f t="shared" si="6"/>
        <v>0</v>
      </c>
      <c r="AT16" s="232"/>
      <c r="AU16" s="279">
        <f t="shared" si="7"/>
        <v>0</v>
      </c>
      <c r="AV16" s="232"/>
      <c r="AW16" s="279">
        <f t="shared" si="8"/>
        <v>0</v>
      </c>
      <c r="AX16" s="232"/>
      <c r="AY16" s="279">
        <f t="shared" si="9"/>
        <v>0</v>
      </c>
      <c r="AZ16" s="232"/>
      <c r="BA16" s="279">
        <f t="shared" si="10"/>
        <v>0</v>
      </c>
      <c r="BB16" s="232"/>
      <c r="BC16" s="279">
        <f t="shared" si="11"/>
        <v>0</v>
      </c>
      <c r="BD16" s="232"/>
      <c r="BE16" s="279">
        <f t="shared" si="12"/>
        <v>0</v>
      </c>
      <c r="BF16" s="232"/>
      <c r="BG16" s="279">
        <f t="shared" si="13"/>
        <v>0</v>
      </c>
      <c r="BH16" s="232"/>
      <c r="BI16" s="279">
        <f t="shared" si="14"/>
        <v>0</v>
      </c>
      <c r="BJ16" s="232"/>
      <c r="BK16" s="279">
        <f t="shared" si="15"/>
        <v>0</v>
      </c>
    </row>
    <row r="17" spans="1:63" ht="18.75">
      <c r="A17" s="233">
        <v>13</v>
      </c>
      <c r="B17" s="53" t="str">
        <f>'[8]Linh Kiện'!D19</f>
        <v>S329382</v>
      </c>
      <c r="C17" s="51" t="str">
        <f t="shared" si="1"/>
        <v>XEM</v>
      </c>
      <c r="D17" s="49">
        <f>'[8]Linh Kiện'!E19</f>
        <v>1</v>
      </c>
      <c r="E17" s="195">
        <f>'[8]Linh Kiện'!AK19</f>
        <v>390.01959999999997</v>
      </c>
      <c r="F17" s="196"/>
      <c r="G17" s="196"/>
      <c r="H17" s="196"/>
      <c r="I17" s="49">
        <v>1</v>
      </c>
      <c r="J17" s="49"/>
      <c r="K17" s="196"/>
      <c r="L17" s="196"/>
      <c r="M17" s="196"/>
      <c r="N17" s="196"/>
      <c r="O17" s="196"/>
      <c r="P17" s="196"/>
      <c r="Q17" s="196"/>
      <c r="R17" s="197">
        <f t="shared" si="2"/>
        <v>1</v>
      </c>
      <c r="S17" s="55"/>
      <c r="T17" s="48">
        <f t="shared" si="3"/>
        <v>0</v>
      </c>
      <c r="U17" s="48">
        <f t="shared" si="0"/>
        <v>0</v>
      </c>
      <c r="V17" s="48">
        <f t="shared" si="0"/>
        <v>0</v>
      </c>
      <c r="W17" s="48">
        <f t="shared" si="0"/>
        <v>390.01959999999997</v>
      </c>
      <c r="X17" s="48">
        <f t="shared" si="0"/>
        <v>0</v>
      </c>
      <c r="Y17" s="48">
        <f t="shared" si="0"/>
        <v>0</v>
      </c>
      <c r="Z17" s="48">
        <f t="shared" si="0"/>
        <v>0</v>
      </c>
      <c r="AA17" s="48">
        <f t="shared" si="0"/>
        <v>0</v>
      </c>
      <c r="AB17" s="48">
        <f t="shared" si="0"/>
        <v>0</v>
      </c>
      <c r="AC17" s="48">
        <f t="shared" si="0"/>
        <v>0</v>
      </c>
      <c r="AD17" s="48">
        <f t="shared" si="0"/>
        <v>0</v>
      </c>
      <c r="AE17" s="48">
        <f t="shared" si="0"/>
        <v>0</v>
      </c>
      <c r="AF17" s="1"/>
      <c r="AG17" s="293" t="e">
        <v>#N/A</v>
      </c>
      <c r="AH17" s="293" t="e">
        <v>#N/A</v>
      </c>
      <c r="AI17" s="293" t="e">
        <v>#N/A</v>
      </c>
      <c r="AJ17" s="293" t="e">
        <v>#N/A</v>
      </c>
      <c r="AK17" s="2" t="e">
        <v>#N/A</v>
      </c>
      <c r="AL17" s="293" t="e">
        <v>#N/A</v>
      </c>
      <c r="AN17" s="232"/>
      <c r="AO17" s="77">
        <f t="shared" si="4"/>
        <v>0</v>
      </c>
      <c r="AP17" s="232"/>
      <c r="AQ17" s="279">
        <f t="shared" si="5"/>
        <v>0</v>
      </c>
      <c r="AR17" s="232"/>
      <c r="AS17" s="279">
        <f t="shared" si="6"/>
        <v>0</v>
      </c>
      <c r="AT17" s="232"/>
      <c r="AU17" s="279">
        <f t="shared" si="7"/>
        <v>0</v>
      </c>
      <c r="AV17" s="232"/>
      <c r="AW17" s="279">
        <f t="shared" si="8"/>
        <v>0</v>
      </c>
      <c r="AX17" s="232"/>
      <c r="AY17" s="279">
        <f t="shared" si="9"/>
        <v>0</v>
      </c>
      <c r="AZ17" s="232"/>
      <c r="BA17" s="279">
        <f t="shared" si="10"/>
        <v>0</v>
      </c>
      <c r="BB17" s="232"/>
      <c r="BC17" s="279">
        <f t="shared" si="11"/>
        <v>0</v>
      </c>
      <c r="BD17" s="232"/>
      <c r="BE17" s="279">
        <f t="shared" si="12"/>
        <v>0</v>
      </c>
      <c r="BF17" s="232"/>
      <c r="BG17" s="279">
        <f t="shared" si="13"/>
        <v>0</v>
      </c>
      <c r="BH17" s="232"/>
      <c r="BI17" s="279">
        <f t="shared" si="14"/>
        <v>0</v>
      </c>
      <c r="BJ17" s="232"/>
      <c r="BK17" s="279">
        <f t="shared" si="15"/>
        <v>0</v>
      </c>
    </row>
    <row r="18" spans="1:63" ht="18.75">
      <c r="A18" s="233">
        <v>14</v>
      </c>
      <c r="B18" s="53" t="str">
        <f>'[8]Linh Kiện'!D20</f>
        <v>R332878</v>
      </c>
      <c r="C18" s="51" t="str">
        <f t="shared" si="1"/>
        <v>XEM</v>
      </c>
      <c r="D18" s="49">
        <f>'[8]Linh Kiện'!E20</f>
        <v>2</v>
      </c>
      <c r="E18" s="195">
        <f>'[8]Linh Kiện'!AK20</f>
        <v>422.42959999999994</v>
      </c>
      <c r="F18" s="196"/>
      <c r="G18" s="196"/>
      <c r="H18" s="196"/>
      <c r="I18" s="49"/>
      <c r="J18" s="49">
        <v>1</v>
      </c>
      <c r="K18" s="196"/>
      <c r="L18" s="196"/>
      <c r="M18" s="196">
        <v>1</v>
      </c>
      <c r="N18" s="196"/>
      <c r="O18" s="196"/>
      <c r="P18" s="196"/>
      <c r="Q18" s="196"/>
      <c r="R18" s="197">
        <f t="shared" si="2"/>
        <v>2</v>
      </c>
      <c r="S18" s="55"/>
      <c r="T18" s="48">
        <f t="shared" si="3"/>
        <v>0</v>
      </c>
      <c r="U18" s="48">
        <f t="shared" si="0"/>
        <v>0</v>
      </c>
      <c r="V18" s="48">
        <f t="shared" si="0"/>
        <v>0</v>
      </c>
      <c r="W18" s="48">
        <f t="shared" si="0"/>
        <v>0</v>
      </c>
      <c r="X18" s="48">
        <f t="shared" si="0"/>
        <v>422.42959999999994</v>
      </c>
      <c r="Y18" s="48">
        <f t="shared" si="0"/>
        <v>0</v>
      </c>
      <c r="Z18" s="48">
        <f t="shared" si="0"/>
        <v>0</v>
      </c>
      <c r="AA18" s="48">
        <f t="shared" si="0"/>
        <v>422.42959999999994</v>
      </c>
      <c r="AB18" s="48">
        <f t="shared" si="0"/>
        <v>0</v>
      </c>
      <c r="AC18" s="48">
        <f t="shared" si="0"/>
        <v>0</v>
      </c>
      <c r="AD18" s="48">
        <f t="shared" si="0"/>
        <v>0</v>
      </c>
      <c r="AE18" s="48">
        <f t="shared" si="0"/>
        <v>0</v>
      </c>
      <c r="AF18" s="1"/>
      <c r="AG18" s="293" t="e">
        <v>#N/A</v>
      </c>
      <c r="AH18" s="293" t="e">
        <v>#N/A</v>
      </c>
      <c r="AI18" s="293" t="e">
        <v>#N/A</v>
      </c>
      <c r="AJ18" s="293" t="e">
        <v>#N/A</v>
      </c>
      <c r="AK18" s="2" t="e">
        <v>#N/A</v>
      </c>
      <c r="AL18" s="293" t="e">
        <v>#N/A</v>
      </c>
      <c r="AN18" s="232"/>
      <c r="AO18" s="77">
        <f t="shared" si="4"/>
        <v>0</v>
      </c>
      <c r="AP18" s="232"/>
      <c r="AQ18" s="279">
        <f t="shared" si="5"/>
        <v>0</v>
      </c>
      <c r="AR18" s="232"/>
      <c r="AS18" s="279">
        <f t="shared" si="6"/>
        <v>0</v>
      </c>
      <c r="AT18" s="232"/>
      <c r="AU18" s="279">
        <f t="shared" si="7"/>
        <v>0</v>
      </c>
      <c r="AV18" s="232"/>
      <c r="AW18" s="279">
        <f t="shared" si="8"/>
        <v>0</v>
      </c>
      <c r="AX18" s="232"/>
      <c r="AY18" s="279">
        <f t="shared" si="9"/>
        <v>0</v>
      </c>
      <c r="AZ18" s="232"/>
      <c r="BA18" s="279">
        <f t="shared" si="10"/>
        <v>0</v>
      </c>
      <c r="BB18" s="232"/>
      <c r="BC18" s="279">
        <f t="shared" si="11"/>
        <v>0</v>
      </c>
      <c r="BD18" s="232"/>
      <c r="BE18" s="279">
        <f t="shared" si="12"/>
        <v>0</v>
      </c>
      <c r="BF18" s="232"/>
      <c r="BG18" s="279">
        <f t="shared" si="13"/>
        <v>0</v>
      </c>
      <c r="BH18" s="232"/>
      <c r="BI18" s="279">
        <f t="shared" si="14"/>
        <v>0</v>
      </c>
      <c r="BJ18" s="232"/>
      <c r="BK18" s="279">
        <f t="shared" si="15"/>
        <v>0</v>
      </c>
    </row>
    <row r="19" spans="1:63" ht="18.75">
      <c r="A19" s="233">
        <v>15</v>
      </c>
      <c r="B19" s="53" t="str">
        <f>'[8]Linh Kiện'!D21</f>
        <v>S919916</v>
      </c>
      <c r="C19" s="51" t="str">
        <f t="shared" si="1"/>
        <v>XEM</v>
      </c>
      <c r="D19" s="49">
        <f>'[8]Linh Kiện'!E21</f>
        <v>2</v>
      </c>
      <c r="E19" s="195">
        <f>'[8]Linh Kiện'!AK21</f>
        <v>523.93520000000001</v>
      </c>
      <c r="F19" s="196"/>
      <c r="G19" s="196">
        <v>1</v>
      </c>
      <c r="H19" s="196"/>
      <c r="I19" s="49"/>
      <c r="J19" s="49"/>
      <c r="K19" s="196"/>
      <c r="L19" s="196"/>
      <c r="M19" s="196"/>
      <c r="N19" s="196"/>
      <c r="O19" s="196">
        <v>1</v>
      </c>
      <c r="P19" s="196"/>
      <c r="Q19" s="196"/>
      <c r="R19" s="197">
        <f t="shared" si="2"/>
        <v>2</v>
      </c>
      <c r="S19" s="55"/>
      <c r="T19" s="48">
        <f t="shared" si="3"/>
        <v>0</v>
      </c>
      <c r="U19" s="48">
        <f t="shared" si="0"/>
        <v>523.93520000000001</v>
      </c>
      <c r="V19" s="48">
        <f t="shared" si="0"/>
        <v>0</v>
      </c>
      <c r="W19" s="48">
        <f t="shared" si="0"/>
        <v>0</v>
      </c>
      <c r="X19" s="48">
        <f t="shared" si="0"/>
        <v>0</v>
      </c>
      <c r="Y19" s="48">
        <f t="shared" si="0"/>
        <v>0</v>
      </c>
      <c r="Z19" s="48">
        <f t="shared" si="0"/>
        <v>0</v>
      </c>
      <c r="AA19" s="48">
        <f t="shared" si="0"/>
        <v>0</v>
      </c>
      <c r="AB19" s="48">
        <f t="shared" si="0"/>
        <v>0</v>
      </c>
      <c r="AC19" s="48">
        <f t="shared" si="0"/>
        <v>523.93520000000001</v>
      </c>
      <c r="AD19" s="48">
        <f t="shared" si="0"/>
        <v>0</v>
      </c>
      <c r="AE19" s="48">
        <f t="shared" si="0"/>
        <v>0</v>
      </c>
      <c r="AF19" s="1"/>
      <c r="AG19" s="293" t="e">
        <v>#N/A</v>
      </c>
      <c r="AH19" s="293" t="e">
        <v>#N/A</v>
      </c>
      <c r="AI19" s="293" t="e">
        <v>#N/A</v>
      </c>
      <c r="AJ19" s="293" t="e">
        <v>#N/A</v>
      </c>
      <c r="AK19" s="2" t="e">
        <v>#N/A</v>
      </c>
      <c r="AL19" s="293" t="e">
        <v>#N/A</v>
      </c>
      <c r="AN19" s="232"/>
      <c r="AO19" s="77">
        <f t="shared" si="4"/>
        <v>0</v>
      </c>
      <c r="AP19" s="232"/>
      <c r="AQ19" s="279">
        <f t="shared" si="5"/>
        <v>0</v>
      </c>
      <c r="AR19" s="232"/>
      <c r="AS19" s="279">
        <f t="shared" si="6"/>
        <v>0</v>
      </c>
      <c r="AT19" s="232"/>
      <c r="AU19" s="279">
        <f t="shared" si="7"/>
        <v>0</v>
      </c>
      <c r="AV19" s="232"/>
      <c r="AW19" s="279">
        <f t="shared" si="8"/>
        <v>0</v>
      </c>
      <c r="AX19" s="232"/>
      <c r="AY19" s="279">
        <f t="shared" si="9"/>
        <v>0</v>
      </c>
      <c r="AZ19" s="232"/>
      <c r="BA19" s="279">
        <f t="shared" si="10"/>
        <v>0</v>
      </c>
      <c r="BB19" s="232"/>
      <c r="BC19" s="279">
        <f t="shared" si="11"/>
        <v>0</v>
      </c>
      <c r="BD19" s="232"/>
      <c r="BE19" s="279">
        <f t="shared" si="12"/>
        <v>0</v>
      </c>
      <c r="BF19" s="232"/>
      <c r="BG19" s="279">
        <f t="shared" si="13"/>
        <v>0</v>
      </c>
      <c r="BH19" s="232"/>
      <c r="BI19" s="279">
        <f t="shared" si="14"/>
        <v>0</v>
      </c>
      <c r="BJ19" s="232"/>
      <c r="BK19" s="279">
        <f t="shared" si="15"/>
        <v>0</v>
      </c>
    </row>
    <row r="20" spans="1:63" ht="18.75">
      <c r="A20" s="233">
        <v>16</v>
      </c>
      <c r="B20" s="53" t="str">
        <f>'[8]Linh Kiện'!D22</f>
        <v>S077647</v>
      </c>
      <c r="C20" s="51" t="str">
        <f t="shared" si="1"/>
        <v>XEM</v>
      </c>
      <c r="D20" s="49">
        <f>'[8]Linh Kiện'!E22</f>
        <v>1</v>
      </c>
      <c r="E20" s="195">
        <f>'[8]Linh Kiện'!AK22</f>
        <v>512.83280000000002</v>
      </c>
      <c r="F20" s="196"/>
      <c r="G20" s="196"/>
      <c r="H20" s="196"/>
      <c r="I20" s="49"/>
      <c r="J20" s="49"/>
      <c r="K20" s="196"/>
      <c r="L20" s="196">
        <v>1</v>
      </c>
      <c r="M20" s="196"/>
      <c r="N20" s="196"/>
      <c r="O20" s="196"/>
      <c r="P20" s="196"/>
      <c r="Q20" s="196"/>
      <c r="R20" s="197">
        <f t="shared" si="2"/>
        <v>1</v>
      </c>
      <c r="S20" s="55"/>
      <c r="T20" s="48">
        <f t="shared" si="3"/>
        <v>0</v>
      </c>
      <c r="U20" s="48">
        <f t="shared" si="0"/>
        <v>0</v>
      </c>
      <c r="V20" s="48">
        <f t="shared" si="0"/>
        <v>0</v>
      </c>
      <c r="W20" s="48">
        <f t="shared" si="0"/>
        <v>0</v>
      </c>
      <c r="X20" s="48">
        <f t="shared" si="0"/>
        <v>0</v>
      </c>
      <c r="Y20" s="48">
        <f t="shared" si="0"/>
        <v>0</v>
      </c>
      <c r="Z20" s="48">
        <f t="shared" si="0"/>
        <v>512.83280000000002</v>
      </c>
      <c r="AA20" s="48">
        <f t="shared" si="0"/>
        <v>0</v>
      </c>
      <c r="AB20" s="48">
        <f t="shared" si="0"/>
        <v>0</v>
      </c>
      <c r="AC20" s="48">
        <f t="shared" si="0"/>
        <v>0</v>
      </c>
      <c r="AD20" s="48">
        <f t="shared" si="0"/>
        <v>0</v>
      </c>
      <c r="AE20" s="48">
        <f t="shared" si="0"/>
        <v>0</v>
      </c>
      <c r="AF20" s="1"/>
      <c r="AG20" s="293" t="e">
        <v>#N/A</v>
      </c>
      <c r="AH20" s="293" t="e">
        <v>#N/A</v>
      </c>
      <c r="AI20" s="293" t="e">
        <v>#N/A</v>
      </c>
      <c r="AJ20" s="293" t="e">
        <v>#N/A</v>
      </c>
      <c r="AK20" s="2" t="e">
        <v>#N/A</v>
      </c>
      <c r="AL20" s="293" t="e">
        <v>#N/A</v>
      </c>
      <c r="AN20" s="232"/>
      <c r="AO20" s="77">
        <f t="shared" si="4"/>
        <v>0</v>
      </c>
      <c r="AP20" s="232"/>
      <c r="AQ20" s="279">
        <f t="shared" si="5"/>
        <v>0</v>
      </c>
      <c r="AR20" s="232"/>
      <c r="AS20" s="279">
        <f t="shared" si="6"/>
        <v>0</v>
      </c>
      <c r="AT20" s="232"/>
      <c r="AU20" s="279">
        <f t="shared" si="7"/>
        <v>0</v>
      </c>
      <c r="AV20" s="232"/>
      <c r="AW20" s="279">
        <f t="shared" si="8"/>
        <v>0</v>
      </c>
      <c r="AX20" s="232"/>
      <c r="AY20" s="279">
        <f t="shared" si="9"/>
        <v>0</v>
      </c>
      <c r="AZ20" s="232"/>
      <c r="BA20" s="279">
        <f t="shared" si="10"/>
        <v>0</v>
      </c>
      <c r="BB20" s="232"/>
      <c r="BC20" s="279">
        <f t="shared" si="11"/>
        <v>0</v>
      </c>
      <c r="BD20" s="232"/>
      <c r="BE20" s="279">
        <f t="shared" si="12"/>
        <v>0</v>
      </c>
      <c r="BF20" s="232"/>
      <c r="BG20" s="279">
        <f t="shared" si="13"/>
        <v>0</v>
      </c>
      <c r="BH20" s="232"/>
      <c r="BI20" s="279">
        <f t="shared" si="14"/>
        <v>0</v>
      </c>
      <c r="BJ20" s="232"/>
      <c r="BK20" s="279">
        <f t="shared" si="15"/>
        <v>0</v>
      </c>
    </row>
    <row r="21" spans="1:63" ht="18.75">
      <c r="A21" s="233">
        <v>17</v>
      </c>
      <c r="B21" s="53" t="str">
        <f>'[8]Linh Kiện'!D23</f>
        <v>R173278</v>
      </c>
      <c r="C21" s="51" t="str">
        <f t="shared" si="1"/>
        <v>XEM</v>
      </c>
      <c r="D21" s="49">
        <f>'[8]Linh Kiện'!E23</f>
        <v>1</v>
      </c>
      <c r="E21" s="195">
        <f>'[8]Linh Kiện'!AK23</f>
        <v>427.048</v>
      </c>
      <c r="F21" s="196"/>
      <c r="G21" s="196"/>
      <c r="H21" s="196"/>
      <c r="I21" s="49"/>
      <c r="J21" s="49">
        <v>1</v>
      </c>
      <c r="K21" s="196"/>
      <c r="L21" s="196"/>
      <c r="M21" s="196"/>
      <c r="N21" s="196"/>
      <c r="O21" s="196"/>
      <c r="P21" s="196"/>
      <c r="Q21" s="196"/>
      <c r="R21" s="197">
        <f t="shared" si="2"/>
        <v>1</v>
      </c>
      <c r="S21" s="55"/>
      <c r="T21" s="48">
        <f t="shared" si="3"/>
        <v>0</v>
      </c>
      <c r="U21" s="48">
        <f t="shared" si="3"/>
        <v>0</v>
      </c>
      <c r="V21" s="48">
        <f t="shared" si="3"/>
        <v>0</v>
      </c>
      <c r="W21" s="48">
        <f t="shared" si="3"/>
        <v>0</v>
      </c>
      <c r="X21" s="48">
        <f t="shared" si="3"/>
        <v>427.048</v>
      </c>
      <c r="Y21" s="48">
        <f t="shared" si="3"/>
        <v>0</v>
      </c>
      <c r="Z21" s="48">
        <f t="shared" si="3"/>
        <v>0</v>
      </c>
      <c r="AA21" s="48">
        <f t="shared" si="3"/>
        <v>0</v>
      </c>
      <c r="AB21" s="48">
        <f t="shared" si="3"/>
        <v>0</v>
      </c>
      <c r="AC21" s="48">
        <f t="shared" si="3"/>
        <v>0</v>
      </c>
      <c r="AD21" s="48">
        <f t="shared" si="3"/>
        <v>0</v>
      </c>
      <c r="AE21" s="48">
        <f t="shared" si="3"/>
        <v>0</v>
      </c>
      <c r="AF21" s="1"/>
      <c r="AG21" s="293" t="e">
        <v>#N/A</v>
      </c>
      <c r="AH21" s="293" t="e">
        <v>#N/A</v>
      </c>
      <c r="AI21" s="293" t="e">
        <v>#N/A</v>
      </c>
      <c r="AJ21" s="293" t="e">
        <v>#N/A</v>
      </c>
      <c r="AK21" s="2" t="e">
        <v>#N/A</v>
      </c>
      <c r="AL21" s="293" t="e">
        <v>#N/A</v>
      </c>
      <c r="AN21" s="232"/>
      <c r="AO21" s="77">
        <f t="shared" si="4"/>
        <v>0</v>
      </c>
      <c r="AP21" s="232"/>
      <c r="AQ21" s="279">
        <f t="shared" si="5"/>
        <v>0</v>
      </c>
      <c r="AR21" s="232"/>
      <c r="AS21" s="279">
        <f t="shared" si="6"/>
        <v>0</v>
      </c>
      <c r="AT21" s="232"/>
      <c r="AU21" s="279">
        <f t="shared" si="7"/>
        <v>0</v>
      </c>
      <c r="AV21" s="232"/>
      <c r="AW21" s="279">
        <f t="shared" si="8"/>
        <v>0</v>
      </c>
      <c r="AX21" s="232"/>
      <c r="AY21" s="279">
        <f t="shared" si="9"/>
        <v>0</v>
      </c>
      <c r="AZ21" s="232"/>
      <c r="BA21" s="279">
        <f t="shared" si="10"/>
        <v>0</v>
      </c>
      <c r="BB21" s="232"/>
      <c r="BC21" s="279">
        <f t="shared" si="11"/>
        <v>0</v>
      </c>
      <c r="BD21" s="232"/>
      <c r="BE21" s="279">
        <f t="shared" si="12"/>
        <v>0</v>
      </c>
      <c r="BF21" s="232"/>
      <c r="BG21" s="279">
        <f t="shared" si="13"/>
        <v>0</v>
      </c>
      <c r="BH21" s="232"/>
      <c r="BI21" s="279">
        <f t="shared" si="14"/>
        <v>0</v>
      </c>
      <c r="BJ21" s="232"/>
      <c r="BK21" s="279">
        <f t="shared" si="15"/>
        <v>0</v>
      </c>
    </row>
    <row r="22" spans="1:63" ht="18.75">
      <c r="A22" s="233">
        <v>18</v>
      </c>
      <c r="B22" s="53" t="str">
        <f>'[8]Linh Kiện'!D24</f>
        <v>R058139</v>
      </c>
      <c r="C22" s="51" t="str">
        <f t="shared" si="1"/>
        <v>XEM</v>
      </c>
      <c r="D22" s="49">
        <f>'[8]Linh Kiện'!E24</f>
        <v>1</v>
      </c>
      <c r="E22" s="195">
        <f>'[8]Linh Kiện'!AK24</f>
        <v>873.30623846153844</v>
      </c>
      <c r="F22" s="196"/>
      <c r="G22" s="196"/>
      <c r="H22" s="196"/>
      <c r="I22" s="49"/>
      <c r="J22" s="49">
        <v>1</v>
      </c>
      <c r="K22" s="196"/>
      <c r="L22" s="196"/>
      <c r="M22" s="196"/>
      <c r="N22" s="196"/>
      <c r="O22" s="196"/>
      <c r="P22" s="196"/>
      <c r="Q22" s="196"/>
      <c r="R22" s="197">
        <f t="shared" si="2"/>
        <v>1</v>
      </c>
      <c r="S22" s="55"/>
      <c r="T22" s="48">
        <f t="shared" si="3"/>
        <v>0</v>
      </c>
      <c r="U22" s="48">
        <f t="shared" si="3"/>
        <v>0</v>
      </c>
      <c r="V22" s="48">
        <f t="shared" si="3"/>
        <v>0</v>
      </c>
      <c r="W22" s="48">
        <f t="shared" si="3"/>
        <v>0</v>
      </c>
      <c r="X22" s="48">
        <f t="shared" si="3"/>
        <v>873.30623846153844</v>
      </c>
      <c r="Y22" s="48">
        <f t="shared" si="3"/>
        <v>0</v>
      </c>
      <c r="Z22" s="48">
        <f t="shared" si="3"/>
        <v>0</v>
      </c>
      <c r="AA22" s="48">
        <f t="shared" si="3"/>
        <v>0</v>
      </c>
      <c r="AB22" s="48">
        <f t="shared" si="3"/>
        <v>0</v>
      </c>
      <c r="AC22" s="48">
        <f t="shared" si="3"/>
        <v>0</v>
      </c>
      <c r="AD22" s="48">
        <f t="shared" si="3"/>
        <v>0</v>
      </c>
      <c r="AE22" s="48">
        <f t="shared" si="3"/>
        <v>0</v>
      </c>
      <c r="AF22" s="1"/>
      <c r="AG22" s="293" t="e">
        <v>#N/A</v>
      </c>
      <c r="AH22" s="293" t="e">
        <v>#N/A</v>
      </c>
      <c r="AI22" s="293" t="e">
        <v>#N/A</v>
      </c>
      <c r="AJ22" s="293" t="e">
        <v>#N/A</v>
      </c>
      <c r="AK22" s="2" t="e">
        <v>#N/A</v>
      </c>
      <c r="AL22" s="293" t="e">
        <v>#N/A</v>
      </c>
      <c r="AN22" s="232"/>
      <c r="AO22" s="77">
        <f t="shared" si="4"/>
        <v>0</v>
      </c>
      <c r="AP22" s="232"/>
      <c r="AQ22" s="279">
        <f t="shared" si="5"/>
        <v>0</v>
      </c>
      <c r="AR22" s="232"/>
      <c r="AS22" s="279">
        <f t="shared" si="6"/>
        <v>0</v>
      </c>
      <c r="AT22" s="232"/>
      <c r="AU22" s="279">
        <f t="shared" si="7"/>
        <v>0</v>
      </c>
      <c r="AV22" s="232"/>
      <c r="AW22" s="279">
        <f t="shared" si="8"/>
        <v>0</v>
      </c>
      <c r="AX22" s="232"/>
      <c r="AY22" s="279">
        <f t="shared" si="9"/>
        <v>0</v>
      </c>
      <c r="AZ22" s="232"/>
      <c r="BA22" s="279">
        <f t="shared" si="10"/>
        <v>0</v>
      </c>
      <c r="BB22" s="232"/>
      <c r="BC22" s="279">
        <f t="shared" si="11"/>
        <v>0</v>
      </c>
      <c r="BD22" s="232"/>
      <c r="BE22" s="279">
        <f t="shared" si="12"/>
        <v>0</v>
      </c>
      <c r="BF22" s="232"/>
      <c r="BG22" s="279">
        <f t="shared" si="13"/>
        <v>0</v>
      </c>
      <c r="BH22" s="232"/>
      <c r="BI22" s="279">
        <f t="shared" si="14"/>
        <v>0</v>
      </c>
      <c r="BJ22" s="232"/>
      <c r="BK22" s="279">
        <f t="shared" si="15"/>
        <v>0</v>
      </c>
    </row>
    <row r="23" spans="1:63" ht="18.75">
      <c r="A23" s="233">
        <v>19</v>
      </c>
      <c r="B23" s="53" t="str">
        <f>'[8]Linh Kiện'!D25</f>
        <v>S792594</v>
      </c>
      <c r="C23" s="51" t="str">
        <f t="shared" si="1"/>
        <v>XEM</v>
      </c>
      <c r="D23" s="49">
        <f>'[8]Linh Kiện'!E25</f>
        <v>1</v>
      </c>
      <c r="E23" s="195">
        <f>'[8]Linh Kiện'!AK25</f>
        <v>491.63319999999999</v>
      </c>
      <c r="F23" s="196"/>
      <c r="G23" s="196"/>
      <c r="H23" s="196">
        <v>1</v>
      </c>
      <c r="I23" s="49"/>
      <c r="J23" s="49"/>
      <c r="K23" s="196"/>
      <c r="L23" s="196"/>
      <c r="M23" s="196"/>
      <c r="N23" s="196"/>
      <c r="O23" s="196"/>
      <c r="P23" s="196"/>
      <c r="Q23" s="196"/>
      <c r="R23" s="197">
        <f t="shared" si="2"/>
        <v>1</v>
      </c>
      <c r="S23" s="55"/>
      <c r="T23" s="48">
        <f t="shared" si="3"/>
        <v>0</v>
      </c>
      <c r="U23" s="48">
        <f t="shared" si="3"/>
        <v>0</v>
      </c>
      <c r="V23" s="48">
        <f t="shared" si="3"/>
        <v>491.63319999999999</v>
      </c>
      <c r="W23" s="48">
        <f t="shared" si="3"/>
        <v>0</v>
      </c>
      <c r="X23" s="48">
        <f t="shared" si="3"/>
        <v>0</v>
      </c>
      <c r="Y23" s="48">
        <f t="shared" si="3"/>
        <v>0</v>
      </c>
      <c r="Z23" s="48">
        <f t="shared" si="3"/>
        <v>0</v>
      </c>
      <c r="AA23" s="48">
        <f t="shared" si="3"/>
        <v>0</v>
      </c>
      <c r="AB23" s="48">
        <f t="shared" si="3"/>
        <v>0</v>
      </c>
      <c r="AC23" s="48">
        <f t="shared" si="3"/>
        <v>0</v>
      </c>
      <c r="AD23" s="48">
        <f t="shared" si="3"/>
        <v>0</v>
      </c>
      <c r="AE23" s="48">
        <f t="shared" si="3"/>
        <v>0</v>
      </c>
      <c r="AF23" s="1"/>
      <c r="AG23" s="293" t="e">
        <v>#N/A</v>
      </c>
      <c r="AH23" s="293" t="e">
        <v>#N/A</v>
      </c>
      <c r="AI23" s="293" t="e">
        <v>#N/A</v>
      </c>
      <c r="AJ23" s="293" t="e">
        <v>#N/A</v>
      </c>
      <c r="AK23" s="2" t="e">
        <v>#N/A</v>
      </c>
      <c r="AL23" s="293" t="e">
        <v>#N/A</v>
      </c>
      <c r="AN23" s="232"/>
      <c r="AO23" s="77">
        <f t="shared" si="4"/>
        <v>0</v>
      </c>
      <c r="AP23" s="232"/>
      <c r="AQ23" s="279">
        <f t="shared" si="5"/>
        <v>0</v>
      </c>
      <c r="AR23" s="232"/>
      <c r="AS23" s="279">
        <f t="shared" si="6"/>
        <v>0</v>
      </c>
      <c r="AT23" s="232"/>
      <c r="AU23" s="279">
        <f t="shared" si="7"/>
        <v>0</v>
      </c>
      <c r="AV23" s="232"/>
      <c r="AW23" s="279">
        <f t="shared" si="8"/>
        <v>0</v>
      </c>
      <c r="AX23" s="232"/>
      <c r="AY23" s="279">
        <f t="shared" si="9"/>
        <v>0</v>
      </c>
      <c r="AZ23" s="232"/>
      <c r="BA23" s="279">
        <f t="shared" si="10"/>
        <v>0</v>
      </c>
      <c r="BB23" s="232"/>
      <c r="BC23" s="279">
        <f t="shared" si="11"/>
        <v>0</v>
      </c>
      <c r="BD23" s="232"/>
      <c r="BE23" s="279">
        <f t="shared" si="12"/>
        <v>0</v>
      </c>
      <c r="BF23" s="232"/>
      <c r="BG23" s="279">
        <f t="shared" si="13"/>
        <v>0</v>
      </c>
      <c r="BH23" s="232"/>
      <c r="BI23" s="279">
        <f t="shared" si="14"/>
        <v>0</v>
      </c>
      <c r="BJ23" s="232"/>
      <c r="BK23" s="279">
        <f t="shared" si="15"/>
        <v>0</v>
      </c>
    </row>
    <row r="24" spans="1:63">
      <c r="A24" s="233">
        <v>20</v>
      </c>
      <c r="B24" s="53" t="str">
        <f>'[8]Linh Kiện'!D26</f>
        <v>S206843</v>
      </c>
      <c r="C24" s="51" t="str">
        <f t="shared" si="1"/>
        <v>XEM</v>
      </c>
      <c r="D24" s="49">
        <f>'[8]Linh Kiện'!E26</f>
        <v>1</v>
      </c>
      <c r="E24" s="195">
        <f>'[8]Linh Kiện'!AK26</f>
        <v>2695.6779999999999</v>
      </c>
      <c r="F24" s="196"/>
      <c r="G24" s="196"/>
      <c r="H24" s="196"/>
      <c r="I24" s="49"/>
      <c r="J24" s="49"/>
      <c r="K24" s="196">
        <v>1</v>
      </c>
      <c r="L24" s="196"/>
      <c r="M24" s="196"/>
      <c r="N24" s="196"/>
      <c r="O24" s="196"/>
      <c r="P24" s="196"/>
      <c r="Q24" s="196"/>
      <c r="R24" s="197">
        <f t="shared" si="2"/>
        <v>1</v>
      </c>
      <c r="S24" s="1"/>
      <c r="T24" s="48">
        <f t="shared" si="3"/>
        <v>0</v>
      </c>
      <c r="U24" s="48">
        <f t="shared" si="3"/>
        <v>0</v>
      </c>
      <c r="V24" s="48">
        <f t="shared" si="3"/>
        <v>0</v>
      </c>
      <c r="W24" s="48">
        <f t="shared" si="3"/>
        <v>0</v>
      </c>
      <c r="X24" s="48">
        <f t="shared" si="3"/>
        <v>0</v>
      </c>
      <c r="Y24" s="48">
        <f t="shared" si="3"/>
        <v>2695.6779999999999</v>
      </c>
      <c r="Z24" s="48">
        <f t="shared" si="3"/>
        <v>0</v>
      </c>
      <c r="AA24" s="48">
        <f t="shared" si="3"/>
        <v>0</v>
      </c>
      <c r="AB24" s="48">
        <f t="shared" si="3"/>
        <v>0</v>
      </c>
      <c r="AC24" s="48">
        <f t="shared" si="3"/>
        <v>0</v>
      </c>
      <c r="AD24" s="48">
        <f t="shared" si="3"/>
        <v>0</v>
      </c>
      <c r="AE24" s="48">
        <f t="shared" si="3"/>
        <v>0</v>
      </c>
      <c r="AF24" s="1"/>
      <c r="AG24" s="293" t="e">
        <v>#N/A</v>
      </c>
      <c r="AH24" s="293" t="e">
        <v>#N/A</v>
      </c>
      <c r="AI24" s="293" t="e">
        <v>#N/A</v>
      </c>
      <c r="AJ24" s="293" t="e">
        <v>#N/A</v>
      </c>
      <c r="AK24" s="2" t="e">
        <v>#N/A</v>
      </c>
      <c r="AL24" s="293" t="e">
        <v>#N/A</v>
      </c>
      <c r="AN24" s="232"/>
      <c r="AO24" s="77">
        <f t="shared" si="4"/>
        <v>0</v>
      </c>
      <c r="AP24" s="232"/>
      <c r="AQ24" s="279">
        <f t="shared" si="5"/>
        <v>0</v>
      </c>
      <c r="AR24" s="232"/>
      <c r="AS24" s="279">
        <f t="shared" si="6"/>
        <v>0</v>
      </c>
      <c r="AT24" s="232"/>
      <c r="AU24" s="279">
        <f t="shared" si="7"/>
        <v>0</v>
      </c>
      <c r="AV24" s="232"/>
      <c r="AW24" s="279">
        <f t="shared" si="8"/>
        <v>0</v>
      </c>
      <c r="AX24" s="232"/>
      <c r="AY24" s="279">
        <f t="shared" si="9"/>
        <v>0</v>
      </c>
      <c r="AZ24" s="232"/>
      <c r="BA24" s="279">
        <f t="shared" si="10"/>
        <v>0</v>
      </c>
      <c r="BB24" s="232"/>
      <c r="BC24" s="279">
        <f t="shared" si="11"/>
        <v>0</v>
      </c>
      <c r="BD24" s="232"/>
      <c r="BE24" s="279">
        <f t="shared" si="12"/>
        <v>0</v>
      </c>
      <c r="BF24" s="232"/>
      <c r="BG24" s="279">
        <f t="shared" si="13"/>
        <v>0</v>
      </c>
      <c r="BH24" s="232"/>
      <c r="BI24" s="279">
        <f t="shared" si="14"/>
        <v>0</v>
      </c>
      <c r="BJ24" s="232"/>
      <c r="BK24" s="279">
        <f t="shared" si="15"/>
        <v>0</v>
      </c>
    </row>
    <row r="25" spans="1:63">
      <c r="A25" s="233">
        <v>21</v>
      </c>
      <c r="B25" s="53" t="str">
        <f>'[8]Linh Kiện'!D27</f>
        <v>S206840</v>
      </c>
      <c r="C25" s="51" t="str">
        <f t="shared" si="1"/>
        <v>XEM</v>
      </c>
      <c r="D25" s="49">
        <f>'[8]Linh Kiện'!E27</f>
        <v>1</v>
      </c>
      <c r="E25" s="195">
        <f>'[8]Linh Kiện'!AK27</f>
        <v>2472.9718019230768</v>
      </c>
      <c r="F25" s="196"/>
      <c r="G25" s="196"/>
      <c r="H25" s="196"/>
      <c r="I25" s="196"/>
      <c r="J25" s="49"/>
      <c r="K25" s="196"/>
      <c r="L25" s="196"/>
      <c r="M25" s="196"/>
      <c r="N25" s="196">
        <v>1</v>
      </c>
      <c r="O25" s="196"/>
      <c r="P25" s="196"/>
      <c r="Q25" s="196"/>
      <c r="R25" s="197">
        <f t="shared" si="2"/>
        <v>1</v>
      </c>
      <c r="S25" s="1"/>
      <c r="T25" s="48">
        <f t="shared" si="3"/>
        <v>0</v>
      </c>
      <c r="U25" s="48">
        <f t="shared" si="3"/>
        <v>0</v>
      </c>
      <c r="V25" s="48">
        <f t="shared" si="3"/>
        <v>0</v>
      </c>
      <c r="W25" s="48">
        <f t="shared" si="3"/>
        <v>0</v>
      </c>
      <c r="X25" s="48">
        <f t="shared" si="3"/>
        <v>0</v>
      </c>
      <c r="Y25" s="48">
        <f t="shared" si="3"/>
        <v>0</v>
      </c>
      <c r="Z25" s="48">
        <f t="shared" si="3"/>
        <v>0</v>
      </c>
      <c r="AA25" s="48">
        <f t="shared" si="3"/>
        <v>0</v>
      </c>
      <c r="AB25" s="48">
        <f t="shared" si="3"/>
        <v>2472.9718019230768</v>
      </c>
      <c r="AC25" s="48">
        <f t="shared" si="3"/>
        <v>0</v>
      </c>
      <c r="AD25" s="48">
        <f t="shared" si="3"/>
        <v>0</v>
      </c>
      <c r="AE25" s="48">
        <f t="shared" si="3"/>
        <v>0</v>
      </c>
      <c r="AF25" s="1"/>
      <c r="AG25" s="293" t="e">
        <v>#N/A</v>
      </c>
      <c r="AH25" s="293" t="e">
        <v>#N/A</v>
      </c>
      <c r="AI25" s="293" t="e">
        <v>#N/A</v>
      </c>
      <c r="AJ25" s="293" t="e">
        <v>#N/A</v>
      </c>
      <c r="AK25" s="2" t="e">
        <v>#N/A</v>
      </c>
      <c r="AL25" s="293" t="e">
        <v>#N/A</v>
      </c>
      <c r="AN25" s="232"/>
      <c r="AO25" s="77">
        <f t="shared" si="4"/>
        <v>0</v>
      </c>
      <c r="AP25" s="232"/>
      <c r="AQ25" s="279">
        <f t="shared" si="5"/>
        <v>0</v>
      </c>
      <c r="AR25" s="232"/>
      <c r="AS25" s="279">
        <f t="shared" si="6"/>
        <v>0</v>
      </c>
      <c r="AT25" s="232"/>
      <c r="AU25" s="279">
        <f t="shared" si="7"/>
        <v>0</v>
      </c>
      <c r="AV25" s="232"/>
      <c r="AW25" s="279">
        <f t="shared" si="8"/>
        <v>0</v>
      </c>
      <c r="AX25" s="232"/>
      <c r="AY25" s="279">
        <f t="shared" si="9"/>
        <v>0</v>
      </c>
      <c r="AZ25" s="232"/>
      <c r="BA25" s="279">
        <f t="shared" si="10"/>
        <v>0</v>
      </c>
      <c r="BB25" s="232"/>
      <c r="BC25" s="279">
        <f t="shared" si="11"/>
        <v>0</v>
      </c>
      <c r="BD25" s="232"/>
      <c r="BE25" s="279">
        <f t="shared" si="12"/>
        <v>0</v>
      </c>
      <c r="BF25" s="232"/>
      <c r="BG25" s="279">
        <f t="shared" si="13"/>
        <v>0</v>
      </c>
      <c r="BH25" s="232"/>
      <c r="BI25" s="279">
        <f t="shared" si="14"/>
        <v>0</v>
      </c>
      <c r="BJ25" s="232"/>
      <c r="BK25" s="279">
        <f t="shared" si="15"/>
        <v>0</v>
      </c>
    </row>
    <row r="26" spans="1:63">
      <c r="A26" s="233">
        <v>22</v>
      </c>
      <c r="B26" s="53" t="str">
        <f>'[8]Linh Kiện'!D28</f>
        <v>S156672</v>
      </c>
      <c r="C26" s="51" t="str">
        <f t="shared" si="1"/>
        <v>XEM</v>
      </c>
      <c r="D26" s="49">
        <f>'[8]Linh Kiện'!E28</f>
        <v>1</v>
      </c>
      <c r="E26" s="195">
        <f>'[8]Linh Kiện'!AK28</f>
        <v>324.35023846153842</v>
      </c>
      <c r="F26" s="196"/>
      <c r="G26" s="196"/>
      <c r="H26" s="196"/>
      <c r="I26" s="196"/>
      <c r="J26" s="49"/>
      <c r="K26" s="49"/>
      <c r="L26" s="196">
        <v>1</v>
      </c>
      <c r="M26" s="196"/>
      <c r="N26" s="196"/>
      <c r="O26" s="196"/>
      <c r="P26" s="196"/>
      <c r="Q26" s="196"/>
      <c r="R26" s="197">
        <f t="shared" si="2"/>
        <v>1</v>
      </c>
      <c r="S26" s="1"/>
      <c r="T26" s="48">
        <f t="shared" si="3"/>
        <v>0</v>
      </c>
      <c r="U26" s="48">
        <f t="shared" si="3"/>
        <v>0</v>
      </c>
      <c r="V26" s="48">
        <f t="shared" si="3"/>
        <v>0</v>
      </c>
      <c r="W26" s="48">
        <f t="shared" si="3"/>
        <v>0</v>
      </c>
      <c r="X26" s="48">
        <f t="shared" si="3"/>
        <v>0</v>
      </c>
      <c r="Y26" s="48">
        <f t="shared" si="3"/>
        <v>0</v>
      </c>
      <c r="Z26" s="48">
        <f t="shared" si="3"/>
        <v>324.35023846153842</v>
      </c>
      <c r="AA26" s="48">
        <f t="shared" si="3"/>
        <v>0</v>
      </c>
      <c r="AB26" s="48">
        <f t="shared" si="3"/>
        <v>0</v>
      </c>
      <c r="AC26" s="48">
        <f t="shared" si="3"/>
        <v>0</v>
      </c>
      <c r="AD26" s="48">
        <f t="shared" si="3"/>
        <v>0</v>
      </c>
      <c r="AE26" s="48">
        <f t="shared" si="3"/>
        <v>0</v>
      </c>
      <c r="AF26" s="1"/>
      <c r="AG26" s="293" t="e">
        <v>#N/A</v>
      </c>
      <c r="AH26" s="293" t="e">
        <v>#N/A</v>
      </c>
      <c r="AI26" s="293" t="e">
        <v>#N/A</v>
      </c>
      <c r="AJ26" s="293" t="e">
        <v>#N/A</v>
      </c>
      <c r="AK26" s="2" t="e">
        <v>#N/A</v>
      </c>
      <c r="AL26" s="293" t="e">
        <v>#N/A</v>
      </c>
      <c r="AN26" s="232"/>
      <c r="AO26" s="77">
        <f t="shared" si="4"/>
        <v>0</v>
      </c>
      <c r="AP26" s="232"/>
      <c r="AQ26" s="279">
        <f t="shared" si="5"/>
        <v>0</v>
      </c>
      <c r="AR26" s="232"/>
      <c r="AS26" s="279">
        <f t="shared" si="6"/>
        <v>0</v>
      </c>
      <c r="AT26" s="232"/>
      <c r="AU26" s="279">
        <f t="shared" si="7"/>
        <v>0</v>
      </c>
      <c r="AV26" s="232"/>
      <c r="AW26" s="279">
        <f t="shared" si="8"/>
        <v>0</v>
      </c>
      <c r="AX26" s="232"/>
      <c r="AY26" s="279">
        <f t="shared" si="9"/>
        <v>0</v>
      </c>
      <c r="AZ26" s="232"/>
      <c r="BA26" s="279">
        <f t="shared" si="10"/>
        <v>0</v>
      </c>
      <c r="BB26" s="232"/>
      <c r="BC26" s="279">
        <f t="shared" si="11"/>
        <v>0</v>
      </c>
      <c r="BD26" s="232"/>
      <c r="BE26" s="279">
        <f t="shared" si="12"/>
        <v>0</v>
      </c>
      <c r="BF26" s="232"/>
      <c r="BG26" s="279">
        <f t="shared" si="13"/>
        <v>0</v>
      </c>
      <c r="BH26" s="232"/>
      <c r="BI26" s="279">
        <f t="shared" si="14"/>
        <v>0</v>
      </c>
      <c r="BJ26" s="232"/>
      <c r="BK26" s="279">
        <f t="shared" si="15"/>
        <v>0</v>
      </c>
    </row>
    <row r="27" spans="1:63">
      <c r="A27" s="233">
        <v>23</v>
      </c>
      <c r="B27" s="53" t="str">
        <f>'[8]Linh Kiện'!D29</f>
        <v>S763089</v>
      </c>
      <c r="C27" s="51" t="str">
        <f t="shared" si="1"/>
        <v>XEM</v>
      </c>
      <c r="D27" s="49">
        <f>'[8]Linh Kiện'!E29</f>
        <v>2</v>
      </c>
      <c r="E27" s="195">
        <f>'[8]Linh Kiện'!AK29</f>
        <v>81.207038461538446</v>
      </c>
      <c r="F27" s="196"/>
      <c r="G27" s="196">
        <v>1</v>
      </c>
      <c r="H27" s="196"/>
      <c r="I27" s="196"/>
      <c r="J27" s="49"/>
      <c r="K27" s="49"/>
      <c r="L27" s="196"/>
      <c r="M27" s="196"/>
      <c r="N27" s="196"/>
      <c r="O27" s="196"/>
      <c r="P27" s="196">
        <v>1</v>
      </c>
      <c r="Q27" s="196"/>
      <c r="R27" s="197">
        <f t="shared" si="2"/>
        <v>2</v>
      </c>
      <c r="S27" s="1"/>
      <c r="T27" s="48">
        <f t="shared" si="3"/>
        <v>0</v>
      </c>
      <c r="U27" s="48">
        <f t="shared" si="3"/>
        <v>81.207038461538446</v>
      </c>
      <c r="V27" s="48">
        <f t="shared" si="3"/>
        <v>0</v>
      </c>
      <c r="W27" s="48">
        <f t="shared" si="3"/>
        <v>0</v>
      </c>
      <c r="X27" s="48">
        <f t="shared" si="3"/>
        <v>0</v>
      </c>
      <c r="Y27" s="48">
        <f t="shared" si="3"/>
        <v>0</v>
      </c>
      <c r="Z27" s="48">
        <f t="shared" si="3"/>
        <v>0</v>
      </c>
      <c r="AA27" s="48">
        <f t="shared" si="3"/>
        <v>0</v>
      </c>
      <c r="AB27" s="48">
        <f t="shared" si="3"/>
        <v>0</v>
      </c>
      <c r="AC27" s="48">
        <f t="shared" si="3"/>
        <v>0</v>
      </c>
      <c r="AD27" s="48">
        <f t="shared" si="3"/>
        <v>81.207038461538446</v>
      </c>
      <c r="AE27" s="48">
        <f t="shared" si="3"/>
        <v>0</v>
      </c>
      <c r="AF27" s="1"/>
      <c r="AG27" s="293" t="e">
        <v>#N/A</v>
      </c>
      <c r="AH27" s="293" t="e">
        <v>#N/A</v>
      </c>
      <c r="AI27" s="293" t="e">
        <v>#N/A</v>
      </c>
      <c r="AJ27" s="293" t="e">
        <v>#N/A</v>
      </c>
      <c r="AK27" s="2" t="e">
        <v>#N/A</v>
      </c>
      <c r="AL27" s="293" t="e">
        <v>#N/A</v>
      </c>
      <c r="AN27" s="232"/>
      <c r="AO27" s="77">
        <f t="shared" si="4"/>
        <v>0</v>
      </c>
      <c r="AP27" s="232"/>
      <c r="AQ27" s="279">
        <f t="shared" si="5"/>
        <v>0</v>
      </c>
      <c r="AR27" s="232"/>
      <c r="AS27" s="279">
        <f t="shared" si="6"/>
        <v>0</v>
      </c>
      <c r="AT27" s="232"/>
      <c r="AU27" s="279">
        <f t="shared" si="7"/>
        <v>0</v>
      </c>
      <c r="AV27" s="232"/>
      <c r="AW27" s="279">
        <f t="shared" si="8"/>
        <v>0</v>
      </c>
      <c r="AX27" s="232"/>
      <c r="AY27" s="279">
        <f t="shared" si="9"/>
        <v>0</v>
      </c>
      <c r="AZ27" s="232"/>
      <c r="BA27" s="279">
        <f t="shared" si="10"/>
        <v>0</v>
      </c>
      <c r="BB27" s="232"/>
      <c r="BC27" s="279">
        <f t="shared" si="11"/>
        <v>0</v>
      </c>
      <c r="BD27" s="232"/>
      <c r="BE27" s="279">
        <f t="shared" si="12"/>
        <v>0</v>
      </c>
      <c r="BF27" s="232"/>
      <c r="BG27" s="279">
        <f t="shared" si="13"/>
        <v>0</v>
      </c>
      <c r="BH27" s="232"/>
      <c r="BI27" s="279">
        <f t="shared" si="14"/>
        <v>0</v>
      </c>
      <c r="BJ27" s="232"/>
      <c r="BK27" s="279">
        <f t="shared" si="15"/>
        <v>0</v>
      </c>
    </row>
    <row r="28" spans="1:63">
      <c r="A28" s="233">
        <v>24</v>
      </c>
      <c r="B28" s="53" t="str">
        <f>'[8]Linh Kiện'!D30</f>
        <v>S814328</v>
      </c>
      <c r="C28" s="51" t="str">
        <f t="shared" si="1"/>
        <v>XEM</v>
      </c>
      <c r="D28" s="49">
        <f>'[8]Linh Kiện'!E30</f>
        <v>1</v>
      </c>
      <c r="E28" s="195">
        <f>'[8]Linh Kiện'!AK30</f>
        <v>235.21480000000003</v>
      </c>
      <c r="F28" s="196"/>
      <c r="G28" s="196"/>
      <c r="H28" s="196"/>
      <c r="I28" s="196"/>
      <c r="J28" s="49"/>
      <c r="K28" s="49">
        <v>1</v>
      </c>
      <c r="L28" s="196"/>
      <c r="M28" s="196"/>
      <c r="N28" s="196"/>
      <c r="O28" s="196"/>
      <c r="P28" s="196"/>
      <c r="Q28" s="196"/>
      <c r="R28" s="197">
        <f t="shared" si="2"/>
        <v>1</v>
      </c>
      <c r="S28" s="1"/>
      <c r="T28" s="48">
        <f t="shared" si="3"/>
        <v>0</v>
      </c>
      <c r="U28" s="48">
        <f t="shared" si="3"/>
        <v>0</v>
      </c>
      <c r="V28" s="48">
        <f t="shared" si="3"/>
        <v>0</v>
      </c>
      <c r="W28" s="48">
        <f t="shared" si="3"/>
        <v>0</v>
      </c>
      <c r="X28" s="48">
        <f t="shared" si="3"/>
        <v>0</v>
      </c>
      <c r="Y28" s="48">
        <f t="shared" si="3"/>
        <v>235.21480000000003</v>
      </c>
      <c r="Z28" s="48">
        <f t="shared" si="3"/>
        <v>0</v>
      </c>
      <c r="AA28" s="48">
        <f t="shared" si="3"/>
        <v>0</v>
      </c>
      <c r="AB28" s="48">
        <f t="shared" si="3"/>
        <v>0</v>
      </c>
      <c r="AC28" s="48">
        <f t="shared" si="3"/>
        <v>0</v>
      </c>
      <c r="AD28" s="48">
        <f t="shared" si="3"/>
        <v>0</v>
      </c>
      <c r="AE28" s="48">
        <f t="shared" si="3"/>
        <v>0</v>
      </c>
      <c r="AF28" s="1"/>
      <c r="AG28" s="293" t="e">
        <v>#N/A</v>
      </c>
      <c r="AH28" s="293" t="e">
        <v>#N/A</v>
      </c>
      <c r="AI28" s="293" t="e">
        <v>#N/A</v>
      </c>
      <c r="AJ28" s="293" t="e">
        <v>#N/A</v>
      </c>
      <c r="AK28" s="2" t="e">
        <v>#N/A</v>
      </c>
      <c r="AL28" s="293" t="e">
        <v>#N/A</v>
      </c>
      <c r="AN28" s="232"/>
      <c r="AO28" s="77">
        <f t="shared" si="4"/>
        <v>0</v>
      </c>
      <c r="AP28" s="232"/>
      <c r="AQ28" s="279">
        <f t="shared" si="5"/>
        <v>0</v>
      </c>
      <c r="AR28" s="232"/>
      <c r="AS28" s="279">
        <f t="shared" si="6"/>
        <v>0</v>
      </c>
      <c r="AT28" s="232"/>
      <c r="AU28" s="279">
        <f t="shared" si="7"/>
        <v>0</v>
      </c>
      <c r="AV28" s="232"/>
      <c r="AW28" s="279">
        <f t="shared" si="8"/>
        <v>0</v>
      </c>
      <c r="AX28" s="232"/>
      <c r="AY28" s="279">
        <f t="shared" si="9"/>
        <v>0</v>
      </c>
      <c r="AZ28" s="232"/>
      <c r="BA28" s="279">
        <f t="shared" si="10"/>
        <v>0</v>
      </c>
      <c r="BB28" s="232"/>
      <c r="BC28" s="279">
        <f t="shared" si="11"/>
        <v>0</v>
      </c>
      <c r="BD28" s="232"/>
      <c r="BE28" s="279">
        <f t="shared" si="12"/>
        <v>0</v>
      </c>
      <c r="BF28" s="232"/>
      <c r="BG28" s="279">
        <f t="shared" si="13"/>
        <v>0</v>
      </c>
      <c r="BH28" s="232"/>
      <c r="BI28" s="279">
        <f t="shared" si="14"/>
        <v>0</v>
      </c>
      <c r="BJ28" s="232"/>
      <c r="BK28" s="279">
        <f t="shared" si="15"/>
        <v>0</v>
      </c>
    </row>
    <row r="29" spans="1:63">
      <c r="A29" s="233">
        <v>25</v>
      </c>
      <c r="B29" s="53" t="str">
        <f>'[8]Linh Kiện'!D31</f>
        <v>S895708</v>
      </c>
      <c r="C29" s="51" t="str">
        <f t="shared" si="1"/>
        <v>XEM</v>
      </c>
      <c r="D29" s="49">
        <f>'[8]Linh Kiện'!E31</f>
        <v>1</v>
      </c>
      <c r="E29" s="195">
        <f>'[8]Linh Kiện'!AK31</f>
        <v>47.466399999999993</v>
      </c>
      <c r="F29" s="196"/>
      <c r="G29" s="196"/>
      <c r="H29" s="196"/>
      <c r="I29" s="196"/>
      <c r="J29" s="49"/>
      <c r="K29" s="49"/>
      <c r="L29" s="49"/>
      <c r="M29" s="196">
        <v>1</v>
      </c>
      <c r="N29" s="196"/>
      <c r="O29" s="196"/>
      <c r="P29" s="196"/>
      <c r="Q29" s="196"/>
      <c r="R29" s="197">
        <f t="shared" si="2"/>
        <v>1</v>
      </c>
      <c r="S29" s="1"/>
      <c r="T29" s="48">
        <f t="shared" si="3"/>
        <v>0</v>
      </c>
      <c r="U29" s="48">
        <f t="shared" si="3"/>
        <v>0</v>
      </c>
      <c r="V29" s="48">
        <f t="shared" si="3"/>
        <v>0</v>
      </c>
      <c r="W29" s="48">
        <f t="shared" si="3"/>
        <v>0</v>
      </c>
      <c r="X29" s="48">
        <f t="shared" si="3"/>
        <v>0</v>
      </c>
      <c r="Y29" s="48">
        <f t="shared" si="3"/>
        <v>0</v>
      </c>
      <c r="Z29" s="48">
        <f t="shared" si="3"/>
        <v>0</v>
      </c>
      <c r="AA29" s="48">
        <f t="shared" si="3"/>
        <v>47.466399999999993</v>
      </c>
      <c r="AB29" s="48">
        <f t="shared" si="3"/>
        <v>0</v>
      </c>
      <c r="AC29" s="48">
        <f t="shared" si="3"/>
        <v>0</v>
      </c>
      <c r="AD29" s="48">
        <f t="shared" si="3"/>
        <v>0</v>
      </c>
      <c r="AE29" s="48">
        <f t="shared" si="3"/>
        <v>0</v>
      </c>
      <c r="AF29" s="1"/>
      <c r="AG29" s="293" t="e">
        <v>#N/A</v>
      </c>
      <c r="AH29" s="293" t="e">
        <v>#N/A</v>
      </c>
      <c r="AI29" s="293" t="e">
        <v>#N/A</v>
      </c>
      <c r="AJ29" s="293" t="e">
        <v>#N/A</v>
      </c>
      <c r="AK29" s="2" t="e">
        <v>#N/A</v>
      </c>
      <c r="AL29" s="293" t="e">
        <v>#N/A</v>
      </c>
      <c r="AN29" s="232"/>
      <c r="AO29" s="77">
        <f t="shared" si="4"/>
        <v>0</v>
      </c>
      <c r="AP29" s="232"/>
      <c r="AQ29" s="279">
        <f t="shared" si="5"/>
        <v>0</v>
      </c>
      <c r="AR29" s="232"/>
      <c r="AS29" s="279">
        <f t="shared" si="6"/>
        <v>0</v>
      </c>
      <c r="AT29" s="232"/>
      <c r="AU29" s="279">
        <f t="shared" si="7"/>
        <v>0</v>
      </c>
      <c r="AV29" s="232"/>
      <c r="AW29" s="279">
        <f t="shared" si="8"/>
        <v>0</v>
      </c>
      <c r="AX29" s="232"/>
      <c r="AY29" s="279">
        <f t="shared" si="9"/>
        <v>0</v>
      </c>
      <c r="AZ29" s="232"/>
      <c r="BA29" s="279">
        <f t="shared" si="10"/>
        <v>0</v>
      </c>
      <c r="BB29" s="232"/>
      <c r="BC29" s="279">
        <f t="shared" si="11"/>
        <v>0</v>
      </c>
      <c r="BD29" s="232"/>
      <c r="BE29" s="279">
        <f t="shared" si="12"/>
        <v>0</v>
      </c>
      <c r="BF29" s="232"/>
      <c r="BG29" s="279">
        <f t="shared" si="13"/>
        <v>0</v>
      </c>
      <c r="BH29" s="232"/>
      <c r="BI29" s="279">
        <f t="shared" si="14"/>
        <v>0</v>
      </c>
      <c r="BJ29" s="232"/>
      <c r="BK29" s="279">
        <f t="shared" si="15"/>
        <v>0</v>
      </c>
    </row>
    <row r="30" spans="1:63">
      <c r="A30" s="233">
        <v>26</v>
      </c>
      <c r="B30" s="53" t="str">
        <f>'[8]Linh Kiện'!D32</f>
        <v>S895686</v>
      </c>
      <c r="C30" s="51" t="str">
        <f t="shared" si="1"/>
        <v>XEM</v>
      </c>
      <c r="D30" s="49">
        <f>'[8]Linh Kiện'!E32</f>
        <v>1</v>
      </c>
      <c r="E30" s="195">
        <f>'[8]Linh Kiện'!AK32</f>
        <v>182.04180192307695</v>
      </c>
      <c r="F30" s="196"/>
      <c r="G30" s="196"/>
      <c r="H30" s="196"/>
      <c r="I30" s="196"/>
      <c r="J30" s="49"/>
      <c r="K30" s="49"/>
      <c r="L30" s="49">
        <v>1</v>
      </c>
      <c r="M30" s="196"/>
      <c r="N30" s="196"/>
      <c r="O30" s="196"/>
      <c r="P30" s="196"/>
      <c r="Q30" s="196"/>
      <c r="R30" s="197">
        <f t="shared" si="2"/>
        <v>1</v>
      </c>
      <c r="S30" s="1"/>
      <c r="T30" s="48">
        <f t="shared" si="3"/>
        <v>0</v>
      </c>
      <c r="U30" s="48">
        <f t="shared" si="3"/>
        <v>0</v>
      </c>
      <c r="V30" s="48">
        <f t="shared" si="3"/>
        <v>0</v>
      </c>
      <c r="W30" s="48">
        <f t="shared" si="3"/>
        <v>0</v>
      </c>
      <c r="X30" s="48">
        <f t="shared" si="3"/>
        <v>0</v>
      </c>
      <c r="Y30" s="48">
        <f t="shared" si="3"/>
        <v>0</v>
      </c>
      <c r="Z30" s="48">
        <f t="shared" si="3"/>
        <v>182.04180192307695</v>
      </c>
      <c r="AA30" s="48">
        <f t="shared" si="3"/>
        <v>0</v>
      </c>
      <c r="AB30" s="48">
        <f t="shared" si="3"/>
        <v>0</v>
      </c>
      <c r="AC30" s="48">
        <f t="shared" si="3"/>
        <v>0</v>
      </c>
      <c r="AD30" s="48">
        <f t="shared" si="3"/>
        <v>0</v>
      </c>
      <c r="AE30" s="48">
        <f t="shared" si="3"/>
        <v>0</v>
      </c>
      <c r="AF30" s="1"/>
      <c r="AG30" s="293" t="e">
        <v>#N/A</v>
      </c>
      <c r="AH30" s="293" t="e">
        <v>#N/A</v>
      </c>
      <c r="AI30" s="293" t="e">
        <v>#N/A</v>
      </c>
      <c r="AJ30" s="293" t="e">
        <v>#N/A</v>
      </c>
      <c r="AK30" s="2" t="e">
        <v>#N/A</v>
      </c>
      <c r="AL30" s="293" t="e">
        <v>#N/A</v>
      </c>
      <c r="AN30" s="232"/>
      <c r="AO30" s="77">
        <f t="shared" si="4"/>
        <v>0</v>
      </c>
      <c r="AP30" s="232"/>
      <c r="AQ30" s="279">
        <f t="shared" si="5"/>
        <v>0</v>
      </c>
      <c r="AR30" s="232"/>
      <c r="AS30" s="279">
        <f t="shared" si="6"/>
        <v>0</v>
      </c>
      <c r="AT30" s="232"/>
      <c r="AU30" s="279">
        <f t="shared" si="7"/>
        <v>0</v>
      </c>
      <c r="AV30" s="232"/>
      <c r="AW30" s="279">
        <f t="shared" si="8"/>
        <v>0</v>
      </c>
      <c r="AX30" s="232"/>
      <c r="AY30" s="279">
        <f t="shared" si="9"/>
        <v>0</v>
      </c>
      <c r="AZ30" s="232"/>
      <c r="BA30" s="279">
        <f t="shared" si="10"/>
        <v>0</v>
      </c>
      <c r="BB30" s="232"/>
      <c r="BC30" s="279">
        <f t="shared" si="11"/>
        <v>0</v>
      </c>
      <c r="BD30" s="232"/>
      <c r="BE30" s="279">
        <f t="shared" si="12"/>
        <v>0</v>
      </c>
      <c r="BF30" s="232"/>
      <c r="BG30" s="279">
        <f t="shared" si="13"/>
        <v>0</v>
      </c>
      <c r="BH30" s="232"/>
      <c r="BI30" s="279">
        <f t="shared" si="14"/>
        <v>0</v>
      </c>
      <c r="BJ30" s="232"/>
      <c r="BK30" s="279">
        <f t="shared" si="15"/>
        <v>0</v>
      </c>
    </row>
    <row r="31" spans="1:63">
      <c r="A31" s="233">
        <v>27</v>
      </c>
      <c r="B31" s="53" t="str">
        <f>'[8]Linh Kiện'!D33</f>
        <v>S029213</v>
      </c>
      <c r="C31" s="51" t="str">
        <f t="shared" si="1"/>
        <v>XEM</v>
      </c>
      <c r="D31" s="49">
        <f>'[8]Linh Kiện'!E33</f>
        <v>1</v>
      </c>
      <c r="E31" s="195">
        <f>'[8]Linh Kiện'!AK33</f>
        <v>25.501801923076982</v>
      </c>
      <c r="F31" s="196"/>
      <c r="G31" s="196"/>
      <c r="H31" s="196"/>
      <c r="I31" s="196">
        <v>1</v>
      </c>
      <c r="J31" s="49"/>
      <c r="K31" s="49"/>
      <c r="L31" s="49"/>
      <c r="M31" s="196"/>
      <c r="N31" s="196"/>
      <c r="O31" s="196"/>
      <c r="P31" s="196"/>
      <c r="Q31" s="196"/>
      <c r="R31" s="197">
        <f t="shared" si="2"/>
        <v>1</v>
      </c>
      <c r="S31" s="1"/>
      <c r="T31" s="48">
        <f t="shared" si="3"/>
        <v>0</v>
      </c>
      <c r="U31" s="48">
        <f t="shared" si="3"/>
        <v>0</v>
      </c>
      <c r="V31" s="48">
        <f t="shared" si="3"/>
        <v>0</v>
      </c>
      <c r="W31" s="48">
        <f t="shared" si="3"/>
        <v>25.501801923076982</v>
      </c>
      <c r="X31" s="48">
        <f t="shared" si="3"/>
        <v>0</v>
      </c>
      <c r="Y31" s="48">
        <f t="shared" si="3"/>
        <v>0</v>
      </c>
      <c r="Z31" s="48">
        <f t="shared" si="3"/>
        <v>0</v>
      </c>
      <c r="AA31" s="48">
        <f t="shared" si="3"/>
        <v>0</v>
      </c>
      <c r="AB31" s="48">
        <f t="shared" si="3"/>
        <v>0</v>
      </c>
      <c r="AC31" s="48">
        <f t="shared" si="3"/>
        <v>0</v>
      </c>
      <c r="AD31" s="48">
        <f t="shared" si="3"/>
        <v>0</v>
      </c>
      <c r="AE31" s="48">
        <f t="shared" si="3"/>
        <v>0</v>
      </c>
      <c r="AF31" s="1"/>
      <c r="AG31" s="293" t="e">
        <v>#N/A</v>
      </c>
      <c r="AH31" s="293" t="e">
        <v>#N/A</v>
      </c>
      <c r="AI31" s="293" t="e">
        <v>#N/A</v>
      </c>
      <c r="AJ31" s="293" t="e">
        <v>#N/A</v>
      </c>
      <c r="AK31" s="2" t="e">
        <v>#N/A</v>
      </c>
      <c r="AL31" s="293" t="e">
        <v>#N/A</v>
      </c>
      <c r="AN31" s="232"/>
      <c r="AO31" s="77">
        <f t="shared" si="4"/>
        <v>0</v>
      </c>
      <c r="AP31" s="232"/>
      <c r="AQ31" s="279">
        <f t="shared" si="5"/>
        <v>0</v>
      </c>
      <c r="AR31" s="232"/>
      <c r="AS31" s="279">
        <f t="shared" si="6"/>
        <v>0</v>
      </c>
      <c r="AT31" s="232"/>
      <c r="AU31" s="279">
        <f t="shared" si="7"/>
        <v>0</v>
      </c>
      <c r="AV31" s="232"/>
      <c r="AW31" s="279">
        <f t="shared" si="8"/>
        <v>0</v>
      </c>
      <c r="AX31" s="232"/>
      <c r="AY31" s="279">
        <f t="shared" si="9"/>
        <v>0</v>
      </c>
      <c r="AZ31" s="232"/>
      <c r="BA31" s="279">
        <f t="shared" si="10"/>
        <v>0</v>
      </c>
      <c r="BB31" s="232"/>
      <c r="BC31" s="279">
        <f t="shared" si="11"/>
        <v>0</v>
      </c>
      <c r="BD31" s="232"/>
      <c r="BE31" s="279">
        <f t="shared" si="12"/>
        <v>0</v>
      </c>
      <c r="BF31" s="232"/>
      <c r="BG31" s="279">
        <f t="shared" si="13"/>
        <v>0</v>
      </c>
      <c r="BH31" s="232"/>
      <c r="BI31" s="279">
        <f t="shared" si="14"/>
        <v>0</v>
      </c>
      <c r="BJ31" s="232"/>
      <c r="BK31" s="279">
        <f t="shared" si="15"/>
        <v>0</v>
      </c>
    </row>
    <row r="32" spans="1:63">
      <c r="A32" s="233">
        <v>28</v>
      </c>
      <c r="B32" s="53" t="str">
        <f>'[8]Linh Kiện'!D34</f>
        <v>S028567</v>
      </c>
      <c r="C32" s="51" t="str">
        <f t="shared" si="1"/>
        <v>XEM</v>
      </c>
      <c r="D32" s="49">
        <f>'[8]Linh Kiện'!E34</f>
        <v>1</v>
      </c>
      <c r="E32" s="195">
        <f>'[8]Linh Kiện'!AK34</f>
        <v>119.55799999999999</v>
      </c>
      <c r="F32" s="196"/>
      <c r="G32" s="196"/>
      <c r="H32" s="196"/>
      <c r="I32" s="196"/>
      <c r="J32" s="49"/>
      <c r="K32" s="49"/>
      <c r="L32" s="49"/>
      <c r="M32" s="196"/>
      <c r="N32" s="196"/>
      <c r="O32" s="196"/>
      <c r="P32" s="196">
        <v>1</v>
      </c>
      <c r="Q32" s="196"/>
      <c r="R32" s="197">
        <f t="shared" si="2"/>
        <v>1</v>
      </c>
      <c r="S32" s="1"/>
      <c r="T32" s="48">
        <f t="shared" si="3"/>
        <v>0</v>
      </c>
      <c r="U32" s="48">
        <f t="shared" si="3"/>
        <v>0</v>
      </c>
      <c r="V32" s="48">
        <f t="shared" si="3"/>
        <v>0</v>
      </c>
      <c r="W32" s="48">
        <f t="shared" si="3"/>
        <v>0</v>
      </c>
      <c r="X32" s="48">
        <f t="shared" si="3"/>
        <v>0</v>
      </c>
      <c r="Y32" s="48">
        <f t="shared" si="3"/>
        <v>0</v>
      </c>
      <c r="Z32" s="48">
        <f t="shared" si="3"/>
        <v>0</v>
      </c>
      <c r="AA32" s="48">
        <f t="shared" si="3"/>
        <v>0</v>
      </c>
      <c r="AB32" s="48">
        <f t="shared" si="3"/>
        <v>0</v>
      </c>
      <c r="AC32" s="48">
        <f t="shared" si="3"/>
        <v>0</v>
      </c>
      <c r="AD32" s="48">
        <f t="shared" si="3"/>
        <v>119.55799999999999</v>
      </c>
      <c r="AE32" s="48">
        <f t="shared" si="3"/>
        <v>0</v>
      </c>
      <c r="AF32" s="1"/>
      <c r="AG32" s="293" t="e">
        <v>#N/A</v>
      </c>
      <c r="AH32" s="293" t="e">
        <v>#N/A</v>
      </c>
      <c r="AI32" s="293" t="e">
        <v>#N/A</v>
      </c>
      <c r="AJ32" s="293" t="e">
        <v>#N/A</v>
      </c>
      <c r="AK32" s="2" t="e">
        <v>#N/A</v>
      </c>
      <c r="AL32" s="293" t="e">
        <v>#N/A</v>
      </c>
      <c r="AN32" s="232"/>
      <c r="AO32" s="77">
        <f t="shared" si="4"/>
        <v>0</v>
      </c>
      <c r="AP32" s="232"/>
      <c r="AQ32" s="279">
        <f t="shared" si="5"/>
        <v>0</v>
      </c>
      <c r="AR32" s="232"/>
      <c r="AS32" s="279">
        <f t="shared" si="6"/>
        <v>0</v>
      </c>
      <c r="AT32" s="232"/>
      <c r="AU32" s="279">
        <f t="shared" si="7"/>
        <v>0</v>
      </c>
      <c r="AV32" s="232"/>
      <c r="AW32" s="279">
        <f t="shared" si="8"/>
        <v>0</v>
      </c>
      <c r="AX32" s="232"/>
      <c r="AY32" s="279">
        <f t="shared" si="9"/>
        <v>0</v>
      </c>
      <c r="AZ32" s="232"/>
      <c r="BA32" s="279">
        <f t="shared" si="10"/>
        <v>0</v>
      </c>
      <c r="BB32" s="232"/>
      <c r="BC32" s="279">
        <f t="shared" si="11"/>
        <v>0</v>
      </c>
      <c r="BD32" s="232"/>
      <c r="BE32" s="279">
        <f t="shared" si="12"/>
        <v>0</v>
      </c>
      <c r="BF32" s="232"/>
      <c r="BG32" s="279">
        <f t="shared" si="13"/>
        <v>0</v>
      </c>
      <c r="BH32" s="232"/>
      <c r="BI32" s="279">
        <f t="shared" si="14"/>
        <v>0</v>
      </c>
      <c r="BJ32" s="232"/>
      <c r="BK32" s="279">
        <f t="shared" si="15"/>
        <v>0</v>
      </c>
    </row>
    <row r="33" spans="1:63">
      <c r="A33" s="233">
        <v>29</v>
      </c>
      <c r="B33" s="53" t="str">
        <f>'[8]Linh Kiện'!D35</f>
        <v>S204742</v>
      </c>
      <c r="C33" s="51" t="str">
        <f t="shared" si="1"/>
        <v>XEM</v>
      </c>
      <c r="D33" s="49">
        <f>'[8]Linh Kiện'!E35</f>
        <v>1</v>
      </c>
      <c r="E33" s="195">
        <f>'[8]Linh Kiện'!AK35</f>
        <v>124.54180192307695</v>
      </c>
      <c r="F33" s="196"/>
      <c r="G33" s="196"/>
      <c r="H33" s="196"/>
      <c r="I33" s="196"/>
      <c r="J33" s="49"/>
      <c r="K33" s="49"/>
      <c r="L33" s="49"/>
      <c r="M33" s="196"/>
      <c r="N33" s="196"/>
      <c r="O33" s="196"/>
      <c r="P33" s="196"/>
      <c r="Q33" s="196">
        <v>1</v>
      </c>
      <c r="R33" s="197">
        <f t="shared" si="2"/>
        <v>1</v>
      </c>
      <c r="S33" s="1"/>
      <c r="T33" s="48">
        <f t="shared" si="3"/>
        <v>0</v>
      </c>
      <c r="U33" s="48">
        <f t="shared" si="3"/>
        <v>0</v>
      </c>
      <c r="V33" s="48">
        <f t="shared" si="3"/>
        <v>0</v>
      </c>
      <c r="W33" s="48">
        <f t="shared" si="3"/>
        <v>0</v>
      </c>
      <c r="X33" s="48">
        <f t="shared" si="3"/>
        <v>0</v>
      </c>
      <c r="Y33" s="48">
        <f t="shared" si="3"/>
        <v>0</v>
      </c>
      <c r="Z33" s="48">
        <f t="shared" si="3"/>
        <v>0</v>
      </c>
      <c r="AA33" s="48">
        <f t="shared" si="3"/>
        <v>0</v>
      </c>
      <c r="AB33" s="48">
        <f t="shared" si="3"/>
        <v>0</v>
      </c>
      <c r="AC33" s="48">
        <f t="shared" si="3"/>
        <v>0</v>
      </c>
      <c r="AD33" s="48">
        <f t="shared" si="3"/>
        <v>0</v>
      </c>
      <c r="AE33" s="48">
        <f t="shared" si="3"/>
        <v>124.54180192307695</v>
      </c>
      <c r="AF33" s="1"/>
      <c r="AG33" s="293" t="e">
        <v>#N/A</v>
      </c>
      <c r="AH33" s="293" t="e">
        <v>#N/A</v>
      </c>
      <c r="AI33" s="293" t="e">
        <v>#N/A</v>
      </c>
      <c r="AJ33" s="293" t="e">
        <v>#N/A</v>
      </c>
      <c r="AK33" s="2" t="e">
        <v>#N/A</v>
      </c>
      <c r="AL33" s="293" t="e">
        <v>#N/A</v>
      </c>
      <c r="AN33" s="232"/>
      <c r="AO33" s="77">
        <f t="shared" si="4"/>
        <v>0</v>
      </c>
      <c r="AP33" s="232"/>
      <c r="AQ33" s="279">
        <f t="shared" si="5"/>
        <v>0</v>
      </c>
      <c r="AR33" s="232"/>
      <c r="AS33" s="279">
        <f t="shared" si="6"/>
        <v>0</v>
      </c>
      <c r="AT33" s="232"/>
      <c r="AU33" s="279">
        <f t="shared" si="7"/>
        <v>0</v>
      </c>
      <c r="AV33" s="232"/>
      <c r="AW33" s="279">
        <f t="shared" si="8"/>
        <v>0</v>
      </c>
      <c r="AX33" s="232"/>
      <c r="AY33" s="279">
        <f t="shared" si="9"/>
        <v>0</v>
      </c>
      <c r="AZ33" s="232"/>
      <c r="BA33" s="279">
        <f t="shared" si="10"/>
        <v>0</v>
      </c>
      <c r="BB33" s="232"/>
      <c r="BC33" s="279">
        <f t="shared" si="11"/>
        <v>0</v>
      </c>
      <c r="BD33" s="232"/>
      <c r="BE33" s="279">
        <f t="shared" si="12"/>
        <v>0</v>
      </c>
      <c r="BF33" s="232"/>
      <c r="BG33" s="279">
        <f t="shared" si="13"/>
        <v>0</v>
      </c>
      <c r="BH33" s="232"/>
      <c r="BI33" s="279">
        <f t="shared" si="14"/>
        <v>0</v>
      </c>
      <c r="BJ33" s="232"/>
      <c r="BK33" s="279">
        <f t="shared" si="15"/>
        <v>0</v>
      </c>
    </row>
    <row r="34" spans="1:63">
      <c r="A34" s="233">
        <v>30</v>
      </c>
      <c r="B34" s="53" t="str">
        <f>'[8]Linh Kiện'!D36</f>
        <v>S799077</v>
      </c>
      <c r="C34" s="51" t="str">
        <f t="shared" si="1"/>
        <v>XEM</v>
      </c>
      <c r="D34" s="49">
        <f>'[8]Linh Kiện'!E36</f>
        <v>1</v>
      </c>
      <c r="E34" s="195">
        <f>'[8]Linh Kiện'!AK36</f>
        <v>187.07180192307692</v>
      </c>
      <c r="F34" s="196"/>
      <c r="G34" s="196"/>
      <c r="H34" s="196"/>
      <c r="I34" s="196"/>
      <c r="J34" s="49">
        <v>1</v>
      </c>
      <c r="K34" s="49"/>
      <c r="L34" s="49"/>
      <c r="M34" s="196"/>
      <c r="N34" s="196"/>
      <c r="O34" s="196"/>
      <c r="P34" s="196"/>
      <c r="Q34" s="196"/>
      <c r="R34" s="197">
        <f t="shared" si="2"/>
        <v>1</v>
      </c>
      <c r="S34" s="1"/>
      <c r="T34" s="48">
        <f t="shared" si="3"/>
        <v>0</v>
      </c>
      <c r="U34" s="48">
        <f t="shared" si="3"/>
        <v>0</v>
      </c>
      <c r="V34" s="48">
        <f t="shared" si="3"/>
        <v>0</v>
      </c>
      <c r="W34" s="48">
        <f t="shared" si="3"/>
        <v>0</v>
      </c>
      <c r="X34" s="48">
        <f t="shared" si="3"/>
        <v>187.07180192307692</v>
      </c>
      <c r="Y34" s="48">
        <f t="shared" si="3"/>
        <v>0</v>
      </c>
      <c r="Z34" s="48">
        <f t="shared" si="3"/>
        <v>0</v>
      </c>
      <c r="AA34" s="48">
        <f t="shared" si="3"/>
        <v>0</v>
      </c>
      <c r="AB34" s="48">
        <f t="shared" si="3"/>
        <v>0</v>
      </c>
      <c r="AC34" s="48">
        <f t="shared" si="3"/>
        <v>0</v>
      </c>
      <c r="AD34" s="48">
        <f t="shared" si="3"/>
        <v>0</v>
      </c>
      <c r="AE34" s="48">
        <f t="shared" si="3"/>
        <v>0</v>
      </c>
      <c r="AF34" s="1"/>
      <c r="AG34" s="293" t="e">
        <v>#N/A</v>
      </c>
      <c r="AH34" s="293" t="e">
        <v>#N/A</v>
      </c>
      <c r="AI34" s="293" t="e">
        <v>#N/A</v>
      </c>
      <c r="AJ34" s="293" t="e">
        <v>#N/A</v>
      </c>
      <c r="AK34" s="2" t="e">
        <v>#N/A</v>
      </c>
      <c r="AL34" s="293" t="e">
        <v>#N/A</v>
      </c>
      <c r="AN34" s="232"/>
      <c r="AO34" s="77">
        <f t="shared" si="4"/>
        <v>0</v>
      </c>
      <c r="AP34" s="232"/>
      <c r="AQ34" s="279">
        <f t="shared" si="5"/>
        <v>0</v>
      </c>
      <c r="AR34" s="232"/>
      <c r="AS34" s="279">
        <f t="shared" si="6"/>
        <v>0</v>
      </c>
      <c r="AT34" s="232"/>
      <c r="AU34" s="279">
        <f t="shared" si="7"/>
        <v>0</v>
      </c>
      <c r="AV34" s="232"/>
      <c r="AW34" s="279">
        <f t="shared" si="8"/>
        <v>0</v>
      </c>
      <c r="AX34" s="232"/>
      <c r="AY34" s="279">
        <f t="shared" si="9"/>
        <v>0</v>
      </c>
      <c r="AZ34" s="232"/>
      <c r="BA34" s="279">
        <f t="shared" si="10"/>
        <v>0</v>
      </c>
      <c r="BB34" s="232"/>
      <c r="BC34" s="279">
        <f t="shared" si="11"/>
        <v>0</v>
      </c>
      <c r="BD34" s="232"/>
      <c r="BE34" s="279">
        <f t="shared" si="12"/>
        <v>0</v>
      </c>
      <c r="BF34" s="232"/>
      <c r="BG34" s="279">
        <f t="shared" si="13"/>
        <v>0</v>
      </c>
      <c r="BH34" s="232"/>
      <c r="BI34" s="279">
        <f t="shared" si="14"/>
        <v>0</v>
      </c>
      <c r="BJ34" s="232"/>
      <c r="BK34" s="279">
        <f t="shared" si="15"/>
        <v>0</v>
      </c>
    </row>
    <row r="35" spans="1:63">
      <c r="A35" s="233">
        <v>31</v>
      </c>
      <c r="B35" s="53" t="str">
        <f>'[8]Linh Kiện'!D37</f>
        <v>S204746</v>
      </c>
      <c r="C35" s="51" t="str">
        <f t="shared" si="1"/>
        <v>XEM</v>
      </c>
      <c r="D35" s="49">
        <f>'[8]Linh Kiện'!E37</f>
        <v>1</v>
      </c>
      <c r="E35" s="195">
        <f>'[8]Linh Kiện'!AK37</f>
        <v>120.94</v>
      </c>
      <c r="F35" s="196"/>
      <c r="G35" s="196"/>
      <c r="H35" s="196"/>
      <c r="I35" s="196"/>
      <c r="J35" s="196"/>
      <c r="K35" s="49"/>
      <c r="L35" s="49"/>
      <c r="M35" s="49"/>
      <c r="N35" s="196"/>
      <c r="O35" s="196"/>
      <c r="P35" s="196"/>
      <c r="Q35" s="196">
        <v>1</v>
      </c>
      <c r="R35" s="197">
        <f t="shared" si="2"/>
        <v>1</v>
      </c>
      <c r="S35" s="1"/>
      <c r="T35" s="48">
        <f t="shared" si="3"/>
        <v>0</v>
      </c>
      <c r="U35" s="48">
        <f t="shared" si="3"/>
        <v>0</v>
      </c>
      <c r="V35" s="48">
        <f t="shared" si="3"/>
        <v>0</v>
      </c>
      <c r="W35" s="48">
        <f t="shared" si="3"/>
        <v>0</v>
      </c>
      <c r="X35" s="48">
        <f t="shared" si="3"/>
        <v>0</v>
      </c>
      <c r="Y35" s="48">
        <f t="shared" si="3"/>
        <v>0</v>
      </c>
      <c r="Z35" s="48">
        <f t="shared" si="3"/>
        <v>0</v>
      </c>
      <c r="AA35" s="48">
        <f t="shared" si="3"/>
        <v>0</v>
      </c>
      <c r="AB35" s="48">
        <f t="shared" si="3"/>
        <v>0</v>
      </c>
      <c r="AC35" s="48">
        <f t="shared" si="3"/>
        <v>0</v>
      </c>
      <c r="AD35" s="48">
        <f t="shared" si="3"/>
        <v>0</v>
      </c>
      <c r="AE35" s="48">
        <f t="shared" si="3"/>
        <v>120.94</v>
      </c>
      <c r="AF35" s="1"/>
      <c r="AG35" s="293" t="e">
        <v>#N/A</v>
      </c>
      <c r="AH35" s="293" t="e">
        <v>#N/A</v>
      </c>
      <c r="AI35" s="293" t="e">
        <v>#N/A</v>
      </c>
      <c r="AJ35" s="293" t="e">
        <v>#N/A</v>
      </c>
      <c r="AK35" s="2" t="e">
        <v>#N/A</v>
      </c>
      <c r="AL35" s="293" t="e">
        <v>#N/A</v>
      </c>
      <c r="AN35" s="232"/>
      <c r="AO35" s="77">
        <f t="shared" si="4"/>
        <v>0</v>
      </c>
      <c r="AP35" s="232"/>
      <c r="AQ35" s="279">
        <f t="shared" si="5"/>
        <v>0</v>
      </c>
      <c r="AR35" s="232"/>
      <c r="AS35" s="279">
        <f t="shared" si="6"/>
        <v>0</v>
      </c>
      <c r="AT35" s="232"/>
      <c r="AU35" s="279">
        <f t="shared" si="7"/>
        <v>0</v>
      </c>
      <c r="AV35" s="232"/>
      <c r="AW35" s="279">
        <f t="shared" si="8"/>
        <v>0</v>
      </c>
      <c r="AX35" s="232"/>
      <c r="AY35" s="279">
        <f t="shared" si="9"/>
        <v>0</v>
      </c>
      <c r="AZ35" s="232"/>
      <c r="BA35" s="279">
        <f t="shared" si="10"/>
        <v>0</v>
      </c>
      <c r="BB35" s="232"/>
      <c r="BC35" s="279">
        <f t="shared" si="11"/>
        <v>0</v>
      </c>
      <c r="BD35" s="232"/>
      <c r="BE35" s="279">
        <f t="shared" si="12"/>
        <v>0</v>
      </c>
      <c r="BF35" s="232"/>
      <c r="BG35" s="279">
        <f t="shared" si="13"/>
        <v>0</v>
      </c>
      <c r="BH35" s="232"/>
      <c r="BI35" s="279">
        <f t="shared" si="14"/>
        <v>0</v>
      </c>
      <c r="BJ35" s="232"/>
      <c r="BK35" s="279">
        <f t="shared" si="15"/>
        <v>0</v>
      </c>
    </row>
    <row r="36" spans="1:63">
      <c r="A36" s="233">
        <v>32</v>
      </c>
      <c r="B36" s="53" t="str">
        <f>'[8]Linh Kiện'!D38</f>
        <v>S611125</v>
      </c>
      <c r="C36" s="51" t="str">
        <f t="shared" si="1"/>
        <v>XEM</v>
      </c>
      <c r="D36" s="49">
        <f>'[8]Linh Kiện'!E38</f>
        <v>1</v>
      </c>
      <c r="E36" s="195">
        <f>'[8]Linh Kiện'!AK38</f>
        <v>126.71480000000001</v>
      </c>
      <c r="F36" s="196"/>
      <c r="G36" s="196"/>
      <c r="H36" s="196"/>
      <c r="I36" s="196"/>
      <c r="J36" s="196"/>
      <c r="K36" s="49"/>
      <c r="L36" s="49"/>
      <c r="M36" s="49">
        <v>1</v>
      </c>
      <c r="N36" s="196"/>
      <c r="O36" s="196"/>
      <c r="P36" s="196"/>
      <c r="Q36" s="196"/>
      <c r="R36" s="197">
        <f t="shared" si="2"/>
        <v>1</v>
      </c>
      <c r="S36" s="1"/>
      <c r="T36" s="48">
        <f t="shared" si="3"/>
        <v>0</v>
      </c>
      <c r="U36" s="48">
        <f t="shared" si="3"/>
        <v>0</v>
      </c>
      <c r="V36" s="48">
        <f t="shared" si="3"/>
        <v>0</v>
      </c>
      <c r="W36" s="48">
        <f t="shared" si="3"/>
        <v>0</v>
      </c>
      <c r="X36" s="48">
        <f t="shared" si="3"/>
        <v>0</v>
      </c>
      <c r="Y36" s="48">
        <f t="shared" si="3"/>
        <v>0</v>
      </c>
      <c r="Z36" s="48">
        <f t="shared" si="3"/>
        <v>0</v>
      </c>
      <c r="AA36" s="48">
        <f t="shared" si="3"/>
        <v>126.71480000000001</v>
      </c>
      <c r="AB36" s="48">
        <f t="shared" si="3"/>
        <v>0</v>
      </c>
      <c r="AC36" s="48">
        <f t="shared" si="3"/>
        <v>0</v>
      </c>
      <c r="AD36" s="48">
        <f t="shared" si="3"/>
        <v>0</v>
      </c>
      <c r="AE36" s="48">
        <f t="shared" si="3"/>
        <v>0</v>
      </c>
      <c r="AF36" s="1"/>
      <c r="AG36" s="293" t="e">
        <v>#N/A</v>
      </c>
      <c r="AH36" s="293" t="e">
        <v>#N/A</v>
      </c>
      <c r="AI36" s="293" t="e">
        <v>#N/A</v>
      </c>
      <c r="AJ36" s="293" t="e">
        <v>#N/A</v>
      </c>
      <c r="AK36" s="2" t="e">
        <v>#N/A</v>
      </c>
      <c r="AL36" s="293" t="e">
        <v>#N/A</v>
      </c>
      <c r="AN36" s="232"/>
      <c r="AO36" s="77">
        <f t="shared" si="4"/>
        <v>0</v>
      </c>
      <c r="AP36" s="232"/>
      <c r="AQ36" s="279">
        <f t="shared" si="5"/>
        <v>0</v>
      </c>
      <c r="AR36" s="232"/>
      <c r="AS36" s="279">
        <f t="shared" si="6"/>
        <v>0</v>
      </c>
      <c r="AT36" s="232"/>
      <c r="AU36" s="279">
        <f t="shared" si="7"/>
        <v>0</v>
      </c>
      <c r="AV36" s="232"/>
      <c r="AW36" s="279">
        <f t="shared" si="8"/>
        <v>0</v>
      </c>
      <c r="AX36" s="232"/>
      <c r="AY36" s="279">
        <f t="shared" si="9"/>
        <v>0</v>
      </c>
      <c r="AZ36" s="232"/>
      <c r="BA36" s="279">
        <f t="shared" si="10"/>
        <v>0</v>
      </c>
      <c r="BB36" s="232"/>
      <c r="BC36" s="279">
        <f t="shared" si="11"/>
        <v>0</v>
      </c>
      <c r="BD36" s="232"/>
      <c r="BE36" s="279">
        <f t="shared" si="12"/>
        <v>0</v>
      </c>
      <c r="BF36" s="232"/>
      <c r="BG36" s="279">
        <f t="shared" si="13"/>
        <v>0</v>
      </c>
      <c r="BH36" s="232"/>
      <c r="BI36" s="279">
        <f t="shared" si="14"/>
        <v>0</v>
      </c>
      <c r="BJ36" s="232"/>
      <c r="BK36" s="279">
        <f t="shared" si="15"/>
        <v>0</v>
      </c>
    </row>
    <row r="37" spans="1:63">
      <c r="A37" s="233">
        <v>33</v>
      </c>
      <c r="B37" s="53" t="str">
        <f>'[8]Linh Kiện'!D39</f>
        <v>R105773</v>
      </c>
      <c r="C37" s="51" t="str">
        <f t="shared" si="1"/>
        <v>XEM</v>
      </c>
      <c r="D37" s="49">
        <f>'[8]Linh Kiện'!E39</f>
        <v>1</v>
      </c>
      <c r="E37" s="195">
        <f>'[8]Linh Kiện'!AK39</f>
        <v>502.67903846153854</v>
      </c>
      <c r="F37" s="196"/>
      <c r="G37" s="196"/>
      <c r="H37" s="196"/>
      <c r="I37" s="196"/>
      <c r="J37" s="196"/>
      <c r="K37" s="49"/>
      <c r="L37" s="49"/>
      <c r="M37" s="49"/>
      <c r="N37" s="196"/>
      <c r="O37" s="196"/>
      <c r="P37" s="196">
        <v>1</v>
      </c>
      <c r="Q37" s="196"/>
      <c r="R37" s="197">
        <f t="shared" si="2"/>
        <v>1</v>
      </c>
      <c r="S37" s="1"/>
      <c r="T37" s="48">
        <f t="shared" si="3"/>
        <v>0</v>
      </c>
      <c r="U37" s="48">
        <f t="shared" si="3"/>
        <v>0</v>
      </c>
      <c r="V37" s="48">
        <f t="shared" si="3"/>
        <v>0</v>
      </c>
      <c r="W37" s="48">
        <f t="shared" si="3"/>
        <v>0</v>
      </c>
      <c r="X37" s="48">
        <f t="shared" si="3"/>
        <v>0</v>
      </c>
      <c r="Y37" s="48">
        <f t="shared" si="3"/>
        <v>0</v>
      </c>
      <c r="Z37" s="48">
        <f t="shared" si="3"/>
        <v>0</v>
      </c>
      <c r="AA37" s="48">
        <f t="shared" si="3"/>
        <v>0</v>
      </c>
      <c r="AB37" s="48">
        <f t="shared" si="3"/>
        <v>0</v>
      </c>
      <c r="AC37" s="48">
        <f t="shared" si="3"/>
        <v>0</v>
      </c>
      <c r="AD37" s="48">
        <f t="shared" si="3"/>
        <v>502.67903846153854</v>
      </c>
      <c r="AE37" s="48">
        <f t="shared" si="3"/>
        <v>0</v>
      </c>
      <c r="AF37" s="1"/>
      <c r="AG37" s="293" t="e">
        <v>#N/A</v>
      </c>
      <c r="AH37" s="293" t="e">
        <v>#N/A</v>
      </c>
      <c r="AI37" s="293" t="e">
        <v>#N/A</v>
      </c>
      <c r="AJ37" s="293" t="e">
        <v>#N/A</v>
      </c>
      <c r="AK37" s="2" t="e">
        <v>#N/A</v>
      </c>
      <c r="AL37" s="293" t="e">
        <v>#N/A</v>
      </c>
      <c r="AN37" s="232"/>
      <c r="AO37" s="77">
        <f t="shared" si="4"/>
        <v>0</v>
      </c>
      <c r="AP37" s="232"/>
      <c r="AQ37" s="279">
        <f t="shared" si="5"/>
        <v>0</v>
      </c>
      <c r="AR37" s="232"/>
      <c r="AS37" s="279">
        <f t="shared" si="6"/>
        <v>0</v>
      </c>
      <c r="AT37" s="232"/>
      <c r="AU37" s="279">
        <f t="shared" si="7"/>
        <v>0</v>
      </c>
      <c r="AV37" s="232"/>
      <c r="AW37" s="279">
        <f t="shared" si="8"/>
        <v>0</v>
      </c>
      <c r="AX37" s="232"/>
      <c r="AY37" s="279">
        <f t="shared" si="9"/>
        <v>0</v>
      </c>
      <c r="AZ37" s="232"/>
      <c r="BA37" s="279">
        <f t="shared" si="10"/>
        <v>0</v>
      </c>
      <c r="BB37" s="232"/>
      <c r="BC37" s="279">
        <f t="shared" si="11"/>
        <v>0</v>
      </c>
      <c r="BD37" s="232"/>
      <c r="BE37" s="279">
        <f t="shared" si="12"/>
        <v>0</v>
      </c>
      <c r="BF37" s="232"/>
      <c r="BG37" s="279">
        <f t="shared" si="13"/>
        <v>0</v>
      </c>
      <c r="BH37" s="232"/>
      <c r="BI37" s="279">
        <f t="shared" si="14"/>
        <v>0</v>
      </c>
      <c r="BJ37" s="232"/>
      <c r="BK37" s="279">
        <f t="shared" si="15"/>
        <v>0</v>
      </c>
    </row>
    <row r="38" spans="1:63">
      <c r="A38" s="233">
        <v>34</v>
      </c>
      <c r="B38" s="53" t="str">
        <f>'[8]Linh Kiện'!D40</f>
        <v>R105242</v>
      </c>
      <c r="C38" s="51" t="str">
        <f t="shared" si="1"/>
        <v>XEM</v>
      </c>
      <c r="D38" s="49">
        <f>'[8]Linh Kiện'!E40</f>
        <v>1</v>
      </c>
      <c r="E38" s="195">
        <f>'[8]Linh Kiện'!AK40</f>
        <v>606.47860192307689</v>
      </c>
      <c r="F38" s="196"/>
      <c r="G38" s="196"/>
      <c r="H38" s="196"/>
      <c r="I38" s="196"/>
      <c r="J38" s="196"/>
      <c r="K38" s="49"/>
      <c r="L38" s="52"/>
      <c r="M38" s="49"/>
      <c r="N38" s="49"/>
      <c r="O38" s="196">
        <v>1</v>
      </c>
      <c r="P38" s="196"/>
      <c r="Q38" s="196"/>
      <c r="R38" s="197">
        <f t="shared" si="2"/>
        <v>1</v>
      </c>
      <c r="S38" s="1"/>
      <c r="T38" s="48">
        <f t="shared" si="3"/>
        <v>0</v>
      </c>
      <c r="U38" s="48">
        <f t="shared" si="3"/>
        <v>0</v>
      </c>
      <c r="V38" s="48">
        <f t="shared" si="3"/>
        <v>0</v>
      </c>
      <c r="W38" s="48">
        <f t="shared" si="3"/>
        <v>0</v>
      </c>
      <c r="X38" s="48">
        <f t="shared" si="3"/>
        <v>0</v>
      </c>
      <c r="Y38" s="48">
        <f t="shared" si="3"/>
        <v>0</v>
      </c>
      <c r="Z38" s="48">
        <f t="shared" si="3"/>
        <v>0</v>
      </c>
      <c r="AA38" s="48">
        <f t="shared" si="3"/>
        <v>0</v>
      </c>
      <c r="AB38" s="48">
        <f t="shared" si="3"/>
        <v>0</v>
      </c>
      <c r="AC38" s="48">
        <f t="shared" si="3"/>
        <v>606.47860192307689</v>
      </c>
      <c r="AD38" s="48">
        <f t="shared" si="3"/>
        <v>0</v>
      </c>
      <c r="AE38" s="48">
        <f t="shared" si="3"/>
        <v>0</v>
      </c>
      <c r="AF38" s="1"/>
      <c r="AG38" s="293" t="e">
        <v>#N/A</v>
      </c>
      <c r="AH38" s="293" t="e">
        <v>#N/A</v>
      </c>
      <c r="AI38" s="293" t="e">
        <v>#N/A</v>
      </c>
      <c r="AJ38" s="293" t="e">
        <v>#N/A</v>
      </c>
      <c r="AK38" s="2" t="e">
        <v>#N/A</v>
      </c>
      <c r="AL38" s="293" t="e">
        <v>#N/A</v>
      </c>
      <c r="AN38" s="232"/>
      <c r="AO38" s="77">
        <f t="shared" si="4"/>
        <v>0</v>
      </c>
      <c r="AP38" s="232"/>
      <c r="AQ38" s="279">
        <f t="shared" si="5"/>
        <v>0</v>
      </c>
      <c r="AR38" s="232"/>
      <c r="AS38" s="279">
        <f t="shared" si="6"/>
        <v>0</v>
      </c>
      <c r="AT38" s="232"/>
      <c r="AU38" s="279">
        <f t="shared" si="7"/>
        <v>0</v>
      </c>
      <c r="AV38" s="232"/>
      <c r="AW38" s="279">
        <f t="shared" si="8"/>
        <v>0</v>
      </c>
      <c r="AX38" s="232"/>
      <c r="AY38" s="279">
        <f t="shared" si="9"/>
        <v>0</v>
      </c>
      <c r="AZ38" s="232"/>
      <c r="BA38" s="279">
        <f t="shared" si="10"/>
        <v>0</v>
      </c>
      <c r="BB38" s="232"/>
      <c r="BC38" s="279">
        <f t="shared" si="11"/>
        <v>0</v>
      </c>
      <c r="BD38" s="232"/>
      <c r="BE38" s="279">
        <f t="shared" si="12"/>
        <v>0</v>
      </c>
      <c r="BF38" s="232"/>
      <c r="BG38" s="279">
        <f t="shared" si="13"/>
        <v>0</v>
      </c>
      <c r="BH38" s="232"/>
      <c r="BI38" s="279">
        <f t="shared" si="14"/>
        <v>0</v>
      </c>
      <c r="BJ38" s="232"/>
      <c r="BK38" s="279">
        <f t="shared" si="15"/>
        <v>0</v>
      </c>
    </row>
    <row r="39" spans="1:63">
      <c r="A39" s="233">
        <v>35</v>
      </c>
      <c r="B39" s="53" t="str">
        <f>'[8]Linh Kiện'!D41</f>
        <v>R477244</v>
      </c>
      <c r="C39" s="51" t="str">
        <f t="shared" si="1"/>
        <v>XEM</v>
      </c>
      <c r="D39" s="49">
        <f>'[8]Linh Kiện'!E41</f>
        <v>1</v>
      </c>
      <c r="E39" s="195">
        <f>'[8]Linh Kiện'!AK41</f>
        <v>1031.8546384615383</v>
      </c>
      <c r="F39" s="196"/>
      <c r="G39" s="196"/>
      <c r="H39" s="196">
        <v>1</v>
      </c>
      <c r="I39" s="196"/>
      <c r="J39" s="196"/>
      <c r="K39" s="49"/>
      <c r="L39" s="52"/>
      <c r="M39" s="49"/>
      <c r="N39" s="49"/>
      <c r="O39" s="196"/>
      <c r="P39" s="196"/>
      <c r="Q39" s="196"/>
      <c r="R39" s="197">
        <f t="shared" si="2"/>
        <v>1</v>
      </c>
      <c r="S39" s="1"/>
      <c r="T39" s="48">
        <f t="shared" si="3"/>
        <v>0</v>
      </c>
      <c r="U39" s="48">
        <f t="shared" si="3"/>
        <v>0</v>
      </c>
      <c r="V39" s="48">
        <f t="shared" si="3"/>
        <v>1031.8546384615383</v>
      </c>
      <c r="W39" s="48">
        <f t="shared" si="3"/>
        <v>0</v>
      </c>
      <c r="X39" s="48">
        <f t="shared" si="3"/>
        <v>0</v>
      </c>
      <c r="Y39" s="48">
        <f t="shared" si="3"/>
        <v>0</v>
      </c>
      <c r="Z39" s="48">
        <f t="shared" si="3"/>
        <v>0</v>
      </c>
      <c r="AA39" s="48">
        <f t="shared" si="3"/>
        <v>0</v>
      </c>
      <c r="AB39" s="48">
        <f t="shared" si="3"/>
        <v>0</v>
      </c>
      <c r="AC39" s="48">
        <f t="shared" si="3"/>
        <v>0</v>
      </c>
      <c r="AD39" s="48">
        <f t="shared" si="3"/>
        <v>0</v>
      </c>
      <c r="AE39" s="48">
        <f t="shared" si="3"/>
        <v>0</v>
      </c>
      <c r="AF39" s="1"/>
      <c r="AG39" s="293" t="e">
        <v>#N/A</v>
      </c>
      <c r="AH39" s="293" t="e">
        <v>#N/A</v>
      </c>
      <c r="AI39" s="293" t="e">
        <v>#N/A</v>
      </c>
      <c r="AJ39" s="293" t="e">
        <v>#N/A</v>
      </c>
      <c r="AK39" s="2" t="e">
        <v>#N/A</v>
      </c>
      <c r="AL39" s="293" t="e">
        <v>#N/A</v>
      </c>
      <c r="AN39" s="232"/>
      <c r="AO39" s="77">
        <f t="shared" si="4"/>
        <v>0</v>
      </c>
      <c r="AP39" s="232"/>
      <c r="AQ39" s="279">
        <f t="shared" si="5"/>
        <v>0</v>
      </c>
      <c r="AR39" s="232"/>
      <c r="AS39" s="279">
        <f t="shared" si="6"/>
        <v>0</v>
      </c>
      <c r="AT39" s="232"/>
      <c r="AU39" s="279">
        <f t="shared" si="7"/>
        <v>0</v>
      </c>
      <c r="AV39" s="232"/>
      <c r="AW39" s="279">
        <f t="shared" si="8"/>
        <v>0</v>
      </c>
      <c r="AX39" s="232"/>
      <c r="AY39" s="279">
        <f t="shared" si="9"/>
        <v>0</v>
      </c>
      <c r="AZ39" s="232"/>
      <c r="BA39" s="279">
        <f t="shared" si="10"/>
        <v>0</v>
      </c>
      <c r="BB39" s="232"/>
      <c r="BC39" s="279">
        <f t="shared" si="11"/>
        <v>0</v>
      </c>
      <c r="BD39" s="232"/>
      <c r="BE39" s="279">
        <f t="shared" si="12"/>
        <v>0</v>
      </c>
      <c r="BF39" s="232"/>
      <c r="BG39" s="279">
        <f t="shared" si="13"/>
        <v>0</v>
      </c>
      <c r="BH39" s="232"/>
      <c r="BI39" s="279">
        <f t="shared" si="14"/>
        <v>0</v>
      </c>
      <c r="BJ39" s="232"/>
      <c r="BK39" s="279">
        <f t="shared" si="15"/>
        <v>0</v>
      </c>
    </row>
    <row r="40" spans="1:63">
      <c r="A40" s="233">
        <v>36</v>
      </c>
      <c r="B40" s="53" t="str">
        <f>'[8]Linh Kiện'!D42</f>
        <v>R058132</v>
      </c>
      <c r="C40" s="51" t="str">
        <f t="shared" si="1"/>
        <v>XEM</v>
      </c>
      <c r="D40" s="49">
        <f>'[8]Linh Kiện'!E42</f>
        <v>1</v>
      </c>
      <c r="E40" s="195">
        <f>'[8]Linh Kiện'!AK42</f>
        <v>674.05523846153847</v>
      </c>
      <c r="F40" s="196">
        <v>1</v>
      </c>
      <c r="G40" s="196"/>
      <c r="H40" s="196"/>
      <c r="I40" s="196"/>
      <c r="J40" s="196"/>
      <c r="K40" s="49"/>
      <c r="L40" s="52"/>
      <c r="M40" s="49"/>
      <c r="N40" s="49"/>
      <c r="O40" s="196"/>
      <c r="P40" s="196"/>
      <c r="Q40" s="196"/>
      <c r="R40" s="197">
        <f t="shared" si="2"/>
        <v>1</v>
      </c>
      <c r="S40" s="1"/>
      <c r="T40" s="48">
        <f t="shared" si="3"/>
        <v>674.05523846153847</v>
      </c>
      <c r="U40" s="48">
        <f t="shared" si="3"/>
        <v>0</v>
      </c>
      <c r="V40" s="48">
        <f t="shared" si="3"/>
        <v>0</v>
      </c>
      <c r="W40" s="48">
        <f t="shared" si="3"/>
        <v>0</v>
      </c>
      <c r="X40" s="48">
        <f t="shared" si="3"/>
        <v>0</v>
      </c>
      <c r="Y40" s="48">
        <f t="shared" si="3"/>
        <v>0</v>
      </c>
      <c r="Z40" s="48">
        <f t="shared" si="3"/>
        <v>0</v>
      </c>
      <c r="AA40" s="48">
        <f t="shared" si="3"/>
        <v>0</v>
      </c>
      <c r="AB40" s="48">
        <f t="shared" si="3"/>
        <v>0</v>
      </c>
      <c r="AC40" s="48">
        <f t="shared" si="3"/>
        <v>0</v>
      </c>
      <c r="AD40" s="48">
        <f t="shared" si="3"/>
        <v>0</v>
      </c>
      <c r="AE40" s="48">
        <f t="shared" si="3"/>
        <v>0</v>
      </c>
      <c r="AF40" s="1"/>
      <c r="AG40" s="293" t="e">
        <v>#N/A</v>
      </c>
      <c r="AH40" s="293" t="e">
        <v>#N/A</v>
      </c>
      <c r="AI40" s="293" t="e">
        <v>#N/A</v>
      </c>
      <c r="AJ40" s="293" t="e">
        <v>#N/A</v>
      </c>
      <c r="AK40" s="2" t="e">
        <v>#N/A</v>
      </c>
      <c r="AL40" s="293" t="e">
        <v>#N/A</v>
      </c>
      <c r="AN40" s="232"/>
      <c r="AO40" s="77">
        <f t="shared" si="4"/>
        <v>0</v>
      </c>
      <c r="AP40" s="232"/>
      <c r="AQ40" s="279">
        <f t="shared" si="5"/>
        <v>0</v>
      </c>
      <c r="AR40" s="232"/>
      <c r="AS40" s="279">
        <f t="shared" si="6"/>
        <v>0</v>
      </c>
      <c r="AT40" s="232"/>
      <c r="AU40" s="279">
        <f t="shared" si="7"/>
        <v>0</v>
      </c>
      <c r="AV40" s="232"/>
      <c r="AW40" s="279">
        <f t="shared" si="8"/>
        <v>0</v>
      </c>
      <c r="AX40" s="232"/>
      <c r="AY40" s="279">
        <f t="shared" si="9"/>
        <v>0</v>
      </c>
      <c r="AZ40" s="232"/>
      <c r="BA40" s="279">
        <f t="shared" si="10"/>
        <v>0</v>
      </c>
      <c r="BB40" s="232"/>
      <c r="BC40" s="279">
        <f t="shared" si="11"/>
        <v>0</v>
      </c>
      <c r="BD40" s="232"/>
      <c r="BE40" s="279">
        <f t="shared" si="12"/>
        <v>0</v>
      </c>
      <c r="BF40" s="232"/>
      <c r="BG40" s="279">
        <f t="shared" si="13"/>
        <v>0</v>
      </c>
      <c r="BH40" s="232"/>
      <c r="BI40" s="279">
        <f t="shared" si="14"/>
        <v>0</v>
      </c>
      <c r="BJ40" s="232"/>
      <c r="BK40" s="279">
        <f t="shared" si="15"/>
        <v>0</v>
      </c>
    </row>
    <row r="41" spans="1:63">
      <c r="A41" s="233">
        <v>37</v>
      </c>
      <c r="B41" s="53" t="str">
        <f>'[8]Linh Kiện'!D43</f>
        <v>R408691</v>
      </c>
      <c r="C41" s="51" t="str">
        <f t="shared" si="1"/>
        <v>XEM</v>
      </c>
      <c r="D41" s="49">
        <f>'[8]Linh Kiện'!E43</f>
        <v>1</v>
      </c>
      <c r="E41" s="195">
        <f>'[8]Linh Kiện'!AK43</f>
        <v>413.76023846153851</v>
      </c>
      <c r="F41" s="196"/>
      <c r="G41" s="196"/>
      <c r="H41" s="196">
        <v>1</v>
      </c>
      <c r="I41" s="196"/>
      <c r="J41" s="196"/>
      <c r="K41" s="49"/>
      <c r="L41" s="52"/>
      <c r="M41" s="196"/>
      <c r="N41" s="49"/>
      <c r="O41" s="196"/>
      <c r="P41" s="196"/>
      <c r="Q41" s="196"/>
      <c r="R41" s="197">
        <f t="shared" si="2"/>
        <v>1</v>
      </c>
      <c r="S41" s="1"/>
      <c r="T41" s="48">
        <f t="shared" ref="T41:AE62" si="16">$E41*F41</f>
        <v>0</v>
      </c>
      <c r="U41" s="48">
        <f t="shared" si="16"/>
        <v>0</v>
      </c>
      <c r="V41" s="48">
        <f t="shared" si="16"/>
        <v>413.76023846153851</v>
      </c>
      <c r="W41" s="48">
        <f t="shared" si="16"/>
        <v>0</v>
      </c>
      <c r="X41" s="48">
        <f t="shared" si="16"/>
        <v>0</v>
      </c>
      <c r="Y41" s="48">
        <f t="shared" si="16"/>
        <v>0</v>
      </c>
      <c r="Z41" s="48">
        <f t="shared" si="16"/>
        <v>0</v>
      </c>
      <c r="AA41" s="48">
        <f t="shared" si="16"/>
        <v>0</v>
      </c>
      <c r="AB41" s="48">
        <f t="shared" si="16"/>
        <v>0</v>
      </c>
      <c r="AC41" s="48">
        <f t="shared" si="16"/>
        <v>0</v>
      </c>
      <c r="AD41" s="48">
        <f t="shared" si="16"/>
        <v>0</v>
      </c>
      <c r="AE41" s="48">
        <f t="shared" si="16"/>
        <v>0</v>
      </c>
      <c r="AF41" s="1"/>
      <c r="AG41" s="293" t="e">
        <v>#N/A</v>
      </c>
      <c r="AH41" s="293" t="e">
        <v>#N/A</v>
      </c>
      <c r="AI41" s="293" t="e">
        <v>#N/A</v>
      </c>
      <c r="AJ41" s="293" t="e">
        <v>#N/A</v>
      </c>
      <c r="AK41" s="2" t="e">
        <v>#N/A</v>
      </c>
      <c r="AL41" s="293" t="e">
        <v>#N/A</v>
      </c>
      <c r="AN41" s="232"/>
      <c r="AO41" s="77">
        <f t="shared" si="4"/>
        <v>0</v>
      </c>
      <c r="AP41" s="232"/>
      <c r="AQ41" s="279">
        <f t="shared" si="5"/>
        <v>0</v>
      </c>
      <c r="AR41" s="232"/>
      <c r="AS41" s="279">
        <f t="shared" si="6"/>
        <v>0</v>
      </c>
      <c r="AT41" s="232"/>
      <c r="AU41" s="279">
        <f t="shared" si="7"/>
        <v>0</v>
      </c>
      <c r="AV41" s="232"/>
      <c r="AW41" s="279">
        <f t="shared" si="8"/>
        <v>0</v>
      </c>
      <c r="AX41" s="232"/>
      <c r="AY41" s="279">
        <f t="shared" si="9"/>
        <v>0</v>
      </c>
      <c r="AZ41" s="232"/>
      <c r="BA41" s="279">
        <f t="shared" si="10"/>
        <v>0</v>
      </c>
      <c r="BB41" s="232"/>
      <c r="BC41" s="279">
        <f t="shared" si="11"/>
        <v>0</v>
      </c>
      <c r="BD41" s="232"/>
      <c r="BE41" s="279">
        <f t="shared" si="12"/>
        <v>0</v>
      </c>
      <c r="BF41" s="232"/>
      <c r="BG41" s="279">
        <f t="shared" si="13"/>
        <v>0</v>
      </c>
      <c r="BH41" s="232"/>
      <c r="BI41" s="279">
        <f t="shared" si="14"/>
        <v>0</v>
      </c>
      <c r="BJ41" s="232"/>
      <c r="BK41" s="279">
        <f t="shared" si="15"/>
        <v>0</v>
      </c>
    </row>
    <row r="42" spans="1:63">
      <c r="A42" s="233">
        <v>38</v>
      </c>
      <c r="B42" s="53" t="str">
        <f>'[8]Linh Kiện'!D44</f>
        <v>R029206</v>
      </c>
      <c r="C42" s="51" t="str">
        <f t="shared" si="1"/>
        <v>XEM</v>
      </c>
      <c r="D42" s="49">
        <f>'[8]Linh Kiện'!E44</f>
        <v>1</v>
      </c>
      <c r="E42" s="195">
        <f>'[8]Linh Kiện'!AK44</f>
        <v>385.88560000000001</v>
      </c>
      <c r="F42" s="196"/>
      <c r="G42" s="196"/>
      <c r="H42" s="196"/>
      <c r="I42" s="196"/>
      <c r="J42" s="196"/>
      <c r="K42" s="196"/>
      <c r="L42" s="49">
        <v>1</v>
      </c>
      <c r="M42" s="196"/>
      <c r="N42" s="49"/>
      <c r="O42" s="49"/>
      <c r="P42" s="196"/>
      <c r="Q42" s="196"/>
      <c r="R42" s="197">
        <f t="shared" si="2"/>
        <v>1</v>
      </c>
      <c r="S42" s="1"/>
      <c r="T42" s="48">
        <f t="shared" si="16"/>
        <v>0</v>
      </c>
      <c r="U42" s="48">
        <f t="shared" si="16"/>
        <v>0</v>
      </c>
      <c r="V42" s="48">
        <f t="shared" si="16"/>
        <v>0</v>
      </c>
      <c r="W42" s="48">
        <f t="shared" si="16"/>
        <v>0</v>
      </c>
      <c r="X42" s="48">
        <f t="shared" si="16"/>
        <v>0</v>
      </c>
      <c r="Y42" s="48">
        <f t="shared" si="16"/>
        <v>0</v>
      </c>
      <c r="Z42" s="48">
        <f t="shared" si="16"/>
        <v>385.88560000000001</v>
      </c>
      <c r="AA42" s="48">
        <f t="shared" si="16"/>
        <v>0</v>
      </c>
      <c r="AB42" s="48">
        <f t="shared" si="16"/>
        <v>0</v>
      </c>
      <c r="AC42" s="48">
        <f t="shared" si="16"/>
        <v>0</v>
      </c>
      <c r="AD42" s="48">
        <f t="shared" si="16"/>
        <v>0</v>
      </c>
      <c r="AE42" s="48">
        <f t="shared" si="16"/>
        <v>0</v>
      </c>
      <c r="AF42" s="1"/>
      <c r="AG42" s="377" t="e">
        <v>#N/A</v>
      </c>
      <c r="AH42" s="293" t="e">
        <v>#N/A</v>
      </c>
      <c r="AI42" s="293" t="e">
        <v>#N/A</v>
      </c>
      <c r="AJ42" s="293" t="e">
        <v>#N/A</v>
      </c>
      <c r="AK42" s="2" t="e">
        <v>#N/A</v>
      </c>
      <c r="AL42" s="293" t="e">
        <v>#N/A</v>
      </c>
      <c r="AN42" s="232"/>
      <c r="AO42" s="77">
        <f t="shared" si="4"/>
        <v>0</v>
      </c>
      <c r="AP42" s="232"/>
      <c r="AQ42" s="279">
        <f t="shared" si="5"/>
        <v>0</v>
      </c>
      <c r="AR42" s="232"/>
      <c r="AS42" s="279">
        <f t="shared" si="6"/>
        <v>0</v>
      </c>
      <c r="AT42" s="232"/>
      <c r="AU42" s="279">
        <f t="shared" si="7"/>
        <v>0</v>
      </c>
      <c r="AV42" s="232"/>
      <c r="AW42" s="279">
        <f t="shared" si="8"/>
        <v>0</v>
      </c>
      <c r="AX42" s="232"/>
      <c r="AY42" s="279">
        <f t="shared" si="9"/>
        <v>0</v>
      </c>
      <c r="AZ42" s="232"/>
      <c r="BA42" s="279">
        <f t="shared" si="10"/>
        <v>0</v>
      </c>
      <c r="BB42" s="232"/>
      <c r="BC42" s="279">
        <f t="shared" si="11"/>
        <v>0</v>
      </c>
      <c r="BD42" s="232"/>
      <c r="BE42" s="279">
        <f t="shared" si="12"/>
        <v>0</v>
      </c>
      <c r="BF42" s="232"/>
      <c r="BG42" s="279">
        <f t="shared" si="13"/>
        <v>0</v>
      </c>
      <c r="BH42" s="232"/>
      <c r="BI42" s="279">
        <f t="shared" si="14"/>
        <v>0</v>
      </c>
      <c r="BJ42" s="232"/>
      <c r="BK42" s="279">
        <f t="shared" si="15"/>
        <v>0</v>
      </c>
    </row>
    <row r="43" spans="1:63">
      <c r="A43" s="233">
        <v>39</v>
      </c>
      <c r="B43" s="53" t="str">
        <f>'[8]Linh Kiện'!D45</f>
        <v>R487257</v>
      </c>
      <c r="C43" s="51" t="str">
        <f t="shared" si="1"/>
        <v>XEM</v>
      </c>
      <c r="D43" s="49">
        <f>'[8]Linh Kiện'!E45</f>
        <v>1</v>
      </c>
      <c r="E43" s="195">
        <f>'[8]Linh Kiện'!AK45</f>
        <v>682.02214807692303</v>
      </c>
      <c r="F43" s="196"/>
      <c r="G43" s="196"/>
      <c r="H43" s="196"/>
      <c r="I43" s="196"/>
      <c r="J43" s="196"/>
      <c r="K43" s="196"/>
      <c r="L43" s="49"/>
      <c r="M43" s="196">
        <v>1</v>
      </c>
      <c r="N43" s="49"/>
      <c r="O43" s="49"/>
      <c r="P43" s="196"/>
      <c r="Q43" s="196"/>
      <c r="R43" s="197">
        <f t="shared" si="2"/>
        <v>1</v>
      </c>
      <c r="S43" s="1"/>
      <c r="T43" s="48">
        <f t="shared" si="16"/>
        <v>0</v>
      </c>
      <c r="U43" s="48">
        <f t="shared" si="16"/>
        <v>0</v>
      </c>
      <c r="V43" s="48">
        <f t="shared" si="16"/>
        <v>0</v>
      </c>
      <c r="W43" s="48">
        <f t="shared" si="16"/>
        <v>0</v>
      </c>
      <c r="X43" s="48">
        <f t="shared" si="16"/>
        <v>0</v>
      </c>
      <c r="Y43" s="48">
        <f t="shared" si="16"/>
        <v>0</v>
      </c>
      <c r="Z43" s="48">
        <f t="shared" si="16"/>
        <v>0</v>
      </c>
      <c r="AA43" s="48">
        <f t="shared" si="16"/>
        <v>682.02214807692303</v>
      </c>
      <c r="AB43" s="48">
        <f t="shared" si="16"/>
        <v>0</v>
      </c>
      <c r="AC43" s="48">
        <f t="shared" si="16"/>
        <v>0</v>
      </c>
      <c r="AD43" s="48">
        <f t="shared" si="16"/>
        <v>0</v>
      </c>
      <c r="AE43" s="48">
        <f t="shared" si="16"/>
        <v>0</v>
      </c>
      <c r="AF43" s="1"/>
      <c r="AG43" s="376" t="s">
        <v>581</v>
      </c>
      <c r="AH43" s="372">
        <v>1</v>
      </c>
      <c r="AI43" s="293">
        <v>1</v>
      </c>
      <c r="AJ43" s="293" t="s">
        <v>108</v>
      </c>
      <c r="AK43" s="2"/>
      <c r="AL43" s="293" t="s">
        <v>582</v>
      </c>
      <c r="AM43" t="s">
        <v>861</v>
      </c>
      <c r="AN43" s="232"/>
      <c r="AO43" s="77">
        <f t="shared" si="4"/>
        <v>0</v>
      </c>
      <c r="AP43" s="232"/>
      <c r="AQ43" s="279">
        <f t="shared" si="5"/>
        <v>0</v>
      </c>
      <c r="AR43" s="232"/>
      <c r="AS43" s="279">
        <f t="shared" si="6"/>
        <v>0</v>
      </c>
      <c r="AT43" s="232"/>
      <c r="AU43" s="279">
        <f t="shared" si="7"/>
        <v>0</v>
      </c>
      <c r="AV43" s="232"/>
      <c r="AW43" s="279">
        <f t="shared" si="8"/>
        <v>0</v>
      </c>
      <c r="AX43" s="232"/>
      <c r="AY43" s="279">
        <f t="shared" si="9"/>
        <v>0</v>
      </c>
      <c r="AZ43" s="232"/>
      <c r="BA43" s="279">
        <f t="shared" si="10"/>
        <v>0</v>
      </c>
      <c r="BB43" s="232"/>
      <c r="BC43" s="279">
        <f t="shared" si="11"/>
        <v>0</v>
      </c>
      <c r="BD43" s="232"/>
      <c r="BE43" s="279">
        <f t="shared" si="12"/>
        <v>0</v>
      </c>
      <c r="BF43" s="232"/>
      <c r="BG43" s="279">
        <f t="shared" si="13"/>
        <v>0</v>
      </c>
      <c r="BH43" s="232"/>
      <c r="BI43" s="279">
        <f t="shared" si="14"/>
        <v>0</v>
      </c>
      <c r="BJ43" s="232"/>
      <c r="BK43" s="279">
        <f t="shared" si="15"/>
        <v>0</v>
      </c>
    </row>
    <row r="44" spans="1:63">
      <c r="A44" s="233">
        <v>40</v>
      </c>
      <c r="B44" s="53" t="str">
        <f>'[8]Linh Kiện'!D46</f>
        <v>R568495</v>
      </c>
      <c r="C44" s="51" t="str">
        <f t="shared" si="1"/>
        <v>XEM</v>
      </c>
      <c r="D44" s="49">
        <f>'[8]Linh Kiện'!E46</f>
        <v>1</v>
      </c>
      <c r="E44" s="195">
        <f>'[8]Linh Kiện'!AK46</f>
        <v>461.03329423076923</v>
      </c>
      <c r="F44" s="196"/>
      <c r="G44" s="196"/>
      <c r="H44" s="196">
        <v>1</v>
      </c>
      <c r="I44" s="196"/>
      <c r="J44" s="196"/>
      <c r="K44" s="196"/>
      <c r="L44" s="49"/>
      <c r="M44" s="196"/>
      <c r="N44" s="49"/>
      <c r="O44" s="49"/>
      <c r="P44" s="196"/>
      <c r="Q44" s="196"/>
      <c r="R44" s="197">
        <f t="shared" si="2"/>
        <v>1</v>
      </c>
      <c r="S44" s="1"/>
      <c r="T44" s="48">
        <f t="shared" si="16"/>
        <v>0</v>
      </c>
      <c r="U44" s="48">
        <f t="shared" si="16"/>
        <v>0</v>
      </c>
      <c r="V44" s="48">
        <f t="shared" si="16"/>
        <v>461.03329423076923</v>
      </c>
      <c r="W44" s="48">
        <f t="shared" si="16"/>
        <v>0</v>
      </c>
      <c r="X44" s="48">
        <f t="shared" si="16"/>
        <v>0</v>
      </c>
      <c r="Y44" s="48">
        <f t="shared" si="16"/>
        <v>0</v>
      </c>
      <c r="Z44" s="48">
        <f t="shared" si="16"/>
        <v>0</v>
      </c>
      <c r="AA44" s="48">
        <f t="shared" si="16"/>
        <v>0</v>
      </c>
      <c r="AB44" s="48">
        <f t="shared" si="16"/>
        <v>0</v>
      </c>
      <c r="AC44" s="48">
        <f t="shared" si="16"/>
        <v>0</v>
      </c>
      <c r="AD44" s="48">
        <f t="shared" si="16"/>
        <v>0</v>
      </c>
      <c r="AE44" s="48">
        <f t="shared" si="16"/>
        <v>0</v>
      </c>
      <c r="AF44" s="1"/>
      <c r="AG44" s="384" t="e">
        <v>#N/A</v>
      </c>
      <c r="AH44" s="293" t="e">
        <v>#N/A</v>
      </c>
      <c r="AI44" s="293" t="e">
        <v>#N/A</v>
      </c>
      <c r="AJ44" s="293" t="e">
        <v>#N/A</v>
      </c>
      <c r="AK44" s="2" t="e">
        <v>#N/A</v>
      </c>
      <c r="AL44" s="293" t="e">
        <v>#N/A</v>
      </c>
      <c r="AN44" s="232"/>
      <c r="AO44" s="77">
        <f t="shared" si="4"/>
        <v>0</v>
      </c>
      <c r="AP44" s="232"/>
      <c r="AQ44" s="279">
        <f t="shared" si="5"/>
        <v>0</v>
      </c>
      <c r="AR44" s="232"/>
      <c r="AS44" s="279">
        <f t="shared" si="6"/>
        <v>0</v>
      </c>
      <c r="AT44" s="232"/>
      <c r="AU44" s="279">
        <f t="shared" si="7"/>
        <v>0</v>
      </c>
      <c r="AV44" s="232"/>
      <c r="AW44" s="279">
        <f t="shared" si="8"/>
        <v>0</v>
      </c>
      <c r="AX44" s="232"/>
      <c r="AY44" s="279">
        <f t="shared" si="9"/>
        <v>0</v>
      </c>
      <c r="AZ44" s="232"/>
      <c r="BA44" s="279">
        <f t="shared" si="10"/>
        <v>0</v>
      </c>
      <c r="BB44" s="232"/>
      <c r="BC44" s="279">
        <f t="shared" si="11"/>
        <v>0</v>
      </c>
      <c r="BD44" s="232"/>
      <c r="BE44" s="279">
        <f t="shared" si="12"/>
        <v>0</v>
      </c>
      <c r="BF44" s="232"/>
      <c r="BG44" s="279">
        <f t="shared" si="13"/>
        <v>0</v>
      </c>
      <c r="BH44" s="232"/>
      <c r="BI44" s="279">
        <f t="shared" si="14"/>
        <v>0</v>
      </c>
      <c r="BJ44" s="232"/>
      <c r="BK44" s="279">
        <f t="shared" si="15"/>
        <v>0</v>
      </c>
    </row>
    <row r="45" spans="1:63">
      <c r="A45" s="233">
        <v>41</v>
      </c>
      <c r="B45" s="53" t="str">
        <f>'[8]Linh Kiện'!D47</f>
        <v>R568490</v>
      </c>
      <c r="C45" s="51" t="str">
        <f t="shared" si="1"/>
        <v>XEM</v>
      </c>
      <c r="D45" s="49">
        <f>'[8]Linh Kiện'!E47</f>
        <v>1</v>
      </c>
      <c r="E45" s="195">
        <f>'[8]Linh Kiện'!AK47</f>
        <v>472.8356</v>
      </c>
      <c r="F45" s="196"/>
      <c r="G45" s="196"/>
      <c r="H45" s="196"/>
      <c r="I45" s="196">
        <v>1</v>
      </c>
      <c r="J45" s="196"/>
      <c r="K45" s="196"/>
      <c r="L45" s="49"/>
      <c r="M45" s="196"/>
      <c r="N45" s="196"/>
      <c r="O45" s="49"/>
      <c r="P45" s="196"/>
      <c r="Q45" s="196"/>
      <c r="R45" s="197">
        <f t="shared" si="2"/>
        <v>1</v>
      </c>
      <c r="S45" s="1"/>
      <c r="T45" s="48">
        <f t="shared" si="16"/>
        <v>0</v>
      </c>
      <c r="U45" s="48">
        <f t="shared" si="16"/>
        <v>0</v>
      </c>
      <c r="V45" s="48">
        <f t="shared" si="16"/>
        <v>0</v>
      </c>
      <c r="W45" s="48">
        <f t="shared" si="16"/>
        <v>472.8356</v>
      </c>
      <c r="X45" s="48">
        <f t="shared" si="16"/>
        <v>0</v>
      </c>
      <c r="Y45" s="48">
        <f t="shared" si="16"/>
        <v>0</v>
      </c>
      <c r="Z45" s="48">
        <f t="shared" si="16"/>
        <v>0</v>
      </c>
      <c r="AA45" s="48">
        <f t="shared" si="16"/>
        <v>0</v>
      </c>
      <c r="AB45" s="48">
        <f t="shared" si="16"/>
        <v>0</v>
      </c>
      <c r="AC45" s="48">
        <f t="shared" si="16"/>
        <v>0</v>
      </c>
      <c r="AD45" s="48">
        <f t="shared" si="16"/>
        <v>0</v>
      </c>
      <c r="AE45" s="48">
        <f t="shared" si="16"/>
        <v>0</v>
      </c>
      <c r="AF45" s="1"/>
      <c r="AG45" s="376" t="s">
        <v>583</v>
      </c>
      <c r="AH45" s="372">
        <v>22</v>
      </c>
      <c r="AI45" s="293">
        <v>1</v>
      </c>
      <c r="AJ45" s="298" t="s">
        <v>612</v>
      </c>
      <c r="AK45" s="2"/>
      <c r="AL45" s="293" t="s">
        <v>584</v>
      </c>
      <c r="AM45" t="s">
        <v>613</v>
      </c>
      <c r="AN45" s="232">
        <v>1</v>
      </c>
      <c r="AO45" s="77">
        <f t="shared" si="4"/>
        <v>472.8356</v>
      </c>
      <c r="AP45" s="232"/>
      <c r="AQ45" s="279">
        <f t="shared" si="5"/>
        <v>0</v>
      </c>
      <c r="AR45" s="232"/>
      <c r="AS45" s="279">
        <f t="shared" si="6"/>
        <v>0</v>
      </c>
      <c r="AT45" s="232"/>
      <c r="AU45" s="279">
        <f t="shared" si="7"/>
        <v>0</v>
      </c>
      <c r="AV45" s="232"/>
      <c r="AW45" s="279">
        <f t="shared" si="8"/>
        <v>0</v>
      </c>
      <c r="AX45" s="232"/>
      <c r="AY45" s="279">
        <f t="shared" si="9"/>
        <v>0</v>
      </c>
      <c r="AZ45" s="232"/>
      <c r="BA45" s="279">
        <f t="shared" si="10"/>
        <v>0</v>
      </c>
      <c r="BB45" s="232"/>
      <c r="BC45" s="279">
        <f t="shared" si="11"/>
        <v>0</v>
      </c>
      <c r="BD45" s="232"/>
      <c r="BE45" s="279">
        <f t="shared" si="12"/>
        <v>0</v>
      </c>
      <c r="BF45" s="232"/>
      <c r="BG45" s="279">
        <f t="shared" si="13"/>
        <v>0</v>
      </c>
      <c r="BH45" s="232"/>
      <c r="BI45" s="279">
        <f t="shared" si="14"/>
        <v>0</v>
      </c>
      <c r="BJ45" s="232"/>
      <c r="BK45" s="279">
        <f t="shared" si="15"/>
        <v>0</v>
      </c>
    </row>
    <row r="46" spans="1:63">
      <c r="A46" s="233">
        <v>42</v>
      </c>
      <c r="B46" s="53" t="str">
        <f>'[8]Linh Kiện'!D48</f>
        <v>R104415</v>
      </c>
      <c r="C46" s="51" t="str">
        <f t="shared" si="1"/>
        <v>XEM</v>
      </c>
      <c r="D46" s="49">
        <f>'[8]Linh Kiện'!E48</f>
        <v>1</v>
      </c>
      <c r="E46" s="195">
        <f>'[8]Linh Kiện'!AK48</f>
        <v>931.13343846153839</v>
      </c>
      <c r="F46" s="196"/>
      <c r="G46" s="196"/>
      <c r="H46" s="196"/>
      <c r="I46" s="196"/>
      <c r="J46" s="196"/>
      <c r="K46" s="196"/>
      <c r="L46" s="49"/>
      <c r="M46" s="52"/>
      <c r="N46" s="196"/>
      <c r="O46" s="49"/>
      <c r="P46" s="196"/>
      <c r="Q46" s="196">
        <v>1</v>
      </c>
      <c r="R46" s="197">
        <f t="shared" si="2"/>
        <v>1</v>
      </c>
      <c r="S46" s="1"/>
      <c r="T46" s="48">
        <f t="shared" si="16"/>
        <v>0</v>
      </c>
      <c r="U46" s="48">
        <f t="shared" si="16"/>
        <v>0</v>
      </c>
      <c r="V46" s="48">
        <f t="shared" si="16"/>
        <v>0</v>
      </c>
      <c r="W46" s="48">
        <f t="shared" si="16"/>
        <v>0</v>
      </c>
      <c r="X46" s="48">
        <f t="shared" si="16"/>
        <v>0</v>
      </c>
      <c r="Y46" s="48">
        <f t="shared" si="16"/>
        <v>0</v>
      </c>
      <c r="Z46" s="48">
        <f t="shared" si="16"/>
        <v>0</v>
      </c>
      <c r="AA46" s="48">
        <f t="shared" si="16"/>
        <v>0</v>
      </c>
      <c r="AB46" s="48">
        <f t="shared" si="16"/>
        <v>0</v>
      </c>
      <c r="AC46" s="48">
        <f t="shared" si="16"/>
        <v>0</v>
      </c>
      <c r="AD46" s="48">
        <f t="shared" si="16"/>
        <v>0</v>
      </c>
      <c r="AE46" s="48">
        <f t="shared" si="16"/>
        <v>931.13343846153839</v>
      </c>
      <c r="AF46" s="1"/>
      <c r="AG46" s="384" t="e">
        <v>#N/A</v>
      </c>
      <c r="AH46" s="293" t="e">
        <v>#N/A</v>
      </c>
      <c r="AI46" s="293" t="e">
        <v>#N/A</v>
      </c>
      <c r="AJ46" s="293" t="e">
        <v>#N/A</v>
      </c>
      <c r="AK46" s="2" t="e">
        <v>#N/A</v>
      </c>
      <c r="AL46" s="293" t="e">
        <v>#N/A</v>
      </c>
      <c r="AN46" s="232"/>
      <c r="AO46" s="77">
        <f t="shared" si="4"/>
        <v>0</v>
      </c>
      <c r="AP46" s="232"/>
      <c r="AQ46" s="279">
        <f t="shared" si="5"/>
        <v>0</v>
      </c>
      <c r="AR46" s="232"/>
      <c r="AS46" s="279">
        <f t="shared" si="6"/>
        <v>0</v>
      </c>
      <c r="AT46" s="232"/>
      <c r="AU46" s="279">
        <f t="shared" si="7"/>
        <v>0</v>
      </c>
      <c r="AV46" s="232"/>
      <c r="AW46" s="279">
        <f t="shared" si="8"/>
        <v>0</v>
      </c>
      <c r="AX46" s="232"/>
      <c r="AY46" s="279">
        <f t="shared" si="9"/>
        <v>0</v>
      </c>
      <c r="AZ46" s="232"/>
      <c r="BA46" s="279">
        <f t="shared" si="10"/>
        <v>0</v>
      </c>
      <c r="BB46" s="232"/>
      <c r="BC46" s="279">
        <f t="shared" si="11"/>
        <v>0</v>
      </c>
      <c r="BD46" s="232"/>
      <c r="BE46" s="279">
        <f t="shared" si="12"/>
        <v>0</v>
      </c>
      <c r="BF46" s="232"/>
      <c r="BG46" s="279">
        <f t="shared" si="13"/>
        <v>0</v>
      </c>
      <c r="BH46" s="232"/>
      <c r="BI46" s="279">
        <f t="shared" si="14"/>
        <v>0</v>
      </c>
      <c r="BJ46" s="232"/>
      <c r="BK46" s="279">
        <f t="shared" si="15"/>
        <v>0</v>
      </c>
    </row>
    <row r="47" spans="1:63">
      <c r="A47" s="233">
        <v>43</v>
      </c>
      <c r="B47" s="53" t="str">
        <f>'[8]Linh Kiện'!D49</f>
        <v>S933608</v>
      </c>
      <c r="C47" s="51" t="str">
        <f t="shared" si="1"/>
        <v>XEM</v>
      </c>
      <c r="D47" s="49">
        <f>'[8]Linh Kiện'!E49</f>
        <v>2</v>
      </c>
      <c r="E47" s="195">
        <f>'[8]Linh Kiện'!AK49</f>
        <v>56.312638461538427</v>
      </c>
      <c r="F47" s="196"/>
      <c r="G47" s="196"/>
      <c r="H47" s="196"/>
      <c r="I47" s="196">
        <v>1</v>
      </c>
      <c r="J47" s="196"/>
      <c r="K47" s="196"/>
      <c r="L47" s="49"/>
      <c r="M47" s="52">
        <v>1</v>
      </c>
      <c r="N47" s="196"/>
      <c r="O47" s="49"/>
      <c r="P47" s="196"/>
      <c r="Q47" s="196"/>
      <c r="R47" s="197">
        <f t="shared" si="2"/>
        <v>2</v>
      </c>
      <c r="S47" s="1"/>
      <c r="T47" s="48">
        <f t="shared" si="16"/>
        <v>0</v>
      </c>
      <c r="U47" s="48">
        <f t="shared" si="16"/>
        <v>0</v>
      </c>
      <c r="V47" s="48">
        <f t="shared" si="16"/>
        <v>0</v>
      </c>
      <c r="W47" s="48">
        <f t="shared" si="16"/>
        <v>56.312638461538427</v>
      </c>
      <c r="X47" s="48">
        <f t="shared" si="16"/>
        <v>0</v>
      </c>
      <c r="Y47" s="48">
        <f t="shared" si="16"/>
        <v>0</v>
      </c>
      <c r="Z47" s="48">
        <f t="shared" si="16"/>
        <v>0</v>
      </c>
      <c r="AA47" s="48">
        <f t="shared" si="16"/>
        <v>56.312638461538427</v>
      </c>
      <c r="AB47" s="48">
        <f t="shared" si="16"/>
        <v>0</v>
      </c>
      <c r="AC47" s="48">
        <f t="shared" si="16"/>
        <v>0</v>
      </c>
      <c r="AD47" s="48">
        <f t="shared" si="16"/>
        <v>0</v>
      </c>
      <c r="AE47" s="48">
        <f t="shared" si="16"/>
        <v>0</v>
      </c>
      <c r="AF47" s="1"/>
      <c r="AG47" s="376" t="s">
        <v>792</v>
      </c>
      <c r="AH47" s="372">
        <v>52</v>
      </c>
      <c r="AI47" s="293">
        <v>1</v>
      </c>
      <c r="AJ47" s="298" t="s">
        <v>356</v>
      </c>
      <c r="AK47" s="2"/>
      <c r="AL47" s="293" t="s">
        <v>585</v>
      </c>
      <c r="AM47" t="s">
        <v>793</v>
      </c>
      <c r="AN47" s="232">
        <v>1</v>
      </c>
      <c r="AO47" s="77">
        <f t="shared" si="4"/>
        <v>56.312638461538427</v>
      </c>
      <c r="AP47" s="232">
        <v>1</v>
      </c>
      <c r="AQ47" s="279">
        <f t="shared" si="5"/>
        <v>56.312638461538427</v>
      </c>
      <c r="AR47" s="232"/>
      <c r="AS47" s="279">
        <f t="shared" si="6"/>
        <v>0</v>
      </c>
      <c r="AT47" s="232"/>
      <c r="AU47" s="279">
        <f t="shared" si="7"/>
        <v>0</v>
      </c>
      <c r="AV47" s="232"/>
      <c r="AW47" s="279">
        <f t="shared" si="8"/>
        <v>0</v>
      </c>
      <c r="AX47" s="232"/>
      <c r="AY47" s="279">
        <f t="shared" si="9"/>
        <v>0</v>
      </c>
      <c r="AZ47" s="232"/>
      <c r="BA47" s="279">
        <f t="shared" si="10"/>
        <v>0</v>
      </c>
      <c r="BB47" s="232"/>
      <c r="BC47" s="279">
        <f t="shared" si="11"/>
        <v>0</v>
      </c>
      <c r="BD47" s="232"/>
      <c r="BE47" s="279">
        <f t="shared" si="12"/>
        <v>0</v>
      </c>
      <c r="BF47" s="232"/>
      <c r="BG47" s="279">
        <f t="shared" si="13"/>
        <v>0</v>
      </c>
      <c r="BH47" s="232"/>
      <c r="BI47" s="279">
        <f t="shared" si="14"/>
        <v>0</v>
      </c>
      <c r="BJ47" s="232"/>
      <c r="BK47" s="279">
        <f t="shared" si="15"/>
        <v>0</v>
      </c>
    </row>
    <row r="48" spans="1:63">
      <c r="A48" s="233">
        <v>44</v>
      </c>
      <c r="B48" s="53" t="str">
        <f>'[8]Linh Kiện'!D50</f>
        <v>R058142</v>
      </c>
      <c r="C48" s="51" t="str">
        <f t="shared" si="1"/>
        <v>XEM</v>
      </c>
      <c r="D48" s="49">
        <f>'[8]Linh Kiện'!E50</f>
        <v>1</v>
      </c>
      <c r="E48" s="195">
        <f>'[8]Linh Kiện'!AK50</f>
        <v>593.99003846153846</v>
      </c>
      <c r="F48" s="196"/>
      <c r="G48" s="196"/>
      <c r="H48" s="196"/>
      <c r="I48" s="196"/>
      <c r="J48" s="196"/>
      <c r="K48" s="196"/>
      <c r="L48" s="49"/>
      <c r="M48" s="52"/>
      <c r="N48" s="196"/>
      <c r="O48" s="49">
        <v>1</v>
      </c>
      <c r="P48" s="49"/>
      <c r="Q48" s="196"/>
      <c r="R48" s="197">
        <f t="shared" si="2"/>
        <v>1</v>
      </c>
      <c r="S48" s="1"/>
      <c r="T48" s="48">
        <f t="shared" si="16"/>
        <v>0</v>
      </c>
      <c r="U48" s="48">
        <f t="shared" si="16"/>
        <v>0</v>
      </c>
      <c r="V48" s="48">
        <f t="shared" si="16"/>
        <v>0</v>
      </c>
      <c r="W48" s="48">
        <f t="shared" si="16"/>
        <v>0</v>
      </c>
      <c r="X48" s="48">
        <f t="shared" si="16"/>
        <v>0</v>
      </c>
      <c r="Y48" s="48">
        <f t="shared" si="16"/>
        <v>0</v>
      </c>
      <c r="Z48" s="48">
        <f t="shared" si="16"/>
        <v>0</v>
      </c>
      <c r="AA48" s="48">
        <f t="shared" si="16"/>
        <v>0</v>
      </c>
      <c r="AB48" s="48">
        <f t="shared" si="16"/>
        <v>0</v>
      </c>
      <c r="AC48" s="48">
        <f t="shared" si="16"/>
        <v>593.99003846153846</v>
      </c>
      <c r="AD48" s="48">
        <f t="shared" si="16"/>
        <v>0</v>
      </c>
      <c r="AE48" s="48">
        <f t="shared" si="16"/>
        <v>0</v>
      </c>
      <c r="AF48" s="1"/>
      <c r="AG48" s="384" t="e">
        <v>#N/A</v>
      </c>
      <c r="AH48" s="293" t="e">
        <v>#N/A</v>
      </c>
      <c r="AI48" s="293" t="e">
        <v>#N/A</v>
      </c>
      <c r="AJ48" s="293" t="e">
        <v>#N/A</v>
      </c>
      <c r="AK48" s="2" t="e">
        <v>#N/A</v>
      </c>
      <c r="AL48" s="293" t="e">
        <v>#N/A</v>
      </c>
      <c r="AN48" s="232"/>
      <c r="AO48" s="77">
        <f t="shared" si="4"/>
        <v>0</v>
      </c>
      <c r="AP48" s="232"/>
      <c r="AQ48" s="279">
        <f t="shared" si="5"/>
        <v>0</v>
      </c>
      <c r="AR48" s="232"/>
      <c r="AS48" s="279">
        <f t="shared" si="6"/>
        <v>0</v>
      </c>
      <c r="AT48" s="232"/>
      <c r="AU48" s="279">
        <f t="shared" si="7"/>
        <v>0</v>
      </c>
      <c r="AV48" s="232"/>
      <c r="AW48" s="279">
        <f t="shared" si="8"/>
        <v>0</v>
      </c>
      <c r="AX48" s="232"/>
      <c r="AY48" s="279">
        <f t="shared" si="9"/>
        <v>0</v>
      </c>
      <c r="AZ48" s="232"/>
      <c r="BA48" s="279">
        <f t="shared" si="10"/>
        <v>0</v>
      </c>
      <c r="BB48" s="232"/>
      <c r="BC48" s="279">
        <f t="shared" si="11"/>
        <v>0</v>
      </c>
      <c r="BD48" s="232"/>
      <c r="BE48" s="279">
        <f t="shared" si="12"/>
        <v>0</v>
      </c>
      <c r="BF48" s="232"/>
      <c r="BG48" s="279">
        <f t="shared" si="13"/>
        <v>0</v>
      </c>
      <c r="BH48" s="232"/>
      <c r="BI48" s="279">
        <f t="shared" si="14"/>
        <v>0</v>
      </c>
      <c r="BJ48" s="232"/>
      <c r="BK48" s="279">
        <f t="shared" si="15"/>
        <v>0</v>
      </c>
    </row>
    <row r="49" spans="1:63">
      <c r="A49" s="233">
        <v>45</v>
      </c>
      <c r="B49" s="53" t="str">
        <f>'[8]Linh Kiện'!D51</f>
        <v>S856500</v>
      </c>
      <c r="C49" s="51" t="str">
        <f t="shared" si="1"/>
        <v>XEM</v>
      </c>
      <c r="D49" s="49">
        <f>'[8]Linh Kiện'!E51</f>
        <v>1</v>
      </c>
      <c r="E49" s="195">
        <f>'[8]Linh Kiện'!AK51</f>
        <v>436.49643846153845</v>
      </c>
      <c r="F49" s="196"/>
      <c r="G49" s="196"/>
      <c r="H49" s="196"/>
      <c r="I49" s="196"/>
      <c r="J49" s="196">
        <v>1</v>
      </c>
      <c r="K49" s="196"/>
      <c r="L49" s="49"/>
      <c r="M49" s="52"/>
      <c r="N49" s="196"/>
      <c r="O49" s="49"/>
      <c r="P49" s="49"/>
      <c r="Q49" s="196"/>
      <c r="R49" s="197">
        <f t="shared" si="2"/>
        <v>1</v>
      </c>
      <c r="S49" s="1"/>
      <c r="T49" s="48">
        <f t="shared" si="16"/>
        <v>0</v>
      </c>
      <c r="U49" s="48">
        <f t="shared" si="16"/>
        <v>0</v>
      </c>
      <c r="V49" s="48">
        <f t="shared" si="16"/>
        <v>0</v>
      </c>
      <c r="W49" s="48">
        <f t="shared" si="16"/>
        <v>0</v>
      </c>
      <c r="X49" s="48">
        <f t="shared" si="16"/>
        <v>436.49643846153845</v>
      </c>
      <c r="Y49" s="48">
        <f t="shared" si="16"/>
        <v>0</v>
      </c>
      <c r="Z49" s="48">
        <f t="shared" si="16"/>
        <v>0</v>
      </c>
      <c r="AA49" s="48">
        <f t="shared" si="16"/>
        <v>0</v>
      </c>
      <c r="AB49" s="48">
        <f t="shared" si="16"/>
        <v>0</v>
      </c>
      <c r="AC49" s="48">
        <f t="shared" si="16"/>
        <v>0</v>
      </c>
      <c r="AD49" s="48">
        <f t="shared" si="16"/>
        <v>0</v>
      </c>
      <c r="AE49" s="48">
        <f t="shared" si="16"/>
        <v>0</v>
      </c>
      <c r="AF49" s="1"/>
      <c r="AG49" s="376" t="s">
        <v>727</v>
      </c>
      <c r="AH49" s="372">
        <v>2</v>
      </c>
      <c r="AI49" s="293">
        <v>1</v>
      </c>
      <c r="AJ49" s="298" t="s">
        <v>356</v>
      </c>
      <c r="AK49" s="2"/>
      <c r="AL49" s="293" t="s">
        <v>586</v>
      </c>
      <c r="AM49" t="s">
        <v>722</v>
      </c>
      <c r="AN49" s="232">
        <v>1</v>
      </c>
      <c r="AO49" s="77">
        <f t="shared" si="4"/>
        <v>436.49643846153845</v>
      </c>
      <c r="AP49" s="232"/>
      <c r="AQ49" s="279">
        <f t="shared" si="5"/>
        <v>0</v>
      </c>
      <c r="AR49" s="232"/>
      <c r="AS49" s="279">
        <f t="shared" si="6"/>
        <v>0</v>
      </c>
      <c r="AT49" s="232"/>
      <c r="AU49" s="279">
        <f t="shared" si="7"/>
        <v>0</v>
      </c>
      <c r="AV49" s="232"/>
      <c r="AW49" s="279">
        <f t="shared" si="8"/>
        <v>0</v>
      </c>
      <c r="AX49" s="232"/>
      <c r="AY49" s="279">
        <f t="shared" si="9"/>
        <v>0</v>
      </c>
      <c r="AZ49" s="232"/>
      <c r="BA49" s="279">
        <f t="shared" si="10"/>
        <v>0</v>
      </c>
      <c r="BB49" s="232"/>
      <c r="BC49" s="279">
        <f t="shared" si="11"/>
        <v>0</v>
      </c>
      <c r="BD49" s="232"/>
      <c r="BE49" s="279">
        <f t="shared" si="12"/>
        <v>0</v>
      </c>
      <c r="BF49" s="232"/>
      <c r="BG49" s="279">
        <f t="shared" si="13"/>
        <v>0</v>
      </c>
      <c r="BH49" s="232"/>
      <c r="BI49" s="279">
        <f t="shared" si="14"/>
        <v>0</v>
      </c>
      <c r="BJ49" s="232"/>
      <c r="BK49" s="279">
        <f t="shared" si="15"/>
        <v>0</v>
      </c>
    </row>
    <row r="50" spans="1:63">
      <c r="A50" s="233">
        <v>46</v>
      </c>
      <c r="B50" s="53" t="str">
        <f>'[8]Linh Kiện'!D52</f>
        <v>R477713</v>
      </c>
      <c r="C50" s="51" t="str">
        <f t="shared" si="1"/>
        <v>XEM</v>
      </c>
      <c r="D50" s="49">
        <f>'[8]Linh Kiện'!E52</f>
        <v>1</v>
      </c>
      <c r="E50" s="195">
        <f>'[8]Linh Kiện'!AK52</f>
        <v>976.67003846153852</v>
      </c>
      <c r="F50" s="196">
        <v>1</v>
      </c>
      <c r="G50" s="196"/>
      <c r="H50" s="196"/>
      <c r="I50" s="196"/>
      <c r="J50" s="49"/>
      <c r="K50" s="196"/>
      <c r="L50" s="49"/>
      <c r="M50" s="52"/>
      <c r="N50" s="196"/>
      <c r="O50" s="49"/>
      <c r="P50" s="49"/>
      <c r="Q50" s="196"/>
      <c r="R50" s="197">
        <f t="shared" si="2"/>
        <v>1</v>
      </c>
      <c r="S50" s="1"/>
      <c r="T50" s="48">
        <f t="shared" si="16"/>
        <v>976.67003846153852</v>
      </c>
      <c r="U50" s="48">
        <f t="shared" si="16"/>
        <v>0</v>
      </c>
      <c r="V50" s="48">
        <f t="shared" si="16"/>
        <v>0</v>
      </c>
      <c r="W50" s="48">
        <f t="shared" si="16"/>
        <v>0</v>
      </c>
      <c r="X50" s="48">
        <f t="shared" si="16"/>
        <v>0</v>
      </c>
      <c r="Y50" s="48">
        <f t="shared" si="16"/>
        <v>0</v>
      </c>
      <c r="Z50" s="48">
        <f t="shared" si="16"/>
        <v>0</v>
      </c>
      <c r="AA50" s="48">
        <f t="shared" si="16"/>
        <v>0</v>
      </c>
      <c r="AB50" s="48">
        <f t="shared" si="16"/>
        <v>0</v>
      </c>
      <c r="AC50" s="48">
        <f t="shared" si="16"/>
        <v>0</v>
      </c>
      <c r="AD50" s="48">
        <f t="shared" si="16"/>
        <v>0</v>
      </c>
      <c r="AE50" s="48">
        <f t="shared" si="16"/>
        <v>0</v>
      </c>
      <c r="AF50" s="1"/>
      <c r="AG50" s="378" t="e">
        <v>#N/A</v>
      </c>
      <c r="AH50" s="293" t="e">
        <v>#N/A</v>
      </c>
      <c r="AI50" s="293" t="e">
        <v>#N/A</v>
      </c>
      <c r="AJ50" s="293" t="e">
        <v>#N/A</v>
      </c>
      <c r="AK50" s="2" t="e">
        <v>#N/A</v>
      </c>
      <c r="AL50" s="293" t="e">
        <v>#N/A</v>
      </c>
      <c r="AN50" s="232"/>
      <c r="AO50" s="77">
        <f t="shared" si="4"/>
        <v>0</v>
      </c>
      <c r="AP50" s="232"/>
      <c r="AQ50" s="279">
        <f t="shared" si="5"/>
        <v>0</v>
      </c>
      <c r="AR50" s="232"/>
      <c r="AS50" s="279">
        <f t="shared" si="6"/>
        <v>0</v>
      </c>
      <c r="AT50" s="232"/>
      <c r="AU50" s="279">
        <f t="shared" si="7"/>
        <v>0</v>
      </c>
      <c r="AV50" s="232"/>
      <c r="AW50" s="279">
        <f t="shared" si="8"/>
        <v>0</v>
      </c>
      <c r="AX50" s="232"/>
      <c r="AY50" s="279">
        <f t="shared" si="9"/>
        <v>0</v>
      </c>
      <c r="AZ50" s="232"/>
      <c r="BA50" s="279">
        <f t="shared" si="10"/>
        <v>0</v>
      </c>
      <c r="BB50" s="232"/>
      <c r="BC50" s="279">
        <f t="shared" si="11"/>
        <v>0</v>
      </c>
      <c r="BD50" s="232"/>
      <c r="BE50" s="279">
        <f t="shared" si="12"/>
        <v>0</v>
      </c>
      <c r="BF50" s="232"/>
      <c r="BG50" s="279">
        <f t="shared" si="13"/>
        <v>0</v>
      </c>
      <c r="BH50" s="232"/>
      <c r="BI50" s="279">
        <f t="shared" si="14"/>
        <v>0</v>
      </c>
      <c r="BJ50" s="232"/>
      <c r="BK50" s="279">
        <f t="shared" si="15"/>
        <v>0</v>
      </c>
    </row>
    <row r="51" spans="1:63">
      <c r="A51" s="233">
        <v>47</v>
      </c>
      <c r="B51" s="53" t="str">
        <f>'[8]Linh Kiện'!D53</f>
        <v>R551914</v>
      </c>
      <c r="C51" s="51" t="str">
        <f t="shared" si="1"/>
        <v>XEM</v>
      </c>
      <c r="D51" s="49">
        <f>'[8]Linh Kiện'!E53</f>
        <v>1</v>
      </c>
      <c r="E51" s="195">
        <f>'[8]Linh Kiện'!AK53</f>
        <v>427.74080000000004</v>
      </c>
      <c r="F51" s="196"/>
      <c r="G51" s="196"/>
      <c r="H51" s="196"/>
      <c r="I51" s="196"/>
      <c r="J51" s="196"/>
      <c r="K51" s="196"/>
      <c r="L51" s="196"/>
      <c r="M51" s="49">
        <v>1</v>
      </c>
      <c r="N51" s="196"/>
      <c r="O51" s="196"/>
      <c r="P51" s="49"/>
      <c r="Q51" s="196"/>
      <c r="R51" s="197">
        <f t="shared" si="2"/>
        <v>1</v>
      </c>
      <c r="S51" s="1"/>
      <c r="T51" s="48">
        <f t="shared" si="16"/>
        <v>0</v>
      </c>
      <c r="U51" s="48">
        <f t="shared" si="16"/>
        <v>0</v>
      </c>
      <c r="V51" s="48">
        <f t="shared" si="16"/>
        <v>0</v>
      </c>
      <c r="W51" s="48">
        <f t="shared" si="16"/>
        <v>0</v>
      </c>
      <c r="X51" s="48">
        <f t="shared" si="16"/>
        <v>0</v>
      </c>
      <c r="Y51" s="48">
        <f t="shared" si="16"/>
        <v>0</v>
      </c>
      <c r="Z51" s="48">
        <f t="shared" si="16"/>
        <v>0</v>
      </c>
      <c r="AA51" s="48">
        <f t="shared" si="16"/>
        <v>427.74080000000004</v>
      </c>
      <c r="AB51" s="48">
        <f t="shared" si="16"/>
        <v>0</v>
      </c>
      <c r="AC51" s="48">
        <f t="shared" si="16"/>
        <v>0</v>
      </c>
      <c r="AD51" s="48">
        <f t="shared" si="16"/>
        <v>0</v>
      </c>
      <c r="AE51" s="48">
        <f t="shared" si="16"/>
        <v>0</v>
      </c>
      <c r="AF51" s="1"/>
      <c r="AG51" s="293" t="e">
        <v>#N/A</v>
      </c>
      <c r="AH51" s="293" t="e">
        <v>#N/A</v>
      </c>
      <c r="AI51" s="293" t="e">
        <v>#N/A</v>
      </c>
      <c r="AJ51" s="293" t="e">
        <v>#N/A</v>
      </c>
      <c r="AK51" s="2" t="e">
        <v>#N/A</v>
      </c>
      <c r="AL51" s="293" t="e">
        <v>#N/A</v>
      </c>
      <c r="AN51" s="232"/>
      <c r="AO51" s="77">
        <f t="shared" si="4"/>
        <v>0</v>
      </c>
      <c r="AP51" s="232"/>
      <c r="AQ51" s="279">
        <f t="shared" si="5"/>
        <v>0</v>
      </c>
      <c r="AR51" s="232"/>
      <c r="AS51" s="279">
        <f t="shared" si="6"/>
        <v>0</v>
      </c>
      <c r="AT51" s="232"/>
      <c r="AU51" s="279">
        <f t="shared" si="7"/>
        <v>0</v>
      </c>
      <c r="AV51" s="232"/>
      <c r="AW51" s="279">
        <f t="shared" si="8"/>
        <v>0</v>
      </c>
      <c r="AX51" s="232"/>
      <c r="AY51" s="279">
        <f t="shared" si="9"/>
        <v>0</v>
      </c>
      <c r="AZ51" s="232"/>
      <c r="BA51" s="279">
        <f t="shared" si="10"/>
        <v>0</v>
      </c>
      <c r="BB51" s="232"/>
      <c r="BC51" s="279">
        <f t="shared" si="11"/>
        <v>0</v>
      </c>
      <c r="BD51" s="232"/>
      <c r="BE51" s="279">
        <f t="shared" si="12"/>
        <v>0</v>
      </c>
      <c r="BF51" s="232"/>
      <c r="BG51" s="279">
        <f t="shared" si="13"/>
        <v>0</v>
      </c>
      <c r="BH51" s="232"/>
      <c r="BI51" s="279">
        <f t="shared" si="14"/>
        <v>0</v>
      </c>
      <c r="BJ51" s="232"/>
      <c r="BK51" s="279">
        <f t="shared" si="15"/>
        <v>0</v>
      </c>
    </row>
    <row r="52" spans="1:63">
      <c r="A52" s="233">
        <v>48</v>
      </c>
      <c r="B52" s="53" t="str">
        <f>'[8]Linh Kiện'!D54</f>
        <v>R063081</v>
      </c>
      <c r="C52" s="51" t="str">
        <f t="shared" si="1"/>
        <v>XEM</v>
      </c>
      <c r="D52" s="49">
        <f>'[8]Linh Kiện'!E54</f>
        <v>1</v>
      </c>
      <c r="E52" s="195">
        <f>'[8]Linh Kiện'!AK54</f>
        <v>334.95263846153853</v>
      </c>
      <c r="F52" s="196"/>
      <c r="G52" s="196"/>
      <c r="H52" s="196"/>
      <c r="I52" s="196">
        <v>1</v>
      </c>
      <c r="J52" s="196"/>
      <c r="K52" s="196"/>
      <c r="L52" s="196"/>
      <c r="M52" s="49"/>
      <c r="N52" s="196"/>
      <c r="O52" s="196"/>
      <c r="P52" s="49"/>
      <c r="Q52" s="49"/>
      <c r="R52" s="197">
        <f t="shared" si="2"/>
        <v>1</v>
      </c>
      <c r="S52" s="1"/>
      <c r="T52" s="48">
        <f t="shared" si="16"/>
        <v>0</v>
      </c>
      <c r="U52" s="48">
        <f t="shared" si="16"/>
        <v>0</v>
      </c>
      <c r="V52" s="48">
        <f t="shared" si="16"/>
        <v>0</v>
      </c>
      <c r="W52" s="48">
        <f t="shared" si="16"/>
        <v>334.95263846153853</v>
      </c>
      <c r="X52" s="48">
        <f t="shared" si="16"/>
        <v>0</v>
      </c>
      <c r="Y52" s="48">
        <f t="shared" si="16"/>
        <v>0</v>
      </c>
      <c r="Z52" s="48">
        <f t="shared" si="16"/>
        <v>0</v>
      </c>
      <c r="AA52" s="48">
        <f t="shared" si="16"/>
        <v>0</v>
      </c>
      <c r="AB52" s="48">
        <f t="shared" si="16"/>
        <v>0</v>
      </c>
      <c r="AC52" s="48">
        <f t="shared" si="16"/>
        <v>0</v>
      </c>
      <c r="AD52" s="48">
        <f t="shared" si="16"/>
        <v>0</v>
      </c>
      <c r="AE52" s="48">
        <f t="shared" si="16"/>
        <v>0</v>
      </c>
      <c r="AF52" s="1"/>
      <c r="AG52" s="377" t="e">
        <v>#N/A</v>
      </c>
      <c r="AH52" s="293" t="e">
        <v>#N/A</v>
      </c>
      <c r="AI52" s="293" t="e">
        <v>#N/A</v>
      </c>
      <c r="AJ52" s="293" t="e">
        <v>#N/A</v>
      </c>
      <c r="AK52" s="2" t="e">
        <v>#N/A</v>
      </c>
      <c r="AL52" s="293" t="e">
        <v>#N/A</v>
      </c>
      <c r="AN52" s="232"/>
      <c r="AO52" s="77">
        <f t="shared" si="4"/>
        <v>0</v>
      </c>
      <c r="AP52" s="232"/>
      <c r="AQ52" s="279">
        <f t="shared" si="5"/>
        <v>0</v>
      </c>
      <c r="AR52" s="232"/>
      <c r="AS52" s="279">
        <f t="shared" si="6"/>
        <v>0</v>
      </c>
      <c r="AT52" s="232"/>
      <c r="AU52" s="279">
        <f t="shared" si="7"/>
        <v>0</v>
      </c>
      <c r="AV52" s="232"/>
      <c r="AW52" s="279">
        <f t="shared" si="8"/>
        <v>0</v>
      </c>
      <c r="AX52" s="232"/>
      <c r="AY52" s="279">
        <f t="shared" si="9"/>
        <v>0</v>
      </c>
      <c r="AZ52" s="232"/>
      <c r="BA52" s="279">
        <f t="shared" si="10"/>
        <v>0</v>
      </c>
      <c r="BB52" s="232"/>
      <c r="BC52" s="279">
        <f t="shared" si="11"/>
        <v>0</v>
      </c>
      <c r="BD52" s="232"/>
      <c r="BE52" s="279">
        <f t="shared" si="12"/>
        <v>0</v>
      </c>
      <c r="BF52" s="232"/>
      <c r="BG52" s="279">
        <f t="shared" si="13"/>
        <v>0</v>
      </c>
      <c r="BH52" s="232"/>
      <c r="BI52" s="279">
        <f t="shared" si="14"/>
        <v>0</v>
      </c>
      <c r="BJ52" s="232"/>
      <c r="BK52" s="279">
        <f t="shared" si="15"/>
        <v>0</v>
      </c>
    </row>
    <row r="53" spans="1:63">
      <c r="A53" s="233">
        <v>49</v>
      </c>
      <c r="B53" s="53" t="str">
        <f>'[8]Linh Kiện'!D55</f>
        <v>S056253</v>
      </c>
      <c r="C53" s="51" t="str">
        <f t="shared" si="1"/>
        <v>XEM</v>
      </c>
      <c r="D53" s="49">
        <f>'[8]Linh Kiện'!E55</f>
        <v>1</v>
      </c>
      <c r="E53" s="195">
        <f>'[8]Linh Kiện'!AK55</f>
        <v>551.52654807692306</v>
      </c>
      <c r="F53" s="196"/>
      <c r="G53" s="196"/>
      <c r="H53" s="196"/>
      <c r="I53" s="196"/>
      <c r="J53" s="196"/>
      <c r="K53" s="196"/>
      <c r="L53" s="196"/>
      <c r="M53" s="49">
        <v>1</v>
      </c>
      <c r="N53" s="196"/>
      <c r="O53" s="196"/>
      <c r="P53" s="49"/>
      <c r="Q53" s="49"/>
      <c r="R53" s="197">
        <f t="shared" si="2"/>
        <v>1</v>
      </c>
      <c r="S53" s="1"/>
      <c r="T53" s="48">
        <f t="shared" si="16"/>
        <v>0</v>
      </c>
      <c r="U53" s="48">
        <f t="shared" si="16"/>
        <v>0</v>
      </c>
      <c r="V53" s="48">
        <f t="shared" si="16"/>
        <v>0</v>
      </c>
      <c r="W53" s="48">
        <f t="shared" si="16"/>
        <v>0</v>
      </c>
      <c r="X53" s="48">
        <f t="shared" si="16"/>
        <v>0</v>
      </c>
      <c r="Y53" s="48">
        <f t="shared" si="16"/>
        <v>0</v>
      </c>
      <c r="Z53" s="48">
        <f t="shared" si="16"/>
        <v>0</v>
      </c>
      <c r="AA53" s="48">
        <f t="shared" si="16"/>
        <v>551.52654807692306</v>
      </c>
      <c r="AB53" s="48">
        <f t="shared" si="16"/>
        <v>0</v>
      </c>
      <c r="AC53" s="48">
        <f t="shared" si="16"/>
        <v>0</v>
      </c>
      <c r="AD53" s="48">
        <f t="shared" si="16"/>
        <v>0</v>
      </c>
      <c r="AE53" s="48">
        <f t="shared" si="16"/>
        <v>0</v>
      </c>
      <c r="AF53" s="1"/>
      <c r="AG53" s="376" t="s">
        <v>587</v>
      </c>
      <c r="AH53" s="372">
        <v>31</v>
      </c>
      <c r="AI53" s="293">
        <v>2</v>
      </c>
      <c r="AJ53" s="293" t="s">
        <v>108</v>
      </c>
      <c r="AK53" s="2" t="s">
        <v>864</v>
      </c>
      <c r="AL53" s="293" t="s">
        <v>588</v>
      </c>
      <c r="AN53" s="232"/>
      <c r="AO53" s="77">
        <f t="shared" si="4"/>
        <v>0</v>
      </c>
      <c r="AP53" s="232"/>
      <c r="AQ53" s="279">
        <f t="shared" si="5"/>
        <v>0</v>
      </c>
      <c r="AR53" s="232"/>
      <c r="AS53" s="279">
        <f t="shared" si="6"/>
        <v>0</v>
      </c>
      <c r="AT53" s="232"/>
      <c r="AU53" s="279">
        <f t="shared" si="7"/>
        <v>0</v>
      </c>
      <c r="AV53" s="232"/>
      <c r="AW53" s="279">
        <f t="shared" si="8"/>
        <v>0</v>
      </c>
      <c r="AX53" s="232"/>
      <c r="AY53" s="279">
        <f t="shared" si="9"/>
        <v>0</v>
      </c>
      <c r="AZ53" s="232"/>
      <c r="BA53" s="279">
        <f t="shared" si="10"/>
        <v>0</v>
      </c>
      <c r="BB53" s="232"/>
      <c r="BC53" s="279">
        <f t="shared" si="11"/>
        <v>0</v>
      </c>
      <c r="BD53" s="232"/>
      <c r="BE53" s="279">
        <f t="shared" si="12"/>
        <v>0</v>
      </c>
      <c r="BF53" s="232"/>
      <c r="BG53" s="279">
        <f t="shared" si="13"/>
        <v>0</v>
      </c>
      <c r="BH53" s="232"/>
      <c r="BI53" s="279">
        <f t="shared" si="14"/>
        <v>0</v>
      </c>
      <c r="BJ53" s="232"/>
      <c r="BK53" s="279">
        <f t="shared" si="15"/>
        <v>0</v>
      </c>
    </row>
    <row r="54" spans="1:63">
      <c r="A54" s="233">
        <v>50</v>
      </c>
      <c r="B54" s="53" t="str">
        <f>'[8]Linh Kiện'!D56</f>
        <v>R486449</v>
      </c>
      <c r="C54" s="51" t="str">
        <f t="shared" si="1"/>
        <v>XEM</v>
      </c>
      <c r="D54" s="49">
        <f>'[8]Linh Kiện'!E56</f>
        <v>2</v>
      </c>
      <c r="E54" s="195">
        <f>'[8]Linh Kiện'!AK56</f>
        <v>131.78300192307694</v>
      </c>
      <c r="F54" s="196"/>
      <c r="G54" s="196"/>
      <c r="H54" s="196"/>
      <c r="I54" s="49"/>
      <c r="J54" s="196"/>
      <c r="K54" s="196"/>
      <c r="L54" s="196">
        <v>1</v>
      </c>
      <c r="M54" s="49"/>
      <c r="N54" s="196"/>
      <c r="O54" s="196">
        <v>1</v>
      </c>
      <c r="P54" s="49"/>
      <c r="Q54" s="49"/>
      <c r="R54" s="197">
        <f t="shared" si="2"/>
        <v>2</v>
      </c>
      <c r="S54" s="1"/>
      <c r="T54" s="48">
        <f t="shared" si="16"/>
        <v>0</v>
      </c>
      <c r="U54" s="48">
        <f t="shared" si="16"/>
        <v>0</v>
      </c>
      <c r="V54" s="48">
        <f t="shared" si="16"/>
        <v>0</v>
      </c>
      <c r="W54" s="48">
        <f t="shared" si="16"/>
        <v>0</v>
      </c>
      <c r="X54" s="48">
        <f t="shared" si="16"/>
        <v>0</v>
      </c>
      <c r="Y54" s="48">
        <f t="shared" si="16"/>
        <v>0</v>
      </c>
      <c r="Z54" s="48">
        <f t="shared" si="16"/>
        <v>131.78300192307694</v>
      </c>
      <c r="AA54" s="48">
        <f t="shared" si="16"/>
        <v>0</v>
      </c>
      <c r="AB54" s="48">
        <f t="shared" si="16"/>
        <v>0</v>
      </c>
      <c r="AC54" s="48">
        <f t="shared" si="16"/>
        <v>131.78300192307694</v>
      </c>
      <c r="AD54" s="48">
        <f t="shared" si="16"/>
        <v>0</v>
      </c>
      <c r="AE54" s="48">
        <f t="shared" si="16"/>
        <v>0</v>
      </c>
      <c r="AF54" s="1"/>
      <c r="AG54" s="378" t="e">
        <v>#N/A</v>
      </c>
      <c r="AH54" s="293" t="e">
        <v>#N/A</v>
      </c>
      <c r="AI54" s="293" t="e">
        <v>#N/A</v>
      </c>
      <c r="AJ54" s="293" t="e">
        <v>#N/A</v>
      </c>
      <c r="AK54" s="2" t="e">
        <v>#N/A</v>
      </c>
      <c r="AL54" s="293" t="e">
        <v>#N/A</v>
      </c>
      <c r="AN54" s="232"/>
      <c r="AO54" s="77">
        <f t="shared" si="4"/>
        <v>0</v>
      </c>
      <c r="AP54" s="232"/>
      <c r="AQ54" s="279">
        <f t="shared" si="5"/>
        <v>0</v>
      </c>
      <c r="AR54" s="232"/>
      <c r="AS54" s="279">
        <f t="shared" si="6"/>
        <v>0</v>
      </c>
      <c r="AT54" s="232"/>
      <c r="AU54" s="279">
        <f t="shared" si="7"/>
        <v>0</v>
      </c>
      <c r="AV54" s="232"/>
      <c r="AW54" s="279">
        <f t="shared" si="8"/>
        <v>0</v>
      </c>
      <c r="AX54" s="232"/>
      <c r="AY54" s="279">
        <f t="shared" si="9"/>
        <v>0</v>
      </c>
      <c r="AZ54" s="232"/>
      <c r="BA54" s="279">
        <f t="shared" si="10"/>
        <v>0</v>
      </c>
      <c r="BB54" s="232"/>
      <c r="BC54" s="279">
        <f t="shared" si="11"/>
        <v>0</v>
      </c>
      <c r="BD54" s="232"/>
      <c r="BE54" s="279">
        <f t="shared" si="12"/>
        <v>0</v>
      </c>
      <c r="BF54" s="232"/>
      <c r="BG54" s="279">
        <f t="shared" si="13"/>
        <v>0</v>
      </c>
      <c r="BH54" s="232"/>
      <c r="BI54" s="279">
        <f t="shared" si="14"/>
        <v>0</v>
      </c>
      <c r="BJ54" s="232"/>
      <c r="BK54" s="279">
        <f t="shared" si="15"/>
        <v>0</v>
      </c>
    </row>
    <row r="55" spans="1:63">
      <c r="A55" s="233">
        <v>51</v>
      </c>
      <c r="B55" s="53" t="str">
        <f>'[8]Linh Kiện'!D57</f>
        <v>R487084</v>
      </c>
      <c r="C55" s="51" t="str">
        <f t="shared" si="1"/>
        <v>XEM</v>
      </c>
      <c r="D55" s="49">
        <f>'[8]Linh Kiện'!E57</f>
        <v>2</v>
      </c>
      <c r="E55" s="195">
        <f>'[8]Linh Kiện'!AK57</f>
        <v>144.16759999999999</v>
      </c>
      <c r="F55" s="196"/>
      <c r="G55" s="196"/>
      <c r="H55" s="196"/>
      <c r="I55" s="49"/>
      <c r="J55" s="196"/>
      <c r="K55" s="196">
        <v>1</v>
      </c>
      <c r="L55" s="196"/>
      <c r="M55" s="196"/>
      <c r="N55" s="196">
        <v>1</v>
      </c>
      <c r="O55" s="196"/>
      <c r="P55" s="196"/>
      <c r="Q55" s="196"/>
      <c r="R55" s="197">
        <f t="shared" si="2"/>
        <v>2</v>
      </c>
      <c r="S55" s="1"/>
      <c r="T55" s="48">
        <f t="shared" si="16"/>
        <v>0</v>
      </c>
      <c r="U55" s="48">
        <f t="shared" si="16"/>
        <v>0</v>
      </c>
      <c r="V55" s="48">
        <f t="shared" si="16"/>
        <v>0</v>
      </c>
      <c r="W55" s="48">
        <f t="shared" si="16"/>
        <v>0</v>
      </c>
      <c r="X55" s="48">
        <f t="shared" si="16"/>
        <v>0</v>
      </c>
      <c r="Y55" s="48">
        <f t="shared" si="16"/>
        <v>144.16759999999999</v>
      </c>
      <c r="Z55" s="48">
        <f t="shared" si="16"/>
        <v>0</v>
      </c>
      <c r="AA55" s="48">
        <f t="shared" si="16"/>
        <v>0</v>
      </c>
      <c r="AB55" s="48">
        <f t="shared" si="16"/>
        <v>144.16759999999999</v>
      </c>
      <c r="AC55" s="48">
        <f t="shared" si="16"/>
        <v>0</v>
      </c>
      <c r="AD55" s="48">
        <f t="shared" si="16"/>
        <v>0</v>
      </c>
      <c r="AE55" s="48">
        <f t="shared" si="16"/>
        <v>0</v>
      </c>
      <c r="AF55" s="1"/>
      <c r="AG55" s="293" t="e">
        <v>#N/A</v>
      </c>
      <c r="AH55" s="293" t="e">
        <v>#N/A</v>
      </c>
      <c r="AI55" s="293" t="e">
        <v>#N/A</v>
      </c>
      <c r="AJ55" s="293" t="e">
        <v>#N/A</v>
      </c>
      <c r="AK55" s="2" t="e">
        <v>#N/A</v>
      </c>
      <c r="AL55" s="293" t="e">
        <v>#N/A</v>
      </c>
      <c r="AN55" s="232"/>
      <c r="AO55" s="77">
        <f t="shared" si="4"/>
        <v>0</v>
      </c>
      <c r="AP55" s="232"/>
      <c r="AQ55" s="279">
        <f t="shared" si="5"/>
        <v>0</v>
      </c>
      <c r="AR55" s="232"/>
      <c r="AS55" s="279">
        <f t="shared" si="6"/>
        <v>0</v>
      </c>
      <c r="AT55" s="232"/>
      <c r="AU55" s="279">
        <f t="shared" si="7"/>
        <v>0</v>
      </c>
      <c r="AV55" s="232"/>
      <c r="AW55" s="279">
        <f t="shared" si="8"/>
        <v>0</v>
      </c>
      <c r="AX55" s="232"/>
      <c r="AY55" s="279">
        <f t="shared" si="9"/>
        <v>0</v>
      </c>
      <c r="AZ55" s="232"/>
      <c r="BA55" s="279">
        <f t="shared" si="10"/>
        <v>0</v>
      </c>
      <c r="BB55" s="232"/>
      <c r="BC55" s="279">
        <f t="shared" si="11"/>
        <v>0</v>
      </c>
      <c r="BD55" s="232"/>
      <c r="BE55" s="279">
        <f t="shared" si="12"/>
        <v>0</v>
      </c>
      <c r="BF55" s="232"/>
      <c r="BG55" s="279">
        <f t="shared" si="13"/>
        <v>0</v>
      </c>
      <c r="BH55" s="232"/>
      <c r="BI55" s="279">
        <f t="shared" si="14"/>
        <v>0</v>
      </c>
      <c r="BJ55" s="232"/>
      <c r="BK55" s="279">
        <f t="shared" si="15"/>
        <v>0</v>
      </c>
    </row>
    <row r="56" spans="1:63">
      <c r="A56" s="233">
        <v>52</v>
      </c>
      <c r="B56" s="53" t="str">
        <f>'[8]Linh Kiện'!D58</f>
        <v>S157558</v>
      </c>
      <c r="C56" s="51" t="str">
        <f t="shared" si="1"/>
        <v>XEM</v>
      </c>
      <c r="D56" s="49">
        <f>'[8]Linh Kiện'!E58</f>
        <v>2</v>
      </c>
      <c r="E56" s="195">
        <f>'[8]Linh Kiện'!AK58</f>
        <v>215.71764543269231</v>
      </c>
      <c r="F56" s="196"/>
      <c r="G56" s="196"/>
      <c r="H56" s="196"/>
      <c r="I56" s="49"/>
      <c r="J56" s="196"/>
      <c r="K56" s="196"/>
      <c r="L56" s="196">
        <v>1</v>
      </c>
      <c r="M56" s="49"/>
      <c r="N56" s="196"/>
      <c r="O56" s="196"/>
      <c r="P56" s="196">
        <v>1</v>
      </c>
      <c r="Q56" s="49"/>
      <c r="R56" s="197">
        <f t="shared" si="2"/>
        <v>2</v>
      </c>
      <c r="S56" s="1"/>
      <c r="T56" s="48">
        <f t="shared" si="16"/>
        <v>0</v>
      </c>
      <c r="U56" s="48">
        <f t="shared" si="16"/>
        <v>0</v>
      </c>
      <c r="V56" s="48">
        <f t="shared" si="16"/>
        <v>0</v>
      </c>
      <c r="W56" s="48">
        <f t="shared" si="16"/>
        <v>0</v>
      </c>
      <c r="X56" s="48">
        <f t="shared" si="16"/>
        <v>0</v>
      </c>
      <c r="Y56" s="48">
        <f t="shared" si="16"/>
        <v>0</v>
      </c>
      <c r="Z56" s="48">
        <f t="shared" si="16"/>
        <v>215.71764543269231</v>
      </c>
      <c r="AA56" s="48">
        <f t="shared" si="16"/>
        <v>0</v>
      </c>
      <c r="AB56" s="48">
        <f t="shared" si="16"/>
        <v>0</v>
      </c>
      <c r="AC56" s="48">
        <f t="shared" si="16"/>
        <v>0</v>
      </c>
      <c r="AD56" s="48">
        <f t="shared" si="16"/>
        <v>215.71764543269231</v>
      </c>
      <c r="AE56" s="48">
        <f t="shared" si="16"/>
        <v>0</v>
      </c>
      <c r="AF56" s="1"/>
      <c r="AG56" s="293" t="e">
        <v>#N/A</v>
      </c>
      <c r="AH56" s="293" t="e">
        <v>#N/A</v>
      </c>
      <c r="AI56" s="293" t="e">
        <v>#N/A</v>
      </c>
      <c r="AJ56" s="293" t="e">
        <v>#N/A</v>
      </c>
      <c r="AK56" s="2" t="e">
        <v>#N/A</v>
      </c>
      <c r="AL56" s="293" t="e">
        <v>#N/A</v>
      </c>
      <c r="AN56" s="232"/>
      <c r="AO56" s="77">
        <f t="shared" si="4"/>
        <v>0</v>
      </c>
      <c r="AP56" s="232"/>
      <c r="AQ56" s="279">
        <f t="shared" si="5"/>
        <v>0</v>
      </c>
      <c r="AR56" s="232"/>
      <c r="AS56" s="279">
        <f t="shared" si="6"/>
        <v>0</v>
      </c>
      <c r="AT56" s="232"/>
      <c r="AU56" s="279">
        <f t="shared" si="7"/>
        <v>0</v>
      </c>
      <c r="AV56" s="232"/>
      <c r="AW56" s="279">
        <f t="shared" si="8"/>
        <v>0</v>
      </c>
      <c r="AX56" s="232"/>
      <c r="AY56" s="279">
        <f t="shared" si="9"/>
        <v>0</v>
      </c>
      <c r="AZ56" s="232"/>
      <c r="BA56" s="279">
        <f t="shared" si="10"/>
        <v>0</v>
      </c>
      <c r="BB56" s="232"/>
      <c r="BC56" s="279">
        <f t="shared" si="11"/>
        <v>0</v>
      </c>
      <c r="BD56" s="232"/>
      <c r="BE56" s="279">
        <f t="shared" si="12"/>
        <v>0</v>
      </c>
      <c r="BF56" s="232"/>
      <c r="BG56" s="279">
        <f t="shared" si="13"/>
        <v>0</v>
      </c>
      <c r="BH56" s="232"/>
      <c r="BI56" s="279">
        <f t="shared" si="14"/>
        <v>0</v>
      </c>
      <c r="BJ56" s="232"/>
      <c r="BK56" s="279">
        <f t="shared" si="15"/>
        <v>0</v>
      </c>
    </row>
    <row r="57" spans="1:63" ht="15.75">
      <c r="A57" s="233">
        <v>53</v>
      </c>
      <c r="B57" s="53" t="str">
        <f>'[8]Linh Kiện'!D59</f>
        <v>R551864</v>
      </c>
      <c r="C57" s="51" t="str">
        <f t="shared" si="1"/>
        <v>XEM</v>
      </c>
      <c r="D57" s="49">
        <f>'[8]Linh Kiện'!E59</f>
        <v>3</v>
      </c>
      <c r="E57" s="195">
        <f>'[8]Linh Kiện'!AK59</f>
        <v>153.57889423076921</v>
      </c>
      <c r="F57" s="196"/>
      <c r="G57" s="196"/>
      <c r="H57" s="50"/>
      <c r="I57" s="196">
        <v>1</v>
      </c>
      <c r="J57" s="196"/>
      <c r="K57" s="196"/>
      <c r="L57" s="196"/>
      <c r="M57" s="50">
        <v>1</v>
      </c>
      <c r="N57" s="196"/>
      <c r="O57" s="196"/>
      <c r="P57" s="196"/>
      <c r="Q57" s="196">
        <v>1</v>
      </c>
      <c r="R57" s="197">
        <f t="shared" si="2"/>
        <v>3</v>
      </c>
      <c r="T57" s="48">
        <f t="shared" si="16"/>
        <v>0</v>
      </c>
      <c r="U57" s="48">
        <f t="shared" si="16"/>
        <v>0</v>
      </c>
      <c r="V57" s="48">
        <f t="shared" si="16"/>
        <v>0</v>
      </c>
      <c r="W57" s="48">
        <f t="shared" si="16"/>
        <v>153.57889423076921</v>
      </c>
      <c r="X57" s="48">
        <f t="shared" si="16"/>
        <v>0</v>
      </c>
      <c r="Y57" s="48">
        <f t="shared" si="16"/>
        <v>0</v>
      </c>
      <c r="Z57" s="48">
        <f t="shared" si="16"/>
        <v>0</v>
      </c>
      <c r="AA57" s="48">
        <f t="shared" si="16"/>
        <v>153.57889423076921</v>
      </c>
      <c r="AB57" s="48">
        <f t="shared" si="16"/>
        <v>0</v>
      </c>
      <c r="AC57" s="48">
        <f t="shared" si="16"/>
        <v>0</v>
      </c>
      <c r="AD57" s="48">
        <f t="shared" si="16"/>
        <v>0</v>
      </c>
      <c r="AE57" s="48">
        <f t="shared" si="16"/>
        <v>153.57889423076921</v>
      </c>
      <c r="AG57" s="293" t="e">
        <v>#N/A</v>
      </c>
      <c r="AH57" s="293" t="e">
        <v>#N/A</v>
      </c>
      <c r="AI57" s="293" t="e">
        <v>#N/A</v>
      </c>
      <c r="AJ57" s="293" t="e">
        <v>#N/A</v>
      </c>
      <c r="AK57" s="2" t="e">
        <v>#N/A</v>
      </c>
      <c r="AL57" s="293" t="e">
        <v>#N/A</v>
      </c>
      <c r="AN57" s="232"/>
      <c r="AO57" s="77">
        <f t="shared" si="4"/>
        <v>0</v>
      </c>
      <c r="AP57" s="232"/>
      <c r="AQ57" s="279">
        <f t="shared" si="5"/>
        <v>0</v>
      </c>
      <c r="AR57" s="232"/>
      <c r="AS57" s="279">
        <f t="shared" si="6"/>
        <v>0</v>
      </c>
      <c r="AT57" s="232"/>
      <c r="AU57" s="279">
        <f t="shared" si="7"/>
        <v>0</v>
      </c>
      <c r="AV57" s="232"/>
      <c r="AW57" s="279">
        <f t="shared" si="8"/>
        <v>0</v>
      </c>
      <c r="AX57" s="232"/>
      <c r="AY57" s="279">
        <f t="shared" si="9"/>
        <v>0</v>
      </c>
      <c r="AZ57" s="232"/>
      <c r="BA57" s="279">
        <f t="shared" si="10"/>
        <v>0</v>
      </c>
      <c r="BB57" s="232"/>
      <c r="BC57" s="279">
        <f t="shared" si="11"/>
        <v>0</v>
      </c>
      <c r="BD57" s="232"/>
      <c r="BE57" s="279">
        <f t="shared" si="12"/>
        <v>0</v>
      </c>
      <c r="BF57" s="232"/>
      <c r="BG57" s="279">
        <f t="shared" si="13"/>
        <v>0</v>
      </c>
      <c r="BH57" s="232"/>
      <c r="BI57" s="279">
        <f t="shared" si="14"/>
        <v>0</v>
      </c>
      <c r="BJ57" s="232"/>
      <c r="BK57" s="279">
        <f t="shared" si="15"/>
        <v>0</v>
      </c>
    </row>
    <row r="58" spans="1:63" ht="15.75">
      <c r="A58" s="233">
        <v>54</v>
      </c>
      <c r="B58" s="53" t="str">
        <f>'[8]Linh Kiện'!D60</f>
        <v>S845562</v>
      </c>
      <c r="C58" s="51" t="str">
        <f t="shared" si="1"/>
        <v>XEM</v>
      </c>
      <c r="D58" s="49">
        <f>'[8]Linh Kiện'!E60</f>
        <v>2</v>
      </c>
      <c r="E58" s="195">
        <f>'[8]Linh Kiện'!AK60</f>
        <v>411.10120000000001</v>
      </c>
      <c r="F58" s="196"/>
      <c r="G58" s="196"/>
      <c r="H58" s="50"/>
      <c r="I58" s="196"/>
      <c r="J58" s="196">
        <v>1</v>
      </c>
      <c r="K58" s="196"/>
      <c r="L58" s="196"/>
      <c r="M58" s="196"/>
      <c r="N58" s="50">
        <v>1</v>
      </c>
      <c r="O58" s="196"/>
      <c r="P58" s="196"/>
      <c r="Q58" s="196"/>
      <c r="R58" s="197">
        <f t="shared" si="2"/>
        <v>2</v>
      </c>
      <c r="T58" s="48">
        <f t="shared" si="16"/>
        <v>0</v>
      </c>
      <c r="U58" s="48">
        <f t="shared" si="16"/>
        <v>0</v>
      </c>
      <c r="V58" s="48">
        <f t="shared" si="16"/>
        <v>0</v>
      </c>
      <c r="W58" s="48">
        <f t="shared" si="16"/>
        <v>0</v>
      </c>
      <c r="X58" s="48">
        <f t="shared" si="16"/>
        <v>411.10120000000001</v>
      </c>
      <c r="Y58" s="48">
        <f t="shared" si="16"/>
        <v>0</v>
      </c>
      <c r="Z58" s="48">
        <f t="shared" si="16"/>
        <v>0</v>
      </c>
      <c r="AA58" s="48">
        <f t="shared" si="16"/>
        <v>0</v>
      </c>
      <c r="AB58" s="48">
        <f t="shared" si="16"/>
        <v>411.10120000000001</v>
      </c>
      <c r="AC58" s="48">
        <f t="shared" si="16"/>
        <v>0</v>
      </c>
      <c r="AD58" s="48">
        <f t="shared" si="16"/>
        <v>0</v>
      </c>
      <c r="AE58" s="48">
        <f t="shared" si="16"/>
        <v>0</v>
      </c>
      <c r="AG58" s="293" t="e">
        <v>#N/A</v>
      </c>
      <c r="AH58" s="293" t="e">
        <v>#N/A</v>
      </c>
      <c r="AI58" s="293" t="e">
        <v>#N/A</v>
      </c>
      <c r="AJ58" s="293" t="e">
        <v>#N/A</v>
      </c>
      <c r="AK58" s="2" t="e">
        <v>#N/A</v>
      </c>
      <c r="AL58" s="293" t="e">
        <v>#N/A</v>
      </c>
      <c r="AN58" s="232"/>
      <c r="AO58" s="77">
        <f t="shared" si="4"/>
        <v>0</v>
      </c>
      <c r="AP58" s="232"/>
      <c r="AQ58" s="279">
        <f t="shared" si="5"/>
        <v>0</v>
      </c>
      <c r="AR58" s="232"/>
      <c r="AS58" s="279">
        <f t="shared" si="6"/>
        <v>0</v>
      </c>
      <c r="AT58" s="232"/>
      <c r="AU58" s="279">
        <f t="shared" si="7"/>
        <v>0</v>
      </c>
      <c r="AV58" s="232"/>
      <c r="AW58" s="279">
        <f t="shared" si="8"/>
        <v>0</v>
      </c>
      <c r="AX58" s="232"/>
      <c r="AY58" s="279">
        <f t="shared" si="9"/>
        <v>0</v>
      </c>
      <c r="AZ58" s="232"/>
      <c r="BA58" s="279">
        <f t="shared" si="10"/>
        <v>0</v>
      </c>
      <c r="BB58" s="232"/>
      <c r="BC58" s="279">
        <f t="shared" si="11"/>
        <v>0</v>
      </c>
      <c r="BD58" s="232"/>
      <c r="BE58" s="279">
        <f t="shared" si="12"/>
        <v>0</v>
      </c>
      <c r="BF58" s="232"/>
      <c r="BG58" s="279">
        <f t="shared" si="13"/>
        <v>0</v>
      </c>
      <c r="BH58" s="232"/>
      <c r="BI58" s="279">
        <f t="shared" si="14"/>
        <v>0</v>
      </c>
      <c r="BJ58" s="232"/>
      <c r="BK58" s="279">
        <f t="shared" si="15"/>
        <v>0</v>
      </c>
    </row>
    <row r="59" spans="1:63" ht="15.75">
      <c r="A59" s="233">
        <v>55</v>
      </c>
      <c r="B59" s="53" t="str">
        <f>'[8]Linh Kiện'!D61</f>
        <v>R478851</v>
      </c>
      <c r="C59" s="51" t="str">
        <f t="shared" si="1"/>
        <v>XEM</v>
      </c>
      <c r="D59" s="49">
        <f>'[8]Linh Kiện'!E61</f>
        <v>2</v>
      </c>
      <c r="E59" s="195">
        <f>'[8]Linh Kiện'!AK61</f>
        <v>123.5164</v>
      </c>
      <c r="F59" s="196">
        <v>1</v>
      </c>
      <c r="G59" s="196"/>
      <c r="H59" s="196"/>
      <c r="I59" s="50"/>
      <c r="J59" s="196"/>
      <c r="K59" s="196"/>
      <c r="L59" s="196">
        <v>1</v>
      </c>
      <c r="M59" s="196"/>
      <c r="N59" s="50"/>
      <c r="O59" s="196"/>
      <c r="P59" s="196"/>
      <c r="Q59" s="196"/>
      <c r="R59" s="197">
        <f t="shared" si="2"/>
        <v>2</v>
      </c>
      <c r="T59" s="48">
        <f t="shared" si="16"/>
        <v>123.5164</v>
      </c>
      <c r="U59" s="48">
        <f t="shared" si="16"/>
        <v>0</v>
      </c>
      <c r="V59" s="48">
        <f t="shared" si="16"/>
        <v>0</v>
      </c>
      <c r="W59" s="48">
        <f t="shared" si="16"/>
        <v>0</v>
      </c>
      <c r="X59" s="48">
        <f t="shared" si="16"/>
        <v>0</v>
      </c>
      <c r="Y59" s="48">
        <f t="shared" si="16"/>
        <v>0</v>
      </c>
      <c r="Z59" s="48">
        <f t="shared" si="16"/>
        <v>123.5164</v>
      </c>
      <c r="AA59" s="48">
        <f t="shared" si="16"/>
        <v>0</v>
      </c>
      <c r="AB59" s="48">
        <f t="shared" si="16"/>
        <v>0</v>
      </c>
      <c r="AC59" s="48">
        <f t="shared" si="16"/>
        <v>0</v>
      </c>
      <c r="AD59" s="48">
        <f t="shared" si="16"/>
        <v>0</v>
      </c>
      <c r="AE59" s="48">
        <f t="shared" si="16"/>
        <v>0</v>
      </c>
      <c r="AG59" s="377" t="e">
        <v>#N/A</v>
      </c>
      <c r="AH59" s="293" t="e">
        <v>#N/A</v>
      </c>
      <c r="AI59" s="293" t="e">
        <v>#N/A</v>
      </c>
      <c r="AJ59" s="293" t="e">
        <v>#N/A</v>
      </c>
      <c r="AK59" s="2" t="e">
        <v>#N/A</v>
      </c>
      <c r="AL59" s="293" t="e">
        <v>#N/A</v>
      </c>
      <c r="AN59" s="232"/>
      <c r="AO59" s="77">
        <f t="shared" si="4"/>
        <v>0</v>
      </c>
      <c r="AP59" s="232"/>
      <c r="AQ59" s="279">
        <f t="shared" si="5"/>
        <v>0</v>
      </c>
      <c r="AR59" s="232"/>
      <c r="AS59" s="279">
        <f t="shared" si="6"/>
        <v>0</v>
      </c>
      <c r="AT59" s="232"/>
      <c r="AU59" s="279">
        <f t="shared" si="7"/>
        <v>0</v>
      </c>
      <c r="AV59" s="232"/>
      <c r="AW59" s="279">
        <f t="shared" si="8"/>
        <v>0</v>
      </c>
      <c r="AX59" s="232"/>
      <c r="AY59" s="279">
        <f t="shared" si="9"/>
        <v>0</v>
      </c>
      <c r="AZ59" s="232"/>
      <c r="BA59" s="279">
        <f t="shared" si="10"/>
        <v>0</v>
      </c>
      <c r="BB59" s="232"/>
      <c r="BC59" s="279">
        <f t="shared" si="11"/>
        <v>0</v>
      </c>
      <c r="BD59" s="232"/>
      <c r="BE59" s="279">
        <f t="shared" si="12"/>
        <v>0</v>
      </c>
      <c r="BF59" s="232"/>
      <c r="BG59" s="279">
        <f t="shared" si="13"/>
        <v>0</v>
      </c>
      <c r="BH59" s="232"/>
      <c r="BI59" s="279">
        <f t="shared" si="14"/>
        <v>0</v>
      </c>
      <c r="BJ59" s="232"/>
      <c r="BK59" s="279">
        <f t="shared" si="15"/>
        <v>0</v>
      </c>
    </row>
    <row r="60" spans="1:63" ht="15.75">
      <c r="A60" s="233">
        <v>56</v>
      </c>
      <c r="B60" s="53" t="str">
        <f>'[8]Linh Kiện'!D62</f>
        <v>R394374</v>
      </c>
      <c r="C60" s="51" t="str">
        <f t="shared" si="1"/>
        <v>XEM</v>
      </c>
      <c r="D60" s="49">
        <f>'[8]Linh Kiện'!E62</f>
        <v>2</v>
      </c>
      <c r="E60" s="195">
        <f>'[8]Linh Kiện'!AK62</f>
        <v>170.06639999999999</v>
      </c>
      <c r="F60" s="196"/>
      <c r="G60" s="196">
        <v>1</v>
      </c>
      <c r="H60" s="196"/>
      <c r="I60" s="50"/>
      <c r="J60" s="196"/>
      <c r="K60" s="196"/>
      <c r="L60" s="196"/>
      <c r="M60" s="196">
        <v>1</v>
      </c>
      <c r="N60" s="50"/>
      <c r="O60" s="196"/>
      <c r="P60" s="196"/>
      <c r="Q60" s="196"/>
      <c r="R60" s="197">
        <f t="shared" si="2"/>
        <v>2</v>
      </c>
      <c r="T60" s="48">
        <f t="shared" si="16"/>
        <v>0</v>
      </c>
      <c r="U60" s="48">
        <f t="shared" si="16"/>
        <v>170.06639999999999</v>
      </c>
      <c r="V60" s="48">
        <f t="shared" si="16"/>
        <v>0</v>
      </c>
      <c r="W60" s="48">
        <f t="shared" si="16"/>
        <v>0</v>
      </c>
      <c r="X60" s="48">
        <f t="shared" si="16"/>
        <v>0</v>
      </c>
      <c r="Y60" s="48">
        <f t="shared" si="16"/>
        <v>0</v>
      </c>
      <c r="Z60" s="48">
        <f t="shared" si="16"/>
        <v>0</v>
      </c>
      <c r="AA60" s="48">
        <f t="shared" si="16"/>
        <v>170.06639999999999</v>
      </c>
      <c r="AB60" s="48">
        <f t="shared" si="16"/>
        <v>0</v>
      </c>
      <c r="AC60" s="48">
        <f t="shared" si="16"/>
        <v>0</v>
      </c>
      <c r="AD60" s="48">
        <f t="shared" si="16"/>
        <v>0</v>
      </c>
      <c r="AE60" s="48">
        <f t="shared" si="16"/>
        <v>0</v>
      </c>
      <c r="AG60" s="376">
        <v>6116020057</v>
      </c>
      <c r="AH60" s="372">
        <v>1</v>
      </c>
      <c r="AI60" s="293">
        <v>1</v>
      </c>
      <c r="AJ60" s="298" t="s">
        <v>356</v>
      </c>
      <c r="AK60" s="2"/>
      <c r="AL60" s="358" t="s">
        <v>585</v>
      </c>
      <c r="AM60" t="s">
        <v>811</v>
      </c>
      <c r="AN60" s="232"/>
      <c r="AO60" s="77">
        <f t="shared" si="4"/>
        <v>0</v>
      </c>
      <c r="AP60" s="232"/>
      <c r="AQ60" s="279">
        <f t="shared" si="5"/>
        <v>0</v>
      </c>
      <c r="AR60" s="232">
        <v>1</v>
      </c>
      <c r="AS60" s="279">
        <f t="shared" si="6"/>
        <v>170.06639999999999</v>
      </c>
      <c r="AT60" s="232"/>
      <c r="AU60" s="279">
        <f t="shared" si="7"/>
        <v>0</v>
      </c>
      <c r="AV60" s="232"/>
      <c r="AW60" s="279">
        <f t="shared" si="8"/>
        <v>0</v>
      </c>
      <c r="AX60" s="232"/>
      <c r="AY60" s="279">
        <f t="shared" si="9"/>
        <v>0</v>
      </c>
      <c r="AZ60" s="232"/>
      <c r="BA60" s="279">
        <f t="shared" si="10"/>
        <v>0</v>
      </c>
      <c r="BB60" s="232"/>
      <c r="BC60" s="279">
        <f t="shared" si="11"/>
        <v>0</v>
      </c>
      <c r="BD60" s="232"/>
      <c r="BE60" s="279">
        <f t="shared" si="12"/>
        <v>0</v>
      </c>
      <c r="BF60" s="232"/>
      <c r="BG60" s="279">
        <f t="shared" si="13"/>
        <v>0</v>
      </c>
      <c r="BH60" s="232"/>
      <c r="BI60" s="279">
        <f t="shared" si="14"/>
        <v>0</v>
      </c>
      <c r="BJ60" s="232"/>
      <c r="BK60" s="279">
        <f t="shared" si="15"/>
        <v>0</v>
      </c>
    </row>
    <row r="61" spans="1:63" ht="15.75">
      <c r="A61" s="233">
        <v>57</v>
      </c>
      <c r="B61" s="53" t="str">
        <f>'[8]Linh Kiện'!D63</f>
        <v>S817484</v>
      </c>
      <c r="C61" s="51" t="str">
        <f t="shared" si="1"/>
        <v>XEM</v>
      </c>
      <c r="D61" s="49">
        <f>'[8]Linh Kiện'!E63</f>
        <v>1</v>
      </c>
      <c r="E61" s="195">
        <f>'[8]Linh Kiện'!AK63</f>
        <v>604.89120000000003</v>
      </c>
      <c r="F61" s="196"/>
      <c r="G61" s="196"/>
      <c r="H61" s="196"/>
      <c r="I61" s="196"/>
      <c r="J61" s="50"/>
      <c r="K61" s="196"/>
      <c r="L61" s="196">
        <v>1</v>
      </c>
      <c r="M61" s="50"/>
      <c r="N61" s="50"/>
      <c r="O61" s="196"/>
      <c r="P61" s="50"/>
      <c r="Q61" s="196"/>
      <c r="R61" s="197">
        <f t="shared" si="2"/>
        <v>1</v>
      </c>
      <c r="T61" s="48">
        <f t="shared" si="16"/>
        <v>0</v>
      </c>
      <c r="U61" s="48">
        <f t="shared" si="16"/>
        <v>0</v>
      </c>
      <c r="V61" s="48">
        <f t="shared" si="16"/>
        <v>0</v>
      </c>
      <c r="W61" s="48">
        <f t="shared" si="16"/>
        <v>0</v>
      </c>
      <c r="X61" s="48">
        <f t="shared" si="16"/>
        <v>0</v>
      </c>
      <c r="Y61" s="48">
        <f t="shared" si="16"/>
        <v>0</v>
      </c>
      <c r="Z61" s="48">
        <f t="shared" si="16"/>
        <v>604.89120000000003</v>
      </c>
      <c r="AA61" s="48">
        <f t="shared" si="16"/>
        <v>0</v>
      </c>
      <c r="AB61" s="48">
        <f t="shared" si="16"/>
        <v>0</v>
      </c>
      <c r="AC61" s="48">
        <f t="shared" si="16"/>
        <v>0</v>
      </c>
      <c r="AD61" s="48">
        <f t="shared" si="16"/>
        <v>0</v>
      </c>
      <c r="AE61" s="48">
        <f t="shared" si="16"/>
        <v>0</v>
      </c>
      <c r="AG61" s="378" t="e">
        <v>#N/A</v>
      </c>
      <c r="AH61" s="293" t="e">
        <v>#N/A</v>
      </c>
      <c r="AI61" s="293" t="e">
        <v>#N/A</v>
      </c>
      <c r="AJ61" s="293" t="e">
        <v>#N/A</v>
      </c>
      <c r="AK61" s="2" t="e">
        <v>#N/A</v>
      </c>
      <c r="AL61" s="293" t="e">
        <v>#N/A</v>
      </c>
      <c r="AN61" s="232"/>
      <c r="AO61" s="77">
        <f t="shared" si="4"/>
        <v>0</v>
      </c>
      <c r="AP61" s="232"/>
      <c r="AQ61" s="279">
        <f t="shared" si="5"/>
        <v>0</v>
      </c>
      <c r="AR61" s="232"/>
      <c r="AS61" s="279">
        <f t="shared" si="6"/>
        <v>0</v>
      </c>
      <c r="AT61" s="232"/>
      <c r="AU61" s="279">
        <f t="shared" si="7"/>
        <v>0</v>
      </c>
      <c r="AV61" s="232"/>
      <c r="AW61" s="279">
        <f t="shared" si="8"/>
        <v>0</v>
      </c>
      <c r="AX61" s="232"/>
      <c r="AY61" s="279">
        <f t="shared" si="9"/>
        <v>0</v>
      </c>
      <c r="AZ61" s="232"/>
      <c r="BA61" s="279">
        <f t="shared" si="10"/>
        <v>0</v>
      </c>
      <c r="BB61" s="232"/>
      <c r="BC61" s="279">
        <f t="shared" si="11"/>
        <v>0</v>
      </c>
      <c r="BD61" s="232"/>
      <c r="BE61" s="279">
        <f t="shared" si="12"/>
        <v>0</v>
      </c>
      <c r="BF61" s="232"/>
      <c r="BG61" s="279">
        <f t="shared" si="13"/>
        <v>0</v>
      </c>
      <c r="BH61" s="232"/>
      <c r="BI61" s="279">
        <f t="shared" si="14"/>
        <v>0</v>
      </c>
      <c r="BJ61" s="232"/>
      <c r="BK61" s="279">
        <f t="shared" si="15"/>
        <v>0</v>
      </c>
    </row>
    <row r="62" spans="1:63" ht="15.75">
      <c r="A62" s="233">
        <v>58</v>
      </c>
      <c r="B62" s="53" t="str">
        <f>'[8]Linh Kiện'!D64</f>
        <v>R058194</v>
      </c>
      <c r="C62" s="51" t="str">
        <f t="shared" si="1"/>
        <v>XEM</v>
      </c>
      <c r="D62" s="49">
        <f>'[8]Linh Kiện'!E64</f>
        <v>1</v>
      </c>
      <c r="E62" s="195">
        <f>'[8]Linh Kiện'!AK64</f>
        <v>788.89120000000003</v>
      </c>
      <c r="F62" s="196"/>
      <c r="G62" s="196"/>
      <c r="H62" s="196"/>
      <c r="I62" s="196">
        <v>1</v>
      </c>
      <c r="J62" s="50"/>
      <c r="K62" s="196"/>
      <c r="L62" s="196"/>
      <c r="M62" s="50"/>
      <c r="N62" s="196"/>
      <c r="O62" s="50"/>
      <c r="P62" s="196"/>
      <c r="Q62" s="196"/>
      <c r="R62" s="197">
        <f t="shared" si="2"/>
        <v>1</v>
      </c>
      <c r="T62" s="48">
        <f t="shared" si="16"/>
        <v>0</v>
      </c>
      <c r="U62" s="48">
        <f t="shared" si="16"/>
        <v>0</v>
      </c>
      <c r="V62" s="48">
        <f t="shared" si="16"/>
        <v>0</v>
      </c>
      <c r="W62" s="48">
        <f t="shared" ref="W62:AE77" si="17">$E62*I62</f>
        <v>788.89120000000003</v>
      </c>
      <c r="X62" s="48">
        <f t="shared" si="17"/>
        <v>0</v>
      </c>
      <c r="Y62" s="48">
        <f t="shared" si="17"/>
        <v>0</v>
      </c>
      <c r="Z62" s="48">
        <f t="shared" si="17"/>
        <v>0</v>
      </c>
      <c r="AA62" s="48">
        <f t="shared" si="17"/>
        <v>0</v>
      </c>
      <c r="AB62" s="48">
        <f t="shared" si="17"/>
        <v>0</v>
      </c>
      <c r="AC62" s="48">
        <f t="shared" si="17"/>
        <v>0</v>
      </c>
      <c r="AD62" s="48">
        <f t="shared" si="17"/>
        <v>0</v>
      </c>
      <c r="AE62" s="48">
        <f t="shared" si="17"/>
        <v>0</v>
      </c>
      <c r="AG62" s="293" t="e">
        <v>#N/A</v>
      </c>
      <c r="AH62" s="293" t="e">
        <v>#N/A</v>
      </c>
      <c r="AI62" s="293" t="e">
        <v>#N/A</v>
      </c>
      <c r="AJ62" s="293" t="e">
        <v>#N/A</v>
      </c>
      <c r="AK62" s="2" t="e">
        <v>#N/A</v>
      </c>
      <c r="AL62" s="293" t="e">
        <v>#N/A</v>
      </c>
      <c r="AN62" s="232"/>
      <c r="AO62" s="77">
        <f t="shared" si="4"/>
        <v>0</v>
      </c>
      <c r="AP62" s="232"/>
      <c r="AQ62" s="279">
        <f t="shared" si="5"/>
        <v>0</v>
      </c>
      <c r="AR62" s="232"/>
      <c r="AS62" s="279">
        <f t="shared" si="6"/>
        <v>0</v>
      </c>
      <c r="AT62" s="232"/>
      <c r="AU62" s="279">
        <f t="shared" si="7"/>
        <v>0</v>
      </c>
      <c r="AV62" s="232"/>
      <c r="AW62" s="279">
        <f t="shared" si="8"/>
        <v>0</v>
      </c>
      <c r="AX62" s="232"/>
      <c r="AY62" s="279">
        <f t="shared" si="9"/>
        <v>0</v>
      </c>
      <c r="AZ62" s="232"/>
      <c r="BA62" s="279">
        <f t="shared" si="10"/>
        <v>0</v>
      </c>
      <c r="BB62" s="232"/>
      <c r="BC62" s="279">
        <f t="shared" si="11"/>
        <v>0</v>
      </c>
      <c r="BD62" s="232"/>
      <c r="BE62" s="279">
        <f t="shared" si="12"/>
        <v>0</v>
      </c>
      <c r="BF62" s="232"/>
      <c r="BG62" s="279">
        <f t="shared" si="13"/>
        <v>0</v>
      </c>
      <c r="BH62" s="232"/>
      <c r="BI62" s="279">
        <f t="shared" si="14"/>
        <v>0</v>
      </c>
      <c r="BJ62" s="232"/>
      <c r="BK62" s="279">
        <f t="shared" si="15"/>
        <v>0</v>
      </c>
    </row>
    <row r="63" spans="1:63" ht="15.75">
      <c r="A63" s="233">
        <v>59</v>
      </c>
      <c r="B63" s="53" t="str">
        <f>'[8]Linh Kiện'!D65</f>
        <v>R418572</v>
      </c>
      <c r="C63" s="51" t="str">
        <f t="shared" si="1"/>
        <v>XEM</v>
      </c>
      <c r="D63" s="49">
        <f>'[8]Linh Kiện'!E65</f>
        <v>1</v>
      </c>
      <c r="E63" s="195">
        <f>'[8]Linh Kiện'!AK65</f>
        <v>788.89120000000003</v>
      </c>
      <c r="F63" s="196"/>
      <c r="G63" s="196"/>
      <c r="H63" s="196"/>
      <c r="I63" s="196"/>
      <c r="J63" s="50"/>
      <c r="K63" s="196"/>
      <c r="L63" s="196"/>
      <c r="M63" s="50"/>
      <c r="N63" s="196"/>
      <c r="O63" s="50"/>
      <c r="P63" s="196">
        <v>1</v>
      </c>
      <c r="Q63" s="196"/>
      <c r="R63" s="197">
        <f t="shared" si="2"/>
        <v>1</v>
      </c>
      <c r="T63" s="48">
        <f t="shared" ref="T63:AE78" si="18">$E63*F63</f>
        <v>0</v>
      </c>
      <c r="U63" s="48">
        <f t="shared" si="18"/>
        <v>0</v>
      </c>
      <c r="V63" s="48">
        <f t="shared" si="18"/>
        <v>0</v>
      </c>
      <c r="W63" s="48">
        <f t="shared" si="17"/>
        <v>0</v>
      </c>
      <c r="X63" s="48">
        <f t="shared" si="17"/>
        <v>0</v>
      </c>
      <c r="Y63" s="48">
        <f t="shared" si="17"/>
        <v>0</v>
      </c>
      <c r="Z63" s="48">
        <f t="shared" si="17"/>
        <v>0</v>
      </c>
      <c r="AA63" s="48">
        <f t="shared" si="17"/>
        <v>0</v>
      </c>
      <c r="AB63" s="48">
        <f t="shared" si="17"/>
        <v>0</v>
      </c>
      <c r="AC63" s="48">
        <f t="shared" si="17"/>
        <v>0</v>
      </c>
      <c r="AD63" s="48">
        <f t="shared" si="17"/>
        <v>788.89120000000003</v>
      </c>
      <c r="AE63" s="48">
        <f t="shared" si="17"/>
        <v>0</v>
      </c>
      <c r="AG63" s="293" t="e">
        <v>#N/A</v>
      </c>
      <c r="AH63" s="293" t="e">
        <v>#N/A</v>
      </c>
      <c r="AI63" s="293" t="e">
        <v>#N/A</v>
      </c>
      <c r="AJ63" s="293" t="e">
        <v>#N/A</v>
      </c>
      <c r="AK63" s="2" t="e">
        <v>#N/A</v>
      </c>
      <c r="AL63" s="293" t="e">
        <v>#N/A</v>
      </c>
      <c r="AN63" s="232"/>
      <c r="AO63" s="77">
        <f t="shared" si="4"/>
        <v>0</v>
      </c>
      <c r="AP63" s="232"/>
      <c r="AQ63" s="279">
        <f t="shared" si="5"/>
        <v>0</v>
      </c>
      <c r="AR63" s="232"/>
      <c r="AS63" s="279">
        <f t="shared" si="6"/>
        <v>0</v>
      </c>
      <c r="AT63" s="232"/>
      <c r="AU63" s="279">
        <f t="shared" si="7"/>
        <v>0</v>
      </c>
      <c r="AV63" s="232"/>
      <c r="AW63" s="279">
        <f t="shared" si="8"/>
        <v>0</v>
      </c>
      <c r="AX63" s="232"/>
      <c r="AY63" s="279">
        <f t="shared" si="9"/>
        <v>0</v>
      </c>
      <c r="AZ63" s="232"/>
      <c r="BA63" s="279">
        <f t="shared" si="10"/>
        <v>0</v>
      </c>
      <c r="BB63" s="232"/>
      <c r="BC63" s="279">
        <f t="shared" si="11"/>
        <v>0</v>
      </c>
      <c r="BD63" s="232"/>
      <c r="BE63" s="279">
        <f t="shared" si="12"/>
        <v>0</v>
      </c>
      <c r="BF63" s="232"/>
      <c r="BG63" s="279">
        <f t="shared" si="13"/>
        <v>0</v>
      </c>
      <c r="BH63" s="232"/>
      <c r="BI63" s="279">
        <f t="shared" si="14"/>
        <v>0</v>
      </c>
      <c r="BJ63" s="232"/>
      <c r="BK63" s="279">
        <f t="shared" si="15"/>
        <v>0</v>
      </c>
    </row>
    <row r="64" spans="1:63" ht="15.75">
      <c r="A64" s="233">
        <v>60</v>
      </c>
      <c r="B64" s="53" t="str">
        <f>'[8]Linh Kiện'!D66</f>
        <v>S723748</v>
      </c>
      <c r="C64" s="51" t="str">
        <f t="shared" si="1"/>
        <v>XEM</v>
      </c>
      <c r="D64" s="49">
        <f>'[8]Linh Kiện'!E66</f>
        <v>1</v>
      </c>
      <c r="E64" s="195">
        <f>'[8]Linh Kiện'!AK66</f>
        <v>581.73180192307689</v>
      </c>
      <c r="F64" s="196"/>
      <c r="G64" s="196"/>
      <c r="H64" s="196"/>
      <c r="I64" s="196"/>
      <c r="J64" s="50"/>
      <c r="K64" s="196"/>
      <c r="L64" s="196"/>
      <c r="M64" s="50">
        <v>1</v>
      </c>
      <c r="N64" s="196"/>
      <c r="O64" s="50"/>
      <c r="P64" s="196"/>
      <c r="Q64" s="196"/>
      <c r="R64" s="197">
        <f t="shared" si="2"/>
        <v>1</v>
      </c>
      <c r="T64" s="48">
        <f t="shared" si="18"/>
        <v>0</v>
      </c>
      <c r="U64" s="48">
        <f t="shared" si="18"/>
        <v>0</v>
      </c>
      <c r="V64" s="48">
        <f t="shared" si="18"/>
        <v>0</v>
      </c>
      <c r="W64" s="48">
        <f t="shared" si="17"/>
        <v>0</v>
      </c>
      <c r="X64" s="48">
        <f t="shared" si="17"/>
        <v>0</v>
      </c>
      <c r="Y64" s="48">
        <f t="shared" si="17"/>
        <v>0</v>
      </c>
      <c r="Z64" s="48">
        <f t="shared" si="17"/>
        <v>0</v>
      </c>
      <c r="AA64" s="48">
        <f t="shared" si="17"/>
        <v>581.73180192307689</v>
      </c>
      <c r="AB64" s="48">
        <f t="shared" si="17"/>
        <v>0</v>
      </c>
      <c r="AC64" s="48">
        <f t="shared" si="17"/>
        <v>0</v>
      </c>
      <c r="AD64" s="48">
        <f t="shared" si="17"/>
        <v>0</v>
      </c>
      <c r="AE64" s="48">
        <f t="shared" si="17"/>
        <v>0</v>
      </c>
      <c r="AG64" s="293" t="e">
        <v>#N/A</v>
      </c>
      <c r="AH64" s="293" t="e">
        <v>#N/A</v>
      </c>
      <c r="AI64" s="293" t="e">
        <v>#N/A</v>
      </c>
      <c r="AJ64" s="293" t="e">
        <v>#N/A</v>
      </c>
      <c r="AK64" s="2" t="e">
        <v>#N/A</v>
      </c>
      <c r="AL64" s="293" t="e">
        <v>#N/A</v>
      </c>
      <c r="AN64" s="232"/>
      <c r="AO64" s="77">
        <f t="shared" si="4"/>
        <v>0</v>
      </c>
      <c r="AP64" s="232"/>
      <c r="AQ64" s="279">
        <f t="shared" si="5"/>
        <v>0</v>
      </c>
      <c r="AR64" s="232"/>
      <c r="AS64" s="279">
        <f t="shared" si="6"/>
        <v>0</v>
      </c>
      <c r="AT64" s="232"/>
      <c r="AU64" s="279">
        <f t="shared" si="7"/>
        <v>0</v>
      </c>
      <c r="AV64" s="232"/>
      <c r="AW64" s="279">
        <f t="shared" si="8"/>
        <v>0</v>
      </c>
      <c r="AX64" s="232"/>
      <c r="AY64" s="279">
        <f t="shared" si="9"/>
        <v>0</v>
      </c>
      <c r="AZ64" s="232"/>
      <c r="BA64" s="279">
        <f t="shared" si="10"/>
        <v>0</v>
      </c>
      <c r="BB64" s="232"/>
      <c r="BC64" s="279">
        <f t="shared" si="11"/>
        <v>0</v>
      </c>
      <c r="BD64" s="232"/>
      <c r="BE64" s="279">
        <f t="shared" si="12"/>
        <v>0</v>
      </c>
      <c r="BF64" s="232"/>
      <c r="BG64" s="279">
        <f t="shared" si="13"/>
        <v>0</v>
      </c>
      <c r="BH64" s="232"/>
      <c r="BI64" s="279">
        <f t="shared" si="14"/>
        <v>0</v>
      </c>
      <c r="BJ64" s="232"/>
      <c r="BK64" s="279">
        <f t="shared" si="15"/>
        <v>0</v>
      </c>
    </row>
    <row r="65" spans="1:63" ht="16.5" thickBot="1">
      <c r="A65" s="233">
        <v>61</v>
      </c>
      <c r="B65" s="53" t="str">
        <f>'[8]Linh Kiện'!D67</f>
        <v>S723746</v>
      </c>
      <c r="C65" s="51" t="str">
        <f t="shared" si="1"/>
        <v>XEM</v>
      </c>
      <c r="D65" s="49">
        <f>'[8]Linh Kiện'!E67</f>
        <v>1</v>
      </c>
      <c r="E65" s="195">
        <f>'[8]Linh Kiện'!AK67</f>
        <v>416.60719999999992</v>
      </c>
      <c r="F65" s="196"/>
      <c r="G65" s="196">
        <v>1</v>
      </c>
      <c r="H65" s="196"/>
      <c r="I65" s="196"/>
      <c r="J65" s="196"/>
      <c r="K65" s="50"/>
      <c r="L65" s="196"/>
      <c r="M65" s="196"/>
      <c r="N65" s="196"/>
      <c r="O65" s="50"/>
      <c r="P65" s="196"/>
      <c r="Q65" s="196"/>
      <c r="R65" s="197">
        <f t="shared" si="2"/>
        <v>1</v>
      </c>
      <c r="T65" s="48">
        <f t="shared" si="18"/>
        <v>0</v>
      </c>
      <c r="U65" s="48">
        <f t="shared" si="18"/>
        <v>416.60719999999992</v>
      </c>
      <c r="V65" s="48">
        <f t="shared" si="18"/>
        <v>0</v>
      </c>
      <c r="W65" s="48">
        <f t="shared" si="17"/>
        <v>0</v>
      </c>
      <c r="X65" s="48">
        <f t="shared" si="17"/>
        <v>0</v>
      </c>
      <c r="Y65" s="48">
        <f t="shared" si="17"/>
        <v>0</v>
      </c>
      <c r="Z65" s="48">
        <f t="shared" si="17"/>
        <v>0</v>
      </c>
      <c r="AA65" s="48">
        <f t="shared" si="17"/>
        <v>0</v>
      </c>
      <c r="AB65" s="48">
        <f t="shared" si="17"/>
        <v>0</v>
      </c>
      <c r="AC65" s="48">
        <f t="shared" si="17"/>
        <v>0</v>
      </c>
      <c r="AD65" s="48">
        <f t="shared" si="17"/>
        <v>0</v>
      </c>
      <c r="AE65" s="48">
        <f t="shared" si="17"/>
        <v>0</v>
      </c>
      <c r="AG65" s="377" t="e">
        <v>#N/A</v>
      </c>
      <c r="AH65" s="293" t="e">
        <v>#N/A</v>
      </c>
      <c r="AI65" s="293" t="e">
        <v>#N/A</v>
      </c>
      <c r="AJ65" s="293" t="e">
        <v>#N/A</v>
      </c>
      <c r="AK65" s="2" t="e">
        <v>#N/A</v>
      </c>
      <c r="AL65" s="293" t="e">
        <v>#N/A</v>
      </c>
      <c r="AN65" s="232"/>
      <c r="AO65" s="77">
        <f t="shared" si="4"/>
        <v>0</v>
      </c>
      <c r="AP65" s="232"/>
      <c r="AQ65" s="279">
        <f t="shared" si="5"/>
        <v>0</v>
      </c>
      <c r="AR65" s="232"/>
      <c r="AS65" s="279">
        <f t="shared" si="6"/>
        <v>0</v>
      </c>
      <c r="AT65" s="232"/>
      <c r="AU65" s="279">
        <f t="shared" si="7"/>
        <v>0</v>
      </c>
      <c r="AV65" s="232"/>
      <c r="AW65" s="279">
        <f t="shared" si="8"/>
        <v>0</v>
      </c>
      <c r="AX65" s="232"/>
      <c r="AY65" s="279">
        <f t="shared" si="9"/>
        <v>0</v>
      </c>
      <c r="AZ65" s="232"/>
      <c r="BA65" s="279">
        <f t="shared" si="10"/>
        <v>0</v>
      </c>
      <c r="BB65" s="232"/>
      <c r="BC65" s="279">
        <f t="shared" si="11"/>
        <v>0</v>
      </c>
      <c r="BD65" s="232"/>
      <c r="BE65" s="279">
        <f t="shared" si="12"/>
        <v>0</v>
      </c>
      <c r="BF65" s="232"/>
      <c r="BG65" s="279">
        <f t="shared" si="13"/>
        <v>0</v>
      </c>
      <c r="BH65" s="232"/>
      <c r="BI65" s="279">
        <f t="shared" si="14"/>
        <v>0</v>
      </c>
      <c r="BJ65" s="232"/>
      <c r="BK65" s="279">
        <f t="shared" si="15"/>
        <v>0</v>
      </c>
    </row>
    <row r="66" spans="1:63" ht="18" thickBot="1">
      <c r="A66" s="233">
        <v>62</v>
      </c>
      <c r="B66" s="53" t="str">
        <f>'[8]Linh Kiện'!D68</f>
        <v>S868074</v>
      </c>
      <c r="C66" s="51" t="str">
        <f t="shared" si="1"/>
        <v>XEM</v>
      </c>
      <c r="D66" s="49">
        <f>'[8]Linh Kiện'!E68</f>
        <v>1</v>
      </c>
      <c r="E66" s="195">
        <f>'[8]Linh Kiện'!AK68</f>
        <v>794.08159999999998</v>
      </c>
      <c r="F66" s="196"/>
      <c r="G66" s="196"/>
      <c r="H66" s="196"/>
      <c r="I66" s="196">
        <v>1</v>
      </c>
      <c r="J66" s="196"/>
      <c r="K66" s="50"/>
      <c r="L66" s="196"/>
      <c r="M66" s="50"/>
      <c r="N66" s="196"/>
      <c r="O66" s="50"/>
      <c r="P66" s="196"/>
      <c r="Q66" s="196"/>
      <c r="R66" s="197">
        <f t="shared" si="2"/>
        <v>1</v>
      </c>
      <c r="T66" s="48">
        <f t="shared" si="18"/>
        <v>0</v>
      </c>
      <c r="U66" s="48">
        <f t="shared" si="18"/>
        <v>0</v>
      </c>
      <c r="V66" s="48">
        <f t="shared" si="18"/>
        <v>0</v>
      </c>
      <c r="W66" s="48">
        <f t="shared" si="17"/>
        <v>794.08159999999998</v>
      </c>
      <c r="X66" s="48">
        <f t="shared" si="17"/>
        <v>0</v>
      </c>
      <c r="Y66" s="48">
        <f t="shared" si="17"/>
        <v>0</v>
      </c>
      <c r="Z66" s="48">
        <f t="shared" si="17"/>
        <v>0</v>
      </c>
      <c r="AA66" s="48">
        <f t="shared" si="17"/>
        <v>0</v>
      </c>
      <c r="AB66" s="48">
        <f t="shared" si="17"/>
        <v>0</v>
      </c>
      <c r="AC66" s="48">
        <f t="shared" si="17"/>
        <v>0</v>
      </c>
      <c r="AD66" s="48">
        <f t="shared" si="17"/>
        <v>0</v>
      </c>
      <c r="AE66" s="48">
        <f t="shared" si="17"/>
        <v>0</v>
      </c>
      <c r="AG66" s="370" t="s">
        <v>827</v>
      </c>
      <c r="AH66" s="372">
        <v>2</v>
      </c>
      <c r="AI66" s="293">
        <v>1</v>
      </c>
      <c r="AJ66" s="379" t="s">
        <v>865</v>
      </c>
      <c r="AK66" s="2" t="s">
        <v>883</v>
      </c>
      <c r="AL66" s="293" t="s">
        <v>589</v>
      </c>
      <c r="AM66" t="s">
        <v>814</v>
      </c>
      <c r="AN66" s="232"/>
      <c r="AO66" s="77">
        <f t="shared" si="4"/>
        <v>0</v>
      </c>
      <c r="AP66" s="232"/>
      <c r="AQ66" s="279">
        <f t="shared" si="5"/>
        <v>0</v>
      </c>
      <c r="AR66" s="232">
        <v>1</v>
      </c>
      <c r="AS66" s="279">
        <f t="shared" si="6"/>
        <v>794.08159999999998</v>
      </c>
      <c r="AT66" s="232"/>
      <c r="AU66" s="279">
        <f t="shared" si="7"/>
        <v>0</v>
      </c>
      <c r="AV66" s="232"/>
      <c r="AW66" s="279">
        <f t="shared" si="8"/>
        <v>0</v>
      </c>
      <c r="AX66" s="232"/>
      <c r="AY66" s="279">
        <f t="shared" si="9"/>
        <v>0</v>
      </c>
      <c r="AZ66" s="232"/>
      <c r="BA66" s="279">
        <f t="shared" si="10"/>
        <v>0</v>
      </c>
      <c r="BB66" s="232"/>
      <c r="BC66" s="279">
        <f t="shared" si="11"/>
        <v>0</v>
      </c>
      <c r="BD66" s="232"/>
      <c r="BE66" s="279">
        <f t="shared" si="12"/>
        <v>0</v>
      </c>
      <c r="BF66" s="232"/>
      <c r="BG66" s="279">
        <f t="shared" si="13"/>
        <v>0</v>
      </c>
      <c r="BH66" s="232"/>
      <c r="BI66" s="279">
        <f t="shared" si="14"/>
        <v>0</v>
      </c>
      <c r="BJ66" s="232"/>
      <c r="BK66" s="279">
        <f t="shared" si="15"/>
        <v>0</v>
      </c>
    </row>
    <row r="67" spans="1:63" ht="15.75">
      <c r="A67" s="233">
        <v>63</v>
      </c>
      <c r="B67" s="53" t="str">
        <f>'[8]Linh Kiện'!D69</f>
        <v>S895697</v>
      </c>
      <c r="C67" s="51" t="str">
        <f t="shared" si="1"/>
        <v>XEM</v>
      </c>
      <c r="D67" s="49">
        <f>'[8]Linh Kiện'!E69</f>
        <v>2</v>
      </c>
      <c r="E67" s="195">
        <f>'[8]Linh Kiện'!AK69</f>
        <v>643.69799999999998</v>
      </c>
      <c r="F67" s="196"/>
      <c r="G67" s="196"/>
      <c r="H67" s="196"/>
      <c r="I67" s="196"/>
      <c r="J67" s="196"/>
      <c r="K67" s="196"/>
      <c r="L67" s="196"/>
      <c r="M67" s="196"/>
      <c r="N67" s="196"/>
      <c r="O67" s="50">
        <v>2</v>
      </c>
      <c r="P67" s="50"/>
      <c r="Q67" s="196"/>
      <c r="R67" s="197">
        <f t="shared" si="2"/>
        <v>2</v>
      </c>
      <c r="T67" s="48">
        <f t="shared" si="18"/>
        <v>0</v>
      </c>
      <c r="U67" s="48">
        <f t="shared" si="18"/>
        <v>0</v>
      </c>
      <c r="V67" s="48">
        <f t="shared" si="18"/>
        <v>0</v>
      </c>
      <c r="W67" s="48">
        <f t="shared" si="17"/>
        <v>0</v>
      </c>
      <c r="X67" s="48">
        <f t="shared" si="17"/>
        <v>0</v>
      </c>
      <c r="Y67" s="48">
        <f t="shared" si="17"/>
        <v>0</v>
      </c>
      <c r="Z67" s="48">
        <f t="shared" si="17"/>
        <v>0</v>
      </c>
      <c r="AA67" s="48">
        <f t="shared" si="17"/>
        <v>0</v>
      </c>
      <c r="AB67" s="48">
        <f t="shared" si="17"/>
        <v>0</v>
      </c>
      <c r="AC67" s="48">
        <f t="shared" si="17"/>
        <v>1287.396</v>
      </c>
      <c r="AD67" s="48">
        <f t="shared" si="17"/>
        <v>0</v>
      </c>
      <c r="AE67" s="48">
        <f t="shared" si="17"/>
        <v>0</v>
      </c>
      <c r="AG67" s="378" t="e">
        <v>#N/A</v>
      </c>
      <c r="AH67" s="293" t="e">
        <v>#N/A</v>
      </c>
      <c r="AI67" s="293" t="e">
        <v>#N/A</v>
      </c>
      <c r="AJ67" s="293" t="e">
        <v>#N/A</v>
      </c>
      <c r="AK67" s="2" t="e">
        <v>#N/A</v>
      </c>
      <c r="AL67" s="293" t="e">
        <v>#N/A</v>
      </c>
      <c r="AN67" s="232"/>
      <c r="AO67" s="77">
        <f t="shared" si="4"/>
        <v>0</v>
      </c>
      <c r="AP67" s="232"/>
      <c r="AQ67" s="279">
        <f t="shared" si="5"/>
        <v>0</v>
      </c>
      <c r="AR67" s="232"/>
      <c r="AS67" s="279">
        <f t="shared" si="6"/>
        <v>0</v>
      </c>
      <c r="AT67" s="232"/>
      <c r="AU67" s="279">
        <f t="shared" si="7"/>
        <v>0</v>
      </c>
      <c r="AV67" s="232"/>
      <c r="AW67" s="279">
        <f t="shared" si="8"/>
        <v>0</v>
      </c>
      <c r="AX67" s="232"/>
      <c r="AY67" s="279">
        <f t="shared" si="9"/>
        <v>0</v>
      </c>
      <c r="AZ67" s="232"/>
      <c r="BA67" s="279">
        <f t="shared" si="10"/>
        <v>0</v>
      </c>
      <c r="BB67" s="232"/>
      <c r="BC67" s="279">
        <f t="shared" si="11"/>
        <v>0</v>
      </c>
      <c r="BD67" s="232"/>
      <c r="BE67" s="279">
        <f t="shared" si="12"/>
        <v>0</v>
      </c>
      <c r="BF67" s="232"/>
      <c r="BG67" s="279">
        <f t="shared" si="13"/>
        <v>0</v>
      </c>
      <c r="BH67" s="232"/>
      <c r="BI67" s="279">
        <f t="shared" si="14"/>
        <v>0</v>
      </c>
      <c r="BJ67" s="232"/>
      <c r="BK67" s="279">
        <f t="shared" si="15"/>
        <v>0</v>
      </c>
    </row>
    <row r="68" spans="1:63" ht="15.75">
      <c r="A68" s="233">
        <v>64</v>
      </c>
      <c r="B68" s="53" t="str">
        <f>'[8]Linh Kiện'!D70</f>
        <v>S895704</v>
      </c>
      <c r="C68" s="51" t="str">
        <f t="shared" si="1"/>
        <v>XEM</v>
      </c>
      <c r="D68" s="49">
        <f>'[8]Linh Kiện'!E70</f>
        <v>2</v>
      </c>
      <c r="E68" s="195">
        <f>'[8]Linh Kiện'!AK70</f>
        <v>332</v>
      </c>
      <c r="F68" s="196"/>
      <c r="G68" s="196"/>
      <c r="H68" s="196"/>
      <c r="I68" s="196"/>
      <c r="J68" s="196"/>
      <c r="K68" s="196"/>
      <c r="L68" s="196">
        <v>2</v>
      </c>
      <c r="M68" s="196"/>
      <c r="N68" s="196"/>
      <c r="O68" s="50"/>
      <c r="P68" s="196"/>
      <c r="Q68" s="50"/>
      <c r="R68" s="197">
        <f t="shared" si="2"/>
        <v>2</v>
      </c>
      <c r="T68" s="48">
        <f t="shared" si="18"/>
        <v>0</v>
      </c>
      <c r="U68" s="48">
        <f t="shared" si="18"/>
        <v>0</v>
      </c>
      <c r="V68" s="48">
        <f t="shared" si="18"/>
        <v>0</v>
      </c>
      <c r="W68" s="48">
        <f t="shared" si="17"/>
        <v>0</v>
      </c>
      <c r="X68" s="48">
        <f t="shared" si="17"/>
        <v>0</v>
      </c>
      <c r="Y68" s="48">
        <f t="shared" si="17"/>
        <v>0</v>
      </c>
      <c r="Z68" s="48">
        <f t="shared" si="17"/>
        <v>664</v>
      </c>
      <c r="AA68" s="48">
        <f t="shared" si="17"/>
        <v>0</v>
      </c>
      <c r="AB68" s="48">
        <f t="shared" si="17"/>
        <v>0</v>
      </c>
      <c r="AC68" s="48">
        <f t="shared" si="17"/>
        <v>0</v>
      </c>
      <c r="AD68" s="48">
        <f t="shared" si="17"/>
        <v>0</v>
      </c>
      <c r="AE68" s="48">
        <f t="shared" si="17"/>
        <v>0</v>
      </c>
      <c r="AG68" s="293" t="e">
        <v>#N/A</v>
      </c>
      <c r="AH68" s="293" t="e">
        <v>#N/A</v>
      </c>
      <c r="AI68" s="293" t="e">
        <v>#N/A</v>
      </c>
      <c r="AJ68" s="293" t="e">
        <v>#N/A</v>
      </c>
      <c r="AK68" s="2" t="e">
        <v>#N/A</v>
      </c>
      <c r="AL68" s="293" t="e">
        <v>#N/A</v>
      </c>
      <c r="AN68" s="232"/>
      <c r="AO68" s="77">
        <f t="shared" si="4"/>
        <v>0</v>
      </c>
      <c r="AP68" s="232"/>
      <c r="AQ68" s="279">
        <f t="shared" si="5"/>
        <v>0</v>
      </c>
      <c r="AR68" s="232"/>
      <c r="AS68" s="279">
        <f t="shared" si="6"/>
        <v>0</v>
      </c>
      <c r="AT68" s="232"/>
      <c r="AU68" s="279">
        <f t="shared" si="7"/>
        <v>0</v>
      </c>
      <c r="AV68" s="232"/>
      <c r="AW68" s="279">
        <f t="shared" si="8"/>
        <v>0</v>
      </c>
      <c r="AX68" s="232"/>
      <c r="AY68" s="279">
        <f t="shared" si="9"/>
        <v>0</v>
      </c>
      <c r="AZ68" s="232"/>
      <c r="BA68" s="279">
        <f t="shared" si="10"/>
        <v>0</v>
      </c>
      <c r="BB68" s="232"/>
      <c r="BC68" s="279">
        <f t="shared" si="11"/>
        <v>0</v>
      </c>
      <c r="BD68" s="232"/>
      <c r="BE68" s="279">
        <f t="shared" si="12"/>
        <v>0</v>
      </c>
      <c r="BF68" s="232"/>
      <c r="BG68" s="279">
        <f t="shared" si="13"/>
        <v>0</v>
      </c>
      <c r="BH68" s="232"/>
      <c r="BI68" s="279">
        <f t="shared" si="14"/>
        <v>0</v>
      </c>
      <c r="BJ68" s="232"/>
      <c r="BK68" s="279">
        <f t="shared" si="15"/>
        <v>0</v>
      </c>
    </row>
    <row r="69" spans="1:63" ht="15.75">
      <c r="A69" s="233">
        <v>65</v>
      </c>
      <c r="B69" s="53" t="str">
        <f>'[8]Linh Kiện'!D71</f>
        <v>S895706</v>
      </c>
      <c r="C69" s="51" t="str">
        <f t="shared" si="1"/>
        <v>XEM</v>
      </c>
      <c r="D69" s="49">
        <f>'[8]Linh Kiện'!E71</f>
        <v>2</v>
      </c>
      <c r="E69" s="195">
        <f>'[8]Linh Kiện'!AK71</f>
        <v>654.298</v>
      </c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50">
        <v>2</v>
      </c>
      <c r="Q69" s="50"/>
      <c r="R69" s="197">
        <f t="shared" si="2"/>
        <v>2</v>
      </c>
      <c r="T69" s="48">
        <f t="shared" si="18"/>
        <v>0</v>
      </c>
      <c r="U69" s="48">
        <f t="shared" si="18"/>
        <v>0</v>
      </c>
      <c r="V69" s="48">
        <f t="shared" si="18"/>
        <v>0</v>
      </c>
      <c r="W69" s="48">
        <f t="shared" si="17"/>
        <v>0</v>
      </c>
      <c r="X69" s="48">
        <f t="shared" si="17"/>
        <v>0</v>
      </c>
      <c r="Y69" s="48">
        <f t="shared" si="17"/>
        <v>0</v>
      </c>
      <c r="Z69" s="48">
        <f t="shared" si="17"/>
        <v>0</v>
      </c>
      <c r="AA69" s="48">
        <f t="shared" si="17"/>
        <v>0</v>
      </c>
      <c r="AB69" s="48">
        <f t="shared" si="17"/>
        <v>0</v>
      </c>
      <c r="AC69" s="48">
        <f t="shared" si="17"/>
        <v>0</v>
      </c>
      <c r="AD69" s="48">
        <f t="shared" si="17"/>
        <v>1308.596</v>
      </c>
      <c r="AE69" s="48">
        <f t="shared" si="17"/>
        <v>0</v>
      </c>
      <c r="AG69" s="293" t="e">
        <v>#N/A</v>
      </c>
      <c r="AH69" s="293" t="e">
        <v>#N/A</v>
      </c>
      <c r="AI69" s="293" t="e">
        <v>#N/A</v>
      </c>
      <c r="AJ69" s="293" t="e">
        <v>#N/A</v>
      </c>
      <c r="AK69" s="2" t="e">
        <v>#N/A</v>
      </c>
      <c r="AL69" s="293" t="e">
        <v>#N/A</v>
      </c>
      <c r="AN69" s="232"/>
      <c r="AO69" s="77">
        <f t="shared" si="4"/>
        <v>0</v>
      </c>
      <c r="AP69" s="232"/>
      <c r="AQ69" s="279">
        <f t="shared" si="5"/>
        <v>0</v>
      </c>
      <c r="AR69" s="232"/>
      <c r="AS69" s="279">
        <f t="shared" si="6"/>
        <v>0</v>
      </c>
      <c r="AT69" s="232"/>
      <c r="AU69" s="279">
        <f t="shared" si="7"/>
        <v>0</v>
      </c>
      <c r="AV69" s="232"/>
      <c r="AW69" s="279">
        <f t="shared" si="8"/>
        <v>0</v>
      </c>
      <c r="AX69" s="232"/>
      <c r="AY69" s="279">
        <f t="shared" si="9"/>
        <v>0</v>
      </c>
      <c r="AZ69" s="232"/>
      <c r="BA69" s="279">
        <f t="shared" si="10"/>
        <v>0</v>
      </c>
      <c r="BB69" s="232"/>
      <c r="BC69" s="279">
        <f t="shared" si="11"/>
        <v>0</v>
      </c>
      <c r="BD69" s="232"/>
      <c r="BE69" s="279">
        <f t="shared" si="12"/>
        <v>0</v>
      </c>
      <c r="BF69" s="232"/>
      <c r="BG69" s="279">
        <f t="shared" si="13"/>
        <v>0</v>
      </c>
      <c r="BH69" s="232"/>
      <c r="BI69" s="279">
        <f t="shared" si="14"/>
        <v>0</v>
      </c>
      <c r="BJ69" s="232"/>
      <c r="BK69" s="279">
        <f t="shared" si="15"/>
        <v>0</v>
      </c>
    </row>
    <row r="70" spans="1:63" ht="15.75">
      <c r="A70" s="233">
        <v>66</v>
      </c>
      <c r="B70" s="53" t="str">
        <f>'[8]Linh Kiện'!D72</f>
        <v>S895703</v>
      </c>
      <c r="C70" s="51" t="str">
        <f t="shared" ref="C70:C92" si="19">IF(B70="","",HYPERLINK("\\vdm-fsvr\Cokhi-機工\CONG VIEC CHUNG 2026\★2026年度年次目標設定\5.COSTDOWN 2026\5.MỤC TIÊU 2026\COSTDOWN 2026\PDF\"&amp;B70&amp;".pdf","XEM"))</f>
        <v>XEM</v>
      </c>
      <c r="D70" s="49">
        <f>'[8]Linh Kiện'!E72</f>
        <v>2</v>
      </c>
      <c r="E70" s="195">
        <f>'[8]Linh Kiện'!AK72</f>
        <v>248.0008</v>
      </c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50"/>
      <c r="Q70" s="50">
        <v>2</v>
      </c>
      <c r="R70" s="197">
        <f t="shared" ref="R70:R92" si="20">SUM(F70:Q70)</f>
        <v>2</v>
      </c>
      <c r="T70" s="48">
        <f t="shared" si="18"/>
        <v>0</v>
      </c>
      <c r="U70" s="48">
        <f t="shared" si="18"/>
        <v>0</v>
      </c>
      <c r="V70" s="48">
        <f t="shared" si="18"/>
        <v>0</v>
      </c>
      <c r="W70" s="48">
        <f t="shared" si="17"/>
        <v>0</v>
      </c>
      <c r="X70" s="48">
        <f t="shared" si="17"/>
        <v>0</v>
      </c>
      <c r="Y70" s="48">
        <f t="shared" si="17"/>
        <v>0</v>
      </c>
      <c r="Z70" s="48">
        <f t="shared" si="17"/>
        <v>0</v>
      </c>
      <c r="AA70" s="48">
        <f t="shared" si="17"/>
        <v>0</v>
      </c>
      <c r="AB70" s="48">
        <f t="shared" si="17"/>
        <v>0</v>
      </c>
      <c r="AC70" s="48">
        <f t="shared" si="17"/>
        <v>0</v>
      </c>
      <c r="AD70" s="48">
        <f t="shared" si="17"/>
        <v>0</v>
      </c>
      <c r="AE70" s="48">
        <f t="shared" si="17"/>
        <v>496.0016</v>
      </c>
      <c r="AG70" s="293" t="e">
        <v>#N/A</v>
      </c>
      <c r="AH70" s="293" t="e">
        <v>#N/A</v>
      </c>
      <c r="AI70" s="293" t="e">
        <v>#N/A</v>
      </c>
      <c r="AJ70" s="293" t="e">
        <v>#N/A</v>
      </c>
      <c r="AK70" s="2" t="e">
        <v>#N/A</v>
      </c>
      <c r="AL70" s="293" t="e">
        <v>#N/A</v>
      </c>
      <c r="AN70" s="232"/>
      <c r="AO70" s="77">
        <f t="shared" ref="AO70:AO92" si="21">AN70*E70</f>
        <v>0</v>
      </c>
      <c r="AP70" s="232"/>
      <c r="AQ70" s="279">
        <f t="shared" ref="AQ70:AQ92" si="22">AP70*E70</f>
        <v>0</v>
      </c>
      <c r="AR70" s="232"/>
      <c r="AS70" s="279">
        <f t="shared" ref="AS70:AS92" si="23">AR70*E70</f>
        <v>0</v>
      </c>
      <c r="AT70" s="232"/>
      <c r="AU70" s="279">
        <f t="shared" ref="AU70:AU92" si="24">AT70*E70</f>
        <v>0</v>
      </c>
      <c r="AV70" s="232"/>
      <c r="AW70" s="279">
        <f t="shared" ref="AW70:AW92" si="25">AV70*E70</f>
        <v>0</v>
      </c>
      <c r="AX70" s="232"/>
      <c r="AY70" s="279">
        <f t="shared" ref="AY70:AY92" si="26">AX70*E70</f>
        <v>0</v>
      </c>
      <c r="AZ70" s="232"/>
      <c r="BA70" s="279">
        <f t="shared" ref="BA70:BA92" si="27">AZ70*E70</f>
        <v>0</v>
      </c>
      <c r="BB70" s="232"/>
      <c r="BC70" s="279">
        <f t="shared" ref="BC70:BC92" si="28">BB70*E70</f>
        <v>0</v>
      </c>
      <c r="BD70" s="232"/>
      <c r="BE70" s="279">
        <f t="shared" ref="BE70:BE92" si="29">BD70*E70</f>
        <v>0</v>
      </c>
      <c r="BF70" s="232"/>
      <c r="BG70" s="279">
        <f t="shared" ref="BG70:BG92" si="30">BF70*E70</f>
        <v>0</v>
      </c>
      <c r="BH70" s="232"/>
      <c r="BI70" s="279">
        <f t="shared" ref="BI70:BI92" si="31">BH70*E70</f>
        <v>0</v>
      </c>
      <c r="BJ70" s="232"/>
      <c r="BK70" s="279">
        <f t="shared" ref="BK70:BK92" si="32">BJ70*E70</f>
        <v>0</v>
      </c>
    </row>
    <row r="71" spans="1:63" ht="15.75">
      <c r="A71" s="233">
        <v>67</v>
      </c>
      <c r="B71" s="53" t="str">
        <f>'[8]Linh Kiện'!D73</f>
        <v>S799127</v>
      </c>
      <c r="C71" s="51" t="str">
        <f t="shared" si="19"/>
        <v>XEM</v>
      </c>
      <c r="D71" s="49">
        <f>'[8]Linh Kiện'!E73</f>
        <v>2</v>
      </c>
      <c r="E71" s="195">
        <f>'[8]Linh Kiện'!AK73</f>
        <v>52.000799999999998</v>
      </c>
      <c r="F71" s="196">
        <v>2</v>
      </c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50"/>
      <c r="R71" s="197">
        <f t="shared" si="20"/>
        <v>2</v>
      </c>
      <c r="T71" s="48">
        <f t="shared" si="18"/>
        <v>104.0016</v>
      </c>
      <c r="U71" s="48">
        <f t="shared" si="18"/>
        <v>0</v>
      </c>
      <c r="V71" s="48">
        <f t="shared" si="18"/>
        <v>0</v>
      </c>
      <c r="W71" s="48">
        <f t="shared" si="17"/>
        <v>0</v>
      </c>
      <c r="X71" s="48">
        <f t="shared" si="17"/>
        <v>0</v>
      </c>
      <c r="Y71" s="48">
        <f t="shared" si="17"/>
        <v>0</v>
      </c>
      <c r="Z71" s="48">
        <f t="shared" si="17"/>
        <v>0</v>
      </c>
      <c r="AA71" s="48">
        <f t="shared" si="17"/>
        <v>0</v>
      </c>
      <c r="AB71" s="48">
        <f t="shared" si="17"/>
        <v>0</v>
      </c>
      <c r="AC71" s="48">
        <f t="shared" si="17"/>
        <v>0</v>
      </c>
      <c r="AD71" s="48">
        <f t="shared" si="17"/>
        <v>0</v>
      </c>
      <c r="AE71" s="48">
        <f t="shared" si="17"/>
        <v>0</v>
      </c>
      <c r="AG71" s="293" t="e">
        <v>#N/A</v>
      </c>
      <c r="AH71" s="293" t="e">
        <v>#N/A</v>
      </c>
      <c r="AI71" s="293" t="e">
        <v>#N/A</v>
      </c>
      <c r="AJ71" s="293" t="e">
        <v>#N/A</v>
      </c>
      <c r="AK71" s="2" t="e">
        <v>#N/A</v>
      </c>
      <c r="AL71" s="293" t="e">
        <v>#N/A</v>
      </c>
      <c r="AN71" s="232"/>
      <c r="AO71" s="77">
        <f t="shared" si="21"/>
        <v>0</v>
      </c>
      <c r="AP71" s="232"/>
      <c r="AQ71" s="279">
        <f t="shared" si="22"/>
        <v>0</v>
      </c>
      <c r="AR71" s="232"/>
      <c r="AS71" s="279">
        <f t="shared" si="23"/>
        <v>0</v>
      </c>
      <c r="AT71" s="232"/>
      <c r="AU71" s="279">
        <f t="shared" si="24"/>
        <v>0</v>
      </c>
      <c r="AV71" s="232"/>
      <c r="AW71" s="279">
        <f t="shared" si="25"/>
        <v>0</v>
      </c>
      <c r="AX71" s="232"/>
      <c r="AY71" s="279">
        <f t="shared" si="26"/>
        <v>0</v>
      </c>
      <c r="AZ71" s="232"/>
      <c r="BA71" s="279">
        <f t="shared" si="27"/>
        <v>0</v>
      </c>
      <c r="BB71" s="232"/>
      <c r="BC71" s="279">
        <f t="shared" si="28"/>
        <v>0</v>
      </c>
      <c r="BD71" s="232"/>
      <c r="BE71" s="279">
        <f t="shared" si="29"/>
        <v>0</v>
      </c>
      <c r="BF71" s="232"/>
      <c r="BG71" s="279">
        <f t="shared" si="30"/>
        <v>0</v>
      </c>
      <c r="BH71" s="232"/>
      <c r="BI71" s="279">
        <f t="shared" si="31"/>
        <v>0</v>
      </c>
      <c r="BJ71" s="232"/>
      <c r="BK71" s="279">
        <f t="shared" si="32"/>
        <v>0</v>
      </c>
    </row>
    <row r="72" spans="1:63" ht="15.75">
      <c r="A72" s="233">
        <v>68</v>
      </c>
      <c r="B72" s="53" t="str">
        <f>'[8]Linh Kiện'!D74</f>
        <v>S799137</v>
      </c>
      <c r="C72" s="51" t="str">
        <f t="shared" si="19"/>
        <v>XEM</v>
      </c>
      <c r="D72" s="49">
        <f>'[8]Linh Kiện'!E74</f>
        <v>2</v>
      </c>
      <c r="E72" s="195">
        <f>'[8]Linh Kiện'!AK74</f>
        <v>107.0008</v>
      </c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>
        <v>2</v>
      </c>
      <c r="Q72" s="199"/>
      <c r="R72" s="197">
        <f t="shared" si="20"/>
        <v>2</v>
      </c>
      <c r="T72" s="48">
        <f t="shared" si="18"/>
        <v>0</v>
      </c>
      <c r="U72" s="48">
        <f t="shared" si="18"/>
        <v>0</v>
      </c>
      <c r="V72" s="48">
        <f t="shared" si="18"/>
        <v>0</v>
      </c>
      <c r="W72" s="48">
        <f t="shared" si="17"/>
        <v>0</v>
      </c>
      <c r="X72" s="48">
        <f t="shared" si="17"/>
        <v>0</v>
      </c>
      <c r="Y72" s="48">
        <f t="shared" si="17"/>
        <v>0</v>
      </c>
      <c r="Z72" s="48">
        <f t="shared" si="17"/>
        <v>0</v>
      </c>
      <c r="AA72" s="48">
        <f t="shared" si="17"/>
        <v>0</v>
      </c>
      <c r="AB72" s="48">
        <f t="shared" si="17"/>
        <v>0</v>
      </c>
      <c r="AC72" s="48">
        <f t="shared" si="17"/>
        <v>0</v>
      </c>
      <c r="AD72" s="48">
        <f t="shared" si="17"/>
        <v>214.0016</v>
      </c>
      <c r="AE72" s="48">
        <f t="shared" si="17"/>
        <v>0</v>
      </c>
      <c r="AG72" s="293" t="e">
        <v>#N/A</v>
      </c>
      <c r="AH72" s="293" t="e">
        <v>#N/A</v>
      </c>
      <c r="AI72" s="293" t="e">
        <v>#N/A</v>
      </c>
      <c r="AJ72" s="293" t="e">
        <v>#N/A</v>
      </c>
      <c r="AK72" s="2" t="e">
        <v>#N/A</v>
      </c>
      <c r="AL72" s="293" t="e">
        <v>#N/A</v>
      </c>
      <c r="AN72" s="232"/>
      <c r="AO72" s="77">
        <f t="shared" si="21"/>
        <v>0</v>
      </c>
      <c r="AP72" s="232"/>
      <c r="AQ72" s="279">
        <f t="shared" si="22"/>
        <v>0</v>
      </c>
      <c r="AR72" s="232"/>
      <c r="AS72" s="279">
        <f t="shared" si="23"/>
        <v>0</v>
      </c>
      <c r="AT72" s="232"/>
      <c r="AU72" s="279">
        <f t="shared" si="24"/>
        <v>0</v>
      </c>
      <c r="AV72" s="232"/>
      <c r="AW72" s="279">
        <f t="shared" si="25"/>
        <v>0</v>
      </c>
      <c r="AX72" s="232"/>
      <c r="AY72" s="279">
        <f t="shared" si="26"/>
        <v>0</v>
      </c>
      <c r="AZ72" s="232"/>
      <c r="BA72" s="279">
        <f t="shared" si="27"/>
        <v>0</v>
      </c>
      <c r="BB72" s="232"/>
      <c r="BC72" s="279">
        <f t="shared" si="28"/>
        <v>0</v>
      </c>
      <c r="BD72" s="232"/>
      <c r="BE72" s="279">
        <f t="shared" si="29"/>
        <v>0</v>
      </c>
      <c r="BF72" s="232"/>
      <c r="BG72" s="279">
        <f t="shared" si="30"/>
        <v>0</v>
      </c>
      <c r="BH72" s="232"/>
      <c r="BI72" s="279">
        <f t="shared" si="31"/>
        <v>0</v>
      </c>
      <c r="BJ72" s="232"/>
      <c r="BK72" s="279">
        <f t="shared" si="32"/>
        <v>0</v>
      </c>
    </row>
    <row r="73" spans="1:63">
      <c r="A73" s="233">
        <v>69</v>
      </c>
      <c r="B73" s="53" t="str">
        <f>'[8]Linh Kiện'!D75</f>
        <v>S799139</v>
      </c>
      <c r="C73" s="51" t="str">
        <f t="shared" si="19"/>
        <v>XEM</v>
      </c>
      <c r="D73" s="49">
        <f>'[8]Linh Kiện'!E75</f>
        <v>2</v>
      </c>
      <c r="E73" s="195">
        <f>'[8]Linh Kiện'!AK75</f>
        <v>150.0008</v>
      </c>
      <c r="F73" s="200"/>
      <c r="G73" s="200"/>
      <c r="H73" s="201"/>
      <c r="I73" s="200"/>
      <c r="J73" s="200">
        <v>2</v>
      </c>
      <c r="K73" s="200"/>
      <c r="L73" s="200"/>
      <c r="M73" s="200"/>
      <c r="N73" s="200"/>
      <c r="O73" s="200"/>
      <c r="P73" s="200"/>
      <c r="Q73" s="200"/>
      <c r="R73" s="197">
        <f t="shared" si="20"/>
        <v>2</v>
      </c>
      <c r="T73" s="48">
        <f t="shared" si="18"/>
        <v>0</v>
      </c>
      <c r="U73" s="48">
        <f t="shared" si="18"/>
        <v>0</v>
      </c>
      <c r="V73" s="48">
        <f t="shared" si="18"/>
        <v>0</v>
      </c>
      <c r="W73" s="48">
        <f t="shared" si="17"/>
        <v>0</v>
      </c>
      <c r="X73" s="48">
        <f t="shared" si="17"/>
        <v>300.0016</v>
      </c>
      <c r="Y73" s="48">
        <f t="shared" si="17"/>
        <v>0</v>
      </c>
      <c r="Z73" s="48">
        <f t="shared" si="17"/>
        <v>0</v>
      </c>
      <c r="AA73" s="48">
        <f t="shared" si="17"/>
        <v>0</v>
      </c>
      <c r="AB73" s="48">
        <f t="shared" si="17"/>
        <v>0</v>
      </c>
      <c r="AC73" s="48">
        <f t="shared" si="17"/>
        <v>0</v>
      </c>
      <c r="AD73" s="48">
        <f t="shared" si="17"/>
        <v>0</v>
      </c>
      <c r="AE73" s="48">
        <f t="shared" si="17"/>
        <v>0</v>
      </c>
      <c r="AG73" s="293" t="e">
        <v>#N/A</v>
      </c>
      <c r="AH73" s="293" t="e">
        <v>#N/A</v>
      </c>
      <c r="AI73" s="293" t="e">
        <v>#N/A</v>
      </c>
      <c r="AJ73" s="293" t="e">
        <v>#N/A</v>
      </c>
      <c r="AK73" s="2" t="e">
        <v>#N/A</v>
      </c>
      <c r="AL73" s="293" t="e">
        <v>#N/A</v>
      </c>
      <c r="AM73" s="24"/>
      <c r="AN73" s="232"/>
      <c r="AO73" s="77">
        <f t="shared" si="21"/>
        <v>0</v>
      </c>
      <c r="AP73" s="232"/>
      <c r="AQ73" s="279">
        <f t="shared" si="22"/>
        <v>0</v>
      </c>
      <c r="AR73" s="232"/>
      <c r="AS73" s="279">
        <f t="shared" si="23"/>
        <v>0</v>
      </c>
      <c r="AT73" s="232"/>
      <c r="AU73" s="279">
        <f t="shared" si="24"/>
        <v>0</v>
      </c>
      <c r="AV73" s="232"/>
      <c r="AW73" s="279">
        <f t="shared" si="25"/>
        <v>0</v>
      </c>
      <c r="AX73" s="232"/>
      <c r="AY73" s="279">
        <f t="shared" si="26"/>
        <v>0</v>
      </c>
      <c r="AZ73" s="232"/>
      <c r="BA73" s="279">
        <f t="shared" si="27"/>
        <v>0</v>
      </c>
      <c r="BB73" s="232"/>
      <c r="BC73" s="279">
        <f t="shared" si="28"/>
        <v>0</v>
      </c>
      <c r="BD73" s="232"/>
      <c r="BE73" s="279">
        <f t="shared" si="29"/>
        <v>0</v>
      </c>
      <c r="BF73" s="232"/>
      <c r="BG73" s="279">
        <f t="shared" si="30"/>
        <v>0</v>
      </c>
      <c r="BH73" s="232"/>
      <c r="BI73" s="279">
        <f t="shared" si="31"/>
        <v>0</v>
      </c>
      <c r="BJ73" s="232"/>
      <c r="BK73" s="279">
        <f t="shared" si="32"/>
        <v>0</v>
      </c>
    </row>
    <row r="74" spans="1:63">
      <c r="A74" s="233">
        <v>70</v>
      </c>
      <c r="B74" s="53" t="str">
        <f>'[8]Linh Kiện'!D76</f>
        <v>S609460</v>
      </c>
      <c r="C74" s="51" t="str">
        <f t="shared" si="19"/>
        <v>XEM</v>
      </c>
      <c r="D74" s="49">
        <f>'[8]Linh Kiện'!E76</f>
        <v>2</v>
      </c>
      <c r="E74" s="195">
        <f>'[8]Linh Kiện'!AK76</f>
        <v>133.17079999999999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2</v>
      </c>
      <c r="Q74" s="19"/>
      <c r="R74" s="197">
        <f t="shared" si="20"/>
        <v>2</v>
      </c>
      <c r="T74" s="48">
        <f t="shared" si="18"/>
        <v>0</v>
      </c>
      <c r="U74" s="48">
        <f t="shared" si="18"/>
        <v>0</v>
      </c>
      <c r="V74" s="48">
        <f t="shared" si="18"/>
        <v>0</v>
      </c>
      <c r="W74" s="48">
        <f t="shared" si="17"/>
        <v>0</v>
      </c>
      <c r="X74" s="48">
        <f t="shared" si="17"/>
        <v>0</v>
      </c>
      <c r="Y74" s="48">
        <f t="shared" si="17"/>
        <v>0</v>
      </c>
      <c r="Z74" s="48">
        <f t="shared" si="17"/>
        <v>0</v>
      </c>
      <c r="AA74" s="48">
        <f t="shared" si="17"/>
        <v>0</v>
      </c>
      <c r="AB74" s="48">
        <f t="shared" si="17"/>
        <v>0</v>
      </c>
      <c r="AC74" s="48">
        <f t="shared" si="17"/>
        <v>0</v>
      </c>
      <c r="AD74" s="48">
        <f t="shared" si="17"/>
        <v>266.34159999999997</v>
      </c>
      <c r="AE74" s="48">
        <f t="shared" si="17"/>
        <v>0</v>
      </c>
      <c r="AG74" s="293" t="e">
        <v>#N/A</v>
      </c>
      <c r="AH74" s="293" t="e">
        <v>#N/A</v>
      </c>
      <c r="AI74" s="293" t="e">
        <v>#N/A</v>
      </c>
      <c r="AJ74" s="293" t="e">
        <v>#N/A</v>
      </c>
      <c r="AK74" s="2" t="e">
        <v>#N/A</v>
      </c>
      <c r="AL74" s="293" t="e">
        <v>#N/A</v>
      </c>
      <c r="AN74" s="232"/>
      <c r="AO74" s="77">
        <f t="shared" si="21"/>
        <v>0</v>
      </c>
      <c r="AP74" s="232"/>
      <c r="AQ74" s="279">
        <f t="shared" si="22"/>
        <v>0</v>
      </c>
      <c r="AR74" s="232"/>
      <c r="AS74" s="279">
        <f t="shared" si="23"/>
        <v>0</v>
      </c>
      <c r="AT74" s="232"/>
      <c r="AU74" s="279">
        <f t="shared" si="24"/>
        <v>0</v>
      </c>
      <c r="AV74" s="232"/>
      <c r="AW74" s="279">
        <f t="shared" si="25"/>
        <v>0</v>
      </c>
      <c r="AX74" s="232"/>
      <c r="AY74" s="279">
        <f t="shared" si="26"/>
        <v>0</v>
      </c>
      <c r="AZ74" s="232"/>
      <c r="BA74" s="279">
        <f t="shared" si="27"/>
        <v>0</v>
      </c>
      <c r="BB74" s="232"/>
      <c r="BC74" s="279">
        <f t="shared" si="28"/>
        <v>0</v>
      </c>
      <c r="BD74" s="232"/>
      <c r="BE74" s="279">
        <f t="shared" si="29"/>
        <v>0</v>
      </c>
      <c r="BF74" s="232"/>
      <c r="BG74" s="279">
        <f t="shared" si="30"/>
        <v>0</v>
      </c>
      <c r="BH74" s="232"/>
      <c r="BI74" s="279">
        <f t="shared" si="31"/>
        <v>0</v>
      </c>
      <c r="BJ74" s="232"/>
      <c r="BK74" s="279">
        <f t="shared" si="32"/>
        <v>0</v>
      </c>
    </row>
    <row r="75" spans="1:63" ht="15.75" thickBot="1">
      <c r="A75" s="233">
        <v>71</v>
      </c>
      <c r="B75" s="53" t="str">
        <f>'[8]Linh Kiện'!D77</f>
        <v>S849263</v>
      </c>
      <c r="C75" s="51" t="str">
        <f t="shared" si="19"/>
        <v>XEM</v>
      </c>
      <c r="D75" s="49">
        <f>'[8]Linh Kiện'!E77</f>
        <v>2</v>
      </c>
      <c r="E75" s="195">
        <f>'[8]Linh Kiện'!AK77</f>
        <v>4.8820000000000014</v>
      </c>
      <c r="F75" s="19"/>
      <c r="G75" s="19"/>
      <c r="H75" s="19"/>
      <c r="I75" s="19">
        <v>2</v>
      </c>
      <c r="J75" s="19"/>
      <c r="K75" s="19"/>
      <c r="L75" s="19"/>
      <c r="M75" s="19"/>
      <c r="N75" s="19"/>
      <c r="O75" s="19"/>
      <c r="P75" s="19"/>
      <c r="Q75" s="19"/>
      <c r="R75" s="197">
        <f t="shared" si="20"/>
        <v>2</v>
      </c>
      <c r="T75" s="48">
        <f t="shared" si="18"/>
        <v>0</v>
      </c>
      <c r="U75" s="48">
        <f t="shared" si="18"/>
        <v>0</v>
      </c>
      <c r="V75" s="48">
        <f t="shared" si="18"/>
        <v>0</v>
      </c>
      <c r="W75" s="48">
        <f t="shared" si="17"/>
        <v>9.7640000000000029</v>
      </c>
      <c r="X75" s="48">
        <f t="shared" si="17"/>
        <v>0</v>
      </c>
      <c r="Y75" s="48">
        <f t="shared" si="17"/>
        <v>0</v>
      </c>
      <c r="Z75" s="48">
        <f t="shared" si="17"/>
        <v>0</v>
      </c>
      <c r="AA75" s="48">
        <f t="shared" si="17"/>
        <v>0</v>
      </c>
      <c r="AB75" s="48">
        <f t="shared" si="17"/>
        <v>0</v>
      </c>
      <c r="AC75" s="48">
        <f t="shared" si="17"/>
        <v>0</v>
      </c>
      <c r="AD75" s="48">
        <f t="shared" si="17"/>
        <v>0</v>
      </c>
      <c r="AE75" s="48">
        <f t="shared" si="17"/>
        <v>0</v>
      </c>
      <c r="AG75" s="377" t="e">
        <v>#N/A</v>
      </c>
      <c r="AH75" s="293" t="e">
        <v>#N/A</v>
      </c>
      <c r="AI75" s="293" t="e">
        <v>#N/A</v>
      </c>
      <c r="AJ75" s="293" t="e">
        <v>#N/A</v>
      </c>
      <c r="AK75" s="2" t="e">
        <v>#N/A</v>
      </c>
      <c r="AL75" s="293" t="e">
        <v>#N/A</v>
      </c>
      <c r="AN75" s="232"/>
      <c r="AO75" s="77">
        <f t="shared" si="21"/>
        <v>0</v>
      </c>
      <c r="AP75" s="232"/>
      <c r="AQ75" s="279">
        <f t="shared" si="22"/>
        <v>0</v>
      </c>
      <c r="AR75" s="232"/>
      <c r="AS75" s="279">
        <f t="shared" si="23"/>
        <v>0</v>
      </c>
      <c r="AT75" s="232"/>
      <c r="AU75" s="279">
        <f t="shared" si="24"/>
        <v>0</v>
      </c>
      <c r="AV75" s="232"/>
      <c r="AW75" s="279">
        <f t="shared" si="25"/>
        <v>0</v>
      </c>
      <c r="AX75" s="232"/>
      <c r="AY75" s="279">
        <f t="shared" si="26"/>
        <v>0</v>
      </c>
      <c r="AZ75" s="232"/>
      <c r="BA75" s="279">
        <f t="shared" si="27"/>
        <v>0</v>
      </c>
      <c r="BB75" s="232"/>
      <c r="BC75" s="279">
        <f t="shared" si="28"/>
        <v>0</v>
      </c>
      <c r="BD75" s="232"/>
      <c r="BE75" s="279">
        <f t="shared" si="29"/>
        <v>0</v>
      </c>
      <c r="BF75" s="232"/>
      <c r="BG75" s="279">
        <f t="shared" si="30"/>
        <v>0</v>
      </c>
      <c r="BH75" s="232"/>
      <c r="BI75" s="279">
        <f t="shared" si="31"/>
        <v>0</v>
      </c>
      <c r="BJ75" s="232"/>
      <c r="BK75" s="279">
        <f t="shared" si="32"/>
        <v>0</v>
      </c>
    </row>
    <row r="76" spans="1:63" ht="18" thickBot="1">
      <c r="A76" s="233">
        <v>72</v>
      </c>
      <c r="B76" s="53" t="str">
        <f>'[8]Linh Kiện'!D78</f>
        <v>R063006</v>
      </c>
      <c r="C76" s="51" t="str">
        <f t="shared" si="19"/>
        <v>XEM</v>
      </c>
      <c r="D76" s="49">
        <f>'[8]Linh Kiện'!E78</f>
        <v>2</v>
      </c>
      <c r="E76" s="195">
        <f>'[8]Linh Kiện'!AK78</f>
        <v>48.0792</v>
      </c>
      <c r="F76" s="19"/>
      <c r="G76" s="19"/>
      <c r="H76" s="19"/>
      <c r="I76" s="19"/>
      <c r="J76" s="19">
        <v>2</v>
      </c>
      <c r="K76" s="19"/>
      <c r="L76" s="19"/>
      <c r="M76" s="19"/>
      <c r="N76" s="19"/>
      <c r="O76" s="19"/>
      <c r="P76" s="19"/>
      <c r="Q76" s="19"/>
      <c r="R76" s="197">
        <f t="shared" si="20"/>
        <v>2</v>
      </c>
      <c r="T76" s="48">
        <f t="shared" si="18"/>
        <v>0</v>
      </c>
      <c r="U76" s="48">
        <f t="shared" si="18"/>
        <v>0</v>
      </c>
      <c r="V76" s="48">
        <f t="shared" si="18"/>
        <v>0</v>
      </c>
      <c r="W76" s="48">
        <f t="shared" si="17"/>
        <v>0</v>
      </c>
      <c r="X76" s="48">
        <f t="shared" si="17"/>
        <v>96.1584</v>
      </c>
      <c r="Y76" s="48">
        <f t="shared" si="17"/>
        <v>0</v>
      </c>
      <c r="Z76" s="48">
        <f t="shared" si="17"/>
        <v>0</v>
      </c>
      <c r="AA76" s="48">
        <f t="shared" si="17"/>
        <v>0</v>
      </c>
      <c r="AB76" s="48">
        <f t="shared" si="17"/>
        <v>0</v>
      </c>
      <c r="AC76" s="48">
        <f t="shared" si="17"/>
        <v>0</v>
      </c>
      <c r="AD76" s="48">
        <f t="shared" si="17"/>
        <v>0</v>
      </c>
      <c r="AE76" s="48">
        <f t="shared" si="17"/>
        <v>0</v>
      </c>
      <c r="AG76" s="370" t="s">
        <v>830</v>
      </c>
      <c r="AH76" s="372">
        <v>3</v>
      </c>
      <c r="AI76" s="293">
        <v>1</v>
      </c>
      <c r="AJ76" s="379" t="s">
        <v>96</v>
      </c>
      <c r="AK76" s="2" t="s">
        <v>831</v>
      </c>
      <c r="AL76" s="293" t="s">
        <v>590</v>
      </c>
      <c r="AM76" t="s">
        <v>811</v>
      </c>
      <c r="AN76" s="232"/>
      <c r="AO76" s="77">
        <f t="shared" si="21"/>
        <v>0</v>
      </c>
      <c r="AP76" s="232"/>
      <c r="AQ76" s="279">
        <f t="shared" si="22"/>
        <v>0</v>
      </c>
      <c r="AR76" s="232">
        <v>1</v>
      </c>
      <c r="AS76" s="279">
        <f t="shared" si="23"/>
        <v>48.0792</v>
      </c>
      <c r="AT76" s="232"/>
      <c r="AU76" s="279">
        <f t="shared" si="24"/>
        <v>0</v>
      </c>
      <c r="AV76" s="232"/>
      <c r="AW76" s="279">
        <f t="shared" si="25"/>
        <v>0</v>
      </c>
      <c r="AX76" s="232"/>
      <c r="AY76" s="279">
        <f t="shared" si="26"/>
        <v>0</v>
      </c>
      <c r="AZ76" s="232"/>
      <c r="BA76" s="279">
        <f t="shared" si="27"/>
        <v>0</v>
      </c>
      <c r="BB76" s="232"/>
      <c r="BC76" s="279">
        <f t="shared" si="28"/>
        <v>0</v>
      </c>
      <c r="BD76" s="232"/>
      <c r="BE76" s="279">
        <f t="shared" si="29"/>
        <v>0</v>
      </c>
      <c r="BF76" s="232"/>
      <c r="BG76" s="279">
        <f t="shared" si="30"/>
        <v>0</v>
      </c>
      <c r="BH76" s="232"/>
      <c r="BI76" s="279">
        <f t="shared" si="31"/>
        <v>0</v>
      </c>
      <c r="BJ76" s="232"/>
      <c r="BK76" s="279">
        <f t="shared" si="32"/>
        <v>0</v>
      </c>
    </row>
    <row r="77" spans="1:63">
      <c r="A77" s="233">
        <v>73</v>
      </c>
      <c r="B77" s="53" t="str">
        <f>'[8]Linh Kiện'!D79</f>
        <v>R063005</v>
      </c>
      <c r="C77" s="51" t="str">
        <f t="shared" si="19"/>
        <v>XEM</v>
      </c>
      <c r="D77" s="49">
        <f>'[8]Linh Kiện'!E79</f>
        <v>2</v>
      </c>
      <c r="E77" s="195">
        <f>'[8]Linh Kiện'!AK79</f>
        <v>50.279200000000003</v>
      </c>
      <c r="F77" s="19"/>
      <c r="G77" s="19"/>
      <c r="H77" s="19"/>
      <c r="I77" s="19"/>
      <c r="J77" s="19"/>
      <c r="K77" s="19">
        <v>2</v>
      </c>
      <c r="L77" s="19"/>
      <c r="M77" s="19"/>
      <c r="N77" s="19"/>
      <c r="O77" s="19"/>
      <c r="P77" s="19"/>
      <c r="Q77" s="19"/>
      <c r="R77" s="197">
        <f t="shared" si="20"/>
        <v>2</v>
      </c>
      <c r="T77" s="48">
        <f t="shared" si="18"/>
        <v>0</v>
      </c>
      <c r="U77" s="48">
        <f t="shared" si="18"/>
        <v>0</v>
      </c>
      <c r="V77" s="48">
        <f t="shared" si="18"/>
        <v>0</v>
      </c>
      <c r="W77" s="48">
        <f t="shared" si="17"/>
        <v>0</v>
      </c>
      <c r="X77" s="48">
        <f t="shared" si="17"/>
        <v>0</v>
      </c>
      <c r="Y77" s="48">
        <f t="shared" si="17"/>
        <v>100.55840000000001</v>
      </c>
      <c r="Z77" s="48">
        <f t="shared" si="17"/>
        <v>0</v>
      </c>
      <c r="AA77" s="48">
        <f t="shared" si="17"/>
        <v>0</v>
      </c>
      <c r="AB77" s="48">
        <f t="shared" si="17"/>
        <v>0</v>
      </c>
      <c r="AC77" s="48">
        <f t="shared" si="17"/>
        <v>0</v>
      </c>
      <c r="AD77" s="48">
        <f t="shared" si="17"/>
        <v>0</v>
      </c>
      <c r="AE77" s="48">
        <f t="shared" si="17"/>
        <v>0</v>
      </c>
      <c r="AG77" s="376" t="s">
        <v>591</v>
      </c>
      <c r="AH77" s="372">
        <v>5</v>
      </c>
      <c r="AI77" s="293">
        <v>1</v>
      </c>
      <c r="AJ77" s="298" t="s">
        <v>356</v>
      </c>
      <c r="AK77" s="2"/>
      <c r="AL77" s="293" t="s">
        <v>586</v>
      </c>
      <c r="AM77" t="s">
        <v>811</v>
      </c>
      <c r="AN77" s="232"/>
      <c r="AO77" s="77">
        <f t="shared" si="21"/>
        <v>0</v>
      </c>
      <c r="AP77" s="232"/>
      <c r="AQ77" s="279">
        <f t="shared" si="22"/>
        <v>0</v>
      </c>
      <c r="AR77" s="232">
        <v>1</v>
      </c>
      <c r="AS77" s="279">
        <f t="shared" si="23"/>
        <v>50.279200000000003</v>
      </c>
      <c r="AT77" s="232"/>
      <c r="AU77" s="279">
        <f t="shared" si="24"/>
        <v>0</v>
      </c>
      <c r="AV77" s="232"/>
      <c r="AW77" s="279">
        <f t="shared" si="25"/>
        <v>0</v>
      </c>
      <c r="AX77" s="232"/>
      <c r="AY77" s="279">
        <f t="shared" si="26"/>
        <v>0</v>
      </c>
      <c r="AZ77" s="232"/>
      <c r="BA77" s="279">
        <f t="shared" si="27"/>
        <v>0</v>
      </c>
      <c r="BB77" s="232"/>
      <c r="BC77" s="279">
        <f t="shared" si="28"/>
        <v>0</v>
      </c>
      <c r="BD77" s="232"/>
      <c r="BE77" s="279">
        <f t="shared" si="29"/>
        <v>0</v>
      </c>
      <c r="BF77" s="232"/>
      <c r="BG77" s="279">
        <f t="shared" si="30"/>
        <v>0</v>
      </c>
      <c r="BH77" s="232"/>
      <c r="BI77" s="279">
        <f t="shared" si="31"/>
        <v>0</v>
      </c>
      <c r="BJ77" s="232"/>
      <c r="BK77" s="279">
        <f t="shared" si="32"/>
        <v>0</v>
      </c>
    </row>
    <row r="78" spans="1:63">
      <c r="A78" s="233">
        <v>74</v>
      </c>
      <c r="B78" s="53" t="str">
        <f>'[8]Linh Kiện'!D80</f>
        <v>S858546</v>
      </c>
      <c r="C78" s="51" t="str">
        <f t="shared" si="19"/>
        <v>XEM</v>
      </c>
      <c r="D78" s="49">
        <f>'[8]Linh Kiện'!E80</f>
        <v>2</v>
      </c>
      <c r="E78" s="195">
        <f>'[8]Linh Kiện'!AK80</f>
        <v>85.130400000000009</v>
      </c>
      <c r="F78" s="19"/>
      <c r="G78" s="19"/>
      <c r="H78" s="19"/>
      <c r="I78" s="19"/>
      <c r="J78" s="19"/>
      <c r="K78" s="19"/>
      <c r="L78" s="19">
        <v>2</v>
      </c>
      <c r="M78" s="19"/>
      <c r="N78" s="19"/>
      <c r="O78" s="19"/>
      <c r="P78" s="19"/>
      <c r="Q78" s="19"/>
      <c r="R78" s="197">
        <f t="shared" si="20"/>
        <v>2</v>
      </c>
      <c r="T78" s="48">
        <f t="shared" si="18"/>
        <v>0</v>
      </c>
      <c r="U78" s="48">
        <f t="shared" si="18"/>
        <v>0</v>
      </c>
      <c r="V78" s="48">
        <f t="shared" si="18"/>
        <v>0</v>
      </c>
      <c r="W78" s="48">
        <f t="shared" si="18"/>
        <v>0</v>
      </c>
      <c r="X78" s="48">
        <f t="shared" si="18"/>
        <v>0</v>
      </c>
      <c r="Y78" s="48">
        <f t="shared" si="18"/>
        <v>0</v>
      </c>
      <c r="Z78" s="48">
        <f t="shared" si="18"/>
        <v>170.26080000000002</v>
      </c>
      <c r="AA78" s="48">
        <f t="shared" si="18"/>
        <v>0</v>
      </c>
      <c r="AB78" s="48">
        <f t="shared" si="18"/>
        <v>0</v>
      </c>
      <c r="AC78" s="48">
        <f t="shared" si="18"/>
        <v>0</v>
      </c>
      <c r="AD78" s="48">
        <f t="shared" si="18"/>
        <v>0</v>
      </c>
      <c r="AE78" s="48">
        <f t="shared" si="18"/>
        <v>0</v>
      </c>
      <c r="AG78" s="378" t="e">
        <v>#N/A</v>
      </c>
      <c r="AH78" s="293" t="e">
        <v>#N/A</v>
      </c>
      <c r="AI78" s="293" t="e">
        <v>#N/A</v>
      </c>
      <c r="AJ78" s="293" t="e">
        <v>#N/A</v>
      </c>
      <c r="AK78" s="2" t="e">
        <v>#N/A</v>
      </c>
      <c r="AL78" s="293" t="e">
        <v>#N/A</v>
      </c>
      <c r="AN78" s="232"/>
      <c r="AO78" s="77">
        <f t="shared" si="21"/>
        <v>0</v>
      </c>
      <c r="AP78" s="232"/>
      <c r="AQ78" s="279">
        <f t="shared" si="22"/>
        <v>0</v>
      </c>
      <c r="AR78" s="232"/>
      <c r="AS78" s="279">
        <f t="shared" si="23"/>
        <v>0</v>
      </c>
      <c r="AT78" s="232"/>
      <c r="AU78" s="279">
        <f t="shared" si="24"/>
        <v>0</v>
      </c>
      <c r="AV78" s="232"/>
      <c r="AW78" s="279">
        <f t="shared" si="25"/>
        <v>0</v>
      </c>
      <c r="AX78" s="232"/>
      <c r="AY78" s="279">
        <f t="shared" si="26"/>
        <v>0</v>
      </c>
      <c r="AZ78" s="232"/>
      <c r="BA78" s="279">
        <f t="shared" si="27"/>
        <v>0</v>
      </c>
      <c r="BB78" s="232"/>
      <c r="BC78" s="279">
        <f t="shared" si="28"/>
        <v>0</v>
      </c>
      <c r="BD78" s="232"/>
      <c r="BE78" s="279">
        <f t="shared" si="29"/>
        <v>0</v>
      </c>
      <c r="BF78" s="232"/>
      <c r="BG78" s="279">
        <f t="shared" si="30"/>
        <v>0</v>
      </c>
      <c r="BH78" s="232"/>
      <c r="BI78" s="279">
        <f t="shared" si="31"/>
        <v>0</v>
      </c>
      <c r="BJ78" s="232"/>
      <c r="BK78" s="279">
        <f t="shared" si="32"/>
        <v>0</v>
      </c>
    </row>
    <row r="79" spans="1:63">
      <c r="A79" s="233">
        <v>75</v>
      </c>
      <c r="B79" s="53" t="str">
        <f>'[8]Linh Kiện'!D81</f>
        <v>S064348</v>
      </c>
      <c r="C79" s="51" t="str">
        <f t="shared" si="19"/>
        <v>XEM</v>
      </c>
      <c r="D79" s="49">
        <f>'[8]Linh Kiện'!E81</f>
        <v>2</v>
      </c>
      <c r="E79" s="195">
        <f>'[8]Linh Kiện'!AK81</f>
        <v>299.15732820512824</v>
      </c>
      <c r="F79" s="19"/>
      <c r="G79" s="19"/>
      <c r="H79" s="19"/>
      <c r="I79" s="19"/>
      <c r="J79" s="19">
        <v>2</v>
      </c>
      <c r="K79" s="19"/>
      <c r="L79" s="19"/>
      <c r="M79" s="19"/>
      <c r="N79" s="19"/>
      <c r="O79" s="19"/>
      <c r="P79" s="19"/>
      <c r="Q79" s="19"/>
      <c r="R79" s="197">
        <f t="shared" si="20"/>
        <v>2</v>
      </c>
      <c r="T79" s="48">
        <f t="shared" ref="T79:AE92" si="33">$E79*F79</f>
        <v>0</v>
      </c>
      <c r="U79" s="48">
        <f t="shared" si="33"/>
        <v>0</v>
      </c>
      <c r="V79" s="48">
        <f t="shared" si="33"/>
        <v>0</v>
      </c>
      <c r="W79" s="48">
        <f t="shared" si="33"/>
        <v>0</v>
      </c>
      <c r="X79" s="48">
        <f t="shared" si="33"/>
        <v>598.31465641025648</v>
      </c>
      <c r="Y79" s="48">
        <f t="shared" si="33"/>
        <v>0</v>
      </c>
      <c r="Z79" s="48">
        <f t="shared" si="33"/>
        <v>0</v>
      </c>
      <c r="AA79" s="48">
        <f t="shared" si="33"/>
        <v>0</v>
      </c>
      <c r="AB79" s="48">
        <f t="shared" si="33"/>
        <v>0</v>
      </c>
      <c r="AC79" s="48">
        <f t="shared" si="33"/>
        <v>0</v>
      </c>
      <c r="AD79" s="48">
        <f t="shared" si="33"/>
        <v>0</v>
      </c>
      <c r="AE79" s="48">
        <f t="shared" si="33"/>
        <v>0</v>
      </c>
      <c r="AG79" s="293" t="e">
        <v>#N/A</v>
      </c>
      <c r="AH79" s="293" t="e">
        <v>#N/A</v>
      </c>
      <c r="AI79" s="293" t="e">
        <v>#N/A</v>
      </c>
      <c r="AJ79" s="293" t="e">
        <v>#N/A</v>
      </c>
      <c r="AK79" s="2" t="e">
        <v>#N/A</v>
      </c>
      <c r="AL79" s="293" t="e">
        <v>#N/A</v>
      </c>
      <c r="AN79" s="232"/>
      <c r="AO79" s="77">
        <f t="shared" si="21"/>
        <v>0</v>
      </c>
      <c r="AP79" s="232"/>
      <c r="AQ79" s="279">
        <f t="shared" si="22"/>
        <v>0</v>
      </c>
      <c r="AR79" s="232"/>
      <c r="AS79" s="279">
        <f t="shared" si="23"/>
        <v>0</v>
      </c>
      <c r="AT79" s="232"/>
      <c r="AU79" s="279">
        <f t="shared" si="24"/>
        <v>0</v>
      </c>
      <c r="AV79" s="232"/>
      <c r="AW79" s="279">
        <f t="shared" si="25"/>
        <v>0</v>
      </c>
      <c r="AX79" s="232"/>
      <c r="AY79" s="279">
        <f t="shared" si="26"/>
        <v>0</v>
      </c>
      <c r="AZ79" s="232"/>
      <c r="BA79" s="279">
        <f t="shared" si="27"/>
        <v>0</v>
      </c>
      <c r="BB79" s="232"/>
      <c r="BC79" s="279">
        <f t="shared" si="28"/>
        <v>0</v>
      </c>
      <c r="BD79" s="232"/>
      <c r="BE79" s="279">
        <f t="shared" si="29"/>
        <v>0</v>
      </c>
      <c r="BF79" s="232"/>
      <c r="BG79" s="279">
        <f t="shared" si="30"/>
        <v>0</v>
      </c>
      <c r="BH79" s="232"/>
      <c r="BI79" s="279">
        <f t="shared" si="31"/>
        <v>0</v>
      </c>
      <c r="BJ79" s="232"/>
      <c r="BK79" s="279">
        <f t="shared" si="32"/>
        <v>0</v>
      </c>
    </row>
    <row r="80" spans="1:63" ht="15.75" thickBot="1">
      <c r="A80" s="233">
        <v>76</v>
      </c>
      <c r="B80" s="53" t="str">
        <f>'[8]Linh Kiện'!D82</f>
        <v>S165735</v>
      </c>
      <c r="C80" s="51" t="str">
        <f t="shared" si="19"/>
        <v>XEM</v>
      </c>
      <c r="D80" s="49">
        <f>'[8]Linh Kiện'!E82</f>
        <v>2</v>
      </c>
      <c r="E80" s="195">
        <f>'[8]Linh Kiện'!AK82</f>
        <v>426.7568</v>
      </c>
      <c r="F80" s="19"/>
      <c r="G80" s="19"/>
      <c r="H80" s="19"/>
      <c r="I80" s="19"/>
      <c r="J80" s="19"/>
      <c r="K80" s="19"/>
      <c r="L80" s="19"/>
      <c r="M80" s="19"/>
      <c r="N80" s="19"/>
      <c r="O80" s="19">
        <v>2</v>
      </c>
      <c r="P80" s="19"/>
      <c r="Q80" s="19"/>
      <c r="R80" s="197">
        <f t="shared" si="20"/>
        <v>2</v>
      </c>
      <c r="T80" s="48">
        <f t="shared" si="33"/>
        <v>0</v>
      </c>
      <c r="U80" s="48">
        <f t="shared" si="33"/>
        <v>0</v>
      </c>
      <c r="V80" s="48">
        <f t="shared" si="33"/>
        <v>0</v>
      </c>
      <c r="W80" s="48">
        <f t="shared" si="33"/>
        <v>0</v>
      </c>
      <c r="X80" s="48">
        <f t="shared" si="33"/>
        <v>0</v>
      </c>
      <c r="Y80" s="48">
        <f t="shared" si="33"/>
        <v>0</v>
      </c>
      <c r="Z80" s="48">
        <f t="shared" si="33"/>
        <v>0</v>
      </c>
      <c r="AA80" s="48">
        <f t="shared" si="33"/>
        <v>0</v>
      </c>
      <c r="AB80" s="48">
        <f t="shared" si="33"/>
        <v>0</v>
      </c>
      <c r="AC80" s="48">
        <f t="shared" si="33"/>
        <v>853.5136</v>
      </c>
      <c r="AD80" s="48">
        <f t="shared" si="33"/>
        <v>0</v>
      </c>
      <c r="AE80" s="48">
        <f t="shared" si="33"/>
        <v>0</v>
      </c>
      <c r="AG80" s="377" t="e">
        <v>#N/A</v>
      </c>
      <c r="AH80" s="293" t="e">
        <v>#N/A</v>
      </c>
      <c r="AI80" s="293" t="e">
        <v>#N/A</v>
      </c>
      <c r="AJ80" s="293" t="e">
        <v>#N/A</v>
      </c>
      <c r="AK80" s="2" t="e">
        <v>#N/A</v>
      </c>
      <c r="AL80" s="293" t="e">
        <v>#N/A</v>
      </c>
      <c r="AN80" s="232"/>
      <c r="AO80" s="77">
        <f t="shared" si="21"/>
        <v>0</v>
      </c>
      <c r="AP80" s="232"/>
      <c r="AQ80" s="279">
        <f t="shared" si="22"/>
        <v>0</v>
      </c>
      <c r="AR80" s="232"/>
      <c r="AS80" s="279">
        <f t="shared" si="23"/>
        <v>0</v>
      </c>
      <c r="AT80" s="232"/>
      <c r="AU80" s="279">
        <f t="shared" si="24"/>
        <v>0</v>
      </c>
      <c r="AV80" s="232"/>
      <c r="AW80" s="279">
        <f t="shared" si="25"/>
        <v>0</v>
      </c>
      <c r="AX80" s="232"/>
      <c r="AY80" s="279">
        <f t="shared" si="26"/>
        <v>0</v>
      </c>
      <c r="AZ80" s="232"/>
      <c r="BA80" s="279">
        <f t="shared" si="27"/>
        <v>0</v>
      </c>
      <c r="BB80" s="232"/>
      <c r="BC80" s="279">
        <f t="shared" si="28"/>
        <v>0</v>
      </c>
      <c r="BD80" s="232"/>
      <c r="BE80" s="279">
        <f t="shared" si="29"/>
        <v>0</v>
      </c>
      <c r="BF80" s="232"/>
      <c r="BG80" s="279">
        <f t="shared" si="30"/>
        <v>0</v>
      </c>
      <c r="BH80" s="232"/>
      <c r="BI80" s="279">
        <f t="shared" si="31"/>
        <v>0</v>
      </c>
      <c r="BJ80" s="232"/>
      <c r="BK80" s="279">
        <f t="shared" si="32"/>
        <v>0</v>
      </c>
    </row>
    <row r="81" spans="1:63" ht="18" thickBot="1">
      <c r="A81" s="233">
        <v>77</v>
      </c>
      <c r="B81" s="53" t="str">
        <f>'[8]Linh Kiện'!D83</f>
        <v>S885188</v>
      </c>
      <c r="C81" s="51" t="str">
        <f t="shared" si="19"/>
        <v>XEM</v>
      </c>
      <c r="D81" s="49">
        <f>'[8]Linh Kiện'!E83</f>
        <v>2</v>
      </c>
      <c r="E81" s="195">
        <f>'[8]Linh Kiện'!AK83</f>
        <v>492.31423846153848</v>
      </c>
      <c r="F81" s="19"/>
      <c r="G81" s="19"/>
      <c r="H81" s="19"/>
      <c r="I81" s="19"/>
      <c r="J81" s="19"/>
      <c r="K81" s="19"/>
      <c r="L81" s="19"/>
      <c r="M81" s="19"/>
      <c r="N81" s="19"/>
      <c r="O81" s="19">
        <v>2</v>
      </c>
      <c r="P81" s="19"/>
      <c r="Q81" s="19"/>
      <c r="R81" s="197">
        <f t="shared" si="20"/>
        <v>2</v>
      </c>
      <c r="T81" s="48">
        <f t="shared" si="33"/>
        <v>0</v>
      </c>
      <c r="U81" s="48">
        <f t="shared" si="33"/>
        <v>0</v>
      </c>
      <c r="V81" s="48">
        <f t="shared" si="33"/>
        <v>0</v>
      </c>
      <c r="W81" s="48">
        <f t="shared" si="33"/>
        <v>0</v>
      </c>
      <c r="X81" s="48">
        <f t="shared" si="33"/>
        <v>0</v>
      </c>
      <c r="Y81" s="48">
        <f t="shared" si="33"/>
        <v>0</v>
      </c>
      <c r="Z81" s="48">
        <f t="shared" si="33"/>
        <v>0</v>
      </c>
      <c r="AA81" s="48">
        <f t="shared" si="33"/>
        <v>0</v>
      </c>
      <c r="AB81" s="48">
        <f t="shared" si="33"/>
        <v>0</v>
      </c>
      <c r="AC81" s="48">
        <f t="shared" si="33"/>
        <v>984.62847692307696</v>
      </c>
      <c r="AD81" s="48">
        <f t="shared" si="33"/>
        <v>0</v>
      </c>
      <c r="AE81" s="48">
        <f t="shared" si="33"/>
        <v>0</v>
      </c>
      <c r="AG81" s="361" t="s">
        <v>825</v>
      </c>
      <c r="AH81" s="383">
        <v>4</v>
      </c>
      <c r="AI81" s="309">
        <v>1</v>
      </c>
      <c r="AJ81" s="309" t="s">
        <v>113</v>
      </c>
      <c r="AK81" s="2" t="s">
        <v>884</v>
      </c>
      <c r="AL81" s="309" t="s">
        <v>724</v>
      </c>
      <c r="AM81" t="s">
        <v>826</v>
      </c>
      <c r="AN81" s="232">
        <v>1</v>
      </c>
      <c r="AO81" s="77">
        <f t="shared" si="21"/>
        <v>492.31423846153848</v>
      </c>
      <c r="AP81" s="232"/>
      <c r="AQ81" s="279">
        <f t="shared" si="22"/>
        <v>0</v>
      </c>
      <c r="AR81" s="232">
        <v>1</v>
      </c>
      <c r="AS81" s="279">
        <f t="shared" si="23"/>
        <v>492.31423846153848</v>
      </c>
      <c r="AT81" s="232"/>
      <c r="AU81" s="279">
        <f t="shared" si="24"/>
        <v>0</v>
      </c>
      <c r="AV81" s="232"/>
      <c r="AW81" s="279">
        <f t="shared" si="25"/>
        <v>0</v>
      </c>
      <c r="AX81" s="232"/>
      <c r="AY81" s="279">
        <f t="shared" si="26"/>
        <v>0</v>
      </c>
      <c r="AZ81" s="232"/>
      <c r="BA81" s="279">
        <f t="shared" si="27"/>
        <v>0</v>
      </c>
      <c r="BB81" s="232"/>
      <c r="BC81" s="279">
        <f t="shared" si="28"/>
        <v>0</v>
      </c>
      <c r="BD81" s="232"/>
      <c r="BE81" s="279">
        <f t="shared" si="29"/>
        <v>0</v>
      </c>
      <c r="BF81" s="232"/>
      <c r="BG81" s="279">
        <f t="shared" si="30"/>
        <v>0</v>
      </c>
      <c r="BH81" s="232"/>
      <c r="BI81" s="279">
        <f t="shared" si="31"/>
        <v>0</v>
      </c>
      <c r="BJ81" s="232"/>
      <c r="BK81" s="279">
        <f t="shared" si="32"/>
        <v>0</v>
      </c>
    </row>
    <row r="82" spans="1:63">
      <c r="A82" s="233">
        <v>78</v>
      </c>
      <c r="B82" s="53" t="str">
        <f>'[8]Linh Kiện'!D84</f>
        <v>R182970</v>
      </c>
      <c r="C82" s="51" t="str">
        <f t="shared" si="19"/>
        <v>XEM</v>
      </c>
      <c r="D82" s="49">
        <f>'[8]Linh Kiện'!E84</f>
        <v>2</v>
      </c>
      <c r="E82" s="195">
        <f>'[8]Linh Kiện'!AK84</f>
        <v>30.168399999999998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>
        <v>2</v>
      </c>
      <c r="Q82" s="19"/>
      <c r="R82" s="197">
        <f t="shared" si="20"/>
        <v>2</v>
      </c>
      <c r="T82" s="48">
        <f t="shared" si="33"/>
        <v>0</v>
      </c>
      <c r="U82" s="48">
        <f t="shared" si="33"/>
        <v>0</v>
      </c>
      <c r="V82" s="48">
        <f t="shared" si="33"/>
        <v>0</v>
      </c>
      <c r="W82" s="48">
        <f t="shared" si="33"/>
        <v>0</v>
      </c>
      <c r="X82" s="48">
        <f t="shared" si="33"/>
        <v>0</v>
      </c>
      <c r="Y82" s="48">
        <f t="shared" si="33"/>
        <v>0</v>
      </c>
      <c r="Z82" s="48">
        <f t="shared" si="33"/>
        <v>0</v>
      </c>
      <c r="AA82" s="48">
        <f t="shared" si="33"/>
        <v>0</v>
      </c>
      <c r="AB82" s="48">
        <f t="shared" si="33"/>
        <v>0</v>
      </c>
      <c r="AC82" s="48">
        <f t="shared" si="33"/>
        <v>0</v>
      </c>
      <c r="AD82" s="48">
        <f t="shared" si="33"/>
        <v>60.336799999999997</v>
      </c>
      <c r="AE82" s="48">
        <f t="shared" si="33"/>
        <v>0</v>
      </c>
      <c r="AG82" s="384" t="e">
        <v>#N/A</v>
      </c>
      <c r="AH82" s="293" t="e">
        <v>#N/A</v>
      </c>
      <c r="AI82" s="293" t="e">
        <v>#N/A</v>
      </c>
      <c r="AJ82" s="293" t="e">
        <v>#N/A</v>
      </c>
      <c r="AK82" s="2" t="e">
        <v>#N/A</v>
      </c>
      <c r="AL82" s="293" t="e">
        <v>#N/A</v>
      </c>
      <c r="AN82" s="232"/>
      <c r="AO82" s="77">
        <f t="shared" si="21"/>
        <v>0</v>
      </c>
      <c r="AP82" s="232"/>
      <c r="AQ82" s="279">
        <f t="shared" si="22"/>
        <v>0</v>
      </c>
      <c r="AR82" s="232"/>
      <c r="AS82" s="279">
        <f t="shared" si="23"/>
        <v>0</v>
      </c>
      <c r="AT82" s="232"/>
      <c r="AU82" s="279">
        <f t="shared" si="24"/>
        <v>0</v>
      </c>
      <c r="AV82" s="232"/>
      <c r="AW82" s="279">
        <f t="shared" si="25"/>
        <v>0</v>
      </c>
      <c r="AX82" s="232"/>
      <c r="AY82" s="279">
        <f t="shared" si="26"/>
        <v>0</v>
      </c>
      <c r="AZ82" s="232"/>
      <c r="BA82" s="279">
        <f t="shared" si="27"/>
        <v>0</v>
      </c>
      <c r="BB82" s="232"/>
      <c r="BC82" s="279">
        <f t="shared" si="28"/>
        <v>0</v>
      </c>
      <c r="BD82" s="232"/>
      <c r="BE82" s="279">
        <f t="shared" si="29"/>
        <v>0</v>
      </c>
      <c r="BF82" s="232"/>
      <c r="BG82" s="279">
        <f t="shared" si="30"/>
        <v>0</v>
      </c>
      <c r="BH82" s="232"/>
      <c r="BI82" s="279">
        <f t="shared" si="31"/>
        <v>0</v>
      </c>
      <c r="BJ82" s="232"/>
      <c r="BK82" s="279">
        <f t="shared" si="32"/>
        <v>0</v>
      </c>
    </row>
    <row r="83" spans="1:63">
      <c r="A83" s="233">
        <v>79</v>
      </c>
      <c r="B83" s="53" t="str">
        <f>'[8]Linh Kiện'!D85</f>
        <v>R435090</v>
      </c>
      <c r="C83" s="51" t="str">
        <f t="shared" si="19"/>
        <v>XEM</v>
      </c>
      <c r="D83" s="49">
        <f>'[8]Linh Kiện'!E85</f>
        <v>2</v>
      </c>
      <c r="E83" s="195">
        <f>'[8]Linh Kiện'!AK85</f>
        <v>226.03960000000001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>
        <v>2</v>
      </c>
      <c r="R83" s="197">
        <f t="shared" si="20"/>
        <v>2</v>
      </c>
      <c r="T83" s="48">
        <f t="shared" si="33"/>
        <v>0</v>
      </c>
      <c r="U83" s="48">
        <f t="shared" si="33"/>
        <v>0</v>
      </c>
      <c r="V83" s="48">
        <f t="shared" si="33"/>
        <v>0</v>
      </c>
      <c r="W83" s="48">
        <f t="shared" si="33"/>
        <v>0</v>
      </c>
      <c r="X83" s="48">
        <f t="shared" si="33"/>
        <v>0</v>
      </c>
      <c r="Y83" s="48">
        <f t="shared" si="33"/>
        <v>0</v>
      </c>
      <c r="Z83" s="48">
        <f t="shared" si="33"/>
        <v>0</v>
      </c>
      <c r="AA83" s="48">
        <f t="shared" si="33"/>
        <v>0</v>
      </c>
      <c r="AB83" s="48">
        <f t="shared" si="33"/>
        <v>0</v>
      </c>
      <c r="AC83" s="48">
        <f t="shared" si="33"/>
        <v>0</v>
      </c>
      <c r="AD83" s="48">
        <f t="shared" si="33"/>
        <v>0</v>
      </c>
      <c r="AE83" s="48">
        <f t="shared" si="33"/>
        <v>452.07920000000001</v>
      </c>
      <c r="AG83" s="376" t="s">
        <v>592</v>
      </c>
      <c r="AH83" s="372">
        <v>19</v>
      </c>
      <c r="AI83" s="293">
        <v>3</v>
      </c>
      <c r="AJ83" s="293" t="s">
        <v>567</v>
      </c>
      <c r="AK83" s="2" t="s">
        <v>593</v>
      </c>
      <c r="AL83" s="293" t="s">
        <v>594</v>
      </c>
      <c r="AN83" s="232"/>
      <c r="AO83" s="77">
        <f t="shared" si="21"/>
        <v>0</v>
      </c>
      <c r="AP83" s="232"/>
      <c r="AQ83" s="279">
        <f t="shared" si="22"/>
        <v>0</v>
      </c>
      <c r="AR83" s="232"/>
      <c r="AS83" s="279">
        <f t="shared" si="23"/>
        <v>0</v>
      </c>
      <c r="AT83" s="232"/>
      <c r="AU83" s="279">
        <f t="shared" si="24"/>
        <v>0</v>
      </c>
      <c r="AV83" s="232"/>
      <c r="AW83" s="279">
        <f t="shared" si="25"/>
        <v>0</v>
      </c>
      <c r="AX83" s="232"/>
      <c r="AY83" s="279">
        <f t="shared" si="26"/>
        <v>0</v>
      </c>
      <c r="AZ83" s="232"/>
      <c r="BA83" s="279">
        <f t="shared" si="27"/>
        <v>0</v>
      </c>
      <c r="BB83" s="232"/>
      <c r="BC83" s="279">
        <f t="shared" si="28"/>
        <v>0</v>
      </c>
      <c r="BD83" s="232"/>
      <c r="BE83" s="279">
        <f t="shared" si="29"/>
        <v>0</v>
      </c>
      <c r="BF83" s="232"/>
      <c r="BG83" s="279">
        <f t="shared" si="30"/>
        <v>0</v>
      </c>
      <c r="BH83" s="232"/>
      <c r="BI83" s="279">
        <f t="shared" si="31"/>
        <v>0</v>
      </c>
      <c r="BJ83" s="232"/>
      <c r="BK83" s="279">
        <f t="shared" si="32"/>
        <v>0</v>
      </c>
    </row>
    <row r="84" spans="1:63">
      <c r="A84" s="233">
        <v>80</v>
      </c>
      <c r="B84" s="53" t="str">
        <f>'[8]Linh Kiện'!D86</f>
        <v>S210889</v>
      </c>
      <c r="C84" s="51" t="str">
        <f t="shared" si="19"/>
        <v>XEM</v>
      </c>
      <c r="D84" s="49">
        <f>'[8]Linh Kiện'!E86</f>
        <v>2</v>
      </c>
      <c r="E84" s="195">
        <f>'[8]Linh Kiện'!AK86</f>
        <v>168.45359999999999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>
        <v>2</v>
      </c>
      <c r="R84" s="197">
        <f t="shared" si="20"/>
        <v>2</v>
      </c>
      <c r="T84" s="48">
        <f t="shared" si="33"/>
        <v>0</v>
      </c>
      <c r="U84" s="48">
        <f t="shared" si="33"/>
        <v>0</v>
      </c>
      <c r="V84" s="48">
        <f t="shared" si="33"/>
        <v>0</v>
      </c>
      <c r="W84" s="48">
        <f t="shared" si="33"/>
        <v>0</v>
      </c>
      <c r="X84" s="48">
        <f t="shared" si="33"/>
        <v>0</v>
      </c>
      <c r="Y84" s="48">
        <f t="shared" si="33"/>
        <v>0</v>
      </c>
      <c r="Z84" s="48">
        <f t="shared" si="33"/>
        <v>0</v>
      </c>
      <c r="AA84" s="48">
        <f t="shared" si="33"/>
        <v>0</v>
      </c>
      <c r="AB84" s="48">
        <f t="shared" si="33"/>
        <v>0</v>
      </c>
      <c r="AC84" s="48">
        <f t="shared" si="33"/>
        <v>0</v>
      </c>
      <c r="AD84" s="48">
        <f t="shared" si="33"/>
        <v>0</v>
      </c>
      <c r="AE84" s="48">
        <f t="shared" si="33"/>
        <v>336.90719999999999</v>
      </c>
      <c r="AG84" s="378" t="e">
        <v>#N/A</v>
      </c>
      <c r="AH84" s="293" t="e">
        <v>#N/A</v>
      </c>
      <c r="AI84" s="293" t="e">
        <v>#N/A</v>
      </c>
      <c r="AJ84" s="293" t="e">
        <v>#N/A</v>
      </c>
      <c r="AK84" s="2" t="e">
        <v>#N/A</v>
      </c>
      <c r="AL84" s="293" t="e">
        <v>#N/A</v>
      </c>
      <c r="AN84" s="232"/>
      <c r="AO84" s="77">
        <f t="shared" si="21"/>
        <v>0</v>
      </c>
      <c r="AP84" s="232"/>
      <c r="AQ84" s="279">
        <f t="shared" si="22"/>
        <v>0</v>
      </c>
      <c r="AR84" s="232"/>
      <c r="AS84" s="279">
        <f t="shared" si="23"/>
        <v>0</v>
      </c>
      <c r="AT84" s="232"/>
      <c r="AU84" s="279">
        <f t="shared" si="24"/>
        <v>0</v>
      </c>
      <c r="AV84" s="232"/>
      <c r="AW84" s="279">
        <f t="shared" si="25"/>
        <v>0</v>
      </c>
      <c r="AX84" s="232"/>
      <c r="AY84" s="279">
        <f t="shared" si="26"/>
        <v>0</v>
      </c>
      <c r="AZ84" s="232"/>
      <c r="BA84" s="279">
        <f t="shared" si="27"/>
        <v>0</v>
      </c>
      <c r="BB84" s="232"/>
      <c r="BC84" s="279">
        <f t="shared" si="28"/>
        <v>0</v>
      </c>
      <c r="BD84" s="232"/>
      <c r="BE84" s="279">
        <f t="shared" si="29"/>
        <v>0</v>
      </c>
      <c r="BF84" s="232"/>
      <c r="BG84" s="279">
        <f t="shared" si="30"/>
        <v>0</v>
      </c>
      <c r="BH84" s="232"/>
      <c r="BI84" s="279">
        <f t="shared" si="31"/>
        <v>0</v>
      </c>
      <c r="BJ84" s="232"/>
      <c r="BK84" s="279">
        <f t="shared" si="32"/>
        <v>0</v>
      </c>
    </row>
    <row r="85" spans="1:63">
      <c r="A85" s="233">
        <v>81</v>
      </c>
      <c r="B85" s="53" t="str">
        <f>'[8]Linh Kiện'!D87</f>
        <v>S763491</v>
      </c>
      <c r="C85" s="51" t="str">
        <f t="shared" si="19"/>
        <v>XEM</v>
      </c>
      <c r="D85" s="49">
        <f>'[8]Linh Kiện'!E87</f>
        <v>2</v>
      </c>
      <c r="E85" s="195">
        <f>'[8]Linh Kiện'!AK87</f>
        <v>18.912400000000005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>
        <v>2</v>
      </c>
      <c r="Q85" s="19"/>
      <c r="R85" s="197">
        <f t="shared" si="20"/>
        <v>2</v>
      </c>
      <c r="T85" s="48">
        <f t="shared" si="33"/>
        <v>0</v>
      </c>
      <c r="U85" s="48">
        <f t="shared" si="33"/>
        <v>0</v>
      </c>
      <c r="V85" s="48">
        <f t="shared" si="33"/>
        <v>0</v>
      </c>
      <c r="W85" s="48">
        <f t="shared" si="33"/>
        <v>0</v>
      </c>
      <c r="X85" s="48">
        <f t="shared" si="33"/>
        <v>0</v>
      </c>
      <c r="Y85" s="48">
        <f t="shared" si="33"/>
        <v>0</v>
      </c>
      <c r="Z85" s="48">
        <f t="shared" si="33"/>
        <v>0</v>
      </c>
      <c r="AA85" s="48">
        <f t="shared" si="33"/>
        <v>0</v>
      </c>
      <c r="AB85" s="48">
        <f t="shared" si="33"/>
        <v>0</v>
      </c>
      <c r="AC85" s="48">
        <f t="shared" si="33"/>
        <v>0</v>
      </c>
      <c r="AD85" s="48">
        <f t="shared" si="33"/>
        <v>37.82480000000001</v>
      </c>
      <c r="AE85" s="48">
        <f t="shared" si="33"/>
        <v>0</v>
      </c>
      <c r="AG85" s="293" t="e">
        <v>#N/A</v>
      </c>
      <c r="AH85" s="293" t="e">
        <v>#N/A</v>
      </c>
      <c r="AI85" s="293" t="e">
        <v>#N/A</v>
      </c>
      <c r="AJ85" s="293" t="e">
        <v>#N/A</v>
      </c>
      <c r="AK85" s="2" t="e">
        <v>#N/A</v>
      </c>
      <c r="AL85" s="293" t="e">
        <v>#N/A</v>
      </c>
      <c r="AN85" s="232"/>
      <c r="AO85" s="77">
        <f t="shared" si="21"/>
        <v>0</v>
      </c>
      <c r="AP85" s="232"/>
      <c r="AQ85" s="279">
        <f t="shared" si="22"/>
        <v>0</v>
      </c>
      <c r="AR85" s="232"/>
      <c r="AS85" s="279">
        <f t="shared" si="23"/>
        <v>0</v>
      </c>
      <c r="AT85" s="232"/>
      <c r="AU85" s="279">
        <f t="shared" si="24"/>
        <v>0</v>
      </c>
      <c r="AV85" s="232"/>
      <c r="AW85" s="279">
        <f t="shared" si="25"/>
        <v>0</v>
      </c>
      <c r="AX85" s="232"/>
      <c r="AY85" s="279">
        <f t="shared" si="26"/>
        <v>0</v>
      </c>
      <c r="AZ85" s="232"/>
      <c r="BA85" s="279">
        <f t="shared" si="27"/>
        <v>0</v>
      </c>
      <c r="BB85" s="232"/>
      <c r="BC85" s="279">
        <f t="shared" si="28"/>
        <v>0</v>
      </c>
      <c r="BD85" s="232"/>
      <c r="BE85" s="279">
        <f t="shared" si="29"/>
        <v>0</v>
      </c>
      <c r="BF85" s="232"/>
      <c r="BG85" s="279">
        <f t="shared" si="30"/>
        <v>0</v>
      </c>
      <c r="BH85" s="232"/>
      <c r="BI85" s="279">
        <f t="shared" si="31"/>
        <v>0</v>
      </c>
      <c r="BJ85" s="232"/>
      <c r="BK85" s="279">
        <f t="shared" si="32"/>
        <v>0</v>
      </c>
    </row>
    <row r="86" spans="1:63">
      <c r="A86" s="233">
        <v>82</v>
      </c>
      <c r="B86" s="53" t="str">
        <f>'[8]Linh Kiện'!D88</f>
        <v>R104695</v>
      </c>
      <c r="C86" s="51" t="str">
        <f t="shared" si="19"/>
        <v>XEM</v>
      </c>
      <c r="D86" s="49">
        <f>'[8]Linh Kiện'!E88</f>
        <v>2</v>
      </c>
      <c r="E86" s="195">
        <f>'[8]Linh Kiện'!AK88</f>
        <v>52.634799999999998</v>
      </c>
      <c r="F86" s="19"/>
      <c r="G86" s="19"/>
      <c r="H86" s="19"/>
      <c r="I86" s="19"/>
      <c r="J86" s="19"/>
      <c r="K86" s="19"/>
      <c r="L86" s="19"/>
      <c r="M86" s="19"/>
      <c r="N86" s="19"/>
      <c r="O86" s="19">
        <v>2</v>
      </c>
      <c r="P86" s="19"/>
      <c r="Q86" s="19"/>
      <c r="R86" s="197">
        <f t="shared" si="20"/>
        <v>2</v>
      </c>
      <c r="T86" s="48">
        <f t="shared" si="33"/>
        <v>0</v>
      </c>
      <c r="U86" s="48">
        <f t="shared" si="33"/>
        <v>0</v>
      </c>
      <c r="V86" s="48">
        <f t="shared" si="33"/>
        <v>0</v>
      </c>
      <c r="W86" s="48">
        <f t="shared" si="33"/>
        <v>0</v>
      </c>
      <c r="X86" s="48">
        <f t="shared" si="33"/>
        <v>0</v>
      </c>
      <c r="Y86" s="48">
        <f t="shared" si="33"/>
        <v>0</v>
      </c>
      <c r="Z86" s="48">
        <f t="shared" si="33"/>
        <v>0</v>
      </c>
      <c r="AA86" s="48">
        <f t="shared" si="33"/>
        <v>0</v>
      </c>
      <c r="AB86" s="48">
        <f t="shared" si="33"/>
        <v>0</v>
      </c>
      <c r="AC86" s="48">
        <f t="shared" si="33"/>
        <v>105.2696</v>
      </c>
      <c r="AD86" s="48">
        <f t="shared" si="33"/>
        <v>0</v>
      </c>
      <c r="AE86" s="48">
        <f t="shared" si="33"/>
        <v>0</v>
      </c>
      <c r="AG86" s="293" t="e">
        <v>#N/A</v>
      </c>
      <c r="AH86" s="293" t="e">
        <v>#N/A</v>
      </c>
      <c r="AI86" s="293" t="e">
        <v>#N/A</v>
      </c>
      <c r="AJ86" s="293" t="e">
        <v>#N/A</v>
      </c>
      <c r="AK86" s="2" t="e">
        <v>#N/A</v>
      </c>
      <c r="AL86" s="293" t="e">
        <v>#N/A</v>
      </c>
      <c r="AN86" s="232"/>
      <c r="AO86" s="77">
        <f t="shared" si="21"/>
        <v>0</v>
      </c>
      <c r="AP86" s="232"/>
      <c r="AQ86" s="279">
        <f t="shared" si="22"/>
        <v>0</v>
      </c>
      <c r="AR86" s="232"/>
      <c r="AS86" s="279">
        <f t="shared" si="23"/>
        <v>0</v>
      </c>
      <c r="AT86" s="232"/>
      <c r="AU86" s="279">
        <f t="shared" si="24"/>
        <v>0</v>
      </c>
      <c r="AV86" s="232"/>
      <c r="AW86" s="279">
        <f t="shared" si="25"/>
        <v>0</v>
      </c>
      <c r="AX86" s="232"/>
      <c r="AY86" s="279">
        <f t="shared" si="26"/>
        <v>0</v>
      </c>
      <c r="AZ86" s="232"/>
      <c r="BA86" s="279">
        <f t="shared" si="27"/>
        <v>0</v>
      </c>
      <c r="BB86" s="232"/>
      <c r="BC86" s="279">
        <f t="shared" si="28"/>
        <v>0</v>
      </c>
      <c r="BD86" s="232"/>
      <c r="BE86" s="279">
        <f t="shared" si="29"/>
        <v>0</v>
      </c>
      <c r="BF86" s="232"/>
      <c r="BG86" s="279">
        <f t="shared" si="30"/>
        <v>0</v>
      </c>
      <c r="BH86" s="232"/>
      <c r="BI86" s="279">
        <f t="shared" si="31"/>
        <v>0</v>
      </c>
      <c r="BJ86" s="232"/>
      <c r="BK86" s="279">
        <f t="shared" si="32"/>
        <v>0</v>
      </c>
    </row>
    <row r="87" spans="1:63">
      <c r="A87" s="233">
        <v>83</v>
      </c>
      <c r="B87" s="53" t="str">
        <f>'[8]Linh Kiện'!D89</f>
        <v>R152939</v>
      </c>
      <c r="C87" s="51" t="str">
        <f t="shared" si="19"/>
        <v>XEM</v>
      </c>
      <c r="D87" s="49">
        <f>'[8]Linh Kiện'!E89</f>
        <v>2</v>
      </c>
      <c r="E87" s="195">
        <f>'[8]Linh Kiện'!AK89</f>
        <v>579.38760000000002</v>
      </c>
      <c r="F87" s="19"/>
      <c r="G87" s="19"/>
      <c r="H87" s="19"/>
      <c r="I87" s="19"/>
      <c r="J87" s="19"/>
      <c r="K87" s="19"/>
      <c r="L87" s="19"/>
      <c r="M87" s="19"/>
      <c r="N87" s="19">
        <v>2</v>
      </c>
      <c r="O87" s="19"/>
      <c r="P87" s="19"/>
      <c r="Q87" s="19"/>
      <c r="R87" s="197">
        <f t="shared" si="20"/>
        <v>2</v>
      </c>
      <c r="T87" s="48">
        <f t="shared" si="33"/>
        <v>0</v>
      </c>
      <c r="U87" s="48">
        <f t="shared" si="33"/>
        <v>0</v>
      </c>
      <c r="V87" s="48">
        <f t="shared" si="33"/>
        <v>0</v>
      </c>
      <c r="W87" s="48">
        <f t="shared" si="33"/>
        <v>0</v>
      </c>
      <c r="X87" s="48">
        <f t="shared" si="33"/>
        <v>0</v>
      </c>
      <c r="Y87" s="48">
        <f t="shared" si="33"/>
        <v>0</v>
      </c>
      <c r="Z87" s="48">
        <f t="shared" si="33"/>
        <v>0</v>
      </c>
      <c r="AA87" s="48">
        <f t="shared" si="33"/>
        <v>0</v>
      </c>
      <c r="AB87" s="48">
        <f t="shared" si="33"/>
        <v>1158.7752</v>
      </c>
      <c r="AC87" s="48">
        <f t="shared" si="33"/>
        <v>0</v>
      </c>
      <c r="AD87" s="48">
        <f t="shared" si="33"/>
        <v>0</v>
      </c>
      <c r="AE87" s="48">
        <f t="shared" si="33"/>
        <v>0</v>
      </c>
      <c r="AG87" s="293" t="e">
        <v>#N/A</v>
      </c>
      <c r="AH87" s="293" t="e">
        <v>#N/A</v>
      </c>
      <c r="AI87" s="293" t="e">
        <v>#N/A</v>
      </c>
      <c r="AJ87" s="293" t="e">
        <v>#N/A</v>
      </c>
      <c r="AK87" s="2" t="e">
        <v>#N/A</v>
      </c>
      <c r="AL87" s="293" t="e">
        <v>#N/A</v>
      </c>
      <c r="AN87" s="232"/>
      <c r="AO87" s="77">
        <f t="shared" si="21"/>
        <v>0</v>
      </c>
      <c r="AP87" s="232"/>
      <c r="AQ87" s="279">
        <f t="shared" si="22"/>
        <v>0</v>
      </c>
      <c r="AR87" s="232"/>
      <c r="AS87" s="279">
        <f t="shared" si="23"/>
        <v>0</v>
      </c>
      <c r="AT87" s="232"/>
      <c r="AU87" s="279">
        <f t="shared" si="24"/>
        <v>0</v>
      </c>
      <c r="AV87" s="232"/>
      <c r="AW87" s="279">
        <f t="shared" si="25"/>
        <v>0</v>
      </c>
      <c r="AX87" s="232"/>
      <c r="AY87" s="279">
        <f t="shared" si="26"/>
        <v>0</v>
      </c>
      <c r="AZ87" s="232"/>
      <c r="BA87" s="279">
        <f t="shared" si="27"/>
        <v>0</v>
      </c>
      <c r="BB87" s="232"/>
      <c r="BC87" s="279">
        <f t="shared" si="28"/>
        <v>0</v>
      </c>
      <c r="BD87" s="232"/>
      <c r="BE87" s="279">
        <f t="shared" si="29"/>
        <v>0</v>
      </c>
      <c r="BF87" s="232"/>
      <c r="BG87" s="279">
        <f t="shared" si="30"/>
        <v>0</v>
      </c>
      <c r="BH87" s="232"/>
      <c r="BI87" s="279">
        <f t="shared" si="31"/>
        <v>0</v>
      </c>
      <c r="BJ87" s="232"/>
      <c r="BK87" s="279">
        <f t="shared" si="32"/>
        <v>0</v>
      </c>
    </row>
    <row r="88" spans="1:63">
      <c r="A88" s="233">
        <v>84</v>
      </c>
      <c r="B88" s="53" t="str">
        <f>'[8]Linh Kiện'!D90</f>
        <v>R105679</v>
      </c>
      <c r="C88" s="51" t="str">
        <f t="shared" si="19"/>
        <v>XEM</v>
      </c>
      <c r="D88" s="49">
        <f>'[8]Linh Kiện'!E90</f>
        <v>2</v>
      </c>
      <c r="E88" s="195">
        <f>'[8]Linh Kiện'!AK90</f>
        <v>478.29014807692306</v>
      </c>
      <c r="F88" s="19"/>
      <c r="G88" s="19"/>
      <c r="H88" s="19"/>
      <c r="I88" s="19"/>
      <c r="J88" s="19"/>
      <c r="K88" s="19"/>
      <c r="L88" s="19"/>
      <c r="M88" s="19">
        <v>2</v>
      </c>
      <c r="N88" s="19"/>
      <c r="O88" s="19"/>
      <c r="P88" s="19"/>
      <c r="Q88" s="19"/>
      <c r="R88" s="197">
        <f t="shared" si="20"/>
        <v>2</v>
      </c>
      <c r="T88" s="48">
        <f t="shared" si="33"/>
        <v>0</v>
      </c>
      <c r="U88" s="48">
        <f t="shared" si="33"/>
        <v>0</v>
      </c>
      <c r="V88" s="48">
        <f t="shared" si="33"/>
        <v>0</v>
      </c>
      <c r="W88" s="48">
        <f t="shared" si="33"/>
        <v>0</v>
      </c>
      <c r="X88" s="48">
        <f t="shared" si="33"/>
        <v>0</v>
      </c>
      <c r="Y88" s="48">
        <f t="shared" si="33"/>
        <v>0</v>
      </c>
      <c r="Z88" s="48">
        <f t="shared" si="33"/>
        <v>0</v>
      </c>
      <c r="AA88" s="48">
        <f t="shared" si="33"/>
        <v>956.58029615384612</v>
      </c>
      <c r="AB88" s="48">
        <f t="shared" si="33"/>
        <v>0</v>
      </c>
      <c r="AC88" s="48">
        <f t="shared" si="33"/>
        <v>0</v>
      </c>
      <c r="AD88" s="48">
        <f t="shared" si="33"/>
        <v>0</v>
      </c>
      <c r="AE88" s="48">
        <f t="shared" si="33"/>
        <v>0</v>
      </c>
      <c r="AG88" s="293" t="e">
        <v>#N/A</v>
      </c>
      <c r="AH88" s="293" t="e">
        <v>#N/A</v>
      </c>
      <c r="AI88" s="293" t="e">
        <v>#N/A</v>
      </c>
      <c r="AJ88" s="293" t="e">
        <v>#N/A</v>
      </c>
      <c r="AK88" s="2" t="e">
        <v>#N/A</v>
      </c>
      <c r="AL88" s="293" t="e">
        <v>#N/A</v>
      </c>
      <c r="AN88" s="232"/>
      <c r="AO88" s="77">
        <f t="shared" si="21"/>
        <v>0</v>
      </c>
      <c r="AP88" s="232"/>
      <c r="AQ88" s="279">
        <f t="shared" si="22"/>
        <v>0</v>
      </c>
      <c r="AR88" s="232"/>
      <c r="AS88" s="279">
        <f t="shared" si="23"/>
        <v>0</v>
      </c>
      <c r="AT88" s="232"/>
      <c r="AU88" s="279">
        <f t="shared" si="24"/>
        <v>0</v>
      </c>
      <c r="AV88" s="232"/>
      <c r="AW88" s="279">
        <f t="shared" si="25"/>
        <v>0</v>
      </c>
      <c r="AX88" s="232"/>
      <c r="AY88" s="279">
        <f t="shared" si="26"/>
        <v>0</v>
      </c>
      <c r="AZ88" s="232"/>
      <c r="BA88" s="279">
        <f t="shared" si="27"/>
        <v>0</v>
      </c>
      <c r="BB88" s="232"/>
      <c r="BC88" s="279">
        <f t="shared" si="28"/>
        <v>0</v>
      </c>
      <c r="BD88" s="232"/>
      <c r="BE88" s="279">
        <f t="shared" si="29"/>
        <v>0</v>
      </c>
      <c r="BF88" s="232"/>
      <c r="BG88" s="279">
        <f t="shared" si="30"/>
        <v>0</v>
      </c>
      <c r="BH88" s="232"/>
      <c r="BI88" s="279">
        <f t="shared" si="31"/>
        <v>0</v>
      </c>
      <c r="BJ88" s="232"/>
      <c r="BK88" s="279">
        <f t="shared" si="32"/>
        <v>0</v>
      </c>
    </row>
    <row r="89" spans="1:63">
      <c r="A89" s="233">
        <v>85</v>
      </c>
      <c r="B89" s="53" t="str">
        <f>'[8]Linh Kiện'!D91</f>
        <v>S941289</v>
      </c>
      <c r="C89" s="51" t="str">
        <f t="shared" si="19"/>
        <v>XEM</v>
      </c>
      <c r="D89" s="49">
        <f>'[8]Linh Kiện'!E91</f>
        <v>2</v>
      </c>
      <c r="E89" s="195">
        <f>'[8]Linh Kiện'!AK91</f>
        <v>165.8364</v>
      </c>
      <c r="F89" s="19"/>
      <c r="G89" s="19"/>
      <c r="H89" s="19"/>
      <c r="I89" s="19"/>
      <c r="J89" s="19"/>
      <c r="K89" s="19"/>
      <c r="L89" s="19">
        <v>2</v>
      </c>
      <c r="M89" s="19"/>
      <c r="N89" s="19"/>
      <c r="O89" s="19"/>
      <c r="P89" s="19"/>
      <c r="Q89" s="19"/>
      <c r="R89" s="197">
        <f t="shared" si="20"/>
        <v>2</v>
      </c>
      <c r="T89" s="48">
        <f t="shared" si="33"/>
        <v>0</v>
      </c>
      <c r="U89" s="48">
        <f t="shared" si="33"/>
        <v>0</v>
      </c>
      <c r="V89" s="48">
        <f t="shared" si="33"/>
        <v>0</v>
      </c>
      <c r="W89" s="48">
        <f t="shared" si="33"/>
        <v>0</v>
      </c>
      <c r="X89" s="48">
        <f t="shared" si="33"/>
        <v>0</v>
      </c>
      <c r="Y89" s="48">
        <f t="shared" si="33"/>
        <v>0</v>
      </c>
      <c r="Z89" s="48">
        <f t="shared" si="33"/>
        <v>331.6728</v>
      </c>
      <c r="AA89" s="48">
        <f t="shared" si="33"/>
        <v>0</v>
      </c>
      <c r="AB89" s="48">
        <f t="shared" si="33"/>
        <v>0</v>
      </c>
      <c r="AC89" s="48">
        <f t="shared" si="33"/>
        <v>0</v>
      </c>
      <c r="AD89" s="48">
        <f t="shared" si="33"/>
        <v>0</v>
      </c>
      <c r="AE89" s="48">
        <f t="shared" si="33"/>
        <v>0</v>
      </c>
      <c r="AG89" s="293" t="e">
        <v>#N/A</v>
      </c>
      <c r="AH89" s="293" t="e">
        <v>#N/A</v>
      </c>
      <c r="AI89" s="293" t="e">
        <v>#N/A</v>
      </c>
      <c r="AJ89" s="293" t="e">
        <v>#N/A</v>
      </c>
      <c r="AK89" s="2" t="e">
        <v>#N/A</v>
      </c>
      <c r="AL89" s="293" t="e">
        <v>#N/A</v>
      </c>
      <c r="AN89" s="232"/>
      <c r="AO89" s="77">
        <f t="shared" si="21"/>
        <v>0</v>
      </c>
      <c r="AP89" s="232"/>
      <c r="AQ89" s="279">
        <f t="shared" si="22"/>
        <v>0</v>
      </c>
      <c r="AR89" s="232"/>
      <c r="AS89" s="279">
        <f t="shared" si="23"/>
        <v>0</v>
      </c>
      <c r="AT89" s="232"/>
      <c r="AU89" s="279">
        <f t="shared" si="24"/>
        <v>0</v>
      </c>
      <c r="AV89" s="232"/>
      <c r="AW89" s="279">
        <f t="shared" si="25"/>
        <v>0</v>
      </c>
      <c r="AX89" s="232"/>
      <c r="AY89" s="279">
        <f t="shared" si="26"/>
        <v>0</v>
      </c>
      <c r="AZ89" s="232"/>
      <c r="BA89" s="279">
        <f t="shared" si="27"/>
        <v>0</v>
      </c>
      <c r="BB89" s="232"/>
      <c r="BC89" s="279">
        <f t="shared" si="28"/>
        <v>0</v>
      </c>
      <c r="BD89" s="232"/>
      <c r="BE89" s="279">
        <f t="shared" si="29"/>
        <v>0</v>
      </c>
      <c r="BF89" s="232"/>
      <c r="BG89" s="279">
        <f t="shared" si="30"/>
        <v>0</v>
      </c>
      <c r="BH89" s="232"/>
      <c r="BI89" s="279">
        <f t="shared" si="31"/>
        <v>0</v>
      </c>
      <c r="BJ89" s="232"/>
      <c r="BK89" s="279">
        <f t="shared" si="32"/>
        <v>0</v>
      </c>
    </row>
    <row r="90" spans="1:63">
      <c r="A90" s="233">
        <v>86</v>
      </c>
      <c r="B90" s="53" t="str">
        <f>'[8]Linh Kiện'!D92</f>
        <v>R152943</v>
      </c>
      <c r="C90" s="51" t="str">
        <f t="shared" si="19"/>
        <v>XEM</v>
      </c>
      <c r="D90" s="49">
        <f>'[8]Linh Kiện'!E92</f>
        <v>2</v>
      </c>
      <c r="E90" s="195">
        <f>'[8]Linh Kiện'!AK92</f>
        <v>199.38580192307694</v>
      </c>
      <c r="F90" s="19"/>
      <c r="G90" s="19"/>
      <c r="H90" s="19"/>
      <c r="I90" s="19"/>
      <c r="J90" s="19"/>
      <c r="K90" s="19">
        <v>2</v>
      </c>
      <c r="L90" s="19"/>
      <c r="M90" s="19"/>
      <c r="N90" s="19"/>
      <c r="O90" s="19"/>
      <c r="P90" s="19"/>
      <c r="Q90" s="19"/>
      <c r="R90" s="197">
        <f t="shared" si="20"/>
        <v>2</v>
      </c>
      <c r="T90" s="48">
        <f t="shared" si="33"/>
        <v>0</v>
      </c>
      <c r="U90" s="48">
        <f t="shared" si="33"/>
        <v>0</v>
      </c>
      <c r="V90" s="48">
        <f t="shared" si="33"/>
        <v>0</v>
      </c>
      <c r="W90" s="48">
        <f t="shared" si="33"/>
        <v>0</v>
      </c>
      <c r="X90" s="48">
        <f t="shared" si="33"/>
        <v>0</v>
      </c>
      <c r="Y90" s="48">
        <f t="shared" si="33"/>
        <v>398.77160384615388</v>
      </c>
      <c r="Z90" s="48">
        <f t="shared" si="33"/>
        <v>0</v>
      </c>
      <c r="AA90" s="48">
        <f t="shared" si="33"/>
        <v>0</v>
      </c>
      <c r="AB90" s="48">
        <f t="shared" si="33"/>
        <v>0</v>
      </c>
      <c r="AC90" s="48">
        <f t="shared" si="33"/>
        <v>0</v>
      </c>
      <c r="AD90" s="48">
        <f t="shared" si="33"/>
        <v>0</v>
      </c>
      <c r="AE90" s="48">
        <f t="shared" si="33"/>
        <v>0</v>
      </c>
      <c r="AG90" s="377" t="e">
        <v>#N/A</v>
      </c>
      <c r="AH90" s="293" t="e">
        <v>#N/A</v>
      </c>
      <c r="AI90" s="293" t="e">
        <v>#N/A</v>
      </c>
      <c r="AJ90" s="293" t="e">
        <v>#N/A</v>
      </c>
      <c r="AK90" s="2" t="e">
        <v>#N/A</v>
      </c>
      <c r="AL90" s="293" t="e">
        <v>#N/A</v>
      </c>
      <c r="AN90" s="232"/>
      <c r="AO90" s="77">
        <f t="shared" si="21"/>
        <v>0</v>
      </c>
      <c r="AP90" s="232"/>
      <c r="AQ90" s="279">
        <f t="shared" si="22"/>
        <v>0</v>
      </c>
      <c r="AR90" s="232"/>
      <c r="AS90" s="279">
        <f t="shared" si="23"/>
        <v>0</v>
      </c>
      <c r="AT90" s="232"/>
      <c r="AU90" s="279">
        <f t="shared" si="24"/>
        <v>0</v>
      </c>
      <c r="AV90" s="232"/>
      <c r="AW90" s="279">
        <f t="shared" si="25"/>
        <v>0</v>
      </c>
      <c r="AX90" s="232"/>
      <c r="AY90" s="279">
        <f t="shared" si="26"/>
        <v>0</v>
      </c>
      <c r="AZ90" s="232"/>
      <c r="BA90" s="279">
        <f t="shared" si="27"/>
        <v>0</v>
      </c>
      <c r="BB90" s="232"/>
      <c r="BC90" s="279">
        <f t="shared" si="28"/>
        <v>0</v>
      </c>
      <c r="BD90" s="232"/>
      <c r="BE90" s="279">
        <f t="shared" si="29"/>
        <v>0</v>
      </c>
      <c r="BF90" s="232"/>
      <c r="BG90" s="279">
        <f t="shared" si="30"/>
        <v>0</v>
      </c>
      <c r="BH90" s="232"/>
      <c r="BI90" s="279">
        <f t="shared" si="31"/>
        <v>0</v>
      </c>
      <c r="BJ90" s="232"/>
      <c r="BK90" s="279">
        <f t="shared" si="32"/>
        <v>0</v>
      </c>
    </row>
    <row r="91" spans="1:63">
      <c r="A91" s="233">
        <v>87</v>
      </c>
      <c r="B91" s="53" t="str">
        <f>'[8]Linh Kiện'!D93</f>
        <v>S775354</v>
      </c>
      <c r="C91" s="51" t="str">
        <f t="shared" si="19"/>
        <v>XEM</v>
      </c>
      <c r="D91" s="49">
        <f>'[8]Linh Kiện'!E93</f>
        <v>2</v>
      </c>
      <c r="E91" s="195">
        <f>'[8]Linh Kiện'!AK93</f>
        <v>396.0970019230769</v>
      </c>
      <c r="F91" s="19"/>
      <c r="G91" s="19"/>
      <c r="H91" s="19"/>
      <c r="I91" s="19"/>
      <c r="J91" s="19">
        <v>2</v>
      </c>
      <c r="K91" s="19"/>
      <c r="L91" s="19"/>
      <c r="M91" s="19"/>
      <c r="N91" s="19"/>
      <c r="O91" s="19"/>
      <c r="P91" s="19"/>
      <c r="Q91" s="19"/>
      <c r="R91" s="197">
        <f t="shared" si="20"/>
        <v>2</v>
      </c>
      <c r="T91" s="48">
        <f t="shared" si="33"/>
        <v>0</v>
      </c>
      <c r="U91" s="48">
        <f t="shared" si="33"/>
        <v>0</v>
      </c>
      <c r="V91" s="48">
        <f t="shared" si="33"/>
        <v>0</v>
      </c>
      <c r="W91" s="48">
        <f t="shared" si="33"/>
        <v>0</v>
      </c>
      <c r="X91" s="48">
        <f t="shared" si="33"/>
        <v>792.19400384615381</v>
      </c>
      <c r="Y91" s="48">
        <f t="shared" si="33"/>
        <v>0</v>
      </c>
      <c r="Z91" s="48">
        <f t="shared" si="33"/>
        <v>0</v>
      </c>
      <c r="AA91" s="48">
        <f t="shared" si="33"/>
        <v>0</v>
      </c>
      <c r="AB91" s="48">
        <f t="shared" si="33"/>
        <v>0</v>
      </c>
      <c r="AC91" s="48">
        <f t="shared" si="33"/>
        <v>0</v>
      </c>
      <c r="AD91" s="48">
        <f t="shared" si="33"/>
        <v>0</v>
      </c>
      <c r="AE91" s="48">
        <f t="shared" si="33"/>
        <v>0</v>
      </c>
      <c r="AG91" s="376" t="s">
        <v>785</v>
      </c>
      <c r="AH91" s="372">
        <v>2</v>
      </c>
      <c r="AI91" s="293">
        <v>1</v>
      </c>
      <c r="AJ91" s="298" t="s">
        <v>356</v>
      </c>
      <c r="AK91" s="2"/>
      <c r="AL91" s="293" t="s">
        <v>596</v>
      </c>
      <c r="AM91" t="s">
        <v>861</v>
      </c>
      <c r="AN91" s="232"/>
      <c r="AO91" s="77">
        <f t="shared" si="21"/>
        <v>0</v>
      </c>
      <c r="AP91" s="232">
        <v>1</v>
      </c>
      <c r="AQ91" s="279">
        <f t="shared" si="22"/>
        <v>396.0970019230769</v>
      </c>
      <c r="AR91" s="232"/>
      <c r="AS91" s="279">
        <f t="shared" si="23"/>
        <v>0</v>
      </c>
      <c r="AT91" s="232"/>
      <c r="AU91" s="279">
        <f t="shared" si="24"/>
        <v>0</v>
      </c>
      <c r="AV91" s="232"/>
      <c r="AW91" s="279">
        <f t="shared" si="25"/>
        <v>0</v>
      </c>
      <c r="AX91" s="232"/>
      <c r="AY91" s="279">
        <f t="shared" si="26"/>
        <v>0</v>
      </c>
      <c r="AZ91" s="232"/>
      <c r="BA91" s="279">
        <f t="shared" si="27"/>
        <v>0</v>
      </c>
      <c r="BB91" s="232"/>
      <c r="BC91" s="279">
        <f t="shared" si="28"/>
        <v>0</v>
      </c>
      <c r="BD91" s="232"/>
      <c r="BE91" s="279">
        <f t="shared" si="29"/>
        <v>0</v>
      </c>
      <c r="BF91" s="232"/>
      <c r="BG91" s="279">
        <f t="shared" si="30"/>
        <v>0</v>
      </c>
      <c r="BH91" s="232"/>
      <c r="BI91" s="279">
        <f t="shared" si="31"/>
        <v>0</v>
      </c>
      <c r="BJ91" s="232"/>
      <c r="BK91" s="279">
        <f t="shared" si="32"/>
        <v>0</v>
      </c>
    </row>
    <row r="92" spans="1:63" ht="17.25">
      <c r="A92" s="233">
        <v>88</v>
      </c>
      <c r="B92" s="53" t="str">
        <f>'[8]Linh Kiện'!D94</f>
        <v>S161757</v>
      </c>
      <c r="C92" s="51" t="str">
        <f t="shared" si="19"/>
        <v>XEM</v>
      </c>
      <c r="D92" s="49">
        <f>'[8]Linh Kiện'!E94</f>
        <v>2</v>
      </c>
      <c r="E92" s="195">
        <f>'[8]Linh Kiện'!AK94</f>
        <v>396.0970019230769</v>
      </c>
      <c r="F92" s="19"/>
      <c r="G92" s="19"/>
      <c r="H92" s="19"/>
      <c r="I92" s="19">
        <v>2</v>
      </c>
      <c r="J92" s="19"/>
      <c r="K92" s="19"/>
      <c r="L92" s="19"/>
      <c r="M92" s="19"/>
      <c r="N92" s="19"/>
      <c r="O92" s="19"/>
      <c r="P92" s="19"/>
      <c r="Q92" s="19"/>
      <c r="R92" s="197">
        <f t="shared" si="20"/>
        <v>2</v>
      </c>
      <c r="T92" s="48">
        <f t="shared" si="33"/>
        <v>0</v>
      </c>
      <c r="U92" s="48">
        <f t="shared" si="33"/>
        <v>0</v>
      </c>
      <c r="V92" s="48">
        <f t="shared" si="33"/>
        <v>0</v>
      </c>
      <c r="W92" s="48">
        <f t="shared" si="33"/>
        <v>792.19400384615381</v>
      </c>
      <c r="X92" s="48">
        <f t="shared" si="33"/>
        <v>0</v>
      </c>
      <c r="Y92" s="48">
        <f t="shared" si="33"/>
        <v>0</v>
      </c>
      <c r="Z92" s="48">
        <f t="shared" si="33"/>
        <v>0</v>
      </c>
      <c r="AA92" s="48">
        <f t="shared" si="33"/>
        <v>0</v>
      </c>
      <c r="AB92" s="48">
        <f t="shared" si="33"/>
        <v>0</v>
      </c>
      <c r="AC92" s="48">
        <f t="shared" si="33"/>
        <v>0</v>
      </c>
      <c r="AD92" s="48">
        <f t="shared" si="33"/>
        <v>0</v>
      </c>
      <c r="AE92" s="48">
        <f t="shared" si="33"/>
        <v>0</v>
      </c>
      <c r="AG92" s="362" t="s">
        <v>595</v>
      </c>
      <c r="AH92" s="372">
        <v>1</v>
      </c>
      <c r="AI92" s="293">
        <v>1</v>
      </c>
      <c r="AJ92" s="298" t="s">
        <v>774</v>
      </c>
      <c r="AK92" s="2" t="s">
        <v>775</v>
      </c>
      <c r="AL92" s="293" t="s">
        <v>597</v>
      </c>
      <c r="AM92" s="403" t="s">
        <v>885</v>
      </c>
      <c r="AN92" s="232">
        <v>1</v>
      </c>
      <c r="AO92" s="77">
        <f t="shared" si="21"/>
        <v>396.0970019230769</v>
      </c>
      <c r="AP92" s="232"/>
      <c r="AQ92" s="279">
        <f t="shared" si="22"/>
        <v>0</v>
      </c>
      <c r="AR92" s="232"/>
      <c r="AS92" s="279">
        <f t="shared" si="23"/>
        <v>0</v>
      </c>
      <c r="AT92" s="232"/>
      <c r="AU92" s="279">
        <f t="shared" si="24"/>
        <v>0</v>
      </c>
      <c r="AV92" s="232"/>
      <c r="AW92" s="279">
        <f t="shared" si="25"/>
        <v>0</v>
      </c>
      <c r="AX92" s="232"/>
      <c r="AY92" s="279">
        <f t="shared" si="26"/>
        <v>0</v>
      </c>
      <c r="AZ92" s="232"/>
      <c r="BA92" s="279">
        <f t="shared" si="27"/>
        <v>0</v>
      </c>
      <c r="BB92" s="232"/>
      <c r="BC92" s="279">
        <f t="shared" si="28"/>
        <v>0</v>
      </c>
      <c r="BD92" s="232"/>
      <c r="BE92" s="279">
        <f t="shared" si="29"/>
        <v>0</v>
      </c>
      <c r="BF92" s="232"/>
      <c r="BG92" s="279">
        <f t="shared" si="30"/>
        <v>0</v>
      </c>
      <c r="BH92" s="232"/>
      <c r="BI92" s="279">
        <f t="shared" si="31"/>
        <v>0</v>
      </c>
      <c r="BJ92" s="232"/>
      <c r="BK92" s="279">
        <f t="shared" si="32"/>
        <v>0</v>
      </c>
    </row>
    <row r="93" spans="1:63">
      <c r="B93" s="1"/>
      <c r="D93" s="101">
        <f>SUM(D5:D92)</f>
        <v>126</v>
      </c>
      <c r="F93">
        <f>SUM(F5:F92)</f>
        <v>8</v>
      </c>
      <c r="G93">
        <f t="shared" ref="G93:Q93" si="34">SUM(G5:G92)</f>
        <v>5</v>
      </c>
      <c r="H93">
        <f t="shared" si="34"/>
        <v>10</v>
      </c>
      <c r="I93">
        <f t="shared" si="34"/>
        <v>13</v>
      </c>
      <c r="J93">
        <f t="shared" si="34"/>
        <v>14</v>
      </c>
      <c r="K93">
        <f t="shared" si="34"/>
        <v>8</v>
      </c>
      <c r="L93">
        <f t="shared" si="34"/>
        <v>14</v>
      </c>
      <c r="M93">
        <f t="shared" si="34"/>
        <v>12</v>
      </c>
      <c r="N93">
        <f t="shared" si="34"/>
        <v>5</v>
      </c>
      <c r="O93">
        <f t="shared" si="34"/>
        <v>12</v>
      </c>
      <c r="P93">
        <f t="shared" si="34"/>
        <v>15</v>
      </c>
      <c r="Q93">
        <f t="shared" si="34"/>
        <v>10</v>
      </c>
      <c r="R93" s="135">
        <f>SUM(F93:Q93)</f>
        <v>126</v>
      </c>
      <c r="T93" s="33">
        <f>SUM(T5:T92)</f>
        <v>2200.302076923077</v>
      </c>
      <c r="U93" s="33">
        <f t="shared" ref="U93:AE93" si="35">SUM(U5:U92)</f>
        <v>1264.7358384615384</v>
      </c>
      <c r="V93" s="33">
        <f t="shared" si="35"/>
        <v>3533.4624511538454</v>
      </c>
      <c r="W93" s="33">
        <f t="shared" si="35"/>
        <v>4173.406376923077</v>
      </c>
      <c r="X93" s="33">
        <f t="shared" si="35"/>
        <v>4544.1219391025634</v>
      </c>
      <c r="Y93" s="33">
        <f t="shared" si="35"/>
        <v>3721.9340038461542</v>
      </c>
      <c r="Z93" s="33">
        <f t="shared" si="35"/>
        <v>3646.9522877403847</v>
      </c>
      <c r="AA93" s="33">
        <f t="shared" si="35"/>
        <v>4176.1703269230766</v>
      </c>
      <c r="AB93" s="33">
        <f t="shared" si="35"/>
        <v>4187.0158019230767</v>
      </c>
      <c r="AC93" s="33">
        <f t="shared" si="35"/>
        <v>5086.9945192307687</v>
      </c>
      <c r="AD93" s="33">
        <f t="shared" si="35"/>
        <v>3595.1537223557693</v>
      </c>
      <c r="AE93" s="33">
        <f t="shared" si="35"/>
        <v>2615.1821346153847</v>
      </c>
      <c r="AF93" s="47">
        <f>SUM(T93:AE93)</f>
        <v>42745.431479198713</v>
      </c>
      <c r="AO93" s="203">
        <f>SUM(AO5:AO92)</f>
        <v>1854.0559173076924</v>
      </c>
      <c r="AP93" s="203"/>
      <c r="AQ93" s="203">
        <f t="shared" ref="AQ93:BK93" si="36">SUM(AQ5:AQ92)</f>
        <v>452.40964038461533</v>
      </c>
      <c r="AR93" s="203"/>
      <c r="AS93" s="203">
        <f t="shared" si="36"/>
        <v>1554.8206384615385</v>
      </c>
      <c r="AT93" s="203"/>
      <c r="AU93" s="203">
        <f t="shared" si="36"/>
        <v>0</v>
      </c>
      <c r="AV93" s="203"/>
      <c r="AW93" s="203">
        <f t="shared" si="36"/>
        <v>0</v>
      </c>
      <c r="AX93" s="203"/>
      <c r="AY93" s="203">
        <f t="shared" si="36"/>
        <v>0</v>
      </c>
      <c r="AZ93" s="203"/>
      <c r="BA93" s="203">
        <f t="shared" si="36"/>
        <v>0</v>
      </c>
      <c r="BB93" s="203"/>
      <c r="BC93" s="203">
        <f t="shared" si="36"/>
        <v>0</v>
      </c>
      <c r="BD93" s="203"/>
      <c r="BE93" s="203">
        <f t="shared" si="36"/>
        <v>0</v>
      </c>
      <c r="BF93" s="203"/>
      <c r="BG93" s="203">
        <f t="shared" si="36"/>
        <v>0</v>
      </c>
      <c r="BH93" s="203"/>
      <c r="BI93" s="203">
        <f t="shared" si="36"/>
        <v>0</v>
      </c>
      <c r="BJ93" s="203"/>
      <c r="BK93" s="203">
        <f t="shared" si="36"/>
        <v>0</v>
      </c>
    </row>
    <row r="94" spans="1:63">
      <c r="B94" s="1"/>
      <c r="T94" s="209">
        <f>T93*26000/1000000</f>
        <v>57.207853999999998</v>
      </c>
      <c r="U94" s="209">
        <f t="shared" ref="U94:AF94" si="37">U93*26000/1000000</f>
        <v>32.883131799999994</v>
      </c>
      <c r="V94" s="209">
        <f t="shared" si="37"/>
        <v>91.870023729999971</v>
      </c>
      <c r="W94" s="209">
        <f t="shared" si="37"/>
        <v>108.5085658</v>
      </c>
      <c r="X94" s="209">
        <f t="shared" si="37"/>
        <v>118.14717041666664</v>
      </c>
      <c r="Y94" s="209">
        <f t="shared" si="37"/>
        <v>96.770284100000012</v>
      </c>
      <c r="Z94" s="209">
        <f t="shared" si="37"/>
        <v>94.820759481250008</v>
      </c>
      <c r="AA94" s="209">
        <f t="shared" si="37"/>
        <v>108.58042849999998</v>
      </c>
      <c r="AB94" s="209">
        <f t="shared" si="37"/>
        <v>108.86241084999999</v>
      </c>
      <c r="AC94" s="209">
        <f t="shared" si="37"/>
        <v>132.26185749999999</v>
      </c>
      <c r="AD94" s="209">
        <f t="shared" si="37"/>
        <v>93.473996781249994</v>
      </c>
      <c r="AE94" s="209">
        <f t="shared" si="37"/>
        <v>67.994735500000004</v>
      </c>
      <c r="AF94" s="209">
        <f t="shared" si="37"/>
        <v>1111.3812184591666</v>
      </c>
      <c r="AO94" s="299">
        <f>AO93*26000/1000000</f>
        <v>48.205453850000005</v>
      </c>
      <c r="AP94" s="299"/>
      <c r="AQ94" s="299">
        <f t="shared" ref="AQ94:BK94" si="38">AQ93*26000/1000000</f>
        <v>11.762650649999998</v>
      </c>
      <c r="AR94" s="299"/>
      <c r="AS94" s="299">
        <f t="shared" si="38"/>
        <v>40.425336600000001</v>
      </c>
      <c r="AT94" s="299"/>
      <c r="AU94" s="299">
        <f t="shared" si="38"/>
        <v>0</v>
      </c>
      <c r="AV94" s="299"/>
      <c r="AW94" s="299">
        <f t="shared" si="38"/>
        <v>0</v>
      </c>
      <c r="AX94" s="299"/>
      <c r="AY94" s="299">
        <f t="shared" si="38"/>
        <v>0</v>
      </c>
      <c r="AZ94" s="299"/>
      <c r="BA94" s="299">
        <f t="shared" si="38"/>
        <v>0</v>
      </c>
      <c r="BB94" s="299"/>
      <c r="BC94" s="299">
        <f t="shared" si="38"/>
        <v>0</v>
      </c>
      <c r="BD94" s="299"/>
      <c r="BE94" s="299">
        <f t="shared" si="38"/>
        <v>0</v>
      </c>
      <c r="BF94" s="299"/>
      <c r="BG94" s="299">
        <f t="shared" si="38"/>
        <v>0</v>
      </c>
      <c r="BH94" s="299"/>
      <c r="BI94" s="299">
        <f t="shared" si="38"/>
        <v>0</v>
      </c>
      <c r="BJ94" s="299"/>
      <c r="BK94" s="299">
        <f t="shared" si="38"/>
        <v>0</v>
      </c>
    </row>
    <row r="95" spans="1:63">
      <c r="B95" s="1"/>
    </row>
    <row r="96" spans="1:63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</sheetData>
  <autoFilter ref="A4:BK93" xr:uid="{CBBF672F-6283-4A70-A4ED-5505DD39EB51}"/>
  <mergeCells count="53">
    <mergeCell ref="BF3:BG3"/>
    <mergeCell ref="BH3:BI3"/>
    <mergeCell ref="BJ3:BK3"/>
    <mergeCell ref="AT3:AU3"/>
    <mergeCell ref="AV3:AW3"/>
    <mergeCell ref="AX3:AY3"/>
    <mergeCell ref="AZ3:BA3"/>
    <mergeCell ref="BB3:BC3"/>
    <mergeCell ref="BD3:BE3"/>
    <mergeCell ref="AR3:AS3"/>
    <mergeCell ref="AC3:AC4"/>
    <mergeCell ref="AD3:AD4"/>
    <mergeCell ref="AE3:AE4"/>
    <mergeCell ref="AG3:AG4"/>
    <mergeCell ref="AH3:AH4"/>
    <mergeCell ref="AI3:AI4"/>
    <mergeCell ref="AJ3:AJ4"/>
    <mergeCell ref="AK3:AK4"/>
    <mergeCell ref="AL3:AL4"/>
    <mergeCell ref="AN3:AO3"/>
    <mergeCell ref="AP3:AQ3"/>
    <mergeCell ref="AN2:BK2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B3:AB4"/>
    <mergeCell ref="O3:O4"/>
    <mergeCell ref="P3:P4"/>
    <mergeCell ref="Q3:Q4"/>
    <mergeCell ref="T3:T4"/>
    <mergeCell ref="U3:U4"/>
    <mergeCell ref="B1:AL1"/>
    <mergeCell ref="A2:A4"/>
    <mergeCell ref="B2:B4"/>
    <mergeCell ref="C2:C4"/>
    <mergeCell ref="D2:D4"/>
    <mergeCell ref="E2:E4"/>
    <mergeCell ref="F2:Q2"/>
    <mergeCell ref="R2:R4"/>
    <mergeCell ref="T2:AE2"/>
    <mergeCell ref="AG2:AL2"/>
    <mergeCell ref="V3:V4"/>
    <mergeCell ref="W3:W4"/>
    <mergeCell ref="X3:X4"/>
    <mergeCell ref="Y3:Y4"/>
    <mergeCell ref="Z3:Z4"/>
    <mergeCell ref="AA3:AA4"/>
  </mergeCells>
  <phoneticPr fontId="24"/>
  <conditionalFormatting sqref="B1:B1048576">
    <cfRule type="duplicateValues" dxfId="50" priority="1"/>
  </conditionalFormatting>
  <conditionalFormatting sqref="B5:B92">
    <cfRule type="duplicateValues" dxfId="49" priority="14"/>
    <cfRule type="duplicateValues" dxfId="48" priority="15"/>
  </conditionalFormatting>
  <conditionalFormatting sqref="C5:E92 J15:J34 K26:K41 L29:L34 L35:M37 M38:N40 L38:L50 N41:N44 O42:O50 M46:M54 P48:P54 J50 Q52:Q54 Q56">
    <cfRule type="expression" dxfId="47" priority="12">
      <formula>COLUMN()=CELL("col")</formula>
    </cfRule>
    <cfRule type="expression" dxfId="46" priority="13">
      <formula>ROW()=CELL("Row")</formula>
    </cfRule>
  </conditionalFormatting>
  <conditionalFormatting sqref="H5:H16">
    <cfRule type="expression" dxfId="45" priority="2">
      <formula>COLUMN()=CELL("col")</formula>
    </cfRule>
    <cfRule type="expression" dxfId="44" priority="3">
      <formula>ROW()=CELL("Row")</formula>
    </cfRule>
  </conditionalFormatting>
  <conditionalFormatting sqref="I8:I24">
    <cfRule type="expression" dxfId="43" priority="8">
      <formula>COLUMN()=CELL("col")</formula>
    </cfRule>
    <cfRule type="expression" dxfId="42" priority="9">
      <formula>ROW()=CELL("Row")</formula>
    </cfRule>
  </conditionalFormatting>
  <conditionalFormatting sqref="I54:I56">
    <cfRule type="expression" dxfId="41" priority="4">
      <formula>COLUMN()=CELL("col")</formula>
    </cfRule>
    <cfRule type="expression" dxfId="40" priority="5">
      <formula>ROW()=CELL("Row")</formula>
    </cfRule>
  </conditionalFormatting>
  <conditionalFormatting sqref="M56">
    <cfRule type="expression" dxfId="39" priority="6">
      <formula>COLUMN()=CELL("col")</formula>
    </cfRule>
    <cfRule type="expression" dxfId="38" priority="7">
      <formula>ROW()=CELL("Row")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C1B0-D68A-44D2-9B25-3CAF985F2983}">
  <dimension ref="B2:AQ227"/>
  <sheetViews>
    <sheetView topLeftCell="A10" workbookViewId="0">
      <selection activeCell="P39" sqref="P39"/>
    </sheetView>
  </sheetViews>
  <sheetFormatPr defaultRowHeight="15"/>
  <cols>
    <col min="2" max="2" width="4.42578125" style="23" bestFit="1" customWidth="1"/>
    <col min="3" max="3" width="8.7109375" bestFit="1" customWidth="1"/>
    <col min="4" max="4" width="14.7109375" style="135" bestFit="1" customWidth="1"/>
    <col min="5" max="5" width="14.85546875" style="135" customWidth="1"/>
    <col min="6" max="6" width="15.140625" style="135" customWidth="1"/>
    <col min="7" max="8" width="17.85546875" style="135" bestFit="1" customWidth="1"/>
    <col min="9" max="9" width="17.85546875" style="135" customWidth="1"/>
    <col min="10" max="10" width="12.42578125" style="135" bestFit="1" customWidth="1"/>
    <col min="11" max="11" width="12.42578125" style="135" customWidth="1"/>
    <col min="12" max="12" width="21.7109375" style="407" customWidth="1"/>
    <col min="13" max="14" width="11.42578125" style="135" customWidth="1"/>
    <col min="16" max="16" width="14.28515625" style="135" bestFit="1" customWidth="1"/>
    <col min="17" max="17" width="10.140625" style="135" customWidth="1"/>
    <col min="18" max="18" width="11.140625" style="135" bestFit="1" customWidth="1"/>
    <col min="19" max="40" width="7.140625" style="135" customWidth="1"/>
    <col min="41" max="41" width="10" style="135" bestFit="1" customWidth="1"/>
    <col min="42" max="42" width="7.140625" style="135" customWidth="1"/>
  </cols>
  <sheetData>
    <row r="2" spans="2:43">
      <c r="B2" s="500" t="s">
        <v>120</v>
      </c>
      <c r="C2" s="501"/>
      <c r="D2" s="501"/>
      <c r="E2" s="501"/>
      <c r="F2" s="501"/>
      <c r="G2" s="501"/>
      <c r="H2" s="501"/>
      <c r="I2" s="501"/>
      <c r="J2" s="501"/>
      <c r="K2" s="501"/>
      <c r="L2" s="502"/>
      <c r="M2" s="501"/>
      <c r="N2" s="332"/>
    </row>
    <row r="3" spans="2:43">
      <c r="B3" s="503" t="s">
        <v>121</v>
      </c>
      <c r="C3" s="503" t="s">
        <v>122</v>
      </c>
      <c r="D3" s="503" t="s">
        <v>123</v>
      </c>
      <c r="E3" s="510" t="s">
        <v>748</v>
      </c>
      <c r="F3" s="511"/>
      <c r="G3" s="512" t="s">
        <v>749</v>
      </c>
      <c r="H3" s="511"/>
      <c r="I3" s="505" t="s">
        <v>754</v>
      </c>
      <c r="J3" s="503" t="s">
        <v>124</v>
      </c>
      <c r="K3" s="507" t="s">
        <v>762</v>
      </c>
      <c r="L3" s="508" t="s">
        <v>763</v>
      </c>
      <c r="M3" s="499" t="s">
        <v>757</v>
      </c>
      <c r="N3" s="499" t="s">
        <v>766</v>
      </c>
    </row>
    <row r="4" spans="2:43" s="45" customFormat="1" ht="30">
      <c r="B4" s="504"/>
      <c r="C4" s="504"/>
      <c r="D4" s="504"/>
      <c r="E4" s="305" t="s">
        <v>752</v>
      </c>
      <c r="F4" s="326" t="s">
        <v>751</v>
      </c>
      <c r="G4" s="326" t="s">
        <v>750</v>
      </c>
      <c r="H4" s="326" t="s">
        <v>753</v>
      </c>
      <c r="I4" s="506"/>
      <c r="J4" s="504"/>
      <c r="K4" s="504"/>
      <c r="L4" s="509"/>
      <c r="M4" s="513"/>
      <c r="N4" s="499"/>
      <c r="P4" s="331" t="s">
        <v>765</v>
      </c>
      <c r="Q4" s="494" t="s">
        <v>740</v>
      </c>
      <c r="R4" s="494"/>
      <c r="S4" s="494" t="s">
        <v>17</v>
      </c>
      <c r="T4" s="494"/>
      <c r="U4" s="494" t="s">
        <v>8</v>
      </c>
      <c r="V4" s="494"/>
      <c r="W4" s="494" t="s">
        <v>16</v>
      </c>
      <c r="X4" s="494"/>
      <c r="Y4" s="494" t="s">
        <v>14</v>
      </c>
      <c r="Z4" s="494"/>
      <c r="AA4" s="494" t="s">
        <v>15</v>
      </c>
      <c r="AB4" s="494"/>
      <c r="AC4" s="494" t="s">
        <v>13</v>
      </c>
      <c r="AD4" s="494"/>
      <c r="AE4" s="494" t="s">
        <v>11</v>
      </c>
      <c r="AF4" s="494"/>
      <c r="AG4" s="494" t="s">
        <v>12</v>
      </c>
      <c r="AH4" s="494"/>
      <c r="AI4" s="494" t="s">
        <v>10</v>
      </c>
      <c r="AJ4" s="494"/>
      <c r="AK4" s="494" t="s">
        <v>9</v>
      </c>
      <c r="AL4" s="494"/>
      <c r="AM4" s="494" t="s">
        <v>7</v>
      </c>
      <c r="AN4" s="494"/>
      <c r="AO4" s="476" t="s">
        <v>743</v>
      </c>
      <c r="AP4" s="476"/>
    </row>
    <row r="5" spans="2:43">
      <c r="B5" s="188">
        <v>40</v>
      </c>
      <c r="C5" s="19" t="s">
        <v>438</v>
      </c>
      <c r="D5" s="181">
        <v>344</v>
      </c>
      <c r="E5" s="304">
        <v>300</v>
      </c>
      <c r="F5" s="304">
        <v>175</v>
      </c>
      <c r="G5" s="181">
        <v>130.32920000000001</v>
      </c>
      <c r="H5" s="304">
        <v>89.07</v>
      </c>
      <c r="I5" s="327">
        <f t="shared" ref="I5:I68" si="0">D5-H5</f>
        <v>254.93</v>
      </c>
      <c r="J5" s="304" t="s">
        <v>712</v>
      </c>
      <c r="K5" s="333">
        <v>6</v>
      </c>
      <c r="L5" s="408">
        <f t="shared" ref="L5:L34" si="1">I5*K5*26000/1000000</f>
        <v>39.769080000000002</v>
      </c>
      <c r="M5" s="324">
        <v>1</v>
      </c>
      <c r="N5" s="495">
        <f>SUM(L5:L15)</f>
        <v>251.97752639999999</v>
      </c>
      <c r="O5" s="357" t="s">
        <v>789</v>
      </c>
      <c r="P5" s="333" t="s">
        <v>764</v>
      </c>
      <c r="Q5" s="188" t="s">
        <v>741</v>
      </c>
      <c r="R5" s="188" t="s">
        <v>742</v>
      </c>
      <c r="S5" s="188" t="s">
        <v>741</v>
      </c>
      <c r="T5" s="188" t="s">
        <v>742</v>
      </c>
      <c r="U5" s="188" t="s">
        <v>741</v>
      </c>
      <c r="V5" s="188" t="s">
        <v>742</v>
      </c>
      <c r="W5" s="188" t="s">
        <v>741</v>
      </c>
      <c r="X5" s="188" t="s">
        <v>742</v>
      </c>
      <c r="Y5" s="188" t="s">
        <v>741</v>
      </c>
      <c r="Z5" s="188" t="s">
        <v>742</v>
      </c>
      <c r="AA5" s="188" t="s">
        <v>741</v>
      </c>
      <c r="AB5" s="188" t="s">
        <v>742</v>
      </c>
      <c r="AC5" s="188" t="s">
        <v>741</v>
      </c>
      <c r="AD5" s="188" t="s">
        <v>742</v>
      </c>
      <c r="AE5" s="188" t="s">
        <v>741</v>
      </c>
      <c r="AF5" s="188" t="s">
        <v>742</v>
      </c>
      <c r="AG5" s="188" t="s">
        <v>741</v>
      </c>
      <c r="AH5" s="188" t="s">
        <v>742</v>
      </c>
      <c r="AI5" s="188" t="s">
        <v>741</v>
      </c>
      <c r="AJ5" s="188" t="s">
        <v>742</v>
      </c>
      <c r="AK5" s="188" t="s">
        <v>741</v>
      </c>
      <c r="AL5" s="188" t="s">
        <v>742</v>
      </c>
      <c r="AM5" s="188" t="s">
        <v>741</v>
      </c>
      <c r="AN5" s="188" t="s">
        <v>742</v>
      </c>
      <c r="AO5" s="307" t="s">
        <v>744</v>
      </c>
      <c r="AP5" s="323" t="s">
        <v>745</v>
      </c>
    </row>
    <row r="6" spans="2:43">
      <c r="B6" s="324">
        <v>95</v>
      </c>
      <c r="C6" s="19" t="s">
        <v>651</v>
      </c>
      <c r="D6" s="181">
        <v>145.7637</v>
      </c>
      <c r="E6" s="401">
        <v>450</v>
      </c>
      <c r="F6" s="329">
        <v>836</v>
      </c>
      <c r="G6" s="181">
        <v>88.245999999999995</v>
      </c>
      <c r="H6" s="328">
        <v>139.22999999999999</v>
      </c>
      <c r="I6" s="327">
        <f t="shared" si="0"/>
        <v>6.5337000000000103</v>
      </c>
      <c r="J6" s="324" t="s">
        <v>356</v>
      </c>
      <c r="K6" s="333">
        <v>1</v>
      </c>
      <c r="L6" s="408">
        <f t="shared" si="1"/>
        <v>0.16987620000000028</v>
      </c>
      <c r="M6" s="324">
        <v>1</v>
      </c>
      <c r="N6" s="496"/>
      <c r="O6" s="357" t="s">
        <v>789</v>
      </c>
      <c r="P6" s="333" t="s">
        <v>746</v>
      </c>
      <c r="Q6" s="329">
        <v>20</v>
      </c>
      <c r="R6" s="342">
        <v>11</v>
      </c>
      <c r="S6" s="329">
        <v>13</v>
      </c>
      <c r="T6" s="342">
        <v>6</v>
      </c>
      <c r="U6" s="329">
        <v>37</v>
      </c>
      <c r="V6" s="342">
        <v>9</v>
      </c>
      <c r="W6" s="329">
        <v>43</v>
      </c>
      <c r="X6" s="342">
        <v>0</v>
      </c>
      <c r="Y6" s="329">
        <v>32</v>
      </c>
      <c r="Z6" s="342">
        <v>0</v>
      </c>
      <c r="AA6" s="329">
        <v>26</v>
      </c>
      <c r="AB6" s="342">
        <v>0</v>
      </c>
      <c r="AC6" s="329">
        <v>31</v>
      </c>
      <c r="AD6" s="342">
        <v>0</v>
      </c>
      <c r="AE6" s="329">
        <v>31</v>
      </c>
      <c r="AF6" s="342">
        <v>0</v>
      </c>
      <c r="AG6" s="329">
        <v>28</v>
      </c>
      <c r="AH6" s="342">
        <v>0</v>
      </c>
      <c r="AI6" s="329">
        <v>27</v>
      </c>
      <c r="AJ6" s="342">
        <v>0</v>
      </c>
      <c r="AK6" s="329">
        <v>30</v>
      </c>
      <c r="AL6" s="342">
        <v>0</v>
      </c>
      <c r="AM6" s="329">
        <v>24</v>
      </c>
      <c r="AN6" s="342">
        <v>0</v>
      </c>
      <c r="AO6" s="340">
        <f t="shared" ref="AO6:AP8" si="2">Q6+S6+U6+W6+Y6+AA6+AC6+AE6+AG6+AI6+AK6+AM6</f>
        <v>342</v>
      </c>
      <c r="AP6" s="344">
        <f t="shared" si="2"/>
        <v>26</v>
      </c>
      <c r="AQ6" s="17">
        <f>AP6/AO6</f>
        <v>7.6023391812865493E-2</v>
      </c>
    </row>
    <row r="7" spans="2:43">
      <c r="B7" s="188">
        <v>139</v>
      </c>
      <c r="C7" s="19" t="s">
        <v>685</v>
      </c>
      <c r="D7" s="181">
        <v>861</v>
      </c>
      <c r="E7" s="401">
        <v>1390</v>
      </c>
      <c r="F7" s="328">
        <v>1415</v>
      </c>
      <c r="G7" s="181">
        <v>388.1644</v>
      </c>
      <c r="H7" s="328">
        <f>248.19+181</f>
        <v>429.19</v>
      </c>
      <c r="I7" s="327">
        <f t="shared" si="0"/>
        <v>431.81</v>
      </c>
      <c r="J7" s="324" t="s">
        <v>356</v>
      </c>
      <c r="K7" s="333">
        <v>1</v>
      </c>
      <c r="L7" s="408">
        <f t="shared" si="1"/>
        <v>11.22706</v>
      </c>
      <c r="M7" s="324">
        <v>1</v>
      </c>
      <c r="N7" s="496"/>
      <c r="O7" t="s">
        <v>781</v>
      </c>
      <c r="P7" s="333" t="s">
        <v>747</v>
      </c>
      <c r="Q7" s="329">
        <v>25</v>
      </c>
      <c r="R7" s="342">
        <v>17</v>
      </c>
      <c r="S7" s="329">
        <v>13</v>
      </c>
      <c r="T7" s="342">
        <v>11</v>
      </c>
      <c r="U7" s="329">
        <v>44</v>
      </c>
      <c r="V7" s="342">
        <v>13</v>
      </c>
      <c r="W7" s="329">
        <v>45</v>
      </c>
      <c r="X7" s="342">
        <v>0</v>
      </c>
      <c r="Y7" s="329">
        <v>52</v>
      </c>
      <c r="Z7" s="342">
        <v>0</v>
      </c>
      <c r="AA7" s="329">
        <v>32</v>
      </c>
      <c r="AB7" s="342">
        <v>0</v>
      </c>
      <c r="AC7" s="329">
        <v>35</v>
      </c>
      <c r="AD7" s="342">
        <v>0</v>
      </c>
      <c r="AE7" s="329">
        <v>36</v>
      </c>
      <c r="AF7" s="342">
        <v>0</v>
      </c>
      <c r="AG7" s="329">
        <v>34</v>
      </c>
      <c r="AH7" s="342">
        <v>0</v>
      </c>
      <c r="AI7" s="329">
        <v>31</v>
      </c>
      <c r="AJ7" s="342">
        <v>0</v>
      </c>
      <c r="AK7" s="329">
        <v>37</v>
      </c>
      <c r="AL7" s="342">
        <v>0</v>
      </c>
      <c r="AM7" s="329">
        <v>34</v>
      </c>
      <c r="AN7" s="342">
        <v>0</v>
      </c>
      <c r="AO7" s="340">
        <f t="shared" si="2"/>
        <v>418</v>
      </c>
      <c r="AP7" s="344">
        <f t="shared" si="2"/>
        <v>41</v>
      </c>
      <c r="AQ7" s="17">
        <f t="shared" ref="AQ7:AQ8" si="3">AP7/AO7</f>
        <v>9.8086124401913874E-2</v>
      </c>
    </row>
    <row r="8" spans="2:43">
      <c r="B8" s="188">
        <v>141</v>
      </c>
      <c r="C8" s="19" t="s">
        <v>767</v>
      </c>
      <c r="D8" s="181">
        <v>704</v>
      </c>
      <c r="E8" s="401">
        <v>1310</v>
      </c>
      <c r="F8" s="401">
        <v>1124</v>
      </c>
      <c r="G8" s="181">
        <v>647.68736153846157</v>
      </c>
      <c r="H8" s="401">
        <f>175.3+103</f>
        <v>278.3</v>
      </c>
      <c r="I8" s="327">
        <f t="shared" si="0"/>
        <v>425.7</v>
      </c>
      <c r="J8" s="324" t="s">
        <v>356</v>
      </c>
      <c r="K8" s="333">
        <v>1</v>
      </c>
      <c r="L8" s="408">
        <f t="shared" si="1"/>
        <v>11.068199999999999</v>
      </c>
      <c r="M8" s="324">
        <v>1</v>
      </c>
      <c r="N8" s="496"/>
      <c r="O8" t="s">
        <v>781</v>
      </c>
      <c r="P8" s="333" t="s">
        <v>769</v>
      </c>
      <c r="Q8" s="349">
        <f>'Quản lý MT năm'!D4</f>
        <v>69.473392568260849</v>
      </c>
      <c r="R8" s="343">
        <f>L5+L6</f>
        <v>39.9389562</v>
      </c>
      <c r="S8" s="349">
        <f>'Quản lý MT năm'!D6</f>
        <v>27.545740026956516</v>
      </c>
      <c r="T8" s="343">
        <v>0</v>
      </c>
      <c r="U8" s="349">
        <f>'Quản lý MT năm'!D8</f>
        <v>132.91868749553566</v>
      </c>
      <c r="V8" s="343">
        <f>L27+L28</f>
        <v>23.093200000000003</v>
      </c>
      <c r="W8" s="349">
        <f>'Quản lý MT năm'!D10</f>
        <v>148.31053867182968</v>
      </c>
      <c r="X8" s="343">
        <v>0</v>
      </c>
      <c r="Y8" s="349">
        <f>'Quản lý MT năm'!D12</f>
        <v>137.54751218333334</v>
      </c>
      <c r="Z8" s="343">
        <v>0</v>
      </c>
      <c r="AA8" s="349">
        <f>'Quản lý MT năm'!D14</f>
        <v>126.38705511000002</v>
      </c>
      <c r="AB8" s="343">
        <v>0</v>
      </c>
      <c r="AC8" s="349">
        <f>'Quản lý MT năm'!D16</f>
        <v>129.32571124333333</v>
      </c>
      <c r="AD8" s="343">
        <v>0</v>
      </c>
      <c r="AE8" s="349">
        <f>'Quản lý MT năm'!D18</f>
        <v>132.44306260333332</v>
      </c>
      <c r="AF8" s="343">
        <v>0</v>
      </c>
      <c r="AG8" s="349">
        <f>'Quản lý MT năm'!D20</f>
        <v>127.89450584000002</v>
      </c>
      <c r="AH8" s="343">
        <v>0</v>
      </c>
      <c r="AI8" s="349">
        <f>'Quản lý MT năm'!D22</f>
        <v>97.888753125163035</v>
      </c>
      <c r="AJ8" s="343">
        <v>0</v>
      </c>
      <c r="AK8" s="349">
        <f>'Quản lý MT năm'!D24</f>
        <v>96.873761453913062</v>
      </c>
      <c r="AL8" s="343">
        <v>0</v>
      </c>
      <c r="AM8" s="349">
        <f>'Quản lý MT năm'!D26</f>
        <v>99.983085653333333</v>
      </c>
      <c r="AN8" s="342">
        <v>0</v>
      </c>
      <c r="AO8" s="341">
        <f t="shared" si="2"/>
        <v>1326.5918059749922</v>
      </c>
      <c r="AP8" s="344">
        <f t="shared" si="2"/>
        <v>63.032156200000003</v>
      </c>
      <c r="AQ8" s="17">
        <f t="shared" si="3"/>
        <v>4.7514356651459845E-2</v>
      </c>
    </row>
    <row r="9" spans="2:43">
      <c r="B9" s="401">
        <v>143</v>
      </c>
      <c r="C9" s="19" t="s">
        <v>553</v>
      </c>
      <c r="D9" s="181">
        <v>1142</v>
      </c>
      <c r="E9" s="401">
        <v>1725</v>
      </c>
      <c r="F9" s="401">
        <v>1498</v>
      </c>
      <c r="G9" s="181">
        <v>705.50356153846155</v>
      </c>
      <c r="H9" s="401">
        <f>263.76+95</f>
        <v>358.76</v>
      </c>
      <c r="I9" s="327">
        <f t="shared" si="0"/>
        <v>783.24</v>
      </c>
      <c r="J9" s="324" t="s">
        <v>356</v>
      </c>
      <c r="K9" s="333">
        <v>1</v>
      </c>
      <c r="L9" s="408">
        <f t="shared" si="1"/>
        <v>20.364239999999999</v>
      </c>
      <c r="M9" s="324">
        <v>1</v>
      </c>
      <c r="N9" s="496"/>
      <c r="O9" t="s">
        <v>781</v>
      </c>
      <c r="P9" s="337" t="s">
        <v>770</v>
      </c>
      <c r="Q9" s="349">
        <f>'Quản lý MT năm'!E4</f>
        <v>63.540775466666673</v>
      </c>
      <c r="R9" s="343">
        <f>L7+L9+L12+L13</f>
        <v>52.597740000000002</v>
      </c>
      <c r="S9" s="349">
        <f>'Quản lý MT năm'!E6</f>
        <v>72.462413533333333</v>
      </c>
      <c r="T9" s="363">
        <f>L16+L17+L18+L20+L21</f>
        <v>62.294148200000009</v>
      </c>
      <c r="U9" s="349">
        <f>'Quản lý MT năm'!E8</f>
        <v>99.335062350000015</v>
      </c>
      <c r="V9" s="343">
        <f>L29</f>
        <v>254.65880719999998</v>
      </c>
      <c r="W9" s="349">
        <f>'Quản lý MT năm'!E10</f>
        <v>69.873856959999998</v>
      </c>
      <c r="X9" s="343">
        <v>0</v>
      </c>
      <c r="Y9" s="349">
        <f>'Quản lý MT năm'!E12</f>
        <v>69.834408816666667</v>
      </c>
      <c r="Z9" s="343">
        <v>0</v>
      </c>
      <c r="AA9" s="349">
        <f>'Quản lý MT năm'!E14</f>
        <v>89.584065199999998</v>
      </c>
      <c r="AB9" s="343">
        <v>0</v>
      </c>
      <c r="AC9" s="349">
        <f>'Quản lý MT năm'!E16</f>
        <v>87.443517916666679</v>
      </c>
      <c r="AD9" s="343">
        <v>0</v>
      </c>
      <c r="AE9" s="349">
        <f>'Quản lý MT năm'!E18</f>
        <v>67.112737866666677</v>
      </c>
      <c r="AF9" s="343">
        <v>0</v>
      </c>
      <c r="AG9" s="349">
        <f>'Quản lý MT năm'!E20</f>
        <v>83.321858243333324</v>
      </c>
      <c r="AH9" s="343">
        <v>0</v>
      </c>
      <c r="AI9" s="349">
        <f>'Quản lý MT năm'!E22</f>
        <v>57.545747433333339</v>
      </c>
      <c r="AJ9" s="343">
        <v>0</v>
      </c>
      <c r="AK9" s="349">
        <f>'Quản lý MT năm'!E24</f>
        <v>85.297826083333334</v>
      </c>
      <c r="AL9" s="343">
        <v>0</v>
      </c>
      <c r="AM9" s="349">
        <f>'Quản lý MT năm'!E26</f>
        <v>81.145649416666672</v>
      </c>
      <c r="AN9" s="342">
        <v>0</v>
      </c>
      <c r="AO9" s="341">
        <f t="shared" ref="AO9:AO11" si="4">Q9+S9+U9+W9+Y9+AA9+AC9+AE9+AG9+AI9+AK9+AM9</f>
        <v>926.4979192866665</v>
      </c>
      <c r="AP9" s="344">
        <f t="shared" ref="AP9:AP11" si="5">R9+T9+V9+X9+Z9+AB9+AD9+AF9+AH9+AJ9+AL9+AN9</f>
        <v>369.5506954</v>
      </c>
      <c r="AQ9" s="17">
        <f t="shared" ref="AQ9:AQ11" si="6">AP9/AO9</f>
        <v>0.39886834898077933</v>
      </c>
    </row>
    <row r="10" spans="2:43">
      <c r="B10" s="324">
        <v>175</v>
      </c>
      <c r="C10" s="19" t="s">
        <v>702</v>
      </c>
      <c r="D10" s="181">
        <v>1100</v>
      </c>
      <c r="E10" s="401">
        <v>700</v>
      </c>
      <c r="F10" s="328">
        <v>1179</v>
      </c>
      <c r="G10" s="181">
        <v>607.68576153846152</v>
      </c>
      <c r="H10" s="401">
        <f>197.5+158</f>
        <v>355.5</v>
      </c>
      <c r="I10" s="327">
        <f t="shared" si="0"/>
        <v>744.5</v>
      </c>
      <c r="J10" s="324" t="s">
        <v>356</v>
      </c>
      <c r="K10" s="333">
        <v>1</v>
      </c>
      <c r="L10" s="408">
        <f t="shared" si="1"/>
        <v>19.356999999999999</v>
      </c>
      <c r="M10" s="324">
        <v>1</v>
      </c>
      <c r="N10" s="496"/>
      <c r="O10" t="s">
        <v>781</v>
      </c>
      <c r="P10" s="337" t="s">
        <v>771</v>
      </c>
      <c r="Q10" s="349">
        <f>'Quản lý MT năm'!F4</f>
        <v>57.207853999999998</v>
      </c>
      <c r="R10" s="343">
        <f>L8+L10+L11+L14+L15</f>
        <v>159.44083019999999</v>
      </c>
      <c r="S10" s="349">
        <f>'Quản lý MT năm'!F6</f>
        <v>32.883131799999994</v>
      </c>
      <c r="T10" s="363">
        <f>L16+L20</f>
        <v>11.154</v>
      </c>
      <c r="U10" s="349">
        <f>'Quản lý MT năm'!F8</f>
        <v>91.870023729999971</v>
      </c>
      <c r="V10" s="343">
        <f>L22+L23+L24+L25+L26+L30</f>
        <v>63.293360000000007</v>
      </c>
      <c r="W10" s="349">
        <f>'Quản lý MT năm'!F10</f>
        <v>108.5085658</v>
      </c>
      <c r="X10" s="343">
        <v>0</v>
      </c>
      <c r="Y10" s="349">
        <f>'Quản lý MT năm'!F12</f>
        <v>118.14717041666664</v>
      </c>
      <c r="Z10" s="343">
        <v>0</v>
      </c>
      <c r="AA10" s="349">
        <f>'Quản lý MT năm'!F14</f>
        <v>96.770284100000012</v>
      </c>
      <c r="AB10" s="343">
        <v>0</v>
      </c>
      <c r="AC10" s="349">
        <f>'Quản lý MT năm'!F16</f>
        <v>94.820759481250008</v>
      </c>
      <c r="AD10" s="343">
        <v>0</v>
      </c>
      <c r="AE10" s="349">
        <f>'Quản lý MT năm'!F18</f>
        <v>108.58042849999998</v>
      </c>
      <c r="AF10" s="343">
        <v>0</v>
      </c>
      <c r="AG10" s="349">
        <f>'Quản lý MT năm'!F20</f>
        <v>108.86241084999999</v>
      </c>
      <c r="AH10" s="343">
        <v>0</v>
      </c>
      <c r="AI10" s="349">
        <f>'Quản lý MT năm'!F22</f>
        <v>132.26185749999999</v>
      </c>
      <c r="AJ10" s="343">
        <v>0</v>
      </c>
      <c r="AK10" s="349">
        <f>'Quản lý MT năm'!F24</f>
        <v>93.473996781249994</v>
      </c>
      <c r="AL10" s="343">
        <v>0</v>
      </c>
      <c r="AM10" s="349">
        <f>'Quản lý MT năm'!F26</f>
        <v>67.994735500000004</v>
      </c>
      <c r="AN10" s="342">
        <v>0</v>
      </c>
      <c r="AO10" s="341">
        <f t="shared" si="4"/>
        <v>1111.3812184591666</v>
      </c>
      <c r="AP10" s="344">
        <f t="shared" si="5"/>
        <v>233.8881902</v>
      </c>
      <c r="AQ10" s="17">
        <f t="shared" si="6"/>
        <v>0.21044821193241472</v>
      </c>
    </row>
    <row r="11" spans="2:43">
      <c r="B11" s="188">
        <v>186</v>
      </c>
      <c r="C11" s="19" t="s">
        <v>711</v>
      </c>
      <c r="D11" s="181">
        <v>712</v>
      </c>
      <c r="E11" s="401">
        <v>910</v>
      </c>
      <c r="F11" s="401">
        <v>768</v>
      </c>
      <c r="G11" s="181">
        <v>315.9029980769231</v>
      </c>
      <c r="H11" s="401">
        <v>212.37</v>
      </c>
      <c r="I11" s="327">
        <f t="shared" si="0"/>
        <v>499.63</v>
      </c>
      <c r="J11" s="324" t="s">
        <v>356</v>
      </c>
      <c r="K11" s="333">
        <v>1</v>
      </c>
      <c r="L11" s="408">
        <f t="shared" si="1"/>
        <v>12.99038</v>
      </c>
      <c r="M11" s="324">
        <v>1</v>
      </c>
      <c r="N11" s="496"/>
      <c r="O11" t="s">
        <v>781</v>
      </c>
      <c r="P11" s="337" t="s">
        <v>768</v>
      </c>
      <c r="Q11" s="349">
        <f>SUM(Q8:Q10)</f>
        <v>190.22202203492753</v>
      </c>
      <c r="R11" s="343">
        <f>SUM(R8:R10)</f>
        <v>251.97752639999999</v>
      </c>
      <c r="S11" s="349">
        <f>SUM(S8:S10)</f>
        <v>132.89128536028986</v>
      </c>
      <c r="T11" s="363">
        <f t="shared" ref="T11" si="7">SUM(T9:T10)</f>
        <v>73.448148200000006</v>
      </c>
      <c r="U11" s="349">
        <f>SUM(U8:U10)</f>
        <v>324.12377357553567</v>
      </c>
      <c r="V11" s="343">
        <f>SUM(V8:V10)</f>
        <v>341.04536719999999</v>
      </c>
      <c r="W11" s="349">
        <f>SUM(W8:W10)</f>
        <v>326.69296143182964</v>
      </c>
      <c r="X11" s="343">
        <f t="shared" ref="X11" si="8">SUM(X9:X10)</f>
        <v>0</v>
      </c>
      <c r="Y11" s="349">
        <f>SUM(Y8:Y10)</f>
        <v>325.52909141666663</v>
      </c>
      <c r="Z11" s="343">
        <f t="shared" ref="Z11" si="9">SUM(Z9:Z10)</f>
        <v>0</v>
      </c>
      <c r="AA11" s="349">
        <f>SUM(AA8:AA10)</f>
        <v>312.74140441000003</v>
      </c>
      <c r="AB11" s="343">
        <f t="shared" ref="AB11" si="10">SUM(AB9:AB10)</f>
        <v>0</v>
      </c>
      <c r="AC11" s="349">
        <f>SUM(AC8:AC10)</f>
        <v>311.58998864124999</v>
      </c>
      <c r="AD11" s="343">
        <f t="shared" ref="AD11" si="11">SUM(AD9:AD10)</f>
        <v>0</v>
      </c>
      <c r="AE11" s="349">
        <f>SUM(AE8:AE10)</f>
        <v>308.13622896999999</v>
      </c>
      <c r="AF11" s="343">
        <f t="shared" ref="AF11" si="12">SUM(AF9:AF10)</f>
        <v>0</v>
      </c>
      <c r="AG11" s="349">
        <f>SUM(AG8:AG10)</f>
        <v>320.07877493333336</v>
      </c>
      <c r="AH11" s="343">
        <f t="shared" ref="AH11" si="13">SUM(AH9:AH10)</f>
        <v>0</v>
      </c>
      <c r="AI11" s="349">
        <f>SUM(AI8:AI10)</f>
        <v>287.69635805849634</v>
      </c>
      <c r="AJ11" s="343">
        <f t="shared" ref="AJ11" si="14">SUM(AJ9:AJ10)</f>
        <v>0</v>
      </c>
      <c r="AK11" s="349">
        <f>SUM(AK8:AK10)</f>
        <v>275.64558431849639</v>
      </c>
      <c r="AL11" s="343">
        <f t="shared" ref="AL11" si="15">SUM(AL9:AL10)</f>
        <v>0</v>
      </c>
      <c r="AM11" s="349">
        <f>SUM(AM8:AM10)</f>
        <v>249.12347056999999</v>
      </c>
      <c r="AN11" s="342">
        <f t="shared" ref="AN11" si="16">SUM(AN9:AN10)</f>
        <v>0</v>
      </c>
      <c r="AO11" s="341">
        <f t="shared" si="4"/>
        <v>3364.4709437208253</v>
      </c>
      <c r="AP11" s="344">
        <f t="shared" si="5"/>
        <v>666.47104179999997</v>
      </c>
      <c r="AQ11" s="17">
        <f t="shared" si="6"/>
        <v>0.19809088945881589</v>
      </c>
    </row>
    <row r="12" spans="2:43">
      <c r="B12" s="188">
        <v>196</v>
      </c>
      <c r="C12" s="187" t="s">
        <v>755</v>
      </c>
      <c r="D12" s="181">
        <v>533</v>
      </c>
      <c r="E12" s="304">
        <v>1420</v>
      </c>
      <c r="F12" s="304">
        <v>917</v>
      </c>
      <c r="G12" s="181">
        <v>184.31128205128206</v>
      </c>
      <c r="H12" s="401">
        <v>148.80000000000001</v>
      </c>
      <c r="I12" s="327">
        <f t="shared" si="0"/>
        <v>384.2</v>
      </c>
      <c r="J12" s="324" t="s">
        <v>756</v>
      </c>
      <c r="K12" s="333">
        <v>1</v>
      </c>
      <c r="L12" s="408">
        <f t="shared" si="1"/>
        <v>9.9892000000000003</v>
      </c>
      <c r="M12" s="324">
        <v>1</v>
      </c>
      <c r="N12" s="496"/>
      <c r="O12" s="355" t="s">
        <v>788</v>
      </c>
      <c r="P12" s="338"/>
      <c r="Q12" s="345"/>
      <c r="R12" s="346"/>
      <c r="S12" s="345"/>
      <c r="T12" s="347"/>
      <c r="U12" s="345"/>
      <c r="V12" s="347"/>
      <c r="W12" s="345"/>
      <c r="X12" s="347"/>
      <c r="Y12" s="345"/>
      <c r="Z12" s="347"/>
      <c r="AA12" s="345"/>
      <c r="AB12" s="347"/>
      <c r="AC12" s="278"/>
      <c r="AD12" s="347"/>
      <c r="AE12" s="345"/>
      <c r="AF12" s="347"/>
      <c r="AG12" s="345"/>
      <c r="AH12" s="347"/>
      <c r="AI12" s="345"/>
      <c r="AJ12" s="347"/>
      <c r="AK12" s="345"/>
      <c r="AL12" s="347"/>
      <c r="AN12" s="347"/>
      <c r="AO12" s="347"/>
      <c r="AP12" s="347"/>
      <c r="AQ12" s="348"/>
    </row>
    <row r="13" spans="2:43">
      <c r="B13" s="401">
        <v>197</v>
      </c>
      <c r="C13" s="187" t="s">
        <v>517</v>
      </c>
      <c r="D13" s="181">
        <v>647</v>
      </c>
      <c r="E13" s="304">
        <v>1420</v>
      </c>
      <c r="F13" s="324">
        <v>1388</v>
      </c>
      <c r="G13" s="181">
        <v>184.88820512820513</v>
      </c>
      <c r="H13" s="328">
        <v>223.26</v>
      </c>
      <c r="I13" s="327">
        <f t="shared" si="0"/>
        <v>423.74</v>
      </c>
      <c r="J13" s="324" t="s">
        <v>356</v>
      </c>
      <c r="K13" s="333">
        <v>1</v>
      </c>
      <c r="L13" s="408">
        <f t="shared" si="1"/>
        <v>11.017239999999999</v>
      </c>
      <c r="M13" s="324">
        <v>1</v>
      </c>
      <c r="N13" s="496"/>
      <c r="O13" s="355" t="s">
        <v>714</v>
      </c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338"/>
      <c r="AI13" s="338"/>
      <c r="AJ13" s="338"/>
      <c r="AK13" s="338"/>
      <c r="AL13" s="338"/>
      <c r="AM13" s="345"/>
      <c r="AN13" s="338"/>
      <c r="AO13" s="338"/>
      <c r="AP13" s="338"/>
      <c r="AQ13" s="271"/>
    </row>
    <row r="14" spans="2:43">
      <c r="B14" s="188">
        <v>201</v>
      </c>
      <c r="C14" s="187" t="s">
        <v>520</v>
      </c>
      <c r="D14" s="181">
        <v>2636.9723769230768</v>
      </c>
      <c r="E14" s="304">
        <v>1050</v>
      </c>
      <c r="F14" s="328">
        <v>1158</v>
      </c>
      <c r="G14" s="181">
        <v>102.18156730769229</v>
      </c>
      <c r="H14" s="328">
        <v>192.92</v>
      </c>
      <c r="I14" s="327">
        <f t="shared" si="0"/>
        <v>2444.0523769230767</v>
      </c>
      <c r="J14" s="324" t="s">
        <v>356</v>
      </c>
      <c r="K14" s="333">
        <v>1</v>
      </c>
      <c r="L14" s="408">
        <f t="shared" si="1"/>
        <v>63.545361799999995</v>
      </c>
      <c r="M14" s="324">
        <v>1</v>
      </c>
      <c r="N14" s="496"/>
      <c r="O14" s="355" t="s">
        <v>714</v>
      </c>
    </row>
    <row r="15" spans="2:43">
      <c r="B15" s="188">
        <v>207</v>
      </c>
      <c r="C15" s="187" t="s">
        <v>526</v>
      </c>
      <c r="D15" s="181">
        <v>1256.8186230769231</v>
      </c>
      <c r="E15" s="304">
        <v>1940</v>
      </c>
      <c r="F15" s="304">
        <v>1524</v>
      </c>
      <c r="G15" s="181">
        <v>222.14349038461538</v>
      </c>
      <c r="H15" s="328">
        <v>247.59</v>
      </c>
      <c r="I15" s="327">
        <f t="shared" si="0"/>
        <v>1009.2286230769231</v>
      </c>
      <c r="J15" s="304" t="s">
        <v>356</v>
      </c>
      <c r="K15" s="333">
        <v>2</v>
      </c>
      <c r="L15" s="408">
        <f t="shared" si="1"/>
        <v>52.4798884</v>
      </c>
      <c r="M15" s="324">
        <v>1</v>
      </c>
      <c r="N15" s="497"/>
      <c r="O15" s="355" t="s">
        <v>714</v>
      </c>
    </row>
    <row r="16" spans="2:43">
      <c r="B16" s="304">
        <v>199</v>
      </c>
      <c r="C16" s="187" t="s">
        <v>519</v>
      </c>
      <c r="D16" s="181">
        <v>284</v>
      </c>
      <c r="E16" s="324">
        <v>1280</v>
      </c>
      <c r="F16" s="401">
        <v>620</v>
      </c>
      <c r="G16" s="181">
        <v>156.8701282051282</v>
      </c>
      <c r="H16" s="401">
        <v>99.5</v>
      </c>
      <c r="I16" s="327">
        <f t="shared" si="0"/>
        <v>184.5</v>
      </c>
      <c r="J16" s="304" t="s">
        <v>786</v>
      </c>
      <c r="K16" s="333">
        <v>2</v>
      </c>
      <c r="L16" s="408">
        <f t="shared" si="1"/>
        <v>9.5939999999999994</v>
      </c>
      <c r="M16" s="324">
        <v>2</v>
      </c>
      <c r="N16" s="495">
        <f>SUM(L16:L21)</f>
        <v>73.3623482</v>
      </c>
      <c r="O16" s="355" t="s">
        <v>788</v>
      </c>
      <c r="P16" s="101"/>
    </row>
    <row r="17" spans="2:18">
      <c r="B17" s="304">
        <v>209</v>
      </c>
      <c r="C17" s="187" t="s">
        <v>528</v>
      </c>
      <c r="D17" s="181">
        <v>495.10361153846156</v>
      </c>
      <c r="E17" s="401">
        <v>1320</v>
      </c>
      <c r="F17" s="401">
        <v>1096</v>
      </c>
      <c r="G17" s="353">
        <v>135.79233653846151</v>
      </c>
      <c r="H17" s="328">
        <v>177.75</v>
      </c>
      <c r="I17" s="327">
        <f t="shared" si="0"/>
        <v>317.35361153846156</v>
      </c>
      <c r="J17" s="304" t="s">
        <v>790</v>
      </c>
      <c r="K17" s="333">
        <v>2</v>
      </c>
      <c r="L17" s="408">
        <f t="shared" si="1"/>
        <v>16.502387800000001</v>
      </c>
      <c r="M17" s="324">
        <v>2</v>
      </c>
      <c r="N17" s="496"/>
      <c r="O17" s="355" t="s">
        <v>791</v>
      </c>
    </row>
    <row r="18" spans="2:18">
      <c r="B18" s="304">
        <v>211</v>
      </c>
      <c r="C18" s="187" t="s">
        <v>530</v>
      </c>
      <c r="D18" s="181">
        <v>537.62038846153848</v>
      </c>
      <c r="E18" s="401">
        <v>1320</v>
      </c>
      <c r="F18" s="401">
        <v>1123</v>
      </c>
      <c r="G18" s="353">
        <v>135.79233653846151</v>
      </c>
      <c r="H18" s="328">
        <v>215.21</v>
      </c>
      <c r="I18" s="327">
        <f t="shared" si="0"/>
        <v>322.41038846153845</v>
      </c>
      <c r="J18" s="304" t="s">
        <v>782</v>
      </c>
      <c r="K18" s="333">
        <v>4</v>
      </c>
      <c r="L18" s="408">
        <f t="shared" si="1"/>
        <v>33.530680400000001</v>
      </c>
      <c r="M18" s="324">
        <v>2</v>
      </c>
      <c r="N18" s="496"/>
      <c r="O18" s="356" t="s">
        <v>788</v>
      </c>
    </row>
    <row r="19" spans="2:18">
      <c r="B19" s="304"/>
      <c r="C19" s="19" t="s">
        <v>767</v>
      </c>
      <c r="D19" s="181">
        <v>704</v>
      </c>
      <c r="E19" s="401">
        <v>1310</v>
      </c>
      <c r="F19" s="401">
        <v>1124</v>
      </c>
      <c r="G19" s="181">
        <v>647.68736153846157</v>
      </c>
      <c r="H19" s="401">
        <f>175.3+103</f>
        <v>278.3</v>
      </c>
      <c r="I19" s="327">
        <f t="shared" si="0"/>
        <v>425.7</v>
      </c>
      <c r="J19" s="304" t="s">
        <v>356</v>
      </c>
      <c r="K19" s="333">
        <v>1</v>
      </c>
      <c r="L19" s="408">
        <f t="shared" si="1"/>
        <v>11.068199999999999</v>
      </c>
      <c r="M19" s="324">
        <v>2</v>
      </c>
      <c r="N19" s="496"/>
      <c r="O19" s="80" t="s">
        <v>869</v>
      </c>
    </row>
    <row r="20" spans="2:18">
      <c r="B20" s="401">
        <v>193</v>
      </c>
      <c r="C20" s="187" t="s">
        <v>513</v>
      </c>
      <c r="D20" s="181">
        <v>262</v>
      </c>
      <c r="E20" s="328">
        <v>530</v>
      </c>
      <c r="F20" s="328">
        <v>598</v>
      </c>
      <c r="G20" s="353">
        <v>60.063589743589745</v>
      </c>
      <c r="H20" s="328">
        <v>202</v>
      </c>
      <c r="I20" s="402">
        <f t="shared" si="0"/>
        <v>60</v>
      </c>
      <c r="J20" s="304" t="s">
        <v>881</v>
      </c>
      <c r="K20" s="333">
        <v>1</v>
      </c>
      <c r="L20" s="408">
        <f t="shared" si="1"/>
        <v>1.56</v>
      </c>
      <c r="M20" s="324">
        <v>2</v>
      </c>
      <c r="N20" s="496"/>
      <c r="O20" s="356" t="s">
        <v>867</v>
      </c>
    </row>
    <row r="21" spans="2:18">
      <c r="B21" s="304">
        <v>198</v>
      </c>
      <c r="C21" s="187" t="s">
        <v>518</v>
      </c>
      <c r="D21" s="181">
        <v>166</v>
      </c>
      <c r="E21" s="328">
        <v>420</v>
      </c>
      <c r="F21" s="328">
        <v>765</v>
      </c>
      <c r="G21" s="353">
        <v>42.419358974358971</v>
      </c>
      <c r="H21" s="328">
        <v>123.42</v>
      </c>
      <c r="I21" s="327">
        <f t="shared" si="0"/>
        <v>42.58</v>
      </c>
      <c r="J21" s="304" t="s">
        <v>356</v>
      </c>
      <c r="K21" s="333">
        <v>1</v>
      </c>
      <c r="L21" s="408">
        <f t="shared" si="1"/>
        <v>1.1070800000000001</v>
      </c>
      <c r="M21" s="324">
        <v>2</v>
      </c>
      <c r="N21" s="497"/>
      <c r="O21" s="355" t="s">
        <v>834</v>
      </c>
    </row>
    <row r="22" spans="2:18">
      <c r="B22" s="304">
        <v>185</v>
      </c>
      <c r="C22" s="19" t="s">
        <v>710</v>
      </c>
      <c r="D22" s="181">
        <v>712</v>
      </c>
      <c r="E22" s="304">
        <v>910</v>
      </c>
      <c r="F22" s="401">
        <v>864</v>
      </c>
      <c r="G22" s="181">
        <v>315.9029980769231</v>
      </c>
      <c r="H22" s="401">
        <v>210.46</v>
      </c>
      <c r="I22" s="327">
        <f t="shared" si="0"/>
        <v>501.53999999999996</v>
      </c>
      <c r="J22" s="304" t="s">
        <v>356</v>
      </c>
      <c r="K22" s="333">
        <v>1</v>
      </c>
      <c r="L22" s="408">
        <f t="shared" si="1"/>
        <v>13.040039999999998</v>
      </c>
      <c r="M22" s="324">
        <v>3</v>
      </c>
      <c r="N22" s="498">
        <f>SUM(L22:L30)</f>
        <v>341.04536719999999</v>
      </c>
      <c r="O22" t="s">
        <v>794</v>
      </c>
      <c r="P22" s="417"/>
      <c r="Q22" s="418"/>
      <c r="R22" s="418"/>
    </row>
    <row r="23" spans="2:18">
      <c r="B23" s="304">
        <v>154</v>
      </c>
      <c r="C23" s="19" t="s">
        <v>689</v>
      </c>
      <c r="D23" s="181">
        <v>474</v>
      </c>
      <c r="E23" s="401">
        <v>1460</v>
      </c>
      <c r="F23" s="401">
        <v>1313</v>
      </c>
      <c r="G23" s="181">
        <v>303.93360000000001</v>
      </c>
      <c r="H23" s="401">
        <v>227.3</v>
      </c>
      <c r="I23" s="327">
        <f t="shared" si="0"/>
        <v>246.7</v>
      </c>
      <c r="J23" s="304" t="s">
        <v>881</v>
      </c>
      <c r="K23" s="333">
        <v>1</v>
      </c>
      <c r="L23" s="408">
        <f t="shared" si="1"/>
        <v>6.4142000000000001</v>
      </c>
      <c r="M23" s="324">
        <v>3</v>
      </c>
      <c r="N23" s="498"/>
      <c r="O23" t="s">
        <v>882</v>
      </c>
      <c r="P23" s="417"/>
      <c r="Q23" s="418"/>
      <c r="R23" s="418"/>
    </row>
    <row r="24" spans="2:18">
      <c r="B24" s="401">
        <v>160</v>
      </c>
      <c r="C24" s="19" t="s">
        <v>695</v>
      </c>
      <c r="D24" s="181">
        <v>1484</v>
      </c>
      <c r="E24" s="401">
        <v>3780</v>
      </c>
      <c r="F24" s="401">
        <v>3736</v>
      </c>
      <c r="G24" s="181">
        <v>689.91840000000002</v>
      </c>
      <c r="H24" s="401">
        <v>625</v>
      </c>
      <c r="I24" s="327">
        <f t="shared" si="0"/>
        <v>859</v>
      </c>
      <c r="J24" s="304" t="s">
        <v>866</v>
      </c>
      <c r="K24" s="333">
        <v>1</v>
      </c>
      <c r="L24" s="408">
        <f t="shared" si="1"/>
        <v>22.334</v>
      </c>
      <c r="M24" s="324">
        <v>3</v>
      </c>
      <c r="N24" s="498"/>
      <c r="O24" t="s">
        <v>836</v>
      </c>
      <c r="P24" s="417"/>
      <c r="Q24" s="418"/>
    </row>
    <row r="25" spans="2:18">
      <c r="B25" s="304">
        <v>170</v>
      </c>
      <c r="C25" s="19" t="s">
        <v>697</v>
      </c>
      <c r="D25" s="181">
        <v>100</v>
      </c>
      <c r="E25" s="328">
        <v>300</v>
      </c>
      <c r="F25" s="328">
        <v>354</v>
      </c>
      <c r="G25" s="353">
        <v>51.9208</v>
      </c>
      <c r="H25" s="328">
        <v>61.5</v>
      </c>
      <c r="I25" s="327">
        <f t="shared" si="0"/>
        <v>38.5</v>
      </c>
      <c r="J25" s="304" t="s">
        <v>835</v>
      </c>
      <c r="K25" s="333">
        <v>1</v>
      </c>
      <c r="L25" s="408">
        <f t="shared" si="1"/>
        <v>1.0009999999999999</v>
      </c>
      <c r="M25" s="324">
        <v>3</v>
      </c>
      <c r="N25" s="498"/>
      <c r="O25" t="s">
        <v>836</v>
      </c>
      <c r="P25" s="417"/>
      <c r="Q25" s="418"/>
    </row>
    <row r="26" spans="2:18">
      <c r="B26" s="401">
        <v>171</v>
      </c>
      <c r="C26" s="19" t="s">
        <v>698</v>
      </c>
      <c r="D26" s="181">
        <v>101</v>
      </c>
      <c r="E26" s="328">
        <v>300</v>
      </c>
      <c r="F26" s="328">
        <v>352</v>
      </c>
      <c r="G26" s="353">
        <v>50.720799999999997</v>
      </c>
      <c r="H26" s="328">
        <v>60</v>
      </c>
      <c r="I26" s="327">
        <f t="shared" si="0"/>
        <v>41</v>
      </c>
      <c r="J26" s="304" t="s">
        <v>835</v>
      </c>
      <c r="K26" s="333">
        <v>1</v>
      </c>
      <c r="L26" s="408">
        <f t="shared" si="1"/>
        <v>1.0660000000000001</v>
      </c>
      <c r="M26" s="324">
        <v>3</v>
      </c>
      <c r="N26" s="498"/>
      <c r="O26" t="s">
        <v>836</v>
      </c>
      <c r="P26" s="417"/>
      <c r="Q26" s="418"/>
    </row>
    <row r="27" spans="2:18">
      <c r="B27" s="401"/>
      <c r="C27" s="187" t="s">
        <v>833</v>
      </c>
      <c r="D27" s="401">
        <v>617</v>
      </c>
      <c r="E27" s="401">
        <v>1370</v>
      </c>
      <c r="F27" s="401">
        <v>1295</v>
      </c>
      <c r="G27" s="401">
        <v>224.96</v>
      </c>
      <c r="H27" s="401">
        <v>213.88</v>
      </c>
      <c r="I27" s="401">
        <f t="shared" si="0"/>
        <v>403.12</v>
      </c>
      <c r="J27" s="304" t="s">
        <v>881</v>
      </c>
      <c r="K27" s="333">
        <v>1</v>
      </c>
      <c r="L27" s="408">
        <f t="shared" si="1"/>
        <v>10.481120000000001</v>
      </c>
      <c r="M27" s="324">
        <v>3</v>
      </c>
      <c r="N27" s="498"/>
      <c r="O27" s="357" t="s">
        <v>870</v>
      </c>
      <c r="P27" s="417"/>
      <c r="Q27" s="418"/>
    </row>
    <row r="28" spans="2:18">
      <c r="B28" s="401"/>
      <c r="C28" s="19" t="s">
        <v>438</v>
      </c>
      <c r="D28" s="181">
        <v>344</v>
      </c>
      <c r="E28" s="304">
        <v>300</v>
      </c>
      <c r="F28" s="401">
        <v>291</v>
      </c>
      <c r="G28" s="181">
        <v>130.32920000000001</v>
      </c>
      <c r="H28" s="401">
        <v>101.46</v>
      </c>
      <c r="I28" s="401">
        <f t="shared" si="0"/>
        <v>242.54000000000002</v>
      </c>
      <c r="J28" s="304" t="s">
        <v>881</v>
      </c>
      <c r="K28" s="333">
        <v>2</v>
      </c>
      <c r="L28" s="408">
        <f t="shared" si="1"/>
        <v>12.612080000000002</v>
      </c>
      <c r="M28" s="401">
        <v>3</v>
      </c>
      <c r="N28" s="498"/>
      <c r="O28" s="392" t="s">
        <v>868</v>
      </c>
      <c r="P28" s="417"/>
      <c r="Q28" s="418"/>
    </row>
    <row r="29" spans="2:18">
      <c r="B29" s="401"/>
      <c r="C29" s="187" t="s">
        <v>520</v>
      </c>
      <c r="D29" s="181">
        <v>2636.9723769230768</v>
      </c>
      <c r="E29" s="401">
        <v>1050</v>
      </c>
      <c r="F29" s="328">
        <v>1224</v>
      </c>
      <c r="G29" s="353">
        <v>102.18156730769229</v>
      </c>
      <c r="H29" s="328">
        <v>188.33</v>
      </c>
      <c r="I29" s="327">
        <f t="shared" si="0"/>
        <v>2448.6423769230769</v>
      </c>
      <c r="J29" s="304" t="s">
        <v>881</v>
      </c>
      <c r="K29" s="333">
        <v>4</v>
      </c>
      <c r="L29" s="408">
        <f t="shared" si="1"/>
        <v>254.65880719999998</v>
      </c>
      <c r="M29" s="324">
        <v>3</v>
      </c>
      <c r="N29" s="498"/>
      <c r="O29" s="355" t="s">
        <v>867</v>
      </c>
      <c r="P29" s="417"/>
      <c r="Q29" s="418"/>
    </row>
    <row r="30" spans="2:18">
      <c r="B30" s="401"/>
      <c r="C30" s="19" t="s">
        <v>702</v>
      </c>
      <c r="D30" s="181">
        <v>1100</v>
      </c>
      <c r="E30" s="328">
        <v>700</v>
      </c>
      <c r="F30" s="328">
        <v>1166</v>
      </c>
      <c r="G30" s="181">
        <v>607.68576153846152</v>
      </c>
      <c r="H30" s="401">
        <v>352.38</v>
      </c>
      <c r="I30" s="327">
        <f t="shared" si="0"/>
        <v>747.62</v>
      </c>
      <c r="J30" s="304" t="s">
        <v>881</v>
      </c>
      <c r="K30" s="333">
        <v>1</v>
      </c>
      <c r="L30" s="408">
        <f t="shared" si="1"/>
        <v>19.438120000000001</v>
      </c>
      <c r="M30" s="324">
        <v>3</v>
      </c>
      <c r="N30" s="498"/>
      <c r="O30" s="80" t="s">
        <v>869</v>
      </c>
      <c r="P30" s="417"/>
      <c r="Q30" s="418"/>
    </row>
    <row r="31" spans="2:18">
      <c r="B31" s="401">
        <v>190</v>
      </c>
      <c r="C31" s="187" t="s">
        <v>496</v>
      </c>
      <c r="D31" s="181">
        <v>1218.6199999999999</v>
      </c>
      <c r="E31" s="328">
        <v>1310</v>
      </c>
      <c r="F31" s="328">
        <v>1419</v>
      </c>
      <c r="G31" s="353">
        <v>139.42849038461534</v>
      </c>
      <c r="H31" s="328">
        <v>316</v>
      </c>
      <c r="I31" s="327">
        <f t="shared" si="0"/>
        <v>902.61999999999989</v>
      </c>
      <c r="J31" s="304" t="s">
        <v>881</v>
      </c>
      <c r="K31" s="333">
        <v>1</v>
      </c>
      <c r="L31" s="408">
        <f t="shared" si="1"/>
        <v>23.468119999999995</v>
      </c>
      <c r="M31" s="401"/>
      <c r="N31" s="414"/>
      <c r="O31" s="355" t="s">
        <v>867</v>
      </c>
    </row>
    <row r="32" spans="2:18">
      <c r="B32" s="401">
        <v>210</v>
      </c>
      <c r="C32" s="187" t="s">
        <v>529</v>
      </c>
      <c r="D32" s="181">
        <v>533.19240192307689</v>
      </c>
      <c r="E32" s="401">
        <v>1420</v>
      </c>
      <c r="F32" s="401">
        <v>850</v>
      </c>
      <c r="G32" s="181">
        <v>148.93310576923076</v>
      </c>
      <c r="H32" s="401">
        <v>140.5</v>
      </c>
      <c r="I32" s="327">
        <f t="shared" si="0"/>
        <v>392.69240192307689</v>
      </c>
      <c r="J32" s="304" t="s">
        <v>356</v>
      </c>
      <c r="K32" s="333">
        <v>3</v>
      </c>
      <c r="L32" s="408">
        <f t="shared" si="1"/>
        <v>30.630007349999996</v>
      </c>
      <c r="M32" s="401"/>
      <c r="N32" s="414"/>
      <c r="O32" s="355" t="s">
        <v>714</v>
      </c>
    </row>
    <row r="33" spans="2:15">
      <c r="B33" s="401"/>
      <c r="C33" s="187" t="s">
        <v>519</v>
      </c>
      <c r="D33" s="181">
        <v>284</v>
      </c>
      <c r="E33" s="304">
        <v>1280</v>
      </c>
      <c r="F33" s="401">
        <v>648</v>
      </c>
      <c r="G33" s="181">
        <v>156.8701282051282</v>
      </c>
      <c r="H33" s="401">
        <v>104.34</v>
      </c>
      <c r="I33" s="327">
        <f t="shared" si="0"/>
        <v>179.66</v>
      </c>
      <c r="J33" s="304" t="s">
        <v>866</v>
      </c>
      <c r="K33" s="333">
        <v>3</v>
      </c>
      <c r="L33" s="408">
        <f t="shared" si="1"/>
        <v>14.013479999999999</v>
      </c>
      <c r="M33" s="401"/>
      <c r="N33" s="414"/>
      <c r="O33" s="355" t="s">
        <v>867</v>
      </c>
    </row>
    <row r="34" spans="2:15">
      <c r="B34" s="401"/>
      <c r="C34" s="187" t="s">
        <v>530</v>
      </c>
      <c r="D34" s="181">
        <v>537.62038846153848</v>
      </c>
      <c r="E34" s="401">
        <v>1320</v>
      </c>
      <c r="F34" s="401">
        <v>1245</v>
      </c>
      <c r="G34" s="393">
        <v>135.79233653846151</v>
      </c>
      <c r="H34" s="304">
        <v>215.21</v>
      </c>
      <c r="I34" s="327">
        <f t="shared" si="0"/>
        <v>322.41038846153845</v>
      </c>
      <c r="J34" s="304" t="s">
        <v>881</v>
      </c>
      <c r="K34" s="333">
        <v>4</v>
      </c>
      <c r="L34" s="408">
        <f t="shared" si="1"/>
        <v>33.530680400000001</v>
      </c>
      <c r="M34" s="401"/>
      <c r="N34" s="414"/>
      <c r="O34" s="355" t="s">
        <v>867</v>
      </c>
    </row>
    <row r="35" spans="2:15">
      <c r="B35" s="304">
        <v>1</v>
      </c>
      <c r="C35" s="19" t="s">
        <v>618</v>
      </c>
      <c r="D35" s="181">
        <v>43.48</v>
      </c>
      <c r="E35" s="304">
        <v>175</v>
      </c>
      <c r="F35" s="304"/>
      <c r="G35" s="181">
        <v>26.532160000000001</v>
      </c>
      <c r="H35" s="304"/>
      <c r="I35" s="327">
        <f t="shared" si="0"/>
        <v>43.48</v>
      </c>
      <c r="J35" s="304"/>
      <c r="K35" s="333"/>
      <c r="L35" s="408"/>
      <c r="M35" s="324"/>
      <c r="N35" s="399"/>
    </row>
    <row r="36" spans="2:15">
      <c r="B36" s="304">
        <v>2</v>
      </c>
      <c r="C36" s="19" t="s">
        <v>619</v>
      </c>
      <c r="D36" s="181">
        <v>45.6</v>
      </c>
      <c r="E36" s="308">
        <v>235</v>
      </c>
      <c r="F36" s="308"/>
      <c r="G36" s="181">
        <v>37.067360000000001</v>
      </c>
      <c r="H36" s="304"/>
      <c r="I36" s="327">
        <f t="shared" si="0"/>
        <v>45.6</v>
      </c>
      <c r="J36" s="304"/>
      <c r="K36" s="333"/>
      <c r="L36" s="408"/>
      <c r="M36" s="324"/>
      <c r="N36" s="399"/>
    </row>
    <row r="37" spans="2:15">
      <c r="B37" s="304">
        <v>3</v>
      </c>
      <c r="C37" s="19" t="s">
        <v>620</v>
      </c>
      <c r="D37" s="181">
        <v>48.53</v>
      </c>
      <c r="E37" s="304">
        <v>175</v>
      </c>
      <c r="F37" s="304"/>
      <c r="G37" s="181">
        <v>26.532160000000001</v>
      </c>
      <c r="H37" s="304"/>
      <c r="I37" s="327">
        <f t="shared" si="0"/>
        <v>48.53</v>
      </c>
      <c r="J37" s="304"/>
      <c r="K37" s="333"/>
      <c r="L37" s="408"/>
      <c r="M37" s="324"/>
      <c r="N37" s="399"/>
    </row>
    <row r="38" spans="2:15">
      <c r="B38" s="304">
        <v>4</v>
      </c>
      <c r="C38" s="19" t="s">
        <v>621</v>
      </c>
      <c r="D38" s="181">
        <v>48.53</v>
      </c>
      <c r="E38" s="304">
        <v>175</v>
      </c>
      <c r="F38" s="304"/>
      <c r="G38" s="181">
        <v>26.532160000000001</v>
      </c>
      <c r="H38" s="304"/>
      <c r="I38" s="327">
        <f t="shared" si="0"/>
        <v>48.53</v>
      </c>
      <c r="J38" s="304"/>
      <c r="K38" s="333"/>
      <c r="L38" s="408"/>
      <c r="M38" s="324"/>
      <c r="N38" s="399"/>
    </row>
    <row r="39" spans="2:15">
      <c r="B39" s="304">
        <v>5</v>
      </c>
      <c r="C39" s="19" t="s">
        <v>622</v>
      </c>
      <c r="D39" s="181">
        <v>48.91</v>
      </c>
      <c r="E39" s="304">
        <v>175</v>
      </c>
      <c r="F39" s="304"/>
      <c r="G39" s="181">
        <v>26.532160000000001</v>
      </c>
      <c r="H39" s="304"/>
      <c r="I39" s="327">
        <f t="shared" si="0"/>
        <v>48.91</v>
      </c>
      <c r="J39" s="304"/>
      <c r="K39" s="333"/>
      <c r="L39" s="408"/>
      <c r="M39" s="324"/>
      <c r="N39" s="399"/>
    </row>
    <row r="40" spans="2:15">
      <c r="B40" s="304">
        <v>6</v>
      </c>
      <c r="C40" s="19" t="s">
        <v>656</v>
      </c>
      <c r="D40" s="181">
        <v>50</v>
      </c>
      <c r="E40" s="304">
        <v>165</v>
      </c>
      <c r="F40" s="304"/>
      <c r="G40" s="181">
        <v>32.898159999999997</v>
      </c>
      <c r="H40" s="304"/>
      <c r="I40" s="327">
        <f t="shared" si="0"/>
        <v>50</v>
      </c>
      <c r="J40" s="304"/>
      <c r="K40" s="333"/>
      <c r="L40" s="408"/>
      <c r="M40" s="324"/>
      <c r="N40" s="399"/>
    </row>
    <row r="41" spans="2:15">
      <c r="B41" s="304">
        <v>7</v>
      </c>
      <c r="C41" s="19" t="s">
        <v>657</v>
      </c>
      <c r="D41" s="181">
        <v>60.047142857142859</v>
      </c>
      <c r="E41" s="304">
        <v>200</v>
      </c>
      <c r="F41" s="304"/>
      <c r="G41" s="181">
        <v>34.889520000000005</v>
      </c>
      <c r="H41" s="304"/>
      <c r="I41" s="327">
        <f t="shared" si="0"/>
        <v>60.047142857142859</v>
      </c>
      <c r="J41" s="304"/>
      <c r="K41" s="333"/>
      <c r="L41" s="408"/>
      <c r="M41" s="324"/>
      <c r="N41" s="399"/>
    </row>
    <row r="42" spans="2:15">
      <c r="B42" s="304">
        <v>8</v>
      </c>
      <c r="C42" s="19" t="s">
        <v>658</v>
      </c>
      <c r="D42" s="181">
        <v>66.88</v>
      </c>
      <c r="E42" s="304">
        <v>235</v>
      </c>
      <c r="F42" s="304"/>
      <c r="G42" s="181">
        <v>37.067360000000001</v>
      </c>
      <c r="H42" s="304"/>
      <c r="I42" s="327">
        <f t="shared" si="0"/>
        <v>66.88</v>
      </c>
      <c r="J42" s="304"/>
      <c r="K42" s="333"/>
      <c r="L42" s="408"/>
      <c r="M42" s="324"/>
      <c r="N42" s="399"/>
    </row>
    <row r="43" spans="2:15">
      <c r="B43" s="304">
        <v>9</v>
      </c>
      <c r="C43" s="19" t="s">
        <v>623</v>
      </c>
      <c r="D43" s="181">
        <v>68.400000000000006</v>
      </c>
      <c r="E43" s="304">
        <v>235</v>
      </c>
      <c r="F43" s="304"/>
      <c r="G43" s="181">
        <v>37.067360000000001</v>
      </c>
      <c r="H43" s="304"/>
      <c r="I43" s="327">
        <f t="shared" si="0"/>
        <v>68.400000000000006</v>
      </c>
      <c r="J43" s="304"/>
      <c r="K43" s="333"/>
      <c r="L43" s="408"/>
      <c r="M43" s="324"/>
      <c r="N43" s="399"/>
    </row>
    <row r="44" spans="2:15">
      <c r="B44" s="401">
        <v>10</v>
      </c>
      <c r="C44" s="19" t="s">
        <v>624</v>
      </c>
      <c r="D44" s="181">
        <v>76</v>
      </c>
      <c r="E44" s="304">
        <v>215</v>
      </c>
      <c r="F44" s="304"/>
      <c r="G44" s="181">
        <v>39.332000000000001</v>
      </c>
      <c r="H44" s="304"/>
      <c r="I44" s="327">
        <f t="shared" si="0"/>
        <v>76</v>
      </c>
      <c r="J44" s="304"/>
      <c r="K44" s="333"/>
      <c r="L44" s="408"/>
      <c r="M44" s="324"/>
      <c r="N44" s="399"/>
    </row>
    <row r="45" spans="2:15">
      <c r="B45" s="304">
        <v>11</v>
      </c>
      <c r="C45" s="19" t="s">
        <v>625</v>
      </c>
      <c r="D45" s="181">
        <v>81.88</v>
      </c>
      <c r="E45" s="304">
        <v>155</v>
      </c>
      <c r="F45" s="304"/>
      <c r="G45" s="181">
        <v>29.028320000000001</v>
      </c>
      <c r="H45" s="304"/>
      <c r="I45" s="327">
        <f t="shared" si="0"/>
        <v>81.88</v>
      </c>
      <c r="J45" s="304"/>
      <c r="K45" s="333"/>
      <c r="L45" s="408"/>
      <c r="M45" s="324"/>
      <c r="N45" s="399"/>
    </row>
    <row r="46" spans="2:15">
      <c r="B46" s="304">
        <v>12</v>
      </c>
      <c r="C46" s="19" t="s">
        <v>626</v>
      </c>
      <c r="D46" s="181">
        <v>83.6</v>
      </c>
      <c r="E46" s="304">
        <v>155</v>
      </c>
      <c r="F46" s="304"/>
      <c r="G46" s="181">
        <v>29.028320000000001</v>
      </c>
      <c r="H46" s="304"/>
      <c r="I46" s="327">
        <f t="shared" si="0"/>
        <v>83.6</v>
      </c>
      <c r="J46" s="304"/>
      <c r="K46" s="333"/>
      <c r="L46" s="408"/>
      <c r="M46" s="324"/>
      <c r="N46" s="399"/>
    </row>
    <row r="47" spans="2:15">
      <c r="B47" s="304">
        <v>13</v>
      </c>
      <c r="C47" s="19" t="s">
        <v>659</v>
      </c>
      <c r="D47" s="181">
        <v>114.45</v>
      </c>
      <c r="E47" s="304">
        <v>345</v>
      </c>
      <c r="F47" s="304"/>
      <c r="G47" s="181">
        <v>58.896360000000001</v>
      </c>
      <c r="H47" s="304"/>
      <c r="I47" s="327">
        <f t="shared" si="0"/>
        <v>114.45</v>
      </c>
      <c r="J47" s="304"/>
      <c r="K47" s="333"/>
      <c r="L47" s="408"/>
      <c r="M47" s="324"/>
      <c r="N47" s="399"/>
    </row>
    <row r="48" spans="2:15">
      <c r="B48" s="304">
        <v>14</v>
      </c>
      <c r="C48" s="19" t="s">
        <v>660</v>
      </c>
      <c r="D48" s="181">
        <v>114.45</v>
      </c>
      <c r="E48" s="304">
        <v>235</v>
      </c>
      <c r="F48" s="304"/>
      <c r="G48" s="181">
        <v>41.745800000000003</v>
      </c>
      <c r="H48" s="304"/>
      <c r="I48" s="327">
        <f t="shared" si="0"/>
        <v>114.45</v>
      </c>
      <c r="J48" s="304"/>
      <c r="K48" s="333"/>
      <c r="L48" s="408"/>
      <c r="M48" s="324"/>
      <c r="N48" s="399"/>
    </row>
    <row r="49" spans="2:14">
      <c r="B49" s="304">
        <v>15</v>
      </c>
      <c r="C49" s="19" t="s">
        <v>424</v>
      </c>
      <c r="D49" s="181">
        <v>154.88999999999999</v>
      </c>
      <c r="E49" s="308">
        <v>520</v>
      </c>
      <c r="F49" s="308"/>
      <c r="G49" s="181">
        <v>100.13687999999999</v>
      </c>
      <c r="H49" s="308"/>
      <c r="I49" s="327">
        <f t="shared" si="0"/>
        <v>154.88999999999999</v>
      </c>
      <c r="J49" s="304"/>
      <c r="K49" s="333"/>
      <c r="L49" s="408"/>
      <c r="M49" s="324"/>
      <c r="N49" s="399"/>
    </row>
    <row r="50" spans="2:14">
      <c r="B50" s="304">
        <v>16</v>
      </c>
      <c r="C50" s="19" t="s">
        <v>428</v>
      </c>
      <c r="D50" s="181">
        <v>178.9</v>
      </c>
      <c r="E50" s="308">
        <v>420</v>
      </c>
      <c r="F50" s="308"/>
      <c r="G50" s="181">
        <v>92.635719999999992</v>
      </c>
      <c r="H50" s="304"/>
      <c r="I50" s="327">
        <f t="shared" si="0"/>
        <v>178.9</v>
      </c>
      <c r="J50" s="304"/>
      <c r="K50" s="333"/>
      <c r="L50" s="408"/>
      <c r="M50" s="324"/>
      <c r="N50" s="399"/>
    </row>
    <row r="51" spans="2:14">
      <c r="B51" s="304">
        <v>17</v>
      </c>
      <c r="C51" s="19" t="s">
        <v>429</v>
      </c>
      <c r="D51" s="181">
        <v>182</v>
      </c>
      <c r="E51" s="308">
        <v>240</v>
      </c>
      <c r="F51" s="308"/>
      <c r="G51" s="181">
        <v>44.027360000000002</v>
      </c>
      <c r="H51" s="308"/>
      <c r="I51" s="327">
        <f t="shared" si="0"/>
        <v>182</v>
      </c>
      <c r="J51" s="304"/>
      <c r="K51" s="333"/>
      <c r="L51" s="408"/>
      <c r="M51" s="324"/>
      <c r="N51" s="399"/>
    </row>
    <row r="52" spans="2:14">
      <c r="B52" s="304">
        <v>18</v>
      </c>
      <c r="C52" s="19" t="s">
        <v>431</v>
      </c>
      <c r="D52" s="181">
        <v>243</v>
      </c>
      <c r="E52" s="304">
        <v>210</v>
      </c>
      <c r="F52" s="308"/>
      <c r="G52" s="181">
        <v>116.39958576923078</v>
      </c>
      <c r="H52" s="304"/>
      <c r="I52" s="327">
        <f t="shared" si="0"/>
        <v>243</v>
      </c>
      <c r="J52" s="304"/>
      <c r="K52" s="333"/>
      <c r="L52" s="408"/>
      <c r="M52" s="324"/>
      <c r="N52" s="399"/>
    </row>
    <row r="53" spans="2:14">
      <c r="B53" s="304">
        <v>19</v>
      </c>
      <c r="C53" s="19" t="s">
        <v>627</v>
      </c>
      <c r="D53" s="181">
        <v>246.98</v>
      </c>
      <c r="E53" s="304">
        <v>510</v>
      </c>
      <c r="F53" s="308"/>
      <c r="G53" s="181">
        <v>80.381039999999999</v>
      </c>
      <c r="H53" s="304"/>
      <c r="I53" s="327">
        <f t="shared" si="0"/>
        <v>246.98</v>
      </c>
      <c r="J53" s="304"/>
      <c r="K53" s="333"/>
      <c r="L53" s="408"/>
      <c r="M53" s="324"/>
      <c r="N53" s="399"/>
    </row>
    <row r="54" spans="2:14">
      <c r="B54" s="304">
        <v>20</v>
      </c>
      <c r="C54" s="19" t="s">
        <v>509</v>
      </c>
      <c r="D54" s="181">
        <v>274</v>
      </c>
      <c r="E54" s="304">
        <v>490</v>
      </c>
      <c r="F54" s="304"/>
      <c r="G54" s="181">
        <v>136.29579807692309</v>
      </c>
      <c r="H54" s="304"/>
      <c r="I54" s="327">
        <f t="shared" si="0"/>
        <v>274</v>
      </c>
      <c r="J54" s="304"/>
      <c r="K54" s="333"/>
      <c r="L54" s="408"/>
      <c r="M54" s="324"/>
      <c r="N54" s="399"/>
    </row>
    <row r="55" spans="2:14">
      <c r="B55" s="304">
        <v>21</v>
      </c>
      <c r="C55" s="19" t="s">
        <v>628</v>
      </c>
      <c r="D55" s="181">
        <v>394</v>
      </c>
      <c r="E55" s="304">
        <v>570</v>
      </c>
      <c r="F55" s="304"/>
      <c r="G55" s="181">
        <v>116.5146</v>
      </c>
      <c r="H55" s="304"/>
      <c r="I55" s="327">
        <f t="shared" si="0"/>
        <v>394</v>
      </c>
      <c r="J55" s="304"/>
      <c r="K55" s="333"/>
      <c r="L55" s="408"/>
      <c r="M55" s="324"/>
      <c r="N55" s="399"/>
    </row>
    <row r="56" spans="2:14">
      <c r="B56" s="304">
        <v>22</v>
      </c>
      <c r="C56" s="19" t="s">
        <v>629</v>
      </c>
      <c r="D56" s="181">
        <v>453</v>
      </c>
      <c r="E56" s="304">
        <v>430</v>
      </c>
      <c r="F56" s="304"/>
      <c r="G56" s="181">
        <v>112.84719999999999</v>
      </c>
      <c r="H56" s="304"/>
      <c r="I56" s="327">
        <f t="shared" si="0"/>
        <v>453</v>
      </c>
      <c r="J56" s="304"/>
      <c r="K56" s="333"/>
      <c r="L56" s="408"/>
      <c r="M56" s="324"/>
      <c r="N56" s="399"/>
    </row>
    <row r="57" spans="2:14">
      <c r="B57" s="304">
        <v>23</v>
      </c>
      <c r="C57" s="19" t="s">
        <v>433</v>
      </c>
      <c r="D57" s="181">
        <v>484</v>
      </c>
      <c r="E57" s="304">
        <v>570</v>
      </c>
      <c r="F57" s="304"/>
      <c r="G57" s="181">
        <v>95.312879999999993</v>
      </c>
      <c r="H57" s="304"/>
      <c r="I57" s="327">
        <f t="shared" si="0"/>
        <v>484</v>
      </c>
      <c r="J57" s="304"/>
      <c r="K57" s="333"/>
      <c r="L57" s="408"/>
      <c r="M57" s="324"/>
      <c r="N57" s="399"/>
    </row>
    <row r="58" spans="2:14">
      <c r="B58" s="304">
        <v>24</v>
      </c>
      <c r="C58" s="19" t="s">
        <v>661</v>
      </c>
      <c r="D58" s="181">
        <v>500.33</v>
      </c>
      <c r="E58" s="304">
        <v>845</v>
      </c>
      <c r="F58" s="304"/>
      <c r="G58" s="181">
        <v>175.61915999999999</v>
      </c>
      <c r="H58" s="304"/>
      <c r="I58" s="327">
        <f t="shared" si="0"/>
        <v>500.33</v>
      </c>
      <c r="J58" s="304"/>
      <c r="K58" s="333"/>
      <c r="L58" s="408"/>
      <c r="M58" s="324"/>
      <c r="N58" s="399"/>
    </row>
    <row r="59" spans="2:14">
      <c r="B59" s="304">
        <v>25</v>
      </c>
      <c r="C59" s="19" t="s">
        <v>662</v>
      </c>
      <c r="D59" s="181">
        <v>631.58000000000004</v>
      </c>
      <c r="E59" s="304">
        <v>1020</v>
      </c>
      <c r="F59" s="304"/>
      <c r="G59" s="181">
        <v>240.98043999999999</v>
      </c>
      <c r="H59" s="304"/>
      <c r="I59" s="327">
        <f t="shared" si="0"/>
        <v>631.58000000000004</v>
      </c>
      <c r="J59" s="304"/>
      <c r="K59" s="333"/>
      <c r="L59" s="408"/>
      <c r="M59" s="324"/>
      <c r="N59" s="399"/>
    </row>
    <row r="60" spans="2:14">
      <c r="B60" s="304">
        <v>26</v>
      </c>
      <c r="C60" s="19" t="s">
        <v>663</v>
      </c>
      <c r="D60" s="181">
        <v>663.01</v>
      </c>
      <c r="E60" s="304">
        <v>1025</v>
      </c>
      <c r="F60" s="304"/>
      <c r="G60" s="181">
        <v>212.07116000000002</v>
      </c>
      <c r="H60" s="304"/>
      <c r="I60" s="327">
        <f t="shared" si="0"/>
        <v>663.01</v>
      </c>
      <c r="J60" s="304"/>
      <c r="K60" s="333"/>
      <c r="L60" s="408"/>
      <c r="M60" s="324"/>
      <c r="N60" s="399"/>
    </row>
    <row r="61" spans="2:14">
      <c r="B61" s="304">
        <v>27</v>
      </c>
      <c r="C61" s="19" t="s">
        <v>664</v>
      </c>
      <c r="D61" s="181">
        <v>709.26</v>
      </c>
      <c r="E61" s="304">
        <v>940</v>
      </c>
      <c r="F61" s="304"/>
      <c r="G61" s="181">
        <v>226.15424000000002</v>
      </c>
      <c r="H61" s="304"/>
      <c r="I61" s="327">
        <f t="shared" si="0"/>
        <v>709.26</v>
      </c>
      <c r="J61" s="304"/>
      <c r="K61" s="333"/>
      <c r="L61" s="408"/>
      <c r="M61" s="324"/>
      <c r="N61" s="399"/>
    </row>
    <row r="62" spans="2:14">
      <c r="B62" s="304">
        <v>28</v>
      </c>
      <c r="C62" s="19" t="s">
        <v>665</v>
      </c>
      <c r="D62" s="181">
        <v>367.70409565217392</v>
      </c>
      <c r="E62" s="304">
        <v>1780</v>
      </c>
      <c r="F62" s="304"/>
      <c r="G62" s="181">
        <v>365.60323807692311</v>
      </c>
      <c r="H62" s="304"/>
      <c r="I62" s="327">
        <f t="shared" si="0"/>
        <v>367.70409565217392</v>
      </c>
      <c r="J62" s="304"/>
      <c r="K62" s="333"/>
      <c r="L62" s="408"/>
      <c r="M62" s="324"/>
      <c r="N62" s="399"/>
    </row>
    <row r="63" spans="2:14">
      <c r="B63" s="304">
        <v>29</v>
      </c>
      <c r="C63" s="19" t="s">
        <v>666</v>
      </c>
      <c r="D63" s="181">
        <v>366.32899130434782</v>
      </c>
      <c r="E63" s="304">
        <v>1400</v>
      </c>
      <c r="F63" s="304"/>
      <c r="G63" s="181">
        <v>306.65071999999998</v>
      </c>
      <c r="H63" s="304"/>
      <c r="I63" s="327">
        <f t="shared" si="0"/>
        <v>366.32899130434782</v>
      </c>
      <c r="J63" s="304"/>
      <c r="K63" s="333"/>
      <c r="L63" s="408"/>
      <c r="M63" s="324"/>
      <c r="N63" s="399"/>
    </row>
    <row r="64" spans="2:14">
      <c r="B64" s="304">
        <v>30</v>
      </c>
      <c r="C64" s="19" t="s">
        <v>667</v>
      </c>
      <c r="D64" s="181">
        <v>251.9094260869565</v>
      </c>
      <c r="E64" s="304">
        <v>1090</v>
      </c>
      <c r="F64" s="304"/>
      <c r="G64" s="181">
        <v>217.80735999999999</v>
      </c>
      <c r="H64" s="304"/>
      <c r="I64" s="327">
        <f t="shared" si="0"/>
        <v>251.9094260869565</v>
      </c>
      <c r="J64" s="304"/>
      <c r="K64" s="333"/>
      <c r="L64" s="408"/>
      <c r="M64" s="324"/>
      <c r="N64" s="399"/>
    </row>
    <row r="65" spans="2:14">
      <c r="B65" s="304">
        <v>31</v>
      </c>
      <c r="C65" s="19" t="s">
        <v>668</v>
      </c>
      <c r="D65" s="181">
        <v>166.66379130434782</v>
      </c>
      <c r="E65" s="304">
        <v>725</v>
      </c>
      <c r="F65" s="304"/>
      <c r="G65" s="181">
        <v>114.31695999999999</v>
      </c>
      <c r="H65" s="304"/>
      <c r="I65" s="327">
        <f t="shared" si="0"/>
        <v>166.66379130434782</v>
      </c>
      <c r="J65" s="304"/>
      <c r="K65" s="333"/>
      <c r="L65" s="408"/>
      <c r="M65" s="324"/>
      <c r="N65" s="332"/>
    </row>
    <row r="66" spans="2:14">
      <c r="B66" s="304">
        <v>32</v>
      </c>
      <c r="C66" s="19" t="s">
        <v>437</v>
      </c>
      <c r="D66" s="181">
        <v>104.85269565217391</v>
      </c>
      <c r="E66" s="304">
        <v>300</v>
      </c>
      <c r="F66" s="304"/>
      <c r="G66" s="181">
        <v>53.201239999999999</v>
      </c>
      <c r="H66" s="304"/>
      <c r="I66" s="327">
        <f t="shared" si="0"/>
        <v>104.85269565217391</v>
      </c>
      <c r="J66" s="304"/>
      <c r="K66" s="333"/>
      <c r="L66" s="408"/>
      <c r="M66" s="324"/>
      <c r="N66" s="332"/>
    </row>
    <row r="67" spans="2:14">
      <c r="B67" s="304">
        <v>33</v>
      </c>
      <c r="C67" s="19" t="s">
        <v>630</v>
      </c>
      <c r="D67" s="181">
        <v>500</v>
      </c>
      <c r="E67" s="304">
        <v>1070</v>
      </c>
      <c r="F67" s="304"/>
      <c r="G67" s="181">
        <v>183.5592</v>
      </c>
      <c r="H67" s="304"/>
      <c r="I67" s="327">
        <f t="shared" si="0"/>
        <v>500</v>
      </c>
      <c r="J67" s="304"/>
      <c r="K67" s="333"/>
      <c r="L67" s="408"/>
      <c r="M67" s="324"/>
      <c r="N67" s="332"/>
    </row>
    <row r="68" spans="2:14">
      <c r="B68" s="304">
        <v>34</v>
      </c>
      <c r="C68" s="19" t="s">
        <v>631</v>
      </c>
      <c r="D68" s="181">
        <v>1316</v>
      </c>
      <c r="E68" s="304">
        <v>1020</v>
      </c>
      <c r="F68" s="304"/>
      <c r="G68" s="181">
        <v>464.44560000000001</v>
      </c>
      <c r="H68" s="304"/>
      <c r="I68" s="327">
        <f t="shared" si="0"/>
        <v>1316</v>
      </c>
      <c r="J68" s="304"/>
      <c r="K68" s="333"/>
      <c r="L68" s="408"/>
      <c r="M68" s="324"/>
      <c r="N68" s="332"/>
    </row>
    <row r="69" spans="2:14">
      <c r="B69" s="304">
        <v>35</v>
      </c>
      <c r="C69" s="19" t="s">
        <v>669</v>
      </c>
      <c r="D69" s="181">
        <v>240.07</v>
      </c>
      <c r="E69" s="304">
        <v>440</v>
      </c>
      <c r="F69" s="304"/>
      <c r="G69" s="181">
        <v>75.6952</v>
      </c>
      <c r="H69" s="304"/>
      <c r="I69" s="327">
        <f t="shared" ref="I69:I132" si="17">D69-H69</f>
        <v>240.07</v>
      </c>
      <c r="J69" s="304"/>
      <c r="K69" s="333"/>
      <c r="L69" s="408"/>
      <c r="M69" s="324"/>
      <c r="N69" s="332"/>
    </row>
    <row r="70" spans="2:14">
      <c r="B70" s="304">
        <v>36</v>
      </c>
      <c r="C70" s="19" t="s">
        <v>435</v>
      </c>
      <c r="D70" s="181">
        <v>262</v>
      </c>
      <c r="E70" s="304">
        <v>530</v>
      </c>
      <c r="F70" s="304"/>
      <c r="G70" s="181">
        <v>89.716400000000007</v>
      </c>
      <c r="H70" s="304"/>
      <c r="I70" s="327">
        <f t="shared" si="17"/>
        <v>262</v>
      </c>
      <c r="J70" s="304"/>
      <c r="K70" s="333"/>
      <c r="L70" s="408"/>
      <c r="M70" s="324"/>
      <c r="N70" s="332"/>
    </row>
    <row r="71" spans="2:14">
      <c r="B71" s="304">
        <v>37</v>
      </c>
      <c r="C71" s="19" t="s">
        <v>632</v>
      </c>
      <c r="D71" s="181">
        <v>300.19</v>
      </c>
      <c r="E71" s="304">
        <v>380</v>
      </c>
      <c r="F71" s="304"/>
      <c r="G71" s="181">
        <v>69.214354567307694</v>
      </c>
      <c r="H71" s="304"/>
      <c r="I71" s="327">
        <f t="shared" si="17"/>
        <v>300.19</v>
      </c>
      <c r="J71" s="304"/>
      <c r="K71" s="333"/>
      <c r="L71" s="408"/>
      <c r="M71" s="324"/>
      <c r="N71" s="332"/>
    </row>
    <row r="72" spans="2:14">
      <c r="B72" s="304">
        <v>38</v>
      </c>
      <c r="C72" s="19" t="s">
        <v>510</v>
      </c>
      <c r="D72" s="181">
        <v>767</v>
      </c>
      <c r="E72" s="304">
        <v>540</v>
      </c>
      <c r="F72" s="304"/>
      <c r="G72" s="181">
        <v>539.86056153846152</v>
      </c>
      <c r="H72" s="304"/>
      <c r="I72" s="327">
        <f t="shared" si="17"/>
        <v>767</v>
      </c>
      <c r="J72" s="304"/>
      <c r="K72" s="333"/>
      <c r="L72" s="408"/>
      <c r="M72" s="324"/>
      <c r="N72" s="332"/>
    </row>
    <row r="73" spans="2:14">
      <c r="B73" s="304">
        <v>39</v>
      </c>
      <c r="C73" s="19" t="s">
        <v>633</v>
      </c>
      <c r="D73" s="181">
        <v>132</v>
      </c>
      <c r="E73" s="304">
        <v>190</v>
      </c>
      <c r="F73" s="304"/>
      <c r="G73" s="181">
        <v>34.539200000000001</v>
      </c>
      <c r="H73" s="304"/>
      <c r="I73" s="327">
        <f t="shared" si="17"/>
        <v>132</v>
      </c>
      <c r="J73" s="304"/>
      <c r="K73" s="333"/>
      <c r="L73" s="408"/>
      <c r="M73" s="324"/>
      <c r="N73" s="332"/>
    </row>
    <row r="74" spans="2:14">
      <c r="B74" s="304">
        <v>41</v>
      </c>
      <c r="C74" s="19" t="s">
        <v>634</v>
      </c>
      <c r="D74" s="181">
        <v>478</v>
      </c>
      <c r="E74" s="304">
        <v>480</v>
      </c>
      <c r="F74" s="304"/>
      <c r="G74" s="181">
        <v>101.4652</v>
      </c>
      <c r="H74" s="304"/>
      <c r="I74" s="327">
        <f t="shared" si="17"/>
        <v>478</v>
      </c>
      <c r="J74" s="304"/>
      <c r="K74" s="333"/>
      <c r="L74" s="408"/>
      <c r="M74" s="324"/>
      <c r="N74" s="332"/>
    </row>
    <row r="75" spans="2:14">
      <c r="B75" s="304">
        <v>42</v>
      </c>
      <c r="C75" s="19" t="s">
        <v>511</v>
      </c>
      <c r="D75" s="181">
        <v>1375.86</v>
      </c>
      <c r="E75" s="304">
        <v>0</v>
      </c>
      <c r="F75" s="304"/>
      <c r="G75" s="181">
        <v>156.4</v>
      </c>
      <c r="H75" s="304"/>
      <c r="I75" s="327">
        <f t="shared" si="17"/>
        <v>1375.86</v>
      </c>
      <c r="J75" s="304"/>
      <c r="K75" s="333"/>
      <c r="L75" s="408"/>
      <c r="M75" s="324"/>
      <c r="N75" s="332"/>
    </row>
    <row r="76" spans="2:14">
      <c r="B76" s="304">
        <v>43</v>
      </c>
      <c r="C76" s="19" t="s">
        <v>512</v>
      </c>
      <c r="D76" s="181">
        <v>1187.3599999999999</v>
      </c>
      <c r="E76" s="304">
        <v>540</v>
      </c>
      <c r="F76" s="304"/>
      <c r="G76" s="181">
        <v>551.27176153846153</v>
      </c>
      <c r="H76" s="304"/>
      <c r="I76" s="327">
        <f t="shared" si="17"/>
        <v>1187.3599999999999</v>
      </c>
      <c r="J76" s="304"/>
      <c r="K76" s="333"/>
      <c r="L76" s="408"/>
      <c r="M76" s="324"/>
      <c r="N76" s="332"/>
    </row>
    <row r="77" spans="2:14">
      <c r="B77" s="304">
        <v>44</v>
      </c>
      <c r="C77" s="19" t="s">
        <v>446</v>
      </c>
      <c r="D77" s="181">
        <v>1177</v>
      </c>
      <c r="E77" s="304">
        <v>940</v>
      </c>
      <c r="F77" s="304"/>
      <c r="G77" s="181">
        <v>636.3117615384615</v>
      </c>
      <c r="H77" s="304"/>
      <c r="I77" s="327">
        <f t="shared" si="17"/>
        <v>1177</v>
      </c>
      <c r="J77" s="304"/>
      <c r="K77" s="333"/>
      <c r="L77" s="408"/>
      <c r="M77" s="324"/>
      <c r="N77" s="332"/>
    </row>
    <row r="78" spans="2:14">
      <c r="B78" s="304">
        <v>45</v>
      </c>
      <c r="C78" s="19" t="s">
        <v>449</v>
      </c>
      <c r="D78" s="181">
        <v>1095.93</v>
      </c>
      <c r="E78" s="304">
        <v>390</v>
      </c>
      <c r="F78" s="304"/>
      <c r="G78" s="181">
        <v>398.78200000000004</v>
      </c>
      <c r="H78" s="304"/>
      <c r="I78" s="327">
        <f t="shared" si="17"/>
        <v>1095.93</v>
      </c>
      <c r="J78" s="304"/>
      <c r="K78" s="333"/>
      <c r="L78" s="408"/>
      <c r="M78" s="324"/>
      <c r="N78" s="332"/>
    </row>
    <row r="79" spans="2:14">
      <c r="B79" s="304">
        <v>46</v>
      </c>
      <c r="C79" s="19" t="s">
        <v>450</v>
      </c>
      <c r="D79" s="181">
        <v>1020</v>
      </c>
      <c r="E79" s="304">
        <v>1050</v>
      </c>
      <c r="F79" s="304"/>
      <c r="G79" s="181">
        <v>663.38856153846154</v>
      </c>
      <c r="H79" s="304"/>
      <c r="I79" s="327">
        <f t="shared" si="17"/>
        <v>1020</v>
      </c>
      <c r="J79" s="304"/>
      <c r="K79" s="333"/>
      <c r="L79" s="408"/>
      <c r="M79" s="324"/>
      <c r="N79" s="332"/>
    </row>
    <row r="80" spans="2:14">
      <c r="B80" s="304">
        <v>47</v>
      </c>
      <c r="C80" s="19" t="s">
        <v>451</v>
      </c>
      <c r="D80" s="181">
        <v>1736.3333</v>
      </c>
      <c r="E80" s="304">
        <v>3640</v>
      </c>
      <c r="F80" s="304"/>
      <c r="G80" s="181">
        <v>950.80016153846157</v>
      </c>
      <c r="H80" s="304"/>
      <c r="I80" s="327">
        <f t="shared" si="17"/>
        <v>1736.3333</v>
      </c>
      <c r="J80" s="304"/>
      <c r="K80" s="333"/>
      <c r="L80" s="408"/>
      <c r="M80" s="324"/>
      <c r="N80" s="332"/>
    </row>
    <row r="81" spans="2:14">
      <c r="B81" s="304">
        <v>48</v>
      </c>
      <c r="C81" s="19" t="s">
        <v>452</v>
      </c>
      <c r="D81" s="181">
        <v>1572.41</v>
      </c>
      <c r="E81" s="304">
        <v>2550</v>
      </c>
      <c r="F81" s="304"/>
      <c r="G81" s="181">
        <v>603.520137948718</v>
      </c>
      <c r="H81" s="304"/>
      <c r="I81" s="327">
        <f t="shared" si="17"/>
        <v>1572.41</v>
      </c>
      <c r="J81" s="304"/>
      <c r="K81" s="333"/>
      <c r="L81" s="408"/>
      <c r="M81" s="324"/>
      <c r="N81" s="332"/>
    </row>
    <row r="82" spans="2:14">
      <c r="B82" s="304">
        <v>49</v>
      </c>
      <c r="C82" s="19" t="s">
        <v>453</v>
      </c>
      <c r="D82" s="181">
        <v>1184.3699999999999</v>
      </c>
      <c r="E82" s="304">
        <v>1620</v>
      </c>
      <c r="F82" s="304"/>
      <c r="G82" s="181">
        <v>348.32379807692308</v>
      </c>
      <c r="H82" s="304"/>
      <c r="I82" s="327">
        <f t="shared" si="17"/>
        <v>1184.3699999999999</v>
      </c>
      <c r="J82" s="304"/>
      <c r="K82" s="333"/>
      <c r="L82" s="408"/>
      <c r="M82" s="324"/>
      <c r="N82" s="332"/>
    </row>
    <row r="83" spans="2:14">
      <c r="B83" s="304">
        <v>50</v>
      </c>
      <c r="C83" s="19" t="s">
        <v>454</v>
      </c>
      <c r="D83" s="181">
        <v>1125</v>
      </c>
      <c r="E83" s="304">
        <v>3210</v>
      </c>
      <c r="F83" s="304"/>
      <c r="G83" s="181">
        <v>708.54345794871801</v>
      </c>
      <c r="H83" s="304"/>
      <c r="I83" s="327">
        <f t="shared" si="17"/>
        <v>1125</v>
      </c>
      <c r="J83" s="304"/>
      <c r="K83" s="333"/>
      <c r="L83" s="408"/>
      <c r="M83" s="324"/>
      <c r="N83" s="332"/>
    </row>
    <row r="84" spans="2:14">
      <c r="B84" s="304">
        <v>51</v>
      </c>
      <c r="C84" s="19" t="s">
        <v>455</v>
      </c>
      <c r="D84" s="181">
        <v>1120.3399999999999</v>
      </c>
      <c r="E84" s="304">
        <v>1290</v>
      </c>
      <c r="F84" s="304"/>
      <c r="G84" s="181">
        <v>619.53000153846153</v>
      </c>
      <c r="H84" s="304"/>
      <c r="I84" s="327">
        <f t="shared" si="17"/>
        <v>1120.3399999999999</v>
      </c>
      <c r="J84" s="304"/>
      <c r="K84" s="333"/>
      <c r="L84" s="408"/>
      <c r="M84" s="324"/>
      <c r="N84" s="332"/>
    </row>
    <row r="85" spans="2:14">
      <c r="B85" s="304">
        <v>52</v>
      </c>
      <c r="C85" s="19" t="s">
        <v>456</v>
      </c>
      <c r="D85" s="181">
        <v>904.61</v>
      </c>
      <c r="E85" s="304">
        <v>2180</v>
      </c>
      <c r="F85" s="304"/>
      <c r="G85" s="181">
        <v>427.07979807692305</v>
      </c>
      <c r="H85" s="304"/>
      <c r="I85" s="327">
        <f t="shared" si="17"/>
        <v>904.61</v>
      </c>
      <c r="J85" s="304"/>
      <c r="K85" s="333"/>
      <c r="L85" s="408"/>
      <c r="M85" s="324"/>
      <c r="N85" s="332"/>
    </row>
    <row r="86" spans="2:14">
      <c r="B86" s="304">
        <v>53</v>
      </c>
      <c r="C86" s="19" t="s">
        <v>635</v>
      </c>
      <c r="D86" s="181">
        <v>833.22</v>
      </c>
      <c r="E86" s="304">
        <v>1160</v>
      </c>
      <c r="F86" s="304"/>
      <c r="G86" s="181">
        <v>469.64880000000005</v>
      </c>
      <c r="H86" s="304"/>
      <c r="I86" s="327">
        <f t="shared" si="17"/>
        <v>833.22</v>
      </c>
      <c r="J86" s="304"/>
      <c r="K86" s="333"/>
      <c r="L86" s="408"/>
      <c r="M86" s="324"/>
      <c r="N86" s="332"/>
    </row>
    <row r="87" spans="2:14">
      <c r="B87" s="304">
        <v>54</v>
      </c>
      <c r="C87" s="19" t="s">
        <v>636</v>
      </c>
      <c r="D87" s="181">
        <v>785</v>
      </c>
      <c r="E87" s="304">
        <v>2200</v>
      </c>
      <c r="F87" s="304"/>
      <c r="G87" s="181">
        <v>435.22942576923083</v>
      </c>
      <c r="H87" s="304"/>
      <c r="I87" s="327">
        <f t="shared" si="17"/>
        <v>785</v>
      </c>
      <c r="J87" s="304"/>
      <c r="K87" s="333"/>
      <c r="L87" s="408"/>
      <c r="M87" s="324"/>
      <c r="N87" s="332"/>
    </row>
    <row r="88" spans="2:14">
      <c r="B88" s="304">
        <v>55</v>
      </c>
      <c r="C88" s="19" t="s">
        <v>457</v>
      </c>
      <c r="D88" s="181">
        <v>767.08500000000004</v>
      </c>
      <c r="E88" s="304">
        <v>1280</v>
      </c>
      <c r="F88" s="304"/>
      <c r="G88" s="181">
        <v>264.75171807692305</v>
      </c>
      <c r="H88" s="304"/>
      <c r="I88" s="327">
        <f t="shared" si="17"/>
        <v>767.08500000000004</v>
      </c>
      <c r="J88" s="304"/>
      <c r="K88" s="333"/>
      <c r="L88" s="408"/>
      <c r="M88" s="324"/>
      <c r="N88" s="332"/>
    </row>
    <row r="89" spans="2:14">
      <c r="B89" s="304">
        <v>56</v>
      </c>
      <c r="C89" s="19" t="s">
        <v>458</v>
      </c>
      <c r="D89" s="181">
        <v>756</v>
      </c>
      <c r="E89" s="304">
        <v>3310</v>
      </c>
      <c r="F89" s="304"/>
      <c r="G89" s="181">
        <v>571.22080807692316</v>
      </c>
      <c r="H89" s="304"/>
      <c r="I89" s="327">
        <f t="shared" si="17"/>
        <v>756</v>
      </c>
      <c r="J89" s="304"/>
      <c r="K89" s="333"/>
      <c r="L89" s="408"/>
      <c r="M89" s="324"/>
      <c r="N89" s="332"/>
    </row>
    <row r="90" spans="2:14">
      <c r="B90" s="304">
        <v>57</v>
      </c>
      <c r="C90" s="19" t="s">
        <v>459</v>
      </c>
      <c r="D90" s="181">
        <v>672.85</v>
      </c>
      <c r="E90" s="304">
        <v>1470</v>
      </c>
      <c r="F90" s="304"/>
      <c r="G90" s="181">
        <v>333.85458576923077</v>
      </c>
      <c r="H90" s="304"/>
      <c r="I90" s="327">
        <f t="shared" si="17"/>
        <v>672.85</v>
      </c>
      <c r="J90" s="304"/>
      <c r="K90" s="333"/>
      <c r="L90" s="408"/>
      <c r="M90" s="324"/>
      <c r="N90" s="332"/>
    </row>
    <row r="91" spans="2:14">
      <c r="B91" s="304">
        <v>58</v>
      </c>
      <c r="C91" s="19" t="s">
        <v>460</v>
      </c>
      <c r="D91" s="181">
        <v>637.995</v>
      </c>
      <c r="E91" s="304">
        <v>1160</v>
      </c>
      <c r="F91" s="304"/>
      <c r="G91" s="181">
        <v>326.37826576923078</v>
      </c>
      <c r="H91" s="304"/>
      <c r="I91" s="327">
        <f t="shared" si="17"/>
        <v>637.995</v>
      </c>
      <c r="J91" s="304"/>
      <c r="K91" s="333"/>
      <c r="L91" s="408"/>
      <c r="M91" s="324"/>
      <c r="N91" s="332"/>
    </row>
    <row r="92" spans="2:14">
      <c r="B92" s="304">
        <v>59</v>
      </c>
      <c r="C92" s="19" t="s">
        <v>461</v>
      </c>
      <c r="D92" s="181">
        <v>580.5</v>
      </c>
      <c r="E92" s="304">
        <v>1220</v>
      </c>
      <c r="F92" s="304"/>
      <c r="G92" s="181">
        <v>244.0840480769231</v>
      </c>
      <c r="H92" s="304"/>
      <c r="I92" s="327">
        <f t="shared" si="17"/>
        <v>580.5</v>
      </c>
      <c r="J92" s="304"/>
      <c r="K92" s="333"/>
      <c r="L92" s="408"/>
      <c r="M92" s="324"/>
      <c r="N92" s="332"/>
    </row>
    <row r="93" spans="2:14">
      <c r="B93" s="304">
        <v>60</v>
      </c>
      <c r="C93" s="19" t="s">
        <v>462</v>
      </c>
      <c r="D93" s="181">
        <v>546.98500000000001</v>
      </c>
      <c r="E93" s="304">
        <v>650</v>
      </c>
      <c r="F93" s="304"/>
      <c r="G93" s="181">
        <v>262.31793192307691</v>
      </c>
      <c r="H93" s="304"/>
      <c r="I93" s="327">
        <f t="shared" si="17"/>
        <v>546.98500000000001</v>
      </c>
      <c r="J93" s="304"/>
      <c r="K93" s="333"/>
      <c r="L93" s="408"/>
      <c r="M93" s="324"/>
      <c r="N93" s="332"/>
    </row>
    <row r="94" spans="2:14">
      <c r="B94" s="304">
        <v>61</v>
      </c>
      <c r="C94" s="19" t="s">
        <v>463</v>
      </c>
      <c r="D94" s="181">
        <v>510.95499999999998</v>
      </c>
      <c r="E94" s="304">
        <v>1270</v>
      </c>
      <c r="F94" s="304"/>
      <c r="G94" s="181">
        <v>309.38166576923084</v>
      </c>
      <c r="H94" s="304"/>
      <c r="I94" s="327">
        <f t="shared" si="17"/>
        <v>510.95499999999998</v>
      </c>
      <c r="J94" s="304"/>
      <c r="K94" s="333"/>
      <c r="L94" s="408"/>
      <c r="M94" s="324"/>
      <c r="N94" s="332"/>
    </row>
    <row r="95" spans="2:14">
      <c r="B95" s="304">
        <v>62</v>
      </c>
      <c r="C95" s="19" t="s">
        <v>464</v>
      </c>
      <c r="D95" s="181">
        <v>475</v>
      </c>
      <c r="E95" s="304">
        <v>1140</v>
      </c>
      <c r="F95" s="304"/>
      <c r="G95" s="181">
        <v>232.76364807692312</v>
      </c>
      <c r="H95" s="304"/>
      <c r="I95" s="327">
        <f t="shared" si="17"/>
        <v>475</v>
      </c>
      <c r="J95" s="304"/>
      <c r="K95" s="333"/>
      <c r="L95" s="408"/>
      <c r="M95" s="324"/>
      <c r="N95" s="332"/>
    </row>
    <row r="96" spans="2:14">
      <c r="B96" s="304">
        <v>63</v>
      </c>
      <c r="C96" s="19" t="s">
        <v>465</v>
      </c>
      <c r="D96" s="181">
        <v>440</v>
      </c>
      <c r="E96" s="304">
        <v>2440</v>
      </c>
      <c r="F96" s="304"/>
      <c r="G96" s="181">
        <v>426.96256807692305</v>
      </c>
      <c r="H96" s="304"/>
      <c r="I96" s="327">
        <f t="shared" si="17"/>
        <v>440</v>
      </c>
      <c r="J96" s="304"/>
      <c r="K96" s="333"/>
      <c r="L96" s="408"/>
      <c r="M96" s="324"/>
      <c r="N96" s="332"/>
    </row>
    <row r="97" spans="2:14">
      <c r="B97" s="304">
        <v>64</v>
      </c>
      <c r="C97" s="19" t="s">
        <v>637</v>
      </c>
      <c r="D97" s="181">
        <v>426</v>
      </c>
      <c r="E97" s="304">
        <v>240</v>
      </c>
      <c r="F97" s="304"/>
      <c r="G97" s="181">
        <v>48.227080000000001</v>
      </c>
      <c r="H97" s="304"/>
      <c r="I97" s="327">
        <f t="shared" si="17"/>
        <v>426</v>
      </c>
      <c r="J97" s="304"/>
      <c r="K97" s="333"/>
      <c r="L97" s="408"/>
      <c r="M97" s="324"/>
      <c r="N97" s="332"/>
    </row>
    <row r="98" spans="2:14">
      <c r="B98" s="304">
        <v>65</v>
      </c>
      <c r="C98" s="19" t="s">
        <v>638</v>
      </c>
      <c r="D98" s="181">
        <v>418.98</v>
      </c>
      <c r="E98" s="304">
        <v>590</v>
      </c>
      <c r="F98" s="304"/>
      <c r="G98" s="181">
        <v>113.5908</v>
      </c>
      <c r="H98" s="304"/>
      <c r="I98" s="327">
        <f t="shared" si="17"/>
        <v>418.98</v>
      </c>
      <c r="J98" s="304"/>
      <c r="K98" s="333"/>
      <c r="L98" s="408"/>
      <c r="M98" s="324"/>
      <c r="N98" s="332"/>
    </row>
    <row r="99" spans="2:14">
      <c r="B99" s="304">
        <v>66</v>
      </c>
      <c r="C99" s="19" t="s">
        <v>639</v>
      </c>
      <c r="D99" s="181">
        <v>407</v>
      </c>
      <c r="E99" s="304">
        <v>380</v>
      </c>
      <c r="F99" s="401"/>
      <c r="G99" s="181">
        <v>56.996920000000003</v>
      </c>
      <c r="H99" s="401"/>
      <c r="I99" s="327">
        <f t="shared" si="17"/>
        <v>407</v>
      </c>
      <c r="J99" s="304"/>
      <c r="K99" s="333"/>
      <c r="L99" s="408"/>
      <c r="M99" s="324"/>
      <c r="N99" s="399"/>
    </row>
    <row r="100" spans="2:14">
      <c r="B100" s="304">
        <v>67</v>
      </c>
      <c r="C100" s="19" t="s">
        <v>640</v>
      </c>
      <c r="D100" s="181">
        <v>396.57</v>
      </c>
      <c r="E100" s="304">
        <v>850</v>
      </c>
      <c r="F100" s="304"/>
      <c r="G100" s="181">
        <v>184.2955545673077</v>
      </c>
      <c r="H100" s="304"/>
      <c r="I100" s="327">
        <f t="shared" si="17"/>
        <v>396.57</v>
      </c>
      <c r="J100" s="304"/>
      <c r="K100" s="333"/>
      <c r="L100" s="408"/>
      <c r="M100" s="324"/>
      <c r="N100" s="332"/>
    </row>
    <row r="101" spans="2:14">
      <c r="B101" s="304">
        <v>68</v>
      </c>
      <c r="C101" s="19" t="s">
        <v>641</v>
      </c>
      <c r="D101" s="181">
        <v>386.44</v>
      </c>
      <c r="E101" s="304">
        <v>550</v>
      </c>
      <c r="F101" s="304"/>
      <c r="G101" s="181">
        <v>89.706800000000001</v>
      </c>
      <c r="H101" s="304"/>
      <c r="I101" s="327">
        <f t="shared" si="17"/>
        <v>386.44</v>
      </c>
      <c r="J101" s="304"/>
      <c r="K101" s="333"/>
      <c r="L101" s="408"/>
      <c r="M101" s="324"/>
      <c r="N101" s="332"/>
    </row>
    <row r="102" spans="2:14">
      <c r="B102" s="401">
        <v>69</v>
      </c>
      <c r="C102" s="19" t="s">
        <v>468</v>
      </c>
      <c r="D102" s="181">
        <v>386</v>
      </c>
      <c r="E102" s="304">
        <v>560</v>
      </c>
      <c r="F102" s="304"/>
      <c r="G102" s="181">
        <v>245.78853192307696</v>
      </c>
      <c r="H102" s="304"/>
      <c r="I102" s="327">
        <f t="shared" si="17"/>
        <v>386</v>
      </c>
      <c r="J102" s="304"/>
      <c r="K102" s="333"/>
      <c r="L102" s="408"/>
      <c r="M102" s="324"/>
      <c r="N102" s="332"/>
    </row>
    <row r="103" spans="2:14">
      <c r="B103" s="304">
        <v>70</v>
      </c>
      <c r="C103" s="19" t="s">
        <v>642</v>
      </c>
      <c r="D103" s="181">
        <v>380</v>
      </c>
      <c r="E103" s="304">
        <v>480</v>
      </c>
      <c r="F103" s="304"/>
      <c r="G103" s="181">
        <v>91.872320000000002</v>
      </c>
      <c r="H103" s="304"/>
      <c r="I103" s="327">
        <f t="shared" si="17"/>
        <v>380</v>
      </c>
      <c r="J103" s="304"/>
      <c r="K103" s="333"/>
      <c r="L103" s="408"/>
      <c r="M103" s="324"/>
      <c r="N103" s="332"/>
    </row>
    <row r="104" spans="2:14">
      <c r="B104" s="304">
        <v>71</v>
      </c>
      <c r="C104" s="19" t="s">
        <v>470</v>
      </c>
      <c r="D104" s="181">
        <v>373.45</v>
      </c>
      <c r="E104" s="304">
        <v>990</v>
      </c>
      <c r="F104" s="304"/>
      <c r="G104" s="181">
        <v>213.1928480769231</v>
      </c>
      <c r="H104" s="304"/>
      <c r="I104" s="327">
        <f t="shared" si="17"/>
        <v>373.45</v>
      </c>
      <c r="J104" s="304"/>
      <c r="K104" s="333"/>
      <c r="L104" s="408"/>
      <c r="M104" s="324"/>
      <c r="N104" s="332"/>
    </row>
    <row r="105" spans="2:14">
      <c r="B105" s="304">
        <v>72</v>
      </c>
      <c r="C105" s="19" t="s">
        <v>471</v>
      </c>
      <c r="D105" s="181">
        <v>372.7038</v>
      </c>
      <c r="E105" s="304">
        <v>1430</v>
      </c>
      <c r="F105" s="304"/>
      <c r="G105" s="181">
        <v>271.79556807692308</v>
      </c>
      <c r="H105" s="304"/>
      <c r="I105" s="327">
        <f t="shared" si="17"/>
        <v>372.7038</v>
      </c>
      <c r="J105" s="304"/>
      <c r="K105" s="333"/>
      <c r="L105" s="408"/>
      <c r="M105" s="324"/>
      <c r="N105" s="332"/>
    </row>
    <row r="106" spans="2:14">
      <c r="B106" s="304">
        <v>73</v>
      </c>
      <c r="C106" s="19" t="s">
        <v>643</v>
      </c>
      <c r="D106" s="181">
        <v>355.22</v>
      </c>
      <c r="E106" s="304">
        <v>435</v>
      </c>
      <c r="F106" s="304"/>
      <c r="G106" s="181">
        <v>166.3364</v>
      </c>
      <c r="H106" s="304"/>
      <c r="I106" s="327">
        <f t="shared" si="17"/>
        <v>355.22</v>
      </c>
      <c r="J106" s="304"/>
      <c r="K106" s="333"/>
      <c r="L106" s="408"/>
      <c r="M106" s="324"/>
      <c r="N106" s="332"/>
    </row>
    <row r="107" spans="2:14">
      <c r="B107" s="304">
        <v>74</v>
      </c>
      <c r="C107" s="19" t="s">
        <v>472</v>
      </c>
      <c r="D107" s="181">
        <v>345.50080000000003</v>
      </c>
      <c r="E107" s="304">
        <v>940</v>
      </c>
      <c r="F107" s="304"/>
      <c r="G107" s="181">
        <v>184.28095999999999</v>
      </c>
      <c r="H107" s="304"/>
      <c r="I107" s="327">
        <f t="shared" si="17"/>
        <v>345.50080000000003</v>
      </c>
      <c r="J107" s="304"/>
      <c r="K107" s="333"/>
      <c r="L107" s="408"/>
      <c r="M107" s="324"/>
      <c r="N107" s="332"/>
    </row>
    <row r="108" spans="2:14">
      <c r="B108" s="304">
        <v>75</v>
      </c>
      <c r="C108" s="19" t="s">
        <v>644</v>
      </c>
      <c r="D108" s="181">
        <v>313.13</v>
      </c>
      <c r="E108" s="304">
        <v>690</v>
      </c>
      <c r="F108" s="304"/>
      <c r="G108" s="181">
        <v>140.96884</v>
      </c>
      <c r="H108" s="304"/>
      <c r="I108" s="327">
        <f t="shared" si="17"/>
        <v>313.13</v>
      </c>
      <c r="J108" s="304"/>
      <c r="K108" s="333"/>
      <c r="L108" s="408"/>
      <c r="M108" s="324"/>
      <c r="N108" s="332"/>
    </row>
    <row r="109" spans="2:14">
      <c r="B109" s="304">
        <v>76</v>
      </c>
      <c r="C109" s="19" t="s">
        <v>474</v>
      </c>
      <c r="D109" s="181">
        <v>302.68</v>
      </c>
      <c r="E109" s="304">
        <v>990</v>
      </c>
      <c r="F109" s="304"/>
      <c r="G109" s="181">
        <v>213.1928480769231</v>
      </c>
      <c r="H109" s="304"/>
      <c r="I109" s="327">
        <f t="shared" si="17"/>
        <v>302.68</v>
      </c>
      <c r="J109" s="304"/>
      <c r="K109" s="333"/>
      <c r="L109" s="408"/>
      <c r="M109" s="324"/>
      <c r="N109" s="332"/>
    </row>
    <row r="110" spans="2:14">
      <c r="B110" s="324">
        <v>77</v>
      </c>
      <c r="C110" s="19" t="s">
        <v>475</v>
      </c>
      <c r="D110" s="181">
        <v>296.8</v>
      </c>
      <c r="E110" s="304">
        <v>510</v>
      </c>
      <c r="F110" s="304"/>
      <c r="G110" s="181">
        <v>79.251559999999998</v>
      </c>
      <c r="H110" s="304"/>
      <c r="I110" s="327">
        <f t="shared" si="17"/>
        <v>296.8</v>
      </c>
      <c r="J110" s="304"/>
      <c r="K110" s="333"/>
      <c r="L110" s="408"/>
      <c r="M110" s="324"/>
      <c r="N110" s="332"/>
    </row>
    <row r="111" spans="2:14">
      <c r="B111" s="401">
        <v>78</v>
      </c>
      <c r="C111" s="19" t="s">
        <v>476</v>
      </c>
      <c r="D111" s="181">
        <v>295.39999999999998</v>
      </c>
      <c r="E111" s="304">
        <v>500</v>
      </c>
      <c r="F111" s="304"/>
      <c r="G111" s="181">
        <v>142.16583807692308</v>
      </c>
      <c r="H111" s="304"/>
      <c r="I111" s="327">
        <f t="shared" si="17"/>
        <v>295.39999999999998</v>
      </c>
      <c r="J111" s="304"/>
      <c r="K111" s="333"/>
      <c r="L111" s="408"/>
      <c r="M111" s="324"/>
      <c r="N111" s="332"/>
    </row>
    <row r="112" spans="2:14">
      <c r="B112" s="304">
        <v>79</v>
      </c>
      <c r="C112" s="19" t="s">
        <v>645</v>
      </c>
      <c r="D112" s="181">
        <v>280</v>
      </c>
      <c r="E112" s="304">
        <v>410</v>
      </c>
      <c r="F112" s="304"/>
      <c r="G112" s="181">
        <v>76.06756</v>
      </c>
      <c r="H112" s="304"/>
      <c r="I112" s="327">
        <f t="shared" si="17"/>
        <v>280</v>
      </c>
      <c r="J112" s="304"/>
      <c r="K112" s="333"/>
      <c r="L112" s="408"/>
      <c r="M112" s="324"/>
      <c r="N112" s="332"/>
    </row>
    <row r="113" spans="2:14">
      <c r="B113" s="304">
        <v>80</v>
      </c>
      <c r="C113" s="19" t="s">
        <v>477</v>
      </c>
      <c r="D113" s="181">
        <v>266</v>
      </c>
      <c r="E113" s="304">
        <v>890</v>
      </c>
      <c r="F113" s="304"/>
      <c r="G113" s="181">
        <v>198.60084807692311</v>
      </c>
      <c r="H113" s="304"/>
      <c r="I113" s="327">
        <f t="shared" si="17"/>
        <v>266</v>
      </c>
      <c r="J113" s="304"/>
      <c r="K113" s="333"/>
      <c r="L113" s="408"/>
      <c r="M113" s="324"/>
      <c r="N113" s="332"/>
    </row>
    <row r="114" spans="2:14">
      <c r="B114" s="304">
        <v>81</v>
      </c>
      <c r="C114" s="19" t="s">
        <v>478</v>
      </c>
      <c r="D114" s="181">
        <v>258.91000000000003</v>
      </c>
      <c r="E114" s="304">
        <v>500</v>
      </c>
      <c r="F114" s="304"/>
      <c r="G114" s="181">
        <v>108.04723179487179</v>
      </c>
      <c r="H114" s="304"/>
      <c r="I114" s="327">
        <f t="shared" si="17"/>
        <v>258.91000000000003</v>
      </c>
      <c r="J114" s="304"/>
      <c r="K114" s="333"/>
      <c r="L114" s="408"/>
      <c r="M114" s="324"/>
      <c r="N114" s="332"/>
    </row>
    <row r="115" spans="2:14">
      <c r="B115" s="304">
        <v>82</v>
      </c>
      <c r="C115" s="19" t="s">
        <v>479</v>
      </c>
      <c r="D115" s="181">
        <v>254.21</v>
      </c>
      <c r="E115" s="304">
        <v>900</v>
      </c>
      <c r="F115" s="304"/>
      <c r="G115" s="181">
        <v>179.42116000000001</v>
      </c>
      <c r="H115" s="304"/>
      <c r="I115" s="327">
        <f t="shared" si="17"/>
        <v>254.21</v>
      </c>
      <c r="J115" s="304"/>
      <c r="K115" s="333"/>
      <c r="L115" s="408"/>
      <c r="M115" s="324"/>
      <c r="N115" s="332"/>
    </row>
    <row r="116" spans="2:14">
      <c r="B116" s="304">
        <v>83</v>
      </c>
      <c r="C116" s="19" t="s">
        <v>480</v>
      </c>
      <c r="D116" s="181">
        <v>246.68</v>
      </c>
      <c r="E116" s="304">
        <v>270</v>
      </c>
      <c r="F116" s="304"/>
      <c r="G116" s="181">
        <v>43.403359999999999</v>
      </c>
      <c r="H116" s="304"/>
      <c r="I116" s="327">
        <f t="shared" si="17"/>
        <v>246.68</v>
      </c>
      <c r="J116" s="304"/>
      <c r="K116" s="333"/>
      <c r="L116" s="408"/>
      <c r="M116" s="324"/>
      <c r="N116" s="332"/>
    </row>
    <row r="117" spans="2:14">
      <c r="B117" s="304">
        <v>84</v>
      </c>
      <c r="C117" s="19" t="s">
        <v>482</v>
      </c>
      <c r="D117" s="181">
        <v>246.48</v>
      </c>
      <c r="E117" s="304">
        <v>460</v>
      </c>
      <c r="F117" s="304"/>
      <c r="G117" s="181">
        <v>85.686959999999999</v>
      </c>
      <c r="H117" s="304"/>
      <c r="I117" s="327">
        <f t="shared" si="17"/>
        <v>246.48</v>
      </c>
      <c r="J117" s="304"/>
      <c r="K117" s="333"/>
      <c r="L117" s="408"/>
      <c r="M117" s="324"/>
      <c r="N117" s="332"/>
    </row>
    <row r="118" spans="2:14">
      <c r="B118" s="304">
        <v>85</v>
      </c>
      <c r="C118" s="19" t="s">
        <v>484</v>
      </c>
      <c r="D118" s="181">
        <v>232.17</v>
      </c>
      <c r="E118" s="304">
        <v>490</v>
      </c>
      <c r="F118" s="304"/>
      <c r="G118" s="181">
        <v>100.89116</v>
      </c>
      <c r="H118" s="304"/>
      <c r="I118" s="327">
        <f t="shared" si="17"/>
        <v>232.17</v>
      </c>
      <c r="J118" s="304"/>
      <c r="K118" s="333"/>
      <c r="L118" s="408"/>
      <c r="M118" s="324"/>
      <c r="N118" s="332"/>
    </row>
    <row r="119" spans="2:14">
      <c r="B119" s="304">
        <v>86</v>
      </c>
      <c r="C119" s="19" t="s">
        <v>486</v>
      </c>
      <c r="D119" s="181">
        <v>231.6</v>
      </c>
      <c r="E119" s="304">
        <v>575</v>
      </c>
      <c r="F119" s="304"/>
      <c r="G119" s="181">
        <v>188.04853384615387</v>
      </c>
      <c r="H119" s="304"/>
      <c r="I119" s="327">
        <f t="shared" si="17"/>
        <v>231.6</v>
      </c>
      <c r="J119" s="304"/>
      <c r="K119" s="333"/>
      <c r="L119" s="408"/>
      <c r="M119" s="324"/>
      <c r="N119" s="332"/>
    </row>
    <row r="120" spans="2:14">
      <c r="B120" s="304">
        <v>87</v>
      </c>
      <c r="C120" s="19" t="s">
        <v>646</v>
      </c>
      <c r="D120" s="181">
        <v>205.92</v>
      </c>
      <c r="E120" s="304">
        <v>730</v>
      </c>
      <c r="F120" s="304"/>
      <c r="G120" s="181">
        <v>119.39516</v>
      </c>
      <c r="H120" s="304"/>
      <c r="I120" s="327">
        <f t="shared" si="17"/>
        <v>205.92</v>
      </c>
      <c r="J120" s="304"/>
      <c r="K120" s="333"/>
      <c r="L120" s="408"/>
      <c r="M120" s="324"/>
      <c r="N120" s="332"/>
    </row>
    <row r="121" spans="2:14">
      <c r="B121" s="304">
        <v>88</v>
      </c>
      <c r="C121" s="19" t="s">
        <v>488</v>
      </c>
      <c r="D121" s="181">
        <v>196.0213</v>
      </c>
      <c r="E121" s="304">
        <v>625</v>
      </c>
      <c r="F121" s="304"/>
      <c r="G121" s="181">
        <v>150.69864807692309</v>
      </c>
      <c r="H121" s="304"/>
      <c r="I121" s="327">
        <f t="shared" si="17"/>
        <v>196.0213</v>
      </c>
      <c r="J121" s="304"/>
      <c r="K121" s="333"/>
      <c r="L121" s="408"/>
      <c r="M121" s="324"/>
      <c r="N121" s="332"/>
    </row>
    <row r="122" spans="2:14">
      <c r="B122" s="304">
        <v>89</v>
      </c>
      <c r="C122" s="19" t="s">
        <v>489</v>
      </c>
      <c r="D122" s="181">
        <v>196</v>
      </c>
      <c r="E122" s="304">
        <v>405</v>
      </c>
      <c r="F122" s="304"/>
      <c r="G122" s="181">
        <v>130.90603807692307</v>
      </c>
      <c r="H122" s="304"/>
      <c r="I122" s="327">
        <f t="shared" si="17"/>
        <v>196</v>
      </c>
      <c r="J122" s="304"/>
      <c r="K122" s="333"/>
      <c r="L122" s="408"/>
      <c r="M122" s="324"/>
      <c r="N122" s="332"/>
    </row>
    <row r="123" spans="2:14">
      <c r="B123" s="304">
        <v>90</v>
      </c>
      <c r="C123" s="19" t="s">
        <v>647</v>
      </c>
      <c r="D123" s="181">
        <v>183.8</v>
      </c>
      <c r="E123" s="304">
        <v>340</v>
      </c>
      <c r="F123" s="304"/>
      <c r="G123" s="181">
        <v>67.566159999999996</v>
      </c>
      <c r="H123" s="304"/>
      <c r="I123" s="327">
        <f t="shared" si="17"/>
        <v>183.8</v>
      </c>
      <c r="J123" s="304"/>
      <c r="K123" s="333"/>
      <c r="L123" s="408"/>
      <c r="M123" s="324"/>
      <c r="N123" s="332"/>
    </row>
    <row r="124" spans="2:14">
      <c r="B124" s="304">
        <v>91</v>
      </c>
      <c r="C124" s="19" t="s">
        <v>648</v>
      </c>
      <c r="D124" s="181">
        <v>174</v>
      </c>
      <c r="E124" s="304">
        <v>270</v>
      </c>
      <c r="F124" s="304"/>
      <c r="G124" s="181">
        <v>55.058399999999999</v>
      </c>
      <c r="H124" s="304"/>
      <c r="I124" s="327">
        <f t="shared" si="17"/>
        <v>174</v>
      </c>
      <c r="J124" s="304"/>
      <c r="K124" s="333"/>
      <c r="L124" s="408"/>
      <c r="M124" s="324"/>
      <c r="N124" s="332"/>
    </row>
    <row r="125" spans="2:14">
      <c r="B125" s="304">
        <v>92</v>
      </c>
      <c r="C125" s="19" t="s">
        <v>649</v>
      </c>
      <c r="D125" s="181">
        <v>168.53</v>
      </c>
      <c r="E125" s="304">
        <v>280</v>
      </c>
      <c r="F125" s="304"/>
      <c r="G125" s="181">
        <v>50.818000000000005</v>
      </c>
      <c r="H125" s="304"/>
      <c r="I125" s="327">
        <f t="shared" si="17"/>
        <v>168.53</v>
      </c>
      <c r="J125" s="304"/>
      <c r="K125" s="333"/>
      <c r="L125" s="408"/>
      <c r="M125" s="324"/>
      <c r="N125" s="332"/>
    </row>
    <row r="126" spans="2:14">
      <c r="B126" s="304">
        <v>93</v>
      </c>
      <c r="C126" s="19" t="s">
        <v>650</v>
      </c>
      <c r="D126" s="181">
        <v>168</v>
      </c>
      <c r="E126" s="304">
        <v>475</v>
      </c>
      <c r="F126" s="304"/>
      <c r="G126" s="181">
        <v>67.913799999999995</v>
      </c>
      <c r="H126" s="304"/>
      <c r="I126" s="327">
        <f t="shared" si="17"/>
        <v>168</v>
      </c>
      <c r="J126" s="304"/>
      <c r="K126" s="333"/>
      <c r="L126" s="408"/>
      <c r="M126" s="324"/>
      <c r="N126" s="332"/>
    </row>
    <row r="127" spans="2:14">
      <c r="B127" s="304">
        <v>94</v>
      </c>
      <c r="C127" s="19" t="s">
        <v>490</v>
      </c>
      <c r="D127" s="181">
        <v>154.9213</v>
      </c>
      <c r="E127" s="304">
        <v>415</v>
      </c>
      <c r="F127" s="304"/>
      <c r="G127" s="181">
        <v>65.879400000000004</v>
      </c>
      <c r="H127" s="304"/>
      <c r="I127" s="327">
        <f t="shared" si="17"/>
        <v>154.9213</v>
      </c>
      <c r="J127" s="304"/>
      <c r="K127" s="333"/>
      <c r="L127" s="408"/>
      <c r="M127" s="324"/>
      <c r="N127" s="332"/>
    </row>
    <row r="128" spans="2:14">
      <c r="B128" s="304">
        <v>96</v>
      </c>
      <c r="C128" s="19" t="s">
        <v>491</v>
      </c>
      <c r="D128" s="181">
        <v>145</v>
      </c>
      <c r="E128" s="304">
        <v>300</v>
      </c>
      <c r="F128" s="304"/>
      <c r="G128" s="181">
        <v>55.61824</v>
      </c>
      <c r="H128" s="304"/>
      <c r="I128" s="327">
        <f t="shared" si="17"/>
        <v>145</v>
      </c>
      <c r="J128" s="304"/>
      <c r="K128" s="333"/>
      <c r="L128" s="408"/>
      <c r="M128" s="324"/>
      <c r="N128" s="332"/>
    </row>
    <row r="129" spans="2:14">
      <c r="B129" s="304">
        <v>97</v>
      </c>
      <c r="C129" s="19" t="s">
        <v>652</v>
      </c>
      <c r="D129" s="181">
        <v>130.72999999999999</v>
      </c>
      <c r="E129" s="304">
        <v>250</v>
      </c>
      <c r="F129" s="304"/>
      <c r="G129" s="181">
        <v>43.917439999999999</v>
      </c>
      <c r="H129" s="304"/>
      <c r="I129" s="327">
        <f t="shared" si="17"/>
        <v>130.72999999999999</v>
      </c>
      <c r="J129" s="304"/>
      <c r="K129" s="333"/>
      <c r="L129" s="408"/>
      <c r="M129" s="324"/>
      <c r="N129" s="332"/>
    </row>
    <row r="130" spans="2:14">
      <c r="B130" s="307">
        <v>98</v>
      </c>
      <c r="C130" s="19" t="s">
        <v>653</v>
      </c>
      <c r="D130" s="181">
        <v>108.1</v>
      </c>
      <c r="E130" s="304">
        <v>285</v>
      </c>
      <c r="F130" s="304"/>
      <c r="G130" s="181">
        <v>47.488999999999997</v>
      </c>
      <c r="H130" s="304"/>
      <c r="I130" s="327">
        <f t="shared" si="17"/>
        <v>108.1</v>
      </c>
      <c r="J130" s="304"/>
      <c r="K130" s="333"/>
      <c r="L130" s="408"/>
      <c r="M130" s="324"/>
      <c r="N130" s="332"/>
    </row>
    <row r="131" spans="2:14">
      <c r="B131" s="304">
        <v>99</v>
      </c>
      <c r="C131" s="19" t="s">
        <v>670</v>
      </c>
      <c r="D131" s="181">
        <v>150</v>
      </c>
      <c r="E131" s="304">
        <v>490</v>
      </c>
      <c r="F131" s="304"/>
      <c r="G131" s="181">
        <v>77.08</v>
      </c>
      <c r="H131" s="304"/>
      <c r="I131" s="327">
        <f t="shared" si="17"/>
        <v>150</v>
      </c>
      <c r="J131" s="304"/>
      <c r="K131" s="333"/>
      <c r="L131" s="408"/>
      <c r="M131" s="324"/>
      <c r="N131" s="332"/>
    </row>
    <row r="132" spans="2:14">
      <c r="B132" s="304">
        <v>100</v>
      </c>
      <c r="C132" s="19" t="s">
        <v>671</v>
      </c>
      <c r="D132" s="181">
        <v>480</v>
      </c>
      <c r="E132" s="304">
        <v>350</v>
      </c>
      <c r="F132" s="304"/>
      <c r="G132" s="181">
        <v>55.54092</v>
      </c>
      <c r="H132" s="304"/>
      <c r="I132" s="327">
        <f t="shared" si="17"/>
        <v>480</v>
      </c>
      <c r="J132" s="304"/>
      <c r="K132" s="333"/>
      <c r="L132" s="408"/>
      <c r="M132" s="324"/>
      <c r="N132" s="332"/>
    </row>
    <row r="133" spans="2:14">
      <c r="B133" s="304">
        <v>101</v>
      </c>
      <c r="C133" s="19" t="s">
        <v>672</v>
      </c>
      <c r="D133" s="181">
        <v>70</v>
      </c>
      <c r="E133" s="304">
        <v>100</v>
      </c>
      <c r="F133" s="304"/>
      <c r="G133" s="181">
        <v>13.497599999999998</v>
      </c>
      <c r="H133" s="304"/>
      <c r="I133" s="327">
        <f t="shared" ref="I133:I196" si="18">D133-H133</f>
        <v>70</v>
      </c>
      <c r="J133" s="304"/>
      <c r="K133" s="333"/>
      <c r="L133" s="408"/>
      <c r="M133" s="324"/>
      <c r="N133" s="332"/>
    </row>
    <row r="134" spans="2:14">
      <c r="B134" s="304">
        <v>102</v>
      </c>
      <c r="C134" s="19" t="s">
        <v>655</v>
      </c>
      <c r="D134" s="181">
        <v>68.400000000000006</v>
      </c>
      <c r="E134" s="304">
        <v>190</v>
      </c>
      <c r="F134" s="304"/>
      <c r="G134" s="181">
        <v>31.527200000000001</v>
      </c>
      <c r="H134" s="304"/>
      <c r="I134" s="327">
        <f t="shared" si="18"/>
        <v>68.400000000000006</v>
      </c>
      <c r="J134" s="304"/>
      <c r="K134" s="333"/>
      <c r="L134" s="408"/>
      <c r="M134" s="324"/>
      <c r="N134" s="332"/>
    </row>
    <row r="135" spans="2:14">
      <c r="B135" s="304">
        <v>103</v>
      </c>
      <c r="C135" s="19" t="s">
        <v>673</v>
      </c>
      <c r="D135" s="181">
        <v>130.68</v>
      </c>
      <c r="E135" s="304">
        <v>200</v>
      </c>
      <c r="F135" s="304"/>
      <c r="G135" s="181">
        <v>35.749600000000001</v>
      </c>
      <c r="H135" s="304"/>
      <c r="I135" s="327">
        <f t="shared" si="18"/>
        <v>130.68</v>
      </c>
      <c r="J135" s="304"/>
      <c r="K135" s="333"/>
      <c r="L135" s="408"/>
      <c r="M135" s="324"/>
      <c r="N135" s="332"/>
    </row>
    <row r="136" spans="2:14">
      <c r="B136" s="304">
        <v>104</v>
      </c>
      <c r="C136" s="19" t="s">
        <v>440</v>
      </c>
      <c r="D136" s="181">
        <v>210</v>
      </c>
      <c r="E136" s="304">
        <v>610</v>
      </c>
      <c r="F136" s="304"/>
      <c r="G136" s="181">
        <v>102.73560000000001</v>
      </c>
      <c r="H136" s="304"/>
      <c r="I136" s="327">
        <f t="shared" si="18"/>
        <v>210</v>
      </c>
      <c r="J136" s="304"/>
      <c r="K136" s="333"/>
      <c r="L136" s="408"/>
      <c r="M136" s="324"/>
      <c r="N136" s="399"/>
    </row>
    <row r="137" spans="2:14">
      <c r="B137" s="304">
        <v>105</v>
      </c>
      <c r="C137" s="19" t="s">
        <v>674</v>
      </c>
      <c r="D137" s="181">
        <v>220</v>
      </c>
      <c r="E137" s="304">
        <v>470</v>
      </c>
      <c r="F137" s="304"/>
      <c r="G137" s="181">
        <v>73.456400000000002</v>
      </c>
      <c r="H137" s="304"/>
      <c r="I137" s="327">
        <f t="shared" si="18"/>
        <v>220</v>
      </c>
      <c r="J137" s="304"/>
      <c r="K137" s="333"/>
      <c r="L137" s="408"/>
      <c r="M137" s="324"/>
      <c r="N137" s="399"/>
    </row>
    <row r="138" spans="2:14">
      <c r="B138" s="304">
        <v>106</v>
      </c>
      <c r="C138" s="19" t="s">
        <v>675</v>
      </c>
      <c r="D138" s="181">
        <v>221</v>
      </c>
      <c r="E138" s="304">
        <v>470</v>
      </c>
      <c r="F138" s="304"/>
      <c r="G138" s="181">
        <v>73.456400000000002</v>
      </c>
      <c r="H138" s="304"/>
      <c r="I138" s="327">
        <f t="shared" si="18"/>
        <v>221</v>
      </c>
      <c r="J138" s="304"/>
      <c r="K138" s="333"/>
      <c r="L138" s="408"/>
      <c r="M138" s="324"/>
      <c r="N138" s="399"/>
    </row>
    <row r="139" spans="2:14">
      <c r="B139" s="304">
        <v>107</v>
      </c>
      <c r="C139" s="19" t="s">
        <v>676</v>
      </c>
      <c r="D139" s="181">
        <v>237.41</v>
      </c>
      <c r="E139" s="304">
        <v>490</v>
      </c>
      <c r="F139" s="304"/>
      <c r="G139" s="181">
        <v>79.118000000000009</v>
      </c>
      <c r="H139" s="304"/>
      <c r="I139" s="327">
        <f t="shared" si="18"/>
        <v>237.41</v>
      </c>
      <c r="J139" s="304"/>
      <c r="K139" s="333"/>
      <c r="L139" s="408"/>
      <c r="M139" s="324"/>
      <c r="N139" s="399"/>
    </row>
    <row r="140" spans="2:14">
      <c r="B140" s="304">
        <v>108</v>
      </c>
      <c r="C140" s="19" t="s">
        <v>677</v>
      </c>
      <c r="D140" s="181">
        <v>247.83</v>
      </c>
      <c r="E140" s="304">
        <v>440</v>
      </c>
      <c r="F140" s="304"/>
      <c r="G140" s="181">
        <v>77.481999999999999</v>
      </c>
      <c r="H140" s="304"/>
      <c r="I140" s="327">
        <f t="shared" si="18"/>
        <v>247.83</v>
      </c>
      <c r="J140" s="304"/>
      <c r="K140" s="333"/>
      <c r="L140" s="408"/>
      <c r="M140" s="324"/>
      <c r="N140" s="399"/>
    </row>
    <row r="141" spans="2:14">
      <c r="B141" s="304">
        <v>109</v>
      </c>
      <c r="C141" s="19" t="s">
        <v>442</v>
      </c>
      <c r="D141" s="181">
        <v>352.27</v>
      </c>
      <c r="E141" s="304">
        <v>490</v>
      </c>
      <c r="F141" s="304"/>
      <c r="G141" s="181">
        <v>90.242800000000003</v>
      </c>
      <c r="H141" s="304"/>
      <c r="I141" s="327">
        <f t="shared" si="18"/>
        <v>352.27</v>
      </c>
      <c r="J141" s="304"/>
      <c r="K141" s="333"/>
      <c r="L141" s="408"/>
      <c r="M141" s="324"/>
      <c r="N141" s="399"/>
    </row>
    <row r="142" spans="2:14">
      <c r="B142" s="304">
        <v>110</v>
      </c>
      <c r="C142" s="19" t="s">
        <v>443</v>
      </c>
      <c r="D142" s="181">
        <v>458.01</v>
      </c>
      <c r="E142" s="304">
        <v>610</v>
      </c>
      <c r="F142" s="304"/>
      <c r="G142" s="181">
        <v>102.73560000000001</v>
      </c>
      <c r="H142" s="304"/>
      <c r="I142" s="327">
        <f t="shared" si="18"/>
        <v>458.01</v>
      </c>
      <c r="J142" s="304"/>
      <c r="K142" s="333"/>
      <c r="L142" s="408"/>
      <c r="M142" s="324"/>
      <c r="N142" s="399"/>
    </row>
    <row r="143" spans="2:14">
      <c r="B143" s="401">
        <v>111</v>
      </c>
      <c r="C143" s="19" t="s">
        <v>436</v>
      </c>
      <c r="D143" s="181">
        <v>484</v>
      </c>
      <c r="E143" s="304">
        <v>550</v>
      </c>
      <c r="F143" s="401"/>
      <c r="G143" s="181">
        <v>93.980400000000003</v>
      </c>
      <c r="H143" s="401"/>
      <c r="I143" s="327">
        <f t="shared" si="18"/>
        <v>484</v>
      </c>
      <c r="J143" s="304"/>
      <c r="K143" s="333"/>
      <c r="L143" s="408"/>
      <c r="M143" s="324"/>
      <c r="N143" s="399"/>
    </row>
    <row r="144" spans="2:14">
      <c r="B144" s="401">
        <v>112</v>
      </c>
      <c r="C144" s="19" t="s">
        <v>444</v>
      </c>
      <c r="D144" s="181">
        <v>516.41</v>
      </c>
      <c r="E144" s="304">
        <v>550</v>
      </c>
      <c r="F144" s="304"/>
      <c r="G144" s="181">
        <v>93.980400000000003</v>
      </c>
      <c r="H144" s="304"/>
      <c r="I144" s="327">
        <f t="shared" si="18"/>
        <v>516.41</v>
      </c>
      <c r="J144" s="304"/>
      <c r="K144" s="333"/>
      <c r="L144" s="408"/>
      <c r="M144" s="324"/>
      <c r="N144" s="399"/>
    </row>
    <row r="145" spans="2:14">
      <c r="B145" s="401">
        <v>113</v>
      </c>
      <c r="C145" s="19" t="s">
        <v>532</v>
      </c>
      <c r="D145" s="181">
        <v>624.57000000000005</v>
      </c>
      <c r="E145" s="304">
        <v>410</v>
      </c>
      <c r="F145" s="304"/>
      <c r="G145" s="181">
        <v>100.6348</v>
      </c>
      <c r="H145" s="304"/>
      <c r="I145" s="327">
        <f t="shared" si="18"/>
        <v>624.57000000000005</v>
      </c>
      <c r="J145" s="304"/>
      <c r="K145" s="333"/>
      <c r="L145" s="408"/>
      <c r="M145" s="324"/>
      <c r="N145" s="399"/>
    </row>
    <row r="146" spans="2:14">
      <c r="B146" s="401">
        <v>114</v>
      </c>
      <c r="C146" s="19" t="s">
        <v>678</v>
      </c>
      <c r="D146" s="181">
        <v>588.74</v>
      </c>
      <c r="E146" s="304">
        <v>260</v>
      </c>
      <c r="F146" s="304"/>
      <c r="G146" s="181">
        <v>75.907199999999989</v>
      </c>
      <c r="H146" s="304"/>
      <c r="I146" s="327">
        <f t="shared" si="18"/>
        <v>588.74</v>
      </c>
      <c r="J146" s="304"/>
      <c r="K146" s="333"/>
      <c r="L146" s="408"/>
      <c r="M146" s="324"/>
      <c r="N146" s="399"/>
    </row>
    <row r="147" spans="2:14">
      <c r="B147" s="304">
        <v>115</v>
      </c>
      <c r="C147" s="19" t="s">
        <v>466</v>
      </c>
      <c r="D147" s="181">
        <v>772.13</v>
      </c>
      <c r="E147" s="304">
        <v>1490</v>
      </c>
      <c r="F147" s="304"/>
      <c r="G147" s="181">
        <v>345.08199999999999</v>
      </c>
      <c r="H147" s="304"/>
      <c r="I147" s="327">
        <f t="shared" si="18"/>
        <v>772.13</v>
      </c>
      <c r="J147" s="304"/>
      <c r="K147" s="333"/>
      <c r="L147" s="408"/>
      <c r="M147" s="324"/>
      <c r="N147" s="399"/>
    </row>
    <row r="148" spans="2:14">
      <c r="B148" s="304">
        <v>116</v>
      </c>
      <c r="C148" s="19" t="s">
        <v>533</v>
      </c>
      <c r="D148" s="181">
        <v>1531</v>
      </c>
      <c r="E148" s="304">
        <v>860</v>
      </c>
      <c r="F148" s="304"/>
      <c r="G148" s="181">
        <v>657.69376153846156</v>
      </c>
      <c r="H148" s="304"/>
      <c r="I148" s="327">
        <f t="shared" si="18"/>
        <v>1531</v>
      </c>
      <c r="J148" s="304"/>
      <c r="K148" s="333"/>
      <c r="L148" s="408"/>
      <c r="M148" s="324"/>
      <c r="N148" s="399"/>
    </row>
    <row r="149" spans="2:14">
      <c r="B149" s="304">
        <v>117</v>
      </c>
      <c r="C149" s="19" t="s">
        <v>679</v>
      </c>
      <c r="D149" s="181">
        <v>717</v>
      </c>
      <c r="E149" s="304">
        <v>570</v>
      </c>
      <c r="F149" s="304"/>
      <c r="G149" s="181">
        <v>225.36680000000001</v>
      </c>
      <c r="H149" s="304"/>
      <c r="I149" s="327">
        <f t="shared" si="18"/>
        <v>717</v>
      </c>
      <c r="J149" s="304"/>
      <c r="K149" s="333"/>
      <c r="L149" s="408"/>
      <c r="M149" s="324"/>
      <c r="N149" s="399"/>
    </row>
    <row r="150" spans="2:14">
      <c r="B150" s="304">
        <v>118</v>
      </c>
      <c r="C150" s="19" t="s">
        <v>680</v>
      </c>
      <c r="D150" s="181">
        <v>3534.63</v>
      </c>
      <c r="E150" s="304">
        <v>2660</v>
      </c>
      <c r="F150" s="304"/>
      <c r="G150" s="181">
        <v>838.952</v>
      </c>
      <c r="H150" s="304"/>
      <c r="I150" s="327">
        <f t="shared" si="18"/>
        <v>3534.63</v>
      </c>
      <c r="J150" s="304"/>
      <c r="K150" s="333"/>
      <c r="L150" s="408"/>
      <c r="M150" s="324"/>
      <c r="N150" s="399"/>
    </row>
    <row r="151" spans="2:14">
      <c r="B151" s="324">
        <v>119</v>
      </c>
      <c r="C151" s="19" t="s">
        <v>681</v>
      </c>
      <c r="D151" s="181">
        <v>3539.63</v>
      </c>
      <c r="E151" s="304">
        <v>3600</v>
      </c>
      <c r="F151" s="304"/>
      <c r="G151" s="181">
        <v>1066.6581980769231</v>
      </c>
      <c r="H151" s="304"/>
      <c r="I151" s="327">
        <f t="shared" si="18"/>
        <v>3539.63</v>
      </c>
      <c r="J151" s="304"/>
      <c r="K151" s="333"/>
      <c r="L151" s="408"/>
      <c r="M151" s="324"/>
      <c r="N151" s="399"/>
    </row>
    <row r="152" spans="2:14">
      <c r="B152" s="401">
        <v>120</v>
      </c>
      <c r="C152" s="19" t="s">
        <v>534</v>
      </c>
      <c r="D152" s="181">
        <v>896.12</v>
      </c>
      <c r="E152" s="304">
        <v>780</v>
      </c>
      <c r="F152" s="304"/>
      <c r="G152" s="181">
        <v>571.76976153846158</v>
      </c>
      <c r="H152" s="304"/>
      <c r="I152" s="327">
        <f t="shared" si="18"/>
        <v>896.12</v>
      </c>
      <c r="J152" s="304"/>
      <c r="K152" s="333"/>
      <c r="L152" s="408"/>
      <c r="M152" s="324"/>
      <c r="N152" s="399"/>
    </row>
    <row r="153" spans="2:14">
      <c r="B153" s="401">
        <v>121</v>
      </c>
      <c r="C153" s="19" t="s">
        <v>535</v>
      </c>
      <c r="D153" s="181">
        <v>674</v>
      </c>
      <c r="E153" s="304">
        <v>840</v>
      </c>
      <c r="F153" s="304"/>
      <c r="G153" s="181">
        <v>592.79296153846155</v>
      </c>
      <c r="H153" s="304"/>
      <c r="I153" s="327">
        <f t="shared" si="18"/>
        <v>674</v>
      </c>
      <c r="J153" s="304"/>
      <c r="K153" s="333"/>
      <c r="L153" s="408"/>
      <c r="M153" s="324"/>
      <c r="N153" s="399"/>
    </row>
    <row r="154" spans="2:14">
      <c r="B154" s="304">
        <v>122</v>
      </c>
      <c r="C154" s="19" t="s">
        <v>445</v>
      </c>
      <c r="D154" s="181">
        <v>335.92</v>
      </c>
      <c r="E154" s="304">
        <v>610</v>
      </c>
      <c r="F154" s="304"/>
      <c r="G154" s="181">
        <v>100.7052</v>
      </c>
      <c r="H154" s="304"/>
      <c r="I154" s="327">
        <f t="shared" si="18"/>
        <v>335.92</v>
      </c>
      <c r="J154" s="304"/>
      <c r="K154" s="333"/>
      <c r="L154" s="408"/>
      <c r="M154" s="324"/>
      <c r="N154" s="399"/>
    </row>
    <row r="155" spans="2:14">
      <c r="B155" s="304">
        <v>123</v>
      </c>
      <c r="C155" s="19" t="s">
        <v>501</v>
      </c>
      <c r="D155" s="181">
        <v>149.66</v>
      </c>
      <c r="E155" s="304">
        <v>500</v>
      </c>
      <c r="F155" s="304"/>
      <c r="G155" s="181">
        <v>102.1936</v>
      </c>
      <c r="H155" s="304"/>
      <c r="I155" s="327">
        <f t="shared" si="18"/>
        <v>149.66</v>
      </c>
      <c r="J155" s="304"/>
      <c r="K155" s="333"/>
      <c r="L155" s="408"/>
      <c r="M155" s="324"/>
      <c r="N155" s="399"/>
    </row>
    <row r="156" spans="2:14">
      <c r="B156" s="304">
        <v>124</v>
      </c>
      <c r="C156" s="19" t="s">
        <v>682</v>
      </c>
      <c r="D156" s="181">
        <v>520.5</v>
      </c>
      <c r="E156" s="304">
        <v>1390</v>
      </c>
      <c r="F156" s="304"/>
      <c r="G156" s="181">
        <v>338.45819807692305</v>
      </c>
      <c r="H156" s="304"/>
      <c r="I156" s="327">
        <f t="shared" si="18"/>
        <v>520.5</v>
      </c>
      <c r="J156" s="304"/>
      <c r="K156" s="333"/>
      <c r="L156" s="408"/>
      <c r="M156" s="324"/>
      <c r="N156" s="399"/>
    </row>
    <row r="157" spans="2:14">
      <c r="B157" s="304">
        <v>125</v>
      </c>
      <c r="C157" s="19" t="s">
        <v>536</v>
      </c>
      <c r="D157" s="181">
        <v>437.92</v>
      </c>
      <c r="E157" s="304">
        <v>1390</v>
      </c>
      <c r="F157" s="304"/>
      <c r="G157" s="181">
        <v>412.41819807692303</v>
      </c>
      <c r="H157" s="304"/>
      <c r="I157" s="327">
        <f t="shared" si="18"/>
        <v>437.92</v>
      </c>
      <c r="J157" s="304"/>
      <c r="K157" s="333"/>
      <c r="L157" s="408"/>
      <c r="M157" s="324"/>
      <c r="N157" s="399"/>
    </row>
    <row r="158" spans="2:14">
      <c r="B158" s="304">
        <v>126</v>
      </c>
      <c r="C158" s="19" t="s">
        <v>538</v>
      </c>
      <c r="D158" s="181">
        <v>272.83</v>
      </c>
      <c r="E158" s="304">
        <v>890</v>
      </c>
      <c r="F158" s="304"/>
      <c r="G158" s="181">
        <v>153.27199999999999</v>
      </c>
      <c r="H158" s="304"/>
      <c r="I158" s="327">
        <f t="shared" si="18"/>
        <v>272.83</v>
      </c>
      <c r="J158" s="304"/>
      <c r="K158" s="333"/>
      <c r="L158" s="408"/>
      <c r="M158" s="324"/>
      <c r="N158" s="399"/>
    </row>
    <row r="159" spans="2:14">
      <c r="B159" s="304">
        <v>127</v>
      </c>
      <c r="C159" s="19" t="s">
        <v>539</v>
      </c>
      <c r="D159" s="181">
        <v>463</v>
      </c>
      <c r="E159" s="304">
        <v>1390</v>
      </c>
      <c r="F159" s="304"/>
      <c r="G159" s="181">
        <v>338.45819807692305</v>
      </c>
      <c r="H159" s="304"/>
      <c r="I159" s="327">
        <f t="shared" si="18"/>
        <v>463</v>
      </c>
      <c r="J159" s="304"/>
      <c r="K159" s="333"/>
      <c r="L159" s="408"/>
      <c r="M159" s="324"/>
      <c r="N159" s="399"/>
    </row>
    <row r="160" spans="2:14">
      <c r="B160" s="304">
        <v>128</v>
      </c>
      <c r="C160" s="19" t="s">
        <v>540</v>
      </c>
      <c r="D160" s="181">
        <v>525.53</v>
      </c>
      <c r="E160" s="304">
        <v>1390</v>
      </c>
      <c r="F160" s="304"/>
      <c r="G160" s="181">
        <v>338.45819807692305</v>
      </c>
      <c r="H160" s="304"/>
      <c r="I160" s="327">
        <f t="shared" si="18"/>
        <v>525.53</v>
      </c>
      <c r="J160" s="304"/>
      <c r="K160" s="333"/>
      <c r="L160" s="408"/>
      <c r="M160" s="324"/>
      <c r="N160" s="399"/>
    </row>
    <row r="161" spans="2:17">
      <c r="B161" s="304">
        <v>129</v>
      </c>
      <c r="C161" s="19" t="s">
        <v>541</v>
      </c>
      <c r="D161" s="181">
        <v>346</v>
      </c>
      <c r="E161" s="304">
        <v>1390</v>
      </c>
      <c r="F161" s="304"/>
      <c r="G161" s="181">
        <v>225.06</v>
      </c>
      <c r="H161" s="304"/>
      <c r="I161" s="327">
        <f t="shared" si="18"/>
        <v>346</v>
      </c>
      <c r="J161" s="304"/>
      <c r="K161" s="333"/>
      <c r="L161" s="408"/>
      <c r="M161" s="324"/>
      <c r="N161" s="399"/>
    </row>
    <row r="162" spans="2:17">
      <c r="B162" s="304">
        <v>130</v>
      </c>
      <c r="C162" s="19" t="s">
        <v>683</v>
      </c>
      <c r="D162" s="181">
        <v>163.62</v>
      </c>
      <c r="E162" s="304">
        <v>180</v>
      </c>
      <c r="F162" s="304"/>
      <c r="G162" s="181">
        <v>36.905199999999994</v>
      </c>
      <c r="H162" s="304"/>
      <c r="I162" s="327">
        <f t="shared" si="18"/>
        <v>163.62</v>
      </c>
      <c r="J162" s="304"/>
      <c r="K162" s="333"/>
      <c r="L162" s="408"/>
      <c r="M162" s="324"/>
      <c r="N162" s="399"/>
    </row>
    <row r="163" spans="2:17">
      <c r="B163" s="304">
        <v>131</v>
      </c>
      <c r="C163" s="19" t="s">
        <v>542</v>
      </c>
      <c r="D163" s="181">
        <v>1142</v>
      </c>
      <c r="E163" s="304">
        <v>1100</v>
      </c>
      <c r="F163" s="304"/>
      <c r="G163" s="181">
        <v>639.32096153846146</v>
      </c>
      <c r="H163" s="304"/>
      <c r="I163" s="327">
        <f t="shared" si="18"/>
        <v>1142</v>
      </c>
      <c r="J163" s="304"/>
      <c r="K163" s="333"/>
      <c r="L163" s="408"/>
      <c r="M163" s="324"/>
      <c r="N163" s="399"/>
    </row>
    <row r="164" spans="2:17">
      <c r="B164" s="304">
        <v>132</v>
      </c>
      <c r="C164" s="19" t="s">
        <v>544</v>
      </c>
      <c r="D164" s="181">
        <v>952</v>
      </c>
      <c r="E164" s="304">
        <v>1590</v>
      </c>
      <c r="F164" s="304"/>
      <c r="G164" s="181">
        <v>345.52139807692305</v>
      </c>
      <c r="H164" s="304"/>
      <c r="I164" s="327">
        <f t="shared" si="18"/>
        <v>952</v>
      </c>
      <c r="J164" s="304"/>
      <c r="K164" s="333"/>
      <c r="L164" s="408"/>
      <c r="M164" s="324"/>
      <c r="N164" s="401"/>
    </row>
    <row r="165" spans="2:17" ht="18.75" customHeight="1">
      <c r="B165" s="304">
        <v>133</v>
      </c>
      <c r="C165" s="19" t="s">
        <v>545</v>
      </c>
      <c r="D165" s="181">
        <v>1829</v>
      </c>
      <c r="E165" s="304">
        <v>1270</v>
      </c>
      <c r="F165" s="304"/>
      <c r="G165" s="181">
        <v>797.14536153846154</v>
      </c>
      <c r="H165" s="304"/>
      <c r="I165" s="327">
        <f t="shared" si="18"/>
        <v>1829</v>
      </c>
      <c r="J165" s="304"/>
      <c r="K165" s="333"/>
      <c r="L165" s="408"/>
      <c r="M165" s="324"/>
      <c r="N165" s="398"/>
    </row>
    <row r="166" spans="2:17" ht="18.75" customHeight="1">
      <c r="B166" s="304">
        <v>134</v>
      </c>
      <c r="C166" s="19" t="s">
        <v>546</v>
      </c>
      <c r="D166" s="181">
        <v>1524</v>
      </c>
      <c r="E166" s="304">
        <v>1465</v>
      </c>
      <c r="F166" s="304"/>
      <c r="G166" s="181">
        <v>849.94476153846153</v>
      </c>
      <c r="H166" s="304"/>
      <c r="I166" s="327">
        <f t="shared" si="18"/>
        <v>1524</v>
      </c>
      <c r="J166" s="304"/>
      <c r="K166" s="333"/>
      <c r="L166" s="408"/>
      <c r="M166" s="324"/>
      <c r="N166" s="398"/>
    </row>
    <row r="167" spans="2:17" ht="18.75" customHeight="1">
      <c r="B167" s="304">
        <v>135</v>
      </c>
      <c r="C167" s="19" t="s">
        <v>547</v>
      </c>
      <c r="D167" s="181">
        <v>1332</v>
      </c>
      <c r="E167" s="304">
        <v>1950</v>
      </c>
      <c r="F167" s="304"/>
      <c r="G167" s="181">
        <v>918.23976153846149</v>
      </c>
      <c r="H167" s="304"/>
      <c r="I167" s="327">
        <f t="shared" si="18"/>
        <v>1332</v>
      </c>
      <c r="J167" s="304"/>
      <c r="K167" s="333"/>
      <c r="L167" s="408"/>
      <c r="M167" s="324"/>
      <c r="N167" s="398"/>
    </row>
    <row r="168" spans="2:17" ht="18.75" customHeight="1">
      <c r="B168" s="304">
        <v>136</v>
      </c>
      <c r="C168" s="19" t="s">
        <v>684</v>
      </c>
      <c r="D168" s="181">
        <v>647</v>
      </c>
      <c r="E168" s="304">
        <v>720</v>
      </c>
      <c r="F168" s="304"/>
      <c r="G168" s="181">
        <v>261.11439999999999</v>
      </c>
      <c r="H168" s="304"/>
      <c r="I168" s="327">
        <f t="shared" si="18"/>
        <v>647</v>
      </c>
      <c r="J168" s="304"/>
      <c r="K168" s="333"/>
      <c r="L168" s="408"/>
      <c r="M168" s="324"/>
      <c r="N168" s="398"/>
    </row>
    <row r="169" spans="2:17" ht="18.75" customHeight="1">
      <c r="B169" s="304">
        <v>137</v>
      </c>
      <c r="C169" s="19" t="s">
        <v>548</v>
      </c>
      <c r="D169" s="181">
        <v>1086</v>
      </c>
      <c r="E169" s="304">
        <v>1020</v>
      </c>
      <c r="F169" s="304"/>
      <c r="G169" s="181">
        <v>403.97785192307697</v>
      </c>
      <c r="H169" s="304"/>
      <c r="I169" s="327">
        <f t="shared" si="18"/>
        <v>1086</v>
      </c>
      <c r="J169" s="304"/>
      <c r="K169" s="333"/>
      <c r="L169" s="408"/>
      <c r="M169" s="324"/>
      <c r="N169" s="398"/>
    </row>
    <row r="170" spans="2:17" ht="18.75" customHeight="1">
      <c r="B170" s="304">
        <v>138</v>
      </c>
      <c r="C170" s="19" t="s">
        <v>549</v>
      </c>
      <c r="D170" s="181">
        <v>800</v>
      </c>
      <c r="E170" s="304">
        <v>1060</v>
      </c>
      <c r="F170" s="304"/>
      <c r="G170" s="181">
        <v>338.96670576923077</v>
      </c>
      <c r="H170" s="304"/>
      <c r="I170" s="327">
        <f t="shared" si="18"/>
        <v>800</v>
      </c>
      <c r="J170" s="304"/>
      <c r="K170" s="333"/>
      <c r="L170" s="408"/>
      <c r="M170" s="324"/>
      <c r="N170" s="401"/>
      <c r="Q170" s="387">
        <f>L204+L205+L214</f>
        <v>0</v>
      </c>
    </row>
    <row r="171" spans="2:17" ht="18.75" customHeight="1">
      <c r="B171" s="188">
        <v>140</v>
      </c>
      <c r="C171" s="19" t="s">
        <v>550</v>
      </c>
      <c r="D171" s="181">
        <v>1905</v>
      </c>
      <c r="E171" s="304">
        <v>2150</v>
      </c>
      <c r="F171" s="304"/>
      <c r="G171" s="181">
        <v>973.86656153846161</v>
      </c>
      <c r="H171" s="304"/>
      <c r="I171" s="327">
        <f t="shared" si="18"/>
        <v>1905</v>
      </c>
      <c r="J171" s="304"/>
      <c r="K171" s="333"/>
      <c r="L171" s="408"/>
      <c r="M171" s="324"/>
      <c r="N171" s="398"/>
    </row>
    <row r="172" spans="2:17" ht="18.75" customHeight="1">
      <c r="B172" s="188">
        <v>142</v>
      </c>
      <c r="C172" s="19" t="s">
        <v>552</v>
      </c>
      <c r="D172" s="181">
        <v>1467</v>
      </c>
      <c r="E172" s="304">
        <v>1705</v>
      </c>
      <c r="F172" s="304"/>
      <c r="G172" s="181">
        <v>873.00996153846154</v>
      </c>
      <c r="H172" s="304"/>
      <c r="I172" s="327">
        <f t="shared" si="18"/>
        <v>1467</v>
      </c>
      <c r="J172" s="304"/>
      <c r="K172" s="333"/>
      <c r="L172" s="408"/>
      <c r="M172" s="401"/>
      <c r="N172" s="398"/>
    </row>
    <row r="173" spans="2:17" ht="18.75" customHeight="1">
      <c r="B173" s="304">
        <v>144</v>
      </c>
      <c r="C173" s="19" t="s">
        <v>554</v>
      </c>
      <c r="D173" s="181">
        <v>1829</v>
      </c>
      <c r="E173" s="304">
        <v>1705</v>
      </c>
      <c r="F173" s="304"/>
      <c r="G173" s="181">
        <v>852.32996153846148</v>
      </c>
      <c r="H173" s="304"/>
      <c r="I173" s="327">
        <f t="shared" si="18"/>
        <v>1829</v>
      </c>
      <c r="J173" s="304"/>
      <c r="K173" s="333"/>
      <c r="L173" s="408"/>
      <c r="M173" s="324"/>
      <c r="N173" s="398"/>
    </row>
    <row r="174" spans="2:17" ht="18.75" customHeight="1">
      <c r="B174" s="304">
        <v>145</v>
      </c>
      <c r="C174" s="19" t="s">
        <v>555</v>
      </c>
      <c r="D174" s="181">
        <v>617</v>
      </c>
      <c r="E174" s="401">
        <v>1040</v>
      </c>
      <c r="F174" s="401"/>
      <c r="G174" s="181">
        <v>189.25919999999999</v>
      </c>
      <c r="H174" s="401"/>
      <c r="I174" s="327">
        <f t="shared" si="18"/>
        <v>617</v>
      </c>
      <c r="J174" s="304"/>
      <c r="K174" s="333"/>
      <c r="L174" s="408"/>
      <c r="M174" s="324"/>
      <c r="N174" s="398"/>
    </row>
    <row r="175" spans="2:17" ht="18.75" customHeight="1">
      <c r="B175" s="304">
        <v>146</v>
      </c>
      <c r="C175" s="19" t="s">
        <v>556</v>
      </c>
      <c r="D175" s="181">
        <v>871</v>
      </c>
      <c r="E175" s="401">
        <v>710</v>
      </c>
      <c r="F175" s="401"/>
      <c r="G175" s="181">
        <v>536.04736153846147</v>
      </c>
      <c r="H175" s="401"/>
      <c r="I175" s="327">
        <f t="shared" si="18"/>
        <v>871</v>
      </c>
      <c r="J175" s="304"/>
      <c r="K175" s="333"/>
      <c r="L175" s="408"/>
      <c r="M175" s="324"/>
      <c r="N175" s="398"/>
    </row>
    <row r="176" spans="2:17" ht="18.75" customHeight="1">
      <c r="B176" s="304">
        <v>147</v>
      </c>
      <c r="C176" s="19" t="s">
        <v>686</v>
      </c>
      <c r="D176" s="181">
        <v>1218</v>
      </c>
      <c r="E176" s="304">
        <v>2500</v>
      </c>
      <c r="F176" s="304"/>
      <c r="G176" s="181">
        <v>666.47345192307694</v>
      </c>
      <c r="H176" s="304"/>
      <c r="I176" s="327">
        <f t="shared" si="18"/>
        <v>1218</v>
      </c>
      <c r="J176" s="304"/>
      <c r="K176" s="333"/>
      <c r="L176" s="408"/>
      <c r="M176" s="324"/>
      <c r="N176" s="398"/>
    </row>
    <row r="177" spans="2:14" ht="18.75" customHeight="1">
      <c r="B177" s="304">
        <v>148</v>
      </c>
      <c r="C177" s="19" t="s">
        <v>557</v>
      </c>
      <c r="D177" s="181">
        <v>533</v>
      </c>
      <c r="E177" s="304">
        <v>2010</v>
      </c>
      <c r="F177" s="304"/>
      <c r="G177" s="181">
        <v>401.21699807692306</v>
      </c>
      <c r="H177" s="304"/>
      <c r="I177" s="327">
        <f t="shared" si="18"/>
        <v>533</v>
      </c>
      <c r="J177" s="304"/>
      <c r="K177" s="333"/>
      <c r="L177" s="408"/>
      <c r="M177" s="324"/>
      <c r="N177" s="398"/>
    </row>
    <row r="178" spans="2:14" ht="18.75" customHeight="1">
      <c r="B178" s="304">
        <v>149</v>
      </c>
      <c r="C178" s="19" t="s">
        <v>687</v>
      </c>
      <c r="D178" s="181">
        <v>323</v>
      </c>
      <c r="E178" s="304">
        <v>1040</v>
      </c>
      <c r="F178" s="304"/>
      <c r="G178" s="181">
        <v>178.83240000000001</v>
      </c>
      <c r="H178" s="304"/>
      <c r="I178" s="327">
        <f t="shared" si="18"/>
        <v>323</v>
      </c>
      <c r="J178" s="304"/>
      <c r="K178" s="333"/>
      <c r="L178" s="408"/>
      <c r="M178" s="324"/>
      <c r="N178" s="398"/>
    </row>
    <row r="179" spans="2:14" ht="18.75" customHeight="1">
      <c r="B179" s="304">
        <v>150</v>
      </c>
      <c r="C179" s="19" t="s">
        <v>558</v>
      </c>
      <c r="D179" s="181">
        <v>362</v>
      </c>
      <c r="E179" s="304">
        <v>750</v>
      </c>
      <c r="F179" s="401"/>
      <c r="G179" s="181">
        <v>146.28235456730769</v>
      </c>
      <c r="H179" s="304"/>
      <c r="I179" s="327">
        <f t="shared" si="18"/>
        <v>362</v>
      </c>
      <c r="J179" s="304"/>
      <c r="K179" s="333"/>
      <c r="L179" s="408"/>
      <c r="M179" s="324"/>
      <c r="N179" s="398"/>
    </row>
    <row r="180" spans="2:14" ht="18.75" customHeight="1">
      <c r="B180" s="304">
        <v>151</v>
      </c>
      <c r="C180" s="19" t="s">
        <v>560</v>
      </c>
      <c r="D180" s="181">
        <v>343</v>
      </c>
      <c r="E180" s="401">
        <v>600</v>
      </c>
      <c r="F180" s="401"/>
      <c r="G180" s="181">
        <v>189.42110576923079</v>
      </c>
      <c r="H180" s="401"/>
      <c r="I180" s="327">
        <f t="shared" si="18"/>
        <v>343</v>
      </c>
      <c r="J180" s="304"/>
      <c r="K180" s="333"/>
      <c r="L180" s="408"/>
      <c r="M180" s="324"/>
      <c r="N180" s="388"/>
    </row>
    <row r="181" spans="2:14" ht="18.75" customHeight="1">
      <c r="B181" s="304">
        <v>152</v>
      </c>
      <c r="C181" s="19" t="s">
        <v>688</v>
      </c>
      <c r="D181" s="181">
        <v>609</v>
      </c>
      <c r="E181" s="401">
        <v>960</v>
      </c>
      <c r="F181" s="401"/>
      <c r="G181" s="181">
        <v>197.89879999999999</v>
      </c>
      <c r="H181" s="401"/>
      <c r="I181" s="327">
        <f t="shared" si="18"/>
        <v>609</v>
      </c>
      <c r="J181" s="304"/>
      <c r="K181" s="333"/>
      <c r="L181" s="408"/>
      <c r="M181" s="324"/>
      <c r="N181" s="400"/>
    </row>
    <row r="182" spans="2:14" ht="18.75" customHeight="1">
      <c r="B182" s="304">
        <v>153</v>
      </c>
      <c r="C182" s="19" t="s">
        <v>561</v>
      </c>
      <c r="D182" s="181">
        <v>304</v>
      </c>
      <c r="E182" s="304">
        <v>980</v>
      </c>
      <c r="F182" s="304"/>
      <c r="G182" s="181">
        <v>180.4836</v>
      </c>
      <c r="H182" s="304"/>
      <c r="I182" s="327">
        <f t="shared" si="18"/>
        <v>304</v>
      </c>
      <c r="J182" s="304"/>
      <c r="K182" s="333"/>
      <c r="L182" s="408"/>
      <c r="M182" s="324"/>
      <c r="N182" s="398"/>
    </row>
    <row r="183" spans="2:14" ht="18.75" customHeight="1">
      <c r="B183" s="304">
        <v>155</v>
      </c>
      <c r="C183" s="19" t="s">
        <v>690</v>
      </c>
      <c r="D183" s="181">
        <v>1300</v>
      </c>
      <c r="E183" s="304">
        <v>3820</v>
      </c>
      <c r="F183" s="304"/>
      <c r="G183" s="181">
        <v>695.10879999999997</v>
      </c>
      <c r="H183" s="304"/>
      <c r="I183" s="327">
        <f t="shared" si="18"/>
        <v>1300</v>
      </c>
      <c r="J183" s="304"/>
      <c r="K183" s="333"/>
      <c r="L183" s="408"/>
      <c r="M183" s="324"/>
      <c r="N183" s="398"/>
    </row>
    <row r="184" spans="2:14" ht="18.75" customHeight="1">
      <c r="B184" s="304">
        <v>156</v>
      </c>
      <c r="C184" s="19" t="s">
        <v>691</v>
      </c>
      <c r="D184" s="181">
        <v>1484</v>
      </c>
      <c r="E184" s="304">
        <v>3820</v>
      </c>
      <c r="F184" s="304"/>
      <c r="G184" s="181">
        <v>695.10879999999997</v>
      </c>
      <c r="H184" s="304"/>
      <c r="I184" s="327">
        <f t="shared" si="18"/>
        <v>1484</v>
      </c>
      <c r="J184" s="304"/>
      <c r="K184" s="333"/>
      <c r="L184" s="408"/>
      <c r="M184" s="324"/>
      <c r="N184" s="398"/>
    </row>
    <row r="185" spans="2:14" ht="18.75" customHeight="1">
      <c r="B185" s="304">
        <v>157</v>
      </c>
      <c r="C185" s="19" t="s">
        <v>692</v>
      </c>
      <c r="D185" s="181">
        <v>1484</v>
      </c>
      <c r="E185" s="304">
        <v>3820</v>
      </c>
      <c r="F185" s="304"/>
      <c r="G185" s="181">
        <v>695.10879999999997</v>
      </c>
      <c r="H185" s="304"/>
      <c r="I185" s="327">
        <f t="shared" si="18"/>
        <v>1484</v>
      </c>
      <c r="J185" s="304"/>
      <c r="K185" s="333"/>
      <c r="L185" s="408"/>
      <c r="M185" s="324"/>
      <c r="N185" s="398"/>
    </row>
    <row r="186" spans="2:14" ht="18.75" customHeight="1">
      <c r="B186" s="304">
        <v>158</v>
      </c>
      <c r="C186" s="19" t="s">
        <v>693</v>
      </c>
      <c r="D186" s="181">
        <v>1484</v>
      </c>
      <c r="E186" s="304">
        <v>4630</v>
      </c>
      <c r="F186" s="304"/>
      <c r="G186" s="181">
        <v>902.26819807692311</v>
      </c>
      <c r="H186" s="304"/>
      <c r="I186" s="327">
        <f t="shared" si="18"/>
        <v>1484</v>
      </c>
      <c r="J186" s="304"/>
      <c r="K186" s="333"/>
      <c r="L186" s="408"/>
      <c r="M186" s="401"/>
      <c r="N186" s="398"/>
    </row>
    <row r="187" spans="2:14" ht="18.75" customHeight="1">
      <c r="B187" s="304">
        <v>159</v>
      </c>
      <c r="C187" s="19" t="s">
        <v>694</v>
      </c>
      <c r="D187" s="181">
        <v>1484</v>
      </c>
      <c r="E187" s="304">
        <v>3190</v>
      </c>
      <c r="F187" s="304"/>
      <c r="G187" s="181">
        <v>1067.3928000000001</v>
      </c>
      <c r="H187" s="304"/>
      <c r="I187" s="327">
        <f t="shared" si="18"/>
        <v>1484</v>
      </c>
      <c r="J187" s="304"/>
      <c r="K187" s="333"/>
      <c r="L187" s="408"/>
      <c r="M187" s="324"/>
      <c r="N187" s="398"/>
    </row>
    <row r="188" spans="2:14" ht="18.75" customHeight="1">
      <c r="B188" s="304">
        <v>161</v>
      </c>
      <c r="C188" s="19" t="s">
        <v>562</v>
      </c>
      <c r="D188" s="181">
        <v>761</v>
      </c>
      <c r="E188" s="304">
        <v>650</v>
      </c>
      <c r="F188" s="304"/>
      <c r="G188" s="181">
        <v>117.30200000000001</v>
      </c>
      <c r="H188" s="304"/>
      <c r="I188" s="327">
        <f t="shared" si="18"/>
        <v>761</v>
      </c>
      <c r="J188" s="304"/>
      <c r="K188" s="333"/>
      <c r="L188" s="408"/>
      <c r="M188" s="324"/>
      <c r="N188" s="398"/>
    </row>
    <row r="189" spans="2:14" ht="18.75" customHeight="1">
      <c r="B189" s="304">
        <v>162</v>
      </c>
      <c r="C189" s="19" t="s">
        <v>502</v>
      </c>
      <c r="D189" s="181">
        <v>779</v>
      </c>
      <c r="E189" s="304">
        <v>650</v>
      </c>
      <c r="F189" s="304"/>
      <c r="G189" s="181">
        <v>447</v>
      </c>
      <c r="H189" s="304"/>
      <c r="I189" s="327">
        <f t="shared" si="18"/>
        <v>779</v>
      </c>
      <c r="J189" s="304"/>
      <c r="K189" s="333"/>
      <c r="L189" s="408"/>
      <c r="M189" s="324"/>
      <c r="N189" s="398"/>
    </row>
    <row r="190" spans="2:14" ht="18.75" customHeight="1">
      <c r="B190" s="401">
        <v>163</v>
      </c>
      <c r="C190" s="19" t="s">
        <v>503</v>
      </c>
      <c r="D190" s="181">
        <v>779</v>
      </c>
      <c r="E190" s="304">
        <v>650</v>
      </c>
      <c r="F190" s="304"/>
      <c r="G190" s="181">
        <v>124.702</v>
      </c>
      <c r="H190" s="304"/>
      <c r="I190" s="327">
        <f t="shared" si="18"/>
        <v>779</v>
      </c>
      <c r="J190" s="304"/>
      <c r="K190" s="333"/>
      <c r="L190" s="408"/>
      <c r="M190" s="324"/>
      <c r="N190" s="398"/>
    </row>
    <row r="191" spans="2:14" ht="18.75" customHeight="1">
      <c r="B191" s="304">
        <v>164</v>
      </c>
      <c r="C191" s="19" t="s">
        <v>504</v>
      </c>
      <c r="D191" s="181">
        <v>347</v>
      </c>
      <c r="E191" s="304">
        <v>530</v>
      </c>
      <c r="F191" s="304"/>
      <c r="G191" s="181">
        <v>98.999200000000002</v>
      </c>
      <c r="H191" s="304"/>
      <c r="I191" s="327">
        <f t="shared" si="18"/>
        <v>347</v>
      </c>
      <c r="J191" s="304"/>
      <c r="K191" s="333"/>
      <c r="L191" s="408"/>
      <c r="M191" s="324"/>
      <c r="N191" s="398"/>
    </row>
    <row r="192" spans="2:14" ht="18.75" customHeight="1">
      <c r="B192" s="304">
        <v>165</v>
      </c>
      <c r="C192" s="19" t="s">
        <v>505</v>
      </c>
      <c r="D192" s="181">
        <v>151</v>
      </c>
      <c r="E192" s="304">
        <v>530</v>
      </c>
      <c r="F192" s="304"/>
      <c r="G192" s="181">
        <v>98.999200000000002</v>
      </c>
      <c r="H192" s="304"/>
      <c r="I192" s="327">
        <f t="shared" si="18"/>
        <v>151</v>
      </c>
      <c r="J192" s="304"/>
      <c r="K192" s="333"/>
      <c r="L192" s="408"/>
      <c r="M192" s="324"/>
      <c r="N192" s="398"/>
    </row>
    <row r="193" spans="2:14" ht="18.75" customHeight="1">
      <c r="B193" s="304">
        <v>166</v>
      </c>
      <c r="C193" s="19" t="s">
        <v>506</v>
      </c>
      <c r="D193" s="181">
        <v>206</v>
      </c>
      <c r="E193" s="304">
        <v>530</v>
      </c>
      <c r="F193" s="304"/>
      <c r="G193" s="181">
        <v>98.999200000000002</v>
      </c>
      <c r="H193" s="304"/>
      <c r="I193" s="327">
        <f t="shared" si="18"/>
        <v>206</v>
      </c>
      <c r="J193" s="304"/>
      <c r="K193" s="333"/>
      <c r="L193" s="408"/>
      <c r="M193" s="324"/>
      <c r="N193" s="398"/>
    </row>
    <row r="194" spans="2:14" ht="18.75" customHeight="1">
      <c r="B194" s="304">
        <v>167</v>
      </c>
      <c r="C194" s="19" t="s">
        <v>507</v>
      </c>
      <c r="D194" s="181">
        <v>249</v>
      </c>
      <c r="E194" s="401">
        <v>530</v>
      </c>
      <c r="F194" s="401"/>
      <c r="G194" s="181">
        <v>98.999200000000002</v>
      </c>
      <c r="H194" s="401"/>
      <c r="I194" s="327">
        <f t="shared" si="18"/>
        <v>249</v>
      </c>
      <c r="J194" s="304"/>
      <c r="K194" s="333"/>
      <c r="L194" s="408"/>
      <c r="M194" s="391"/>
      <c r="N194" s="398"/>
    </row>
    <row r="195" spans="2:14" ht="18.75" customHeight="1">
      <c r="B195" s="304">
        <v>168</v>
      </c>
      <c r="C195" s="19" t="s">
        <v>508</v>
      </c>
      <c r="D195" s="181">
        <v>232.17</v>
      </c>
      <c r="E195" s="304">
        <v>530</v>
      </c>
      <c r="F195" s="304"/>
      <c r="G195" s="181">
        <v>98.999200000000002</v>
      </c>
      <c r="H195" s="304"/>
      <c r="I195" s="327">
        <f t="shared" si="18"/>
        <v>232.17</v>
      </c>
      <c r="J195" s="304"/>
      <c r="K195" s="333"/>
      <c r="L195" s="408"/>
      <c r="M195" s="400"/>
      <c r="N195" s="398"/>
    </row>
    <row r="196" spans="2:14" ht="18.75" customHeight="1">
      <c r="B196" s="304">
        <v>169</v>
      </c>
      <c r="C196" s="19" t="s">
        <v>696</v>
      </c>
      <c r="D196" s="181">
        <v>25</v>
      </c>
      <c r="E196" s="304">
        <v>120</v>
      </c>
      <c r="F196" s="304"/>
      <c r="G196" s="181">
        <v>20.117999999999999</v>
      </c>
      <c r="H196" s="304"/>
      <c r="I196" s="327">
        <f t="shared" si="18"/>
        <v>25</v>
      </c>
      <c r="J196" s="304"/>
      <c r="K196" s="333"/>
      <c r="L196" s="408"/>
      <c r="M196" s="324"/>
      <c r="N196" s="398"/>
    </row>
    <row r="197" spans="2:14" ht="18.75" customHeight="1">
      <c r="B197" s="304">
        <v>172</v>
      </c>
      <c r="C197" s="19" t="s">
        <v>699</v>
      </c>
      <c r="D197" s="181">
        <v>299</v>
      </c>
      <c r="E197" s="401">
        <v>1040</v>
      </c>
      <c r="F197" s="401"/>
      <c r="G197" s="181">
        <v>213.86959999999999</v>
      </c>
      <c r="H197" s="401"/>
      <c r="I197" s="327">
        <f t="shared" ref="I197:I224" si="19">D197-H197</f>
        <v>299</v>
      </c>
      <c r="J197" s="304"/>
      <c r="K197" s="333"/>
      <c r="L197" s="408"/>
      <c r="M197" s="324"/>
      <c r="N197" s="398"/>
    </row>
    <row r="198" spans="2:14" ht="18.75" customHeight="1">
      <c r="B198" s="304">
        <v>173</v>
      </c>
      <c r="C198" s="19" t="s">
        <v>700</v>
      </c>
      <c r="D198" s="181">
        <v>469</v>
      </c>
      <c r="E198" s="401">
        <v>910</v>
      </c>
      <c r="F198" s="401"/>
      <c r="G198" s="181">
        <v>169.84267179487179</v>
      </c>
      <c r="H198" s="401"/>
      <c r="I198" s="327">
        <f t="shared" si="19"/>
        <v>469</v>
      </c>
      <c r="J198" s="304"/>
      <c r="K198" s="333"/>
      <c r="L198" s="408"/>
      <c r="M198" s="401"/>
      <c r="N198" s="401"/>
    </row>
    <row r="199" spans="2:14" ht="18.75" customHeight="1">
      <c r="B199" s="401">
        <v>174</v>
      </c>
      <c r="C199" s="19" t="s">
        <v>701</v>
      </c>
      <c r="D199" s="181">
        <v>554.5</v>
      </c>
      <c r="E199" s="304">
        <v>810</v>
      </c>
      <c r="F199" s="304"/>
      <c r="G199" s="181">
        <v>127.7432</v>
      </c>
      <c r="H199" s="304"/>
      <c r="I199" s="327">
        <f t="shared" si="19"/>
        <v>554.5</v>
      </c>
      <c r="J199" s="304"/>
      <c r="K199" s="333"/>
      <c r="L199" s="408"/>
      <c r="M199" s="324"/>
      <c r="N199" s="398"/>
    </row>
    <row r="200" spans="2:14" ht="18.75" customHeight="1">
      <c r="B200" s="401">
        <v>176</v>
      </c>
      <c r="C200" s="19" t="s">
        <v>703</v>
      </c>
      <c r="D200" s="181">
        <v>65</v>
      </c>
      <c r="E200" s="304">
        <v>190</v>
      </c>
      <c r="F200" s="304"/>
      <c r="G200" s="181">
        <v>34.831600000000002</v>
      </c>
      <c r="H200" s="304"/>
      <c r="I200" s="327">
        <f t="shared" si="19"/>
        <v>65</v>
      </c>
      <c r="J200" s="304"/>
      <c r="K200" s="333"/>
      <c r="L200" s="408"/>
      <c r="M200" s="324"/>
      <c r="N200" s="398"/>
    </row>
    <row r="201" spans="2:14" ht="18.75" customHeight="1">
      <c r="B201" s="304">
        <v>177</v>
      </c>
      <c r="C201" s="19" t="s">
        <v>563</v>
      </c>
      <c r="D201" s="181">
        <v>280</v>
      </c>
      <c r="E201" s="401">
        <v>330</v>
      </c>
      <c r="F201" s="401"/>
      <c r="G201" s="181">
        <v>53.9604</v>
      </c>
      <c r="H201" s="401"/>
      <c r="I201" s="327">
        <f t="shared" si="19"/>
        <v>280</v>
      </c>
      <c r="J201" s="304"/>
      <c r="K201" s="333"/>
      <c r="L201" s="408"/>
      <c r="M201" s="324"/>
      <c r="N201" s="401"/>
    </row>
    <row r="202" spans="2:14" ht="18.75" customHeight="1">
      <c r="B202" s="324">
        <v>178</v>
      </c>
      <c r="C202" s="19" t="s">
        <v>564</v>
      </c>
      <c r="D202" s="181">
        <v>229</v>
      </c>
      <c r="E202" s="401">
        <v>370</v>
      </c>
      <c r="F202" s="401"/>
      <c r="G202" s="181">
        <v>60.546400000000006</v>
      </c>
      <c r="H202" s="401"/>
      <c r="I202" s="327">
        <f t="shared" si="19"/>
        <v>229</v>
      </c>
      <c r="J202" s="304"/>
      <c r="K202" s="333"/>
      <c r="L202" s="408"/>
      <c r="M202" s="324"/>
      <c r="N202" s="398"/>
    </row>
    <row r="203" spans="2:14" ht="18.75" customHeight="1">
      <c r="B203" s="401">
        <v>179</v>
      </c>
      <c r="C203" s="19" t="s">
        <v>704</v>
      </c>
      <c r="D203" s="181">
        <v>63.5</v>
      </c>
      <c r="E203" s="304">
        <v>260</v>
      </c>
      <c r="F203" s="304"/>
      <c r="G203" s="181">
        <v>44.587599999999995</v>
      </c>
      <c r="H203" s="304"/>
      <c r="I203" s="327">
        <f t="shared" si="19"/>
        <v>63.5</v>
      </c>
      <c r="J203" s="304"/>
      <c r="K203" s="333"/>
      <c r="L203" s="408"/>
      <c r="M203" s="324"/>
      <c r="N203" s="398"/>
    </row>
    <row r="204" spans="2:14" ht="18.75" customHeight="1">
      <c r="B204" s="304">
        <v>180</v>
      </c>
      <c r="C204" s="19" t="s">
        <v>705</v>
      </c>
      <c r="D204" s="181">
        <v>100</v>
      </c>
      <c r="E204" s="401">
        <v>230</v>
      </c>
      <c r="F204" s="401"/>
      <c r="G204" s="181">
        <v>47.365200000000002</v>
      </c>
      <c r="H204" s="401"/>
      <c r="I204" s="327">
        <f t="shared" si="19"/>
        <v>100</v>
      </c>
      <c r="J204" s="304"/>
      <c r="K204" s="333"/>
      <c r="L204" s="408"/>
      <c r="M204" s="401"/>
      <c r="N204" s="401"/>
    </row>
    <row r="205" spans="2:14" ht="18.75" customHeight="1">
      <c r="B205" s="401">
        <v>181</v>
      </c>
      <c r="C205" s="19" t="s">
        <v>706</v>
      </c>
      <c r="D205" s="181">
        <v>797</v>
      </c>
      <c r="E205" s="304">
        <v>760</v>
      </c>
      <c r="F205" s="401"/>
      <c r="G205" s="181">
        <v>217.61239999999998</v>
      </c>
      <c r="H205" s="401"/>
      <c r="I205" s="327">
        <f t="shared" si="19"/>
        <v>797</v>
      </c>
      <c r="J205" s="304"/>
      <c r="K205" s="333"/>
      <c r="L205" s="408"/>
      <c r="M205" s="391"/>
      <c r="N205" s="398"/>
    </row>
    <row r="206" spans="2:14" ht="18.75" customHeight="1">
      <c r="B206" s="304">
        <v>182</v>
      </c>
      <c r="C206" s="19" t="s">
        <v>707</v>
      </c>
      <c r="D206" s="181">
        <v>831</v>
      </c>
      <c r="E206" s="304">
        <v>640</v>
      </c>
      <c r="F206" s="401"/>
      <c r="G206" s="181">
        <v>352.70985192307694</v>
      </c>
      <c r="H206" s="401"/>
      <c r="I206" s="327">
        <f t="shared" si="19"/>
        <v>831</v>
      </c>
      <c r="J206" s="401"/>
      <c r="K206" s="401"/>
      <c r="L206" s="408"/>
      <c r="M206" s="400"/>
      <c r="N206" s="398"/>
    </row>
    <row r="207" spans="2:14" ht="18.75" customHeight="1">
      <c r="B207" s="401">
        <v>183</v>
      </c>
      <c r="C207" s="19" t="s">
        <v>708</v>
      </c>
      <c r="D207" s="181">
        <v>242</v>
      </c>
      <c r="E207" s="401">
        <v>510</v>
      </c>
      <c r="F207" s="304"/>
      <c r="G207" s="181">
        <v>76.163600000000002</v>
      </c>
      <c r="H207" s="304"/>
      <c r="I207" s="327">
        <f t="shared" si="19"/>
        <v>242</v>
      </c>
      <c r="J207" s="304"/>
      <c r="K207" s="333"/>
      <c r="L207" s="408"/>
      <c r="M207" s="324"/>
      <c r="N207" s="398"/>
    </row>
    <row r="208" spans="2:14" ht="18.75" customHeight="1">
      <c r="B208" s="401">
        <v>184</v>
      </c>
      <c r="C208" s="19" t="s">
        <v>709</v>
      </c>
      <c r="D208" s="181">
        <v>684</v>
      </c>
      <c r="E208" s="304">
        <v>2220</v>
      </c>
      <c r="F208" s="304"/>
      <c r="G208" s="181">
        <v>484.61419807692306</v>
      </c>
      <c r="H208" s="304"/>
      <c r="I208" s="327">
        <f t="shared" si="19"/>
        <v>684</v>
      </c>
      <c r="J208" s="304"/>
      <c r="K208" s="333"/>
      <c r="L208" s="408"/>
      <c r="M208" s="324"/>
      <c r="N208" s="398"/>
    </row>
    <row r="209" spans="2:14" ht="18.75" customHeight="1">
      <c r="B209" s="401">
        <v>187</v>
      </c>
      <c r="C209" s="187" t="s">
        <v>492</v>
      </c>
      <c r="D209" s="181">
        <v>1353</v>
      </c>
      <c r="E209" s="304">
        <v>3170</v>
      </c>
      <c r="F209" s="401"/>
      <c r="G209" s="181">
        <v>240.95878205128199</v>
      </c>
      <c r="H209" s="304"/>
      <c r="I209" s="327">
        <f t="shared" si="19"/>
        <v>1353</v>
      </c>
      <c r="J209" s="304"/>
      <c r="K209" s="333"/>
      <c r="L209" s="408"/>
      <c r="M209" s="401"/>
      <c r="N209" s="398"/>
    </row>
    <row r="210" spans="2:14" ht="18.75" customHeight="1">
      <c r="B210" s="401">
        <v>188</v>
      </c>
      <c r="C210" s="187" t="s">
        <v>494</v>
      </c>
      <c r="D210" s="181">
        <v>1596</v>
      </c>
      <c r="E210" s="304">
        <v>2480</v>
      </c>
      <c r="F210" s="304"/>
      <c r="G210" s="181">
        <v>304.13925961538467</v>
      </c>
      <c r="H210" s="304"/>
      <c r="I210" s="327">
        <f t="shared" si="19"/>
        <v>1596</v>
      </c>
      <c r="J210" s="304"/>
      <c r="K210" s="333"/>
      <c r="L210" s="408"/>
      <c r="M210" s="324"/>
      <c r="N210" s="398"/>
    </row>
    <row r="211" spans="2:14" ht="18.75" customHeight="1">
      <c r="B211" s="401">
        <v>189</v>
      </c>
      <c r="C211" s="187" t="s">
        <v>495</v>
      </c>
      <c r="D211" s="181">
        <v>1276.3683000000001</v>
      </c>
      <c r="E211" s="304">
        <v>3040</v>
      </c>
      <c r="F211" s="304"/>
      <c r="G211" s="181">
        <v>236.31147435897432</v>
      </c>
      <c r="H211" s="401"/>
      <c r="I211" s="327">
        <f t="shared" si="19"/>
        <v>1276.3683000000001</v>
      </c>
      <c r="J211" s="304"/>
      <c r="K211" s="333"/>
      <c r="L211" s="408"/>
      <c r="M211" s="324"/>
      <c r="N211" s="398"/>
    </row>
    <row r="212" spans="2:14" ht="18.75" customHeight="1">
      <c r="B212" s="401">
        <v>191</v>
      </c>
      <c r="C212" s="187" t="s">
        <v>497</v>
      </c>
      <c r="D212" s="181">
        <v>1106.1300000000001</v>
      </c>
      <c r="E212" s="304">
        <v>3710</v>
      </c>
      <c r="F212" s="304"/>
      <c r="G212" s="181">
        <v>466.56541346153853</v>
      </c>
      <c r="H212" s="304"/>
      <c r="I212" s="327">
        <f t="shared" si="19"/>
        <v>1106.1300000000001</v>
      </c>
      <c r="J212" s="304"/>
      <c r="K212" s="333"/>
      <c r="L212" s="408"/>
      <c r="M212" s="401"/>
      <c r="N212" s="398"/>
    </row>
    <row r="213" spans="2:14" ht="18.75" customHeight="1">
      <c r="B213" s="304">
        <v>192</v>
      </c>
      <c r="C213" s="187" t="s">
        <v>498</v>
      </c>
      <c r="D213" s="181">
        <v>1022.07</v>
      </c>
      <c r="E213" s="304">
        <v>1340</v>
      </c>
      <c r="F213" s="304"/>
      <c r="G213" s="181">
        <v>174.46243589743591</v>
      </c>
      <c r="H213" s="401"/>
      <c r="I213" s="327">
        <f t="shared" si="19"/>
        <v>1022.07</v>
      </c>
      <c r="J213" s="304"/>
      <c r="K213" s="333"/>
      <c r="L213" s="408"/>
      <c r="M213" s="391"/>
      <c r="N213" s="398"/>
    </row>
    <row r="214" spans="2:14" ht="18.75" customHeight="1">
      <c r="B214" s="304">
        <v>194</v>
      </c>
      <c r="C214" s="187" t="s">
        <v>499</v>
      </c>
      <c r="D214" s="181">
        <v>790</v>
      </c>
      <c r="E214" s="304">
        <v>2870</v>
      </c>
      <c r="F214" s="304"/>
      <c r="G214" s="181">
        <v>378.69618269230773</v>
      </c>
      <c r="H214" s="304"/>
      <c r="I214" s="327">
        <f t="shared" si="19"/>
        <v>790</v>
      </c>
      <c r="J214" s="304"/>
      <c r="K214" s="333"/>
      <c r="L214" s="408"/>
      <c r="M214" s="400"/>
      <c r="N214" s="401"/>
    </row>
    <row r="215" spans="2:14" ht="18.75" customHeight="1">
      <c r="B215" s="188">
        <v>195</v>
      </c>
      <c r="C215" s="187" t="s">
        <v>514</v>
      </c>
      <c r="D215" s="181">
        <v>99</v>
      </c>
      <c r="E215" s="304">
        <v>360</v>
      </c>
      <c r="F215" s="304"/>
      <c r="G215" s="181">
        <v>36.647820512820516</v>
      </c>
      <c r="H215" s="401"/>
      <c r="I215" s="327">
        <f t="shared" si="19"/>
        <v>99</v>
      </c>
      <c r="J215" s="304"/>
      <c r="K215" s="333"/>
      <c r="L215" s="408"/>
      <c r="M215" s="391"/>
      <c r="N215" s="398"/>
    </row>
    <row r="216" spans="2:14" ht="18.75" customHeight="1">
      <c r="B216" s="401">
        <v>200</v>
      </c>
      <c r="C216" s="187" t="s">
        <v>654</v>
      </c>
      <c r="D216" s="181">
        <v>723</v>
      </c>
      <c r="E216" s="304">
        <v>1750</v>
      </c>
      <c r="F216" s="304"/>
      <c r="G216" s="181">
        <v>209.79618269230767</v>
      </c>
      <c r="H216" s="304"/>
      <c r="I216" s="327">
        <f t="shared" si="19"/>
        <v>723</v>
      </c>
      <c r="J216" s="304"/>
      <c r="K216" s="333"/>
      <c r="L216" s="408"/>
      <c r="M216" s="400"/>
      <c r="N216" s="398"/>
    </row>
    <row r="217" spans="2:14" ht="18.75" customHeight="1">
      <c r="B217" s="401">
        <v>202</v>
      </c>
      <c r="C217" s="187" t="s">
        <v>521</v>
      </c>
      <c r="D217" s="181">
        <v>1714.9683057692309</v>
      </c>
      <c r="E217" s="304">
        <v>2750</v>
      </c>
      <c r="F217" s="388"/>
      <c r="G217" s="389">
        <v>282.16532051282047</v>
      </c>
      <c r="H217" s="388"/>
      <c r="I217" s="390">
        <f t="shared" si="19"/>
        <v>1714.9683057692309</v>
      </c>
      <c r="J217" s="388"/>
      <c r="K217" s="388"/>
      <c r="L217" s="408"/>
      <c r="M217" s="388"/>
      <c r="N217" s="398"/>
    </row>
    <row r="218" spans="2:14" ht="18.75" customHeight="1">
      <c r="B218" s="399">
        <v>203</v>
      </c>
      <c r="C218" s="386" t="s">
        <v>522</v>
      </c>
      <c r="D218" s="405">
        <v>392.33660999999995</v>
      </c>
      <c r="E218" s="399">
        <v>700</v>
      </c>
      <c r="F218" s="385"/>
      <c r="G218" s="181">
        <v>82.095512820512809</v>
      </c>
      <c r="H218" s="385"/>
      <c r="I218" s="327">
        <f t="shared" si="19"/>
        <v>392.33660999999995</v>
      </c>
      <c r="J218" s="385"/>
      <c r="K218" s="385"/>
      <c r="L218" s="408"/>
      <c r="M218" s="385"/>
      <c r="N218" s="388"/>
    </row>
    <row r="219" spans="2:14" ht="18.75" customHeight="1">
      <c r="B219" s="399">
        <v>204</v>
      </c>
      <c r="C219" s="187" t="s">
        <v>523</v>
      </c>
      <c r="D219" s="181">
        <v>1447.2423096153846</v>
      </c>
      <c r="E219" s="391">
        <v>1570</v>
      </c>
      <c r="F219" s="391"/>
      <c r="G219" s="181">
        <v>172.42002884615383</v>
      </c>
      <c r="H219" s="391"/>
      <c r="I219" s="327">
        <f t="shared" si="19"/>
        <v>1447.2423096153846</v>
      </c>
      <c r="J219" s="391"/>
      <c r="K219" s="391"/>
      <c r="L219" s="408"/>
      <c r="M219" s="391"/>
      <c r="N219" s="406"/>
    </row>
    <row r="220" spans="2:14" ht="18.75" customHeight="1">
      <c r="B220" s="399">
        <v>205</v>
      </c>
      <c r="C220" s="187" t="s">
        <v>524</v>
      </c>
      <c r="D220" s="181">
        <v>549.2020557692307</v>
      </c>
      <c r="E220" s="391">
        <v>1420</v>
      </c>
      <c r="F220" s="399"/>
      <c r="G220" s="181">
        <v>184.31128205128206</v>
      </c>
      <c r="H220" s="391"/>
      <c r="I220" s="327">
        <f t="shared" si="19"/>
        <v>549.2020557692307</v>
      </c>
      <c r="J220" s="391"/>
      <c r="K220" s="391"/>
      <c r="L220" s="408"/>
      <c r="M220" s="391"/>
      <c r="N220" s="406"/>
    </row>
    <row r="221" spans="2:14" ht="18.75" customHeight="1">
      <c r="B221" s="399">
        <v>206</v>
      </c>
      <c r="C221" s="187" t="s">
        <v>525</v>
      </c>
      <c r="D221" s="181">
        <v>457.02495384615389</v>
      </c>
      <c r="E221" s="391">
        <v>1030</v>
      </c>
      <c r="F221" s="401"/>
      <c r="G221" s="181">
        <v>124.98551282051281</v>
      </c>
      <c r="H221" s="401"/>
      <c r="I221" s="327">
        <f t="shared" si="19"/>
        <v>457.02495384615389</v>
      </c>
      <c r="J221" s="391"/>
      <c r="K221" s="391"/>
      <c r="L221" s="408"/>
      <c r="M221" s="391"/>
      <c r="N221" s="406"/>
    </row>
    <row r="222" spans="2:14" ht="18.75" customHeight="1">
      <c r="B222" s="399">
        <v>208</v>
      </c>
      <c r="C222" s="187" t="s">
        <v>527</v>
      </c>
      <c r="D222" s="181">
        <v>639.82885576923081</v>
      </c>
      <c r="E222" s="391">
        <v>1430</v>
      </c>
      <c r="F222" s="391"/>
      <c r="G222" s="181">
        <v>160.51733653846151</v>
      </c>
      <c r="H222" s="391"/>
      <c r="I222" s="327">
        <f t="shared" si="19"/>
        <v>639.82885576923081</v>
      </c>
      <c r="J222" s="391"/>
      <c r="K222" s="391"/>
      <c r="L222" s="408"/>
      <c r="M222" s="391"/>
      <c r="N222" s="406"/>
    </row>
    <row r="223" spans="2:14" ht="18.75" customHeight="1">
      <c r="B223" s="399">
        <v>212</v>
      </c>
      <c r="C223" s="187" t="s">
        <v>531</v>
      </c>
      <c r="D223" s="181">
        <v>312.29970961538464</v>
      </c>
      <c r="E223" s="401">
        <v>930</v>
      </c>
      <c r="F223" s="401"/>
      <c r="G223" s="181">
        <v>114.87512820512822</v>
      </c>
      <c r="H223" s="391"/>
      <c r="I223" s="327">
        <f t="shared" si="19"/>
        <v>312.29970961538464</v>
      </c>
      <c r="J223" s="391"/>
      <c r="K223" s="391"/>
      <c r="L223" s="408"/>
      <c r="M223" s="401"/>
      <c r="N223" s="400"/>
    </row>
    <row r="224" spans="2:14" ht="18.75" customHeight="1">
      <c r="B224" s="399">
        <v>213</v>
      </c>
      <c r="C224" s="187" t="s">
        <v>565</v>
      </c>
      <c r="D224" s="181">
        <v>636</v>
      </c>
      <c r="E224" s="391">
        <v>1600</v>
      </c>
      <c r="F224" s="401"/>
      <c r="G224" s="181">
        <v>185.75925961538459</v>
      </c>
      <c r="H224" s="401"/>
      <c r="I224" s="327">
        <f t="shared" si="19"/>
        <v>636</v>
      </c>
      <c r="J224" s="401"/>
      <c r="K224" s="401"/>
      <c r="L224" s="408"/>
      <c r="M224" s="401"/>
      <c r="N224" s="404"/>
    </row>
    <row r="227" spans="16:16">
      <c r="P227" s="32"/>
    </row>
  </sheetData>
  <autoFilter ref="B4:O224" xr:uid="{B030E363-1528-42C3-BAA7-0B847E557A78}">
    <sortState xmlns:xlrd2="http://schemas.microsoft.com/office/spreadsheetml/2017/richdata2" ref="B6:O224">
      <sortCondition ref="M4:M224"/>
    </sortState>
  </autoFilter>
  <mergeCells count="28">
    <mergeCell ref="B2:M2"/>
    <mergeCell ref="B3:B4"/>
    <mergeCell ref="C3:C4"/>
    <mergeCell ref="D3:D4"/>
    <mergeCell ref="I3:I4"/>
    <mergeCell ref="J3:J4"/>
    <mergeCell ref="K3:K4"/>
    <mergeCell ref="L3:L4"/>
    <mergeCell ref="E3:F3"/>
    <mergeCell ref="G3:H3"/>
    <mergeCell ref="M3:M4"/>
    <mergeCell ref="N5:N15"/>
    <mergeCell ref="N16:N21"/>
    <mergeCell ref="N22:N30"/>
    <mergeCell ref="AI4:AJ4"/>
    <mergeCell ref="AK4:AL4"/>
    <mergeCell ref="Q4:R4"/>
    <mergeCell ref="S4:T4"/>
    <mergeCell ref="U4:V4"/>
    <mergeCell ref="W4:X4"/>
    <mergeCell ref="N3:N4"/>
    <mergeCell ref="AM4:AN4"/>
    <mergeCell ref="AO4:AP4"/>
    <mergeCell ref="Y4:Z4"/>
    <mergeCell ref="AA4:AB4"/>
    <mergeCell ref="AC4:AD4"/>
    <mergeCell ref="AE4:AF4"/>
    <mergeCell ref="AG4:AH4"/>
  </mergeCells>
  <phoneticPr fontId="24"/>
  <conditionalFormatting sqref="C1:C219 C225:C1048576">
    <cfRule type="duplicateValues" dxfId="37" priority="25"/>
  </conditionalFormatting>
  <conditionalFormatting sqref="C1:C220 C225:C1048576">
    <cfRule type="duplicateValues" dxfId="36" priority="21"/>
  </conditionalFormatting>
  <conditionalFormatting sqref="C1:C221 C225:C1048576">
    <cfRule type="duplicateValues" dxfId="35" priority="18"/>
  </conditionalFormatting>
  <conditionalFormatting sqref="C1:C222 C225:C1048576">
    <cfRule type="duplicateValues" dxfId="34" priority="12"/>
  </conditionalFormatting>
  <conditionalFormatting sqref="C1:C223 C225:C1048576">
    <cfRule type="duplicateValues" dxfId="33" priority="7"/>
  </conditionalFormatting>
  <conditionalFormatting sqref="C1:C1048576">
    <cfRule type="duplicateValues" dxfId="32" priority="1"/>
  </conditionalFormatting>
  <conditionalFormatting sqref="C191:C218">
    <cfRule type="expression" dxfId="31" priority="26">
      <formula>COLUMN()=CELL("col")</formula>
    </cfRule>
    <cfRule type="expression" dxfId="30" priority="27">
      <formula>ROW()=CELL("Row")</formula>
    </cfRule>
  </conditionalFormatting>
  <conditionalFormatting sqref="C220">
    <cfRule type="duplicateValues" dxfId="29" priority="22"/>
    <cfRule type="expression" dxfId="28" priority="23">
      <formula>COLUMN()=CELL("col")</formula>
    </cfRule>
    <cfRule type="expression" dxfId="27" priority="24">
      <formula>ROW()=CELL("Row")</formula>
    </cfRule>
  </conditionalFormatting>
  <conditionalFormatting sqref="C221">
    <cfRule type="duplicateValues" dxfId="26" priority="19"/>
    <cfRule type="duplicateValues" dxfId="25" priority="20"/>
  </conditionalFormatting>
  <conditionalFormatting sqref="C222">
    <cfRule type="duplicateValues" dxfId="24" priority="13"/>
    <cfRule type="duplicateValues" dxfId="23" priority="14"/>
    <cfRule type="duplicateValues" dxfId="22" priority="15"/>
    <cfRule type="expression" dxfId="21" priority="16">
      <formula>COLUMN()=CELL("col")</formula>
    </cfRule>
    <cfRule type="expression" dxfId="20" priority="17">
      <formula>ROW()=CELL("Row")</formula>
    </cfRule>
  </conditionalFormatting>
  <conditionalFormatting sqref="C223">
    <cfRule type="duplicateValues" dxfId="19" priority="8"/>
    <cfRule type="duplicateValues" dxfId="18" priority="9"/>
    <cfRule type="duplicateValues" dxfId="17" priority="10"/>
    <cfRule type="duplicateValues" dxfId="16" priority="11"/>
  </conditionalFormatting>
  <conditionalFormatting sqref="C224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9D88-C964-42DC-BED6-3871A4AC6E76}">
  <sheetPr filterMode="1"/>
  <dimension ref="A1:Q114"/>
  <sheetViews>
    <sheetView zoomScale="70" zoomScaleNormal="70" workbookViewId="0">
      <selection activeCell="I105" sqref="I105"/>
    </sheetView>
  </sheetViews>
  <sheetFormatPr defaultRowHeight="15"/>
  <cols>
    <col min="1" max="1" width="9.140625" style="135"/>
    <col min="2" max="2" width="16.140625" style="30" customWidth="1"/>
    <col min="3" max="3" width="6" style="30" customWidth="1"/>
    <col min="4" max="4" width="14.5703125" style="30" bestFit="1" customWidth="1"/>
    <col min="5" max="5" width="9" style="30"/>
    <col min="6" max="6" width="26.7109375" style="152" customWidth="1"/>
    <col min="7" max="7" width="44.7109375" style="30" bestFit="1" customWidth="1"/>
    <col min="8" max="8" width="21.140625" style="30" customWidth="1"/>
    <col min="9" max="9" width="22.28515625" style="30" customWidth="1"/>
    <col min="10" max="10" width="18.85546875" style="30" customWidth="1"/>
    <col min="11" max="11" width="40.7109375" bestFit="1" customWidth="1"/>
    <col min="13" max="13" width="13.7109375" customWidth="1"/>
    <col min="16" max="16" width="26.5703125" bestFit="1" customWidth="1"/>
  </cols>
  <sheetData>
    <row r="1" spans="1:16" ht="22.5" customHeight="1">
      <c r="A1" s="517" t="s">
        <v>739</v>
      </c>
      <c r="B1" s="518"/>
      <c r="C1" s="518"/>
      <c r="D1" s="518"/>
      <c r="E1" s="518"/>
      <c r="F1" s="518"/>
      <c r="G1" s="518"/>
      <c r="H1" s="518"/>
      <c r="I1" s="519"/>
      <c r="J1" s="520" t="s">
        <v>6</v>
      </c>
      <c r="K1" s="27" t="s">
        <v>43</v>
      </c>
    </row>
    <row r="2" spans="1:16" ht="30" customHeight="1">
      <c r="A2" s="515" t="s">
        <v>38</v>
      </c>
      <c r="B2" s="522" t="s">
        <v>5</v>
      </c>
      <c r="C2" s="522" t="s">
        <v>4</v>
      </c>
      <c r="D2" s="416"/>
      <c r="E2" s="522" t="s">
        <v>3</v>
      </c>
      <c r="F2" s="521" t="s">
        <v>2</v>
      </c>
      <c r="G2" s="521" t="s">
        <v>1</v>
      </c>
      <c r="H2" s="521" t="s">
        <v>784</v>
      </c>
      <c r="I2" s="522" t="s">
        <v>0</v>
      </c>
      <c r="J2" s="520"/>
      <c r="K2" s="28" t="s">
        <v>41</v>
      </c>
      <c r="M2" s="24"/>
    </row>
    <row r="3" spans="1:16" ht="18">
      <c r="A3" s="516"/>
      <c r="B3" s="523"/>
      <c r="C3" s="523"/>
      <c r="D3" s="430"/>
      <c r="E3" s="523"/>
      <c r="F3" s="524"/>
      <c r="G3" s="524"/>
      <c r="H3" s="524"/>
      <c r="I3" s="523"/>
      <c r="J3" s="521"/>
      <c r="K3" s="23" t="s">
        <v>39</v>
      </c>
    </row>
    <row r="4" spans="1:16" ht="18.75" customHeight="1">
      <c r="A4" s="311">
        <v>1</v>
      </c>
      <c r="B4" s="412" t="s">
        <v>877</v>
      </c>
      <c r="C4" s="415">
        <v>1</v>
      </c>
      <c r="D4" s="415" t="str">
        <f>TRIM(B4&amp;C4)</f>
        <v>213602161A1</v>
      </c>
      <c r="E4" s="415">
        <v>10</v>
      </c>
      <c r="F4" s="415" t="s">
        <v>892</v>
      </c>
      <c r="G4" s="415" t="s">
        <v>893</v>
      </c>
      <c r="H4" s="415">
        <v>0</v>
      </c>
      <c r="I4" s="312">
        <v>46138</v>
      </c>
      <c r="J4" s="368"/>
      <c r="K4" s="314"/>
      <c r="L4" s="514" t="s">
        <v>725</v>
      </c>
      <c r="M4" s="25" t="str">
        <f t="shared" ref="M4:M35" si="0">TRIM(B4)</f>
        <v>213602161A</v>
      </c>
      <c r="N4" s="25" t="str">
        <f t="shared" ref="N4:N67" si="1">IF(M4="","",HYPERLINK("\\192.168.40.5\smb\2018-2019\"&amp;M4&amp;".pdf","XEM"))</f>
        <v>XEM</v>
      </c>
      <c r="O4" s="80"/>
      <c r="P4" s="80"/>
    </row>
    <row r="5" spans="1:16" ht="18.75" customHeight="1">
      <c r="A5" s="311">
        <v>2</v>
      </c>
      <c r="B5" s="411">
        <v>2136038301</v>
      </c>
      <c r="C5" s="411">
        <v>1</v>
      </c>
      <c r="D5" s="415" t="str">
        <f t="shared" ref="D5:D6" si="2">TRIM(B5&amp;C5)</f>
        <v>21360383011</v>
      </c>
      <c r="E5" s="415">
        <v>1</v>
      </c>
      <c r="F5" s="432" t="s">
        <v>841</v>
      </c>
      <c r="G5" s="432" t="s">
        <v>918</v>
      </c>
      <c r="H5" s="432" t="s">
        <v>919</v>
      </c>
      <c r="I5" s="312">
        <v>46138</v>
      </c>
      <c r="J5" s="368"/>
      <c r="K5" s="314" t="s">
        <v>916</v>
      </c>
      <c r="L5" s="514"/>
      <c r="M5" s="25" t="str">
        <f t="shared" si="0"/>
        <v>2136038301</v>
      </c>
      <c r="N5" s="25" t="str">
        <f t="shared" si="1"/>
        <v>XEM</v>
      </c>
      <c r="O5" s="80"/>
      <c r="P5" s="80"/>
    </row>
    <row r="6" spans="1:16" ht="16.5">
      <c r="A6" s="311">
        <v>3</v>
      </c>
      <c r="B6" s="412">
        <v>2136038302</v>
      </c>
      <c r="C6" s="415">
        <v>2</v>
      </c>
      <c r="D6" s="415" t="str">
        <f t="shared" si="2"/>
        <v>21360383022</v>
      </c>
      <c r="E6" s="415">
        <v>1</v>
      </c>
      <c r="F6" s="432" t="s">
        <v>567</v>
      </c>
      <c r="G6" s="432" t="s">
        <v>894</v>
      </c>
      <c r="H6" s="432">
        <v>0</v>
      </c>
      <c r="I6" s="312">
        <v>46138</v>
      </c>
      <c r="J6" s="368"/>
      <c r="K6" s="314" t="s">
        <v>916</v>
      </c>
      <c r="L6" s="514"/>
      <c r="M6" s="25" t="str">
        <f t="shared" si="0"/>
        <v>2136038302</v>
      </c>
      <c r="N6" s="25" t="str">
        <f t="shared" si="1"/>
        <v>XEM</v>
      </c>
      <c r="O6" s="80"/>
      <c r="P6" s="80"/>
    </row>
    <row r="7" spans="1:16" ht="16.5">
      <c r="A7" s="311">
        <v>4</v>
      </c>
      <c r="B7" s="411">
        <v>2136038303</v>
      </c>
      <c r="C7" s="415">
        <v>3</v>
      </c>
      <c r="D7" s="415" t="str">
        <f t="shared" ref="D7:D27" si="3">TRIM(B7&amp;C7)</f>
        <v>21360383033</v>
      </c>
      <c r="E7" s="415">
        <v>1</v>
      </c>
      <c r="F7" s="432" t="s">
        <v>840</v>
      </c>
      <c r="G7" s="432" t="s">
        <v>895</v>
      </c>
      <c r="H7" s="432">
        <v>0</v>
      </c>
      <c r="I7" s="312">
        <v>46138</v>
      </c>
      <c r="J7" s="368"/>
      <c r="K7" s="314"/>
      <c r="L7" s="514"/>
      <c r="M7" s="25" t="str">
        <f t="shared" si="0"/>
        <v>2136038303</v>
      </c>
      <c r="N7" s="25" t="str">
        <f>IF(M7="","",HYPERLINK("\\192.168.40.5\smb\2018-2019\"&amp;M7&amp;".pdf","XEM"))</f>
        <v>XEM</v>
      </c>
      <c r="O7" s="80"/>
      <c r="P7" s="80"/>
    </row>
    <row r="8" spans="1:16" ht="16.5">
      <c r="A8" s="311">
        <v>5</v>
      </c>
      <c r="B8" s="412">
        <v>2136038304</v>
      </c>
      <c r="C8" s="415">
        <v>4</v>
      </c>
      <c r="D8" s="415" t="str">
        <f t="shared" si="3"/>
        <v>21360383044</v>
      </c>
      <c r="E8" s="415">
        <v>1</v>
      </c>
      <c r="F8" s="432" t="s">
        <v>840</v>
      </c>
      <c r="G8" s="432" t="s">
        <v>920</v>
      </c>
      <c r="H8" s="432" t="s">
        <v>921</v>
      </c>
      <c r="I8" s="312">
        <v>46138</v>
      </c>
      <c r="J8" s="368"/>
      <c r="K8" s="314" t="s">
        <v>916</v>
      </c>
      <c r="L8" s="514"/>
      <c r="M8" s="25" t="str">
        <f t="shared" si="0"/>
        <v>2136038304</v>
      </c>
      <c r="N8" s="25" t="str">
        <f>IF(M8="","",HYPERLINK("\\192.168.40.5\smb\2018-2019\"&amp;M8&amp;".pdf","XEM"))</f>
        <v>XEM</v>
      </c>
      <c r="O8" s="80"/>
      <c r="P8" s="80"/>
    </row>
    <row r="9" spans="1:16" ht="16.5">
      <c r="A9" s="311">
        <v>6</v>
      </c>
      <c r="B9" s="412">
        <v>2136038305</v>
      </c>
      <c r="C9" s="415">
        <v>5</v>
      </c>
      <c r="D9" s="415" t="str">
        <f t="shared" si="3"/>
        <v>21360383055</v>
      </c>
      <c r="E9" s="415">
        <v>1</v>
      </c>
      <c r="F9" s="432" t="s">
        <v>840</v>
      </c>
      <c r="G9" s="432" t="s">
        <v>922</v>
      </c>
      <c r="H9" s="432" t="s">
        <v>923</v>
      </c>
      <c r="I9" s="312">
        <v>46138</v>
      </c>
      <c r="J9" s="368"/>
      <c r="K9" s="314"/>
      <c r="L9" s="514"/>
      <c r="M9" s="25" t="str">
        <f t="shared" si="0"/>
        <v>2136038305</v>
      </c>
      <c r="N9" s="25" t="str">
        <f t="shared" si="1"/>
        <v>XEM</v>
      </c>
      <c r="O9" s="80"/>
      <c r="P9" s="80"/>
    </row>
    <row r="10" spans="1:16" ht="16.5">
      <c r="A10" s="311">
        <v>7</v>
      </c>
      <c r="B10" s="412">
        <v>2136038306</v>
      </c>
      <c r="C10" s="415">
        <v>6</v>
      </c>
      <c r="D10" s="415" t="str">
        <f t="shared" si="3"/>
        <v>21360383066</v>
      </c>
      <c r="E10" s="415">
        <v>1</v>
      </c>
      <c r="F10" s="432" t="s">
        <v>567</v>
      </c>
      <c r="G10" s="432" t="s">
        <v>924</v>
      </c>
      <c r="H10" s="432" t="s">
        <v>925</v>
      </c>
      <c r="I10" s="312">
        <v>46138</v>
      </c>
      <c r="J10" s="368"/>
      <c r="K10" s="314" t="s">
        <v>916</v>
      </c>
      <c r="L10" s="514"/>
      <c r="M10" s="25" t="str">
        <f t="shared" si="0"/>
        <v>2136038306</v>
      </c>
      <c r="N10" s="25" t="str">
        <f>IF(M10="","",HYPERLINK("\\192.168.40.5\smb\2018-2019\"&amp;M10&amp;".pdf","XEM"))</f>
        <v>XEM</v>
      </c>
      <c r="O10" s="80"/>
      <c r="P10" s="80"/>
    </row>
    <row r="11" spans="1:16" ht="16.5">
      <c r="A11" s="311">
        <v>8</v>
      </c>
      <c r="B11" s="411" t="s">
        <v>829</v>
      </c>
      <c r="C11" s="415">
        <v>37</v>
      </c>
      <c r="D11" s="415" t="str">
        <f t="shared" si="3"/>
        <v>213602111A37</v>
      </c>
      <c r="E11" s="415">
        <v>1</v>
      </c>
      <c r="F11" s="432" t="s">
        <v>850</v>
      </c>
      <c r="G11" s="432" t="s">
        <v>896</v>
      </c>
      <c r="H11" s="432" t="s">
        <v>902</v>
      </c>
      <c r="I11" s="312">
        <v>46138</v>
      </c>
      <c r="J11" s="368"/>
      <c r="K11" s="317"/>
      <c r="L11" s="514"/>
      <c r="M11" s="25" t="str">
        <f t="shared" si="0"/>
        <v>213602111A</v>
      </c>
      <c r="N11" s="25" t="str">
        <f>IF(M11="","",HYPERLINK("\\192.168.40.5\smb\2018-2019\"&amp;M11&amp;".pdf","XEM"))</f>
        <v>XEM</v>
      </c>
      <c r="O11" s="80"/>
      <c r="P11" s="80"/>
    </row>
    <row r="12" spans="1:16" hidden="1">
      <c r="A12" s="311">
        <v>9</v>
      </c>
      <c r="B12" s="316"/>
      <c r="C12" s="315"/>
      <c r="D12" s="99" t="str">
        <f t="shared" si="3"/>
        <v/>
      </c>
      <c r="E12" s="315"/>
      <c r="F12" s="432" t="e">
        <v>#N/A</v>
      </c>
      <c r="G12" s="432" t="e">
        <v>#N/A</v>
      </c>
      <c r="H12" s="432" t="e">
        <v>#N/A</v>
      </c>
      <c r="I12" s="316"/>
      <c r="J12" s="313"/>
      <c r="K12" s="317"/>
      <c r="L12" s="514"/>
      <c r="M12" s="25" t="str">
        <f t="shared" si="0"/>
        <v/>
      </c>
      <c r="N12" s="25" t="str">
        <f t="shared" si="1"/>
        <v/>
      </c>
      <c r="O12" s="80"/>
      <c r="P12" s="80"/>
    </row>
    <row r="13" spans="1:16" hidden="1">
      <c r="A13" s="311">
        <v>10</v>
      </c>
      <c r="B13" s="316"/>
      <c r="C13" s="315"/>
      <c r="D13" s="99" t="str">
        <f t="shared" si="3"/>
        <v/>
      </c>
      <c r="E13" s="315"/>
      <c r="F13" s="432" t="e">
        <v>#N/A</v>
      </c>
      <c r="G13" s="432" t="e">
        <v>#N/A</v>
      </c>
      <c r="H13" s="432" t="e">
        <v>#N/A</v>
      </c>
      <c r="I13" s="316"/>
      <c r="J13" s="313"/>
      <c r="K13" s="314"/>
      <c r="L13" s="514"/>
      <c r="M13" s="25" t="str">
        <f t="shared" si="0"/>
        <v/>
      </c>
      <c r="N13" s="25" t="str">
        <f t="shared" si="1"/>
        <v/>
      </c>
      <c r="O13" s="80"/>
      <c r="P13" s="80"/>
    </row>
    <row r="14" spans="1:16" hidden="1">
      <c r="A14" s="311">
        <v>11</v>
      </c>
      <c r="B14" s="316"/>
      <c r="C14" s="315"/>
      <c r="D14" s="99" t="str">
        <f t="shared" si="3"/>
        <v/>
      </c>
      <c r="E14" s="315"/>
      <c r="F14" s="432" t="e">
        <v>#N/A</v>
      </c>
      <c r="G14" s="432" t="e">
        <v>#N/A</v>
      </c>
      <c r="H14" s="432" t="e">
        <v>#N/A</v>
      </c>
      <c r="I14" s="316"/>
      <c r="J14" s="313"/>
      <c r="K14" s="317"/>
      <c r="L14" s="514"/>
      <c r="M14" s="25" t="str">
        <f t="shared" si="0"/>
        <v/>
      </c>
      <c r="N14" s="25" t="str">
        <f>IF(M14="","",HYPERLINK("\\192.168.40.5\smb\2018-2019\"&amp;M14&amp;".pdf","XEM"))</f>
        <v/>
      </c>
      <c r="O14" s="80"/>
      <c r="P14" s="80"/>
    </row>
    <row r="15" spans="1:16" hidden="1">
      <c r="A15" s="311">
        <v>12</v>
      </c>
      <c r="B15" s="316"/>
      <c r="C15" s="315"/>
      <c r="D15" s="99" t="str">
        <f t="shared" si="3"/>
        <v/>
      </c>
      <c r="E15" s="315"/>
      <c r="F15" s="432" t="e">
        <v>#N/A</v>
      </c>
      <c r="G15" s="432" t="e">
        <v>#N/A</v>
      </c>
      <c r="H15" s="432" t="e">
        <v>#N/A</v>
      </c>
      <c r="I15" s="316"/>
      <c r="J15" s="313"/>
      <c r="K15" s="317"/>
      <c r="L15" s="514"/>
      <c r="M15" s="25" t="str">
        <f t="shared" si="0"/>
        <v/>
      </c>
      <c r="N15" s="25" t="str">
        <f t="shared" si="1"/>
        <v/>
      </c>
      <c r="O15" s="80"/>
      <c r="P15" s="80"/>
    </row>
    <row r="16" spans="1:16" hidden="1">
      <c r="A16" s="311">
        <v>13</v>
      </c>
      <c r="B16" s="316"/>
      <c r="C16" s="315"/>
      <c r="D16" s="99" t="str">
        <f t="shared" si="3"/>
        <v/>
      </c>
      <c r="E16" s="315"/>
      <c r="F16" s="432" t="e">
        <v>#N/A</v>
      </c>
      <c r="G16" s="432" t="e">
        <v>#N/A</v>
      </c>
      <c r="H16" s="432" t="e">
        <v>#N/A</v>
      </c>
      <c r="I16" s="316"/>
      <c r="J16" s="313"/>
      <c r="K16" s="317"/>
      <c r="L16" s="514"/>
      <c r="M16" s="25" t="str">
        <f t="shared" si="0"/>
        <v/>
      </c>
      <c r="N16" s="25" t="str">
        <f t="shared" si="1"/>
        <v/>
      </c>
      <c r="O16" s="80"/>
      <c r="P16" s="80"/>
    </row>
    <row r="17" spans="1:16" hidden="1">
      <c r="A17" s="311">
        <v>14</v>
      </c>
      <c r="B17" s="410"/>
      <c r="C17" s="104"/>
      <c r="D17" s="99" t="str">
        <f t="shared" si="3"/>
        <v/>
      </c>
      <c r="E17" s="104"/>
      <c r="F17" s="432" t="e">
        <v>#N/A</v>
      </c>
      <c r="G17" s="432" t="e">
        <v>#N/A</v>
      </c>
      <c r="H17" s="432" t="e">
        <v>#N/A</v>
      </c>
      <c r="I17" s="104"/>
      <c r="J17" s="313"/>
      <c r="K17" s="317"/>
      <c r="L17" s="514"/>
      <c r="M17" s="25" t="str">
        <f t="shared" si="0"/>
        <v/>
      </c>
      <c r="N17" s="25" t="str">
        <f t="shared" si="1"/>
        <v/>
      </c>
      <c r="O17" s="80"/>
      <c r="P17" s="80"/>
    </row>
    <row r="18" spans="1:16" hidden="1">
      <c r="A18" s="311">
        <v>15</v>
      </c>
      <c r="B18" s="410"/>
      <c r="C18" s="104"/>
      <c r="D18" s="99" t="str">
        <f t="shared" si="3"/>
        <v/>
      </c>
      <c r="E18" s="104"/>
      <c r="F18" s="432" t="e">
        <v>#N/A</v>
      </c>
      <c r="G18" s="432" t="e">
        <v>#N/A</v>
      </c>
      <c r="H18" s="432" t="e">
        <v>#N/A</v>
      </c>
      <c r="I18" s="104"/>
      <c r="J18" s="313"/>
      <c r="K18" s="317"/>
      <c r="L18" s="514"/>
      <c r="M18" s="25" t="str">
        <f t="shared" si="0"/>
        <v/>
      </c>
      <c r="N18" s="25" t="str">
        <f t="shared" si="1"/>
        <v/>
      </c>
      <c r="O18" s="80"/>
      <c r="P18" s="80"/>
    </row>
    <row r="19" spans="1:16" hidden="1">
      <c r="A19" s="311">
        <v>16</v>
      </c>
      <c r="B19" s="410"/>
      <c r="C19" s="104"/>
      <c r="D19" s="99" t="str">
        <f t="shared" si="3"/>
        <v/>
      </c>
      <c r="E19" s="104"/>
      <c r="F19" s="432" t="e">
        <v>#N/A</v>
      </c>
      <c r="G19" s="432" t="e">
        <v>#N/A</v>
      </c>
      <c r="H19" s="432" t="e">
        <v>#N/A</v>
      </c>
      <c r="I19" s="316"/>
      <c r="J19" s="313"/>
      <c r="K19" s="317"/>
      <c r="L19" s="514"/>
      <c r="M19" s="25" t="str">
        <f t="shared" si="0"/>
        <v/>
      </c>
      <c r="N19" s="25" t="str">
        <f t="shared" si="1"/>
        <v/>
      </c>
      <c r="O19" s="80"/>
      <c r="P19" s="80"/>
    </row>
    <row r="20" spans="1:16" hidden="1">
      <c r="A20" s="311">
        <v>17</v>
      </c>
      <c r="B20" s="410"/>
      <c r="C20" s="104"/>
      <c r="D20" s="99" t="str">
        <f t="shared" si="3"/>
        <v/>
      </c>
      <c r="E20" s="104"/>
      <c r="F20" s="432" t="e">
        <v>#N/A</v>
      </c>
      <c r="G20" s="432" t="e">
        <v>#N/A</v>
      </c>
      <c r="H20" s="432" t="e">
        <v>#N/A</v>
      </c>
      <c r="I20" s="316"/>
      <c r="J20" s="313"/>
      <c r="K20" s="317"/>
      <c r="L20" s="514"/>
      <c r="M20" s="25" t="str">
        <f t="shared" si="0"/>
        <v/>
      </c>
      <c r="N20" s="25" t="str">
        <f t="shared" si="1"/>
        <v/>
      </c>
      <c r="O20" s="80"/>
      <c r="P20" s="80"/>
    </row>
    <row r="21" spans="1:16" hidden="1">
      <c r="A21" s="311">
        <v>18</v>
      </c>
      <c r="B21" s="410"/>
      <c r="C21" s="104"/>
      <c r="D21" s="99" t="str">
        <f t="shared" si="3"/>
        <v/>
      </c>
      <c r="E21" s="104"/>
      <c r="F21" s="432" t="e">
        <v>#N/A</v>
      </c>
      <c r="G21" s="432" t="e">
        <v>#N/A</v>
      </c>
      <c r="H21" s="432" t="e">
        <v>#N/A</v>
      </c>
      <c r="I21" s="316"/>
      <c r="J21" s="313"/>
      <c r="K21" s="314"/>
      <c r="L21" s="514"/>
      <c r="M21" s="25" t="str">
        <f t="shared" si="0"/>
        <v/>
      </c>
      <c r="N21" s="25" t="str">
        <f t="shared" si="1"/>
        <v/>
      </c>
      <c r="O21" s="80"/>
      <c r="P21" s="80"/>
    </row>
    <row r="22" spans="1:16" hidden="1">
      <c r="A22" s="311">
        <v>19</v>
      </c>
      <c r="B22" s="410"/>
      <c r="C22" s="104"/>
      <c r="D22" s="99" t="str">
        <f t="shared" si="3"/>
        <v/>
      </c>
      <c r="E22" s="104"/>
      <c r="F22" s="432" t="e">
        <v>#N/A</v>
      </c>
      <c r="G22" s="432" t="e">
        <v>#N/A</v>
      </c>
      <c r="H22" s="432" t="e">
        <v>#N/A</v>
      </c>
      <c r="I22" s="316"/>
      <c r="J22" s="313"/>
      <c r="K22" s="317"/>
      <c r="L22" s="514"/>
      <c r="M22" s="25" t="str">
        <f t="shared" si="0"/>
        <v/>
      </c>
      <c r="N22" s="25" t="str">
        <f t="shared" si="1"/>
        <v/>
      </c>
      <c r="O22" s="80"/>
      <c r="P22" s="80"/>
    </row>
    <row r="23" spans="1:16" hidden="1">
      <c r="A23" s="311">
        <v>20</v>
      </c>
      <c r="B23" s="410"/>
      <c r="C23" s="104"/>
      <c r="D23" s="99" t="str">
        <f t="shared" si="3"/>
        <v/>
      </c>
      <c r="E23" s="104"/>
      <c r="F23" s="432" t="e">
        <v>#N/A</v>
      </c>
      <c r="G23" s="432" t="e">
        <v>#N/A</v>
      </c>
      <c r="H23" s="432" t="e">
        <v>#N/A</v>
      </c>
      <c r="I23" s="316"/>
      <c r="J23" s="313"/>
      <c r="K23" s="317"/>
      <c r="L23" s="514"/>
      <c r="M23" s="25" t="str">
        <f t="shared" si="0"/>
        <v/>
      </c>
      <c r="N23" s="25" t="str">
        <f t="shared" si="1"/>
        <v/>
      </c>
      <c r="O23" s="80"/>
      <c r="P23" s="80"/>
    </row>
    <row r="24" spans="1:16" hidden="1">
      <c r="A24" s="311">
        <v>21</v>
      </c>
      <c r="B24" s="410"/>
      <c r="C24" s="104"/>
      <c r="D24" s="99" t="str">
        <f t="shared" si="3"/>
        <v/>
      </c>
      <c r="E24" s="104"/>
      <c r="F24" s="432" t="e">
        <v>#N/A</v>
      </c>
      <c r="G24" s="432" t="e">
        <v>#N/A</v>
      </c>
      <c r="H24" s="432" t="e">
        <v>#N/A</v>
      </c>
      <c r="I24" s="316"/>
      <c r="J24" s="313"/>
      <c r="K24" s="317"/>
      <c r="L24" s="514"/>
      <c r="M24" s="25" t="str">
        <f t="shared" si="0"/>
        <v/>
      </c>
      <c r="N24" s="25" t="str">
        <f t="shared" si="1"/>
        <v/>
      </c>
      <c r="O24" s="80"/>
      <c r="P24" s="80"/>
    </row>
    <row r="25" spans="1:16" hidden="1">
      <c r="A25" s="311">
        <v>22</v>
      </c>
      <c r="B25" s="397"/>
      <c r="C25" s="104"/>
      <c r="D25" s="99" t="str">
        <f t="shared" si="3"/>
        <v/>
      </c>
      <c r="E25" s="104"/>
      <c r="F25" s="432" t="e">
        <v>#N/A</v>
      </c>
      <c r="G25" s="432" t="e">
        <v>#N/A</v>
      </c>
      <c r="H25" s="432" t="e">
        <v>#N/A</v>
      </c>
      <c r="I25" s="312"/>
      <c r="J25" s="313"/>
      <c r="K25" s="317"/>
      <c r="L25" s="514"/>
      <c r="M25" s="25" t="str">
        <f t="shared" si="0"/>
        <v/>
      </c>
      <c r="N25" s="25" t="str">
        <f t="shared" si="1"/>
        <v/>
      </c>
      <c r="O25" s="80"/>
      <c r="P25" s="80"/>
    </row>
    <row r="26" spans="1:16" hidden="1">
      <c r="A26" s="311">
        <v>23</v>
      </c>
      <c r="B26" s="397"/>
      <c r="C26" s="104"/>
      <c r="D26" s="99" t="str">
        <f t="shared" si="3"/>
        <v/>
      </c>
      <c r="E26" s="104"/>
      <c r="F26" s="432" t="e">
        <v>#N/A</v>
      </c>
      <c r="G26" s="432" t="e">
        <v>#N/A</v>
      </c>
      <c r="H26" s="432" t="e">
        <v>#N/A</v>
      </c>
      <c r="I26" s="312"/>
      <c r="J26" s="313"/>
      <c r="K26" s="317"/>
      <c r="L26" s="514"/>
      <c r="M26" s="25" t="str">
        <f t="shared" si="0"/>
        <v/>
      </c>
      <c r="N26" s="25" t="str">
        <f t="shared" si="1"/>
        <v/>
      </c>
      <c r="O26" s="80"/>
      <c r="P26" s="80"/>
    </row>
    <row r="27" spans="1:16" hidden="1">
      <c r="A27" s="311">
        <v>24</v>
      </c>
      <c r="B27" s="397" t="s">
        <v>42</v>
      </c>
      <c r="C27" s="104"/>
      <c r="D27" s="99" t="str">
        <f t="shared" si="3"/>
        <v>…</v>
      </c>
      <c r="E27" s="104"/>
      <c r="F27" s="432" t="e">
        <v>#N/A</v>
      </c>
      <c r="G27" s="432" t="e">
        <v>#N/A</v>
      </c>
      <c r="H27" s="432" t="e">
        <v>#N/A</v>
      </c>
      <c r="I27" s="312"/>
      <c r="J27" s="313"/>
      <c r="K27" s="317"/>
      <c r="L27" s="514"/>
      <c r="M27" s="25" t="str">
        <f t="shared" si="0"/>
        <v>…</v>
      </c>
      <c r="N27" s="25" t="str">
        <f t="shared" si="1"/>
        <v>XEM</v>
      </c>
      <c r="O27" s="80"/>
      <c r="P27" s="80"/>
    </row>
    <row r="28" spans="1:16" ht="18.75" hidden="1" customHeight="1">
      <c r="A28" s="394">
        <v>24</v>
      </c>
      <c r="B28" s="421"/>
      <c r="C28" s="422"/>
      <c r="D28" s="422"/>
      <c r="E28" s="422"/>
      <c r="F28" s="432" t="e">
        <v>#N/A</v>
      </c>
      <c r="G28" s="432" t="e">
        <v>#N/A</v>
      </c>
      <c r="H28" s="432" t="e">
        <v>#N/A</v>
      </c>
      <c r="I28" s="422"/>
      <c r="J28" s="422"/>
      <c r="K28" s="422"/>
      <c r="L28" s="99"/>
      <c r="M28" s="25" t="str">
        <f t="shared" si="0"/>
        <v/>
      </c>
      <c r="N28" s="25" t="str">
        <f t="shared" si="1"/>
        <v/>
      </c>
      <c r="O28" s="80"/>
      <c r="P28" s="80"/>
    </row>
    <row r="29" spans="1:16">
      <c r="A29" s="311">
        <v>25</v>
      </c>
      <c r="B29" s="431">
        <v>2136038309</v>
      </c>
      <c r="C29" s="311">
        <v>9</v>
      </c>
      <c r="D29" s="311" t="str">
        <f t="shared" ref="D29:D55" si="4">TRIM(B29&amp;C29)</f>
        <v>21360383099</v>
      </c>
      <c r="E29" s="311">
        <v>1</v>
      </c>
      <c r="F29" s="432" t="s">
        <v>841</v>
      </c>
      <c r="G29" s="432" t="s">
        <v>926</v>
      </c>
      <c r="H29" s="432" t="s">
        <v>927</v>
      </c>
      <c r="I29" s="312">
        <v>46138</v>
      </c>
      <c r="J29" s="368"/>
      <c r="K29" s="317"/>
      <c r="L29" s="514" t="s">
        <v>40</v>
      </c>
      <c r="M29" s="25" t="str">
        <f t="shared" si="0"/>
        <v>2136038309</v>
      </c>
      <c r="N29" s="25" t="str">
        <f t="shared" si="1"/>
        <v>XEM</v>
      </c>
      <c r="O29" s="80"/>
      <c r="P29" s="80"/>
    </row>
    <row r="30" spans="1:16" ht="16.5">
      <c r="A30" s="311">
        <v>26</v>
      </c>
      <c r="B30" s="411">
        <v>2136038310</v>
      </c>
      <c r="C30" s="311">
        <v>10</v>
      </c>
      <c r="D30" s="311" t="str">
        <f t="shared" si="4"/>
        <v>213603831010</v>
      </c>
      <c r="E30" s="311">
        <v>1</v>
      </c>
      <c r="F30" s="432" t="s">
        <v>854</v>
      </c>
      <c r="G30" s="432" t="s">
        <v>897</v>
      </c>
      <c r="H30" s="432" t="s">
        <v>898</v>
      </c>
      <c r="I30" s="312">
        <v>46138</v>
      </c>
      <c r="J30" s="368"/>
      <c r="K30" s="317" t="s">
        <v>915</v>
      </c>
      <c r="L30" s="514"/>
      <c r="M30" s="25" t="str">
        <f t="shared" si="0"/>
        <v>2136038310</v>
      </c>
      <c r="N30" s="25" t="str">
        <f t="shared" si="1"/>
        <v>XEM</v>
      </c>
      <c r="O30" s="80"/>
      <c r="P30" s="80"/>
    </row>
    <row r="31" spans="1:16" ht="16.5">
      <c r="A31" s="311">
        <v>27</v>
      </c>
      <c r="B31" s="411">
        <v>2136038311</v>
      </c>
      <c r="C31" s="311">
        <v>11</v>
      </c>
      <c r="D31" s="311" t="str">
        <f t="shared" si="4"/>
        <v>213603831111</v>
      </c>
      <c r="E31" s="311">
        <v>1</v>
      </c>
      <c r="F31" s="432" t="s">
        <v>854</v>
      </c>
      <c r="G31" s="432" t="s">
        <v>899</v>
      </c>
      <c r="H31" s="432" t="s">
        <v>900</v>
      </c>
      <c r="I31" s="312">
        <v>46138</v>
      </c>
      <c r="J31" s="368"/>
      <c r="K31" s="317"/>
      <c r="L31" s="514"/>
      <c r="M31" s="25" t="str">
        <f t="shared" si="0"/>
        <v>2136038311</v>
      </c>
      <c r="N31" s="25" t="str">
        <f t="shared" si="1"/>
        <v>XEM</v>
      </c>
      <c r="O31" s="80"/>
      <c r="P31" s="80"/>
    </row>
    <row r="32" spans="1:16" ht="16.5">
      <c r="A32" s="311">
        <v>28</v>
      </c>
      <c r="B32" s="412" t="s">
        <v>862</v>
      </c>
      <c r="C32" s="311">
        <v>17</v>
      </c>
      <c r="D32" s="311" t="str">
        <f t="shared" si="4"/>
        <v>213512302A17</v>
      </c>
      <c r="E32" s="311">
        <v>4</v>
      </c>
      <c r="F32" s="432" t="s">
        <v>850</v>
      </c>
      <c r="G32" s="432" t="s">
        <v>901</v>
      </c>
      <c r="H32" s="432" t="s">
        <v>902</v>
      </c>
      <c r="I32" s="312">
        <v>46138</v>
      </c>
      <c r="J32" s="368"/>
      <c r="K32" s="317"/>
      <c r="L32" s="514"/>
      <c r="M32" s="25" t="str">
        <f t="shared" si="0"/>
        <v>213512302A</v>
      </c>
      <c r="N32" s="25" t="str">
        <f t="shared" si="1"/>
        <v>XEM</v>
      </c>
      <c r="O32" s="80"/>
      <c r="P32" s="80"/>
    </row>
    <row r="33" spans="1:16">
      <c r="A33" s="311">
        <v>29</v>
      </c>
      <c r="B33" s="311" t="s">
        <v>802</v>
      </c>
      <c r="C33" s="311">
        <v>17</v>
      </c>
      <c r="D33" s="311" t="str">
        <f t="shared" si="4"/>
        <v>213601060A17</v>
      </c>
      <c r="E33" s="311">
        <v>1</v>
      </c>
      <c r="F33" s="432" t="s">
        <v>840</v>
      </c>
      <c r="G33" s="432" t="s">
        <v>903</v>
      </c>
      <c r="H33" s="432">
        <v>0</v>
      </c>
      <c r="I33" s="312">
        <v>46138</v>
      </c>
      <c r="J33" s="368"/>
      <c r="K33" s="317"/>
      <c r="L33" s="514"/>
      <c r="M33" s="25" t="str">
        <f t="shared" si="0"/>
        <v>213601060A</v>
      </c>
      <c r="N33" s="25" t="str">
        <f t="shared" si="1"/>
        <v>XEM</v>
      </c>
      <c r="O33" s="80"/>
      <c r="P33" s="80"/>
    </row>
    <row r="34" spans="1:16" hidden="1">
      <c r="A34" s="311">
        <v>30</v>
      </c>
      <c r="B34" s="401"/>
      <c r="C34" s="318"/>
      <c r="D34" s="318"/>
      <c r="E34" s="318"/>
      <c r="F34" s="432" t="e">
        <v>#N/A</v>
      </c>
      <c r="G34" s="432" t="e">
        <v>#N/A</v>
      </c>
      <c r="H34" s="432" t="e">
        <v>#N/A</v>
      </c>
      <c r="I34" s="312"/>
      <c r="J34" s="368"/>
      <c r="K34" s="317"/>
      <c r="L34" s="514"/>
      <c r="M34" s="25" t="str">
        <f t="shared" si="0"/>
        <v/>
      </c>
      <c r="N34" s="25" t="str">
        <f t="shared" si="1"/>
        <v/>
      </c>
      <c r="O34" s="80"/>
      <c r="P34" s="80"/>
    </row>
    <row r="35" spans="1:16" hidden="1">
      <c r="A35" s="311">
        <v>31</v>
      </c>
      <c r="B35" s="401"/>
      <c r="C35" s="318"/>
      <c r="D35" s="318"/>
      <c r="E35" s="318"/>
      <c r="F35" s="432" t="e">
        <v>#N/A</v>
      </c>
      <c r="G35" s="432" t="e">
        <v>#N/A</v>
      </c>
      <c r="H35" s="432" t="e">
        <v>#N/A</v>
      </c>
      <c r="I35" s="312"/>
      <c r="J35" s="368"/>
      <c r="K35" s="317"/>
      <c r="L35" s="514"/>
      <c r="M35" s="25" t="str">
        <f t="shared" si="0"/>
        <v/>
      </c>
      <c r="N35" s="25" t="str">
        <f t="shared" si="1"/>
        <v/>
      </c>
      <c r="O35" s="80"/>
      <c r="P35" s="80"/>
    </row>
    <row r="36" spans="1:16" hidden="1">
      <c r="A36" s="311">
        <v>32</v>
      </c>
      <c r="B36" s="401"/>
      <c r="C36" s="19"/>
      <c r="D36" s="318"/>
      <c r="E36" s="104"/>
      <c r="F36" s="432" t="e">
        <v>#N/A</v>
      </c>
      <c r="G36" s="432" t="e">
        <v>#N/A</v>
      </c>
      <c r="H36" s="432" t="e">
        <v>#N/A</v>
      </c>
      <c r="I36" s="312"/>
      <c r="J36" s="313"/>
      <c r="K36" s="317"/>
      <c r="L36" s="514"/>
      <c r="M36" s="25" t="str">
        <f t="shared" ref="M36:M67" si="5">TRIM(B36)</f>
        <v/>
      </c>
      <c r="N36" s="25" t="str">
        <f t="shared" si="1"/>
        <v/>
      </c>
      <c r="O36" s="80"/>
      <c r="P36" s="80"/>
    </row>
    <row r="37" spans="1:16" hidden="1">
      <c r="A37" s="311">
        <v>33</v>
      </c>
      <c r="B37" s="397"/>
      <c r="C37" s="104"/>
      <c r="D37" s="318" t="str">
        <f t="shared" si="4"/>
        <v/>
      </c>
      <c r="E37" s="104"/>
      <c r="F37" s="432" t="e">
        <v>#N/A</v>
      </c>
      <c r="G37" s="432" t="e">
        <v>#N/A</v>
      </c>
      <c r="H37" s="432" t="e">
        <v>#N/A</v>
      </c>
      <c r="I37" s="312"/>
      <c r="J37" s="313"/>
      <c r="K37" s="317"/>
      <c r="L37" s="514"/>
      <c r="M37" s="25" t="str">
        <f t="shared" si="5"/>
        <v/>
      </c>
      <c r="N37" s="25" t="str">
        <f t="shared" si="1"/>
        <v/>
      </c>
      <c r="O37" s="80"/>
      <c r="P37" s="80"/>
    </row>
    <row r="38" spans="1:16" hidden="1">
      <c r="A38" s="311">
        <v>34</v>
      </c>
      <c r="B38" s="397"/>
      <c r="C38" s="104"/>
      <c r="D38" s="318" t="str">
        <f t="shared" si="4"/>
        <v/>
      </c>
      <c r="E38" s="104"/>
      <c r="F38" s="432" t="e">
        <v>#N/A</v>
      </c>
      <c r="G38" s="432" t="e">
        <v>#N/A</v>
      </c>
      <c r="H38" s="432" t="e">
        <v>#N/A</v>
      </c>
      <c r="I38" s="312"/>
      <c r="J38" s="313"/>
      <c r="K38" s="317"/>
      <c r="L38" s="514"/>
      <c r="M38" s="25" t="str">
        <f t="shared" si="5"/>
        <v/>
      </c>
      <c r="N38" s="25" t="str">
        <f t="shared" si="1"/>
        <v/>
      </c>
      <c r="O38" s="80"/>
      <c r="P38" s="80"/>
    </row>
    <row r="39" spans="1:16" ht="18.75" hidden="1" customHeight="1">
      <c r="A39" s="311">
        <v>35</v>
      </c>
      <c r="B39" s="397"/>
      <c r="C39" s="104"/>
      <c r="D39" s="318" t="str">
        <f t="shared" si="4"/>
        <v/>
      </c>
      <c r="E39" s="104"/>
      <c r="F39" s="432" t="e">
        <v>#N/A</v>
      </c>
      <c r="G39" s="432" t="e">
        <v>#N/A</v>
      </c>
      <c r="H39" s="432" t="e">
        <v>#N/A</v>
      </c>
      <c r="I39" s="312"/>
      <c r="J39" s="313"/>
      <c r="K39" s="317"/>
      <c r="L39" s="514"/>
      <c r="M39" s="25" t="str">
        <f t="shared" si="5"/>
        <v/>
      </c>
      <c r="N39" s="25" t="str">
        <f t="shared" si="1"/>
        <v/>
      </c>
      <c r="O39" s="80"/>
      <c r="P39" s="80"/>
    </row>
    <row r="40" spans="1:16" hidden="1">
      <c r="A40" s="311">
        <v>36</v>
      </c>
      <c r="B40" s="397"/>
      <c r="C40" s="104"/>
      <c r="D40" s="318" t="str">
        <f t="shared" si="4"/>
        <v/>
      </c>
      <c r="E40" s="104"/>
      <c r="F40" s="432" t="e">
        <v>#N/A</v>
      </c>
      <c r="G40" s="432" t="e">
        <v>#N/A</v>
      </c>
      <c r="H40" s="432" t="e">
        <v>#N/A</v>
      </c>
      <c r="I40" s="312"/>
      <c r="J40" s="313"/>
      <c r="K40" s="317"/>
      <c r="L40" s="514"/>
      <c r="M40" s="25" t="str">
        <f t="shared" si="5"/>
        <v/>
      </c>
      <c r="N40" s="25" t="str">
        <f t="shared" si="1"/>
        <v/>
      </c>
      <c r="O40" s="80"/>
      <c r="P40" s="80"/>
    </row>
    <row r="41" spans="1:16" hidden="1">
      <c r="A41" s="311">
        <v>37</v>
      </c>
      <c r="B41" s="397"/>
      <c r="C41" s="104"/>
      <c r="D41" s="318" t="str">
        <f t="shared" si="4"/>
        <v/>
      </c>
      <c r="E41" s="104"/>
      <c r="F41" s="432" t="e">
        <v>#N/A</v>
      </c>
      <c r="G41" s="432" t="e">
        <v>#N/A</v>
      </c>
      <c r="H41" s="432" t="e">
        <v>#N/A</v>
      </c>
      <c r="I41" s="312"/>
      <c r="J41" s="313"/>
      <c r="K41" s="317"/>
      <c r="L41" s="514"/>
      <c r="M41" s="25" t="str">
        <f t="shared" si="5"/>
        <v/>
      </c>
      <c r="N41" s="25" t="str">
        <f t="shared" si="1"/>
        <v/>
      </c>
      <c r="O41" s="80"/>
      <c r="P41" s="80"/>
    </row>
    <row r="42" spans="1:16" hidden="1">
      <c r="A42" s="311">
        <v>38</v>
      </c>
      <c r="B42" s="397"/>
      <c r="C42" s="104"/>
      <c r="D42" s="318" t="str">
        <f t="shared" si="4"/>
        <v/>
      </c>
      <c r="E42" s="104"/>
      <c r="F42" s="432" t="e">
        <v>#N/A</v>
      </c>
      <c r="G42" s="432" t="e">
        <v>#N/A</v>
      </c>
      <c r="H42" s="432" t="e">
        <v>#N/A</v>
      </c>
      <c r="I42" s="312"/>
      <c r="J42" s="313"/>
      <c r="K42" s="317"/>
      <c r="L42" s="514"/>
      <c r="M42" s="25" t="str">
        <f t="shared" si="5"/>
        <v/>
      </c>
      <c r="N42" s="25" t="str">
        <f t="shared" si="1"/>
        <v/>
      </c>
      <c r="O42" s="80"/>
      <c r="P42" s="80"/>
    </row>
    <row r="43" spans="1:16" hidden="1">
      <c r="A43" s="311">
        <v>39</v>
      </c>
      <c r="B43" s="397"/>
      <c r="C43" s="104"/>
      <c r="D43" s="318" t="str">
        <f t="shared" si="4"/>
        <v/>
      </c>
      <c r="E43" s="104"/>
      <c r="F43" s="432" t="e">
        <v>#N/A</v>
      </c>
      <c r="G43" s="432" t="e">
        <v>#N/A</v>
      </c>
      <c r="H43" s="432" t="e">
        <v>#N/A</v>
      </c>
      <c r="I43" s="312"/>
      <c r="J43" s="313"/>
      <c r="K43" s="317"/>
      <c r="L43" s="514"/>
      <c r="M43" s="25" t="str">
        <f t="shared" si="5"/>
        <v/>
      </c>
      <c r="N43" s="25" t="str">
        <f t="shared" si="1"/>
        <v/>
      </c>
      <c r="O43" s="80"/>
      <c r="P43" s="80"/>
    </row>
    <row r="44" spans="1:16" hidden="1">
      <c r="A44" s="311">
        <v>40</v>
      </c>
      <c r="B44" s="397"/>
      <c r="C44" s="104"/>
      <c r="D44" s="318" t="str">
        <f t="shared" si="4"/>
        <v/>
      </c>
      <c r="E44" s="104"/>
      <c r="F44" s="432" t="e">
        <v>#N/A</v>
      </c>
      <c r="G44" s="432" t="e">
        <v>#N/A</v>
      </c>
      <c r="H44" s="432" t="e">
        <v>#N/A</v>
      </c>
      <c r="I44" s="312"/>
      <c r="J44" s="313"/>
      <c r="K44" s="317"/>
      <c r="L44" s="514"/>
      <c r="M44" s="25" t="str">
        <f t="shared" si="5"/>
        <v/>
      </c>
      <c r="N44" s="25" t="str">
        <f t="shared" si="1"/>
        <v/>
      </c>
      <c r="O44" s="80"/>
      <c r="P44" s="80"/>
    </row>
    <row r="45" spans="1:16" hidden="1">
      <c r="A45" s="311">
        <v>41</v>
      </c>
      <c r="B45" s="397"/>
      <c r="C45" s="99"/>
      <c r="D45" s="318" t="str">
        <f t="shared" si="4"/>
        <v/>
      </c>
      <c r="E45" s="99"/>
      <c r="F45" s="432" t="e">
        <v>#N/A</v>
      </c>
      <c r="G45" s="432" t="e">
        <v>#N/A</v>
      </c>
      <c r="H45" s="432" t="e">
        <v>#N/A</v>
      </c>
      <c r="I45" s="312"/>
      <c r="J45" s="313"/>
      <c r="K45" s="317"/>
      <c r="L45" s="514"/>
      <c r="M45" s="25" t="str">
        <f t="shared" si="5"/>
        <v/>
      </c>
      <c r="N45" s="25" t="str">
        <f t="shared" si="1"/>
        <v/>
      </c>
      <c r="O45" s="80"/>
      <c r="P45" s="80"/>
    </row>
    <row r="46" spans="1:16" hidden="1">
      <c r="A46" s="311">
        <v>42</v>
      </c>
      <c r="B46" s="397"/>
      <c r="C46" s="104"/>
      <c r="D46" s="318" t="str">
        <f t="shared" si="4"/>
        <v/>
      </c>
      <c r="E46" s="104"/>
      <c r="F46" s="432" t="e">
        <v>#N/A</v>
      </c>
      <c r="G46" s="432" t="e">
        <v>#N/A</v>
      </c>
      <c r="H46" s="432" t="e">
        <v>#N/A</v>
      </c>
      <c r="I46" s="312"/>
      <c r="J46" s="313"/>
      <c r="K46" s="317"/>
      <c r="L46" s="514"/>
      <c r="M46" s="25" t="str">
        <f t="shared" si="5"/>
        <v/>
      </c>
      <c r="N46" s="25" t="str">
        <f t="shared" si="1"/>
        <v/>
      </c>
      <c r="O46" s="80"/>
      <c r="P46" s="80"/>
    </row>
    <row r="47" spans="1:16" hidden="1">
      <c r="A47" s="394">
        <v>43</v>
      </c>
      <c r="B47" s="421"/>
      <c r="C47" s="422"/>
      <c r="D47" s="423" t="str">
        <f t="shared" si="4"/>
        <v/>
      </c>
      <c r="E47" s="422"/>
      <c r="F47" s="432" t="e">
        <v>#N/A</v>
      </c>
      <c r="G47" s="432" t="e">
        <v>#N/A</v>
      </c>
      <c r="H47" s="432" t="e">
        <v>#N/A</v>
      </c>
      <c r="I47" s="422"/>
      <c r="J47" s="422"/>
      <c r="K47" s="422"/>
      <c r="L47" s="99"/>
      <c r="M47" s="25" t="str">
        <f t="shared" si="5"/>
        <v/>
      </c>
      <c r="N47" s="25" t="str">
        <f t="shared" si="1"/>
        <v/>
      </c>
      <c r="O47" s="80"/>
      <c r="P47" s="80"/>
    </row>
    <row r="48" spans="1:16" ht="18.75" customHeight="1">
      <c r="A48" s="311">
        <v>44</v>
      </c>
      <c r="B48" s="411">
        <v>2136038312</v>
      </c>
      <c r="C48" s="415">
        <v>12</v>
      </c>
      <c r="D48" s="311" t="str">
        <f t="shared" si="4"/>
        <v>213603831212</v>
      </c>
      <c r="E48" s="415">
        <v>1</v>
      </c>
      <c r="F48" s="432" t="s">
        <v>841</v>
      </c>
      <c r="G48" s="432" t="s">
        <v>928</v>
      </c>
      <c r="H48" s="432" t="s">
        <v>929</v>
      </c>
      <c r="I48" s="312">
        <v>46138</v>
      </c>
      <c r="J48" s="368"/>
      <c r="K48" s="317"/>
      <c r="L48" s="514" t="s">
        <v>891</v>
      </c>
      <c r="M48" s="25" t="str">
        <f t="shared" si="5"/>
        <v>2136038312</v>
      </c>
      <c r="N48" s="25" t="str">
        <f t="shared" si="1"/>
        <v>XEM</v>
      </c>
      <c r="O48" s="80"/>
      <c r="P48" s="80"/>
    </row>
    <row r="49" spans="1:16">
      <c r="A49" s="311">
        <v>45</v>
      </c>
      <c r="B49" s="415" t="s">
        <v>581</v>
      </c>
      <c r="C49" s="415">
        <v>1</v>
      </c>
      <c r="D49" s="311" t="str">
        <f t="shared" si="4"/>
        <v>61151100311</v>
      </c>
      <c r="E49" s="415">
        <v>1</v>
      </c>
      <c r="F49" s="432" t="s">
        <v>838</v>
      </c>
      <c r="G49" s="432" t="s">
        <v>832</v>
      </c>
      <c r="H49" s="432" t="s">
        <v>904</v>
      </c>
      <c r="I49" s="312">
        <v>46138</v>
      </c>
      <c r="J49" s="368"/>
      <c r="K49" s="317"/>
      <c r="L49" s="514"/>
      <c r="M49" s="25" t="str">
        <f t="shared" si="5"/>
        <v>6115110031</v>
      </c>
      <c r="N49" s="25" t="str">
        <f t="shared" si="1"/>
        <v>XEM</v>
      </c>
      <c r="O49" s="80"/>
      <c r="P49" s="80"/>
    </row>
    <row r="50" spans="1:16">
      <c r="A50" s="311">
        <v>46</v>
      </c>
      <c r="B50" s="415" t="s">
        <v>587</v>
      </c>
      <c r="C50" s="415">
        <v>31</v>
      </c>
      <c r="D50" s="311" t="str">
        <f t="shared" si="4"/>
        <v>213508084A31</v>
      </c>
      <c r="E50" s="415">
        <v>2</v>
      </c>
      <c r="F50" s="432" t="s">
        <v>838</v>
      </c>
      <c r="G50" s="432" t="s">
        <v>905</v>
      </c>
      <c r="H50" s="432" t="s">
        <v>906</v>
      </c>
      <c r="I50" s="312">
        <v>46138</v>
      </c>
      <c r="J50" s="368"/>
      <c r="K50" s="317"/>
      <c r="L50" s="514"/>
      <c r="M50" s="25" t="str">
        <f t="shared" si="5"/>
        <v>213508084A</v>
      </c>
      <c r="N50" s="25" t="str">
        <f t="shared" si="1"/>
        <v>XEM</v>
      </c>
      <c r="O50" s="80"/>
      <c r="P50" s="80"/>
    </row>
    <row r="51" spans="1:16" ht="16.5">
      <c r="A51" s="311">
        <v>47</v>
      </c>
      <c r="B51" s="412" t="s">
        <v>827</v>
      </c>
      <c r="C51" s="415">
        <v>2</v>
      </c>
      <c r="D51" s="311" t="str">
        <f t="shared" si="4"/>
        <v>L6115120412</v>
      </c>
      <c r="E51" s="415">
        <v>1</v>
      </c>
      <c r="F51" s="432" t="s">
        <v>567</v>
      </c>
      <c r="G51" s="432" t="s">
        <v>907</v>
      </c>
      <c r="H51" s="432" t="s">
        <v>908</v>
      </c>
      <c r="I51" s="312">
        <v>46138</v>
      </c>
      <c r="J51" s="368"/>
      <c r="K51" s="317"/>
      <c r="L51" s="514"/>
      <c r="M51" s="25" t="str">
        <f t="shared" si="5"/>
        <v>L611512041</v>
      </c>
      <c r="N51" s="25" t="str">
        <f t="shared" si="1"/>
        <v>XEM</v>
      </c>
      <c r="O51" s="80"/>
      <c r="P51" s="80"/>
    </row>
    <row r="52" spans="1:16" ht="16.5">
      <c r="A52" s="311">
        <v>48</v>
      </c>
      <c r="B52" s="412" t="s">
        <v>830</v>
      </c>
      <c r="C52" s="415">
        <v>3</v>
      </c>
      <c r="D52" s="311" t="str">
        <f t="shared" si="4"/>
        <v>213512076A3</v>
      </c>
      <c r="E52" s="415">
        <v>1</v>
      </c>
      <c r="F52" s="432" t="s">
        <v>840</v>
      </c>
      <c r="G52" s="432" t="s">
        <v>909</v>
      </c>
      <c r="H52" s="432">
        <v>0</v>
      </c>
      <c r="I52" s="312">
        <v>46138</v>
      </c>
      <c r="J52" s="368"/>
      <c r="K52" s="317"/>
      <c r="L52" s="514"/>
      <c r="M52" s="25" t="str">
        <f t="shared" si="5"/>
        <v>213512076A</v>
      </c>
      <c r="N52" s="25" t="str">
        <f t="shared" si="1"/>
        <v>XEM</v>
      </c>
      <c r="O52" s="80"/>
      <c r="P52" s="80"/>
    </row>
    <row r="53" spans="1:16" ht="16.5">
      <c r="A53" s="311">
        <v>49</v>
      </c>
      <c r="B53" s="412" t="s">
        <v>825</v>
      </c>
      <c r="C53" s="412">
        <v>4</v>
      </c>
      <c r="D53" s="311" t="str">
        <f t="shared" si="4"/>
        <v>L6115110314</v>
      </c>
      <c r="E53" s="415">
        <v>1</v>
      </c>
      <c r="F53" s="432" t="s">
        <v>839</v>
      </c>
      <c r="G53" s="432" t="s">
        <v>842</v>
      </c>
      <c r="H53" s="432" t="s">
        <v>930</v>
      </c>
      <c r="I53" s="312">
        <v>46138</v>
      </c>
      <c r="J53" s="368"/>
      <c r="K53" s="317"/>
      <c r="L53" s="514"/>
      <c r="M53" s="25" t="str">
        <f t="shared" si="5"/>
        <v>L611511031</v>
      </c>
      <c r="N53" s="25" t="str">
        <f t="shared" si="1"/>
        <v>XEM</v>
      </c>
      <c r="O53" s="80"/>
      <c r="P53" s="80"/>
    </row>
    <row r="54" spans="1:16">
      <c r="A54" s="311">
        <v>50</v>
      </c>
      <c r="B54" s="415" t="s">
        <v>592</v>
      </c>
      <c r="C54" s="415">
        <v>19</v>
      </c>
      <c r="D54" s="311" t="str">
        <f t="shared" si="4"/>
        <v>213506160A19</v>
      </c>
      <c r="E54" s="415">
        <v>3</v>
      </c>
      <c r="F54" s="432" t="s">
        <v>567</v>
      </c>
      <c r="G54" s="432" t="s">
        <v>593</v>
      </c>
      <c r="H54" s="432" t="s">
        <v>910</v>
      </c>
      <c r="I54" s="312">
        <v>46138</v>
      </c>
      <c r="J54" s="368"/>
      <c r="K54" s="317"/>
      <c r="L54" s="514"/>
      <c r="M54" s="25" t="str">
        <f t="shared" si="5"/>
        <v>213506160A</v>
      </c>
      <c r="N54" s="25" t="str">
        <f t="shared" si="1"/>
        <v>XEM</v>
      </c>
      <c r="O54" s="80"/>
      <c r="P54" s="80"/>
    </row>
    <row r="55" spans="1:16" ht="16.5">
      <c r="A55" s="311">
        <v>51</v>
      </c>
      <c r="B55" s="411" t="s">
        <v>595</v>
      </c>
      <c r="C55" s="415">
        <v>1</v>
      </c>
      <c r="D55" s="311" t="str">
        <f t="shared" si="4"/>
        <v>L6115080361</v>
      </c>
      <c r="E55" s="415">
        <v>1</v>
      </c>
      <c r="F55" s="432" t="s">
        <v>839</v>
      </c>
      <c r="G55" s="432" t="s">
        <v>911</v>
      </c>
      <c r="H55" s="432" t="s">
        <v>912</v>
      </c>
      <c r="I55" s="312">
        <v>46138</v>
      </c>
      <c r="J55" s="368"/>
      <c r="K55" s="317"/>
      <c r="L55" s="514"/>
      <c r="M55" s="25" t="str">
        <f t="shared" si="5"/>
        <v>L611508036</v>
      </c>
      <c r="N55" s="25" t="str">
        <f t="shared" si="1"/>
        <v>XEM</v>
      </c>
      <c r="O55" s="80"/>
      <c r="P55" s="80"/>
    </row>
    <row r="56" spans="1:16" hidden="1">
      <c r="A56" s="311">
        <v>52</v>
      </c>
      <c r="B56" s="311"/>
      <c r="C56" s="319"/>
      <c r="D56" s="318"/>
      <c r="E56" s="320"/>
      <c r="F56" s="432" t="e">
        <v>#N/A</v>
      </c>
      <c r="G56" s="432" t="e">
        <v>#N/A</v>
      </c>
      <c r="H56" s="432" t="e">
        <v>#N/A</v>
      </c>
      <c r="I56" s="312"/>
      <c r="J56" s="368"/>
      <c r="K56" s="317"/>
      <c r="L56" s="514"/>
      <c r="M56" s="25" t="str">
        <f t="shared" si="5"/>
        <v/>
      </c>
      <c r="N56" s="25" t="str">
        <f t="shared" si="1"/>
        <v/>
      </c>
      <c r="O56" s="80"/>
      <c r="P56" s="80"/>
    </row>
    <row r="57" spans="1:16" hidden="1">
      <c r="A57" s="311">
        <v>53</v>
      </c>
      <c r="B57" s="316"/>
      <c r="C57" s="315"/>
      <c r="D57" s="318"/>
      <c r="E57" s="315"/>
      <c r="F57" s="432" t="e">
        <v>#N/A</v>
      </c>
      <c r="G57" s="432" t="e">
        <v>#N/A</v>
      </c>
      <c r="H57" s="432" t="e">
        <v>#N/A</v>
      </c>
      <c r="I57" s="312"/>
      <c r="J57" s="368"/>
      <c r="K57" s="317"/>
      <c r="L57" s="514"/>
      <c r="M57" s="25" t="str">
        <f t="shared" si="5"/>
        <v/>
      </c>
      <c r="N57" s="25" t="str">
        <f t="shared" si="1"/>
        <v/>
      </c>
      <c r="O57" s="80"/>
      <c r="P57" s="80"/>
    </row>
    <row r="58" spans="1:16" hidden="1">
      <c r="A58" s="311">
        <v>54</v>
      </c>
      <c r="B58" s="316"/>
      <c r="C58" s="315"/>
      <c r="D58" s="318"/>
      <c r="E58" s="315"/>
      <c r="F58" s="432" t="e">
        <v>#N/A</v>
      </c>
      <c r="G58" s="432" t="e">
        <v>#N/A</v>
      </c>
      <c r="H58" s="432" t="e">
        <v>#N/A</v>
      </c>
      <c r="I58" s="312"/>
      <c r="J58" s="313"/>
      <c r="K58" s="317"/>
      <c r="L58" s="514"/>
      <c r="M58" s="25" t="str">
        <f t="shared" si="5"/>
        <v/>
      </c>
      <c r="N58" s="25" t="str">
        <f t="shared" si="1"/>
        <v/>
      </c>
      <c r="O58" s="80"/>
      <c r="P58" s="80"/>
    </row>
    <row r="59" spans="1:16" hidden="1">
      <c r="A59" s="311">
        <v>55</v>
      </c>
      <c r="B59" s="316"/>
      <c r="C59" s="315"/>
      <c r="D59" s="318"/>
      <c r="E59" s="315"/>
      <c r="F59" s="432" t="e">
        <v>#N/A</v>
      </c>
      <c r="G59" s="432" t="e">
        <v>#N/A</v>
      </c>
      <c r="H59" s="432" t="e">
        <v>#N/A</v>
      </c>
      <c r="I59" s="312"/>
      <c r="J59" s="313"/>
      <c r="K59" s="317"/>
      <c r="L59" s="514"/>
      <c r="M59" s="25" t="str">
        <f t="shared" si="5"/>
        <v/>
      </c>
      <c r="N59" s="25" t="str">
        <f t="shared" si="1"/>
        <v/>
      </c>
      <c r="O59" s="80"/>
      <c r="P59" s="80"/>
    </row>
    <row r="60" spans="1:16" hidden="1">
      <c r="A60" s="311">
        <v>56</v>
      </c>
      <c r="B60" s="316"/>
      <c r="C60" s="315"/>
      <c r="D60" s="318"/>
      <c r="E60" s="315"/>
      <c r="F60" s="432" t="e">
        <v>#N/A</v>
      </c>
      <c r="G60" s="432" t="e">
        <v>#N/A</v>
      </c>
      <c r="H60" s="432" t="e">
        <v>#N/A</v>
      </c>
      <c r="I60" s="312"/>
      <c r="J60" s="313"/>
      <c r="K60" s="317"/>
      <c r="L60" s="514"/>
      <c r="M60" s="25" t="str">
        <f t="shared" si="5"/>
        <v/>
      </c>
      <c r="N60" s="25" t="str">
        <f t="shared" si="1"/>
        <v/>
      </c>
      <c r="O60" s="80"/>
      <c r="P60" s="80"/>
    </row>
    <row r="61" spans="1:16" hidden="1">
      <c r="A61" s="311">
        <v>57</v>
      </c>
      <c r="B61" s="316"/>
      <c r="C61" s="315"/>
      <c r="D61" s="318"/>
      <c r="E61" s="315"/>
      <c r="F61" s="432" t="e">
        <v>#N/A</v>
      </c>
      <c r="G61" s="432" t="e">
        <v>#N/A</v>
      </c>
      <c r="H61" s="432" t="e">
        <v>#N/A</v>
      </c>
      <c r="I61" s="316"/>
      <c r="J61" s="313"/>
      <c r="K61" s="317"/>
      <c r="L61" s="514"/>
      <c r="M61" s="25" t="str">
        <f t="shared" si="5"/>
        <v/>
      </c>
      <c r="N61" s="25" t="str">
        <f t="shared" si="1"/>
        <v/>
      </c>
      <c r="O61" s="80"/>
      <c r="P61" s="80"/>
    </row>
    <row r="62" spans="1:16" hidden="1">
      <c r="A62" s="311">
        <v>58</v>
      </c>
      <c r="B62" s="316"/>
      <c r="C62" s="315"/>
      <c r="D62" s="318"/>
      <c r="E62" s="315"/>
      <c r="F62" s="432" t="e">
        <v>#N/A</v>
      </c>
      <c r="G62" s="432" t="e">
        <v>#N/A</v>
      </c>
      <c r="H62" s="432" t="e">
        <v>#N/A</v>
      </c>
      <c r="I62" s="316"/>
      <c r="J62" s="313"/>
      <c r="K62" s="317"/>
      <c r="L62" s="514"/>
      <c r="M62" s="25" t="str">
        <f t="shared" si="5"/>
        <v/>
      </c>
      <c r="N62" s="25" t="str">
        <f t="shared" si="1"/>
        <v/>
      </c>
      <c r="O62" s="80"/>
      <c r="P62" s="80"/>
    </row>
    <row r="63" spans="1:16" hidden="1">
      <c r="A63" s="311">
        <v>59</v>
      </c>
      <c r="B63" s="316"/>
      <c r="C63" s="315"/>
      <c r="D63" s="318"/>
      <c r="E63" s="315"/>
      <c r="F63" s="432" t="e">
        <v>#N/A</v>
      </c>
      <c r="G63" s="432" t="e">
        <v>#N/A</v>
      </c>
      <c r="H63" s="432" t="e">
        <v>#N/A</v>
      </c>
      <c r="I63" s="316"/>
      <c r="J63" s="313"/>
      <c r="K63" s="317"/>
      <c r="L63" s="514"/>
      <c r="M63" s="25" t="str">
        <f t="shared" si="5"/>
        <v/>
      </c>
      <c r="N63" s="25" t="str">
        <f t="shared" si="1"/>
        <v/>
      </c>
      <c r="O63" s="80"/>
      <c r="P63" s="80"/>
    </row>
    <row r="64" spans="1:16" hidden="1">
      <c r="A64" s="311">
        <v>60</v>
      </c>
      <c r="B64" s="316"/>
      <c r="C64" s="315"/>
      <c r="D64" s="318"/>
      <c r="E64" s="315"/>
      <c r="F64" s="432" t="e">
        <v>#N/A</v>
      </c>
      <c r="G64" s="432" t="e">
        <v>#N/A</v>
      </c>
      <c r="H64" s="432" t="e">
        <v>#N/A</v>
      </c>
      <c r="I64" s="316"/>
      <c r="J64" s="313"/>
      <c r="K64" s="317"/>
      <c r="L64" s="514"/>
      <c r="M64" s="25" t="str">
        <f t="shared" si="5"/>
        <v/>
      </c>
      <c r="N64" s="25" t="str">
        <f t="shared" si="1"/>
        <v/>
      </c>
      <c r="O64" s="80"/>
      <c r="P64" s="80"/>
    </row>
    <row r="65" spans="1:17" hidden="1">
      <c r="A65" s="311">
        <v>61</v>
      </c>
      <c r="B65" s="316"/>
      <c r="C65" s="315"/>
      <c r="D65" s="318"/>
      <c r="E65" s="315"/>
      <c r="F65" s="432" t="e">
        <v>#N/A</v>
      </c>
      <c r="G65" s="432" t="e">
        <v>#N/A</v>
      </c>
      <c r="H65" s="432" t="e">
        <v>#N/A</v>
      </c>
      <c r="I65" s="316"/>
      <c r="J65" s="313"/>
      <c r="K65" s="317"/>
      <c r="L65" s="514"/>
      <c r="M65" s="25" t="str">
        <f t="shared" si="5"/>
        <v/>
      </c>
      <c r="N65" s="25" t="str">
        <f t="shared" si="1"/>
        <v/>
      </c>
      <c r="O65" s="80"/>
      <c r="P65" s="80"/>
    </row>
    <row r="66" spans="1:17" hidden="1">
      <c r="A66" s="311">
        <v>62</v>
      </c>
      <c r="B66" s="316"/>
      <c r="C66" s="315"/>
      <c r="D66" s="318"/>
      <c r="E66" s="315"/>
      <c r="F66" s="432" t="e">
        <v>#N/A</v>
      </c>
      <c r="G66" s="432" t="e">
        <v>#N/A</v>
      </c>
      <c r="H66" s="432" t="e">
        <v>#N/A</v>
      </c>
      <c r="I66" s="316"/>
      <c r="J66" s="313"/>
      <c r="K66" s="317"/>
      <c r="L66" s="514"/>
      <c r="M66" s="25" t="str">
        <f t="shared" si="5"/>
        <v/>
      </c>
      <c r="N66" s="25" t="str">
        <f t="shared" si="1"/>
        <v/>
      </c>
      <c r="O66" s="80"/>
      <c r="P66" s="80"/>
    </row>
    <row r="67" spans="1:17" hidden="1">
      <c r="A67" s="311">
        <v>63</v>
      </c>
      <c r="B67" s="316"/>
      <c r="C67" s="315"/>
      <c r="D67" s="318"/>
      <c r="E67" s="315"/>
      <c r="F67" s="432" t="e">
        <v>#N/A</v>
      </c>
      <c r="G67" s="432" t="e">
        <v>#N/A</v>
      </c>
      <c r="H67" s="432" t="e">
        <v>#N/A</v>
      </c>
      <c r="I67" s="316"/>
      <c r="J67" s="313"/>
      <c r="K67" s="317"/>
      <c r="L67" s="514"/>
      <c r="M67" s="25" t="str">
        <f t="shared" si="5"/>
        <v/>
      </c>
      <c r="N67" s="25" t="str">
        <f t="shared" si="1"/>
        <v/>
      </c>
      <c r="O67" s="80"/>
      <c r="P67" s="80"/>
    </row>
    <row r="68" spans="1:17" hidden="1">
      <c r="A68" s="311">
        <v>64</v>
      </c>
      <c r="B68" s="316"/>
      <c r="C68" s="315"/>
      <c r="D68" s="318"/>
      <c r="E68" s="315"/>
      <c r="F68" s="432" t="e">
        <v>#N/A</v>
      </c>
      <c r="G68" s="432" t="e">
        <v>#N/A</v>
      </c>
      <c r="H68" s="432" t="e">
        <v>#N/A</v>
      </c>
      <c r="I68" s="316"/>
      <c r="J68" s="313"/>
      <c r="K68" s="317"/>
      <c r="L68" s="514"/>
      <c r="M68" s="25" t="str">
        <f t="shared" ref="M68:M98" si="6">TRIM(B68)</f>
        <v/>
      </c>
      <c r="N68" s="25" t="str">
        <f t="shared" ref="N68:N98" si="7">IF(M68="","",HYPERLINK("\\192.168.40.5\smb\2018-2019\"&amp;M68&amp;".pdf","XEM"))</f>
        <v/>
      </c>
      <c r="O68" s="80"/>
      <c r="P68" s="80"/>
    </row>
    <row r="69" spans="1:17" hidden="1">
      <c r="A69" s="321"/>
      <c r="B69" s="316"/>
      <c r="C69" s="322"/>
      <c r="D69" s="318"/>
      <c r="E69" s="322"/>
      <c r="F69" s="432" t="e">
        <v>#N/A</v>
      </c>
      <c r="G69" s="432" t="e">
        <v>#N/A</v>
      </c>
      <c r="H69" s="432" t="e">
        <v>#N/A</v>
      </c>
      <c r="I69" s="312"/>
      <c r="J69" s="321"/>
      <c r="K69" s="80"/>
      <c r="L69" s="80"/>
      <c r="M69" s="25" t="str">
        <f t="shared" si="6"/>
        <v/>
      </c>
      <c r="N69" s="25" t="str">
        <f t="shared" si="7"/>
        <v/>
      </c>
      <c r="O69" s="80"/>
      <c r="P69" s="80"/>
    </row>
    <row r="70" spans="1:17" hidden="1">
      <c r="A70" s="321"/>
      <c r="B70" s="321"/>
      <c r="C70" s="322"/>
      <c r="D70" s="318"/>
      <c r="E70" s="322"/>
      <c r="F70" s="432" t="e">
        <v>#N/A</v>
      </c>
      <c r="G70" s="432" t="e">
        <v>#N/A</v>
      </c>
      <c r="H70" s="432" t="e">
        <v>#N/A</v>
      </c>
      <c r="I70" s="321"/>
      <c r="J70" s="321"/>
      <c r="K70" s="80"/>
      <c r="L70" s="80"/>
      <c r="M70" s="25" t="str">
        <f t="shared" si="6"/>
        <v/>
      </c>
      <c r="N70" s="25" t="str">
        <f t="shared" si="7"/>
        <v/>
      </c>
      <c r="O70" s="80"/>
      <c r="P70" s="80"/>
    </row>
    <row r="71" spans="1:17" hidden="1">
      <c r="A71" s="424" t="s">
        <v>738</v>
      </c>
      <c r="B71" s="425"/>
      <c r="C71" s="424"/>
      <c r="D71" s="423" t="str">
        <f t="shared" ref="D71:D98" si="8">TRIM(B71&amp;C71)</f>
        <v/>
      </c>
      <c r="E71" s="424"/>
      <c r="F71" s="432" t="e">
        <v>#N/A</v>
      </c>
      <c r="G71" s="432" t="e">
        <v>#N/A</v>
      </c>
      <c r="H71" s="432" t="e">
        <v>#N/A</v>
      </c>
      <c r="I71" s="424"/>
      <c r="J71" s="424"/>
      <c r="K71" s="424"/>
      <c r="L71" s="325"/>
      <c r="M71" s="25" t="str">
        <f t="shared" si="6"/>
        <v/>
      </c>
      <c r="N71" s="25" t="str">
        <f t="shared" si="7"/>
        <v/>
      </c>
      <c r="O71" s="80"/>
      <c r="P71" s="80"/>
    </row>
    <row r="72" spans="1:17" ht="16.5">
      <c r="A72" s="311">
        <v>1</v>
      </c>
      <c r="B72" s="411" t="s">
        <v>729</v>
      </c>
      <c r="C72" s="311">
        <v>29</v>
      </c>
      <c r="D72" s="311" t="str">
        <f t="shared" si="8"/>
        <v>213510291A29</v>
      </c>
      <c r="E72" s="311">
        <v>1</v>
      </c>
      <c r="F72" s="432" t="s">
        <v>839</v>
      </c>
      <c r="G72" s="432" t="s">
        <v>842</v>
      </c>
      <c r="H72" s="432" t="s">
        <v>843</v>
      </c>
      <c r="I72" s="312">
        <v>46138</v>
      </c>
      <c r="J72" s="311"/>
      <c r="K72" s="317" t="s">
        <v>857</v>
      </c>
      <c r="L72" s="317" t="s">
        <v>732</v>
      </c>
      <c r="M72" s="25" t="str">
        <f t="shared" si="6"/>
        <v>213510291A</v>
      </c>
      <c r="N72" s="25" t="str">
        <f t="shared" si="7"/>
        <v>XEM</v>
      </c>
      <c r="O72" s="80"/>
      <c r="P72" s="311" t="s">
        <v>614</v>
      </c>
    </row>
    <row r="73" spans="1:17" ht="16.5">
      <c r="A73" s="311">
        <v>2</v>
      </c>
      <c r="B73" s="411" t="s">
        <v>728</v>
      </c>
      <c r="C73" s="311">
        <v>1</v>
      </c>
      <c r="D73" s="311" t="str">
        <f t="shared" si="8"/>
        <v>L6115120201</v>
      </c>
      <c r="E73" s="311">
        <v>1</v>
      </c>
      <c r="F73" s="432" t="s">
        <v>844</v>
      </c>
      <c r="G73" s="432" t="s">
        <v>845</v>
      </c>
      <c r="H73" s="432" t="s">
        <v>846</v>
      </c>
      <c r="I73" s="312">
        <v>46138</v>
      </c>
      <c r="J73" s="311"/>
      <c r="K73" s="317"/>
      <c r="L73" s="317" t="s">
        <v>616</v>
      </c>
      <c r="M73" s="25" t="str">
        <f t="shared" si="6"/>
        <v>L611512020</v>
      </c>
      <c r="N73" s="25" t="str">
        <f t="shared" si="7"/>
        <v>XEM</v>
      </c>
      <c r="O73" s="80"/>
      <c r="P73" s="311" t="s">
        <v>615</v>
      </c>
    </row>
    <row r="74" spans="1:17" ht="16.5" hidden="1">
      <c r="A74" s="394">
        <v>3</v>
      </c>
      <c r="B74" s="426" t="s">
        <v>730</v>
      </c>
      <c r="C74" s="423">
        <v>1</v>
      </c>
      <c r="D74" s="423" t="str">
        <f t="shared" si="8"/>
        <v>L6115110281</v>
      </c>
      <c r="E74" s="423">
        <v>1</v>
      </c>
      <c r="F74" s="432" t="e">
        <v>#N/A</v>
      </c>
      <c r="G74" s="432" t="e">
        <v>#N/A</v>
      </c>
      <c r="H74" s="432" t="e">
        <v>#N/A</v>
      </c>
      <c r="I74" s="427">
        <v>46138</v>
      </c>
      <c r="J74" s="428" t="s">
        <v>356</v>
      </c>
      <c r="K74" s="396"/>
      <c r="L74" s="317" t="s">
        <v>731</v>
      </c>
      <c r="M74" s="25" t="str">
        <f t="shared" si="6"/>
        <v>L611511028</v>
      </c>
      <c r="N74" s="25" t="str">
        <f t="shared" si="7"/>
        <v>XEM</v>
      </c>
      <c r="O74" s="80"/>
      <c r="P74" s="311" t="s">
        <v>617</v>
      </c>
      <c r="Q74" t="s">
        <v>866</v>
      </c>
    </row>
    <row r="75" spans="1:17" ht="16.5">
      <c r="A75" s="311">
        <v>4</v>
      </c>
      <c r="B75" s="411" t="s">
        <v>733</v>
      </c>
      <c r="C75" s="311">
        <v>8</v>
      </c>
      <c r="D75" s="311" t="str">
        <f t="shared" si="8"/>
        <v>213601032A8</v>
      </c>
      <c r="E75" s="311">
        <v>1</v>
      </c>
      <c r="F75" s="432" t="s">
        <v>840</v>
      </c>
      <c r="G75" s="432" t="s">
        <v>847</v>
      </c>
      <c r="H75" s="432" t="s">
        <v>848</v>
      </c>
      <c r="I75" s="312">
        <v>46138</v>
      </c>
      <c r="J75" s="311"/>
      <c r="K75" s="317"/>
      <c r="L75" s="317" t="s">
        <v>714</v>
      </c>
      <c r="M75" s="25" t="str">
        <f t="shared" si="6"/>
        <v>213601032A</v>
      </c>
      <c r="N75" s="25" t="str">
        <f t="shared" si="7"/>
        <v>XEM</v>
      </c>
      <c r="O75" s="80"/>
      <c r="P75" s="311" t="s">
        <v>713</v>
      </c>
    </row>
    <row r="76" spans="1:17" ht="16.5">
      <c r="A76" s="311">
        <v>6</v>
      </c>
      <c r="B76" s="412" t="s">
        <v>735</v>
      </c>
      <c r="C76" s="311">
        <v>6</v>
      </c>
      <c r="D76" s="311" t="str">
        <f t="shared" si="8"/>
        <v>213512180A6</v>
      </c>
      <c r="E76" s="311">
        <v>1</v>
      </c>
      <c r="F76" s="432" t="s">
        <v>839</v>
      </c>
      <c r="G76" s="432" t="s">
        <v>905</v>
      </c>
      <c r="H76" s="432" t="s">
        <v>913</v>
      </c>
      <c r="I76" s="312">
        <v>46138</v>
      </c>
      <c r="J76" s="368"/>
      <c r="K76" s="317" t="s">
        <v>917</v>
      </c>
      <c r="L76" s="317" t="s">
        <v>734</v>
      </c>
      <c r="M76" s="25" t="str">
        <f t="shared" si="6"/>
        <v>213512180A</v>
      </c>
      <c r="N76" s="25" t="str">
        <f t="shared" si="7"/>
        <v>XEM</v>
      </c>
      <c r="O76" s="80"/>
      <c r="P76" s="311" t="s">
        <v>715</v>
      </c>
    </row>
    <row r="77" spans="1:17" ht="16.5" hidden="1">
      <c r="A77" s="394">
        <v>7</v>
      </c>
      <c r="B77" s="426" t="s">
        <v>736</v>
      </c>
      <c r="C77" s="423">
        <v>6</v>
      </c>
      <c r="D77" s="423" t="str">
        <f t="shared" si="8"/>
        <v>213507073A6</v>
      </c>
      <c r="E77" s="423">
        <v>1</v>
      </c>
      <c r="F77" s="432" t="e">
        <v>#N/A</v>
      </c>
      <c r="G77" s="432" t="e">
        <v>#N/A</v>
      </c>
      <c r="H77" s="432" t="e">
        <v>#N/A</v>
      </c>
      <c r="I77" s="427">
        <v>46138</v>
      </c>
      <c r="J77" s="428" t="s">
        <v>356</v>
      </c>
      <c r="K77" s="396"/>
      <c r="L77" s="317" t="s">
        <v>734</v>
      </c>
      <c r="M77" s="25" t="str">
        <f t="shared" si="6"/>
        <v>213507073A</v>
      </c>
      <c r="N77" s="25" t="str">
        <f t="shared" si="7"/>
        <v>XEM</v>
      </c>
      <c r="O77" s="80"/>
      <c r="P77" s="311" t="s">
        <v>717</v>
      </c>
      <c r="Q77" t="s">
        <v>866</v>
      </c>
    </row>
    <row r="78" spans="1:17" ht="16.5">
      <c r="A78" s="311">
        <v>8</v>
      </c>
      <c r="B78" s="411" t="s">
        <v>737</v>
      </c>
      <c r="C78" s="311">
        <v>3</v>
      </c>
      <c r="D78" s="311" t="str">
        <f t="shared" si="8"/>
        <v>L6115120313</v>
      </c>
      <c r="E78" s="311">
        <v>1</v>
      </c>
      <c r="F78" s="432" t="s">
        <v>850</v>
      </c>
      <c r="G78" s="432" t="s">
        <v>851</v>
      </c>
      <c r="H78" s="432">
        <v>0</v>
      </c>
      <c r="I78" s="312">
        <v>46138</v>
      </c>
      <c r="J78" s="311" t="s">
        <v>828</v>
      </c>
      <c r="K78" s="317"/>
      <c r="L78" s="317" t="s">
        <v>616</v>
      </c>
      <c r="M78" s="25" t="str">
        <f t="shared" si="6"/>
        <v>L611512031</v>
      </c>
      <c r="N78" s="25" t="str">
        <f t="shared" si="7"/>
        <v>XEM</v>
      </c>
      <c r="O78" s="80"/>
      <c r="P78" s="311" t="s">
        <v>716</v>
      </c>
    </row>
    <row r="79" spans="1:17" ht="16.5">
      <c r="A79" s="311">
        <v>10</v>
      </c>
      <c r="B79" s="411" t="s">
        <v>737</v>
      </c>
      <c r="C79" s="311">
        <v>1</v>
      </c>
      <c r="D79" s="311" t="str">
        <f t="shared" si="8"/>
        <v>L6115120311</v>
      </c>
      <c r="E79" s="311">
        <v>1</v>
      </c>
      <c r="F79" s="432" t="s">
        <v>567</v>
      </c>
      <c r="G79" s="432" t="s">
        <v>852</v>
      </c>
      <c r="H79" s="432" t="s">
        <v>849</v>
      </c>
      <c r="I79" s="312">
        <v>46138</v>
      </c>
      <c r="J79" s="311"/>
      <c r="K79" s="317"/>
      <c r="L79" s="317" t="s">
        <v>616</v>
      </c>
      <c r="M79" s="25" t="str">
        <f t="shared" si="6"/>
        <v>L611512031</v>
      </c>
      <c r="N79" s="25" t="str">
        <f t="shared" si="7"/>
        <v>XEM</v>
      </c>
      <c r="O79" s="80"/>
      <c r="P79" s="311" t="s">
        <v>718</v>
      </c>
    </row>
    <row r="80" spans="1:17" ht="16.5">
      <c r="A80" s="311">
        <v>11</v>
      </c>
      <c r="B80" s="411" t="s">
        <v>737</v>
      </c>
      <c r="C80" s="311">
        <v>2</v>
      </c>
      <c r="D80" s="311" t="str">
        <f t="shared" si="8"/>
        <v>L6115120312</v>
      </c>
      <c r="E80" s="311">
        <v>1</v>
      </c>
      <c r="F80" s="432" t="s">
        <v>567</v>
      </c>
      <c r="G80" s="432" t="s">
        <v>907</v>
      </c>
      <c r="H80" s="432" t="s">
        <v>914</v>
      </c>
      <c r="I80" s="312">
        <v>46138</v>
      </c>
      <c r="J80" s="311"/>
      <c r="K80" s="317"/>
      <c r="L80" s="317" t="s">
        <v>616</v>
      </c>
      <c r="M80" s="25" t="str">
        <f t="shared" si="6"/>
        <v>L611512031</v>
      </c>
      <c r="N80" s="25" t="str">
        <f t="shared" si="7"/>
        <v>XEM</v>
      </c>
      <c r="O80" s="80"/>
      <c r="P80" s="311" t="s">
        <v>719</v>
      </c>
    </row>
    <row r="81" spans="1:17" hidden="1">
      <c r="A81" s="311">
        <v>12</v>
      </c>
      <c r="B81" s="311" t="s">
        <v>759</v>
      </c>
      <c r="C81" s="330">
        <v>5</v>
      </c>
      <c r="D81" s="330" t="str">
        <f t="shared" si="8"/>
        <v>213601029A5</v>
      </c>
      <c r="E81" s="330">
        <v>1</v>
      </c>
      <c r="F81" s="432" t="e">
        <v>#N/A</v>
      </c>
      <c r="G81" s="432" t="e">
        <v>#N/A</v>
      </c>
      <c r="H81" s="432" t="e">
        <v>#N/A</v>
      </c>
      <c r="I81" s="312">
        <v>46138</v>
      </c>
      <c r="J81" s="311" t="s">
        <v>807</v>
      </c>
      <c r="K81" s="317"/>
      <c r="L81" s="317" t="s">
        <v>760</v>
      </c>
      <c r="M81" s="25" t="str">
        <f t="shared" si="6"/>
        <v>213601029A</v>
      </c>
      <c r="N81" s="25" t="str">
        <f t="shared" si="7"/>
        <v>XEM</v>
      </c>
      <c r="O81" s="80"/>
      <c r="P81" s="311" t="s">
        <v>758</v>
      </c>
      <c r="Q81" t="s">
        <v>783</v>
      </c>
    </row>
    <row r="82" spans="1:17" hidden="1">
      <c r="A82" s="311">
        <v>13</v>
      </c>
      <c r="B82" s="413" t="s">
        <v>779</v>
      </c>
      <c r="C82" s="330">
        <v>2</v>
      </c>
      <c r="D82" s="330" t="str">
        <f t="shared" si="8"/>
        <v>213601120A2</v>
      </c>
      <c r="E82" s="330">
        <v>2</v>
      </c>
      <c r="F82" s="432" t="e">
        <v>#N/A</v>
      </c>
      <c r="G82" s="432" t="e">
        <v>#N/A</v>
      </c>
      <c r="H82" s="432" t="e">
        <v>#N/A</v>
      </c>
      <c r="I82" s="312">
        <v>46138</v>
      </c>
      <c r="J82" s="311" t="s">
        <v>856</v>
      </c>
      <c r="K82" s="317"/>
      <c r="L82" s="317" t="s">
        <v>714</v>
      </c>
      <c r="M82" s="25" t="str">
        <f t="shared" si="6"/>
        <v>213601120A</v>
      </c>
      <c r="N82" s="25" t="str">
        <f t="shared" si="7"/>
        <v>XEM</v>
      </c>
      <c r="O82" s="80"/>
      <c r="P82" s="354" t="s">
        <v>776</v>
      </c>
      <c r="Q82" t="s">
        <v>866</v>
      </c>
    </row>
    <row r="83" spans="1:17" ht="15.75" hidden="1">
      <c r="A83" s="311">
        <v>14</v>
      </c>
      <c r="B83" s="381" t="s">
        <v>780</v>
      </c>
      <c r="C83" s="330">
        <v>3</v>
      </c>
      <c r="D83" s="330" t="str">
        <f t="shared" si="8"/>
        <v>213601121A3</v>
      </c>
      <c r="E83" s="330">
        <v>1</v>
      </c>
      <c r="F83" s="432" t="e">
        <v>#N/A</v>
      </c>
      <c r="G83" s="432" t="e">
        <v>#N/A</v>
      </c>
      <c r="H83" s="432" t="e">
        <v>#N/A</v>
      </c>
      <c r="I83" s="312">
        <v>46138</v>
      </c>
      <c r="J83" s="311" t="s">
        <v>856</v>
      </c>
      <c r="K83" s="317"/>
      <c r="L83" s="317" t="s">
        <v>714</v>
      </c>
      <c r="M83" s="25" t="str">
        <f t="shared" si="6"/>
        <v>213601121A</v>
      </c>
      <c r="N83" s="25" t="str">
        <f t="shared" si="7"/>
        <v>XEM</v>
      </c>
      <c r="O83" s="80"/>
      <c r="P83" s="354" t="s">
        <v>777</v>
      </c>
      <c r="Q83" t="s">
        <v>813</v>
      </c>
    </row>
    <row r="84" spans="1:17" hidden="1">
      <c r="A84" s="394">
        <v>15</v>
      </c>
      <c r="B84" s="394" t="s">
        <v>778</v>
      </c>
      <c r="C84" s="423">
        <v>6</v>
      </c>
      <c r="D84" s="423" t="str">
        <f t="shared" si="8"/>
        <v>L2135127046</v>
      </c>
      <c r="E84" s="423"/>
      <c r="F84" s="432" t="e">
        <v>#N/A</v>
      </c>
      <c r="G84" s="432" t="e">
        <v>#N/A</v>
      </c>
      <c r="H84" s="432" t="e">
        <v>#N/A</v>
      </c>
      <c r="I84" s="427">
        <v>46138</v>
      </c>
      <c r="J84" s="394" t="s">
        <v>807</v>
      </c>
      <c r="K84" s="396"/>
      <c r="L84" s="325" t="s">
        <v>781</v>
      </c>
      <c r="M84" s="25" t="str">
        <f t="shared" si="6"/>
        <v>L213512704</v>
      </c>
      <c r="N84" s="25" t="str">
        <f t="shared" si="7"/>
        <v>XEM</v>
      </c>
      <c r="O84" s="80"/>
      <c r="P84" s="80"/>
      <c r="Q84" t="s">
        <v>806</v>
      </c>
    </row>
    <row r="85" spans="1:17" hidden="1">
      <c r="A85" s="311">
        <v>16</v>
      </c>
      <c r="B85" s="431" t="s">
        <v>800</v>
      </c>
      <c r="C85" s="354">
        <v>9</v>
      </c>
      <c r="D85" s="311" t="str">
        <f t="shared" si="8"/>
        <v>213601033A9</v>
      </c>
      <c r="E85" s="311">
        <v>2</v>
      </c>
      <c r="F85" s="432" t="e">
        <v>#N/A</v>
      </c>
      <c r="G85" s="432" t="e">
        <v>#N/A</v>
      </c>
      <c r="H85" s="432" t="e">
        <v>#N/A</v>
      </c>
      <c r="I85" s="312">
        <v>46138</v>
      </c>
      <c r="J85" s="311"/>
      <c r="K85" s="317"/>
      <c r="L85" s="360" t="s">
        <v>714</v>
      </c>
      <c r="M85" s="25" t="str">
        <f t="shared" si="6"/>
        <v>213601033A</v>
      </c>
      <c r="N85" s="25" t="str">
        <f t="shared" si="7"/>
        <v>XEM</v>
      </c>
      <c r="O85" s="80"/>
      <c r="P85" s="354" t="s">
        <v>795</v>
      </c>
      <c r="Q85" t="s">
        <v>813</v>
      </c>
    </row>
    <row r="86" spans="1:17" ht="16.5">
      <c r="A86" s="311">
        <v>17</v>
      </c>
      <c r="B86" s="412" t="s">
        <v>801</v>
      </c>
      <c r="C86" s="354">
        <v>28</v>
      </c>
      <c r="D86" s="311" t="str">
        <f t="shared" si="8"/>
        <v>213602069A28</v>
      </c>
      <c r="E86" s="311">
        <v>1</v>
      </c>
      <c r="F86" s="432" t="s">
        <v>931</v>
      </c>
      <c r="G86" s="432" t="s">
        <v>932</v>
      </c>
      <c r="H86" s="432" t="s">
        <v>933</v>
      </c>
      <c r="I86" s="312">
        <v>46138</v>
      </c>
      <c r="J86" s="311"/>
      <c r="K86" s="317"/>
      <c r="L86" s="360" t="s">
        <v>732</v>
      </c>
      <c r="M86" s="25" t="str">
        <f t="shared" si="6"/>
        <v>213602069A</v>
      </c>
      <c r="N86" s="25" t="str">
        <f t="shared" si="7"/>
        <v>XEM</v>
      </c>
      <c r="O86" s="80"/>
      <c r="P86" s="354" t="s">
        <v>796</v>
      </c>
      <c r="Q86" t="s">
        <v>813</v>
      </c>
    </row>
    <row r="87" spans="1:17" ht="17.25">
      <c r="A87" s="311">
        <v>18</v>
      </c>
      <c r="B87" s="411" t="s">
        <v>797</v>
      </c>
      <c r="C87" s="311">
        <v>1</v>
      </c>
      <c r="D87" s="311" t="str">
        <f t="shared" si="8"/>
        <v>L6116020321</v>
      </c>
      <c r="E87" s="311">
        <v>4</v>
      </c>
      <c r="F87" s="432" t="s">
        <v>837</v>
      </c>
      <c r="G87" s="432" t="s">
        <v>838</v>
      </c>
      <c r="H87" s="432">
        <v>0</v>
      </c>
      <c r="I87" s="312">
        <v>46138</v>
      </c>
      <c r="J87" s="311"/>
      <c r="K87" s="317"/>
      <c r="L87" s="360" t="s">
        <v>616</v>
      </c>
      <c r="M87" s="25" t="str">
        <f t="shared" si="6"/>
        <v>L611602032</v>
      </c>
      <c r="N87" s="25" t="str">
        <f t="shared" si="7"/>
        <v>XEM</v>
      </c>
      <c r="O87" s="80"/>
      <c r="P87" s="362" t="s">
        <v>798</v>
      </c>
    </row>
    <row r="88" spans="1:17" ht="17.25" hidden="1">
      <c r="A88" s="311">
        <v>19</v>
      </c>
      <c r="B88" s="382" t="s">
        <v>797</v>
      </c>
      <c r="C88" s="318">
        <v>2</v>
      </c>
      <c r="D88" s="318" t="str">
        <f t="shared" si="8"/>
        <v>L6116020322</v>
      </c>
      <c r="E88" s="318">
        <v>4</v>
      </c>
      <c r="F88" s="432" t="e">
        <v>#N/A</v>
      </c>
      <c r="G88" s="432" t="e">
        <v>#N/A</v>
      </c>
      <c r="H88" s="432" t="e">
        <v>#N/A</v>
      </c>
      <c r="I88" s="312">
        <v>46138</v>
      </c>
      <c r="J88" s="311"/>
      <c r="K88" s="317"/>
      <c r="L88" s="360" t="s">
        <v>616</v>
      </c>
      <c r="M88" s="25" t="str">
        <f t="shared" si="6"/>
        <v>L611602032</v>
      </c>
      <c r="N88" s="25" t="str">
        <f t="shared" si="7"/>
        <v>XEM</v>
      </c>
      <c r="O88" s="80"/>
      <c r="P88" s="362" t="s">
        <v>798</v>
      </c>
    </row>
    <row r="89" spans="1:17" ht="17.25" hidden="1">
      <c r="A89" s="394">
        <v>20</v>
      </c>
      <c r="B89" s="429" t="s">
        <v>797</v>
      </c>
      <c r="C89" s="395">
        <v>3</v>
      </c>
      <c r="D89" s="423" t="str">
        <f t="shared" si="8"/>
        <v>L6116020323</v>
      </c>
      <c r="E89" s="395">
        <v>4</v>
      </c>
      <c r="F89" s="432" t="e">
        <v>#N/A</v>
      </c>
      <c r="G89" s="432" t="e">
        <v>#N/A</v>
      </c>
      <c r="H89" s="432" t="e">
        <v>#N/A</v>
      </c>
      <c r="I89" s="427">
        <v>46138</v>
      </c>
      <c r="J89" s="394"/>
      <c r="K89" s="396"/>
      <c r="L89" s="360" t="s">
        <v>616</v>
      </c>
      <c r="M89" s="25" t="str">
        <f t="shared" si="6"/>
        <v>L611602032</v>
      </c>
      <c r="N89" s="25" t="str">
        <f t="shared" si="7"/>
        <v>XEM</v>
      </c>
      <c r="O89" s="80"/>
      <c r="P89" s="362" t="s">
        <v>798</v>
      </c>
    </row>
    <row r="90" spans="1:17" ht="17.25">
      <c r="A90" s="311">
        <v>21</v>
      </c>
      <c r="B90" s="411" t="s">
        <v>797</v>
      </c>
      <c r="C90" s="354">
        <v>4</v>
      </c>
      <c r="D90" s="311" t="str">
        <f t="shared" si="8"/>
        <v>L6116020324</v>
      </c>
      <c r="E90" s="354">
        <v>8</v>
      </c>
      <c r="F90" s="432" t="s">
        <v>853</v>
      </c>
      <c r="G90" s="432" t="s">
        <v>854</v>
      </c>
      <c r="H90" s="432">
        <v>0</v>
      </c>
      <c r="I90" s="312">
        <v>46138</v>
      </c>
      <c r="J90" s="311" t="s">
        <v>828</v>
      </c>
      <c r="K90" s="317"/>
      <c r="L90" s="360" t="s">
        <v>616</v>
      </c>
      <c r="M90" s="25" t="str">
        <f t="shared" si="6"/>
        <v>L611602032</v>
      </c>
      <c r="N90" s="25" t="str">
        <f t="shared" si="7"/>
        <v>XEM</v>
      </c>
      <c r="O90" s="80"/>
      <c r="P90" s="362" t="s">
        <v>798</v>
      </c>
    </row>
    <row r="91" spans="1:17" ht="17.25">
      <c r="A91" s="311">
        <v>22</v>
      </c>
      <c r="B91" s="411" t="s">
        <v>808</v>
      </c>
      <c r="C91" s="354">
        <v>1</v>
      </c>
      <c r="D91" s="354" t="str">
        <f t="shared" si="8"/>
        <v>L6116020331</v>
      </c>
      <c r="E91" s="311">
        <v>5</v>
      </c>
      <c r="F91" s="432" t="s">
        <v>837</v>
      </c>
      <c r="G91" s="432" t="s">
        <v>838</v>
      </c>
      <c r="H91" s="432">
        <v>0</v>
      </c>
      <c r="I91" s="312">
        <v>46138</v>
      </c>
      <c r="J91" s="311"/>
      <c r="K91" s="317"/>
      <c r="L91" s="360" t="s">
        <v>616</v>
      </c>
      <c r="M91" s="25" t="str">
        <f t="shared" si="6"/>
        <v>L611602033</v>
      </c>
      <c r="N91" s="25" t="str">
        <f t="shared" si="7"/>
        <v>XEM</v>
      </c>
      <c r="O91" s="80"/>
      <c r="P91" s="361" t="s">
        <v>799</v>
      </c>
    </row>
    <row r="92" spans="1:17" ht="17.25" hidden="1">
      <c r="A92" s="311">
        <v>23</v>
      </c>
      <c r="B92" s="382" t="s">
        <v>808</v>
      </c>
      <c r="C92" s="330">
        <v>2</v>
      </c>
      <c r="D92" s="330" t="str">
        <f t="shared" si="8"/>
        <v>L6116020332</v>
      </c>
      <c r="E92" s="318">
        <v>5</v>
      </c>
      <c r="F92" s="432" t="e">
        <v>#N/A</v>
      </c>
      <c r="G92" s="432" t="e">
        <v>#N/A</v>
      </c>
      <c r="H92" s="432" t="e">
        <v>#N/A</v>
      </c>
      <c r="I92" s="312">
        <v>46138</v>
      </c>
      <c r="J92" s="311" t="s">
        <v>856</v>
      </c>
      <c r="K92" s="317"/>
      <c r="L92" s="360" t="s">
        <v>616</v>
      </c>
      <c r="M92" s="25" t="str">
        <f t="shared" si="6"/>
        <v>L611602033</v>
      </c>
      <c r="N92" s="25" t="str">
        <f t="shared" si="7"/>
        <v>XEM</v>
      </c>
      <c r="O92" s="80"/>
      <c r="P92" s="361" t="s">
        <v>799</v>
      </c>
      <c r="Q92" t="s">
        <v>866</v>
      </c>
    </row>
    <row r="93" spans="1:17" ht="17.25" hidden="1">
      <c r="A93" s="394">
        <v>24</v>
      </c>
      <c r="B93" s="429" t="s">
        <v>808</v>
      </c>
      <c r="C93" s="395">
        <v>3</v>
      </c>
      <c r="D93" s="395" t="str">
        <f t="shared" si="8"/>
        <v>L6116020333</v>
      </c>
      <c r="E93" s="423">
        <v>5</v>
      </c>
      <c r="F93" s="432" t="e">
        <v>#N/A</v>
      </c>
      <c r="G93" s="432" t="e">
        <v>#N/A</v>
      </c>
      <c r="H93" s="432" t="e">
        <v>#N/A</v>
      </c>
      <c r="I93" s="427">
        <v>46138</v>
      </c>
      <c r="J93" s="394"/>
      <c r="K93" s="396"/>
      <c r="L93" s="360" t="s">
        <v>616</v>
      </c>
      <c r="M93" s="25" t="str">
        <f t="shared" si="6"/>
        <v>L611602033</v>
      </c>
      <c r="N93" s="25" t="str">
        <f t="shared" si="7"/>
        <v>XEM</v>
      </c>
      <c r="O93" s="80"/>
      <c r="P93" s="361" t="s">
        <v>799</v>
      </c>
    </row>
    <row r="94" spans="1:17" ht="17.25">
      <c r="A94" s="311">
        <v>25</v>
      </c>
      <c r="B94" s="411" t="s">
        <v>808</v>
      </c>
      <c r="C94" s="354">
        <v>4</v>
      </c>
      <c r="D94" s="354" t="str">
        <f t="shared" si="8"/>
        <v>L6116020334</v>
      </c>
      <c r="E94" s="311">
        <v>10</v>
      </c>
      <c r="F94" s="432" t="s">
        <v>853</v>
      </c>
      <c r="G94" s="432" t="s">
        <v>854</v>
      </c>
      <c r="H94" s="432">
        <v>0</v>
      </c>
      <c r="I94" s="312">
        <v>46138</v>
      </c>
      <c r="J94" s="311" t="s">
        <v>828</v>
      </c>
      <c r="K94" s="317"/>
      <c r="L94" s="360" t="s">
        <v>616</v>
      </c>
      <c r="M94" s="25" t="str">
        <f t="shared" si="6"/>
        <v>L611602033</v>
      </c>
      <c r="N94" s="25" t="str">
        <f t="shared" si="7"/>
        <v>XEM</v>
      </c>
      <c r="O94" s="80"/>
      <c r="P94" s="361" t="s">
        <v>799</v>
      </c>
    </row>
    <row r="95" spans="1:17" ht="17.25" hidden="1">
      <c r="A95" s="394">
        <v>26</v>
      </c>
      <c r="B95" s="394" t="s">
        <v>810</v>
      </c>
      <c r="C95" s="395">
        <v>29</v>
      </c>
      <c r="D95" s="395" t="str">
        <f t="shared" si="8"/>
        <v>213510322A29</v>
      </c>
      <c r="E95" s="395">
        <v>1</v>
      </c>
      <c r="F95" s="432" t="e">
        <v>#N/A</v>
      </c>
      <c r="G95" s="432" t="e">
        <v>#N/A</v>
      </c>
      <c r="H95" s="432" t="e">
        <v>#N/A</v>
      </c>
      <c r="I95" s="427">
        <v>46138</v>
      </c>
      <c r="J95" s="394"/>
      <c r="K95" s="396" t="s">
        <v>886</v>
      </c>
      <c r="L95" s="317"/>
      <c r="M95" s="25" t="str">
        <f t="shared" si="6"/>
        <v>213510322A</v>
      </c>
      <c r="N95" s="25" t="str">
        <f t="shared" si="7"/>
        <v>XEM</v>
      </c>
      <c r="O95" s="80"/>
      <c r="P95" s="361" t="s">
        <v>809</v>
      </c>
    </row>
    <row r="96" spans="1:17" ht="17.25">
      <c r="A96" s="311">
        <v>27</v>
      </c>
      <c r="B96" s="431">
        <v>6126010047</v>
      </c>
      <c r="C96" s="354">
        <v>1</v>
      </c>
      <c r="D96" s="354" t="str">
        <f t="shared" si="8"/>
        <v>61260100471</v>
      </c>
      <c r="E96" s="354">
        <v>1</v>
      </c>
      <c r="F96" s="432" t="s">
        <v>850</v>
      </c>
      <c r="G96" s="432" t="s">
        <v>855</v>
      </c>
      <c r="H96" s="432">
        <v>0</v>
      </c>
      <c r="I96" s="312">
        <v>46138</v>
      </c>
      <c r="J96" s="311" t="s">
        <v>828</v>
      </c>
      <c r="K96" s="317"/>
      <c r="L96" s="396"/>
      <c r="M96" s="25" t="str">
        <f t="shared" si="6"/>
        <v>6126010047</v>
      </c>
      <c r="N96" s="25" t="str">
        <f t="shared" si="7"/>
        <v>XEM</v>
      </c>
      <c r="O96" s="80"/>
      <c r="P96" s="361" t="s">
        <v>812</v>
      </c>
    </row>
    <row r="97" spans="1:17" ht="17.25" hidden="1">
      <c r="A97" s="311">
        <v>28</v>
      </c>
      <c r="B97" s="409" t="s">
        <v>874</v>
      </c>
      <c r="C97" s="318"/>
      <c r="D97" s="395" t="str">
        <f t="shared" si="8"/>
        <v>213508916A</v>
      </c>
      <c r="E97" s="330">
        <v>1</v>
      </c>
      <c r="F97" s="432" t="e">
        <v>#N/A</v>
      </c>
      <c r="G97" s="432" t="e">
        <v>#N/A</v>
      </c>
      <c r="H97" s="432" t="e">
        <v>#N/A</v>
      </c>
      <c r="I97" s="311"/>
      <c r="J97" s="311"/>
      <c r="K97" s="317"/>
      <c r="L97" s="360" t="s">
        <v>876</v>
      </c>
      <c r="M97" s="25" t="str">
        <f t="shared" si="6"/>
        <v>213508916A</v>
      </c>
      <c r="N97" s="25" t="str">
        <f t="shared" si="7"/>
        <v>XEM</v>
      </c>
      <c r="O97" s="80"/>
      <c r="P97" s="361" t="s">
        <v>833</v>
      </c>
      <c r="Q97" t="s">
        <v>875</v>
      </c>
    </row>
    <row r="98" spans="1:17" ht="17.25" hidden="1">
      <c r="A98" s="394">
        <v>29</v>
      </c>
      <c r="B98" s="382" t="s">
        <v>872</v>
      </c>
      <c r="C98" s="318"/>
      <c r="D98" s="395" t="str">
        <f t="shared" si="8"/>
        <v>R21350838B</v>
      </c>
      <c r="E98" s="330">
        <v>1</v>
      </c>
      <c r="F98" s="432" t="e">
        <v>#N/A</v>
      </c>
      <c r="G98" s="432" t="e">
        <v>#N/A</v>
      </c>
      <c r="H98" s="432" t="e">
        <v>#N/A</v>
      </c>
      <c r="I98" s="311"/>
      <c r="J98" s="311"/>
      <c r="K98" s="317"/>
      <c r="L98" s="360" t="s">
        <v>873</v>
      </c>
      <c r="M98" s="25" t="str">
        <f t="shared" si="6"/>
        <v>R21350838B</v>
      </c>
      <c r="N98" s="25" t="str">
        <f t="shared" si="7"/>
        <v>XEM</v>
      </c>
      <c r="O98" s="80"/>
      <c r="P98" s="361" t="s">
        <v>871</v>
      </c>
    </row>
    <row r="99" spans="1:17" ht="17.25">
      <c r="A99" s="321"/>
      <c r="B99" s="321"/>
      <c r="C99" s="321"/>
      <c r="D99" s="321"/>
      <c r="E99" s="321"/>
      <c r="F99" s="225"/>
      <c r="G99" s="321"/>
      <c r="H99" s="321"/>
      <c r="I99" s="321"/>
      <c r="J99" s="321"/>
      <c r="K99" s="80"/>
      <c r="L99" s="80"/>
      <c r="M99" s="80"/>
      <c r="N99" s="80"/>
      <c r="O99" s="80"/>
      <c r="P99" s="419"/>
    </row>
    <row r="100" spans="1:17">
      <c r="A100" s="321"/>
      <c r="B100" s="321"/>
      <c r="C100" s="321"/>
      <c r="D100" s="321"/>
      <c r="E100" s="321"/>
      <c r="F100" s="225"/>
      <c r="G100" s="321"/>
      <c r="H100" s="321"/>
      <c r="I100" s="321"/>
      <c r="J100" s="321"/>
      <c r="K100" s="80"/>
      <c r="L100" s="80"/>
      <c r="M100" s="80"/>
      <c r="N100" s="80"/>
      <c r="O100" s="80"/>
      <c r="P100" s="80"/>
    </row>
    <row r="101" spans="1:17">
      <c r="A101" s="321"/>
      <c r="B101" s="321"/>
      <c r="C101" s="321"/>
      <c r="D101" s="321"/>
      <c r="E101" s="321"/>
      <c r="F101" s="225"/>
      <c r="G101" s="321"/>
      <c r="H101" s="321"/>
      <c r="I101" s="321"/>
      <c r="J101" s="321"/>
      <c r="K101" s="80"/>
      <c r="L101" s="80"/>
      <c r="M101" s="80"/>
      <c r="N101" s="80"/>
      <c r="O101" s="80"/>
      <c r="P101" s="80"/>
    </row>
    <row r="102" spans="1:17">
      <c r="A102" s="321"/>
      <c r="B102" s="321"/>
      <c r="C102" s="321"/>
      <c r="D102" s="321"/>
      <c r="E102" s="321"/>
      <c r="F102" s="225"/>
      <c r="G102" s="321"/>
      <c r="H102" s="321"/>
      <c r="I102" s="321"/>
      <c r="J102" s="321"/>
      <c r="K102" s="80"/>
      <c r="L102" s="80"/>
      <c r="M102" s="80"/>
      <c r="N102" s="80"/>
      <c r="O102" s="80"/>
      <c r="P102" s="80"/>
    </row>
    <row r="103" spans="1:17">
      <c r="A103" s="321"/>
      <c r="B103" s="321"/>
      <c r="C103" s="321"/>
      <c r="D103" s="321"/>
      <c r="E103" s="321"/>
      <c r="F103" s="225"/>
      <c r="G103" s="321"/>
      <c r="H103" s="321"/>
      <c r="I103" s="321"/>
      <c r="J103" s="321"/>
      <c r="K103" s="80"/>
      <c r="L103" s="80"/>
      <c r="M103" s="80"/>
      <c r="N103" s="80"/>
      <c r="O103" s="80"/>
      <c r="P103" s="80"/>
    </row>
    <row r="104" spans="1:17">
      <c r="A104" s="321"/>
      <c r="B104" s="321"/>
      <c r="C104" s="321"/>
      <c r="D104" s="321"/>
      <c r="E104" s="321"/>
      <c r="F104" s="225"/>
      <c r="G104" s="321"/>
      <c r="H104" s="321"/>
      <c r="I104" s="321"/>
      <c r="J104" s="321"/>
      <c r="K104" s="80"/>
      <c r="L104" s="80"/>
      <c r="M104" s="80"/>
      <c r="N104" s="80"/>
      <c r="O104" s="80"/>
      <c r="P104" s="80"/>
    </row>
    <row r="105" spans="1:17">
      <c r="A105" s="321"/>
      <c r="B105" s="321"/>
      <c r="C105" s="321"/>
      <c r="D105" s="321"/>
      <c r="E105" s="321"/>
      <c r="F105" s="225"/>
      <c r="G105" s="321"/>
      <c r="H105" s="321"/>
      <c r="I105" s="321"/>
      <c r="J105" s="321"/>
      <c r="K105" s="80"/>
      <c r="L105" s="80"/>
      <c r="M105" s="80"/>
      <c r="N105" s="80"/>
      <c r="O105" s="80"/>
      <c r="P105" s="80"/>
    </row>
    <row r="106" spans="1:17">
      <c r="A106" s="321"/>
      <c r="B106" s="321"/>
      <c r="C106" s="321"/>
      <c r="D106" s="321"/>
      <c r="E106" s="321"/>
      <c r="F106" s="225"/>
      <c r="G106" s="321"/>
      <c r="H106" s="321"/>
      <c r="I106" s="321"/>
      <c r="J106" s="321"/>
      <c r="K106" s="80"/>
      <c r="L106" s="80"/>
      <c r="M106" s="80"/>
      <c r="N106" s="80"/>
      <c r="O106" s="80"/>
      <c r="P106" s="80"/>
    </row>
    <row r="107" spans="1:17">
      <c r="A107" s="321"/>
      <c r="B107" s="321"/>
      <c r="C107" s="321"/>
      <c r="D107" s="321"/>
      <c r="E107" s="321"/>
      <c r="F107" s="225"/>
      <c r="G107" s="321"/>
      <c r="H107" s="321"/>
      <c r="I107" s="321"/>
      <c r="J107" s="321"/>
      <c r="K107" s="80"/>
      <c r="L107" s="80"/>
      <c r="M107" s="80"/>
      <c r="N107" s="80"/>
      <c r="O107" s="80"/>
      <c r="P107" s="80"/>
    </row>
    <row r="108" spans="1:17">
      <c r="A108" s="321"/>
      <c r="B108" s="321"/>
      <c r="C108" s="321"/>
      <c r="D108" s="321"/>
      <c r="E108" s="321"/>
      <c r="F108" s="225"/>
      <c r="G108" s="321"/>
      <c r="H108" s="321"/>
      <c r="I108" s="321"/>
      <c r="J108" s="321"/>
      <c r="K108" s="80"/>
      <c r="L108" s="80"/>
      <c r="M108" s="80"/>
      <c r="N108" s="80"/>
      <c r="O108" s="80"/>
      <c r="P108" s="80"/>
    </row>
    <row r="109" spans="1:17">
      <c r="A109" s="321"/>
      <c r="B109" s="321"/>
      <c r="C109" s="321"/>
      <c r="D109" s="321"/>
      <c r="E109" s="321"/>
      <c r="F109" s="225"/>
      <c r="G109" s="321"/>
      <c r="H109" s="321"/>
      <c r="I109" s="321"/>
      <c r="J109" s="321"/>
      <c r="K109" s="80"/>
      <c r="L109" s="80"/>
      <c r="M109" s="80"/>
      <c r="N109" s="80"/>
      <c r="O109" s="80"/>
      <c r="P109" s="80"/>
    </row>
    <row r="110" spans="1:17">
      <c r="A110" s="321"/>
      <c r="B110" s="321"/>
      <c r="C110" s="321"/>
      <c r="D110" s="321"/>
      <c r="E110" s="321"/>
      <c r="F110" s="225"/>
      <c r="G110" s="321"/>
      <c r="H110" s="321"/>
      <c r="I110" s="321"/>
      <c r="J110" s="321"/>
      <c r="K110" s="80"/>
      <c r="L110" s="80"/>
      <c r="M110" s="80"/>
      <c r="N110" s="80"/>
      <c r="O110" s="80"/>
      <c r="P110" s="80"/>
    </row>
    <row r="111" spans="1:17">
      <c r="A111" s="321"/>
      <c r="B111" s="321"/>
      <c r="C111" s="321"/>
      <c r="D111" s="321"/>
      <c r="E111" s="321"/>
      <c r="F111" s="225"/>
      <c r="G111" s="321"/>
      <c r="H111" s="321"/>
      <c r="I111" s="321"/>
      <c r="J111" s="321"/>
      <c r="K111" s="80"/>
      <c r="L111" s="80"/>
      <c r="M111" s="80"/>
      <c r="N111" s="80"/>
      <c r="O111" s="80"/>
      <c r="P111" s="80"/>
    </row>
    <row r="112" spans="1:17">
      <c r="A112" s="321"/>
      <c r="B112" s="321"/>
      <c r="C112" s="321"/>
      <c r="D112" s="321"/>
      <c r="E112" s="321"/>
      <c r="F112" s="225"/>
      <c r="G112" s="321"/>
      <c r="H112" s="321"/>
      <c r="I112" s="321"/>
      <c r="J112" s="321"/>
      <c r="K112" s="80"/>
      <c r="L112" s="80"/>
      <c r="M112" s="80"/>
      <c r="N112" s="80"/>
      <c r="O112" s="80"/>
      <c r="P112" s="80"/>
    </row>
    <row r="113" spans="1:16">
      <c r="A113" s="321"/>
      <c r="B113" s="321"/>
      <c r="C113" s="321"/>
      <c r="D113" s="321"/>
      <c r="E113" s="321"/>
      <c r="F113" s="225"/>
      <c r="G113" s="321"/>
      <c r="H113" s="321"/>
      <c r="I113" s="321"/>
      <c r="J113" s="321"/>
      <c r="K113" s="80"/>
      <c r="L113" s="80"/>
      <c r="M113" s="80"/>
      <c r="N113" s="80"/>
      <c r="O113" s="80"/>
      <c r="P113" s="80"/>
    </row>
    <row r="114" spans="1:16">
      <c r="A114" s="321"/>
      <c r="B114" s="321"/>
      <c r="C114" s="321"/>
      <c r="D114" s="321"/>
      <c r="E114" s="321"/>
      <c r="F114" s="225"/>
      <c r="G114" s="321"/>
      <c r="H114" s="321"/>
      <c r="I114" s="321"/>
      <c r="J114" s="321"/>
      <c r="K114" s="80"/>
      <c r="L114" s="80"/>
      <c r="M114" s="80"/>
      <c r="N114" s="80"/>
      <c r="O114" s="80"/>
      <c r="P114" s="80"/>
    </row>
  </sheetData>
  <autoFilter ref="A3:Q98" xr:uid="{2EF19D88-C964-42DC-BED6-3871A4AC6E76}">
    <filterColumn colId="5">
      <filters>
        <filter val="AF1"/>
        <filter val="BJ1"/>
        <filter val="ED1"/>
        <filter val="EN1"/>
        <filter val="EW1"/>
        <filter val="GP1"/>
        <filter val="GR3"/>
        <filter val="GS1"/>
        <filter val="LA1"/>
        <filter val="LN1"/>
        <filter val="MA1"/>
        <filter val="WG1"/>
      </filters>
    </filterColumn>
  </autoFilter>
  <mergeCells count="13">
    <mergeCell ref="L48:L68"/>
    <mergeCell ref="L4:L27"/>
    <mergeCell ref="L29:L46"/>
    <mergeCell ref="A2:A3"/>
    <mergeCell ref="A1:I1"/>
    <mergeCell ref="J1:J3"/>
    <mergeCell ref="B2:B3"/>
    <mergeCell ref="C2:C3"/>
    <mergeCell ref="E2:E3"/>
    <mergeCell ref="F2:F3"/>
    <mergeCell ref="G2:G3"/>
    <mergeCell ref="I2:I3"/>
    <mergeCell ref="H2:H3"/>
  </mergeCells>
  <phoneticPr fontId="24"/>
  <conditionalFormatting sqref="B1:B3 B99:B1048576 B12:B28 B34:B47 B56:B96">
    <cfRule type="duplicateValues" dxfId="10" priority="1"/>
  </conditionalFormatting>
  <conditionalFormatting sqref="P1:P1048576">
    <cfRule type="duplicateValues" dxfId="9" priority="2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1791-431A-4472-BC25-82AA51C622FD}">
  <dimension ref="B2:F7"/>
  <sheetViews>
    <sheetView workbookViewId="0">
      <selection activeCell="C20" sqref="C20"/>
    </sheetView>
  </sheetViews>
  <sheetFormatPr defaultRowHeight="15"/>
  <cols>
    <col min="2" max="2" width="59.42578125" customWidth="1"/>
    <col min="3" max="3" width="79.42578125" customWidth="1"/>
    <col min="4" max="4" width="17.42578125" style="135" customWidth="1"/>
    <col min="5" max="5" width="10.42578125" customWidth="1"/>
    <col min="6" max="6" width="54.42578125" customWidth="1"/>
  </cols>
  <sheetData>
    <row r="2" spans="2:6">
      <c r="B2" s="215" t="s">
        <v>93</v>
      </c>
      <c r="C2" s="215" t="s">
        <v>94</v>
      </c>
      <c r="D2" s="295" t="s">
        <v>608</v>
      </c>
      <c r="E2" s="19" t="s">
        <v>607</v>
      </c>
    </row>
    <row r="3" spans="2:6" ht="33.75">
      <c r="B3" s="234" t="s">
        <v>406</v>
      </c>
      <c r="C3" s="19" t="s">
        <v>91</v>
      </c>
      <c r="D3" s="295">
        <v>10202</v>
      </c>
      <c r="E3" s="235" t="s">
        <v>409</v>
      </c>
    </row>
    <row r="4" spans="2:6" ht="63.75">
      <c r="B4" s="507" t="s">
        <v>405</v>
      </c>
      <c r="C4" s="236" t="s">
        <v>566</v>
      </c>
      <c r="D4" s="297">
        <v>10202</v>
      </c>
      <c r="E4" s="235" t="s">
        <v>403</v>
      </c>
      <c r="F4" s="296" t="s">
        <v>604</v>
      </c>
    </row>
    <row r="5" spans="2:6">
      <c r="B5" s="525"/>
      <c r="C5" s="236" t="s">
        <v>411</v>
      </c>
      <c r="D5" s="297" t="s">
        <v>610</v>
      </c>
      <c r="E5" s="235" t="s">
        <v>410</v>
      </c>
    </row>
    <row r="6" spans="2:6">
      <c r="B6" s="525"/>
      <c r="C6" s="19" t="s">
        <v>90</v>
      </c>
      <c r="D6" s="297" t="s">
        <v>611</v>
      </c>
      <c r="E6" s="19" t="s">
        <v>89</v>
      </c>
    </row>
    <row r="7" spans="2:6" ht="18.75">
      <c r="B7" s="526"/>
      <c r="C7" s="19" t="s">
        <v>92</v>
      </c>
      <c r="D7" s="295" t="s">
        <v>609</v>
      </c>
      <c r="E7" s="19" t="s">
        <v>404</v>
      </c>
    </row>
  </sheetData>
  <mergeCells count="1">
    <mergeCell ref="B4:B7"/>
  </mergeCells>
  <phoneticPr fontId="2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97CF-28AC-4DDF-8DB4-20F202F032F0}">
  <dimension ref="A2:N121"/>
  <sheetViews>
    <sheetView topLeftCell="B52" zoomScale="115" zoomScaleNormal="115" workbookViewId="0">
      <selection activeCell="M30" sqref="M30"/>
    </sheetView>
  </sheetViews>
  <sheetFormatPr defaultColWidth="9" defaultRowHeight="15"/>
  <cols>
    <col min="1" max="1" width="0" style="56" hidden="1" customWidth="1"/>
    <col min="2" max="4" width="9" style="57"/>
    <col min="5" max="5" width="17.28515625" style="57" bestFit="1" customWidth="1"/>
    <col min="6" max="6" width="7.42578125" style="57" customWidth="1"/>
    <col min="7" max="7" width="9.42578125" style="57" bestFit="1" customWidth="1"/>
    <col min="8" max="8" width="13" style="57" bestFit="1" customWidth="1"/>
    <col min="9" max="9" width="10.28515625" style="57" bestFit="1" customWidth="1"/>
    <col min="10" max="10" width="12.42578125" style="57" customWidth="1"/>
    <col min="11" max="11" width="9" style="57"/>
    <col min="12" max="12" width="9" style="56"/>
    <col min="13" max="13" width="13.42578125" style="56" bestFit="1" customWidth="1"/>
    <col min="14" max="16384" width="9" style="56"/>
  </cols>
  <sheetData>
    <row r="2" spans="1:14" ht="31.5">
      <c r="A2" s="286" t="s">
        <v>414</v>
      </c>
      <c r="B2" s="286" t="s">
        <v>415</v>
      </c>
      <c r="C2" s="239" t="s">
        <v>77</v>
      </c>
      <c r="D2" s="287" t="s">
        <v>392</v>
      </c>
      <c r="E2" s="287" t="s">
        <v>416</v>
      </c>
      <c r="F2" s="286" t="s">
        <v>417</v>
      </c>
      <c r="G2" s="286" t="s">
        <v>418</v>
      </c>
      <c r="H2" s="286" t="s">
        <v>419</v>
      </c>
      <c r="I2" s="288" t="s">
        <v>420</v>
      </c>
      <c r="J2" s="288" t="s">
        <v>421</v>
      </c>
      <c r="K2" s="57" t="s">
        <v>6</v>
      </c>
      <c r="M2" s="272" t="s">
        <v>422</v>
      </c>
      <c r="N2" s="272" t="s">
        <v>423</v>
      </c>
    </row>
    <row r="3" spans="1:14">
      <c r="A3" s="61">
        <v>10</v>
      </c>
      <c r="B3" s="286">
        <v>1</v>
      </c>
      <c r="C3" s="286" t="s">
        <v>424</v>
      </c>
      <c r="D3" s="286" t="str">
        <f t="shared" ref="D3:D66" si="0">IF(C3="","",HYPERLINK("\\vdm-fsvr\Cokhi-機工\CONG VIEC CHUNG 2026\★2026年度年次目標設定\5.COSTDOWN 2026\5.MỤC TIÊU 2026\COSTDOWN 2026\PDF\"&amp;C3&amp;".pdf","XEM"))</f>
        <v>XEM</v>
      </c>
      <c r="E3" s="286" t="s">
        <v>425</v>
      </c>
      <c r="F3" s="286"/>
      <c r="G3" s="286"/>
      <c r="H3" s="286"/>
      <c r="I3" s="286">
        <v>12329</v>
      </c>
      <c r="J3" s="289" t="s">
        <v>426</v>
      </c>
      <c r="M3" s="56" t="s">
        <v>427</v>
      </c>
      <c r="N3" s="56" t="s">
        <v>423</v>
      </c>
    </row>
    <row r="4" spans="1:14">
      <c r="A4" s="61">
        <v>11</v>
      </c>
      <c r="B4" s="286">
        <v>2</v>
      </c>
      <c r="C4" s="286" t="s">
        <v>428</v>
      </c>
      <c r="D4" s="286" t="str">
        <f t="shared" si="0"/>
        <v>XEM</v>
      </c>
      <c r="E4" s="286" t="s">
        <v>425</v>
      </c>
      <c r="F4" s="286"/>
      <c r="G4" s="286"/>
      <c r="H4" s="286"/>
      <c r="I4" s="286">
        <v>12329</v>
      </c>
      <c r="J4" s="289" t="s">
        <v>426</v>
      </c>
    </row>
    <row r="5" spans="1:14">
      <c r="A5" s="61">
        <v>12</v>
      </c>
      <c r="B5" s="286">
        <v>3</v>
      </c>
      <c r="C5" s="286" t="s">
        <v>429</v>
      </c>
      <c r="D5" s="286" t="str">
        <f t="shared" si="0"/>
        <v>XEM</v>
      </c>
      <c r="E5" s="286" t="s">
        <v>430</v>
      </c>
      <c r="F5" s="286"/>
      <c r="G5" s="286"/>
      <c r="H5" s="286"/>
      <c r="I5" s="286">
        <v>12329</v>
      </c>
      <c r="J5" s="289" t="s">
        <v>426</v>
      </c>
    </row>
    <row r="6" spans="1:14">
      <c r="A6" s="61">
        <v>13</v>
      </c>
      <c r="B6" s="286">
        <v>4</v>
      </c>
      <c r="C6" s="286" t="s">
        <v>431</v>
      </c>
      <c r="D6" s="286" t="str">
        <f t="shared" si="0"/>
        <v>XEM</v>
      </c>
      <c r="E6" s="286" t="s">
        <v>432</v>
      </c>
      <c r="F6" s="286"/>
      <c r="G6" s="286"/>
      <c r="H6" s="286"/>
      <c r="I6" s="286">
        <v>12329</v>
      </c>
      <c r="J6" s="289" t="s">
        <v>426</v>
      </c>
    </row>
    <row r="7" spans="1:14">
      <c r="A7" s="61">
        <v>17</v>
      </c>
      <c r="B7" s="286">
        <v>5</v>
      </c>
      <c r="C7" s="286" t="s">
        <v>433</v>
      </c>
      <c r="D7" s="286" t="str">
        <f t="shared" si="0"/>
        <v>XEM</v>
      </c>
      <c r="E7" s="286" t="s">
        <v>600</v>
      </c>
      <c r="F7" s="286"/>
      <c r="G7" s="286"/>
      <c r="H7" s="286" t="s">
        <v>434</v>
      </c>
      <c r="I7" s="286">
        <v>10202</v>
      </c>
      <c r="J7" s="289" t="s">
        <v>426</v>
      </c>
      <c r="K7" s="57" t="s">
        <v>156</v>
      </c>
    </row>
    <row r="8" spans="1:14">
      <c r="A8" s="61">
        <v>20</v>
      </c>
      <c r="B8" s="286">
        <v>6</v>
      </c>
      <c r="C8" s="286" t="s">
        <v>435</v>
      </c>
      <c r="D8" s="286" t="str">
        <f t="shared" si="0"/>
        <v>XEM</v>
      </c>
      <c r="E8" s="286" t="s">
        <v>598</v>
      </c>
      <c r="F8" s="286"/>
      <c r="G8" s="286"/>
      <c r="H8" s="286" t="s">
        <v>434</v>
      </c>
      <c r="I8" s="286">
        <v>10202</v>
      </c>
      <c r="J8" s="289" t="s">
        <v>426</v>
      </c>
      <c r="K8" s="57" t="s">
        <v>156</v>
      </c>
    </row>
    <row r="9" spans="1:14">
      <c r="A9" s="61">
        <v>88</v>
      </c>
      <c r="B9" s="286">
        <v>50</v>
      </c>
      <c r="C9" s="286" t="s">
        <v>436</v>
      </c>
      <c r="D9" s="286" t="str">
        <f t="shared" si="0"/>
        <v>XEM</v>
      </c>
      <c r="E9" s="286" t="s">
        <v>603</v>
      </c>
      <c r="F9" s="286"/>
      <c r="G9" s="286"/>
      <c r="H9" s="286"/>
      <c r="I9" s="286">
        <v>10202</v>
      </c>
      <c r="J9" s="289" t="s">
        <v>426</v>
      </c>
      <c r="K9" s="57" t="s">
        <v>156</v>
      </c>
    </row>
    <row r="10" spans="1:14">
      <c r="A10" s="61">
        <v>15</v>
      </c>
      <c r="B10" s="286">
        <v>61</v>
      </c>
      <c r="C10" s="290" t="s">
        <v>437</v>
      </c>
      <c r="D10" s="286" t="str">
        <f t="shared" si="0"/>
        <v>XEM</v>
      </c>
      <c r="E10" s="286" t="s">
        <v>605</v>
      </c>
      <c r="F10" s="286"/>
      <c r="G10" s="286"/>
      <c r="H10" s="286" t="s">
        <v>434</v>
      </c>
      <c r="I10" s="286">
        <v>10202</v>
      </c>
      <c r="J10" s="289" t="s">
        <v>426</v>
      </c>
    </row>
    <row r="11" spans="1:14">
      <c r="A11" s="61">
        <v>18</v>
      </c>
      <c r="B11" s="286">
        <v>63</v>
      </c>
      <c r="C11" s="290" t="s">
        <v>438</v>
      </c>
      <c r="D11" s="286" t="str">
        <f t="shared" si="0"/>
        <v>XEM</v>
      </c>
      <c r="E11" s="286" t="s">
        <v>439</v>
      </c>
      <c r="F11" s="286"/>
      <c r="G11" s="286"/>
      <c r="H11" s="286" t="s">
        <v>434</v>
      </c>
      <c r="I11" s="286">
        <v>10202</v>
      </c>
      <c r="J11" s="289" t="s">
        <v>426</v>
      </c>
      <c r="K11" s="57" t="s">
        <v>156</v>
      </c>
    </row>
    <row r="12" spans="1:14">
      <c r="A12" s="61">
        <v>43</v>
      </c>
      <c r="B12" s="286">
        <v>84</v>
      </c>
      <c r="C12" s="290" t="s">
        <v>440</v>
      </c>
      <c r="D12" s="286" t="str">
        <f t="shared" si="0"/>
        <v>XEM</v>
      </c>
      <c r="E12" s="286" t="s">
        <v>441</v>
      </c>
      <c r="F12" s="286"/>
      <c r="G12" s="286"/>
      <c r="H12" s="286" t="s">
        <v>434</v>
      </c>
      <c r="I12" s="286">
        <v>10202</v>
      </c>
      <c r="J12" s="289" t="s">
        <v>426</v>
      </c>
      <c r="K12" s="57" t="s">
        <v>156</v>
      </c>
    </row>
    <row r="13" spans="1:14">
      <c r="A13" s="61">
        <v>48</v>
      </c>
      <c r="B13" s="286">
        <v>85</v>
      </c>
      <c r="C13" s="290" t="s">
        <v>442</v>
      </c>
      <c r="D13" s="286" t="str">
        <f t="shared" si="0"/>
        <v>XEM</v>
      </c>
      <c r="E13" s="286" t="s">
        <v>599</v>
      </c>
      <c r="F13" s="286"/>
      <c r="G13" s="286"/>
      <c r="H13" s="286" t="s">
        <v>434</v>
      </c>
      <c r="I13" s="286">
        <v>10202</v>
      </c>
      <c r="J13" s="289" t="s">
        <v>426</v>
      </c>
      <c r="K13" s="57" t="s">
        <v>156</v>
      </c>
    </row>
    <row r="14" spans="1:14">
      <c r="A14" s="61">
        <v>49</v>
      </c>
      <c r="B14" s="286">
        <v>86</v>
      </c>
      <c r="C14" s="290" t="s">
        <v>443</v>
      </c>
      <c r="D14" s="286" t="str">
        <f t="shared" si="0"/>
        <v>XEM</v>
      </c>
      <c r="E14" s="286" t="s">
        <v>601</v>
      </c>
      <c r="F14" s="286"/>
      <c r="G14" s="286"/>
      <c r="H14" s="286" t="s">
        <v>434</v>
      </c>
      <c r="I14" s="286">
        <v>10202</v>
      </c>
      <c r="J14" s="289" t="s">
        <v>426</v>
      </c>
      <c r="K14" s="57" t="s">
        <v>156</v>
      </c>
    </row>
    <row r="15" spans="1:14">
      <c r="A15" s="61">
        <v>50</v>
      </c>
      <c r="B15" s="286">
        <v>87</v>
      </c>
      <c r="C15" s="290" t="s">
        <v>444</v>
      </c>
      <c r="D15" s="286" t="str">
        <f t="shared" si="0"/>
        <v>XEM</v>
      </c>
      <c r="E15" s="286" t="s">
        <v>602</v>
      </c>
      <c r="F15" s="286"/>
      <c r="G15" s="286"/>
      <c r="H15" s="286" t="s">
        <v>434</v>
      </c>
      <c r="I15" s="286">
        <v>10202</v>
      </c>
      <c r="J15" s="289" t="s">
        <v>426</v>
      </c>
      <c r="K15" s="57" t="s">
        <v>156</v>
      </c>
    </row>
    <row r="16" spans="1:14">
      <c r="A16" s="61">
        <v>59</v>
      </c>
      <c r="B16" s="286">
        <v>92</v>
      </c>
      <c r="C16" s="290" t="s">
        <v>445</v>
      </c>
      <c r="D16" s="286" t="str">
        <f t="shared" si="0"/>
        <v>XEM</v>
      </c>
      <c r="E16" s="286" t="s">
        <v>599</v>
      </c>
      <c r="F16" s="286"/>
      <c r="G16" s="286"/>
      <c r="H16" s="286" t="s">
        <v>434</v>
      </c>
      <c r="I16" s="286">
        <v>10202</v>
      </c>
      <c r="J16" s="289" t="s">
        <v>426</v>
      </c>
      <c r="K16" s="57" t="s">
        <v>156</v>
      </c>
    </row>
    <row r="17" spans="1:10">
      <c r="A17" s="61">
        <v>24</v>
      </c>
      <c r="B17" s="286">
        <v>7</v>
      </c>
      <c r="C17" s="286" t="s">
        <v>446</v>
      </c>
      <c r="D17" s="286" t="str">
        <f t="shared" si="0"/>
        <v>XEM</v>
      </c>
      <c r="E17" s="286" t="s">
        <v>447</v>
      </c>
      <c r="F17" s="286"/>
      <c r="G17" s="286"/>
      <c r="H17" s="286"/>
      <c r="I17" s="286">
        <v>12329</v>
      </c>
      <c r="J17" s="289" t="s">
        <v>448</v>
      </c>
    </row>
    <row r="18" spans="1:10">
      <c r="A18" s="61">
        <v>25</v>
      </c>
      <c r="B18" s="286">
        <v>8</v>
      </c>
      <c r="C18" s="286" t="s">
        <v>449</v>
      </c>
      <c r="D18" s="286" t="str">
        <f t="shared" si="0"/>
        <v>XEM</v>
      </c>
      <c r="E18" s="286" t="s">
        <v>447</v>
      </c>
      <c r="F18" s="286"/>
      <c r="G18" s="286"/>
      <c r="H18" s="286"/>
      <c r="I18" s="286">
        <v>12329</v>
      </c>
      <c r="J18" s="289" t="s">
        <v>448</v>
      </c>
    </row>
    <row r="19" spans="1:10">
      <c r="A19" s="61">
        <v>26</v>
      </c>
      <c r="B19" s="286">
        <v>9</v>
      </c>
      <c r="C19" s="286" t="s">
        <v>450</v>
      </c>
      <c r="D19" s="286" t="str">
        <f t="shared" si="0"/>
        <v>XEM</v>
      </c>
      <c r="E19" s="286" t="s">
        <v>447</v>
      </c>
      <c r="F19" s="286"/>
      <c r="G19" s="286"/>
      <c r="H19" s="286"/>
      <c r="I19" s="286">
        <v>12329</v>
      </c>
      <c r="J19" s="289" t="s">
        <v>448</v>
      </c>
    </row>
    <row r="20" spans="1:10">
      <c r="A20" s="61">
        <v>27</v>
      </c>
      <c r="B20" s="286">
        <v>10</v>
      </c>
      <c r="C20" s="286" t="s">
        <v>451</v>
      </c>
      <c r="D20" s="286" t="str">
        <f t="shared" si="0"/>
        <v>XEM</v>
      </c>
      <c r="E20" s="286" t="s">
        <v>447</v>
      </c>
      <c r="F20" s="286"/>
      <c r="G20" s="286"/>
      <c r="H20" s="286"/>
      <c r="I20" s="286">
        <v>12329</v>
      </c>
      <c r="J20" s="289" t="s">
        <v>448</v>
      </c>
    </row>
    <row r="21" spans="1:10">
      <c r="A21" s="61">
        <v>28</v>
      </c>
      <c r="B21" s="286">
        <v>11</v>
      </c>
      <c r="C21" s="286" t="s">
        <v>452</v>
      </c>
      <c r="D21" s="286" t="str">
        <f t="shared" si="0"/>
        <v>XEM</v>
      </c>
      <c r="E21" s="286" t="s">
        <v>447</v>
      </c>
      <c r="F21" s="286"/>
      <c r="G21" s="286"/>
      <c r="H21" s="286"/>
      <c r="I21" s="286">
        <v>12329</v>
      </c>
      <c r="J21" s="289" t="s">
        <v>448</v>
      </c>
    </row>
    <row r="22" spans="1:10">
      <c r="A22" s="61">
        <v>29</v>
      </c>
      <c r="B22" s="286">
        <v>12</v>
      </c>
      <c r="C22" s="286" t="s">
        <v>453</v>
      </c>
      <c r="D22" s="286" t="str">
        <f t="shared" si="0"/>
        <v>XEM</v>
      </c>
      <c r="E22" s="286" t="s">
        <v>447</v>
      </c>
      <c r="F22" s="286"/>
      <c r="G22" s="286"/>
      <c r="H22" s="286"/>
      <c r="I22" s="286">
        <v>12329</v>
      </c>
      <c r="J22" s="289" t="s">
        <v>448</v>
      </c>
    </row>
    <row r="23" spans="1:10">
      <c r="A23" s="61">
        <v>30</v>
      </c>
      <c r="B23" s="286">
        <v>13</v>
      </c>
      <c r="C23" s="286" t="s">
        <v>454</v>
      </c>
      <c r="D23" s="286" t="str">
        <f t="shared" si="0"/>
        <v>XEM</v>
      </c>
      <c r="E23" s="286" t="s">
        <v>447</v>
      </c>
      <c r="F23" s="286"/>
      <c r="G23" s="286"/>
      <c r="H23" s="286"/>
      <c r="I23" s="286">
        <v>12329</v>
      </c>
      <c r="J23" s="289" t="s">
        <v>448</v>
      </c>
    </row>
    <row r="24" spans="1:10">
      <c r="A24" s="61">
        <v>31</v>
      </c>
      <c r="B24" s="286">
        <v>14</v>
      </c>
      <c r="C24" s="286" t="s">
        <v>455</v>
      </c>
      <c r="D24" s="286" t="str">
        <f t="shared" si="0"/>
        <v>XEM</v>
      </c>
      <c r="E24" s="286" t="s">
        <v>447</v>
      </c>
      <c r="F24" s="286"/>
      <c r="G24" s="286"/>
      <c r="H24" s="286"/>
      <c r="I24" s="286">
        <v>12329</v>
      </c>
      <c r="J24" s="289" t="s">
        <v>448</v>
      </c>
    </row>
    <row r="25" spans="1:10">
      <c r="A25" s="61">
        <v>32</v>
      </c>
      <c r="B25" s="286">
        <v>15</v>
      </c>
      <c r="C25" s="286" t="s">
        <v>456</v>
      </c>
      <c r="D25" s="286" t="str">
        <f t="shared" si="0"/>
        <v>XEM</v>
      </c>
      <c r="E25" s="286" t="s">
        <v>447</v>
      </c>
      <c r="F25" s="286"/>
      <c r="G25" s="286"/>
      <c r="H25" s="286"/>
      <c r="I25" s="286">
        <v>12329</v>
      </c>
      <c r="J25" s="289" t="s">
        <v>448</v>
      </c>
    </row>
    <row r="26" spans="1:10">
      <c r="A26" s="61">
        <v>35</v>
      </c>
      <c r="B26" s="286">
        <v>16</v>
      </c>
      <c r="C26" s="286" t="s">
        <v>457</v>
      </c>
      <c r="D26" s="286" t="str">
        <f t="shared" si="0"/>
        <v>XEM</v>
      </c>
      <c r="E26" s="286" t="s">
        <v>447</v>
      </c>
      <c r="F26" s="286"/>
      <c r="G26" s="286"/>
      <c r="H26" s="286"/>
      <c r="I26" s="286">
        <v>12329</v>
      </c>
      <c r="J26" s="289" t="s">
        <v>448</v>
      </c>
    </row>
    <row r="27" spans="1:10">
      <c r="A27" s="61">
        <v>36</v>
      </c>
      <c r="B27" s="286">
        <v>17</v>
      </c>
      <c r="C27" s="286" t="s">
        <v>458</v>
      </c>
      <c r="D27" s="286" t="str">
        <f t="shared" si="0"/>
        <v>XEM</v>
      </c>
      <c r="E27" s="286" t="s">
        <v>447</v>
      </c>
      <c r="F27" s="286"/>
      <c r="G27" s="286"/>
      <c r="H27" s="286"/>
      <c r="I27" s="286">
        <v>12329</v>
      </c>
      <c r="J27" s="289" t="s">
        <v>448</v>
      </c>
    </row>
    <row r="28" spans="1:10">
      <c r="A28" s="61">
        <v>37</v>
      </c>
      <c r="B28" s="286">
        <v>18</v>
      </c>
      <c r="C28" s="286" t="s">
        <v>459</v>
      </c>
      <c r="D28" s="286" t="str">
        <f t="shared" si="0"/>
        <v>XEM</v>
      </c>
      <c r="E28" s="286" t="s">
        <v>447</v>
      </c>
      <c r="F28" s="286"/>
      <c r="G28" s="286"/>
      <c r="H28" s="286"/>
      <c r="I28" s="286">
        <v>12329</v>
      </c>
      <c r="J28" s="289" t="s">
        <v>448</v>
      </c>
    </row>
    <row r="29" spans="1:10">
      <c r="A29" s="61">
        <v>38</v>
      </c>
      <c r="B29" s="286">
        <v>19</v>
      </c>
      <c r="C29" s="286" t="s">
        <v>460</v>
      </c>
      <c r="D29" s="286" t="str">
        <f t="shared" si="0"/>
        <v>XEM</v>
      </c>
      <c r="E29" s="286" t="s">
        <v>447</v>
      </c>
      <c r="F29" s="286"/>
      <c r="G29" s="286"/>
      <c r="H29" s="286"/>
      <c r="I29" s="286">
        <v>12329</v>
      </c>
      <c r="J29" s="289" t="s">
        <v>448</v>
      </c>
    </row>
    <row r="30" spans="1:10">
      <c r="A30" s="61">
        <v>39</v>
      </c>
      <c r="B30" s="286">
        <v>20</v>
      </c>
      <c r="C30" s="286" t="s">
        <v>461</v>
      </c>
      <c r="D30" s="286" t="str">
        <f t="shared" si="0"/>
        <v>XEM</v>
      </c>
      <c r="E30" s="286" t="s">
        <v>447</v>
      </c>
      <c r="F30" s="286"/>
      <c r="G30" s="286"/>
      <c r="H30" s="286"/>
      <c r="I30" s="286">
        <v>12329</v>
      </c>
      <c r="J30" s="289" t="s">
        <v>448</v>
      </c>
    </row>
    <row r="31" spans="1:10">
      <c r="A31" s="61">
        <v>40</v>
      </c>
      <c r="B31" s="286">
        <v>21</v>
      </c>
      <c r="C31" s="286" t="s">
        <v>462</v>
      </c>
      <c r="D31" s="286" t="str">
        <f t="shared" si="0"/>
        <v>XEM</v>
      </c>
      <c r="E31" s="286" t="s">
        <v>447</v>
      </c>
      <c r="F31" s="286"/>
      <c r="G31" s="286"/>
      <c r="H31" s="286"/>
      <c r="I31" s="286">
        <v>12329</v>
      </c>
      <c r="J31" s="289" t="s">
        <v>448</v>
      </c>
    </row>
    <row r="32" spans="1:10">
      <c r="A32" s="61">
        <v>41</v>
      </c>
      <c r="B32" s="286">
        <v>22</v>
      </c>
      <c r="C32" s="286" t="s">
        <v>463</v>
      </c>
      <c r="D32" s="286" t="str">
        <f t="shared" si="0"/>
        <v>XEM</v>
      </c>
      <c r="E32" s="286" t="s">
        <v>447</v>
      </c>
      <c r="F32" s="286"/>
      <c r="G32" s="286"/>
      <c r="H32" s="286"/>
      <c r="I32" s="286">
        <v>12329</v>
      </c>
      <c r="J32" s="289" t="s">
        <v>448</v>
      </c>
    </row>
    <row r="33" spans="1:10">
      <c r="A33" s="61">
        <v>42</v>
      </c>
      <c r="B33" s="286">
        <v>23</v>
      </c>
      <c r="C33" s="286" t="s">
        <v>464</v>
      </c>
      <c r="D33" s="286" t="str">
        <f t="shared" si="0"/>
        <v>XEM</v>
      </c>
      <c r="E33" s="286" t="s">
        <v>447</v>
      </c>
      <c r="F33" s="286"/>
      <c r="G33" s="286"/>
      <c r="H33" s="286"/>
      <c r="I33" s="286">
        <v>12329</v>
      </c>
      <c r="J33" s="289" t="s">
        <v>448</v>
      </c>
    </row>
    <row r="34" spans="1:10">
      <c r="A34" s="61">
        <v>43</v>
      </c>
      <c r="B34" s="286">
        <v>24</v>
      </c>
      <c r="C34" s="286" t="s">
        <v>465</v>
      </c>
      <c r="D34" s="286" t="str">
        <f t="shared" si="0"/>
        <v>XEM</v>
      </c>
      <c r="E34" s="286" t="s">
        <v>447</v>
      </c>
      <c r="F34" s="286"/>
      <c r="G34" s="286"/>
      <c r="H34" s="286"/>
      <c r="I34" s="286">
        <v>12329</v>
      </c>
      <c r="J34" s="289" t="s">
        <v>448</v>
      </c>
    </row>
    <row r="35" spans="1:10">
      <c r="A35" s="61">
        <v>89</v>
      </c>
      <c r="B35" s="286">
        <v>51</v>
      </c>
      <c r="C35" s="286" t="s">
        <v>466</v>
      </c>
      <c r="D35" s="286" t="str">
        <f t="shared" si="0"/>
        <v>XEM</v>
      </c>
      <c r="E35" s="286" t="s">
        <v>467</v>
      </c>
      <c r="F35" s="286"/>
      <c r="G35" s="286"/>
      <c r="H35" s="286" t="s">
        <v>434</v>
      </c>
      <c r="I35" s="286">
        <v>12329</v>
      </c>
      <c r="J35" s="289" t="s">
        <v>448</v>
      </c>
    </row>
    <row r="36" spans="1:10">
      <c r="A36" s="61">
        <v>49</v>
      </c>
      <c r="B36" s="286">
        <v>25</v>
      </c>
      <c r="C36" s="286" t="s">
        <v>468</v>
      </c>
      <c r="D36" s="286" t="str">
        <f t="shared" si="0"/>
        <v>XEM</v>
      </c>
      <c r="E36" s="286" t="s">
        <v>447</v>
      </c>
      <c r="F36" s="286"/>
      <c r="G36" s="286"/>
      <c r="H36" s="286"/>
      <c r="I36" s="286">
        <v>12329</v>
      </c>
      <c r="J36" s="289" t="s">
        <v>469</v>
      </c>
    </row>
    <row r="37" spans="1:10">
      <c r="A37" s="61">
        <v>51</v>
      </c>
      <c r="B37" s="286">
        <v>26</v>
      </c>
      <c r="C37" s="286" t="s">
        <v>470</v>
      </c>
      <c r="D37" s="286" t="str">
        <f t="shared" si="0"/>
        <v>XEM</v>
      </c>
      <c r="E37" s="286" t="s">
        <v>447</v>
      </c>
      <c r="F37" s="286"/>
      <c r="G37" s="286"/>
      <c r="H37" s="286"/>
      <c r="I37" s="286">
        <v>12329</v>
      </c>
      <c r="J37" s="289" t="s">
        <v>469</v>
      </c>
    </row>
    <row r="38" spans="1:10">
      <c r="A38" s="61">
        <v>52</v>
      </c>
      <c r="B38" s="286">
        <v>27</v>
      </c>
      <c r="C38" s="286" t="s">
        <v>471</v>
      </c>
      <c r="D38" s="286" t="str">
        <f t="shared" si="0"/>
        <v>XEM</v>
      </c>
      <c r="E38" s="286" t="s">
        <v>447</v>
      </c>
      <c r="F38" s="286"/>
      <c r="G38" s="286"/>
      <c r="H38" s="286"/>
      <c r="I38" s="286">
        <v>12329</v>
      </c>
      <c r="J38" s="289" t="s">
        <v>469</v>
      </c>
    </row>
    <row r="39" spans="1:10">
      <c r="A39" s="61">
        <v>54</v>
      </c>
      <c r="B39" s="286">
        <v>28</v>
      </c>
      <c r="C39" s="286" t="s">
        <v>472</v>
      </c>
      <c r="D39" s="286" t="str">
        <f t="shared" si="0"/>
        <v>XEM</v>
      </c>
      <c r="E39" s="286" t="s">
        <v>473</v>
      </c>
      <c r="F39" s="286"/>
      <c r="G39" s="286"/>
      <c r="H39" s="286"/>
      <c r="I39" s="286">
        <v>12329</v>
      </c>
      <c r="J39" s="289" t="s">
        <v>469</v>
      </c>
    </row>
    <row r="40" spans="1:10">
      <c r="A40" s="61">
        <v>56</v>
      </c>
      <c r="B40" s="286">
        <v>29</v>
      </c>
      <c r="C40" s="286" t="s">
        <v>474</v>
      </c>
      <c r="D40" s="286" t="str">
        <f t="shared" si="0"/>
        <v>XEM</v>
      </c>
      <c r="E40" s="286" t="s">
        <v>447</v>
      </c>
      <c r="F40" s="286"/>
      <c r="G40" s="286"/>
      <c r="H40" s="286"/>
      <c r="I40" s="286">
        <v>12329</v>
      </c>
      <c r="J40" s="289" t="s">
        <v>469</v>
      </c>
    </row>
    <row r="41" spans="1:10">
      <c r="A41" s="61">
        <v>57</v>
      </c>
      <c r="B41" s="286">
        <v>30</v>
      </c>
      <c r="C41" s="286" t="s">
        <v>475</v>
      </c>
      <c r="D41" s="286" t="str">
        <f t="shared" si="0"/>
        <v>XEM</v>
      </c>
      <c r="E41" s="286" t="s">
        <v>473</v>
      </c>
      <c r="F41" s="286"/>
      <c r="G41" s="286"/>
      <c r="H41" s="286"/>
      <c r="I41" s="286">
        <v>12329</v>
      </c>
      <c r="J41" s="289" t="s">
        <v>469</v>
      </c>
    </row>
    <row r="42" spans="1:10">
      <c r="A42" s="61">
        <v>58</v>
      </c>
      <c r="B42" s="286">
        <v>31</v>
      </c>
      <c r="C42" s="286" t="s">
        <v>476</v>
      </c>
      <c r="D42" s="286" t="str">
        <f t="shared" si="0"/>
        <v>XEM</v>
      </c>
      <c r="E42" s="286" t="s">
        <v>447</v>
      </c>
      <c r="F42" s="286"/>
      <c r="G42" s="286"/>
      <c r="H42" s="286"/>
      <c r="I42" s="286">
        <v>12329</v>
      </c>
      <c r="J42" s="289" t="s">
        <v>469</v>
      </c>
    </row>
    <row r="43" spans="1:10">
      <c r="A43" s="61">
        <v>60</v>
      </c>
      <c r="B43" s="286">
        <v>32</v>
      </c>
      <c r="C43" s="286" t="s">
        <v>477</v>
      </c>
      <c r="D43" s="286" t="str">
        <f t="shared" si="0"/>
        <v>XEM</v>
      </c>
      <c r="E43" s="286" t="s">
        <v>447</v>
      </c>
      <c r="F43" s="286"/>
      <c r="G43" s="286"/>
      <c r="H43" s="286"/>
      <c r="I43" s="286">
        <v>12329</v>
      </c>
      <c r="J43" s="289" t="s">
        <v>469</v>
      </c>
    </row>
    <row r="44" spans="1:10">
      <c r="A44" s="61">
        <v>61</v>
      </c>
      <c r="B44" s="286">
        <v>33</v>
      </c>
      <c r="C44" s="286" t="s">
        <v>478</v>
      </c>
      <c r="D44" s="286" t="str">
        <f t="shared" si="0"/>
        <v>XEM</v>
      </c>
      <c r="E44" s="286" t="s">
        <v>447</v>
      </c>
      <c r="F44" s="286"/>
      <c r="G44" s="286"/>
      <c r="H44" s="286"/>
      <c r="I44" s="286">
        <v>12329</v>
      </c>
      <c r="J44" s="289" t="s">
        <v>469</v>
      </c>
    </row>
    <row r="45" spans="1:10">
      <c r="A45" s="61">
        <v>62</v>
      </c>
      <c r="B45" s="286">
        <v>34</v>
      </c>
      <c r="C45" s="286" t="s">
        <v>479</v>
      </c>
      <c r="D45" s="286" t="str">
        <f t="shared" si="0"/>
        <v>XEM</v>
      </c>
      <c r="E45" s="286" t="s">
        <v>473</v>
      </c>
      <c r="F45" s="286"/>
      <c r="G45" s="286"/>
      <c r="H45" s="286"/>
      <c r="I45" s="286">
        <v>12329</v>
      </c>
      <c r="J45" s="289" t="s">
        <v>469</v>
      </c>
    </row>
    <row r="46" spans="1:10">
      <c r="A46" s="61">
        <v>63</v>
      </c>
      <c r="B46" s="286">
        <v>35</v>
      </c>
      <c r="C46" s="286" t="s">
        <v>480</v>
      </c>
      <c r="D46" s="286" t="str">
        <f t="shared" si="0"/>
        <v>XEM</v>
      </c>
      <c r="E46" s="286" t="s">
        <v>481</v>
      </c>
      <c r="F46" s="286"/>
      <c r="G46" s="286"/>
      <c r="H46" s="286"/>
      <c r="I46" s="286">
        <v>12329</v>
      </c>
      <c r="J46" s="289" t="s">
        <v>469</v>
      </c>
    </row>
    <row r="47" spans="1:10">
      <c r="A47" s="61">
        <v>64</v>
      </c>
      <c r="B47" s="286">
        <v>36</v>
      </c>
      <c r="C47" s="286" t="s">
        <v>482</v>
      </c>
      <c r="D47" s="286" t="str">
        <f t="shared" si="0"/>
        <v>XEM</v>
      </c>
      <c r="E47" s="286" t="s">
        <v>483</v>
      </c>
      <c r="F47" s="286"/>
      <c r="G47" s="286"/>
      <c r="H47" s="286" t="s">
        <v>434</v>
      </c>
      <c r="I47" s="286">
        <v>10202</v>
      </c>
      <c r="J47" s="289" t="s">
        <v>469</v>
      </c>
    </row>
    <row r="48" spans="1:10">
      <c r="A48" s="61">
        <v>65</v>
      </c>
      <c r="B48" s="286">
        <v>37</v>
      </c>
      <c r="C48" s="286" t="s">
        <v>484</v>
      </c>
      <c r="D48" s="286" t="str">
        <f t="shared" si="0"/>
        <v>XEM</v>
      </c>
      <c r="E48" s="286" t="s">
        <v>485</v>
      </c>
      <c r="F48" s="286"/>
      <c r="G48" s="286"/>
      <c r="H48" s="286"/>
      <c r="I48" s="286">
        <v>12329</v>
      </c>
      <c r="J48" s="289" t="s">
        <v>469</v>
      </c>
    </row>
    <row r="49" spans="1:10">
      <c r="A49" s="61">
        <v>66</v>
      </c>
      <c r="B49" s="286">
        <v>38</v>
      </c>
      <c r="C49" s="286" t="s">
        <v>486</v>
      </c>
      <c r="D49" s="286" t="str">
        <f t="shared" si="0"/>
        <v>XEM</v>
      </c>
      <c r="E49" s="286" t="s">
        <v>487</v>
      </c>
      <c r="F49" s="286"/>
      <c r="G49" s="286"/>
      <c r="H49" s="286"/>
      <c r="I49" s="286">
        <v>12329</v>
      </c>
      <c r="J49" s="289" t="s">
        <v>469</v>
      </c>
    </row>
    <row r="50" spans="1:10">
      <c r="A50" s="61">
        <v>68</v>
      </c>
      <c r="B50" s="286">
        <v>39</v>
      </c>
      <c r="C50" s="286" t="s">
        <v>488</v>
      </c>
      <c r="D50" s="286" t="str">
        <f t="shared" si="0"/>
        <v>XEM</v>
      </c>
      <c r="E50" s="286" t="s">
        <v>447</v>
      </c>
      <c r="F50" s="286"/>
      <c r="G50" s="286"/>
      <c r="H50" s="286"/>
      <c r="I50" s="286">
        <v>12329</v>
      </c>
      <c r="J50" s="289" t="s">
        <v>469</v>
      </c>
    </row>
    <row r="51" spans="1:10">
      <c r="A51" s="61">
        <v>69</v>
      </c>
      <c r="B51" s="286">
        <v>40</v>
      </c>
      <c r="C51" s="286" t="s">
        <v>489</v>
      </c>
      <c r="D51" s="286" t="str">
        <f t="shared" si="0"/>
        <v>XEM</v>
      </c>
      <c r="E51" s="286" t="s">
        <v>447</v>
      </c>
      <c r="F51" s="286"/>
      <c r="G51" s="286"/>
      <c r="H51" s="286"/>
      <c r="I51" s="286">
        <v>12329</v>
      </c>
      <c r="J51" s="289" t="s">
        <v>469</v>
      </c>
    </row>
    <row r="52" spans="1:10">
      <c r="A52" s="61">
        <v>74</v>
      </c>
      <c r="B52" s="286">
        <v>41</v>
      </c>
      <c r="C52" s="286" t="s">
        <v>490</v>
      </c>
      <c r="D52" s="286" t="str">
        <f t="shared" si="0"/>
        <v>XEM</v>
      </c>
      <c r="E52" s="286" t="s">
        <v>447</v>
      </c>
      <c r="F52" s="286"/>
      <c r="G52" s="286"/>
      <c r="H52" s="286"/>
      <c r="I52" s="286">
        <v>12329</v>
      </c>
      <c r="J52" s="289" t="s">
        <v>469</v>
      </c>
    </row>
    <row r="53" spans="1:10">
      <c r="A53" s="61">
        <v>76</v>
      </c>
      <c r="B53" s="286">
        <v>42</v>
      </c>
      <c r="C53" s="286" t="s">
        <v>491</v>
      </c>
      <c r="D53" s="286" t="str">
        <f t="shared" si="0"/>
        <v>XEM</v>
      </c>
      <c r="E53" s="286" t="s">
        <v>485</v>
      </c>
      <c r="F53" s="286"/>
      <c r="G53" s="286"/>
      <c r="H53" s="286"/>
      <c r="I53" s="286">
        <v>12329</v>
      </c>
      <c r="J53" s="289" t="s">
        <v>469</v>
      </c>
    </row>
    <row r="54" spans="1:10">
      <c r="A54" s="61">
        <v>79</v>
      </c>
      <c r="B54" s="286">
        <v>43</v>
      </c>
      <c r="C54" s="286" t="s">
        <v>492</v>
      </c>
      <c r="D54" s="286" t="str">
        <f t="shared" si="0"/>
        <v>XEM</v>
      </c>
      <c r="E54" s="286" t="s">
        <v>493</v>
      </c>
      <c r="F54" s="286"/>
      <c r="G54" s="286"/>
      <c r="H54" s="286" t="s">
        <v>434</v>
      </c>
      <c r="I54" s="286">
        <v>10202</v>
      </c>
      <c r="J54" s="289" t="s">
        <v>469</v>
      </c>
    </row>
    <row r="55" spans="1:10">
      <c r="A55" s="61">
        <v>80</v>
      </c>
      <c r="B55" s="286">
        <v>44</v>
      </c>
      <c r="C55" s="286" t="s">
        <v>494</v>
      </c>
      <c r="D55" s="286" t="str">
        <f t="shared" si="0"/>
        <v>XEM</v>
      </c>
      <c r="E55" s="286" t="s">
        <v>447</v>
      </c>
      <c r="F55" s="286"/>
      <c r="G55" s="286"/>
      <c r="H55" s="286"/>
      <c r="I55" s="286">
        <v>12329</v>
      </c>
      <c r="J55" s="289" t="s">
        <v>469</v>
      </c>
    </row>
    <row r="56" spans="1:10">
      <c r="A56" s="61">
        <v>81</v>
      </c>
      <c r="B56" s="286">
        <v>45</v>
      </c>
      <c r="C56" s="286" t="s">
        <v>495</v>
      </c>
      <c r="D56" s="286" t="str">
        <f t="shared" si="0"/>
        <v>XEM</v>
      </c>
      <c r="E56" s="286" t="s">
        <v>493</v>
      </c>
      <c r="F56" s="286"/>
      <c r="G56" s="286"/>
      <c r="H56" s="286" t="s">
        <v>434</v>
      </c>
      <c r="I56" s="286">
        <v>10202</v>
      </c>
      <c r="J56" s="289" t="s">
        <v>469</v>
      </c>
    </row>
    <row r="57" spans="1:10">
      <c r="A57" s="61">
        <v>82</v>
      </c>
      <c r="B57" s="286">
        <v>46</v>
      </c>
      <c r="C57" s="286" t="s">
        <v>496</v>
      </c>
      <c r="D57" s="286" t="str">
        <f t="shared" si="0"/>
        <v>XEM</v>
      </c>
      <c r="E57" s="286" t="s">
        <v>447</v>
      </c>
      <c r="F57" s="286"/>
      <c r="G57" s="286"/>
      <c r="H57" s="286"/>
      <c r="I57" s="286">
        <v>12329</v>
      </c>
      <c r="J57" s="289" t="s">
        <v>469</v>
      </c>
    </row>
    <row r="58" spans="1:10">
      <c r="A58" s="61">
        <v>83</v>
      </c>
      <c r="B58" s="286">
        <v>47</v>
      </c>
      <c r="C58" s="286" t="s">
        <v>497</v>
      </c>
      <c r="D58" s="286" t="str">
        <f t="shared" si="0"/>
        <v>XEM</v>
      </c>
      <c r="E58" s="286" t="s">
        <v>447</v>
      </c>
      <c r="F58" s="286"/>
      <c r="G58" s="286"/>
      <c r="H58" s="286"/>
      <c r="I58" s="286">
        <v>12329</v>
      </c>
      <c r="J58" s="289" t="s">
        <v>469</v>
      </c>
    </row>
    <row r="59" spans="1:10">
      <c r="A59" s="61">
        <v>84</v>
      </c>
      <c r="B59" s="286">
        <v>48</v>
      </c>
      <c r="C59" s="286" t="s">
        <v>498</v>
      </c>
      <c r="D59" s="286" t="str">
        <f t="shared" si="0"/>
        <v>XEM</v>
      </c>
      <c r="E59" s="286" t="s">
        <v>447</v>
      </c>
      <c r="F59" s="286"/>
      <c r="G59" s="286"/>
      <c r="H59" s="286"/>
      <c r="I59" s="286">
        <v>12329</v>
      </c>
      <c r="J59" s="289" t="s">
        <v>469</v>
      </c>
    </row>
    <row r="60" spans="1:10">
      <c r="A60" s="61">
        <v>85</v>
      </c>
      <c r="B60" s="286">
        <v>49</v>
      </c>
      <c r="C60" s="286" t="s">
        <v>499</v>
      </c>
      <c r="D60" s="286" t="str">
        <f t="shared" si="0"/>
        <v>XEM</v>
      </c>
      <c r="E60" s="286" t="s">
        <v>500</v>
      </c>
      <c r="F60" s="286"/>
      <c r="G60" s="286"/>
      <c r="H60" s="286" t="s">
        <v>434</v>
      </c>
      <c r="I60" s="286">
        <v>10202</v>
      </c>
      <c r="J60" s="289" t="s">
        <v>469</v>
      </c>
    </row>
    <row r="61" spans="1:10">
      <c r="A61" s="61">
        <v>90</v>
      </c>
      <c r="B61" s="286">
        <v>52</v>
      </c>
      <c r="C61" s="286" t="s">
        <v>501</v>
      </c>
      <c r="D61" s="286" t="str">
        <f t="shared" si="0"/>
        <v>XEM</v>
      </c>
      <c r="E61" s="286" t="s">
        <v>485</v>
      </c>
      <c r="F61" s="286"/>
      <c r="G61" s="286"/>
      <c r="H61" s="286"/>
      <c r="I61" s="286">
        <v>12329</v>
      </c>
      <c r="J61" s="289" t="s">
        <v>469</v>
      </c>
    </row>
    <row r="62" spans="1:10">
      <c r="A62" s="61">
        <v>91</v>
      </c>
      <c r="B62" s="286">
        <v>53</v>
      </c>
      <c r="C62" s="286" t="s">
        <v>502</v>
      </c>
      <c r="D62" s="286" t="str">
        <f t="shared" si="0"/>
        <v>XEM</v>
      </c>
      <c r="E62" s="286" t="s">
        <v>485</v>
      </c>
      <c r="F62" s="286"/>
      <c r="G62" s="286"/>
      <c r="H62" s="286"/>
      <c r="I62" s="286">
        <v>12329</v>
      </c>
      <c r="J62" s="289" t="s">
        <v>469</v>
      </c>
    </row>
    <row r="63" spans="1:10">
      <c r="A63" s="61">
        <v>92</v>
      </c>
      <c r="B63" s="286">
        <v>54</v>
      </c>
      <c r="C63" s="286" t="s">
        <v>503</v>
      </c>
      <c r="D63" s="286" t="str">
        <f t="shared" si="0"/>
        <v>XEM</v>
      </c>
      <c r="E63" s="286" t="s">
        <v>485</v>
      </c>
      <c r="F63" s="286"/>
      <c r="G63" s="286"/>
      <c r="H63" s="286"/>
      <c r="I63" s="286">
        <v>12329</v>
      </c>
      <c r="J63" s="289" t="s">
        <v>469</v>
      </c>
    </row>
    <row r="64" spans="1:10">
      <c r="A64" s="61">
        <v>93</v>
      </c>
      <c r="B64" s="286">
        <v>55</v>
      </c>
      <c r="C64" s="286" t="s">
        <v>504</v>
      </c>
      <c r="D64" s="286" t="str">
        <f t="shared" si="0"/>
        <v>XEM</v>
      </c>
      <c r="E64" s="286" t="s">
        <v>485</v>
      </c>
      <c r="F64" s="286"/>
      <c r="G64" s="286"/>
      <c r="H64" s="286"/>
      <c r="I64" s="286">
        <v>12329</v>
      </c>
      <c r="J64" s="289" t="s">
        <v>469</v>
      </c>
    </row>
    <row r="65" spans="1:10">
      <c r="A65" s="61">
        <v>94</v>
      </c>
      <c r="B65" s="286">
        <v>56</v>
      </c>
      <c r="C65" s="286" t="s">
        <v>505</v>
      </c>
      <c r="D65" s="286" t="str">
        <f t="shared" si="0"/>
        <v>XEM</v>
      </c>
      <c r="E65" s="286" t="s">
        <v>485</v>
      </c>
      <c r="F65" s="286"/>
      <c r="G65" s="286"/>
      <c r="H65" s="286"/>
      <c r="I65" s="286">
        <v>12329</v>
      </c>
      <c r="J65" s="289" t="s">
        <v>469</v>
      </c>
    </row>
    <row r="66" spans="1:10">
      <c r="A66" s="61">
        <v>95</v>
      </c>
      <c r="B66" s="286">
        <v>57</v>
      </c>
      <c r="C66" s="286" t="s">
        <v>506</v>
      </c>
      <c r="D66" s="286" t="str">
        <f t="shared" si="0"/>
        <v>XEM</v>
      </c>
      <c r="E66" s="286" t="s">
        <v>485</v>
      </c>
      <c r="F66" s="286"/>
      <c r="G66" s="286"/>
      <c r="H66" s="286"/>
      <c r="I66" s="286">
        <v>12329</v>
      </c>
      <c r="J66" s="289" t="s">
        <v>469</v>
      </c>
    </row>
    <row r="67" spans="1:10">
      <c r="A67" s="61">
        <v>96</v>
      </c>
      <c r="B67" s="286">
        <v>58</v>
      </c>
      <c r="C67" s="286" t="s">
        <v>507</v>
      </c>
      <c r="D67" s="286" t="str">
        <f t="shared" ref="D67:D121" si="1">IF(C67="","",HYPERLINK("\\vdm-fsvr\Cokhi-機工\CONG VIEC CHUNG 2026\★2026年度年次目標設定\5.COSTDOWN 2026\5.MỤC TIÊU 2026\COSTDOWN 2026\PDF\"&amp;C67&amp;".pdf","XEM"))</f>
        <v>XEM</v>
      </c>
      <c r="E67" s="286" t="s">
        <v>485</v>
      </c>
      <c r="F67" s="286"/>
      <c r="G67" s="286"/>
      <c r="H67" s="286"/>
      <c r="I67" s="286">
        <v>12329</v>
      </c>
      <c r="J67" s="289" t="s">
        <v>469</v>
      </c>
    </row>
    <row r="68" spans="1:10">
      <c r="A68" s="61">
        <v>97</v>
      </c>
      <c r="B68" s="286">
        <v>59</v>
      </c>
      <c r="C68" s="286" t="s">
        <v>508</v>
      </c>
      <c r="D68" s="286" t="str">
        <f t="shared" si="1"/>
        <v>XEM</v>
      </c>
      <c r="E68" s="286" t="s">
        <v>485</v>
      </c>
      <c r="F68" s="286"/>
      <c r="G68" s="286"/>
      <c r="H68" s="286"/>
      <c r="I68" s="286">
        <v>12329</v>
      </c>
      <c r="J68" s="289" t="s">
        <v>469</v>
      </c>
    </row>
    <row r="69" spans="1:10">
      <c r="A69" s="61">
        <v>6</v>
      </c>
      <c r="B69" s="286">
        <v>60</v>
      </c>
      <c r="C69" s="290" t="s">
        <v>509</v>
      </c>
      <c r="D69" s="286" t="str">
        <f t="shared" si="1"/>
        <v>XEM</v>
      </c>
      <c r="E69" s="286" t="s">
        <v>447</v>
      </c>
      <c r="F69" s="286"/>
      <c r="G69" s="286"/>
      <c r="H69" s="286"/>
      <c r="I69" s="286">
        <v>12329</v>
      </c>
      <c r="J69" s="289" t="s">
        <v>469</v>
      </c>
    </row>
    <row r="70" spans="1:10">
      <c r="A70" s="61">
        <v>17</v>
      </c>
      <c r="B70" s="286">
        <v>62</v>
      </c>
      <c r="C70" s="290" t="s">
        <v>510</v>
      </c>
      <c r="D70" s="286" t="str">
        <f t="shared" si="1"/>
        <v>XEM</v>
      </c>
      <c r="E70" s="286" t="s">
        <v>447</v>
      </c>
      <c r="F70" s="286"/>
      <c r="G70" s="286"/>
      <c r="H70" s="286"/>
      <c r="I70" s="286">
        <v>12329</v>
      </c>
      <c r="J70" s="289" t="s">
        <v>469</v>
      </c>
    </row>
    <row r="71" spans="1:10">
      <c r="A71" s="61">
        <v>19</v>
      </c>
      <c r="B71" s="286">
        <v>64</v>
      </c>
      <c r="C71" s="290" t="s">
        <v>511</v>
      </c>
      <c r="D71" s="286" t="str">
        <f t="shared" si="1"/>
        <v>XEM</v>
      </c>
      <c r="E71" s="286" t="s">
        <v>447</v>
      </c>
      <c r="F71" s="286"/>
      <c r="G71" s="286"/>
      <c r="H71" s="286"/>
      <c r="I71" s="286">
        <v>12329</v>
      </c>
      <c r="J71" s="289" t="s">
        <v>469</v>
      </c>
    </row>
    <row r="72" spans="1:10">
      <c r="A72" s="61">
        <v>20</v>
      </c>
      <c r="B72" s="286">
        <v>65</v>
      </c>
      <c r="C72" s="290" t="s">
        <v>512</v>
      </c>
      <c r="D72" s="286" t="str">
        <f t="shared" si="1"/>
        <v>XEM</v>
      </c>
      <c r="E72" s="286" t="s">
        <v>447</v>
      </c>
      <c r="F72" s="286"/>
      <c r="G72" s="286"/>
      <c r="H72" s="286"/>
      <c r="I72" s="286">
        <v>12329</v>
      </c>
      <c r="J72" s="289" t="s">
        <v>469</v>
      </c>
    </row>
    <row r="73" spans="1:10">
      <c r="A73" s="61">
        <v>21</v>
      </c>
      <c r="B73" s="286">
        <v>66</v>
      </c>
      <c r="C73" s="290" t="s">
        <v>513</v>
      </c>
      <c r="D73" s="286" t="str">
        <f t="shared" si="1"/>
        <v>XEM</v>
      </c>
      <c r="E73" s="286" t="s">
        <v>447</v>
      </c>
      <c r="F73" s="286"/>
      <c r="G73" s="286"/>
      <c r="H73" s="286"/>
      <c r="I73" s="286">
        <v>12329</v>
      </c>
      <c r="J73" s="289" t="s">
        <v>469</v>
      </c>
    </row>
    <row r="74" spans="1:10">
      <c r="A74" s="61">
        <v>22</v>
      </c>
      <c r="B74" s="286">
        <v>67</v>
      </c>
      <c r="C74" s="290" t="s">
        <v>514</v>
      </c>
      <c r="D74" s="286" t="str">
        <f t="shared" si="1"/>
        <v>XEM</v>
      </c>
      <c r="E74" s="286" t="s">
        <v>515</v>
      </c>
      <c r="F74" s="286"/>
      <c r="G74" s="286"/>
      <c r="H74" s="286"/>
      <c r="I74" s="286">
        <v>12329</v>
      </c>
      <c r="J74" s="289" t="s">
        <v>469</v>
      </c>
    </row>
    <row r="75" spans="1:10">
      <c r="A75" s="61">
        <v>23</v>
      </c>
      <c r="B75" s="286">
        <v>68</v>
      </c>
      <c r="C75" s="290" t="s">
        <v>516</v>
      </c>
      <c r="D75" s="286" t="str">
        <f t="shared" si="1"/>
        <v>XEM</v>
      </c>
      <c r="E75" s="286" t="s">
        <v>447</v>
      </c>
      <c r="F75" s="286"/>
      <c r="G75" s="286"/>
      <c r="H75" s="286"/>
      <c r="I75" s="286">
        <v>12329</v>
      </c>
      <c r="J75" s="289" t="s">
        <v>469</v>
      </c>
    </row>
    <row r="76" spans="1:10">
      <c r="A76" s="61">
        <v>24</v>
      </c>
      <c r="B76" s="286">
        <v>69</v>
      </c>
      <c r="C76" s="290" t="s">
        <v>517</v>
      </c>
      <c r="D76" s="286" t="str">
        <f t="shared" si="1"/>
        <v>XEM</v>
      </c>
      <c r="E76" s="286" t="s">
        <v>447</v>
      </c>
      <c r="F76" s="286"/>
      <c r="G76" s="286"/>
      <c r="H76" s="286"/>
      <c r="I76" s="286">
        <v>12329</v>
      </c>
      <c r="J76" s="289" t="s">
        <v>469</v>
      </c>
    </row>
    <row r="77" spans="1:10">
      <c r="A77" s="61">
        <v>25</v>
      </c>
      <c r="B77" s="286">
        <v>70</v>
      </c>
      <c r="C77" s="290" t="s">
        <v>518</v>
      </c>
      <c r="D77" s="286" t="str">
        <f t="shared" si="1"/>
        <v>XEM</v>
      </c>
      <c r="E77" s="286" t="s">
        <v>447</v>
      </c>
      <c r="F77" s="286"/>
      <c r="G77" s="286"/>
      <c r="H77" s="286"/>
      <c r="I77" s="286">
        <v>12329</v>
      </c>
      <c r="J77" s="289" t="s">
        <v>469</v>
      </c>
    </row>
    <row r="78" spans="1:10">
      <c r="A78" s="61">
        <v>26</v>
      </c>
      <c r="B78" s="286">
        <v>71</v>
      </c>
      <c r="C78" s="290" t="s">
        <v>519</v>
      </c>
      <c r="D78" s="286" t="str">
        <f t="shared" si="1"/>
        <v>XEM</v>
      </c>
      <c r="E78" s="286" t="s">
        <v>447</v>
      </c>
      <c r="F78" s="286"/>
      <c r="G78" s="286"/>
      <c r="H78" s="286"/>
      <c r="I78" s="286">
        <v>12329</v>
      </c>
      <c r="J78" s="289" t="s">
        <v>469</v>
      </c>
    </row>
    <row r="79" spans="1:10">
      <c r="A79" s="61">
        <v>27</v>
      </c>
      <c r="B79" s="286">
        <v>72</v>
      </c>
      <c r="C79" s="290" t="s">
        <v>520</v>
      </c>
      <c r="D79" s="286" t="str">
        <f t="shared" si="1"/>
        <v>XEM</v>
      </c>
      <c r="E79" s="286" t="s">
        <v>447</v>
      </c>
      <c r="F79" s="286"/>
      <c r="G79" s="286"/>
      <c r="H79" s="286"/>
      <c r="I79" s="286">
        <v>12329</v>
      </c>
      <c r="J79" s="289" t="s">
        <v>469</v>
      </c>
    </row>
    <row r="80" spans="1:10">
      <c r="A80" s="61">
        <v>28</v>
      </c>
      <c r="B80" s="286">
        <v>73</v>
      </c>
      <c r="C80" s="290" t="s">
        <v>521</v>
      </c>
      <c r="D80" s="286" t="str">
        <f t="shared" si="1"/>
        <v>XEM</v>
      </c>
      <c r="E80" s="286" t="s">
        <v>447</v>
      </c>
      <c r="F80" s="286"/>
      <c r="G80" s="286"/>
      <c r="H80" s="286"/>
      <c r="I80" s="286">
        <v>12329</v>
      </c>
      <c r="J80" s="289" t="s">
        <v>469</v>
      </c>
    </row>
    <row r="81" spans="1:10">
      <c r="A81" s="61">
        <v>29</v>
      </c>
      <c r="B81" s="286">
        <v>74</v>
      </c>
      <c r="C81" s="290" t="s">
        <v>522</v>
      </c>
      <c r="D81" s="286" t="str">
        <f t="shared" si="1"/>
        <v>XEM</v>
      </c>
      <c r="E81" s="286" t="s">
        <v>447</v>
      </c>
      <c r="F81" s="286"/>
      <c r="G81" s="286"/>
      <c r="H81" s="286"/>
      <c r="I81" s="286">
        <v>12329</v>
      </c>
      <c r="J81" s="289" t="s">
        <v>469</v>
      </c>
    </row>
    <row r="82" spans="1:10">
      <c r="A82" s="61">
        <v>30</v>
      </c>
      <c r="B82" s="286">
        <v>75</v>
      </c>
      <c r="C82" s="290" t="s">
        <v>523</v>
      </c>
      <c r="D82" s="286" t="str">
        <f t="shared" si="1"/>
        <v>XEM</v>
      </c>
      <c r="E82" s="286" t="s">
        <v>447</v>
      </c>
      <c r="F82" s="286"/>
      <c r="G82" s="286"/>
      <c r="H82" s="286"/>
      <c r="I82" s="286">
        <v>12329</v>
      </c>
      <c r="J82" s="289" t="s">
        <v>469</v>
      </c>
    </row>
    <row r="83" spans="1:10">
      <c r="A83" s="61">
        <v>31</v>
      </c>
      <c r="B83" s="286">
        <v>76</v>
      </c>
      <c r="C83" s="290" t="s">
        <v>524</v>
      </c>
      <c r="D83" s="286" t="str">
        <f t="shared" si="1"/>
        <v>XEM</v>
      </c>
      <c r="E83" s="286" t="s">
        <v>447</v>
      </c>
      <c r="F83" s="286"/>
      <c r="G83" s="286"/>
      <c r="H83" s="286"/>
      <c r="I83" s="286">
        <v>12329</v>
      </c>
      <c r="J83" s="289" t="s">
        <v>469</v>
      </c>
    </row>
    <row r="84" spans="1:10">
      <c r="A84" s="61">
        <v>32</v>
      </c>
      <c r="B84" s="286">
        <v>77</v>
      </c>
      <c r="C84" s="290" t="s">
        <v>525</v>
      </c>
      <c r="D84" s="286" t="str">
        <f t="shared" si="1"/>
        <v>XEM</v>
      </c>
      <c r="E84" s="286" t="s">
        <v>447</v>
      </c>
      <c r="F84" s="286"/>
      <c r="G84" s="286"/>
      <c r="H84" s="286"/>
      <c r="I84" s="286">
        <v>12329</v>
      </c>
      <c r="J84" s="289" t="s">
        <v>469</v>
      </c>
    </row>
    <row r="85" spans="1:10">
      <c r="A85" s="61">
        <v>33</v>
      </c>
      <c r="B85" s="286">
        <v>78</v>
      </c>
      <c r="C85" s="290" t="s">
        <v>526</v>
      </c>
      <c r="D85" s="286" t="str">
        <f t="shared" si="1"/>
        <v>XEM</v>
      </c>
      <c r="E85" s="286" t="s">
        <v>447</v>
      </c>
      <c r="F85" s="286"/>
      <c r="G85" s="286"/>
      <c r="H85" s="286"/>
      <c r="I85" s="286">
        <v>12329</v>
      </c>
      <c r="J85" s="289" t="s">
        <v>469</v>
      </c>
    </row>
    <row r="86" spans="1:10">
      <c r="A86" s="61">
        <v>34</v>
      </c>
      <c r="B86" s="286">
        <v>79</v>
      </c>
      <c r="C86" s="290" t="s">
        <v>527</v>
      </c>
      <c r="D86" s="286" t="str">
        <f t="shared" si="1"/>
        <v>XEM</v>
      </c>
      <c r="E86" s="286" t="s">
        <v>447</v>
      </c>
      <c r="F86" s="286"/>
      <c r="G86" s="286"/>
      <c r="H86" s="286"/>
      <c r="I86" s="286">
        <v>12329</v>
      </c>
      <c r="J86" s="289" t="s">
        <v>469</v>
      </c>
    </row>
    <row r="87" spans="1:10">
      <c r="A87" s="61">
        <v>35</v>
      </c>
      <c r="B87" s="286">
        <v>80</v>
      </c>
      <c r="C87" s="290" t="s">
        <v>528</v>
      </c>
      <c r="D87" s="286" t="str">
        <f t="shared" si="1"/>
        <v>XEM</v>
      </c>
      <c r="E87" s="286" t="s">
        <v>447</v>
      </c>
      <c r="F87" s="286"/>
      <c r="G87" s="286"/>
      <c r="H87" s="286"/>
      <c r="I87" s="286">
        <v>12329</v>
      </c>
      <c r="J87" s="289" t="s">
        <v>469</v>
      </c>
    </row>
    <row r="88" spans="1:10">
      <c r="A88" s="61">
        <v>36</v>
      </c>
      <c r="B88" s="286">
        <v>81</v>
      </c>
      <c r="C88" s="290" t="s">
        <v>529</v>
      </c>
      <c r="D88" s="286" t="str">
        <f t="shared" si="1"/>
        <v>XEM</v>
      </c>
      <c r="E88" s="286" t="s">
        <v>447</v>
      </c>
      <c r="F88" s="286"/>
      <c r="G88" s="286"/>
      <c r="H88" s="286"/>
      <c r="I88" s="286">
        <v>12329</v>
      </c>
      <c r="J88" s="289" t="s">
        <v>469</v>
      </c>
    </row>
    <row r="89" spans="1:10">
      <c r="A89" s="61">
        <v>37</v>
      </c>
      <c r="B89" s="286">
        <v>82</v>
      </c>
      <c r="C89" s="290" t="s">
        <v>530</v>
      </c>
      <c r="D89" s="286" t="str">
        <f t="shared" si="1"/>
        <v>XEM</v>
      </c>
      <c r="E89" s="286" t="s">
        <v>447</v>
      </c>
      <c r="F89" s="286"/>
      <c r="G89" s="286"/>
      <c r="H89" s="286"/>
      <c r="I89" s="286">
        <v>12329</v>
      </c>
      <c r="J89" s="289" t="s">
        <v>469</v>
      </c>
    </row>
    <row r="90" spans="1:10">
      <c r="A90" s="61">
        <v>38</v>
      </c>
      <c r="B90" s="286">
        <v>83</v>
      </c>
      <c r="C90" s="290" t="s">
        <v>531</v>
      </c>
      <c r="D90" s="286" t="str">
        <f t="shared" si="1"/>
        <v>XEM</v>
      </c>
      <c r="E90" s="286" t="s">
        <v>447</v>
      </c>
      <c r="F90" s="286"/>
      <c r="G90" s="286"/>
      <c r="H90" s="286"/>
      <c r="I90" s="286">
        <v>12329</v>
      </c>
      <c r="J90" s="289" t="s">
        <v>469</v>
      </c>
    </row>
    <row r="91" spans="1:10">
      <c r="A91" s="61">
        <v>51</v>
      </c>
      <c r="B91" s="286">
        <v>88</v>
      </c>
      <c r="C91" s="290" t="s">
        <v>532</v>
      </c>
      <c r="D91" s="286" t="str">
        <f t="shared" si="1"/>
        <v>XEM</v>
      </c>
      <c r="E91" s="286" t="s">
        <v>447</v>
      </c>
      <c r="F91" s="286"/>
      <c r="G91" s="286"/>
      <c r="H91" s="286"/>
      <c r="I91" s="286">
        <v>12329</v>
      </c>
      <c r="J91" s="289" t="s">
        <v>469</v>
      </c>
    </row>
    <row r="92" spans="1:10">
      <c r="A92" s="61">
        <v>53</v>
      </c>
      <c r="B92" s="286">
        <v>89</v>
      </c>
      <c r="C92" s="290" t="s">
        <v>533</v>
      </c>
      <c r="D92" s="286" t="str">
        <f t="shared" si="1"/>
        <v>XEM</v>
      </c>
      <c r="E92" s="286" t="s">
        <v>447</v>
      </c>
      <c r="F92" s="286"/>
      <c r="G92" s="286"/>
      <c r="H92" s="286"/>
      <c r="I92" s="286">
        <v>12329</v>
      </c>
      <c r="J92" s="289" t="s">
        <v>469</v>
      </c>
    </row>
    <row r="93" spans="1:10">
      <c r="A93" s="61">
        <v>57</v>
      </c>
      <c r="B93" s="286">
        <v>90</v>
      </c>
      <c r="C93" s="290" t="s">
        <v>534</v>
      </c>
      <c r="D93" s="286" t="str">
        <f t="shared" si="1"/>
        <v>XEM</v>
      </c>
      <c r="E93" s="286" t="s">
        <v>447</v>
      </c>
      <c r="F93" s="286"/>
      <c r="G93" s="286"/>
      <c r="H93" s="286"/>
      <c r="I93" s="286">
        <v>12329</v>
      </c>
      <c r="J93" s="289" t="s">
        <v>469</v>
      </c>
    </row>
    <row r="94" spans="1:10">
      <c r="A94" s="61">
        <v>58</v>
      </c>
      <c r="B94" s="286">
        <v>91</v>
      </c>
      <c r="C94" s="290" t="s">
        <v>535</v>
      </c>
      <c r="D94" s="286" t="str">
        <f t="shared" si="1"/>
        <v>XEM</v>
      </c>
      <c r="E94" s="286" t="s">
        <v>447</v>
      </c>
      <c r="F94" s="286"/>
      <c r="G94" s="286"/>
      <c r="H94" s="286"/>
      <c r="I94" s="286">
        <v>12329</v>
      </c>
      <c r="J94" s="289" t="s">
        <v>469</v>
      </c>
    </row>
    <row r="95" spans="1:10">
      <c r="A95" s="61">
        <v>61</v>
      </c>
      <c r="B95" s="286">
        <v>93</v>
      </c>
      <c r="C95" s="290" t="s">
        <v>536</v>
      </c>
      <c r="D95" s="286" t="str">
        <f t="shared" si="1"/>
        <v>XEM</v>
      </c>
      <c r="E95" s="286" t="s">
        <v>537</v>
      </c>
      <c r="F95" s="286"/>
      <c r="G95" s="286"/>
      <c r="H95" s="286"/>
      <c r="I95" s="286">
        <v>10202</v>
      </c>
      <c r="J95" s="289" t="s">
        <v>469</v>
      </c>
    </row>
    <row r="96" spans="1:10">
      <c r="A96" s="61">
        <v>62</v>
      </c>
      <c r="B96" s="286">
        <v>94</v>
      </c>
      <c r="C96" s="290" t="s">
        <v>538</v>
      </c>
      <c r="D96" s="286" t="str">
        <f t="shared" si="1"/>
        <v>XEM</v>
      </c>
      <c r="E96" s="286" t="s">
        <v>537</v>
      </c>
      <c r="F96" s="286"/>
      <c r="G96" s="286"/>
      <c r="H96" s="286"/>
      <c r="I96" s="286">
        <v>10202</v>
      </c>
      <c r="J96" s="289" t="s">
        <v>469</v>
      </c>
    </row>
    <row r="97" spans="1:10">
      <c r="A97" s="61">
        <v>63</v>
      </c>
      <c r="B97" s="286">
        <v>95</v>
      </c>
      <c r="C97" s="290" t="s">
        <v>539</v>
      </c>
      <c r="D97" s="286" t="str">
        <f t="shared" si="1"/>
        <v>XEM</v>
      </c>
      <c r="E97" s="286" t="s">
        <v>537</v>
      </c>
      <c r="F97" s="286"/>
      <c r="G97" s="286"/>
      <c r="H97" s="286"/>
      <c r="I97" s="286">
        <v>10202</v>
      </c>
      <c r="J97" s="289" t="s">
        <v>469</v>
      </c>
    </row>
    <row r="98" spans="1:10">
      <c r="A98" s="61">
        <v>64</v>
      </c>
      <c r="B98" s="286">
        <v>96</v>
      </c>
      <c r="C98" s="290" t="s">
        <v>540</v>
      </c>
      <c r="D98" s="286" t="str">
        <f t="shared" si="1"/>
        <v>XEM</v>
      </c>
      <c r="E98" s="286" t="s">
        <v>537</v>
      </c>
      <c r="F98" s="286"/>
      <c r="G98" s="286"/>
      <c r="H98" s="286"/>
      <c r="I98" s="286">
        <v>10202</v>
      </c>
      <c r="J98" s="289" t="s">
        <v>469</v>
      </c>
    </row>
    <row r="99" spans="1:10">
      <c r="A99" s="61">
        <v>65</v>
      </c>
      <c r="B99" s="286">
        <v>97</v>
      </c>
      <c r="C99" s="290" t="s">
        <v>541</v>
      </c>
      <c r="D99" s="286" t="str">
        <f t="shared" si="1"/>
        <v>XEM</v>
      </c>
      <c r="E99" s="286" t="s">
        <v>537</v>
      </c>
      <c r="F99" s="286"/>
      <c r="G99" s="286"/>
      <c r="H99" s="286"/>
      <c r="I99" s="286">
        <v>10202</v>
      </c>
      <c r="J99" s="289" t="s">
        <v>469</v>
      </c>
    </row>
    <row r="100" spans="1:10">
      <c r="A100" s="61">
        <v>67</v>
      </c>
      <c r="B100" s="286">
        <v>98</v>
      </c>
      <c r="C100" s="290" t="s">
        <v>542</v>
      </c>
      <c r="D100" s="286" t="str">
        <f t="shared" si="1"/>
        <v>XEM</v>
      </c>
      <c r="E100" s="286" t="s">
        <v>447</v>
      </c>
      <c r="F100" s="286"/>
      <c r="G100" s="286"/>
      <c r="H100" s="286"/>
      <c r="I100" s="286">
        <v>12329</v>
      </c>
      <c r="J100" s="289" t="s">
        <v>543</v>
      </c>
    </row>
    <row r="101" spans="1:10">
      <c r="A101" s="61">
        <v>68</v>
      </c>
      <c r="B101" s="286">
        <v>99</v>
      </c>
      <c r="C101" s="290" t="s">
        <v>544</v>
      </c>
      <c r="D101" s="286" t="str">
        <f t="shared" si="1"/>
        <v>XEM</v>
      </c>
      <c r="E101" s="286" t="s">
        <v>447</v>
      </c>
      <c r="F101" s="286"/>
      <c r="G101" s="286"/>
      <c r="H101" s="286"/>
      <c r="I101" s="286">
        <v>12329</v>
      </c>
      <c r="J101" s="289" t="s">
        <v>543</v>
      </c>
    </row>
    <row r="102" spans="1:10">
      <c r="A102" s="61">
        <v>69</v>
      </c>
      <c r="B102" s="286">
        <v>100</v>
      </c>
      <c r="C102" s="290" t="s">
        <v>545</v>
      </c>
      <c r="D102" s="286" t="str">
        <f t="shared" si="1"/>
        <v>XEM</v>
      </c>
      <c r="E102" s="286" t="s">
        <v>447</v>
      </c>
      <c r="F102" s="286"/>
      <c r="G102" s="286"/>
      <c r="H102" s="286"/>
      <c r="I102" s="286">
        <v>12329</v>
      </c>
      <c r="J102" s="289" t="s">
        <v>543</v>
      </c>
    </row>
    <row r="103" spans="1:10">
      <c r="A103" s="61">
        <v>70</v>
      </c>
      <c r="B103" s="286">
        <v>101</v>
      </c>
      <c r="C103" s="290" t="s">
        <v>546</v>
      </c>
      <c r="D103" s="286" t="str">
        <f t="shared" si="1"/>
        <v>XEM</v>
      </c>
      <c r="E103" s="286" t="s">
        <v>447</v>
      </c>
      <c r="F103" s="286"/>
      <c r="G103" s="286"/>
      <c r="H103" s="286"/>
      <c r="I103" s="286">
        <v>12329</v>
      </c>
      <c r="J103" s="289" t="s">
        <v>543</v>
      </c>
    </row>
    <row r="104" spans="1:10">
      <c r="A104" s="61">
        <v>71</v>
      </c>
      <c r="B104" s="286">
        <v>102</v>
      </c>
      <c r="C104" s="290" t="s">
        <v>547</v>
      </c>
      <c r="D104" s="286" t="str">
        <f t="shared" si="1"/>
        <v>XEM</v>
      </c>
      <c r="E104" s="286" t="s">
        <v>447</v>
      </c>
      <c r="F104" s="286"/>
      <c r="G104" s="286"/>
      <c r="H104" s="286"/>
      <c r="I104" s="286">
        <v>12329</v>
      </c>
      <c r="J104" s="289" t="s">
        <v>543</v>
      </c>
    </row>
    <row r="105" spans="1:10">
      <c r="A105" s="61">
        <v>73</v>
      </c>
      <c r="B105" s="286">
        <v>103</v>
      </c>
      <c r="C105" s="290" t="s">
        <v>548</v>
      </c>
      <c r="D105" s="286" t="str">
        <f t="shared" si="1"/>
        <v>XEM</v>
      </c>
      <c r="E105" s="286" t="s">
        <v>447</v>
      </c>
      <c r="F105" s="286"/>
      <c r="G105" s="286"/>
      <c r="H105" s="286"/>
      <c r="I105" s="286">
        <v>12329</v>
      </c>
      <c r="J105" s="289" t="s">
        <v>543</v>
      </c>
    </row>
    <row r="106" spans="1:10">
      <c r="A106" s="61">
        <v>74</v>
      </c>
      <c r="B106" s="286">
        <v>104</v>
      </c>
      <c r="C106" s="290" t="s">
        <v>549</v>
      </c>
      <c r="D106" s="286" t="str">
        <f t="shared" si="1"/>
        <v>XEM</v>
      </c>
      <c r="E106" s="286" t="s">
        <v>447</v>
      </c>
      <c r="F106" s="286"/>
      <c r="G106" s="286"/>
      <c r="H106" s="286"/>
      <c r="I106" s="286">
        <v>12329</v>
      </c>
      <c r="J106" s="289" t="s">
        <v>543</v>
      </c>
    </row>
    <row r="107" spans="1:10">
      <c r="A107" s="61">
        <v>76</v>
      </c>
      <c r="B107" s="286">
        <v>105</v>
      </c>
      <c r="C107" s="290" t="s">
        <v>550</v>
      </c>
      <c r="D107" s="286" t="str">
        <f t="shared" si="1"/>
        <v>XEM</v>
      </c>
      <c r="E107" s="286" t="s">
        <v>447</v>
      </c>
      <c r="F107" s="286"/>
      <c r="G107" s="286"/>
      <c r="H107" s="286"/>
      <c r="I107" s="286">
        <v>12329</v>
      </c>
      <c r="J107" s="289" t="s">
        <v>543</v>
      </c>
    </row>
    <row r="108" spans="1:10">
      <c r="A108" s="61">
        <v>77</v>
      </c>
      <c r="B108" s="286">
        <v>106</v>
      </c>
      <c r="C108" s="290" t="s">
        <v>551</v>
      </c>
      <c r="D108" s="286" t="str">
        <f t="shared" si="1"/>
        <v>XEM</v>
      </c>
      <c r="E108" s="286" t="s">
        <v>447</v>
      </c>
      <c r="F108" s="286"/>
      <c r="G108" s="286"/>
      <c r="H108" s="286"/>
      <c r="I108" s="286">
        <v>12329</v>
      </c>
      <c r="J108" s="289" t="s">
        <v>543</v>
      </c>
    </row>
    <row r="109" spans="1:10">
      <c r="A109" s="61">
        <v>78</v>
      </c>
      <c r="B109" s="286">
        <v>107</v>
      </c>
      <c r="C109" s="290" t="s">
        <v>552</v>
      </c>
      <c r="D109" s="286" t="str">
        <f t="shared" si="1"/>
        <v>XEM</v>
      </c>
      <c r="E109" s="286" t="s">
        <v>447</v>
      </c>
      <c r="F109" s="286"/>
      <c r="G109" s="286"/>
      <c r="H109" s="286"/>
      <c r="I109" s="286">
        <v>12329</v>
      </c>
      <c r="J109" s="289" t="s">
        <v>543</v>
      </c>
    </row>
    <row r="110" spans="1:10">
      <c r="A110" s="61">
        <v>79</v>
      </c>
      <c r="B110" s="286">
        <v>108</v>
      </c>
      <c r="C110" s="290" t="s">
        <v>553</v>
      </c>
      <c r="D110" s="286" t="str">
        <f t="shared" si="1"/>
        <v>XEM</v>
      </c>
      <c r="E110" s="286" t="s">
        <v>447</v>
      </c>
      <c r="F110" s="286"/>
      <c r="G110" s="286"/>
      <c r="H110" s="286"/>
      <c r="I110" s="286">
        <v>12329</v>
      </c>
      <c r="J110" s="289" t="s">
        <v>543</v>
      </c>
    </row>
    <row r="111" spans="1:10">
      <c r="A111" s="61">
        <v>80</v>
      </c>
      <c r="B111" s="286">
        <v>109</v>
      </c>
      <c r="C111" s="290" t="s">
        <v>554</v>
      </c>
      <c r="D111" s="286" t="str">
        <f t="shared" si="1"/>
        <v>XEM</v>
      </c>
      <c r="E111" s="286" t="s">
        <v>447</v>
      </c>
      <c r="F111" s="286"/>
      <c r="G111" s="286"/>
      <c r="H111" s="286"/>
      <c r="I111" s="286">
        <v>12329</v>
      </c>
      <c r="J111" s="289" t="s">
        <v>543</v>
      </c>
    </row>
    <row r="112" spans="1:10">
      <c r="A112" s="61">
        <v>81</v>
      </c>
      <c r="B112" s="286">
        <v>110</v>
      </c>
      <c r="C112" s="290" t="s">
        <v>555</v>
      </c>
      <c r="D112" s="286" t="str">
        <f t="shared" si="1"/>
        <v>XEM</v>
      </c>
      <c r="E112" s="286" t="s">
        <v>447</v>
      </c>
      <c r="F112" s="286"/>
      <c r="G112" s="286"/>
      <c r="H112" s="286"/>
      <c r="I112" s="286">
        <v>12329</v>
      </c>
      <c r="J112" s="289" t="s">
        <v>543</v>
      </c>
    </row>
    <row r="113" spans="1:10">
      <c r="A113" s="61">
        <v>82</v>
      </c>
      <c r="B113" s="286">
        <v>111</v>
      </c>
      <c r="C113" s="290" t="s">
        <v>556</v>
      </c>
      <c r="D113" s="286" t="str">
        <f t="shared" si="1"/>
        <v>XEM</v>
      </c>
      <c r="E113" s="286" t="s">
        <v>447</v>
      </c>
      <c r="F113" s="286"/>
      <c r="G113" s="286"/>
      <c r="H113" s="286"/>
      <c r="I113" s="286">
        <v>12329</v>
      </c>
      <c r="J113" s="289" t="s">
        <v>543</v>
      </c>
    </row>
    <row r="114" spans="1:10">
      <c r="A114" s="61">
        <v>84</v>
      </c>
      <c r="B114" s="286">
        <v>112</v>
      </c>
      <c r="C114" s="290" t="s">
        <v>557</v>
      </c>
      <c r="D114" s="286" t="str">
        <f t="shared" si="1"/>
        <v>XEM</v>
      </c>
      <c r="E114" s="286" t="s">
        <v>537</v>
      </c>
      <c r="F114" s="286"/>
      <c r="G114" s="286"/>
      <c r="H114" s="286"/>
      <c r="I114" s="286">
        <v>10202</v>
      </c>
      <c r="J114" s="289" t="s">
        <v>543</v>
      </c>
    </row>
    <row r="115" spans="1:10">
      <c r="A115" s="61">
        <v>86</v>
      </c>
      <c r="B115" s="286">
        <v>113</v>
      </c>
      <c r="C115" s="290" t="s">
        <v>558</v>
      </c>
      <c r="D115" s="286" t="str">
        <f t="shared" si="1"/>
        <v>XEM</v>
      </c>
      <c r="E115" s="286" t="s">
        <v>559</v>
      </c>
      <c r="F115" s="286"/>
      <c r="G115" s="286"/>
      <c r="H115" s="286"/>
      <c r="I115" s="286">
        <v>12329</v>
      </c>
      <c r="J115" s="289" t="s">
        <v>543</v>
      </c>
    </row>
    <row r="116" spans="1:10">
      <c r="A116" s="61">
        <v>87</v>
      </c>
      <c r="B116" s="286">
        <v>114</v>
      </c>
      <c r="C116" s="290" t="s">
        <v>560</v>
      </c>
      <c r="D116" s="286" t="str">
        <f t="shared" si="1"/>
        <v>XEM</v>
      </c>
      <c r="E116" s="286" t="s">
        <v>473</v>
      </c>
      <c r="F116" s="286"/>
      <c r="G116" s="286"/>
      <c r="H116" s="286"/>
      <c r="I116" s="286">
        <v>12329</v>
      </c>
      <c r="J116" s="289" t="s">
        <v>543</v>
      </c>
    </row>
    <row r="117" spans="1:10">
      <c r="A117" s="61">
        <v>89</v>
      </c>
      <c r="B117" s="286">
        <v>115</v>
      </c>
      <c r="C117" s="290" t="s">
        <v>561</v>
      </c>
      <c r="D117" s="286" t="str">
        <f t="shared" si="1"/>
        <v>XEM</v>
      </c>
      <c r="E117" s="286" t="s">
        <v>447</v>
      </c>
      <c r="F117" s="286"/>
      <c r="G117" s="286"/>
      <c r="H117" s="286"/>
      <c r="I117" s="286">
        <v>12329</v>
      </c>
      <c r="J117" s="289" t="s">
        <v>543</v>
      </c>
    </row>
    <row r="118" spans="1:10">
      <c r="A118" s="61">
        <v>97</v>
      </c>
      <c r="B118" s="286">
        <v>116</v>
      </c>
      <c r="C118" s="290" t="s">
        <v>562</v>
      </c>
      <c r="D118" s="286" t="str">
        <f t="shared" si="1"/>
        <v>XEM</v>
      </c>
      <c r="E118" s="286" t="s">
        <v>485</v>
      </c>
      <c r="F118" s="286"/>
      <c r="G118" s="286"/>
      <c r="H118" s="286"/>
      <c r="I118" s="286">
        <v>12329</v>
      </c>
      <c r="J118" s="289" t="s">
        <v>543</v>
      </c>
    </row>
    <row r="119" spans="1:10">
      <c r="A119" s="61">
        <v>106</v>
      </c>
      <c r="B119" s="286">
        <v>117</v>
      </c>
      <c r="C119" s="290" t="s">
        <v>563</v>
      </c>
      <c r="D119" s="286" t="str">
        <f t="shared" si="1"/>
        <v>XEM</v>
      </c>
      <c r="E119" s="286" t="s">
        <v>447</v>
      </c>
      <c r="F119" s="286"/>
      <c r="G119" s="286"/>
      <c r="H119" s="286"/>
      <c r="I119" s="286">
        <v>12329</v>
      </c>
      <c r="J119" s="289" t="s">
        <v>543</v>
      </c>
    </row>
    <row r="120" spans="1:10">
      <c r="A120" s="61">
        <v>107</v>
      </c>
      <c r="B120" s="286">
        <v>118</v>
      </c>
      <c r="C120" s="290" t="s">
        <v>564</v>
      </c>
      <c r="D120" s="286" t="str">
        <f t="shared" si="1"/>
        <v>XEM</v>
      </c>
      <c r="E120" s="286" t="s">
        <v>447</v>
      </c>
      <c r="F120" s="286"/>
      <c r="G120" s="286"/>
      <c r="H120" s="286"/>
      <c r="I120" s="286">
        <v>12329</v>
      </c>
      <c r="J120" s="289" t="s">
        <v>543</v>
      </c>
    </row>
    <row r="121" spans="1:10">
      <c r="A121" s="61">
        <v>116</v>
      </c>
      <c r="B121" s="286">
        <v>119</v>
      </c>
      <c r="C121" s="290" t="s">
        <v>565</v>
      </c>
      <c r="D121" s="286" t="str">
        <f t="shared" si="1"/>
        <v>XEM</v>
      </c>
      <c r="E121" s="286" t="s">
        <v>447</v>
      </c>
      <c r="F121" s="286"/>
      <c r="G121" s="286"/>
      <c r="H121" s="286"/>
      <c r="I121" s="286">
        <v>12329</v>
      </c>
      <c r="J121" s="289" t="s">
        <v>543</v>
      </c>
    </row>
  </sheetData>
  <autoFilter ref="A2:J121" xr:uid="{CB16298D-8166-46FC-8FDA-66B0417B713A}">
    <sortState xmlns:xlrd2="http://schemas.microsoft.com/office/spreadsheetml/2017/richdata2" ref="A3:J121">
      <sortCondition ref="J2:J121"/>
    </sortState>
  </autoFilter>
  <phoneticPr fontId="24"/>
  <conditionalFormatting sqref="C2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9C35-567F-4DE9-835C-52AFF34F3232}">
  <dimension ref="B1:E23"/>
  <sheetViews>
    <sheetView topLeftCell="A7" workbookViewId="0">
      <selection activeCell="G21" sqref="G21"/>
    </sheetView>
  </sheetViews>
  <sheetFormatPr defaultRowHeight="15"/>
  <cols>
    <col min="2" max="3" width="9" style="23"/>
    <col min="4" max="4" width="15.85546875" style="23" bestFit="1" customWidth="1"/>
    <col min="5" max="5" width="12.42578125" bestFit="1" customWidth="1"/>
  </cols>
  <sheetData>
    <row r="1" spans="2:5" ht="16.5">
      <c r="B1" s="513" t="s">
        <v>119</v>
      </c>
      <c r="C1" s="513"/>
      <c r="D1" s="513"/>
    </row>
    <row r="2" spans="2:5" ht="16.5">
      <c r="B2" s="20" t="s">
        <v>104</v>
      </c>
      <c r="C2" s="20" t="s">
        <v>105</v>
      </c>
      <c r="D2" s="20" t="s">
        <v>118</v>
      </c>
      <c r="E2" s="335" t="s">
        <v>761</v>
      </c>
    </row>
    <row r="3" spans="2:5">
      <c r="B3" s="20">
        <v>1</v>
      </c>
      <c r="C3" s="20" t="s">
        <v>99</v>
      </c>
      <c r="D3" s="105">
        <v>4179</v>
      </c>
      <c r="E3" s="336">
        <v>3688</v>
      </c>
    </row>
    <row r="4" spans="2:5">
      <c r="B4" s="20">
        <v>2</v>
      </c>
      <c r="C4" s="20" t="s">
        <v>106</v>
      </c>
      <c r="D4" s="20">
        <v>2955</v>
      </c>
      <c r="E4" s="334">
        <v>3581</v>
      </c>
    </row>
    <row r="5" spans="2:5">
      <c r="B5" s="20">
        <v>3</v>
      </c>
      <c r="C5" s="20" t="s">
        <v>107</v>
      </c>
      <c r="D5" s="20">
        <v>4677</v>
      </c>
      <c r="E5" s="336">
        <v>3576</v>
      </c>
    </row>
    <row r="6" spans="2:5">
      <c r="B6" s="20">
        <v>4</v>
      </c>
      <c r="C6" s="20" t="s">
        <v>108</v>
      </c>
      <c r="D6" s="20">
        <v>3190</v>
      </c>
      <c r="E6" s="334">
        <v>3870</v>
      </c>
    </row>
    <row r="7" spans="2:5">
      <c r="B7" s="20">
        <v>5</v>
      </c>
      <c r="C7" s="20" t="s">
        <v>109</v>
      </c>
      <c r="D7" s="20">
        <v>3332</v>
      </c>
      <c r="E7" s="334">
        <v>3871</v>
      </c>
    </row>
    <row r="8" spans="2:5">
      <c r="B8" s="20">
        <v>6</v>
      </c>
      <c r="C8" s="20" t="s">
        <v>95</v>
      </c>
      <c r="D8" s="20">
        <v>3675</v>
      </c>
      <c r="E8" s="334">
        <v>3917</v>
      </c>
    </row>
    <row r="9" spans="2:5">
      <c r="B9" s="20">
        <v>7</v>
      </c>
      <c r="C9" s="20" t="s">
        <v>110</v>
      </c>
      <c r="D9" s="20">
        <v>2917</v>
      </c>
      <c r="E9" s="334">
        <v>3543</v>
      </c>
    </row>
    <row r="10" spans="2:5">
      <c r="B10" s="20">
        <v>8</v>
      </c>
      <c r="C10" s="20" t="s">
        <v>96</v>
      </c>
      <c r="D10" s="20">
        <v>5511</v>
      </c>
      <c r="E10" s="334">
        <v>6304</v>
      </c>
    </row>
    <row r="11" spans="2:5">
      <c r="B11" s="20">
        <v>9</v>
      </c>
      <c r="C11" s="20" t="s">
        <v>102</v>
      </c>
      <c r="D11" s="20">
        <v>3648</v>
      </c>
      <c r="E11" s="334">
        <v>4266</v>
      </c>
    </row>
    <row r="12" spans="2:5">
      <c r="B12" s="20">
        <v>10</v>
      </c>
      <c r="C12" s="20" t="s">
        <v>100</v>
      </c>
      <c r="D12" s="20">
        <v>3525</v>
      </c>
      <c r="E12" s="334">
        <v>4118</v>
      </c>
    </row>
    <row r="13" spans="2:5">
      <c r="B13" s="20">
        <v>11</v>
      </c>
      <c r="C13" s="20" t="s">
        <v>111</v>
      </c>
      <c r="D13" s="20">
        <v>4423</v>
      </c>
      <c r="E13" s="334">
        <v>4941</v>
      </c>
    </row>
    <row r="14" spans="2:5">
      <c r="B14" s="20">
        <v>12</v>
      </c>
      <c r="C14" s="20" t="s">
        <v>112</v>
      </c>
      <c r="D14" s="20">
        <v>5263</v>
      </c>
      <c r="E14" s="334">
        <v>6060</v>
      </c>
    </row>
    <row r="15" spans="2:5">
      <c r="B15" s="20">
        <v>13</v>
      </c>
      <c r="C15" s="20" t="s">
        <v>103</v>
      </c>
      <c r="D15" s="20">
        <v>5050</v>
      </c>
      <c r="E15" s="334">
        <v>5323</v>
      </c>
    </row>
    <row r="16" spans="2:5">
      <c r="B16" s="20">
        <v>14</v>
      </c>
      <c r="C16" s="20" t="s">
        <v>113</v>
      </c>
      <c r="D16" s="20">
        <v>2977</v>
      </c>
      <c r="E16" s="334">
        <v>3617</v>
      </c>
    </row>
    <row r="17" spans="2:5">
      <c r="B17" s="20">
        <v>15</v>
      </c>
      <c r="C17" s="20" t="s">
        <v>114</v>
      </c>
      <c r="D17" s="20">
        <v>3244</v>
      </c>
      <c r="E17" s="334">
        <v>3651</v>
      </c>
    </row>
    <row r="18" spans="2:5">
      <c r="B18" s="20">
        <v>16</v>
      </c>
      <c r="C18" s="20" t="s">
        <v>115</v>
      </c>
      <c r="D18" s="20">
        <v>8510</v>
      </c>
      <c r="E18" s="334">
        <v>9203</v>
      </c>
    </row>
    <row r="19" spans="2:5">
      <c r="B19" s="20">
        <v>17</v>
      </c>
      <c r="C19" s="20" t="s">
        <v>98</v>
      </c>
      <c r="D19" s="20">
        <v>3362</v>
      </c>
      <c r="E19" s="334">
        <v>3970</v>
      </c>
    </row>
    <row r="20" spans="2:5">
      <c r="B20" s="20">
        <v>18</v>
      </c>
      <c r="C20" s="20" t="s">
        <v>116</v>
      </c>
      <c r="D20" s="20">
        <v>4210</v>
      </c>
      <c r="E20" s="336">
        <v>3805</v>
      </c>
    </row>
    <row r="21" spans="2:5">
      <c r="B21" s="20">
        <v>19</v>
      </c>
      <c r="C21" s="20" t="s">
        <v>97</v>
      </c>
      <c r="D21" s="20">
        <v>2937</v>
      </c>
      <c r="E21" s="334">
        <v>3568</v>
      </c>
    </row>
    <row r="22" spans="2:5">
      <c r="B22" s="20">
        <v>20</v>
      </c>
      <c r="C22" s="20" t="s">
        <v>101</v>
      </c>
      <c r="D22" s="20">
        <v>4968</v>
      </c>
      <c r="E22" s="334">
        <v>5418</v>
      </c>
    </row>
    <row r="23" spans="2:5">
      <c r="B23" s="20">
        <v>21</v>
      </c>
      <c r="C23" s="20" t="s">
        <v>117</v>
      </c>
      <c r="D23" s="20">
        <v>2927</v>
      </c>
      <c r="E23" s="334">
        <v>3552</v>
      </c>
    </row>
  </sheetData>
  <mergeCells count="1">
    <mergeCell ref="B1:D1"/>
  </mergeCells>
  <phoneticPr fontId="24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53B3-6EEE-440E-8261-AE5A14D472E1}">
  <dimension ref="A1:N10"/>
  <sheetViews>
    <sheetView workbookViewId="0">
      <selection activeCell="L19" sqref="L19"/>
    </sheetView>
  </sheetViews>
  <sheetFormatPr defaultRowHeight="15"/>
  <cols>
    <col min="1" max="1" width="9" style="23"/>
    <col min="2" max="2" width="31.7109375" style="23" bestFit="1" customWidth="1"/>
    <col min="3" max="3" width="26.85546875" style="23" customWidth="1"/>
    <col min="4" max="5" width="9" style="23"/>
    <col min="6" max="6" width="7.85546875" style="23" bestFit="1" customWidth="1"/>
    <col min="7" max="7" width="8.7109375" style="23" customWidth="1"/>
    <col min="8" max="8" width="13.85546875" style="23" bestFit="1" customWidth="1"/>
    <col min="9" max="9" width="19.7109375" style="23" bestFit="1" customWidth="1"/>
    <col min="10" max="10" width="24.85546875" style="23" bestFit="1" customWidth="1"/>
    <col min="11" max="11" width="15.42578125" style="23" bestFit="1" customWidth="1"/>
    <col min="12" max="12" width="10.42578125" style="23" customWidth="1"/>
    <col min="14" max="14" width="19.140625" customWidth="1"/>
  </cols>
  <sheetData>
    <row r="1" spans="1:14">
      <c r="A1" s="476" t="s">
        <v>104</v>
      </c>
      <c r="B1" s="476" t="s">
        <v>138</v>
      </c>
      <c r="C1" s="476" t="s">
        <v>139</v>
      </c>
      <c r="D1" s="476" t="s">
        <v>140</v>
      </c>
      <c r="E1" s="476"/>
      <c r="F1" s="530" t="s">
        <v>148</v>
      </c>
      <c r="G1" s="528" t="s">
        <v>147</v>
      </c>
      <c r="H1" s="528" t="s">
        <v>143</v>
      </c>
      <c r="I1" s="476" t="s">
        <v>129</v>
      </c>
      <c r="J1" s="527" t="s">
        <v>144</v>
      </c>
      <c r="K1" s="476" t="s">
        <v>130</v>
      </c>
      <c r="L1" s="527" t="s">
        <v>141</v>
      </c>
      <c r="N1" s="102"/>
    </row>
    <row r="2" spans="1:14">
      <c r="A2" s="476"/>
      <c r="B2" s="476"/>
      <c r="C2" s="476"/>
      <c r="D2" s="107" t="s">
        <v>128</v>
      </c>
      <c r="E2" s="107" t="s">
        <v>127</v>
      </c>
      <c r="F2" s="531"/>
      <c r="G2" s="506"/>
      <c r="H2" s="529"/>
      <c r="I2" s="476"/>
      <c r="J2" s="476"/>
      <c r="K2" s="476"/>
      <c r="L2" s="527"/>
    </row>
    <row r="3" spans="1:14">
      <c r="A3" s="476">
        <v>1</v>
      </c>
      <c r="B3" s="476" t="s">
        <v>134</v>
      </c>
      <c r="C3" s="107" t="s">
        <v>133</v>
      </c>
      <c r="D3" s="107" t="s">
        <v>131</v>
      </c>
      <c r="E3" s="107"/>
      <c r="F3" s="107">
        <v>4</v>
      </c>
      <c r="G3" s="107">
        <v>8</v>
      </c>
      <c r="H3" s="107">
        <v>50</v>
      </c>
      <c r="I3" s="176">
        <f>'Tiền điện cực TB 2025'!Q3</f>
        <v>81.434126923076931</v>
      </c>
      <c r="J3" s="176">
        <f>'Tiền điện cực TB 2025'!R3</f>
        <v>57.498576923076932</v>
      </c>
      <c r="K3" s="107">
        <v>4</v>
      </c>
      <c r="L3" s="175">
        <f>J3+('Tiền điện cực TB 2025'!P3/'Gía gia công điện cực'!K3)</f>
        <v>60.298048076923088</v>
      </c>
    </row>
    <row r="4" spans="1:14">
      <c r="A4" s="476"/>
      <c r="B4" s="476"/>
      <c r="C4" s="107" t="s">
        <v>379</v>
      </c>
      <c r="D4" s="107" t="s">
        <v>132</v>
      </c>
      <c r="E4" s="107"/>
      <c r="F4" s="107">
        <v>4</v>
      </c>
      <c r="G4" s="107">
        <v>8</v>
      </c>
      <c r="H4" s="107">
        <v>50</v>
      </c>
      <c r="I4" s="176">
        <f>'Tiền điện cực TB 2025'!Q43</f>
        <v>220.02621794871797</v>
      </c>
      <c r="J4" s="176">
        <f>'Tiền điện cực TB 2025'!P43</f>
        <v>19.935897435897434</v>
      </c>
      <c r="K4" s="107">
        <v>4</v>
      </c>
      <c r="L4" s="176">
        <f>J4+('Tiền điện cực TB 2025'!P43/'Gía gia công điện cực'!K4)</f>
        <v>24.919871794871792</v>
      </c>
    </row>
    <row r="5" spans="1:14">
      <c r="A5" s="476">
        <v>2</v>
      </c>
      <c r="B5" s="476" t="s">
        <v>135</v>
      </c>
      <c r="C5" s="107" t="s">
        <v>137</v>
      </c>
      <c r="D5" s="107"/>
      <c r="E5" s="107" t="s">
        <v>132</v>
      </c>
      <c r="F5" s="107">
        <v>1</v>
      </c>
      <c r="G5" s="107">
        <v>3</v>
      </c>
      <c r="H5" s="107">
        <v>30</v>
      </c>
      <c r="I5" s="176">
        <f>'Tiền điện cực TB 2025'!Q20</f>
        <v>541.51440000000002</v>
      </c>
      <c r="J5" s="176">
        <f>'Tiền điện cực TB 2025'!R20</f>
        <v>282.46501538461541</v>
      </c>
      <c r="K5" s="107">
        <v>4</v>
      </c>
      <c r="L5" s="176">
        <f>J5+('Tiền điện cực TB 2025'!P20/K5)</f>
        <v>347.22736153846154</v>
      </c>
    </row>
    <row r="6" spans="1:14">
      <c r="A6" s="476"/>
      <c r="B6" s="476"/>
      <c r="C6" s="107" t="s">
        <v>136</v>
      </c>
      <c r="D6" s="107"/>
      <c r="E6" s="107" t="s">
        <v>132</v>
      </c>
      <c r="F6" s="107">
        <v>2</v>
      </c>
      <c r="G6" s="107">
        <v>4</v>
      </c>
      <c r="H6" s="107">
        <v>50</v>
      </c>
      <c r="I6" s="176">
        <f>'Tiền điện cực TB 2025'!Q38</f>
        <v>178.74869230769229</v>
      </c>
      <c r="J6" s="176">
        <f>'Tiền điện cực TB 2025'!R38</f>
        <v>84.31467948717949</v>
      </c>
      <c r="K6" s="107">
        <v>4</v>
      </c>
      <c r="L6" s="176">
        <f>J6+('Tiền điện cực TB 2025'!P38/'Gía gia công điện cực'!K6)</f>
        <v>112.56945192307693</v>
      </c>
    </row>
    <row r="7" spans="1:14" ht="18.75">
      <c r="A7" s="106">
        <v>3</v>
      </c>
      <c r="B7" s="106" t="s">
        <v>145</v>
      </c>
      <c r="C7" s="106" t="s">
        <v>142</v>
      </c>
      <c r="D7" s="106" t="s">
        <v>132</v>
      </c>
      <c r="E7" s="106"/>
      <c r="F7" s="106">
        <v>2</v>
      </c>
      <c r="G7" s="106">
        <v>4</v>
      </c>
      <c r="H7" s="107">
        <v>50</v>
      </c>
      <c r="I7" s="181">
        <f>'Tiền điện cực TB 2025'!Q22</f>
        <v>68.300276923076922</v>
      </c>
      <c r="J7" s="181">
        <f>'Tiền điện cực TB 2025'!R22</f>
        <v>56.750838461538464</v>
      </c>
      <c r="K7" s="106">
        <v>4</v>
      </c>
      <c r="L7" s="176">
        <f>J7+('Tiền điện cực TB 2025'!P22/'Gía gia công điện cực'!K7)</f>
        <v>59.638198076923082</v>
      </c>
    </row>
    <row r="8" spans="1:14">
      <c r="A8" s="106">
        <v>4</v>
      </c>
      <c r="B8" s="106" t="s">
        <v>146</v>
      </c>
      <c r="C8" s="106" t="s">
        <v>142</v>
      </c>
      <c r="D8" s="106"/>
      <c r="E8" s="106" t="s">
        <v>132</v>
      </c>
      <c r="F8" s="106">
        <v>2</v>
      </c>
      <c r="G8" s="106">
        <v>4</v>
      </c>
      <c r="H8" s="107">
        <v>50</v>
      </c>
      <c r="I8" s="181">
        <f>'Tiền điện cực TB 2025'!Q23</f>
        <v>155.00865384615386</v>
      </c>
      <c r="J8" s="181">
        <f>'Tiền điện cực TB 2025'!R23</f>
        <v>61.867923076923105</v>
      </c>
      <c r="K8" s="106">
        <v>4</v>
      </c>
      <c r="L8" s="176">
        <f>J8+'Tiền điện cực TB 2025'!P23/'Gía gia công điện cực'!K8</f>
        <v>85.153105769230791</v>
      </c>
    </row>
    <row r="9" spans="1:14">
      <c r="A9" s="108">
        <v>5</v>
      </c>
      <c r="B9" s="108" t="s">
        <v>383</v>
      </c>
      <c r="C9" s="108" t="s">
        <v>380</v>
      </c>
      <c r="D9" s="108"/>
      <c r="E9" s="108" t="s">
        <v>381</v>
      </c>
      <c r="F9" s="108">
        <v>1</v>
      </c>
      <c r="G9" s="108">
        <v>1</v>
      </c>
      <c r="H9" s="108">
        <v>50</v>
      </c>
      <c r="I9" s="181">
        <f>'Tiền điện cực TB 2025'!Q9</f>
        <v>5.5962307692307691</v>
      </c>
      <c r="J9" s="181">
        <f>'Tiền điện cực TB 2025'!R9</f>
        <v>5.1126624999999999</v>
      </c>
      <c r="K9" s="108">
        <v>4</v>
      </c>
      <c r="L9" s="181">
        <f>J9+('Tiền điện cực TB 2025'!P9/'Gía gia công điện cực'!K9)</f>
        <v>5.2335545673076922</v>
      </c>
    </row>
    <row r="10" spans="1:14">
      <c r="A10" s="136">
        <v>6</v>
      </c>
      <c r="B10" s="136" t="s">
        <v>387</v>
      </c>
      <c r="C10" s="136" t="s">
        <v>388</v>
      </c>
      <c r="D10" s="136"/>
      <c r="E10" s="136" t="s">
        <v>389</v>
      </c>
      <c r="F10" s="136">
        <v>1</v>
      </c>
      <c r="G10" s="136">
        <v>1</v>
      </c>
      <c r="H10" s="136">
        <v>50</v>
      </c>
      <c r="I10" s="181">
        <f>'Tiền điện cực TB 2025'!Q45</f>
        <v>211.80034615384614</v>
      </c>
      <c r="J10" s="181">
        <f>'Tiền điện cực TB 2025'!R45</f>
        <v>73.634615384615387</v>
      </c>
      <c r="K10" s="136">
        <v>4</v>
      </c>
      <c r="L10" s="181">
        <f>J10+('Tiền điện cực TB 2025'!P45/'Gía gia công điện cực'!K10)</f>
        <v>88.033653846153854</v>
      </c>
    </row>
  </sheetData>
  <mergeCells count="15">
    <mergeCell ref="B5:B6"/>
    <mergeCell ref="D1:E1"/>
    <mergeCell ref="A1:A2"/>
    <mergeCell ref="B1:B2"/>
    <mergeCell ref="C1:C2"/>
    <mergeCell ref="A5:A6"/>
    <mergeCell ref="I1:I2"/>
    <mergeCell ref="J1:J2"/>
    <mergeCell ref="K1:K2"/>
    <mergeCell ref="L1:L2"/>
    <mergeCell ref="A3:A4"/>
    <mergeCell ref="H1:H2"/>
    <mergeCell ref="G1:G2"/>
    <mergeCell ref="B3:B4"/>
    <mergeCell ref="F1:F2"/>
  </mergeCells>
  <phoneticPr fontId="2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DDF1-EB16-4F3B-8C57-DE852BF2F950}">
  <dimension ref="A1:R175"/>
  <sheetViews>
    <sheetView zoomScaleNormal="100" workbookViewId="0">
      <pane xSplit="3" ySplit="2" topLeftCell="F39" activePane="bottomRight" state="frozen"/>
      <selection pane="topRight" activeCell="D1" sqref="D1"/>
      <selection pane="bottomLeft" activeCell="A3" sqref="A3"/>
      <selection pane="bottomRight" activeCell="T11" sqref="T11"/>
    </sheetView>
  </sheetViews>
  <sheetFormatPr defaultRowHeight="15"/>
  <cols>
    <col min="1" max="1" width="6.28515625" style="45" customWidth="1"/>
    <col min="2" max="2" width="30.85546875" style="143" bestFit="1" customWidth="1"/>
    <col min="3" max="3" width="14.42578125" style="146" bestFit="1" customWidth="1"/>
    <col min="4" max="4" width="6.42578125" style="45" customWidth="1"/>
    <col min="5" max="5" width="13" style="32" bestFit="1" customWidth="1"/>
    <col min="6" max="6" width="10" style="23" customWidth="1"/>
    <col min="7" max="7" width="13.140625" style="132" bestFit="1" customWidth="1"/>
    <col min="8" max="8" width="9" style="135"/>
    <col min="9" max="9" width="16.85546875" style="23" customWidth="1"/>
    <col min="10" max="10" width="9.85546875" style="23" bestFit="1" customWidth="1"/>
    <col min="11" max="11" width="13.42578125" style="45" customWidth="1"/>
    <col min="12" max="12" width="12.7109375" style="135" bestFit="1" customWidth="1"/>
    <col min="13" max="13" width="12.42578125" customWidth="1"/>
    <col min="14" max="14" width="15.140625" bestFit="1" customWidth="1"/>
    <col min="15" max="15" width="15.140625" style="135" customWidth="1"/>
    <col min="16" max="16" width="15.140625" style="45" customWidth="1"/>
    <col min="17" max="17" width="19.42578125" style="45" customWidth="1"/>
    <col min="18" max="18" width="19.85546875" style="45" customWidth="1"/>
  </cols>
  <sheetData>
    <row r="1" spans="1:18" ht="23.25">
      <c r="A1" s="552" t="s">
        <v>149</v>
      </c>
      <c r="B1" s="553"/>
      <c r="C1" s="554"/>
      <c r="D1" s="553"/>
      <c r="E1" s="553"/>
      <c r="F1" s="553"/>
      <c r="G1" s="553"/>
      <c r="H1" s="553"/>
      <c r="I1" s="553"/>
      <c r="J1" s="110"/>
      <c r="K1" s="165"/>
    </row>
    <row r="2" spans="1:18" ht="68.25" customHeight="1">
      <c r="A2" s="133" t="s">
        <v>121</v>
      </c>
      <c r="B2" s="139" t="s">
        <v>122</v>
      </c>
      <c r="C2" s="144" t="s">
        <v>49</v>
      </c>
      <c r="D2" s="133" t="s">
        <v>150</v>
      </c>
      <c r="E2" s="139" t="s">
        <v>291</v>
      </c>
      <c r="F2" s="133" t="s">
        <v>151</v>
      </c>
      <c r="G2" s="133" t="s">
        <v>152</v>
      </c>
      <c r="H2" s="164" t="s">
        <v>153</v>
      </c>
      <c r="I2" s="133" t="s">
        <v>154</v>
      </c>
      <c r="J2" s="134" t="s">
        <v>282</v>
      </c>
      <c r="K2" s="166" t="s">
        <v>361</v>
      </c>
      <c r="L2" s="45" t="s">
        <v>360</v>
      </c>
      <c r="M2" s="166" t="s">
        <v>362</v>
      </c>
      <c r="N2" s="103" t="s">
        <v>368</v>
      </c>
      <c r="O2" s="173" t="s">
        <v>369</v>
      </c>
      <c r="P2" s="173" t="s">
        <v>371</v>
      </c>
      <c r="Q2" s="173" t="s">
        <v>367</v>
      </c>
      <c r="R2" s="173" t="s">
        <v>370</v>
      </c>
    </row>
    <row r="3" spans="1:18">
      <c r="A3" s="109">
        <v>1</v>
      </c>
      <c r="B3" s="543" t="s">
        <v>292</v>
      </c>
      <c r="C3" s="21" t="s">
        <v>155</v>
      </c>
      <c r="D3" s="109">
        <v>8</v>
      </c>
      <c r="E3" s="536" t="s">
        <v>294</v>
      </c>
      <c r="F3" s="112" t="s">
        <v>356</v>
      </c>
      <c r="G3" s="111"/>
      <c r="H3" s="112">
        <v>10202</v>
      </c>
      <c r="I3" s="112" t="s">
        <v>156</v>
      </c>
      <c r="J3" s="113">
        <v>4</v>
      </c>
      <c r="K3" s="167">
        <v>416658</v>
      </c>
      <c r="L3" s="169">
        <f>K3/26000</f>
        <v>16.025307692307692</v>
      </c>
      <c r="M3" s="168">
        <f>L3*J3</f>
        <v>64.101230769230767</v>
      </c>
      <c r="N3" s="168">
        <v>310000</v>
      </c>
      <c r="O3" s="169">
        <f>N3/26000</f>
        <v>11.923076923076923</v>
      </c>
      <c r="P3" s="174">
        <f>(O3+O6+O63+O76+O78+O85+O105+O145+O149+O151)/10</f>
        <v>11.197884615384616</v>
      </c>
      <c r="Q3" s="171">
        <f>(M3+M6+M76+M78+M85+M105+M145+M149+M63)/10</f>
        <v>81.434126923076931</v>
      </c>
      <c r="R3" s="172">
        <f>(M76+M109+M110+M117+M119+M121)/6</f>
        <v>57.498576923076932</v>
      </c>
    </row>
    <row r="4" spans="1:18">
      <c r="A4" s="109">
        <v>2</v>
      </c>
      <c r="B4" s="534"/>
      <c r="C4" s="21" t="s">
        <v>155</v>
      </c>
      <c r="D4" s="109">
        <v>7</v>
      </c>
      <c r="E4" s="532"/>
      <c r="F4" s="112" t="s">
        <v>356</v>
      </c>
      <c r="G4" s="111"/>
      <c r="H4" s="112">
        <v>10202</v>
      </c>
      <c r="I4" s="112" t="s">
        <v>156</v>
      </c>
      <c r="J4" s="113">
        <v>3</v>
      </c>
      <c r="K4" s="167">
        <v>1655525</v>
      </c>
      <c r="L4" s="169">
        <f t="shared" ref="L4:L48" si="0">K4/26000</f>
        <v>63.674038461538458</v>
      </c>
      <c r="M4" s="168">
        <f t="shared" ref="M4:M67" si="1">L4*J4</f>
        <v>191.02211538461538</v>
      </c>
      <c r="N4" s="168"/>
      <c r="O4" s="168">
        <f t="shared" ref="O4:O5" si="2">N4/26000</f>
        <v>0</v>
      </c>
      <c r="P4" s="168"/>
      <c r="Q4" s="168"/>
      <c r="R4"/>
    </row>
    <row r="5" spans="1:18">
      <c r="A5" s="109">
        <v>3</v>
      </c>
      <c r="B5" s="535"/>
      <c r="C5" s="21" t="s">
        <v>155</v>
      </c>
      <c r="D5" s="109">
        <v>6</v>
      </c>
      <c r="E5" s="533"/>
      <c r="F5" s="112" t="s">
        <v>356</v>
      </c>
      <c r="G5" s="111"/>
      <c r="H5" s="112">
        <v>10202</v>
      </c>
      <c r="I5" s="112" t="s">
        <v>156</v>
      </c>
      <c r="J5" s="113">
        <v>2</v>
      </c>
      <c r="K5" s="167">
        <v>524434</v>
      </c>
      <c r="L5" s="169">
        <f t="shared" si="0"/>
        <v>20.170538461538463</v>
      </c>
      <c r="M5" s="168">
        <f t="shared" si="1"/>
        <v>40.341076923076926</v>
      </c>
      <c r="N5" s="168"/>
      <c r="O5" s="168">
        <f t="shared" si="2"/>
        <v>0</v>
      </c>
      <c r="P5" s="168"/>
      <c r="Q5" s="168"/>
      <c r="R5"/>
    </row>
    <row r="6" spans="1:18">
      <c r="A6" s="109">
        <v>4</v>
      </c>
      <c r="B6" s="543" t="s">
        <v>293</v>
      </c>
      <c r="C6" s="21" t="s">
        <v>155</v>
      </c>
      <c r="D6" s="109">
        <v>1</v>
      </c>
      <c r="E6" s="536" t="s">
        <v>294</v>
      </c>
      <c r="F6" s="112" t="s">
        <v>356</v>
      </c>
      <c r="G6" s="111"/>
      <c r="H6" s="112">
        <v>10202</v>
      </c>
      <c r="I6" s="112" t="s">
        <v>156</v>
      </c>
      <c r="J6" s="113">
        <v>4</v>
      </c>
      <c r="K6" s="167">
        <v>416658</v>
      </c>
      <c r="L6" s="169">
        <f t="shared" si="0"/>
        <v>16.025307692307692</v>
      </c>
      <c r="M6" s="168">
        <f t="shared" si="1"/>
        <v>64.101230769230767</v>
      </c>
      <c r="N6" s="168">
        <v>421000</v>
      </c>
      <c r="O6" s="169">
        <f>N6/26000</f>
        <v>16.192307692307693</v>
      </c>
      <c r="P6" s="169"/>
      <c r="Q6"/>
      <c r="R6"/>
    </row>
    <row r="7" spans="1:18">
      <c r="A7" s="109">
        <v>5</v>
      </c>
      <c r="B7" s="535"/>
      <c r="C7" s="21" t="s">
        <v>155</v>
      </c>
      <c r="D7" s="109">
        <v>3</v>
      </c>
      <c r="E7" s="533"/>
      <c r="F7" s="112" t="s">
        <v>356</v>
      </c>
      <c r="G7" s="111"/>
      <c r="H7" s="112">
        <v>10202</v>
      </c>
      <c r="I7" s="112" t="s">
        <v>156</v>
      </c>
      <c r="J7" s="113">
        <v>2</v>
      </c>
      <c r="K7" s="167">
        <v>502022</v>
      </c>
      <c r="L7" s="169">
        <f t="shared" si="0"/>
        <v>19.308538461538461</v>
      </c>
      <c r="M7" s="168">
        <f t="shared" si="1"/>
        <v>38.617076923076922</v>
      </c>
      <c r="N7" s="168"/>
      <c r="O7" s="168">
        <f t="shared" ref="O7:O19" si="3">N7/26000</f>
        <v>0</v>
      </c>
      <c r="P7" s="168"/>
      <c r="Q7"/>
      <c r="R7"/>
    </row>
    <row r="8" spans="1:18">
      <c r="A8" s="109">
        <v>6</v>
      </c>
      <c r="B8" s="21" t="s">
        <v>295</v>
      </c>
      <c r="C8" s="21" t="s">
        <v>283</v>
      </c>
      <c r="D8" s="109">
        <v>4</v>
      </c>
      <c r="E8" s="111"/>
      <c r="F8" s="112" t="s">
        <v>356</v>
      </c>
      <c r="G8" s="111"/>
      <c r="H8" s="112">
        <v>10202</v>
      </c>
      <c r="I8" s="112" t="s">
        <v>156</v>
      </c>
      <c r="J8" s="113">
        <v>2</v>
      </c>
      <c r="K8" s="167">
        <v>461016</v>
      </c>
      <c r="L8" s="169">
        <f t="shared" si="0"/>
        <v>17.731384615384616</v>
      </c>
      <c r="M8" s="168">
        <f t="shared" si="1"/>
        <v>35.462769230769233</v>
      </c>
      <c r="N8" s="168"/>
      <c r="O8" s="168">
        <f t="shared" si="3"/>
        <v>0</v>
      </c>
      <c r="P8" s="168"/>
      <c r="Q8"/>
      <c r="R8"/>
    </row>
    <row r="9" spans="1:18">
      <c r="A9" s="109">
        <v>7</v>
      </c>
      <c r="B9" s="21" t="s">
        <v>157</v>
      </c>
      <c r="C9" s="21" t="s">
        <v>155</v>
      </c>
      <c r="D9" s="109">
        <v>2</v>
      </c>
      <c r="E9" s="111" t="s">
        <v>296</v>
      </c>
      <c r="F9" s="112" t="s">
        <v>356</v>
      </c>
      <c r="G9" s="111"/>
      <c r="H9" s="112">
        <v>10202</v>
      </c>
      <c r="I9" s="112" t="s">
        <v>156</v>
      </c>
      <c r="J9" s="113">
        <v>40</v>
      </c>
      <c r="K9" s="167">
        <v>145502</v>
      </c>
      <c r="L9" s="169">
        <f t="shared" si="0"/>
        <v>5.5962307692307691</v>
      </c>
      <c r="M9" s="168">
        <f t="shared" si="1"/>
        <v>223.84923076923076</v>
      </c>
      <c r="N9" s="168">
        <v>502911</v>
      </c>
      <c r="O9" s="168">
        <f>N9/26000/J9</f>
        <v>0.48356826923076923</v>
      </c>
      <c r="P9" s="171">
        <f>O9</f>
        <v>0.48356826923076923</v>
      </c>
      <c r="Q9" s="172">
        <f>L9</f>
        <v>5.5962307692307691</v>
      </c>
      <c r="R9" s="180">
        <f>Q9-P9</f>
        <v>5.1126624999999999</v>
      </c>
    </row>
    <row r="10" spans="1:18">
      <c r="A10" s="109">
        <v>8</v>
      </c>
      <c r="B10" s="21" t="s">
        <v>297</v>
      </c>
      <c r="C10" s="21" t="s">
        <v>155</v>
      </c>
      <c r="D10" s="109">
        <v>1</v>
      </c>
      <c r="E10" s="111" t="s">
        <v>298</v>
      </c>
      <c r="F10" s="112" t="s">
        <v>356</v>
      </c>
      <c r="G10" s="111"/>
      <c r="H10" s="112">
        <v>10202</v>
      </c>
      <c r="I10" s="112" t="s">
        <v>156</v>
      </c>
      <c r="J10" s="113">
        <v>1</v>
      </c>
      <c r="K10" s="167">
        <v>13316391</v>
      </c>
      <c r="L10" s="169">
        <f t="shared" si="0"/>
        <v>512.16888461538463</v>
      </c>
      <c r="M10" s="168">
        <f t="shared" si="1"/>
        <v>512.16888461538463</v>
      </c>
      <c r="N10" s="168"/>
      <c r="O10" s="168">
        <f t="shared" si="3"/>
        <v>0</v>
      </c>
      <c r="P10" s="168"/>
      <c r="Q10"/>
      <c r="R10"/>
    </row>
    <row r="11" spans="1:18">
      <c r="A11" s="109">
        <v>9</v>
      </c>
      <c r="B11" s="21" t="s">
        <v>299</v>
      </c>
      <c r="C11" s="21" t="s">
        <v>158</v>
      </c>
      <c r="D11" s="109">
        <v>1</v>
      </c>
      <c r="E11" s="111"/>
      <c r="F11" s="112" t="s">
        <v>356</v>
      </c>
      <c r="G11" s="111"/>
      <c r="H11" s="112">
        <v>10202</v>
      </c>
      <c r="I11" s="112" t="s">
        <v>156</v>
      </c>
      <c r="J11" s="113">
        <v>2</v>
      </c>
      <c r="K11" s="167">
        <v>386120</v>
      </c>
      <c r="L11" s="169">
        <f t="shared" si="0"/>
        <v>14.850769230769231</v>
      </c>
      <c r="M11" s="168">
        <f t="shared" si="1"/>
        <v>29.701538461538462</v>
      </c>
      <c r="N11" s="168"/>
      <c r="O11" s="168">
        <f t="shared" si="3"/>
        <v>0</v>
      </c>
      <c r="P11" s="168"/>
      <c r="Q11"/>
      <c r="R11"/>
    </row>
    <row r="12" spans="1:18">
      <c r="A12" s="109">
        <v>10</v>
      </c>
      <c r="B12" s="21" t="s">
        <v>159</v>
      </c>
      <c r="C12" s="21" t="s">
        <v>160</v>
      </c>
      <c r="D12" s="109">
        <v>1</v>
      </c>
      <c r="E12" s="111"/>
      <c r="F12" s="112" t="s">
        <v>356</v>
      </c>
      <c r="G12" s="111"/>
      <c r="H12" s="112">
        <v>10202</v>
      </c>
      <c r="I12" s="112" t="s">
        <v>156</v>
      </c>
      <c r="J12" s="113">
        <v>4</v>
      </c>
      <c r="K12" s="167">
        <v>131090</v>
      </c>
      <c r="L12" s="169">
        <f t="shared" si="0"/>
        <v>5.0419230769230765</v>
      </c>
      <c r="M12" s="168">
        <f t="shared" si="1"/>
        <v>20.167692307692306</v>
      </c>
      <c r="N12" s="168"/>
      <c r="O12" s="168">
        <f t="shared" si="3"/>
        <v>0</v>
      </c>
      <c r="P12" s="168"/>
      <c r="Q12"/>
      <c r="R12"/>
    </row>
    <row r="13" spans="1:18">
      <c r="A13" s="109">
        <v>11</v>
      </c>
      <c r="B13" s="21" t="s">
        <v>161</v>
      </c>
      <c r="C13" s="21" t="s">
        <v>162</v>
      </c>
      <c r="D13" s="109">
        <v>1</v>
      </c>
      <c r="E13" s="111" t="s">
        <v>300</v>
      </c>
      <c r="F13" s="112" t="s">
        <v>356</v>
      </c>
      <c r="G13" s="111"/>
      <c r="H13" s="112">
        <v>10202</v>
      </c>
      <c r="I13" s="112" t="s">
        <v>156</v>
      </c>
      <c r="J13" s="113">
        <v>1</v>
      </c>
      <c r="K13" s="167">
        <v>894946</v>
      </c>
      <c r="L13" s="169">
        <f t="shared" si="0"/>
        <v>34.420999999999999</v>
      </c>
      <c r="M13" s="168">
        <f t="shared" si="1"/>
        <v>34.420999999999999</v>
      </c>
      <c r="N13" s="168"/>
      <c r="O13" s="168">
        <f t="shared" si="3"/>
        <v>0</v>
      </c>
      <c r="P13" s="168"/>
      <c r="Q13"/>
      <c r="R13"/>
    </row>
    <row r="14" spans="1:18">
      <c r="A14" s="109">
        <v>12</v>
      </c>
      <c r="B14" s="21" t="s">
        <v>163</v>
      </c>
      <c r="C14" s="21">
        <v>4125050612</v>
      </c>
      <c r="D14" s="109">
        <v>1</v>
      </c>
      <c r="E14" s="111"/>
      <c r="F14" s="112" t="s">
        <v>356</v>
      </c>
      <c r="G14" s="111"/>
      <c r="H14" s="112">
        <v>10202</v>
      </c>
      <c r="I14" s="112" t="s">
        <v>156</v>
      </c>
      <c r="J14" s="113">
        <v>2</v>
      </c>
      <c r="K14" s="167">
        <v>724294</v>
      </c>
      <c r="L14" s="169">
        <f t="shared" si="0"/>
        <v>27.857461538461539</v>
      </c>
      <c r="M14" s="168">
        <f t="shared" si="1"/>
        <v>55.714923076923078</v>
      </c>
      <c r="N14" s="168"/>
      <c r="O14" s="168">
        <f t="shared" si="3"/>
        <v>0</v>
      </c>
      <c r="P14" s="168"/>
      <c r="Q14"/>
      <c r="R14"/>
    </row>
    <row r="15" spans="1:18">
      <c r="A15" s="109">
        <v>13</v>
      </c>
      <c r="B15" s="21">
        <v>4135040026</v>
      </c>
      <c r="C15" s="21" t="s">
        <v>164</v>
      </c>
      <c r="D15" s="109">
        <v>1</v>
      </c>
      <c r="E15" s="111"/>
      <c r="F15" s="112" t="s">
        <v>356</v>
      </c>
      <c r="G15" s="111"/>
      <c r="H15" s="112">
        <v>10202</v>
      </c>
      <c r="I15" s="112" t="s">
        <v>156</v>
      </c>
      <c r="J15" s="113">
        <v>10</v>
      </c>
      <c r="K15" s="167">
        <v>859431</v>
      </c>
      <c r="L15" s="169">
        <f t="shared" si="0"/>
        <v>33.055038461538459</v>
      </c>
      <c r="M15" s="168">
        <f t="shared" si="1"/>
        <v>330.55038461538459</v>
      </c>
      <c r="N15" s="168"/>
      <c r="O15" s="168">
        <f t="shared" si="3"/>
        <v>0</v>
      </c>
      <c r="P15" s="168"/>
      <c r="Q15"/>
      <c r="R15"/>
    </row>
    <row r="16" spans="1:18">
      <c r="A16" s="109">
        <v>14</v>
      </c>
      <c r="B16" s="21" t="s">
        <v>165</v>
      </c>
      <c r="C16" s="21" t="s">
        <v>166</v>
      </c>
      <c r="D16" s="109">
        <v>1</v>
      </c>
      <c r="E16" s="111"/>
      <c r="F16" s="112" t="s">
        <v>356</v>
      </c>
      <c r="G16" s="111"/>
      <c r="H16" s="112">
        <v>10202</v>
      </c>
      <c r="I16" s="112" t="s">
        <v>156</v>
      </c>
      <c r="J16" s="113">
        <v>1</v>
      </c>
      <c r="K16" s="167">
        <v>381352</v>
      </c>
      <c r="L16" s="169">
        <f t="shared" si="0"/>
        <v>14.667384615384615</v>
      </c>
      <c r="M16" s="168">
        <f t="shared" si="1"/>
        <v>14.667384615384615</v>
      </c>
      <c r="N16" s="168"/>
      <c r="O16" s="168">
        <f t="shared" si="3"/>
        <v>0</v>
      </c>
      <c r="P16" s="168"/>
      <c r="Q16"/>
      <c r="R16"/>
    </row>
    <row r="17" spans="1:18">
      <c r="A17" s="109">
        <v>15</v>
      </c>
      <c r="B17" s="21" t="s">
        <v>167</v>
      </c>
      <c r="C17" s="21" t="s">
        <v>168</v>
      </c>
      <c r="D17" s="109">
        <v>1</v>
      </c>
      <c r="E17" s="114" t="s">
        <v>301</v>
      </c>
      <c r="F17" s="112" t="s">
        <v>356</v>
      </c>
      <c r="G17" s="114"/>
      <c r="H17" s="112">
        <v>10202</v>
      </c>
      <c r="I17" s="112" t="s">
        <v>156</v>
      </c>
      <c r="J17" s="113">
        <v>1</v>
      </c>
      <c r="K17" s="167">
        <v>282179</v>
      </c>
      <c r="L17" s="169">
        <f t="shared" si="0"/>
        <v>10.853038461538462</v>
      </c>
      <c r="M17" s="168">
        <f t="shared" si="1"/>
        <v>10.853038461538462</v>
      </c>
      <c r="N17" s="168"/>
      <c r="O17" s="168">
        <f t="shared" si="3"/>
        <v>0</v>
      </c>
      <c r="P17" s="168"/>
      <c r="Q17"/>
      <c r="R17"/>
    </row>
    <row r="18" spans="1:18">
      <c r="A18" s="109">
        <v>16</v>
      </c>
      <c r="B18" s="21" t="s">
        <v>169</v>
      </c>
      <c r="C18" s="21">
        <v>4125050623</v>
      </c>
      <c r="D18" s="109">
        <v>1</v>
      </c>
      <c r="E18" s="111"/>
      <c r="F18" s="112" t="s">
        <v>356</v>
      </c>
      <c r="G18" s="111"/>
      <c r="H18" s="112">
        <v>10202</v>
      </c>
      <c r="I18" s="112" t="s">
        <v>156</v>
      </c>
      <c r="J18" s="113">
        <v>1</v>
      </c>
      <c r="K18" s="167">
        <v>1868625</v>
      </c>
      <c r="L18" s="169">
        <f t="shared" si="0"/>
        <v>71.870192307692307</v>
      </c>
      <c r="M18" s="168">
        <f t="shared" si="1"/>
        <v>71.870192307692307</v>
      </c>
      <c r="N18" s="168"/>
      <c r="O18" s="168">
        <f t="shared" si="3"/>
        <v>0</v>
      </c>
      <c r="P18" s="168"/>
      <c r="Q18"/>
      <c r="R18"/>
    </row>
    <row r="19" spans="1:18">
      <c r="A19" s="109">
        <v>17</v>
      </c>
      <c r="B19" s="21" t="s">
        <v>302</v>
      </c>
      <c r="C19" s="21">
        <v>4125050625</v>
      </c>
      <c r="D19" s="109">
        <v>1</v>
      </c>
      <c r="E19" s="111"/>
      <c r="F19" s="112" t="s">
        <v>356</v>
      </c>
      <c r="G19" s="111"/>
      <c r="H19" s="112">
        <v>10202</v>
      </c>
      <c r="I19" s="112" t="s">
        <v>156</v>
      </c>
      <c r="J19" s="113">
        <v>1</v>
      </c>
      <c r="K19" s="167">
        <v>6219864</v>
      </c>
      <c r="L19" s="169">
        <f t="shared" si="0"/>
        <v>239.22553846153846</v>
      </c>
      <c r="M19" s="168">
        <f t="shared" si="1"/>
        <v>239.22553846153846</v>
      </c>
      <c r="N19" s="168"/>
      <c r="O19" s="168">
        <f t="shared" si="3"/>
        <v>0</v>
      </c>
      <c r="P19" s="168"/>
      <c r="Q19"/>
      <c r="R19"/>
    </row>
    <row r="20" spans="1:18">
      <c r="A20" s="109">
        <v>18</v>
      </c>
      <c r="B20" s="21" t="s">
        <v>363</v>
      </c>
      <c r="C20" s="141">
        <v>4125060623</v>
      </c>
      <c r="D20" s="109">
        <v>1</v>
      </c>
      <c r="E20" s="116" t="s">
        <v>306</v>
      </c>
      <c r="F20" s="112" t="s">
        <v>356</v>
      </c>
      <c r="G20" s="111"/>
      <c r="H20" s="112">
        <v>10202</v>
      </c>
      <c r="I20" s="112" t="s">
        <v>156</v>
      </c>
      <c r="J20" s="113">
        <v>3</v>
      </c>
      <c r="K20" s="167">
        <v>3298087</v>
      </c>
      <c r="L20" s="169">
        <f t="shared" si="0"/>
        <v>126.84950000000001</v>
      </c>
      <c r="M20" s="168">
        <f t="shared" si="1"/>
        <v>380.54849999999999</v>
      </c>
      <c r="N20" s="168">
        <v>4931930</v>
      </c>
      <c r="O20" s="168">
        <f>N20/26000</f>
        <v>189.68961538461539</v>
      </c>
      <c r="P20" s="168">
        <f>(O20+O24+O99+O100+O144)/5</f>
        <v>259.04938461538461</v>
      </c>
      <c r="Q20" s="170">
        <f>(M20+M24+M99+M104+M144)/5</f>
        <v>541.51440000000002</v>
      </c>
      <c r="R20" s="170">
        <f>Q20-P20</f>
        <v>282.46501538461541</v>
      </c>
    </row>
    <row r="21" spans="1:18">
      <c r="A21" s="109">
        <v>19</v>
      </c>
      <c r="B21" s="21">
        <v>6114100056</v>
      </c>
      <c r="C21" s="21" t="s">
        <v>170</v>
      </c>
      <c r="D21" s="109">
        <v>1</v>
      </c>
      <c r="E21" s="111"/>
      <c r="F21" s="112" t="s">
        <v>356</v>
      </c>
      <c r="G21" s="111"/>
      <c r="H21" s="112">
        <v>10202</v>
      </c>
      <c r="I21" s="112" t="s">
        <v>156</v>
      </c>
      <c r="J21" s="113">
        <v>2</v>
      </c>
      <c r="K21" s="167">
        <v>2207667</v>
      </c>
      <c r="L21" s="169">
        <f t="shared" si="0"/>
        <v>84.910269230769231</v>
      </c>
      <c r="M21" s="168">
        <f t="shared" si="1"/>
        <v>169.82053846153846</v>
      </c>
      <c r="N21" s="168"/>
      <c r="O21" s="168">
        <f>N21/26000</f>
        <v>0</v>
      </c>
      <c r="P21" s="168"/>
      <c r="Q21"/>
      <c r="R21"/>
    </row>
    <row r="22" spans="1:18" ht="16.5">
      <c r="A22" s="109">
        <v>20</v>
      </c>
      <c r="B22" s="21" t="s">
        <v>171</v>
      </c>
      <c r="C22" s="21" t="s">
        <v>170</v>
      </c>
      <c r="D22" s="109">
        <v>4</v>
      </c>
      <c r="E22" s="111" t="s">
        <v>303</v>
      </c>
      <c r="F22" s="112" t="s">
        <v>356</v>
      </c>
      <c r="G22" s="111"/>
      <c r="H22" s="112">
        <v>10202</v>
      </c>
      <c r="I22" s="112" t="s">
        <v>156</v>
      </c>
      <c r="J22" s="113">
        <v>1</v>
      </c>
      <c r="K22" s="167">
        <v>2414924</v>
      </c>
      <c r="L22" s="169">
        <f t="shared" si="0"/>
        <v>92.881692307692305</v>
      </c>
      <c r="M22" s="168">
        <f t="shared" si="1"/>
        <v>92.881692307692305</v>
      </c>
      <c r="N22" s="168">
        <v>274920</v>
      </c>
      <c r="O22" s="168">
        <f t="shared" ref="O22:O23" si="4">N22/26000</f>
        <v>10.573846153846153</v>
      </c>
      <c r="P22" s="171">
        <f>(O22+O120+O129+O135+O139)/5</f>
        <v>11.549438461538461</v>
      </c>
      <c r="Q22" s="172">
        <f>(M22+M120+M129+M135+M139)/5</f>
        <v>68.300276923076922</v>
      </c>
      <c r="R22" s="180">
        <f>Q22-P22</f>
        <v>56.750838461538464</v>
      </c>
    </row>
    <row r="23" spans="1:18">
      <c r="A23" s="109">
        <v>21</v>
      </c>
      <c r="B23" s="21" t="s">
        <v>172</v>
      </c>
      <c r="C23" s="21" t="s">
        <v>173</v>
      </c>
      <c r="D23" s="109">
        <v>1</v>
      </c>
      <c r="E23" s="111" t="s">
        <v>385</v>
      </c>
      <c r="F23" s="112" t="s">
        <v>356</v>
      </c>
      <c r="G23" s="111"/>
      <c r="H23" s="112">
        <v>10202</v>
      </c>
      <c r="I23" s="112" t="s">
        <v>156</v>
      </c>
      <c r="J23" s="113">
        <v>1</v>
      </c>
      <c r="K23" s="167">
        <v>454679</v>
      </c>
      <c r="L23" s="169">
        <f t="shared" si="0"/>
        <v>17.487653846153847</v>
      </c>
      <c r="M23" s="168">
        <f t="shared" si="1"/>
        <v>17.487653846153847</v>
      </c>
      <c r="N23" s="168"/>
      <c r="O23" s="168">
        <f t="shared" si="4"/>
        <v>0</v>
      </c>
      <c r="P23" s="171">
        <f>(O31+O33+O36)/3</f>
        <v>93.140730769230757</v>
      </c>
      <c r="Q23" s="172">
        <f>(M31+M33+M36)/3</f>
        <v>155.00865384615386</v>
      </c>
      <c r="R23" s="182">
        <f>(Q23-P23)</f>
        <v>61.867923076923105</v>
      </c>
    </row>
    <row r="24" spans="1:18">
      <c r="A24" s="109">
        <v>23</v>
      </c>
      <c r="B24" s="21" t="s">
        <v>304</v>
      </c>
      <c r="C24" s="21">
        <v>4125050645</v>
      </c>
      <c r="D24" s="109">
        <v>1</v>
      </c>
      <c r="E24" s="116" t="s">
        <v>305</v>
      </c>
      <c r="F24" s="112" t="s">
        <v>356</v>
      </c>
      <c r="G24" s="111"/>
      <c r="H24" s="112">
        <v>10202</v>
      </c>
      <c r="I24" s="112" t="s">
        <v>156</v>
      </c>
      <c r="J24" s="113">
        <v>3</v>
      </c>
      <c r="K24" s="167">
        <v>3916864</v>
      </c>
      <c r="L24" s="169">
        <f t="shared" si="0"/>
        <v>150.6486153846154</v>
      </c>
      <c r="M24" s="168">
        <f t="shared" si="1"/>
        <v>451.94584615384622</v>
      </c>
      <c r="N24" s="168">
        <v>6742857</v>
      </c>
      <c r="O24" s="168">
        <f>N24/26000</f>
        <v>259.34065384615383</v>
      </c>
      <c r="P24" s="168"/>
      <c r="Q24"/>
      <c r="R24"/>
    </row>
    <row r="25" spans="1:18">
      <c r="A25" s="109">
        <v>24</v>
      </c>
      <c r="B25" s="21" t="s">
        <v>307</v>
      </c>
      <c r="C25" s="21" t="s">
        <v>174</v>
      </c>
      <c r="D25" s="109">
        <v>3</v>
      </c>
      <c r="E25" s="111"/>
      <c r="F25" s="112" t="s">
        <v>356</v>
      </c>
      <c r="G25" s="111"/>
      <c r="H25" s="112">
        <v>10202</v>
      </c>
      <c r="I25" s="112" t="s">
        <v>156</v>
      </c>
      <c r="J25" s="113">
        <v>4</v>
      </c>
      <c r="K25" s="167">
        <v>276051</v>
      </c>
      <c r="L25" s="169">
        <f t="shared" si="0"/>
        <v>10.617346153846153</v>
      </c>
      <c r="M25" s="168">
        <f t="shared" si="1"/>
        <v>42.469384615384612</v>
      </c>
      <c r="N25" s="168"/>
      <c r="O25" s="168">
        <f>N25/26000</f>
        <v>0</v>
      </c>
      <c r="P25" s="168"/>
      <c r="Q25"/>
      <c r="R25"/>
    </row>
    <row r="26" spans="1:18">
      <c r="A26" s="109">
        <v>25</v>
      </c>
      <c r="B26" s="21" t="s">
        <v>175</v>
      </c>
      <c r="C26" s="148" t="s">
        <v>174</v>
      </c>
      <c r="D26" s="112">
        <v>2</v>
      </c>
      <c r="E26" s="111"/>
      <c r="F26" s="112" t="s">
        <v>356</v>
      </c>
      <c r="G26" s="111"/>
      <c r="H26" s="112">
        <v>10202</v>
      </c>
      <c r="I26" s="112" t="s">
        <v>156</v>
      </c>
      <c r="J26" s="113">
        <v>2</v>
      </c>
      <c r="K26" s="167">
        <v>15862</v>
      </c>
      <c r="L26" s="169">
        <f t="shared" si="0"/>
        <v>0.61007692307692307</v>
      </c>
      <c r="M26" s="168">
        <f t="shared" si="1"/>
        <v>1.2201538461538461</v>
      </c>
      <c r="N26" s="168"/>
      <c r="O26" s="168">
        <f t="shared" ref="O26:O27" si="5">N26/26000</f>
        <v>0</v>
      </c>
      <c r="P26" s="168"/>
      <c r="Q26"/>
      <c r="R26"/>
    </row>
    <row r="27" spans="1:18">
      <c r="A27" s="109">
        <v>26</v>
      </c>
      <c r="B27" s="543" t="s">
        <v>308</v>
      </c>
      <c r="C27" s="21" t="s">
        <v>176</v>
      </c>
      <c r="D27" s="109">
        <v>1</v>
      </c>
      <c r="E27" s="111"/>
      <c r="F27" s="112" t="s">
        <v>356</v>
      </c>
      <c r="G27" s="111"/>
      <c r="H27" s="112">
        <v>10202</v>
      </c>
      <c r="I27" s="112" t="s">
        <v>156</v>
      </c>
      <c r="J27" s="113">
        <v>1</v>
      </c>
      <c r="K27" s="167">
        <v>855646</v>
      </c>
      <c r="L27" s="169">
        <f t="shared" si="0"/>
        <v>32.909461538461535</v>
      </c>
      <c r="M27" s="168">
        <f t="shared" si="1"/>
        <v>32.909461538461535</v>
      </c>
      <c r="N27" s="168"/>
      <c r="O27" s="168">
        <f t="shared" si="5"/>
        <v>0</v>
      </c>
      <c r="P27" s="168"/>
      <c r="Q27"/>
      <c r="R27"/>
    </row>
    <row r="28" spans="1:18">
      <c r="A28" s="109">
        <v>27</v>
      </c>
      <c r="B28" s="534"/>
      <c r="C28" s="21" t="s">
        <v>176</v>
      </c>
      <c r="D28" s="109">
        <v>2</v>
      </c>
      <c r="E28" s="111"/>
      <c r="F28" s="112" t="s">
        <v>356</v>
      </c>
      <c r="G28" s="111"/>
      <c r="H28" s="112">
        <v>10202</v>
      </c>
      <c r="I28" s="112" t="s">
        <v>156</v>
      </c>
      <c r="J28" s="113">
        <v>2</v>
      </c>
      <c r="K28" s="167">
        <v>561860</v>
      </c>
      <c r="L28" s="169">
        <f t="shared" si="0"/>
        <v>21.61</v>
      </c>
      <c r="M28" s="168">
        <f t="shared" si="1"/>
        <v>43.22</v>
      </c>
      <c r="N28" s="168"/>
      <c r="O28" s="168">
        <f>N28/26000</f>
        <v>0</v>
      </c>
      <c r="P28" s="168"/>
      <c r="Q28"/>
      <c r="R28"/>
    </row>
    <row r="29" spans="1:18">
      <c r="A29" s="109">
        <v>28</v>
      </c>
      <c r="B29" s="535"/>
      <c r="C29" s="21" t="s">
        <v>176</v>
      </c>
      <c r="D29" s="109">
        <v>3</v>
      </c>
      <c r="E29" s="111"/>
      <c r="F29" s="112" t="s">
        <v>356</v>
      </c>
      <c r="G29" s="111"/>
      <c r="H29" s="112">
        <v>10202</v>
      </c>
      <c r="I29" s="112" t="s">
        <v>156</v>
      </c>
      <c r="J29" s="113">
        <v>1</v>
      </c>
      <c r="K29" s="167">
        <v>1216770</v>
      </c>
      <c r="L29" s="169">
        <f t="shared" si="0"/>
        <v>46.798846153846156</v>
      </c>
      <c r="M29" s="168">
        <f t="shared" si="1"/>
        <v>46.798846153846156</v>
      </c>
      <c r="N29" s="168"/>
      <c r="O29" s="168">
        <f t="shared" ref="O29:O33" si="6">N29/26000</f>
        <v>0</v>
      </c>
      <c r="P29" s="168"/>
      <c r="Q29"/>
      <c r="R29"/>
    </row>
    <row r="30" spans="1:18">
      <c r="A30" s="109">
        <v>29</v>
      </c>
      <c r="B30" s="21" t="s">
        <v>309</v>
      </c>
      <c r="C30" s="21" t="s">
        <v>176</v>
      </c>
      <c r="D30" s="109">
        <v>4</v>
      </c>
      <c r="E30" s="111"/>
      <c r="F30" s="112" t="s">
        <v>356</v>
      </c>
      <c r="G30" s="111"/>
      <c r="H30" s="112">
        <v>10202</v>
      </c>
      <c r="I30" s="112" t="s">
        <v>156</v>
      </c>
      <c r="J30" s="113">
        <v>3</v>
      </c>
      <c r="K30" s="167">
        <v>971654</v>
      </c>
      <c r="L30" s="169">
        <f t="shared" si="0"/>
        <v>37.371307692307695</v>
      </c>
      <c r="M30" s="168">
        <f t="shared" si="1"/>
        <v>112.11392307692309</v>
      </c>
      <c r="N30" s="168"/>
      <c r="O30" s="168">
        <f t="shared" si="6"/>
        <v>0</v>
      </c>
      <c r="P30" s="168"/>
      <c r="Q30"/>
      <c r="R30"/>
    </row>
    <row r="31" spans="1:18">
      <c r="A31" s="109">
        <v>30</v>
      </c>
      <c r="B31" s="21" t="s">
        <v>310</v>
      </c>
      <c r="C31" s="21" t="s">
        <v>177</v>
      </c>
      <c r="D31" s="109">
        <v>2</v>
      </c>
      <c r="E31" s="111" t="s">
        <v>385</v>
      </c>
      <c r="F31" s="112" t="s">
        <v>356</v>
      </c>
      <c r="G31" s="111"/>
      <c r="H31" s="112">
        <v>10202</v>
      </c>
      <c r="I31" s="112" t="s">
        <v>156</v>
      </c>
      <c r="J31" s="113">
        <v>1</v>
      </c>
      <c r="K31" s="167">
        <v>4604149</v>
      </c>
      <c r="L31" s="169">
        <f t="shared" si="0"/>
        <v>177.08265384615385</v>
      </c>
      <c r="M31" s="168">
        <f t="shared" si="1"/>
        <v>177.08265384615385</v>
      </c>
      <c r="N31" s="168">
        <v>294096</v>
      </c>
      <c r="O31" s="168">
        <f t="shared" si="6"/>
        <v>11.311384615384615</v>
      </c>
      <c r="P31" s="168"/>
      <c r="Q31"/>
      <c r="R31" s="135"/>
    </row>
    <row r="32" spans="1:18" ht="25.5">
      <c r="A32" s="109">
        <v>31</v>
      </c>
      <c r="B32" s="140" t="s">
        <v>178</v>
      </c>
      <c r="C32" s="21" t="s">
        <v>179</v>
      </c>
      <c r="D32" s="109">
        <v>1</v>
      </c>
      <c r="E32" s="111"/>
      <c r="F32" s="112" t="s">
        <v>356</v>
      </c>
      <c r="G32" s="111"/>
      <c r="H32" s="112">
        <v>10202</v>
      </c>
      <c r="I32" s="112" t="s">
        <v>156</v>
      </c>
      <c r="J32" s="113">
        <v>1</v>
      </c>
      <c r="K32" s="167">
        <v>550400</v>
      </c>
      <c r="L32" s="169">
        <f t="shared" si="0"/>
        <v>21.169230769230769</v>
      </c>
      <c r="M32" s="168">
        <f t="shared" si="1"/>
        <v>21.169230769230769</v>
      </c>
      <c r="N32" s="168"/>
      <c r="O32" s="168">
        <f t="shared" si="6"/>
        <v>0</v>
      </c>
      <c r="P32" s="168"/>
      <c r="Q32"/>
      <c r="R32"/>
    </row>
    <row r="33" spans="1:18">
      <c r="A33" s="109">
        <v>32</v>
      </c>
      <c r="B33" s="21" t="s">
        <v>310</v>
      </c>
      <c r="C33" s="21" t="s">
        <v>177</v>
      </c>
      <c r="D33" s="109">
        <v>1</v>
      </c>
      <c r="E33" s="111" t="s">
        <v>385</v>
      </c>
      <c r="F33" s="112" t="s">
        <v>356</v>
      </c>
      <c r="G33" s="111"/>
      <c r="H33" s="112">
        <v>10202</v>
      </c>
      <c r="I33" s="112" t="s">
        <v>156</v>
      </c>
      <c r="J33" s="113">
        <v>2</v>
      </c>
      <c r="K33" s="167">
        <v>680936</v>
      </c>
      <c r="L33" s="169">
        <f t="shared" si="0"/>
        <v>26.189846153846155</v>
      </c>
      <c r="M33" s="168">
        <f t="shared" si="1"/>
        <v>52.379692307692309</v>
      </c>
      <c r="N33" s="168">
        <v>1661881</v>
      </c>
      <c r="O33" s="168">
        <f t="shared" si="6"/>
        <v>63.918500000000002</v>
      </c>
      <c r="P33" s="168"/>
      <c r="Q33"/>
      <c r="R33" s="135"/>
    </row>
    <row r="34" spans="1:18">
      <c r="A34" s="109">
        <v>34</v>
      </c>
      <c r="B34" s="21" t="s">
        <v>311</v>
      </c>
      <c r="C34" s="21" t="s">
        <v>372</v>
      </c>
      <c r="D34" s="109"/>
      <c r="E34" s="111" t="s">
        <v>294</v>
      </c>
      <c r="F34" s="112" t="s">
        <v>356</v>
      </c>
      <c r="G34" s="111"/>
      <c r="H34" s="112">
        <v>10202</v>
      </c>
      <c r="I34" s="112" t="s">
        <v>156</v>
      </c>
      <c r="J34" s="113" t="e">
        <v>#N/A</v>
      </c>
      <c r="K34" s="167">
        <v>1380491</v>
      </c>
      <c r="L34" s="169">
        <f t="shared" si="0"/>
        <v>53.095807692307694</v>
      </c>
      <c r="M34" s="168" t="e">
        <f t="shared" si="1"/>
        <v>#N/A</v>
      </c>
      <c r="N34" s="168"/>
      <c r="O34" s="169">
        <f>N34/26000</f>
        <v>0</v>
      </c>
      <c r="P34" s="169"/>
      <c r="Q34"/>
      <c r="R34"/>
    </row>
    <row r="35" spans="1:18">
      <c r="A35" s="109">
        <v>35</v>
      </c>
      <c r="B35" s="21" t="s">
        <v>312</v>
      </c>
      <c r="C35" s="21" t="s">
        <v>180</v>
      </c>
      <c r="D35" s="109">
        <v>2</v>
      </c>
      <c r="E35" s="111"/>
      <c r="F35" s="112" t="s">
        <v>356</v>
      </c>
      <c r="G35" s="111"/>
      <c r="H35" s="112">
        <v>10202</v>
      </c>
      <c r="I35" s="112" t="s">
        <v>156</v>
      </c>
      <c r="J35" s="113">
        <v>2</v>
      </c>
      <c r="K35" s="167">
        <v>2193293</v>
      </c>
      <c r="L35" s="169">
        <f t="shared" si="0"/>
        <v>84.357423076923084</v>
      </c>
      <c r="M35" s="168">
        <f t="shared" si="1"/>
        <v>168.71484615384617</v>
      </c>
      <c r="N35" s="168"/>
      <c r="O35" s="168">
        <f>N35/26000</f>
        <v>0</v>
      </c>
      <c r="P35" s="168"/>
      <c r="Q35"/>
      <c r="R35"/>
    </row>
    <row r="36" spans="1:18">
      <c r="A36" s="109">
        <v>36</v>
      </c>
      <c r="B36" s="21" t="s">
        <v>313</v>
      </c>
      <c r="C36" s="21" t="s">
        <v>180</v>
      </c>
      <c r="D36" s="109">
        <v>3</v>
      </c>
      <c r="E36" s="111" t="s">
        <v>385</v>
      </c>
      <c r="F36" s="112" t="s">
        <v>356</v>
      </c>
      <c r="G36" s="111"/>
      <c r="H36" s="112">
        <v>10202</v>
      </c>
      <c r="I36" s="112" t="s">
        <v>156</v>
      </c>
      <c r="J36" s="113">
        <v>2</v>
      </c>
      <c r="K36" s="167">
        <v>3062327</v>
      </c>
      <c r="L36" s="169">
        <f t="shared" si="0"/>
        <v>117.78180769230769</v>
      </c>
      <c r="M36" s="168">
        <f t="shared" si="1"/>
        <v>235.56361538461539</v>
      </c>
      <c r="N36" s="168">
        <v>5309000</v>
      </c>
      <c r="O36" s="168">
        <f>N36/26000</f>
        <v>204.19230769230768</v>
      </c>
      <c r="P36" s="168"/>
      <c r="Q36"/>
      <c r="R36" s="135"/>
    </row>
    <row r="37" spans="1:18">
      <c r="A37" s="109">
        <v>37</v>
      </c>
      <c r="B37" s="21" t="s">
        <v>314</v>
      </c>
      <c r="C37" s="21" t="s">
        <v>180</v>
      </c>
      <c r="D37" s="109">
        <v>1</v>
      </c>
      <c r="E37" s="111"/>
      <c r="F37" s="112" t="s">
        <v>356</v>
      </c>
      <c r="G37" s="111"/>
      <c r="H37" s="112">
        <v>10202</v>
      </c>
      <c r="I37" s="112" t="s">
        <v>156</v>
      </c>
      <c r="J37" s="113">
        <v>2</v>
      </c>
      <c r="K37" s="167">
        <v>895593</v>
      </c>
      <c r="L37" s="169">
        <f t="shared" si="0"/>
        <v>34.445884615384614</v>
      </c>
      <c r="M37" s="168">
        <f t="shared" si="1"/>
        <v>68.891769230769228</v>
      </c>
      <c r="N37" s="168"/>
      <c r="O37" s="168">
        <f t="shared" ref="O37:O60" si="7">N37/26000</f>
        <v>0</v>
      </c>
      <c r="P37" s="168"/>
      <c r="Q37"/>
      <c r="R37"/>
    </row>
    <row r="38" spans="1:18">
      <c r="A38" s="109">
        <v>38</v>
      </c>
      <c r="B38" s="21" t="s">
        <v>315</v>
      </c>
      <c r="C38" s="21" t="s">
        <v>377</v>
      </c>
      <c r="D38" s="109"/>
      <c r="E38" s="111" t="s">
        <v>316</v>
      </c>
      <c r="F38" s="112" t="s">
        <v>356</v>
      </c>
      <c r="G38" s="111"/>
      <c r="H38" s="112">
        <v>10202</v>
      </c>
      <c r="I38" s="112" t="s">
        <v>156</v>
      </c>
      <c r="J38" s="113">
        <v>1</v>
      </c>
      <c r="K38" s="167">
        <v>1991648</v>
      </c>
      <c r="L38" s="169">
        <f t="shared" si="0"/>
        <v>76.601846153846154</v>
      </c>
      <c r="M38" s="168">
        <f t="shared" si="1"/>
        <v>76.601846153846154</v>
      </c>
      <c r="N38" s="168"/>
      <c r="O38" s="168">
        <f t="shared" si="7"/>
        <v>0</v>
      </c>
      <c r="P38" s="171">
        <f>(O72+O74+O138)/3</f>
        <v>113.01908974358975</v>
      </c>
      <c r="Q38" s="172">
        <f>(M72+M74+M138)/3</f>
        <v>178.74869230769229</v>
      </c>
      <c r="R38" s="172">
        <f>(M38+M64+M82)/3</f>
        <v>84.31467948717949</v>
      </c>
    </row>
    <row r="39" spans="1:18">
      <c r="A39" s="109">
        <v>39</v>
      </c>
      <c r="B39" s="21" t="s">
        <v>181</v>
      </c>
      <c r="C39" s="21" t="s">
        <v>182</v>
      </c>
      <c r="D39" s="109"/>
      <c r="E39" s="111"/>
      <c r="F39" s="112" t="s">
        <v>356</v>
      </c>
      <c r="G39" s="111"/>
      <c r="H39" s="112">
        <v>10202</v>
      </c>
      <c r="I39" s="112" t="s">
        <v>156</v>
      </c>
      <c r="J39" s="113" t="e">
        <v>#N/A</v>
      </c>
      <c r="K39" s="167" t="e">
        <v>#N/A</v>
      </c>
      <c r="L39" s="169" t="e">
        <f t="shared" si="0"/>
        <v>#N/A</v>
      </c>
      <c r="M39" s="168" t="e">
        <f t="shared" si="1"/>
        <v>#N/A</v>
      </c>
      <c r="N39" s="168"/>
      <c r="O39" s="168">
        <f t="shared" si="7"/>
        <v>0</v>
      </c>
      <c r="P39" s="168"/>
      <c r="Q39"/>
      <c r="R39"/>
    </row>
    <row r="40" spans="1:18">
      <c r="A40" s="109">
        <v>40</v>
      </c>
      <c r="B40" s="543" t="s">
        <v>317</v>
      </c>
      <c r="C40" s="21">
        <v>4125050634</v>
      </c>
      <c r="D40" s="109"/>
      <c r="E40" s="111"/>
      <c r="F40" s="112" t="s">
        <v>356</v>
      </c>
      <c r="G40" s="111"/>
      <c r="H40" s="112">
        <v>10202</v>
      </c>
      <c r="I40" s="112" t="s">
        <v>156</v>
      </c>
      <c r="J40" s="113" t="e">
        <v>#N/A</v>
      </c>
      <c r="K40" s="167" t="e">
        <v>#N/A</v>
      </c>
      <c r="L40" s="169" t="e">
        <f t="shared" si="0"/>
        <v>#N/A</v>
      </c>
      <c r="M40" s="168" t="e">
        <f t="shared" si="1"/>
        <v>#N/A</v>
      </c>
      <c r="N40" s="168"/>
      <c r="O40" s="168">
        <f t="shared" si="7"/>
        <v>0</v>
      </c>
      <c r="P40" s="168"/>
      <c r="Q40"/>
      <c r="R40"/>
    </row>
    <row r="41" spans="1:18">
      <c r="A41" s="109">
        <v>41</v>
      </c>
      <c r="B41" s="535"/>
      <c r="C41" s="21" t="s">
        <v>183</v>
      </c>
      <c r="D41" s="109"/>
      <c r="E41" s="111"/>
      <c r="F41" s="112" t="s">
        <v>356</v>
      </c>
      <c r="G41" s="111"/>
      <c r="H41" s="112">
        <v>10202</v>
      </c>
      <c r="I41" s="112" t="s">
        <v>156</v>
      </c>
      <c r="J41" s="113" t="e">
        <v>#N/A</v>
      </c>
      <c r="K41" s="167" t="e">
        <v>#N/A</v>
      </c>
      <c r="L41" s="169" t="e">
        <f t="shared" si="0"/>
        <v>#N/A</v>
      </c>
      <c r="M41" s="168" t="e">
        <f t="shared" si="1"/>
        <v>#N/A</v>
      </c>
      <c r="N41" s="168"/>
      <c r="O41" s="168">
        <f t="shared" si="7"/>
        <v>0</v>
      </c>
      <c r="P41" s="168"/>
      <c r="Q41"/>
      <c r="R41"/>
    </row>
    <row r="42" spans="1:18">
      <c r="A42" s="109">
        <v>42</v>
      </c>
      <c r="B42" s="21" t="s">
        <v>184</v>
      </c>
      <c r="C42" s="21" t="s">
        <v>160</v>
      </c>
      <c r="D42" s="109"/>
      <c r="E42" s="111"/>
      <c r="F42" s="112" t="s">
        <v>356</v>
      </c>
      <c r="G42" s="111"/>
      <c r="H42" s="112">
        <v>10202</v>
      </c>
      <c r="I42" s="112" t="s">
        <v>156</v>
      </c>
      <c r="J42" s="113" t="e">
        <v>#N/A</v>
      </c>
      <c r="K42" s="167" t="e">
        <v>#N/A</v>
      </c>
      <c r="L42" s="169" t="e">
        <f t="shared" si="0"/>
        <v>#N/A</v>
      </c>
      <c r="M42" s="168" t="e">
        <f t="shared" si="1"/>
        <v>#N/A</v>
      </c>
      <c r="N42" s="168"/>
      <c r="O42" s="168">
        <f t="shared" si="7"/>
        <v>0</v>
      </c>
      <c r="P42" s="168"/>
      <c r="Q42"/>
      <c r="R42"/>
    </row>
    <row r="43" spans="1:18">
      <c r="A43" s="109">
        <v>43</v>
      </c>
      <c r="B43" s="543" t="s">
        <v>318</v>
      </c>
      <c r="C43" s="21" t="s">
        <v>185</v>
      </c>
      <c r="D43" s="109"/>
      <c r="E43" s="536" t="s">
        <v>382</v>
      </c>
      <c r="F43" s="112" t="s">
        <v>356</v>
      </c>
      <c r="G43" s="111"/>
      <c r="H43" s="112">
        <v>10202</v>
      </c>
      <c r="I43" s="112" t="s">
        <v>156</v>
      </c>
      <c r="J43" s="113">
        <v>1</v>
      </c>
      <c r="K43" s="167">
        <v>1356410</v>
      </c>
      <c r="L43" s="169">
        <f t="shared" si="0"/>
        <v>52.169615384615383</v>
      </c>
      <c r="M43" s="168">
        <f t="shared" si="1"/>
        <v>52.169615384615383</v>
      </c>
      <c r="N43" s="168"/>
      <c r="O43" s="168">
        <f t="shared" si="7"/>
        <v>0</v>
      </c>
      <c r="P43" s="171">
        <f>(O49+O143+O146)/3</f>
        <v>19.935897435897434</v>
      </c>
      <c r="Q43" s="172">
        <f>(M49+M143+M146)/3</f>
        <v>220.02621794871797</v>
      </c>
      <c r="R43" s="172">
        <f>(M43+M126+M148)/3</f>
        <v>67.200089743589743</v>
      </c>
    </row>
    <row r="44" spans="1:18">
      <c r="A44" s="109">
        <v>44</v>
      </c>
      <c r="B44" s="535"/>
      <c r="C44" s="21" t="s">
        <v>186</v>
      </c>
      <c r="D44" s="109"/>
      <c r="E44" s="533"/>
      <c r="F44" s="112" t="s">
        <v>356</v>
      </c>
      <c r="G44" s="111"/>
      <c r="H44" s="112">
        <v>10202</v>
      </c>
      <c r="I44" s="112" t="s">
        <v>156</v>
      </c>
      <c r="J44" s="113" t="e">
        <v>#N/A</v>
      </c>
      <c r="K44" s="167" t="e">
        <v>#N/A</v>
      </c>
      <c r="L44" s="169" t="e">
        <f t="shared" si="0"/>
        <v>#N/A</v>
      </c>
      <c r="M44" s="168" t="e">
        <f t="shared" si="1"/>
        <v>#N/A</v>
      </c>
      <c r="N44" s="168"/>
      <c r="O44" s="168">
        <f t="shared" si="7"/>
        <v>0</v>
      </c>
      <c r="P44" s="168"/>
      <c r="Q44"/>
      <c r="R44"/>
    </row>
    <row r="45" spans="1:18">
      <c r="A45" s="109">
        <v>45</v>
      </c>
      <c r="B45" s="21" t="s">
        <v>319</v>
      </c>
      <c r="C45" s="21" t="s">
        <v>187</v>
      </c>
      <c r="D45" s="109"/>
      <c r="E45" s="111" t="s">
        <v>320</v>
      </c>
      <c r="F45" s="112" t="s">
        <v>356</v>
      </c>
      <c r="G45" s="111"/>
      <c r="H45" s="112">
        <v>10202</v>
      </c>
      <c r="I45" s="112" t="s">
        <v>156</v>
      </c>
      <c r="J45" s="113">
        <v>1</v>
      </c>
      <c r="K45" s="167">
        <v>1670000</v>
      </c>
      <c r="L45" s="169">
        <f t="shared" si="0"/>
        <v>64.230769230769226</v>
      </c>
      <c r="M45" s="168">
        <f t="shared" si="1"/>
        <v>64.230769230769226</v>
      </c>
      <c r="N45" s="168">
        <v>0</v>
      </c>
      <c r="O45" s="168">
        <f t="shared" si="7"/>
        <v>0</v>
      </c>
      <c r="P45" s="183">
        <f>(O70+O71)/2</f>
        <v>57.596153846153847</v>
      </c>
      <c r="Q45" s="184">
        <f>(M70+M71)/2</f>
        <v>211.80034615384614</v>
      </c>
      <c r="R45" s="184">
        <f>(L45+L52)/2</f>
        <v>73.634615384615387</v>
      </c>
    </row>
    <row r="46" spans="1:18">
      <c r="A46" s="109">
        <v>46</v>
      </c>
      <c r="B46" s="137" t="s">
        <v>321</v>
      </c>
      <c r="C46" s="137" t="s">
        <v>188</v>
      </c>
      <c r="D46" s="119">
        <v>1</v>
      </c>
      <c r="E46" s="114"/>
      <c r="F46" s="112" t="s">
        <v>356</v>
      </c>
      <c r="G46" s="111"/>
      <c r="H46" s="120">
        <v>11444</v>
      </c>
      <c r="I46" s="112" t="s">
        <v>156</v>
      </c>
      <c r="J46" s="113">
        <v>1</v>
      </c>
      <c r="K46" s="167">
        <v>605396</v>
      </c>
      <c r="L46" s="169">
        <f t="shared" si="0"/>
        <v>23.284461538461539</v>
      </c>
      <c r="M46" s="168">
        <f t="shared" si="1"/>
        <v>23.284461538461539</v>
      </c>
      <c r="N46" s="168"/>
      <c r="O46" s="168">
        <f t="shared" si="7"/>
        <v>0</v>
      </c>
      <c r="P46" s="168"/>
      <c r="Q46"/>
      <c r="R46"/>
    </row>
    <row r="47" spans="1:18">
      <c r="A47" s="109">
        <v>48</v>
      </c>
      <c r="B47" s="137" t="s">
        <v>189</v>
      </c>
      <c r="C47" s="137" t="s">
        <v>188</v>
      </c>
      <c r="D47" s="119">
        <v>1</v>
      </c>
      <c r="E47" s="121"/>
      <c r="F47" s="112" t="s">
        <v>356</v>
      </c>
      <c r="G47" s="111"/>
      <c r="H47" s="120">
        <v>11444</v>
      </c>
      <c r="I47" s="112" t="s">
        <v>156</v>
      </c>
      <c r="J47" s="113">
        <v>1</v>
      </c>
      <c r="K47" s="167">
        <v>605396</v>
      </c>
      <c r="L47" s="169">
        <f t="shared" si="0"/>
        <v>23.284461538461539</v>
      </c>
      <c r="M47" s="168">
        <f t="shared" si="1"/>
        <v>23.284461538461539</v>
      </c>
      <c r="N47" s="168"/>
      <c r="O47" s="168">
        <f t="shared" si="7"/>
        <v>0</v>
      </c>
      <c r="P47" s="168"/>
      <c r="Q47"/>
      <c r="R47"/>
    </row>
    <row r="48" spans="1:18">
      <c r="A48" s="109">
        <v>49</v>
      </c>
      <c r="B48" s="137" t="s">
        <v>190</v>
      </c>
      <c r="C48" s="137" t="s">
        <v>188</v>
      </c>
      <c r="D48" s="119">
        <v>1</v>
      </c>
      <c r="E48" s="121"/>
      <c r="F48" s="112" t="s">
        <v>356</v>
      </c>
      <c r="G48" s="111"/>
      <c r="H48" s="120">
        <v>11444</v>
      </c>
      <c r="I48" s="112" t="s">
        <v>156</v>
      </c>
      <c r="J48" s="113">
        <v>1</v>
      </c>
      <c r="K48" s="167">
        <v>605396</v>
      </c>
      <c r="L48" s="169">
        <f t="shared" si="0"/>
        <v>23.284461538461539</v>
      </c>
      <c r="M48" s="168">
        <f t="shared" si="1"/>
        <v>23.284461538461539</v>
      </c>
      <c r="N48" s="168"/>
      <c r="O48" s="168">
        <f t="shared" si="7"/>
        <v>0</v>
      </c>
      <c r="P48" s="168"/>
      <c r="Q48"/>
      <c r="R48"/>
    </row>
    <row r="49" spans="1:18">
      <c r="A49" s="109"/>
      <c r="B49" s="537" t="s">
        <v>284</v>
      </c>
      <c r="C49" s="137" t="s">
        <v>188</v>
      </c>
      <c r="D49" s="119">
        <v>3</v>
      </c>
      <c r="E49" s="540" t="s">
        <v>382</v>
      </c>
      <c r="F49" s="112" t="s">
        <v>356</v>
      </c>
      <c r="G49" s="111"/>
      <c r="H49" s="120"/>
      <c r="I49" s="112" t="s">
        <v>156</v>
      </c>
      <c r="J49" s="113">
        <v>1</v>
      </c>
      <c r="K49" s="167">
        <v>5355645</v>
      </c>
      <c r="L49" s="169">
        <f>K49/26000</f>
        <v>205.98634615384614</v>
      </c>
      <c r="M49" s="168">
        <f t="shared" si="1"/>
        <v>205.98634615384614</v>
      </c>
      <c r="N49" s="168">
        <v>504000</v>
      </c>
      <c r="O49" s="168">
        <f t="shared" si="7"/>
        <v>19.384615384615383</v>
      </c>
      <c r="P49" s="168"/>
      <c r="Q49"/>
      <c r="R49"/>
    </row>
    <row r="50" spans="1:18">
      <c r="A50" s="109">
        <v>50</v>
      </c>
      <c r="B50" s="538"/>
      <c r="C50" s="137" t="s">
        <v>188</v>
      </c>
      <c r="D50" s="119">
        <v>1</v>
      </c>
      <c r="E50" s="541"/>
      <c r="F50" s="112" t="s">
        <v>356</v>
      </c>
      <c r="G50" s="111"/>
      <c r="H50" s="120">
        <v>11444</v>
      </c>
      <c r="I50" s="112" t="s">
        <v>156</v>
      </c>
      <c r="J50" s="113">
        <v>1</v>
      </c>
      <c r="K50" s="167">
        <v>605396</v>
      </c>
      <c r="L50" s="169">
        <f t="shared" ref="L50:L113" si="8">K50/26000</f>
        <v>23.284461538461539</v>
      </c>
      <c r="M50" s="168">
        <f t="shared" si="1"/>
        <v>23.284461538461539</v>
      </c>
      <c r="N50" s="168"/>
      <c r="O50" s="168">
        <f t="shared" si="7"/>
        <v>0</v>
      </c>
      <c r="P50" s="168"/>
      <c r="Q50"/>
      <c r="R50"/>
    </row>
    <row r="51" spans="1:18">
      <c r="A51" s="109">
        <v>51</v>
      </c>
      <c r="B51" s="539"/>
      <c r="C51" s="137" t="s">
        <v>188</v>
      </c>
      <c r="D51" s="119">
        <v>2</v>
      </c>
      <c r="E51" s="542"/>
      <c r="F51" s="112" t="s">
        <v>356</v>
      </c>
      <c r="G51" s="111"/>
      <c r="H51" s="120">
        <v>11444</v>
      </c>
      <c r="I51" s="112" t="s">
        <v>156</v>
      </c>
      <c r="J51" s="113">
        <v>1</v>
      </c>
      <c r="K51" s="167">
        <v>605396</v>
      </c>
      <c r="L51" s="169">
        <f t="shared" si="8"/>
        <v>23.284461538461539</v>
      </c>
      <c r="M51" s="168">
        <f t="shared" si="1"/>
        <v>23.284461538461539</v>
      </c>
      <c r="N51" s="168"/>
      <c r="O51" s="168">
        <f t="shared" si="7"/>
        <v>0</v>
      </c>
      <c r="P51" s="168"/>
      <c r="Q51"/>
      <c r="R51"/>
    </row>
    <row r="52" spans="1:18">
      <c r="A52" s="109">
        <v>52</v>
      </c>
      <c r="B52" s="21" t="s">
        <v>322</v>
      </c>
      <c r="C52" s="21" t="s">
        <v>191</v>
      </c>
      <c r="D52" s="109"/>
      <c r="E52" s="111" t="s">
        <v>320</v>
      </c>
      <c r="F52" s="112" t="s">
        <v>356</v>
      </c>
      <c r="G52" s="111"/>
      <c r="H52" s="120">
        <v>10444</v>
      </c>
      <c r="I52" s="112" t="s">
        <v>156</v>
      </c>
      <c r="J52" s="113">
        <v>1</v>
      </c>
      <c r="K52" s="167">
        <v>2159000</v>
      </c>
      <c r="L52" s="169">
        <f t="shared" si="8"/>
        <v>83.038461538461533</v>
      </c>
      <c r="M52" s="168">
        <f t="shared" si="1"/>
        <v>83.038461538461533</v>
      </c>
      <c r="N52" s="168"/>
      <c r="O52" s="168">
        <f t="shared" si="7"/>
        <v>0</v>
      </c>
      <c r="P52" s="185"/>
    </row>
    <row r="53" spans="1:18">
      <c r="A53" s="109">
        <v>53</v>
      </c>
      <c r="B53" s="21" t="s">
        <v>192</v>
      </c>
      <c r="C53" s="21">
        <v>4125060608</v>
      </c>
      <c r="D53" s="109"/>
      <c r="E53" s="111"/>
      <c r="F53" s="112" t="s">
        <v>356</v>
      </c>
      <c r="G53" s="111"/>
      <c r="H53" s="120">
        <v>11589</v>
      </c>
      <c r="I53" s="112" t="s">
        <v>156</v>
      </c>
      <c r="J53" s="113" t="e">
        <v>#N/A</v>
      </c>
      <c r="K53" s="167" t="e">
        <v>#N/A</v>
      </c>
      <c r="L53" s="169" t="e">
        <f t="shared" si="8"/>
        <v>#N/A</v>
      </c>
      <c r="M53" s="168" t="e">
        <f t="shared" si="1"/>
        <v>#N/A</v>
      </c>
      <c r="N53" s="168"/>
      <c r="O53" s="168">
        <f t="shared" si="7"/>
        <v>0</v>
      </c>
      <c r="P53" s="168"/>
      <c r="Q53"/>
      <c r="R53"/>
    </row>
    <row r="54" spans="1:18">
      <c r="A54" s="109">
        <v>54</v>
      </c>
      <c r="B54" s="544" t="s">
        <v>285</v>
      </c>
      <c r="C54" s="21" t="s">
        <v>193</v>
      </c>
      <c r="D54" s="109">
        <v>1</v>
      </c>
      <c r="E54" s="111"/>
      <c r="F54" s="112" t="s">
        <v>356</v>
      </c>
      <c r="G54" s="111"/>
      <c r="H54" s="120">
        <v>11589</v>
      </c>
      <c r="I54" s="112" t="s">
        <v>156</v>
      </c>
      <c r="J54" s="113" t="e">
        <v>#N/A</v>
      </c>
      <c r="K54" s="167" t="e">
        <v>#N/A</v>
      </c>
      <c r="L54" s="169" t="e">
        <f t="shared" si="8"/>
        <v>#N/A</v>
      </c>
      <c r="M54" s="168" t="e">
        <f t="shared" si="1"/>
        <v>#N/A</v>
      </c>
      <c r="N54" s="168"/>
      <c r="O54" s="168">
        <f t="shared" si="7"/>
        <v>0</v>
      </c>
      <c r="P54" s="168"/>
      <c r="Q54"/>
      <c r="R54"/>
    </row>
    <row r="55" spans="1:18">
      <c r="A55" s="109">
        <v>55</v>
      </c>
      <c r="B55" s="545"/>
      <c r="C55" s="21" t="s">
        <v>194</v>
      </c>
      <c r="D55" s="109">
        <v>2</v>
      </c>
      <c r="E55" s="111"/>
      <c r="F55" s="112" t="s">
        <v>356</v>
      </c>
      <c r="G55" s="111"/>
      <c r="H55" s="120">
        <v>11589</v>
      </c>
      <c r="I55" s="112" t="s">
        <v>156</v>
      </c>
      <c r="J55" s="113">
        <v>1</v>
      </c>
      <c r="K55" s="167">
        <v>842607</v>
      </c>
      <c r="L55" s="169">
        <f t="shared" si="8"/>
        <v>32.407961538461535</v>
      </c>
      <c r="M55" s="168">
        <f t="shared" si="1"/>
        <v>32.407961538461535</v>
      </c>
      <c r="N55" s="168"/>
      <c r="O55" s="168">
        <f t="shared" si="7"/>
        <v>0</v>
      </c>
      <c r="P55" s="168"/>
      <c r="Q55"/>
      <c r="R55"/>
    </row>
    <row r="56" spans="1:18">
      <c r="A56" s="109">
        <v>57</v>
      </c>
      <c r="B56" s="21" t="s">
        <v>196</v>
      </c>
      <c r="C56" s="21" t="s">
        <v>195</v>
      </c>
      <c r="D56" s="109">
        <v>1</v>
      </c>
      <c r="E56" s="111"/>
      <c r="F56" s="112" t="s">
        <v>356</v>
      </c>
      <c r="G56" s="111"/>
      <c r="H56" s="120">
        <v>10202</v>
      </c>
      <c r="I56" s="112" t="s">
        <v>156</v>
      </c>
      <c r="J56" s="113">
        <v>2</v>
      </c>
      <c r="K56" s="167">
        <v>701891</v>
      </c>
      <c r="L56" s="169">
        <f t="shared" si="8"/>
        <v>26.995807692307693</v>
      </c>
      <c r="M56" s="168">
        <f t="shared" si="1"/>
        <v>53.991615384615386</v>
      </c>
      <c r="N56" s="168"/>
      <c r="O56" s="168">
        <f t="shared" si="7"/>
        <v>0</v>
      </c>
      <c r="P56" s="168"/>
      <c r="Q56"/>
      <c r="R56"/>
    </row>
    <row r="57" spans="1:18">
      <c r="A57" s="109">
        <v>58</v>
      </c>
      <c r="B57" s="21" t="s">
        <v>197</v>
      </c>
      <c r="C57" s="21" t="s">
        <v>195</v>
      </c>
      <c r="D57" s="109">
        <v>2</v>
      </c>
      <c r="E57" s="111"/>
      <c r="F57" s="112" t="s">
        <v>356</v>
      </c>
      <c r="G57" s="111"/>
      <c r="H57" s="120">
        <v>10202</v>
      </c>
      <c r="I57" s="112" t="s">
        <v>156</v>
      </c>
      <c r="J57" s="113">
        <v>2</v>
      </c>
      <c r="K57" s="167">
        <v>701891</v>
      </c>
      <c r="L57" s="169">
        <f t="shared" si="8"/>
        <v>26.995807692307693</v>
      </c>
      <c r="M57" s="168">
        <f t="shared" si="1"/>
        <v>53.991615384615386</v>
      </c>
      <c r="N57" s="168"/>
      <c r="O57" s="168">
        <f t="shared" si="7"/>
        <v>0</v>
      </c>
      <c r="P57" s="168"/>
      <c r="Q57"/>
      <c r="R57"/>
    </row>
    <row r="58" spans="1:18">
      <c r="A58" s="109">
        <v>59</v>
      </c>
      <c r="B58" s="546" t="s">
        <v>286</v>
      </c>
      <c r="C58" s="21" t="s">
        <v>195</v>
      </c>
      <c r="D58" s="109">
        <v>1</v>
      </c>
      <c r="E58" s="111"/>
      <c r="F58" s="112" t="s">
        <v>356</v>
      </c>
      <c r="G58" s="111"/>
      <c r="H58" s="120">
        <v>10202</v>
      </c>
      <c r="I58" s="112" t="s">
        <v>156</v>
      </c>
      <c r="J58" s="113">
        <v>2</v>
      </c>
      <c r="K58" s="167">
        <v>701891</v>
      </c>
      <c r="L58" s="169">
        <f t="shared" si="8"/>
        <v>26.995807692307693</v>
      </c>
      <c r="M58" s="168">
        <f t="shared" si="1"/>
        <v>53.991615384615386</v>
      </c>
      <c r="N58" s="168"/>
      <c r="O58" s="168">
        <f t="shared" si="7"/>
        <v>0</v>
      </c>
      <c r="P58" s="168"/>
      <c r="Q58"/>
      <c r="R58"/>
    </row>
    <row r="59" spans="1:18">
      <c r="A59" s="109">
        <v>60</v>
      </c>
      <c r="B59" s="548"/>
      <c r="C59" s="21" t="s">
        <v>195</v>
      </c>
      <c r="D59" s="109">
        <v>2</v>
      </c>
      <c r="E59" s="111"/>
      <c r="F59" s="112" t="s">
        <v>356</v>
      </c>
      <c r="G59" s="111"/>
      <c r="H59" s="120">
        <v>10202</v>
      </c>
      <c r="I59" s="112" t="s">
        <v>156</v>
      </c>
      <c r="J59" s="113">
        <v>2</v>
      </c>
      <c r="K59" s="167">
        <v>701891</v>
      </c>
      <c r="L59" s="169">
        <f t="shared" si="8"/>
        <v>26.995807692307693</v>
      </c>
      <c r="M59" s="168">
        <f t="shared" si="1"/>
        <v>53.991615384615386</v>
      </c>
      <c r="N59" s="168"/>
      <c r="O59" s="168">
        <f t="shared" si="7"/>
        <v>0</v>
      </c>
      <c r="P59" s="168"/>
      <c r="Q59"/>
      <c r="R59"/>
    </row>
    <row r="60" spans="1:18">
      <c r="A60" s="109">
        <v>61</v>
      </c>
      <c r="B60" s="142" t="s">
        <v>323</v>
      </c>
      <c r="C60" s="123">
        <v>4125060611</v>
      </c>
      <c r="D60" s="122">
        <v>1</v>
      </c>
      <c r="E60" s="123"/>
      <c r="F60" s="112" t="s">
        <v>356</v>
      </c>
      <c r="G60" s="111"/>
      <c r="H60" s="120">
        <v>10202</v>
      </c>
      <c r="I60" s="112" t="s">
        <v>156</v>
      </c>
      <c r="J60" s="113">
        <v>4</v>
      </c>
      <c r="K60" s="167">
        <v>4645034</v>
      </c>
      <c r="L60" s="169">
        <f t="shared" si="8"/>
        <v>178.65515384615384</v>
      </c>
      <c r="M60" s="168">
        <f t="shared" si="1"/>
        <v>714.62061538461535</v>
      </c>
      <c r="N60" s="168"/>
      <c r="O60" s="168">
        <f t="shared" si="7"/>
        <v>0</v>
      </c>
      <c r="P60" s="168"/>
      <c r="Q60"/>
      <c r="R60"/>
    </row>
    <row r="61" spans="1:18">
      <c r="A61" s="109">
        <v>62</v>
      </c>
      <c r="B61" s="21" t="s">
        <v>198</v>
      </c>
      <c r="C61" s="21" t="s">
        <v>373</v>
      </c>
      <c r="D61" s="109"/>
      <c r="E61" s="111" t="s">
        <v>294</v>
      </c>
      <c r="F61" s="112" t="s">
        <v>356</v>
      </c>
      <c r="G61" s="111"/>
      <c r="H61" s="120">
        <v>10637</v>
      </c>
      <c r="I61" s="112" t="s">
        <v>156</v>
      </c>
      <c r="J61" s="113" t="e">
        <v>#N/A</v>
      </c>
      <c r="K61" s="167">
        <v>462389</v>
      </c>
      <c r="L61" s="169">
        <f t="shared" si="8"/>
        <v>17.784192307692308</v>
      </c>
      <c r="M61" s="168" t="e">
        <f t="shared" si="1"/>
        <v>#N/A</v>
      </c>
      <c r="N61" s="168"/>
      <c r="O61" s="169">
        <f t="shared" ref="O61:O66" si="9">N61/26000</f>
        <v>0</v>
      </c>
      <c r="P61" s="169"/>
      <c r="Q61"/>
      <c r="R61"/>
    </row>
    <row r="62" spans="1:18">
      <c r="A62" s="109">
        <v>63</v>
      </c>
      <c r="B62" s="21" t="s">
        <v>199</v>
      </c>
      <c r="C62" s="141">
        <v>4125070607</v>
      </c>
      <c r="D62" s="115"/>
      <c r="E62" s="116"/>
      <c r="F62" s="112" t="s">
        <v>356</v>
      </c>
      <c r="G62" s="111"/>
      <c r="H62" s="120">
        <v>11444</v>
      </c>
      <c r="I62" s="112" t="s">
        <v>156</v>
      </c>
      <c r="J62" s="113" t="e">
        <v>#N/A</v>
      </c>
      <c r="K62" s="167" t="e">
        <v>#N/A</v>
      </c>
      <c r="L62" s="169" t="e">
        <f t="shared" si="8"/>
        <v>#N/A</v>
      </c>
      <c r="M62" s="168" t="e">
        <f t="shared" si="1"/>
        <v>#N/A</v>
      </c>
      <c r="N62" s="168"/>
      <c r="O62" s="168">
        <f t="shared" si="9"/>
        <v>0</v>
      </c>
      <c r="P62" s="168"/>
      <c r="Q62"/>
      <c r="R62"/>
    </row>
    <row r="63" spans="1:18">
      <c r="A63" s="109">
        <v>64</v>
      </c>
      <c r="B63" s="21" t="s">
        <v>324</v>
      </c>
      <c r="C63" s="21" t="s">
        <v>374</v>
      </c>
      <c r="D63" s="109"/>
      <c r="E63" s="111" t="s">
        <v>294</v>
      </c>
      <c r="F63" s="112" t="s">
        <v>356</v>
      </c>
      <c r="G63" s="111"/>
      <c r="H63" s="120">
        <v>10637</v>
      </c>
      <c r="I63" s="112" t="s">
        <v>156</v>
      </c>
      <c r="J63" s="113">
        <v>1</v>
      </c>
      <c r="K63" s="167">
        <v>4844320</v>
      </c>
      <c r="L63" s="169">
        <f t="shared" si="8"/>
        <v>186.32</v>
      </c>
      <c r="M63" s="168">
        <f t="shared" si="1"/>
        <v>186.32</v>
      </c>
      <c r="N63" s="168">
        <v>423181</v>
      </c>
      <c r="O63" s="169">
        <f t="shared" si="9"/>
        <v>16.276192307692309</v>
      </c>
      <c r="P63" s="169"/>
      <c r="Q63"/>
      <c r="R63"/>
    </row>
    <row r="64" spans="1:18">
      <c r="A64" s="109">
        <v>65</v>
      </c>
      <c r="B64" s="21" t="s">
        <v>325</v>
      </c>
      <c r="C64" s="21" t="s">
        <v>378</v>
      </c>
      <c r="D64" s="109"/>
      <c r="E64" s="111" t="s">
        <v>326</v>
      </c>
      <c r="F64" s="112" t="s">
        <v>356</v>
      </c>
      <c r="G64" s="111"/>
      <c r="H64" s="120">
        <v>10637</v>
      </c>
      <c r="I64" s="112" t="s">
        <v>156</v>
      </c>
      <c r="J64" s="113">
        <v>1</v>
      </c>
      <c r="K64" s="167">
        <v>1809658</v>
      </c>
      <c r="L64" s="169">
        <f t="shared" si="8"/>
        <v>69.602230769230772</v>
      </c>
      <c r="M64" s="168">
        <f t="shared" si="1"/>
        <v>69.602230769230772</v>
      </c>
      <c r="N64" s="168"/>
      <c r="O64" s="168">
        <f t="shared" si="9"/>
        <v>0</v>
      </c>
      <c r="P64" s="168"/>
      <c r="Q64"/>
      <c r="R64"/>
    </row>
    <row r="65" spans="1:18">
      <c r="A65" s="109">
        <v>66</v>
      </c>
      <c r="B65" s="137" t="s">
        <v>200</v>
      </c>
      <c r="C65" s="137">
        <v>4125070609</v>
      </c>
      <c r="D65" s="124"/>
      <c r="E65" s="121"/>
      <c r="F65" s="112" t="s">
        <v>356</v>
      </c>
      <c r="G65" s="111"/>
      <c r="H65" s="120">
        <v>11957</v>
      </c>
      <c r="I65" s="112" t="s">
        <v>156</v>
      </c>
      <c r="J65" s="113" t="e">
        <v>#N/A</v>
      </c>
      <c r="K65" s="167" t="e">
        <v>#N/A</v>
      </c>
      <c r="L65" s="169" t="e">
        <f t="shared" si="8"/>
        <v>#N/A</v>
      </c>
      <c r="M65" s="168" t="e">
        <f t="shared" si="1"/>
        <v>#N/A</v>
      </c>
      <c r="N65" s="168"/>
      <c r="O65" s="168">
        <f t="shared" si="9"/>
        <v>0</v>
      </c>
      <c r="P65" s="168"/>
      <c r="Q65"/>
      <c r="R65"/>
    </row>
    <row r="66" spans="1:18">
      <c r="A66" s="109">
        <v>67</v>
      </c>
      <c r="B66" s="137" t="s">
        <v>201</v>
      </c>
      <c r="C66" s="137">
        <v>4125070608</v>
      </c>
      <c r="D66" s="124"/>
      <c r="E66" s="121"/>
      <c r="F66" s="112" t="s">
        <v>356</v>
      </c>
      <c r="G66" s="111"/>
      <c r="H66" s="120">
        <v>10637</v>
      </c>
      <c r="I66" s="112" t="s">
        <v>156</v>
      </c>
      <c r="J66" s="113" t="e">
        <v>#N/A</v>
      </c>
      <c r="K66" s="167" t="e">
        <v>#N/A</v>
      </c>
      <c r="L66" s="169" t="e">
        <f t="shared" si="8"/>
        <v>#N/A</v>
      </c>
      <c r="M66" s="168" t="e">
        <f t="shared" si="1"/>
        <v>#N/A</v>
      </c>
      <c r="N66" s="168"/>
      <c r="O66" s="168">
        <f t="shared" si="9"/>
        <v>0</v>
      </c>
      <c r="P66" s="168"/>
      <c r="Q66"/>
      <c r="R66"/>
    </row>
    <row r="67" spans="1:18">
      <c r="A67" s="109">
        <v>68</v>
      </c>
      <c r="B67" s="21"/>
      <c r="C67" s="155">
        <v>4125070606</v>
      </c>
      <c r="D67" s="125"/>
      <c r="E67" s="126"/>
      <c r="F67" s="112" t="s">
        <v>356</v>
      </c>
      <c r="G67" s="111"/>
      <c r="H67" s="120">
        <v>10637</v>
      </c>
      <c r="I67" s="112" t="s">
        <v>156</v>
      </c>
      <c r="J67" s="113" t="e">
        <v>#N/A</v>
      </c>
      <c r="K67" s="167" t="e">
        <v>#N/A</v>
      </c>
      <c r="L67" s="169" t="e">
        <f t="shared" si="8"/>
        <v>#N/A</v>
      </c>
      <c r="M67" s="168" t="e">
        <f t="shared" si="1"/>
        <v>#N/A</v>
      </c>
      <c r="N67" s="168"/>
      <c r="O67" s="168">
        <f t="shared" ref="O67:O75" si="10">N67/26000</f>
        <v>0</v>
      </c>
      <c r="P67" s="168"/>
      <c r="Q67"/>
      <c r="R67"/>
    </row>
    <row r="68" spans="1:18">
      <c r="A68" s="109">
        <v>69</v>
      </c>
      <c r="B68" s="546" t="s">
        <v>327</v>
      </c>
      <c r="C68" s="137" t="s">
        <v>202</v>
      </c>
      <c r="D68" s="124">
        <v>1</v>
      </c>
      <c r="E68" s="536" t="s">
        <v>386</v>
      </c>
      <c r="F68" s="112" t="s">
        <v>356</v>
      </c>
      <c r="G68" s="111"/>
      <c r="H68" s="120">
        <v>11444</v>
      </c>
      <c r="I68" s="112" t="s">
        <v>156</v>
      </c>
      <c r="J68" s="113">
        <v>1</v>
      </c>
      <c r="K68" s="167">
        <v>726939</v>
      </c>
      <c r="L68" s="169">
        <f t="shared" si="8"/>
        <v>27.959192307692309</v>
      </c>
      <c r="M68" s="168">
        <f t="shared" ref="M68:M130" si="11">L68*J68</f>
        <v>27.959192307692309</v>
      </c>
      <c r="N68" s="168"/>
      <c r="O68" s="168">
        <f t="shared" si="10"/>
        <v>0</v>
      </c>
      <c r="P68" s="185"/>
    </row>
    <row r="69" spans="1:18">
      <c r="A69" s="109">
        <v>70</v>
      </c>
      <c r="B69" s="548"/>
      <c r="C69" s="137" t="s">
        <v>202</v>
      </c>
      <c r="D69" s="124">
        <v>2</v>
      </c>
      <c r="E69" s="533"/>
      <c r="F69" s="112" t="s">
        <v>356</v>
      </c>
      <c r="G69" s="111"/>
      <c r="H69" s="120">
        <v>11444</v>
      </c>
      <c r="I69" s="112" t="s">
        <v>156</v>
      </c>
      <c r="J69" s="113">
        <v>1</v>
      </c>
      <c r="K69" s="167">
        <v>550492</v>
      </c>
      <c r="L69" s="169">
        <f t="shared" si="8"/>
        <v>21.17276923076923</v>
      </c>
      <c r="M69" s="168">
        <f t="shared" si="11"/>
        <v>21.17276923076923</v>
      </c>
      <c r="N69" s="168"/>
      <c r="O69" s="168">
        <f t="shared" si="10"/>
        <v>0</v>
      </c>
      <c r="P69" s="168"/>
      <c r="Q69"/>
      <c r="R69"/>
    </row>
    <row r="70" spans="1:18">
      <c r="A70" s="109">
        <v>71</v>
      </c>
      <c r="B70" s="21" t="s">
        <v>203</v>
      </c>
      <c r="C70" s="21" t="s">
        <v>204</v>
      </c>
      <c r="D70" s="109">
        <v>1</v>
      </c>
      <c r="E70" s="114" t="s">
        <v>320</v>
      </c>
      <c r="F70" s="112" t="s">
        <v>356</v>
      </c>
      <c r="G70" s="111"/>
      <c r="H70" s="120">
        <v>10202</v>
      </c>
      <c r="I70" s="112" t="s">
        <v>156</v>
      </c>
      <c r="J70" s="113">
        <v>1</v>
      </c>
      <c r="K70" s="167">
        <v>6015501</v>
      </c>
      <c r="L70" s="169">
        <f t="shared" si="8"/>
        <v>231.36542307692307</v>
      </c>
      <c r="M70" s="168">
        <f t="shared" si="11"/>
        <v>231.36542307692307</v>
      </c>
      <c r="N70" s="177">
        <v>1477000</v>
      </c>
      <c r="O70" s="168">
        <f t="shared" si="10"/>
        <v>56.807692307692307</v>
      </c>
      <c r="P70" s="185"/>
    </row>
    <row r="71" spans="1:18">
      <c r="A71" s="109">
        <v>72</v>
      </c>
      <c r="B71" s="21" t="s">
        <v>328</v>
      </c>
      <c r="C71" s="21" t="s">
        <v>204</v>
      </c>
      <c r="D71" s="109">
        <v>2</v>
      </c>
      <c r="E71" s="114" t="s">
        <v>320</v>
      </c>
      <c r="F71" s="112" t="s">
        <v>356</v>
      </c>
      <c r="G71" s="111"/>
      <c r="H71" s="120">
        <v>10202</v>
      </c>
      <c r="I71" s="112" t="s">
        <v>156</v>
      </c>
      <c r="J71" s="113">
        <v>1</v>
      </c>
      <c r="K71" s="167">
        <v>4998117</v>
      </c>
      <c r="L71" s="169">
        <f t="shared" si="8"/>
        <v>192.23526923076923</v>
      </c>
      <c r="M71" s="168">
        <f t="shared" si="11"/>
        <v>192.23526923076923</v>
      </c>
      <c r="N71" s="177">
        <v>1518000</v>
      </c>
      <c r="O71" s="168">
        <f t="shared" si="10"/>
        <v>58.384615384615387</v>
      </c>
      <c r="P71" s="185"/>
    </row>
    <row r="72" spans="1:18">
      <c r="A72" s="109">
        <v>73</v>
      </c>
      <c r="B72" s="546" t="s">
        <v>329</v>
      </c>
      <c r="C72" s="137" t="s">
        <v>205</v>
      </c>
      <c r="D72" s="118">
        <v>1</v>
      </c>
      <c r="E72" s="536" t="s">
        <v>326</v>
      </c>
      <c r="F72" s="112" t="s">
        <v>356</v>
      </c>
      <c r="G72" s="111"/>
      <c r="H72" s="120">
        <v>10637</v>
      </c>
      <c r="I72" s="112" t="s">
        <v>156</v>
      </c>
      <c r="J72" s="113">
        <v>4</v>
      </c>
      <c r="K72" s="167">
        <v>624199</v>
      </c>
      <c r="L72" s="169">
        <f t="shared" si="8"/>
        <v>24.007653846153847</v>
      </c>
      <c r="M72" s="168">
        <f t="shared" si="11"/>
        <v>96.030615384615388</v>
      </c>
      <c r="N72" s="177">
        <v>1556512</v>
      </c>
      <c r="O72" s="168">
        <f t="shared" si="10"/>
        <v>59.865846153846157</v>
      </c>
      <c r="P72" s="168"/>
      <c r="Q72"/>
      <c r="R72"/>
    </row>
    <row r="73" spans="1:18">
      <c r="A73" s="109">
        <v>74</v>
      </c>
      <c r="B73" s="548"/>
      <c r="C73" s="137" t="s">
        <v>205</v>
      </c>
      <c r="D73" s="118">
        <v>2</v>
      </c>
      <c r="E73" s="533"/>
      <c r="F73" s="112" t="s">
        <v>356</v>
      </c>
      <c r="G73" s="111"/>
      <c r="H73" s="120">
        <v>10637</v>
      </c>
      <c r="I73" s="112" t="s">
        <v>156</v>
      </c>
      <c r="J73" s="113">
        <v>4</v>
      </c>
      <c r="K73" s="167">
        <v>169044</v>
      </c>
      <c r="L73" s="169">
        <f t="shared" si="8"/>
        <v>6.5016923076923074</v>
      </c>
      <c r="M73" s="168">
        <f t="shared" si="11"/>
        <v>26.00676923076923</v>
      </c>
      <c r="N73" s="168"/>
      <c r="O73" s="168">
        <f t="shared" si="10"/>
        <v>0</v>
      </c>
      <c r="P73" s="168"/>
      <c r="Q73"/>
      <c r="R73"/>
    </row>
    <row r="74" spans="1:18">
      <c r="A74" s="109">
        <v>75</v>
      </c>
      <c r="B74" s="137" t="s">
        <v>358</v>
      </c>
      <c r="C74" s="137" t="s">
        <v>205</v>
      </c>
      <c r="D74" s="118">
        <v>3</v>
      </c>
      <c r="E74" s="114" t="s">
        <v>326</v>
      </c>
      <c r="F74" s="112" t="s">
        <v>356</v>
      </c>
      <c r="G74" s="111"/>
      <c r="H74" s="120">
        <v>10637</v>
      </c>
      <c r="I74" s="112" t="s">
        <v>156</v>
      </c>
      <c r="J74" s="113">
        <v>5</v>
      </c>
      <c r="K74" s="167">
        <v>1635907</v>
      </c>
      <c r="L74" s="169">
        <f t="shared" si="8"/>
        <v>62.919499999999999</v>
      </c>
      <c r="M74" s="168">
        <f t="shared" si="11"/>
        <v>314.59749999999997</v>
      </c>
      <c r="N74" s="168">
        <v>4685977</v>
      </c>
      <c r="O74" s="168">
        <f t="shared" si="10"/>
        <v>180.22988461538461</v>
      </c>
      <c r="P74" s="168"/>
      <c r="Q74"/>
      <c r="R74"/>
    </row>
    <row r="75" spans="1:18">
      <c r="A75" s="109">
        <v>76</v>
      </c>
      <c r="B75" s="127" t="s">
        <v>206</v>
      </c>
      <c r="C75" s="21" t="s">
        <v>207</v>
      </c>
      <c r="D75" s="109">
        <v>1</v>
      </c>
      <c r="E75" s="162"/>
      <c r="F75" s="112" t="s">
        <v>356</v>
      </c>
      <c r="G75" s="111"/>
      <c r="H75" s="120">
        <v>10202</v>
      </c>
      <c r="I75" s="112" t="s">
        <v>156</v>
      </c>
      <c r="J75" s="113">
        <v>2</v>
      </c>
      <c r="K75" s="167">
        <v>4014655</v>
      </c>
      <c r="L75" s="169">
        <f t="shared" si="8"/>
        <v>154.40980769230768</v>
      </c>
      <c r="M75" s="168">
        <f t="shared" si="11"/>
        <v>308.81961538461536</v>
      </c>
      <c r="N75" s="168"/>
      <c r="O75" s="168">
        <f t="shared" si="10"/>
        <v>0</v>
      </c>
      <c r="P75" s="168"/>
      <c r="Q75"/>
      <c r="R75"/>
    </row>
    <row r="76" spans="1:18">
      <c r="A76" s="109">
        <v>77</v>
      </c>
      <c r="B76" s="543" t="s">
        <v>287</v>
      </c>
      <c r="C76" s="21" t="s">
        <v>208</v>
      </c>
      <c r="D76" s="109">
        <v>2</v>
      </c>
      <c r="E76" s="536" t="s">
        <v>294</v>
      </c>
      <c r="F76" s="112" t="s">
        <v>356</v>
      </c>
      <c r="G76" s="111"/>
      <c r="H76" s="120">
        <v>10202</v>
      </c>
      <c r="I76" s="112" t="s">
        <v>156</v>
      </c>
      <c r="J76" s="113">
        <v>1</v>
      </c>
      <c r="K76" s="167">
        <v>1658771</v>
      </c>
      <c r="L76" s="169">
        <f t="shared" si="8"/>
        <v>63.798884615384615</v>
      </c>
      <c r="M76" s="168">
        <f t="shared" si="11"/>
        <v>63.798884615384615</v>
      </c>
      <c r="N76" s="168">
        <v>164952</v>
      </c>
      <c r="O76" s="169">
        <f t="shared" ref="O76:O81" si="12">N76/26000</f>
        <v>6.3443076923076926</v>
      </c>
      <c r="P76" s="169"/>
      <c r="Q76"/>
      <c r="R76"/>
    </row>
    <row r="77" spans="1:18">
      <c r="A77" s="109">
        <v>78</v>
      </c>
      <c r="B77" s="535"/>
      <c r="C77" s="156" t="s">
        <v>207</v>
      </c>
      <c r="D77" s="112">
        <v>3</v>
      </c>
      <c r="E77" s="533"/>
      <c r="F77" s="112" t="s">
        <v>356</v>
      </c>
      <c r="G77" s="111"/>
      <c r="H77" s="120">
        <v>10202</v>
      </c>
      <c r="I77" s="112" t="s">
        <v>156</v>
      </c>
      <c r="J77" s="113" t="e">
        <v>#N/A</v>
      </c>
      <c r="K77" s="167" t="e">
        <v>#N/A</v>
      </c>
      <c r="L77" s="169" t="e">
        <f t="shared" si="8"/>
        <v>#N/A</v>
      </c>
      <c r="M77" s="168" t="e">
        <f t="shared" si="11"/>
        <v>#N/A</v>
      </c>
      <c r="N77" s="168"/>
      <c r="O77" s="168">
        <f t="shared" si="12"/>
        <v>0</v>
      </c>
      <c r="P77" s="168"/>
      <c r="Q77"/>
      <c r="R77"/>
    </row>
    <row r="78" spans="1:18">
      <c r="A78" s="109">
        <v>79</v>
      </c>
      <c r="B78" s="543" t="s">
        <v>288</v>
      </c>
      <c r="C78" s="157" t="s">
        <v>208</v>
      </c>
      <c r="D78" s="128">
        <v>3</v>
      </c>
      <c r="E78" s="543" t="s">
        <v>294</v>
      </c>
      <c r="F78" s="112" t="s">
        <v>356</v>
      </c>
      <c r="G78" s="114"/>
      <c r="H78" s="129">
        <v>10202</v>
      </c>
      <c r="I78" s="112" t="s">
        <v>156</v>
      </c>
      <c r="J78" s="113">
        <v>1</v>
      </c>
      <c r="K78" s="167">
        <v>2538348</v>
      </c>
      <c r="L78" s="169">
        <f t="shared" si="8"/>
        <v>97.628769230769237</v>
      </c>
      <c r="M78" s="168">
        <f t="shared" si="11"/>
        <v>97.628769230769237</v>
      </c>
      <c r="N78" s="168">
        <v>124848</v>
      </c>
      <c r="O78" s="169">
        <f t="shared" si="12"/>
        <v>4.8018461538461539</v>
      </c>
      <c r="P78" s="169"/>
      <c r="Q78"/>
      <c r="R78"/>
    </row>
    <row r="79" spans="1:18">
      <c r="A79" s="109">
        <v>80</v>
      </c>
      <c r="B79" s="534"/>
      <c r="C79" s="21" t="s">
        <v>209</v>
      </c>
      <c r="D79" s="109">
        <v>1</v>
      </c>
      <c r="E79" s="534"/>
      <c r="F79" s="112" t="s">
        <v>356</v>
      </c>
      <c r="G79" s="111"/>
      <c r="H79" s="129">
        <v>10202</v>
      </c>
      <c r="I79" s="112" t="s">
        <v>156</v>
      </c>
      <c r="J79" s="113">
        <v>2</v>
      </c>
      <c r="K79" s="167">
        <v>347958</v>
      </c>
      <c r="L79" s="169">
        <f t="shared" si="8"/>
        <v>13.382999999999999</v>
      </c>
      <c r="M79" s="168">
        <f t="shared" si="11"/>
        <v>26.765999999999998</v>
      </c>
      <c r="N79" s="168"/>
      <c r="O79" s="168">
        <f t="shared" si="12"/>
        <v>0</v>
      </c>
      <c r="P79" s="168"/>
      <c r="Q79"/>
      <c r="R79"/>
    </row>
    <row r="80" spans="1:18">
      <c r="A80" s="109">
        <v>81</v>
      </c>
      <c r="B80" s="534"/>
      <c r="C80" s="21" t="s">
        <v>209</v>
      </c>
      <c r="D80" s="109">
        <v>2</v>
      </c>
      <c r="E80" s="534"/>
      <c r="F80" s="112" t="s">
        <v>356</v>
      </c>
      <c r="G80" s="111"/>
      <c r="H80" s="129">
        <v>10202</v>
      </c>
      <c r="I80" s="112" t="s">
        <v>156</v>
      </c>
      <c r="J80" s="113">
        <v>10</v>
      </c>
      <c r="K80" s="167">
        <v>324491</v>
      </c>
      <c r="L80" s="169">
        <f t="shared" si="8"/>
        <v>12.480423076923078</v>
      </c>
      <c r="M80" s="168">
        <f t="shared" si="11"/>
        <v>124.80423076923077</v>
      </c>
      <c r="N80" s="168"/>
      <c r="O80" s="168">
        <f t="shared" si="12"/>
        <v>0</v>
      </c>
      <c r="P80" s="168"/>
      <c r="Q80"/>
      <c r="R80"/>
    </row>
    <row r="81" spans="1:18">
      <c r="A81" s="109">
        <v>82</v>
      </c>
      <c r="B81" s="535"/>
      <c r="C81" s="21" t="s">
        <v>209</v>
      </c>
      <c r="D81" s="109">
        <v>3</v>
      </c>
      <c r="E81" s="535"/>
      <c r="F81" s="112" t="s">
        <v>356</v>
      </c>
      <c r="G81" s="111"/>
      <c r="H81" s="129">
        <v>10202</v>
      </c>
      <c r="I81" s="112" t="s">
        <v>156</v>
      </c>
      <c r="J81" s="113">
        <v>1</v>
      </c>
      <c r="K81" s="167">
        <v>952699</v>
      </c>
      <c r="L81" s="169">
        <f t="shared" si="8"/>
        <v>36.64226923076923</v>
      </c>
      <c r="M81" s="168">
        <f t="shared" si="11"/>
        <v>36.64226923076923</v>
      </c>
      <c r="N81" s="168"/>
      <c r="O81" s="168">
        <f t="shared" si="12"/>
        <v>0</v>
      </c>
      <c r="P81" s="168"/>
      <c r="Q81"/>
      <c r="R81"/>
    </row>
    <row r="82" spans="1:18">
      <c r="A82" s="109">
        <v>83</v>
      </c>
      <c r="B82" s="21" t="s">
        <v>359</v>
      </c>
      <c r="C82" s="21" t="s">
        <v>210</v>
      </c>
      <c r="D82" s="109"/>
      <c r="E82" s="114" t="s">
        <v>326</v>
      </c>
      <c r="F82" s="112" t="s">
        <v>356</v>
      </c>
      <c r="G82" s="111"/>
      <c r="H82" s="120">
        <v>11444</v>
      </c>
      <c r="I82" s="112" t="s">
        <v>156</v>
      </c>
      <c r="J82" s="113">
        <v>1</v>
      </c>
      <c r="K82" s="167">
        <v>2775239</v>
      </c>
      <c r="L82" s="169">
        <f t="shared" si="8"/>
        <v>106.73996153846154</v>
      </c>
      <c r="M82" s="168">
        <f t="shared" si="11"/>
        <v>106.73996153846154</v>
      </c>
      <c r="N82" s="168"/>
      <c r="O82" s="168">
        <f t="shared" ref="O82:O84" si="13">N82/26000</f>
        <v>0</v>
      </c>
      <c r="P82" s="168"/>
      <c r="Q82"/>
      <c r="R82"/>
    </row>
    <row r="83" spans="1:18">
      <c r="A83" s="109">
        <v>84</v>
      </c>
      <c r="B83" s="21" t="s">
        <v>211</v>
      </c>
      <c r="C83" s="21" t="s">
        <v>212</v>
      </c>
      <c r="D83" s="109"/>
      <c r="E83" s="111"/>
      <c r="F83" s="112" t="s">
        <v>356</v>
      </c>
      <c r="G83" s="111"/>
      <c r="H83" s="120">
        <v>11444</v>
      </c>
      <c r="I83" s="112" t="s">
        <v>156</v>
      </c>
      <c r="J83" s="113" t="e">
        <v>#N/A</v>
      </c>
      <c r="K83" s="167" t="e">
        <v>#N/A</v>
      </c>
      <c r="L83" s="169" t="e">
        <f t="shared" si="8"/>
        <v>#N/A</v>
      </c>
      <c r="M83" s="168" t="e">
        <f t="shared" si="11"/>
        <v>#N/A</v>
      </c>
      <c r="N83" s="168"/>
      <c r="O83" s="168">
        <f t="shared" si="13"/>
        <v>0</v>
      </c>
      <c r="P83" s="168"/>
      <c r="Q83"/>
      <c r="R83"/>
    </row>
    <row r="84" spans="1:18">
      <c r="A84" s="109">
        <v>85</v>
      </c>
      <c r="B84" s="21" t="s">
        <v>213</v>
      </c>
      <c r="C84" s="21" t="s">
        <v>214</v>
      </c>
      <c r="D84" s="109"/>
      <c r="E84" s="111"/>
      <c r="F84" s="112" t="s">
        <v>356</v>
      </c>
      <c r="G84" s="111"/>
      <c r="H84" s="120">
        <v>11444</v>
      </c>
      <c r="I84" s="112" t="s">
        <v>156</v>
      </c>
      <c r="J84" s="113" t="e">
        <v>#N/A</v>
      </c>
      <c r="K84" s="167" t="e">
        <v>#N/A</v>
      </c>
      <c r="L84" s="169" t="e">
        <f t="shared" si="8"/>
        <v>#N/A</v>
      </c>
      <c r="M84" s="168" t="e">
        <f t="shared" si="11"/>
        <v>#N/A</v>
      </c>
      <c r="N84" s="168"/>
      <c r="O84" s="168">
        <f t="shared" si="13"/>
        <v>0</v>
      </c>
      <c r="P84" s="168"/>
      <c r="Q84"/>
      <c r="R84"/>
    </row>
    <row r="85" spans="1:18">
      <c r="A85" s="109">
        <v>86</v>
      </c>
      <c r="B85" s="543" t="s">
        <v>330</v>
      </c>
      <c r="C85" s="21" t="s">
        <v>215</v>
      </c>
      <c r="D85" s="109">
        <v>1</v>
      </c>
      <c r="E85" s="536" t="s">
        <v>294</v>
      </c>
      <c r="F85" s="112" t="s">
        <v>356</v>
      </c>
      <c r="G85" s="111"/>
      <c r="H85" s="120">
        <v>11589</v>
      </c>
      <c r="I85" s="112" t="s">
        <v>156</v>
      </c>
      <c r="J85" s="113">
        <v>5</v>
      </c>
      <c r="K85" s="167">
        <v>288016</v>
      </c>
      <c r="L85" s="169">
        <f t="shared" si="8"/>
        <v>11.077538461538461</v>
      </c>
      <c r="M85" s="168">
        <f t="shared" si="11"/>
        <v>55.387692307692305</v>
      </c>
      <c r="N85" s="168">
        <v>452661</v>
      </c>
      <c r="O85" s="169">
        <f>N85/26000</f>
        <v>17.410038461538463</v>
      </c>
      <c r="P85" s="169"/>
      <c r="Q85"/>
      <c r="R85"/>
    </row>
    <row r="86" spans="1:18">
      <c r="A86" s="109">
        <v>87</v>
      </c>
      <c r="B86" s="534"/>
      <c r="C86" s="21" t="s">
        <v>215</v>
      </c>
      <c r="D86" s="109">
        <v>2</v>
      </c>
      <c r="E86" s="532"/>
      <c r="F86" s="112" t="s">
        <v>356</v>
      </c>
      <c r="G86" s="111"/>
      <c r="H86" s="120">
        <v>11589</v>
      </c>
      <c r="I86" s="112" t="s">
        <v>156</v>
      </c>
      <c r="J86" s="113">
        <v>5</v>
      </c>
      <c r="K86" s="167">
        <v>250093</v>
      </c>
      <c r="L86" s="169">
        <f t="shared" si="8"/>
        <v>9.618961538461539</v>
      </c>
      <c r="M86" s="168">
        <f t="shared" si="11"/>
        <v>48.094807692307697</v>
      </c>
      <c r="N86" s="168"/>
      <c r="O86" s="168">
        <f>N86/26000</f>
        <v>0</v>
      </c>
      <c r="P86" s="168"/>
      <c r="Q86"/>
      <c r="R86"/>
    </row>
    <row r="87" spans="1:18">
      <c r="A87" s="109">
        <v>88</v>
      </c>
      <c r="B87" s="534"/>
      <c r="C87" s="21" t="s">
        <v>215</v>
      </c>
      <c r="D87" s="109">
        <v>3</v>
      </c>
      <c r="E87" s="532"/>
      <c r="F87" s="112" t="s">
        <v>356</v>
      </c>
      <c r="G87" s="111"/>
      <c r="H87" s="120">
        <v>11589</v>
      </c>
      <c r="I87" s="112" t="s">
        <v>156</v>
      </c>
      <c r="J87" s="113">
        <v>5</v>
      </c>
      <c r="K87" s="167">
        <v>163477</v>
      </c>
      <c r="L87" s="169">
        <f t="shared" si="8"/>
        <v>6.287576923076923</v>
      </c>
      <c r="M87" s="168">
        <f t="shared" si="11"/>
        <v>31.437884615384615</v>
      </c>
      <c r="N87" s="168"/>
      <c r="O87" s="168">
        <f>N87/26000</f>
        <v>0</v>
      </c>
      <c r="P87" s="168"/>
      <c r="Q87"/>
      <c r="R87"/>
    </row>
    <row r="88" spans="1:18">
      <c r="A88" s="109">
        <v>89</v>
      </c>
      <c r="B88" s="534"/>
      <c r="C88" s="21" t="s">
        <v>215</v>
      </c>
      <c r="D88" s="109">
        <v>4</v>
      </c>
      <c r="E88" s="532"/>
      <c r="F88" s="112" t="s">
        <v>356</v>
      </c>
      <c r="G88" s="111"/>
      <c r="H88" s="120">
        <v>11589</v>
      </c>
      <c r="I88" s="112" t="s">
        <v>156</v>
      </c>
      <c r="J88" s="113">
        <v>5</v>
      </c>
      <c r="K88" s="167">
        <v>219652</v>
      </c>
      <c r="L88" s="169">
        <f t="shared" si="8"/>
        <v>8.448153846153847</v>
      </c>
      <c r="M88" s="168">
        <f t="shared" si="11"/>
        <v>42.240769230769232</v>
      </c>
      <c r="N88" s="168"/>
      <c r="O88" s="168">
        <f>N88/26000</f>
        <v>0</v>
      </c>
      <c r="P88" s="168"/>
      <c r="Q88"/>
      <c r="R88"/>
    </row>
    <row r="89" spans="1:18">
      <c r="A89" s="109">
        <v>90</v>
      </c>
      <c r="B89" s="534"/>
      <c r="C89" s="21" t="s">
        <v>215</v>
      </c>
      <c r="D89" s="109">
        <v>5</v>
      </c>
      <c r="E89" s="532"/>
      <c r="F89" s="112" t="s">
        <v>356</v>
      </c>
      <c r="G89" s="111"/>
      <c r="H89" s="120">
        <v>11589</v>
      </c>
      <c r="I89" s="112" t="s">
        <v>156</v>
      </c>
      <c r="J89" s="113">
        <v>5</v>
      </c>
      <c r="K89" s="167">
        <v>287971</v>
      </c>
      <c r="L89" s="169">
        <f t="shared" si="8"/>
        <v>11.075807692307693</v>
      </c>
      <c r="M89" s="168">
        <f t="shared" si="11"/>
        <v>55.379038461538464</v>
      </c>
      <c r="N89" s="168"/>
      <c r="O89" s="168">
        <f t="shared" ref="O89:O98" si="14">N89/26000</f>
        <v>0</v>
      </c>
      <c r="P89" s="168"/>
      <c r="Q89"/>
      <c r="R89"/>
    </row>
    <row r="90" spans="1:18">
      <c r="A90" s="109">
        <v>91</v>
      </c>
      <c r="B90" s="534"/>
      <c r="C90" s="21" t="s">
        <v>215</v>
      </c>
      <c r="D90" s="109">
        <v>6</v>
      </c>
      <c r="E90" s="532"/>
      <c r="F90" s="112" t="s">
        <v>356</v>
      </c>
      <c r="G90" s="111"/>
      <c r="H90" s="120">
        <v>11589</v>
      </c>
      <c r="I90" s="112" t="s">
        <v>156</v>
      </c>
      <c r="J90" s="113">
        <v>5</v>
      </c>
      <c r="K90" s="167">
        <v>275299</v>
      </c>
      <c r="L90" s="169">
        <f t="shared" si="8"/>
        <v>10.588423076923076</v>
      </c>
      <c r="M90" s="168">
        <f t="shared" si="11"/>
        <v>52.942115384615384</v>
      </c>
      <c r="N90" s="168"/>
      <c r="O90" s="168">
        <f t="shared" si="14"/>
        <v>0</v>
      </c>
      <c r="P90" s="168"/>
      <c r="Q90"/>
      <c r="R90"/>
    </row>
    <row r="91" spans="1:18">
      <c r="A91" s="109">
        <v>92</v>
      </c>
      <c r="B91" s="534"/>
      <c r="C91" s="21" t="s">
        <v>215</v>
      </c>
      <c r="D91" s="109">
        <v>7</v>
      </c>
      <c r="E91" s="532"/>
      <c r="F91" s="112" t="s">
        <v>356</v>
      </c>
      <c r="G91" s="111"/>
      <c r="H91" s="120">
        <v>11589</v>
      </c>
      <c r="I91" s="112" t="s">
        <v>156</v>
      </c>
      <c r="J91" s="113">
        <v>10</v>
      </c>
      <c r="K91" s="167">
        <v>115260</v>
      </c>
      <c r="L91" s="169">
        <f t="shared" si="8"/>
        <v>4.4330769230769231</v>
      </c>
      <c r="M91" s="168">
        <f t="shared" si="11"/>
        <v>44.330769230769235</v>
      </c>
      <c r="N91" s="168"/>
      <c r="O91" s="168">
        <f t="shared" si="14"/>
        <v>0</v>
      </c>
      <c r="P91" s="168"/>
      <c r="Q91"/>
      <c r="R91"/>
    </row>
    <row r="92" spans="1:18">
      <c r="A92" s="109">
        <v>93</v>
      </c>
      <c r="B92" s="535"/>
      <c r="C92" s="21" t="s">
        <v>215</v>
      </c>
      <c r="D92" s="109">
        <v>8</v>
      </c>
      <c r="E92" s="533"/>
      <c r="F92" s="112" t="s">
        <v>356</v>
      </c>
      <c r="G92" s="111"/>
      <c r="H92" s="120">
        <v>11589</v>
      </c>
      <c r="I92" s="112" t="s">
        <v>156</v>
      </c>
      <c r="J92" s="113">
        <v>4</v>
      </c>
      <c r="K92" s="167">
        <v>198642</v>
      </c>
      <c r="L92" s="169">
        <f t="shared" si="8"/>
        <v>7.640076923076923</v>
      </c>
      <c r="M92" s="168">
        <f t="shared" si="11"/>
        <v>30.560307692307692</v>
      </c>
      <c r="N92" s="168"/>
      <c r="O92" s="168">
        <f t="shared" si="14"/>
        <v>0</v>
      </c>
      <c r="P92" s="168"/>
      <c r="Q92"/>
      <c r="R92"/>
    </row>
    <row r="93" spans="1:18">
      <c r="A93" s="109">
        <v>94</v>
      </c>
      <c r="B93" s="21" t="s">
        <v>216</v>
      </c>
      <c r="C93" s="21" t="s">
        <v>217</v>
      </c>
      <c r="D93" s="109">
        <v>1</v>
      </c>
      <c r="E93" s="111"/>
      <c r="F93" s="112" t="s">
        <v>356</v>
      </c>
      <c r="G93" s="111"/>
      <c r="H93" s="120">
        <v>11963</v>
      </c>
      <c r="I93" s="112" t="s">
        <v>156</v>
      </c>
      <c r="J93" s="113">
        <v>1</v>
      </c>
      <c r="K93" s="167">
        <v>1141943</v>
      </c>
      <c r="L93" s="169">
        <f t="shared" si="8"/>
        <v>43.920884615384615</v>
      </c>
      <c r="M93" s="168">
        <f t="shared" si="11"/>
        <v>43.920884615384615</v>
      </c>
      <c r="N93" s="168"/>
      <c r="O93" s="168">
        <f t="shared" si="14"/>
        <v>0</v>
      </c>
      <c r="P93" s="168"/>
      <c r="Q93"/>
      <c r="R93"/>
    </row>
    <row r="94" spans="1:18">
      <c r="A94" s="109">
        <v>95</v>
      </c>
      <c r="B94" s="21" t="s">
        <v>218</v>
      </c>
      <c r="C94" s="21" t="s">
        <v>217</v>
      </c>
      <c r="D94" s="109">
        <v>2</v>
      </c>
      <c r="E94" s="111"/>
      <c r="F94" s="112" t="s">
        <v>356</v>
      </c>
      <c r="G94" s="111"/>
      <c r="H94" s="120">
        <v>11963</v>
      </c>
      <c r="I94" s="112" t="s">
        <v>156</v>
      </c>
      <c r="J94" s="113">
        <v>1</v>
      </c>
      <c r="K94" s="167">
        <v>501451</v>
      </c>
      <c r="L94" s="169">
        <f t="shared" si="8"/>
        <v>19.286576923076922</v>
      </c>
      <c r="M94" s="168">
        <f t="shared" si="11"/>
        <v>19.286576923076922</v>
      </c>
      <c r="N94" s="168"/>
      <c r="O94" s="168">
        <f t="shared" si="14"/>
        <v>0</v>
      </c>
      <c r="P94" s="168"/>
      <c r="Q94"/>
      <c r="R94"/>
    </row>
    <row r="95" spans="1:18">
      <c r="A95" s="109">
        <v>96</v>
      </c>
      <c r="B95" s="21" t="s">
        <v>219</v>
      </c>
      <c r="C95" s="21">
        <v>4125070617</v>
      </c>
      <c r="D95" s="109"/>
      <c r="E95" s="111"/>
      <c r="F95" s="112" t="s">
        <v>356</v>
      </c>
      <c r="G95" s="111"/>
      <c r="H95" s="120">
        <v>11444</v>
      </c>
      <c r="I95" s="112" t="s">
        <v>156</v>
      </c>
      <c r="J95" s="113" t="e">
        <v>#N/A</v>
      </c>
      <c r="K95" s="167" t="e">
        <v>#N/A</v>
      </c>
      <c r="L95" s="169" t="e">
        <f t="shared" si="8"/>
        <v>#N/A</v>
      </c>
      <c r="M95" s="168" t="e">
        <f t="shared" si="11"/>
        <v>#N/A</v>
      </c>
      <c r="N95" s="168"/>
      <c r="O95" s="168">
        <f t="shared" si="14"/>
        <v>0</v>
      </c>
      <c r="P95" s="168"/>
      <c r="Q95"/>
      <c r="R95"/>
    </row>
    <row r="96" spans="1:18">
      <c r="A96" s="109">
        <v>97</v>
      </c>
      <c r="B96" s="137" t="s">
        <v>220</v>
      </c>
      <c r="C96" s="137" t="s">
        <v>221</v>
      </c>
      <c r="D96" s="118">
        <v>1</v>
      </c>
      <c r="E96" s="117"/>
      <c r="F96" s="112" t="s">
        <v>356</v>
      </c>
      <c r="G96" s="111"/>
      <c r="H96" s="120">
        <v>11444</v>
      </c>
      <c r="I96" s="112" t="s">
        <v>156</v>
      </c>
      <c r="J96" s="113">
        <v>1</v>
      </c>
      <c r="K96" s="167">
        <v>286672</v>
      </c>
      <c r="L96" s="169">
        <f t="shared" si="8"/>
        <v>11.025846153846153</v>
      </c>
      <c r="M96" s="168">
        <f t="shared" si="11"/>
        <v>11.025846153846153</v>
      </c>
      <c r="N96" s="168"/>
      <c r="O96" s="168">
        <f t="shared" si="14"/>
        <v>0</v>
      </c>
      <c r="P96" s="168"/>
      <c r="Q96"/>
      <c r="R96"/>
    </row>
    <row r="97" spans="1:18">
      <c r="A97" s="109">
        <v>98</v>
      </c>
      <c r="B97" s="137" t="s">
        <v>331</v>
      </c>
      <c r="C97" s="158" t="s">
        <v>222</v>
      </c>
      <c r="D97" s="138">
        <v>2</v>
      </c>
      <c r="E97" s="117"/>
      <c r="F97" s="112" t="s">
        <v>356</v>
      </c>
      <c r="G97" s="111"/>
      <c r="H97" s="120">
        <v>11444</v>
      </c>
      <c r="I97" s="112" t="s">
        <v>156</v>
      </c>
      <c r="J97" s="113">
        <v>5</v>
      </c>
      <c r="K97" s="167">
        <v>69008</v>
      </c>
      <c r="L97" s="169">
        <f t="shared" si="8"/>
        <v>2.6541538461538461</v>
      </c>
      <c r="M97" s="168">
        <f t="shared" si="11"/>
        <v>13.270769230769231</v>
      </c>
      <c r="N97" s="168"/>
      <c r="O97" s="168">
        <f t="shared" si="14"/>
        <v>0</v>
      </c>
      <c r="P97" s="168"/>
      <c r="Q97"/>
      <c r="R97"/>
    </row>
    <row r="98" spans="1:18">
      <c r="A98" s="109">
        <v>99</v>
      </c>
      <c r="B98" s="137" t="s">
        <v>223</v>
      </c>
      <c r="C98" s="137" t="s">
        <v>221</v>
      </c>
      <c r="D98" s="118">
        <v>3</v>
      </c>
      <c r="E98" s="117"/>
      <c r="F98" s="112" t="s">
        <v>356</v>
      </c>
      <c r="G98" s="111"/>
      <c r="H98" s="120">
        <v>11444</v>
      </c>
      <c r="I98" s="112" t="s">
        <v>156</v>
      </c>
      <c r="J98" s="113">
        <v>1</v>
      </c>
      <c r="K98" s="167">
        <v>354067</v>
      </c>
      <c r="L98" s="169">
        <f t="shared" si="8"/>
        <v>13.617961538461538</v>
      </c>
      <c r="M98" s="168">
        <f t="shared" si="11"/>
        <v>13.617961538461538</v>
      </c>
      <c r="N98" s="168"/>
      <c r="O98" s="168">
        <f t="shared" si="14"/>
        <v>0</v>
      </c>
      <c r="P98" s="168"/>
      <c r="Q98"/>
      <c r="R98"/>
    </row>
    <row r="99" spans="1:18">
      <c r="A99" s="109">
        <v>101</v>
      </c>
      <c r="B99" s="21" t="s">
        <v>364</v>
      </c>
      <c r="C99" s="148">
        <v>4125070620</v>
      </c>
      <c r="D99" s="112">
        <v>1</v>
      </c>
      <c r="E99" s="111" t="s">
        <v>306</v>
      </c>
      <c r="F99" s="112" t="s">
        <v>356</v>
      </c>
      <c r="G99" s="111"/>
      <c r="H99" s="112">
        <v>10444</v>
      </c>
      <c r="I99" s="112" t="s">
        <v>156</v>
      </c>
      <c r="J99" s="113">
        <v>3</v>
      </c>
      <c r="K99" s="167">
        <v>1736242</v>
      </c>
      <c r="L99" s="169">
        <f t="shared" si="8"/>
        <v>66.77853846153846</v>
      </c>
      <c r="M99" s="168">
        <f t="shared" si="11"/>
        <v>200.33561538461538</v>
      </c>
      <c r="N99" s="168">
        <v>3705909</v>
      </c>
      <c r="O99" s="168">
        <f t="shared" ref="O99:O113" si="15">N99/26000</f>
        <v>142.53496153846154</v>
      </c>
      <c r="P99" s="168"/>
      <c r="Q99"/>
      <c r="R99"/>
    </row>
    <row r="100" spans="1:18">
      <c r="A100" s="109">
        <v>102</v>
      </c>
      <c r="B100" s="21" t="s">
        <v>365</v>
      </c>
      <c r="C100" s="21">
        <v>4125070621</v>
      </c>
      <c r="D100" s="109">
        <v>1</v>
      </c>
      <c r="E100" s="111" t="s">
        <v>306</v>
      </c>
      <c r="F100" s="112" t="s">
        <v>356</v>
      </c>
      <c r="G100" s="111"/>
      <c r="H100" s="112">
        <v>10444</v>
      </c>
      <c r="I100" s="112" t="s">
        <v>156</v>
      </c>
      <c r="J100" s="113">
        <v>3</v>
      </c>
      <c r="K100" s="167">
        <v>7437449</v>
      </c>
      <c r="L100" s="169">
        <f t="shared" si="8"/>
        <v>286.05573076923076</v>
      </c>
      <c r="M100" s="168">
        <f t="shared" si="11"/>
        <v>858.16719230769229</v>
      </c>
      <c r="N100" s="168">
        <v>13491250</v>
      </c>
      <c r="O100" s="168">
        <f t="shared" si="15"/>
        <v>518.89423076923072</v>
      </c>
      <c r="P100" s="168"/>
      <c r="Q100"/>
      <c r="R100"/>
    </row>
    <row r="101" spans="1:18">
      <c r="A101" s="109">
        <v>103</v>
      </c>
      <c r="B101" s="21" t="s">
        <v>224</v>
      </c>
      <c r="C101" s="21">
        <v>4125070619</v>
      </c>
      <c r="D101" s="109"/>
      <c r="E101" s="111"/>
      <c r="F101" s="112" t="s">
        <v>356</v>
      </c>
      <c r="G101" s="111"/>
      <c r="H101" s="120">
        <v>10444</v>
      </c>
      <c r="I101" s="112" t="s">
        <v>156</v>
      </c>
      <c r="J101" s="113" t="e">
        <v>#N/A</v>
      </c>
      <c r="K101" s="167" t="e">
        <v>#N/A</v>
      </c>
      <c r="L101" s="169" t="e">
        <f t="shared" si="8"/>
        <v>#N/A</v>
      </c>
      <c r="M101" s="168" t="e">
        <f t="shared" si="11"/>
        <v>#N/A</v>
      </c>
      <c r="N101" s="168"/>
      <c r="O101" s="168">
        <f t="shared" si="15"/>
        <v>0</v>
      </c>
      <c r="P101" s="168"/>
      <c r="Q101"/>
      <c r="R101"/>
    </row>
    <row r="102" spans="1:18">
      <c r="A102" s="109">
        <v>104</v>
      </c>
      <c r="B102" s="21" t="s">
        <v>225</v>
      </c>
      <c r="C102" s="21">
        <v>4125070623</v>
      </c>
      <c r="D102" s="109">
        <v>1</v>
      </c>
      <c r="E102" s="111"/>
      <c r="F102" s="112" t="s">
        <v>356</v>
      </c>
      <c r="G102" s="111"/>
      <c r="H102" s="120">
        <v>10444</v>
      </c>
      <c r="I102" s="112" t="s">
        <v>156</v>
      </c>
      <c r="J102" s="113">
        <v>3</v>
      </c>
      <c r="K102" s="167">
        <v>3614683</v>
      </c>
      <c r="L102" s="169">
        <f t="shared" si="8"/>
        <v>139.02626923076923</v>
      </c>
      <c r="M102" s="168">
        <f t="shared" si="11"/>
        <v>417.07880769230769</v>
      </c>
      <c r="N102" s="168"/>
      <c r="O102" s="168">
        <f t="shared" si="15"/>
        <v>0</v>
      </c>
      <c r="P102" s="168"/>
      <c r="Q102"/>
      <c r="R102"/>
    </row>
    <row r="103" spans="1:18">
      <c r="A103" s="109">
        <v>105</v>
      </c>
      <c r="B103" s="21" t="s">
        <v>226</v>
      </c>
      <c r="C103" s="145">
        <v>4125070624</v>
      </c>
      <c r="D103" s="109">
        <v>1</v>
      </c>
      <c r="E103" s="111"/>
      <c r="F103" s="112" t="s">
        <v>356</v>
      </c>
      <c r="G103" s="111"/>
      <c r="H103" s="120">
        <v>10444</v>
      </c>
      <c r="I103" s="112" t="s">
        <v>156</v>
      </c>
      <c r="J103" s="113" t="e">
        <v>#N/A</v>
      </c>
      <c r="K103" s="167" t="e">
        <v>#N/A</v>
      </c>
      <c r="L103" s="169" t="e">
        <f t="shared" si="8"/>
        <v>#N/A</v>
      </c>
      <c r="M103" s="168" t="e">
        <f t="shared" si="11"/>
        <v>#N/A</v>
      </c>
      <c r="N103" s="168"/>
      <c r="O103" s="168">
        <f t="shared" si="15"/>
        <v>0</v>
      </c>
      <c r="P103" s="168"/>
      <c r="Q103"/>
      <c r="R103"/>
    </row>
    <row r="104" spans="1:18">
      <c r="A104" s="109">
        <v>106</v>
      </c>
      <c r="B104" s="21" t="s">
        <v>366</v>
      </c>
      <c r="C104" s="148">
        <v>4125080600</v>
      </c>
      <c r="D104" s="112">
        <v>1</v>
      </c>
      <c r="E104" s="111" t="s">
        <v>306</v>
      </c>
      <c r="F104" s="112" t="s">
        <v>356</v>
      </c>
      <c r="G104" s="111"/>
      <c r="H104" s="112">
        <v>10444</v>
      </c>
      <c r="I104" s="112" t="s">
        <v>156</v>
      </c>
      <c r="J104" s="113">
        <v>3</v>
      </c>
      <c r="K104" s="167">
        <v>6544829</v>
      </c>
      <c r="L104" s="169">
        <f t="shared" si="8"/>
        <v>251.72419230769231</v>
      </c>
      <c r="M104" s="168">
        <f t="shared" si="11"/>
        <v>755.17257692307692</v>
      </c>
      <c r="N104" s="168">
        <v>0</v>
      </c>
      <c r="O104" s="168">
        <f t="shared" si="15"/>
        <v>0</v>
      </c>
      <c r="P104" s="168"/>
      <c r="Q104"/>
      <c r="R104"/>
    </row>
    <row r="105" spans="1:18">
      <c r="A105" s="109">
        <v>107</v>
      </c>
      <c r="B105" s="546" t="s">
        <v>332</v>
      </c>
      <c r="C105" s="21" t="s">
        <v>227</v>
      </c>
      <c r="D105" s="109">
        <v>1</v>
      </c>
      <c r="E105" s="536" t="s">
        <v>294</v>
      </c>
      <c r="F105" s="112" t="s">
        <v>356</v>
      </c>
      <c r="G105" s="111"/>
      <c r="H105" s="120">
        <v>10444</v>
      </c>
      <c r="I105" s="112" t="s">
        <v>156</v>
      </c>
      <c r="J105" s="113">
        <v>2</v>
      </c>
      <c r="K105" s="167">
        <v>1379609</v>
      </c>
      <c r="L105" s="169">
        <f t="shared" si="8"/>
        <v>53.061884615384614</v>
      </c>
      <c r="M105" s="168">
        <f t="shared" si="11"/>
        <v>106.12376923076923</v>
      </c>
      <c r="N105" s="168">
        <v>112814</v>
      </c>
      <c r="O105" s="169">
        <f t="shared" si="15"/>
        <v>4.3390000000000004</v>
      </c>
      <c r="P105" s="169"/>
      <c r="Q105"/>
      <c r="R105"/>
    </row>
    <row r="106" spans="1:18">
      <c r="A106" s="109">
        <v>108</v>
      </c>
      <c r="B106" s="547"/>
      <c r="C106" s="21" t="s">
        <v>227</v>
      </c>
      <c r="D106" s="109">
        <v>2</v>
      </c>
      <c r="E106" s="532"/>
      <c r="F106" s="112" t="s">
        <v>356</v>
      </c>
      <c r="G106" s="111"/>
      <c r="H106" s="120">
        <v>10444</v>
      </c>
      <c r="I106" s="112" t="s">
        <v>156</v>
      </c>
      <c r="J106" s="113">
        <v>2</v>
      </c>
      <c r="K106" s="167">
        <v>587957</v>
      </c>
      <c r="L106" s="169">
        <f t="shared" si="8"/>
        <v>22.61373076923077</v>
      </c>
      <c r="M106" s="168">
        <f t="shared" si="11"/>
        <v>45.22746153846154</v>
      </c>
      <c r="N106" s="168"/>
      <c r="O106" s="168">
        <f t="shared" si="15"/>
        <v>0</v>
      </c>
      <c r="P106" s="168"/>
      <c r="Q106"/>
      <c r="R106"/>
    </row>
    <row r="107" spans="1:18">
      <c r="A107" s="109">
        <v>109</v>
      </c>
      <c r="B107" s="547"/>
      <c r="C107" s="21" t="s">
        <v>227</v>
      </c>
      <c r="D107" s="109">
        <v>3</v>
      </c>
      <c r="E107" s="532"/>
      <c r="F107" s="112" t="s">
        <v>356</v>
      </c>
      <c r="G107" s="111"/>
      <c r="H107" s="120">
        <v>10444</v>
      </c>
      <c r="I107" s="112" t="s">
        <v>156</v>
      </c>
      <c r="J107" s="113">
        <v>1</v>
      </c>
      <c r="K107" s="167">
        <v>568275</v>
      </c>
      <c r="L107" s="169">
        <f t="shared" si="8"/>
        <v>21.856730769230769</v>
      </c>
      <c r="M107" s="168">
        <f t="shared" si="11"/>
        <v>21.856730769230769</v>
      </c>
      <c r="N107" s="168"/>
      <c r="O107" s="168">
        <f t="shared" si="15"/>
        <v>0</v>
      </c>
      <c r="P107" s="168"/>
      <c r="Q107"/>
      <c r="R107"/>
    </row>
    <row r="108" spans="1:18">
      <c r="A108" s="109">
        <v>110</v>
      </c>
      <c r="B108" s="548"/>
      <c r="C108" s="21" t="s">
        <v>227</v>
      </c>
      <c r="D108" s="109">
        <v>4</v>
      </c>
      <c r="E108" s="533"/>
      <c r="F108" s="112" t="s">
        <v>356</v>
      </c>
      <c r="G108" s="111"/>
      <c r="H108" s="120">
        <v>10444</v>
      </c>
      <c r="I108" s="112" t="s">
        <v>156</v>
      </c>
      <c r="J108" s="113">
        <v>2</v>
      </c>
      <c r="K108" s="167">
        <v>337535</v>
      </c>
      <c r="L108" s="169">
        <f t="shared" si="8"/>
        <v>12.982115384615385</v>
      </c>
      <c r="M108" s="168">
        <f t="shared" si="11"/>
        <v>25.96423076923077</v>
      </c>
      <c r="N108" s="168"/>
      <c r="O108" s="168">
        <f t="shared" si="15"/>
        <v>0</v>
      </c>
      <c r="P108" s="168"/>
      <c r="Q108"/>
      <c r="R108"/>
    </row>
    <row r="109" spans="1:18">
      <c r="A109" s="109">
        <v>111</v>
      </c>
      <c r="B109" s="21" t="s">
        <v>333</v>
      </c>
      <c r="C109" s="21" t="s">
        <v>228</v>
      </c>
      <c r="D109" s="109"/>
      <c r="E109" s="111" t="s">
        <v>294</v>
      </c>
      <c r="F109" s="112" t="s">
        <v>356</v>
      </c>
      <c r="G109" s="111"/>
      <c r="H109" s="120">
        <v>10637</v>
      </c>
      <c r="I109" s="112" t="s">
        <v>156</v>
      </c>
      <c r="J109" s="113">
        <v>1</v>
      </c>
      <c r="K109" s="167">
        <v>974646</v>
      </c>
      <c r="L109" s="169">
        <f t="shared" si="8"/>
        <v>37.486384615384615</v>
      </c>
      <c r="M109" s="168">
        <f t="shared" si="11"/>
        <v>37.486384615384615</v>
      </c>
      <c r="N109" s="168"/>
      <c r="O109" s="169">
        <f t="shared" si="15"/>
        <v>0</v>
      </c>
      <c r="P109" s="169"/>
      <c r="Q109"/>
      <c r="R109"/>
    </row>
    <row r="110" spans="1:18">
      <c r="A110" s="109">
        <v>112</v>
      </c>
      <c r="B110" s="21" t="s">
        <v>334</v>
      </c>
      <c r="C110" s="21" t="s">
        <v>229</v>
      </c>
      <c r="D110" s="109"/>
      <c r="E110" s="111" t="s">
        <v>294</v>
      </c>
      <c r="F110" s="112" t="s">
        <v>356</v>
      </c>
      <c r="G110" s="111"/>
      <c r="H110" s="120">
        <v>10637</v>
      </c>
      <c r="I110" s="112" t="s">
        <v>156</v>
      </c>
      <c r="J110" s="113">
        <v>1</v>
      </c>
      <c r="K110" s="167">
        <v>2068661</v>
      </c>
      <c r="L110" s="169">
        <f t="shared" si="8"/>
        <v>79.563884615384609</v>
      </c>
      <c r="M110" s="168">
        <f t="shared" si="11"/>
        <v>79.563884615384609</v>
      </c>
      <c r="N110" s="168"/>
      <c r="O110" s="169">
        <f t="shared" si="15"/>
        <v>0</v>
      </c>
      <c r="P110" s="169"/>
      <c r="Q110"/>
      <c r="R110"/>
    </row>
    <row r="111" spans="1:18">
      <c r="A111" s="109">
        <v>113</v>
      </c>
      <c r="B111" s="21" t="s">
        <v>230</v>
      </c>
      <c r="C111" s="21" t="s">
        <v>231</v>
      </c>
      <c r="D111" s="109"/>
      <c r="E111" s="111"/>
      <c r="F111" s="112" t="s">
        <v>356</v>
      </c>
      <c r="G111" s="111"/>
      <c r="H111" s="120">
        <v>10637</v>
      </c>
      <c r="I111" s="112" t="s">
        <v>156</v>
      </c>
      <c r="J111" s="113" t="e">
        <v>#N/A</v>
      </c>
      <c r="K111" s="167" t="e">
        <v>#N/A</v>
      </c>
      <c r="L111" s="169" t="e">
        <f t="shared" si="8"/>
        <v>#N/A</v>
      </c>
      <c r="M111" s="168" t="e">
        <f t="shared" si="11"/>
        <v>#N/A</v>
      </c>
      <c r="N111" s="168"/>
      <c r="O111" s="168">
        <f t="shared" si="15"/>
        <v>0</v>
      </c>
      <c r="P111" s="168"/>
      <c r="Q111"/>
      <c r="R111"/>
    </row>
    <row r="112" spans="1:18">
      <c r="A112" s="109">
        <v>114</v>
      </c>
      <c r="B112" s="142" t="s">
        <v>335</v>
      </c>
      <c r="C112" s="142" t="s">
        <v>232</v>
      </c>
      <c r="D112" s="130">
        <v>1</v>
      </c>
      <c r="E112" s="142"/>
      <c r="F112" s="112" t="s">
        <v>356</v>
      </c>
      <c r="G112" s="111"/>
      <c r="H112" s="120">
        <v>10444</v>
      </c>
      <c r="I112" s="112" t="s">
        <v>156</v>
      </c>
      <c r="J112" s="113">
        <v>1</v>
      </c>
      <c r="K112" s="167">
        <v>1020640</v>
      </c>
      <c r="L112" s="169">
        <f t="shared" si="8"/>
        <v>39.255384615384614</v>
      </c>
      <c r="M112" s="168">
        <f t="shared" si="11"/>
        <v>39.255384615384614</v>
      </c>
      <c r="N112" s="168"/>
      <c r="O112" s="168">
        <f t="shared" si="15"/>
        <v>0</v>
      </c>
      <c r="P112" s="168"/>
      <c r="Q112"/>
      <c r="R112"/>
    </row>
    <row r="113" spans="1:18">
      <c r="A113" s="109">
        <v>115</v>
      </c>
      <c r="B113" s="142" t="s">
        <v>220</v>
      </c>
      <c r="C113" s="142" t="s">
        <v>232</v>
      </c>
      <c r="D113" s="130">
        <v>2</v>
      </c>
      <c r="E113" s="142"/>
      <c r="F113" s="112" t="s">
        <v>356</v>
      </c>
      <c r="G113" s="111"/>
      <c r="H113" s="120">
        <v>10444</v>
      </c>
      <c r="I113" s="112" t="s">
        <v>156</v>
      </c>
      <c r="J113" s="113">
        <v>1</v>
      </c>
      <c r="K113" s="167">
        <v>1521311</v>
      </c>
      <c r="L113" s="169">
        <f t="shared" si="8"/>
        <v>58.511961538461541</v>
      </c>
      <c r="M113" s="168">
        <f t="shared" si="11"/>
        <v>58.511961538461541</v>
      </c>
      <c r="N113" s="168"/>
      <c r="O113" s="168">
        <f t="shared" si="15"/>
        <v>0</v>
      </c>
      <c r="P113" s="168"/>
      <c r="Q113"/>
      <c r="R113"/>
    </row>
    <row r="114" spans="1:18">
      <c r="A114" s="109">
        <v>116</v>
      </c>
      <c r="B114" s="550" t="s">
        <v>336</v>
      </c>
      <c r="C114" s="142" t="s">
        <v>232</v>
      </c>
      <c r="D114" s="130">
        <v>3</v>
      </c>
      <c r="E114" s="142"/>
      <c r="F114" s="112" t="s">
        <v>356</v>
      </c>
      <c r="G114" s="111"/>
      <c r="H114" s="120">
        <v>10444</v>
      </c>
      <c r="I114" s="112" t="s">
        <v>156</v>
      </c>
      <c r="J114" s="113">
        <v>2</v>
      </c>
      <c r="K114" s="167">
        <v>4804898</v>
      </c>
      <c r="L114" s="169">
        <f t="shared" ref="L114:L171" si="16">K114/26000</f>
        <v>184.80376923076923</v>
      </c>
      <c r="M114" s="168">
        <f t="shared" si="11"/>
        <v>369.60753846153847</v>
      </c>
      <c r="N114" s="168"/>
      <c r="O114" s="168">
        <f t="shared" ref="O114:O116" si="17">N114/26000</f>
        <v>0</v>
      </c>
      <c r="P114" s="168"/>
      <c r="Q114"/>
      <c r="R114"/>
    </row>
    <row r="115" spans="1:18">
      <c r="A115" s="109">
        <v>117</v>
      </c>
      <c r="B115" s="551"/>
      <c r="C115" s="142" t="s">
        <v>232</v>
      </c>
      <c r="D115" s="130">
        <v>4</v>
      </c>
      <c r="E115" s="142"/>
      <c r="F115" s="112" t="s">
        <v>356</v>
      </c>
      <c r="G115" s="111"/>
      <c r="H115" s="120">
        <v>10444</v>
      </c>
      <c r="I115" s="112" t="s">
        <v>156</v>
      </c>
      <c r="J115" s="113">
        <v>3</v>
      </c>
      <c r="K115" s="167">
        <v>4362760</v>
      </c>
      <c r="L115" s="169">
        <f t="shared" si="16"/>
        <v>167.79846153846154</v>
      </c>
      <c r="M115" s="168">
        <f t="shared" si="11"/>
        <v>503.39538461538461</v>
      </c>
      <c r="N115" s="168"/>
      <c r="O115" s="168">
        <f t="shared" si="17"/>
        <v>0</v>
      </c>
      <c r="P115" s="168"/>
      <c r="Q115"/>
      <c r="R115"/>
    </row>
    <row r="116" spans="1:18">
      <c r="A116" s="109">
        <v>118</v>
      </c>
      <c r="B116" s="21" t="s">
        <v>233</v>
      </c>
      <c r="C116" s="21" t="s">
        <v>234</v>
      </c>
      <c r="D116" s="109"/>
      <c r="E116" s="111"/>
      <c r="F116" s="112" t="s">
        <v>356</v>
      </c>
      <c r="G116" s="111"/>
      <c r="H116" s="120">
        <v>10637</v>
      </c>
      <c r="I116" s="112" t="s">
        <v>156</v>
      </c>
      <c r="J116" s="113" t="e">
        <v>#N/A</v>
      </c>
      <c r="K116" s="167" t="e">
        <v>#N/A</v>
      </c>
      <c r="L116" s="169" t="e">
        <f t="shared" si="16"/>
        <v>#N/A</v>
      </c>
      <c r="M116" s="168" t="e">
        <f t="shared" si="11"/>
        <v>#N/A</v>
      </c>
      <c r="N116" s="168"/>
      <c r="O116" s="168">
        <f t="shared" si="17"/>
        <v>0</v>
      </c>
      <c r="P116" s="168"/>
      <c r="Q116"/>
      <c r="R116"/>
    </row>
    <row r="117" spans="1:18">
      <c r="A117" s="109">
        <v>119</v>
      </c>
      <c r="B117" s="21" t="s">
        <v>337</v>
      </c>
      <c r="C117" s="21" t="s">
        <v>235</v>
      </c>
      <c r="D117" s="109">
        <v>2</v>
      </c>
      <c r="E117" s="111" t="s">
        <v>294</v>
      </c>
      <c r="F117" s="112" t="s">
        <v>356</v>
      </c>
      <c r="G117" s="111"/>
      <c r="H117" s="120">
        <v>10637</v>
      </c>
      <c r="I117" s="112" t="s">
        <v>156</v>
      </c>
      <c r="J117" s="113">
        <v>1</v>
      </c>
      <c r="K117" s="167">
        <v>2628576</v>
      </c>
      <c r="L117" s="169">
        <f t="shared" si="16"/>
        <v>101.09907692307692</v>
      </c>
      <c r="M117" s="168">
        <f t="shared" si="11"/>
        <v>101.09907692307692</v>
      </c>
      <c r="N117" s="168"/>
      <c r="O117" s="169">
        <f>N117/26000</f>
        <v>0</v>
      </c>
      <c r="P117" s="169"/>
      <c r="Q117"/>
      <c r="R117"/>
    </row>
    <row r="118" spans="1:18">
      <c r="A118" s="109">
        <v>120</v>
      </c>
      <c r="B118" s="21" t="s">
        <v>236</v>
      </c>
      <c r="C118" s="21" t="s">
        <v>234</v>
      </c>
      <c r="D118" s="109">
        <v>3</v>
      </c>
      <c r="E118" s="111"/>
      <c r="F118" s="112" t="s">
        <v>356</v>
      </c>
      <c r="G118" s="111"/>
      <c r="H118" s="120">
        <v>10637</v>
      </c>
      <c r="I118" s="112" t="s">
        <v>156</v>
      </c>
      <c r="J118" s="113">
        <v>2</v>
      </c>
      <c r="K118" s="167">
        <v>323370</v>
      </c>
      <c r="L118" s="169">
        <f t="shared" si="16"/>
        <v>12.437307692307693</v>
      </c>
      <c r="M118" s="168">
        <f t="shared" si="11"/>
        <v>24.874615384615385</v>
      </c>
      <c r="N118" s="168"/>
      <c r="O118" s="168">
        <f>N118/26000</f>
        <v>0</v>
      </c>
      <c r="P118" s="168"/>
      <c r="Q118"/>
      <c r="R118"/>
    </row>
    <row r="119" spans="1:18">
      <c r="A119" s="109">
        <v>121</v>
      </c>
      <c r="B119" s="21" t="s">
        <v>338</v>
      </c>
      <c r="C119" s="21" t="s">
        <v>237</v>
      </c>
      <c r="D119" s="109">
        <v>1</v>
      </c>
      <c r="E119" s="111" t="s">
        <v>294</v>
      </c>
      <c r="F119" s="112" t="s">
        <v>356</v>
      </c>
      <c r="G119" s="111"/>
      <c r="H119" s="120">
        <v>11444</v>
      </c>
      <c r="I119" s="112" t="s">
        <v>156</v>
      </c>
      <c r="J119" s="113">
        <v>1</v>
      </c>
      <c r="K119" s="167">
        <v>875113</v>
      </c>
      <c r="L119" s="169">
        <f t="shared" si="16"/>
        <v>33.65819230769231</v>
      </c>
      <c r="M119" s="168">
        <f t="shared" si="11"/>
        <v>33.65819230769231</v>
      </c>
      <c r="N119" s="168"/>
      <c r="O119" s="169">
        <f>N119/26000</f>
        <v>0</v>
      </c>
      <c r="P119" s="169"/>
      <c r="Q119"/>
      <c r="R119"/>
    </row>
    <row r="120" spans="1:18">
      <c r="A120" s="109">
        <v>122</v>
      </c>
      <c r="B120" s="21" t="s">
        <v>339</v>
      </c>
      <c r="C120" s="21" t="s">
        <v>237</v>
      </c>
      <c r="D120" s="109">
        <v>2</v>
      </c>
      <c r="E120" s="111" t="s">
        <v>357</v>
      </c>
      <c r="F120" s="112" t="s">
        <v>356</v>
      </c>
      <c r="G120" s="111"/>
      <c r="H120" s="120">
        <v>11444</v>
      </c>
      <c r="I120" s="112" t="s">
        <v>156</v>
      </c>
      <c r="J120" s="113">
        <v>1</v>
      </c>
      <c r="K120" s="167">
        <v>1451316</v>
      </c>
      <c r="L120" s="169">
        <f t="shared" si="16"/>
        <v>55.819846153846157</v>
      </c>
      <c r="M120" s="168">
        <f t="shared" si="11"/>
        <v>55.819846153846157</v>
      </c>
      <c r="N120" s="168">
        <v>223858</v>
      </c>
      <c r="O120" s="168">
        <f>N120/26000</f>
        <v>8.6099230769230761</v>
      </c>
      <c r="P120" s="168"/>
      <c r="Q120"/>
      <c r="R120"/>
    </row>
    <row r="121" spans="1:18">
      <c r="A121" s="109">
        <v>123</v>
      </c>
      <c r="B121" s="543" t="s">
        <v>338</v>
      </c>
      <c r="C121" s="21" t="s">
        <v>237</v>
      </c>
      <c r="D121" s="109">
        <v>3</v>
      </c>
      <c r="E121" s="536" t="s">
        <v>294</v>
      </c>
      <c r="F121" s="112" t="s">
        <v>356</v>
      </c>
      <c r="G121" s="111"/>
      <c r="H121" s="120">
        <v>11444</v>
      </c>
      <c r="I121" s="112" t="s">
        <v>156</v>
      </c>
      <c r="J121" s="113">
        <v>1</v>
      </c>
      <c r="K121" s="167">
        <v>764011</v>
      </c>
      <c r="L121" s="169">
        <f t="shared" si="16"/>
        <v>29.385038461538461</v>
      </c>
      <c r="M121" s="168">
        <f t="shared" si="11"/>
        <v>29.385038461538461</v>
      </c>
      <c r="N121" s="168"/>
      <c r="O121" s="169">
        <f>N121/26000</f>
        <v>0</v>
      </c>
      <c r="P121" s="169"/>
      <c r="Q121"/>
      <c r="R121"/>
    </row>
    <row r="122" spans="1:18">
      <c r="A122" s="109">
        <v>124</v>
      </c>
      <c r="B122" s="535"/>
      <c r="C122" s="148" t="s">
        <v>237</v>
      </c>
      <c r="D122" s="112">
        <v>4</v>
      </c>
      <c r="E122" s="533"/>
      <c r="F122" s="112" t="s">
        <v>356</v>
      </c>
      <c r="G122" s="111"/>
      <c r="H122" s="120">
        <v>11444</v>
      </c>
      <c r="I122" s="112" t="s">
        <v>156</v>
      </c>
      <c r="J122" s="113">
        <v>1</v>
      </c>
      <c r="K122" s="167">
        <v>1379065</v>
      </c>
      <c r="L122" s="169">
        <f t="shared" si="16"/>
        <v>53.040961538461538</v>
      </c>
      <c r="M122" s="168">
        <f t="shared" si="11"/>
        <v>53.040961538461538</v>
      </c>
      <c r="N122" s="168"/>
      <c r="O122" s="168">
        <f t="shared" ref="O122:O143" si="18">N122/26000</f>
        <v>0</v>
      </c>
      <c r="P122" s="168"/>
      <c r="Q122"/>
      <c r="R122"/>
    </row>
    <row r="123" spans="1:18">
      <c r="A123" s="109">
        <v>125</v>
      </c>
      <c r="B123" s="142" t="s">
        <v>308</v>
      </c>
      <c r="C123" s="123" t="s">
        <v>238</v>
      </c>
      <c r="D123" s="122">
        <v>1</v>
      </c>
      <c r="E123" s="123"/>
      <c r="F123" s="112" t="s">
        <v>356</v>
      </c>
      <c r="G123" s="111"/>
      <c r="H123" s="120">
        <v>11444</v>
      </c>
      <c r="I123" s="112" t="s">
        <v>156</v>
      </c>
      <c r="J123" s="113">
        <v>3</v>
      </c>
      <c r="K123" s="167">
        <v>522002</v>
      </c>
      <c r="L123" s="169">
        <f t="shared" si="16"/>
        <v>20.077000000000002</v>
      </c>
      <c r="M123" s="168">
        <f t="shared" si="11"/>
        <v>60.231000000000009</v>
      </c>
      <c r="N123" s="168"/>
      <c r="O123" s="168">
        <f t="shared" si="18"/>
        <v>0</v>
      </c>
      <c r="P123" s="168"/>
      <c r="Q123"/>
      <c r="R123"/>
    </row>
    <row r="124" spans="1:18">
      <c r="A124" s="109">
        <v>126</v>
      </c>
      <c r="B124" s="142" t="s">
        <v>340</v>
      </c>
      <c r="C124" s="123" t="s">
        <v>238</v>
      </c>
      <c r="D124" s="122">
        <v>2</v>
      </c>
      <c r="E124" s="123"/>
      <c r="F124" s="112" t="s">
        <v>356</v>
      </c>
      <c r="G124" s="31"/>
      <c r="H124" s="120">
        <v>11444</v>
      </c>
      <c r="I124" s="112" t="s">
        <v>156</v>
      </c>
      <c r="J124" s="113">
        <v>1</v>
      </c>
      <c r="K124" s="167">
        <v>1680357</v>
      </c>
      <c r="L124" s="169">
        <f t="shared" si="16"/>
        <v>64.629115384615389</v>
      </c>
      <c r="M124" s="168">
        <f t="shared" si="11"/>
        <v>64.629115384615389</v>
      </c>
      <c r="N124" s="168"/>
      <c r="O124" s="168">
        <f t="shared" si="18"/>
        <v>0</v>
      </c>
      <c r="P124" s="168"/>
      <c r="Q124"/>
      <c r="R124"/>
    </row>
    <row r="125" spans="1:18">
      <c r="A125" s="109">
        <v>127</v>
      </c>
      <c r="B125" s="142" t="s">
        <v>239</v>
      </c>
      <c r="C125" s="142" t="s">
        <v>240</v>
      </c>
      <c r="D125" s="122">
        <v>1</v>
      </c>
      <c r="E125" s="111" t="str">
        <f t="shared" ref="E125" si="19">TRIM(C125&amp;D125)</f>
        <v>L4125090071</v>
      </c>
      <c r="F125" s="112" t="s">
        <v>356</v>
      </c>
      <c r="G125" s="131"/>
      <c r="H125" s="131">
        <v>11444</v>
      </c>
      <c r="I125" s="112" t="s">
        <v>156</v>
      </c>
      <c r="J125" s="113" t="e">
        <v>#N/A</v>
      </c>
      <c r="K125" s="167" t="e">
        <v>#N/A</v>
      </c>
      <c r="L125" s="169" t="e">
        <f t="shared" si="16"/>
        <v>#N/A</v>
      </c>
      <c r="M125" s="168" t="e">
        <f t="shared" si="11"/>
        <v>#N/A</v>
      </c>
      <c r="N125" s="168"/>
      <c r="O125" s="168">
        <f t="shared" si="18"/>
        <v>0</v>
      </c>
      <c r="P125" s="168"/>
      <c r="Q125"/>
      <c r="R125"/>
    </row>
    <row r="126" spans="1:18">
      <c r="A126" s="109">
        <v>128</v>
      </c>
      <c r="B126" s="544" t="s">
        <v>289</v>
      </c>
      <c r="C126" s="142" t="s">
        <v>240</v>
      </c>
      <c r="D126" s="122">
        <v>2</v>
      </c>
      <c r="E126" s="540" t="s">
        <v>382</v>
      </c>
      <c r="F126" s="112" t="s">
        <v>356</v>
      </c>
      <c r="G126" s="111"/>
      <c r="H126" s="120">
        <v>11444</v>
      </c>
      <c r="I126" s="112" t="s">
        <v>156</v>
      </c>
      <c r="J126" s="113">
        <v>2</v>
      </c>
      <c r="K126" s="167">
        <v>1236545</v>
      </c>
      <c r="L126" s="169">
        <f t="shared" si="16"/>
        <v>47.559423076923075</v>
      </c>
      <c r="M126" s="168">
        <f t="shared" si="11"/>
        <v>95.11884615384615</v>
      </c>
      <c r="N126" s="168"/>
      <c r="O126" s="168">
        <f t="shared" si="18"/>
        <v>0</v>
      </c>
      <c r="P126" s="168"/>
      <c r="Q126"/>
      <c r="R126"/>
    </row>
    <row r="127" spans="1:18">
      <c r="A127" s="109">
        <v>129</v>
      </c>
      <c r="B127" s="549"/>
      <c r="C127" s="123" t="s">
        <v>240</v>
      </c>
      <c r="D127" s="122">
        <v>3</v>
      </c>
      <c r="E127" s="541"/>
      <c r="F127" s="112" t="s">
        <v>356</v>
      </c>
      <c r="G127" s="111"/>
      <c r="H127" s="120">
        <v>11444</v>
      </c>
      <c r="I127" s="112" t="s">
        <v>156</v>
      </c>
      <c r="J127" s="113">
        <v>2</v>
      </c>
      <c r="K127" s="167">
        <v>223383</v>
      </c>
      <c r="L127" s="169">
        <f t="shared" si="16"/>
        <v>8.5916538461538465</v>
      </c>
      <c r="M127" s="168">
        <f t="shared" si="11"/>
        <v>17.183307692307693</v>
      </c>
      <c r="N127" s="168"/>
      <c r="O127" s="168">
        <f t="shared" si="18"/>
        <v>0</v>
      </c>
      <c r="P127" s="168"/>
      <c r="Q127"/>
      <c r="R127"/>
    </row>
    <row r="128" spans="1:18">
      <c r="A128" s="109">
        <v>130</v>
      </c>
      <c r="B128" s="545"/>
      <c r="C128" s="123" t="s">
        <v>240</v>
      </c>
      <c r="D128" s="122">
        <v>4</v>
      </c>
      <c r="E128" s="542"/>
      <c r="F128" s="112" t="s">
        <v>356</v>
      </c>
      <c r="G128" s="111"/>
      <c r="H128" s="120">
        <v>11444</v>
      </c>
      <c r="I128" s="112" t="s">
        <v>156</v>
      </c>
      <c r="J128" s="113">
        <v>2</v>
      </c>
      <c r="K128" s="167">
        <v>323196</v>
      </c>
      <c r="L128" s="169">
        <f t="shared" si="16"/>
        <v>12.430615384615384</v>
      </c>
      <c r="M128" s="168">
        <f t="shared" si="11"/>
        <v>24.861230769230769</v>
      </c>
      <c r="N128" s="168"/>
      <c r="O128" s="168">
        <f t="shared" si="18"/>
        <v>0</v>
      </c>
      <c r="P128" s="168"/>
      <c r="Q128"/>
      <c r="R128"/>
    </row>
    <row r="129" spans="1:18">
      <c r="A129" s="109">
        <v>132</v>
      </c>
      <c r="B129" s="142" t="s">
        <v>341</v>
      </c>
      <c r="C129" s="123" t="s">
        <v>384</v>
      </c>
      <c r="D129" s="122">
        <v>1</v>
      </c>
      <c r="E129" s="123" t="s">
        <v>342</v>
      </c>
      <c r="F129" s="112" t="s">
        <v>356</v>
      </c>
      <c r="G129" s="111"/>
      <c r="H129" s="120">
        <v>10444</v>
      </c>
      <c r="I129" s="112" t="s">
        <v>156</v>
      </c>
      <c r="J129" s="113">
        <v>5</v>
      </c>
      <c r="K129" s="167">
        <v>256467</v>
      </c>
      <c r="L129" s="169">
        <f t="shared" si="16"/>
        <v>9.8641153846153848</v>
      </c>
      <c r="M129" s="168">
        <f t="shared" si="11"/>
        <v>49.320576923076928</v>
      </c>
      <c r="N129" s="168">
        <v>480649</v>
      </c>
      <c r="O129" s="168">
        <f t="shared" si="18"/>
        <v>18.486499999999999</v>
      </c>
      <c r="P129" s="168"/>
      <c r="Q129"/>
      <c r="R129"/>
    </row>
    <row r="130" spans="1:18">
      <c r="A130" s="109">
        <v>133</v>
      </c>
      <c r="B130" s="142" t="s">
        <v>343</v>
      </c>
      <c r="C130" s="123" t="s">
        <v>241</v>
      </c>
      <c r="D130" s="122">
        <v>2</v>
      </c>
      <c r="E130" s="123"/>
      <c r="F130" s="112" t="s">
        <v>356</v>
      </c>
      <c r="G130" s="111"/>
      <c r="H130" s="120">
        <v>10444</v>
      </c>
      <c r="I130" s="112" t="s">
        <v>156</v>
      </c>
      <c r="J130" s="113">
        <v>2</v>
      </c>
      <c r="K130" s="167">
        <v>966107</v>
      </c>
      <c r="L130" s="169">
        <f t="shared" si="16"/>
        <v>37.157961538461535</v>
      </c>
      <c r="M130" s="168">
        <f t="shared" si="11"/>
        <v>74.31592307692307</v>
      </c>
      <c r="N130" s="168"/>
      <c r="O130" s="168">
        <f t="shared" si="18"/>
        <v>0</v>
      </c>
      <c r="P130" s="168"/>
      <c r="Q130"/>
      <c r="R130"/>
    </row>
    <row r="131" spans="1:18">
      <c r="A131" s="109">
        <v>134</v>
      </c>
      <c r="B131" s="21" t="s">
        <v>344</v>
      </c>
      <c r="C131" s="21" t="s">
        <v>242</v>
      </c>
      <c r="D131" s="109">
        <v>1</v>
      </c>
      <c r="E131" s="111"/>
      <c r="F131" s="112" t="s">
        <v>356</v>
      </c>
      <c r="G131" s="111"/>
      <c r="H131" s="120">
        <v>10637</v>
      </c>
      <c r="I131" s="112" t="s">
        <v>156</v>
      </c>
      <c r="J131" s="113">
        <v>1</v>
      </c>
      <c r="K131" s="167">
        <v>3056719</v>
      </c>
      <c r="L131" s="169">
        <f t="shared" si="16"/>
        <v>117.56611538461539</v>
      </c>
      <c r="M131" s="168">
        <f t="shared" ref="M131:M171" si="20">L131*J131</f>
        <v>117.56611538461539</v>
      </c>
      <c r="N131" s="168"/>
      <c r="O131" s="168">
        <f t="shared" si="18"/>
        <v>0</v>
      </c>
      <c r="P131" s="168"/>
      <c r="Q131"/>
      <c r="R131"/>
    </row>
    <row r="132" spans="1:18" ht="25.5">
      <c r="A132" s="109">
        <v>135</v>
      </c>
      <c r="B132" s="140" t="s">
        <v>345</v>
      </c>
      <c r="C132" s="21" t="s">
        <v>243</v>
      </c>
      <c r="D132" s="109">
        <v>1</v>
      </c>
      <c r="E132" s="163" t="s">
        <v>382</v>
      </c>
      <c r="F132" s="112" t="s">
        <v>356</v>
      </c>
      <c r="G132" s="111"/>
      <c r="H132" s="120">
        <v>10637</v>
      </c>
      <c r="I132" s="112" t="s">
        <v>156</v>
      </c>
      <c r="J132" s="113">
        <v>1</v>
      </c>
      <c r="K132" s="167">
        <v>1067656</v>
      </c>
      <c r="L132" s="169">
        <f t="shared" si="16"/>
        <v>41.063692307692307</v>
      </c>
      <c r="M132" s="168">
        <f t="shared" si="20"/>
        <v>41.063692307692307</v>
      </c>
      <c r="N132" s="168"/>
      <c r="O132" s="168">
        <f t="shared" si="18"/>
        <v>0</v>
      </c>
      <c r="P132" s="168"/>
      <c r="Q132"/>
      <c r="R132"/>
    </row>
    <row r="133" spans="1:18">
      <c r="A133" s="109">
        <v>140</v>
      </c>
      <c r="B133" s="178"/>
      <c r="C133" s="159" t="s">
        <v>244</v>
      </c>
      <c r="D133" s="112">
        <v>2</v>
      </c>
      <c r="E133" s="179"/>
      <c r="F133" s="112" t="s">
        <v>356</v>
      </c>
      <c r="G133" s="111"/>
      <c r="H133" s="120">
        <v>10202</v>
      </c>
      <c r="I133" s="112" t="s">
        <v>156</v>
      </c>
      <c r="J133" s="113">
        <v>2</v>
      </c>
      <c r="K133" s="167">
        <v>1303012</v>
      </c>
      <c r="L133" s="169">
        <f t="shared" si="16"/>
        <v>50.115846153846157</v>
      </c>
      <c r="M133" s="168">
        <f t="shared" si="20"/>
        <v>100.23169230769231</v>
      </c>
      <c r="N133" s="168"/>
      <c r="O133" s="168">
        <f t="shared" si="18"/>
        <v>0</v>
      </c>
      <c r="P133" s="168"/>
      <c r="Q133"/>
      <c r="R133"/>
    </row>
    <row r="134" spans="1:18">
      <c r="A134" s="109">
        <v>141</v>
      </c>
      <c r="B134" s="142" t="s">
        <v>346</v>
      </c>
      <c r="C134" s="123" t="s">
        <v>245</v>
      </c>
      <c r="D134" s="149">
        <v>1</v>
      </c>
      <c r="E134" s="150"/>
      <c r="F134" s="112" t="s">
        <v>356</v>
      </c>
      <c r="G134" s="111"/>
      <c r="H134" s="120">
        <v>10202</v>
      </c>
      <c r="I134" s="112" t="s">
        <v>156</v>
      </c>
      <c r="J134" s="113">
        <v>1</v>
      </c>
      <c r="K134" s="167">
        <v>4666084</v>
      </c>
      <c r="L134" s="169">
        <f t="shared" si="16"/>
        <v>179.46476923076924</v>
      </c>
      <c r="M134" s="168">
        <f t="shared" si="20"/>
        <v>179.46476923076924</v>
      </c>
      <c r="N134" s="168"/>
      <c r="O134" s="168">
        <f t="shared" si="18"/>
        <v>0</v>
      </c>
      <c r="P134" s="168"/>
      <c r="Q134"/>
      <c r="R134"/>
    </row>
    <row r="135" spans="1:18">
      <c r="A135" s="109">
        <v>142</v>
      </c>
      <c r="B135" s="142" t="s">
        <v>347</v>
      </c>
      <c r="C135" s="123" t="s">
        <v>245</v>
      </c>
      <c r="D135" s="109">
        <v>2</v>
      </c>
      <c r="E135" s="123" t="s">
        <v>342</v>
      </c>
      <c r="F135" s="112" t="s">
        <v>356</v>
      </c>
      <c r="G135" s="111"/>
      <c r="H135" s="120">
        <v>10202</v>
      </c>
      <c r="I135" s="112" t="s">
        <v>156</v>
      </c>
      <c r="J135" s="113">
        <v>5</v>
      </c>
      <c r="K135" s="167">
        <v>483773</v>
      </c>
      <c r="L135" s="169">
        <f t="shared" si="16"/>
        <v>18.606653846153847</v>
      </c>
      <c r="M135" s="168">
        <f t="shared" si="20"/>
        <v>93.033269230769235</v>
      </c>
      <c r="N135" s="168">
        <v>307000</v>
      </c>
      <c r="O135" s="168">
        <f t="shared" si="18"/>
        <v>11.807692307692308</v>
      </c>
      <c r="P135" s="168"/>
      <c r="Q135"/>
      <c r="R135"/>
    </row>
    <row r="136" spans="1:18">
      <c r="A136" s="109">
        <v>143</v>
      </c>
      <c r="B136" s="544" t="s">
        <v>290</v>
      </c>
      <c r="C136" s="123" t="s">
        <v>245</v>
      </c>
      <c r="D136" s="149">
        <v>3</v>
      </c>
      <c r="E136" s="150"/>
      <c r="F136" s="112" t="s">
        <v>356</v>
      </c>
      <c r="G136" s="111"/>
      <c r="H136" s="120">
        <v>10202</v>
      </c>
      <c r="I136" s="112" t="s">
        <v>156</v>
      </c>
      <c r="J136" s="113">
        <v>4</v>
      </c>
      <c r="K136" s="167">
        <v>496570</v>
      </c>
      <c r="L136" s="169">
        <f t="shared" si="16"/>
        <v>19.098846153846154</v>
      </c>
      <c r="M136" s="168">
        <f t="shared" si="20"/>
        <v>76.395384615384614</v>
      </c>
      <c r="N136" s="168"/>
      <c r="O136" s="168">
        <f t="shared" si="18"/>
        <v>0</v>
      </c>
      <c r="P136" s="168"/>
      <c r="Q136"/>
      <c r="R136"/>
    </row>
    <row r="137" spans="1:18">
      <c r="A137" s="109">
        <v>144</v>
      </c>
      <c r="B137" s="545"/>
      <c r="C137" s="123" t="s">
        <v>245</v>
      </c>
      <c r="D137" s="149">
        <v>4</v>
      </c>
      <c r="E137" s="150"/>
      <c r="F137" s="112" t="s">
        <v>356</v>
      </c>
      <c r="G137" s="111"/>
      <c r="H137" s="120">
        <v>10202</v>
      </c>
      <c r="I137" s="112" t="s">
        <v>156</v>
      </c>
      <c r="J137" s="113">
        <v>4</v>
      </c>
      <c r="K137" s="167">
        <v>500428</v>
      </c>
      <c r="L137" s="169">
        <f t="shared" si="16"/>
        <v>19.247230769230768</v>
      </c>
      <c r="M137" s="168">
        <f t="shared" si="20"/>
        <v>76.988923076923072</v>
      </c>
      <c r="N137" s="168"/>
      <c r="O137" s="168">
        <f t="shared" si="18"/>
        <v>0</v>
      </c>
      <c r="P137" s="168"/>
      <c r="Q137"/>
      <c r="R137"/>
    </row>
    <row r="138" spans="1:18">
      <c r="A138" s="109">
        <v>145</v>
      </c>
      <c r="B138" s="142" t="s">
        <v>348</v>
      </c>
      <c r="C138" s="123" t="s">
        <v>245</v>
      </c>
      <c r="D138" s="149">
        <v>5</v>
      </c>
      <c r="E138" s="150" t="s">
        <v>349</v>
      </c>
      <c r="F138" s="112" t="s">
        <v>356</v>
      </c>
      <c r="G138" s="111"/>
      <c r="H138" s="120">
        <v>10202</v>
      </c>
      <c r="I138" s="112" t="s">
        <v>156</v>
      </c>
      <c r="J138" s="113">
        <v>3</v>
      </c>
      <c r="K138" s="167">
        <v>1088689</v>
      </c>
      <c r="L138" s="169">
        <f t="shared" si="16"/>
        <v>41.872653846153845</v>
      </c>
      <c r="M138" s="168">
        <f t="shared" si="20"/>
        <v>125.61796153846154</v>
      </c>
      <c r="N138" s="168">
        <v>2573000</v>
      </c>
      <c r="O138" s="168">
        <f t="shared" si="18"/>
        <v>98.961538461538467</v>
      </c>
      <c r="P138" s="168"/>
      <c r="Q138"/>
      <c r="R138"/>
    </row>
    <row r="139" spans="1:18">
      <c r="A139" s="109">
        <v>146</v>
      </c>
      <c r="B139" s="142" t="s">
        <v>350</v>
      </c>
      <c r="C139" s="123" t="s">
        <v>245</v>
      </c>
      <c r="D139" s="109">
        <v>6</v>
      </c>
      <c r="E139" s="123" t="s">
        <v>342</v>
      </c>
      <c r="F139" s="112" t="s">
        <v>356</v>
      </c>
      <c r="G139" s="111"/>
      <c r="H139" s="120">
        <v>10202</v>
      </c>
      <c r="I139" s="112" t="s">
        <v>156</v>
      </c>
      <c r="J139" s="113">
        <v>1</v>
      </c>
      <c r="K139" s="167">
        <v>1311596</v>
      </c>
      <c r="L139" s="169">
        <f t="shared" si="16"/>
        <v>50.445999999999998</v>
      </c>
      <c r="M139" s="168">
        <f t="shared" si="20"/>
        <v>50.445999999999998</v>
      </c>
      <c r="N139" s="168">
        <v>215000</v>
      </c>
      <c r="O139" s="168">
        <f t="shared" si="18"/>
        <v>8.2692307692307701</v>
      </c>
      <c r="P139" s="168"/>
      <c r="Q139"/>
      <c r="R139"/>
    </row>
    <row r="140" spans="1:18">
      <c r="A140" s="109">
        <v>147</v>
      </c>
      <c r="B140" s="21" t="s">
        <v>246</v>
      </c>
      <c r="C140" s="123">
        <v>4125090620</v>
      </c>
      <c r="D140" s="109"/>
      <c r="E140" s="111"/>
      <c r="F140" s="112" t="s">
        <v>356</v>
      </c>
      <c r="G140" s="111"/>
      <c r="H140" s="120">
        <v>11444</v>
      </c>
      <c r="I140" s="112" t="s">
        <v>156</v>
      </c>
      <c r="J140" s="113" t="e">
        <v>#N/A</v>
      </c>
      <c r="K140" s="167" t="e">
        <v>#N/A</v>
      </c>
      <c r="L140" s="169" t="e">
        <f t="shared" si="16"/>
        <v>#N/A</v>
      </c>
      <c r="M140" s="168" t="e">
        <f t="shared" si="20"/>
        <v>#N/A</v>
      </c>
      <c r="N140" s="168"/>
      <c r="O140" s="168">
        <f t="shared" si="18"/>
        <v>0</v>
      </c>
      <c r="P140" s="168"/>
      <c r="Q140"/>
      <c r="R140"/>
    </row>
    <row r="141" spans="1:18">
      <c r="A141" s="109">
        <v>148</v>
      </c>
      <c r="B141" s="543" t="s">
        <v>247</v>
      </c>
      <c r="C141" s="123" t="s">
        <v>248</v>
      </c>
      <c r="D141" s="109">
        <v>1</v>
      </c>
      <c r="E141" s="111" t="str">
        <f t="shared" ref="E141:E142" si="21">TRIM(C141&amp;D141)</f>
        <v>L4125090151</v>
      </c>
      <c r="F141" s="112" t="s">
        <v>356</v>
      </c>
      <c r="G141" s="111"/>
      <c r="H141" s="120">
        <v>11444</v>
      </c>
      <c r="I141" s="112" t="s">
        <v>156</v>
      </c>
      <c r="J141" s="113">
        <v>4</v>
      </c>
      <c r="K141" s="167">
        <v>520103</v>
      </c>
      <c r="L141" s="169">
        <f t="shared" si="16"/>
        <v>20.003961538461539</v>
      </c>
      <c r="M141" s="168">
        <f t="shared" si="20"/>
        <v>80.015846153846155</v>
      </c>
      <c r="N141" s="168"/>
      <c r="O141" s="168">
        <f t="shared" si="18"/>
        <v>0</v>
      </c>
      <c r="P141" s="168"/>
      <c r="Q141"/>
      <c r="R141"/>
    </row>
    <row r="142" spans="1:18">
      <c r="A142" s="109">
        <v>149</v>
      </c>
      <c r="B142" s="535"/>
      <c r="C142" s="123" t="s">
        <v>248</v>
      </c>
      <c r="D142" s="109">
        <v>2</v>
      </c>
      <c r="E142" s="111" t="str">
        <f t="shared" si="21"/>
        <v>L4125090152</v>
      </c>
      <c r="F142" s="112" t="s">
        <v>356</v>
      </c>
      <c r="G142" s="111"/>
      <c r="H142" s="120">
        <v>11444</v>
      </c>
      <c r="I142" s="112" t="s">
        <v>156</v>
      </c>
      <c r="J142" s="113">
        <v>4</v>
      </c>
      <c r="K142" s="167">
        <v>406483</v>
      </c>
      <c r="L142" s="169">
        <f t="shared" si="16"/>
        <v>15.633961538461538</v>
      </c>
      <c r="M142" s="168">
        <f t="shared" si="20"/>
        <v>62.535846153846151</v>
      </c>
      <c r="N142" s="168"/>
      <c r="O142" s="168">
        <f t="shared" si="18"/>
        <v>0</v>
      </c>
      <c r="P142" s="168"/>
      <c r="Q142"/>
      <c r="R142"/>
    </row>
    <row r="143" spans="1:18">
      <c r="A143" s="109">
        <v>150</v>
      </c>
      <c r="B143" s="21" t="s">
        <v>351</v>
      </c>
      <c r="C143" s="145" t="s">
        <v>249</v>
      </c>
      <c r="D143" s="109">
        <v>2</v>
      </c>
      <c r="E143" s="163" t="s">
        <v>382</v>
      </c>
      <c r="F143" s="112" t="s">
        <v>356</v>
      </c>
      <c r="G143" s="111"/>
      <c r="H143" s="120">
        <v>11444</v>
      </c>
      <c r="I143" s="112" t="s">
        <v>156</v>
      </c>
      <c r="J143" s="113">
        <v>2</v>
      </c>
      <c r="K143" s="167">
        <v>3543200</v>
      </c>
      <c r="L143" s="169">
        <f t="shared" si="16"/>
        <v>136.27692307692308</v>
      </c>
      <c r="M143" s="168">
        <f t="shared" si="20"/>
        <v>272.55384615384617</v>
      </c>
      <c r="N143" s="168">
        <v>725000</v>
      </c>
      <c r="O143" s="168">
        <f t="shared" si="18"/>
        <v>27.884615384615383</v>
      </c>
      <c r="P143" s="168"/>
      <c r="Q143"/>
      <c r="R143"/>
    </row>
    <row r="144" spans="1:18">
      <c r="A144" s="109">
        <v>151</v>
      </c>
      <c r="B144" s="21" t="s">
        <v>352</v>
      </c>
      <c r="C144" s="145">
        <v>4125100601</v>
      </c>
      <c r="D144" s="109">
        <v>1</v>
      </c>
      <c r="E144" s="111" t="s">
        <v>306</v>
      </c>
      <c r="F144" s="112" t="s">
        <v>356</v>
      </c>
      <c r="G144" s="131"/>
      <c r="H144" s="112">
        <v>10202</v>
      </c>
      <c r="I144" s="112" t="s">
        <v>156</v>
      </c>
      <c r="J144" s="113">
        <v>3</v>
      </c>
      <c r="K144" s="167">
        <v>7969602</v>
      </c>
      <c r="L144" s="169">
        <f t="shared" si="16"/>
        <v>306.52315384615383</v>
      </c>
      <c r="M144" s="168">
        <f t="shared" si="20"/>
        <v>919.5694615384615</v>
      </c>
      <c r="N144" s="168">
        <v>4804474</v>
      </c>
      <c r="O144" s="168">
        <f t="shared" ref="O144:O155" si="22">N144/26000</f>
        <v>184.78746153846154</v>
      </c>
      <c r="P144" s="168"/>
      <c r="Q144"/>
      <c r="R144"/>
    </row>
    <row r="145" spans="1:18">
      <c r="A145" s="109">
        <v>152</v>
      </c>
      <c r="B145" s="21" t="s">
        <v>353</v>
      </c>
      <c r="C145" s="142" t="s">
        <v>375</v>
      </c>
      <c r="D145" s="109">
        <v>1</v>
      </c>
      <c r="E145" s="111" t="s">
        <v>294</v>
      </c>
      <c r="F145" s="112" t="s">
        <v>356</v>
      </c>
      <c r="G145" s="131"/>
      <c r="H145" s="131">
        <v>11444</v>
      </c>
      <c r="I145" s="112" t="s">
        <v>156</v>
      </c>
      <c r="J145" s="113">
        <v>1</v>
      </c>
      <c r="K145" s="167">
        <v>1101279</v>
      </c>
      <c r="L145" s="169">
        <f t="shared" si="16"/>
        <v>42.356884615384615</v>
      </c>
      <c r="M145" s="168">
        <f t="shared" si="20"/>
        <v>42.356884615384615</v>
      </c>
      <c r="N145" s="168">
        <v>226994</v>
      </c>
      <c r="O145" s="169">
        <f t="shared" si="22"/>
        <v>8.7305384615384618</v>
      </c>
      <c r="P145" s="169"/>
      <c r="Q145"/>
      <c r="R145"/>
    </row>
    <row r="146" spans="1:18">
      <c r="A146" s="109">
        <v>154</v>
      </c>
      <c r="B146" s="543" t="s">
        <v>354</v>
      </c>
      <c r="C146" s="145" t="s">
        <v>250</v>
      </c>
      <c r="D146" s="109">
        <v>1</v>
      </c>
      <c r="E146" s="536" t="s">
        <v>382</v>
      </c>
      <c r="F146" s="112" t="s">
        <v>356</v>
      </c>
      <c r="G146" s="131" t="s">
        <v>252</v>
      </c>
      <c r="H146" s="131">
        <v>11444</v>
      </c>
      <c r="I146" s="112" t="s">
        <v>156</v>
      </c>
      <c r="J146" s="113">
        <v>2</v>
      </c>
      <c r="K146" s="167">
        <v>2360000</v>
      </c>
      <c r="L146" s="169">
        <f t="shared" si="16"/>
        <v>90.769230769230774</v>
      </c>
      <c r="M146" s="168">
        <f t="shared" si="20"/>
        <v>181.53846153846155</v>
      </c>
      <c r="N146" s="168">
        <v>326000</v>
      </c>
      <c r="O146" s="168">
        <f t="shared" si="22"/>
        <v>12.538461538461538</v>
      </c>
      <c r="P146" s="168"/>
      <c r="Q146"/>
      <c r="R146"/>
    </row>
    <row r="147" spans="1:18">
      <c r="A147" s="109">
        <v>155</v>
      </c>
      <c r="B147" s="535"/>
      <c r="C147" s="145" t="s">
        <v>250</v>
      </c>
      <c r="D147" s="109">
        <v>2</v>
      </c>
      <c r="E147" s="533"/>
      <c r="F147" s="112" t="s">
        <v>356</v>
      </c>
      <c r="G147" s="131"/>
      <c r="H147" s="131">
        <v>11444</v>
      </c>
      <c r="I147" s="112" t="s">
        <v>156</v>
      </c>
      <c r="J147" s="113" t="e">
        <v>#N/A</v>
      </c>
      <c r="K147" s="167" t="e">
        <v>#N/A</v>
      </c>
      <c r="L147" s="169" t="e">
        <f t="shared" si="16"/>
        <v>#N/A</v>
      </c>
      <c r="M147" s="168" t="e">
        <f t="shared" si="20"/>
        <v>#N/A</v>
      </c>
      <c r="N147" s="168"/>
      <c r="O147" s="168">
        <f t="shared" si="22"/>
        <v>0</v>
      </c>
      <c r="P147" s="168"/>
      <c r="Q147"/>
      <c r="R147"/>
    </row>
    <row r="148" spans="1:18">
      <c r="A148" s="109">
        <v>156</v>
      </c>
      <c r="B148" s="21" t="s">
        <v>355</v>
      </c>
      <c r="C148" s="21" t="s">
        <v>253</v>
      </c>
      <c r="D148" s="109"/>
      <c r="E148" s="163" t="s">
        <v>382</v>
      </c>
      <c r="F148" s="112" t="s">
        <v>356</v>
      </c>
      <c r="G148" s="111"/>
      <c r="H148" s="120">
        <v>10637</v>
      </c>
      <c r="I148" s="112" t="s">
        <v>156</v>
      </c>
      <c r="J148" s="113">
        <v>1</v>
      </c>
      <c r="K148" s="167">
        <v>1412107</v>
      </c>
      <c r="L148" s="169">
        <f t="shared" si="16"/>
        <v>54.311807692307696</v>
      </c>
      <c r="M148" s="168">
        <f t="shared" si="20"/>
        <v>54.311807692307696</v>
      </c>
      <c r="N148" s="168"/>
      <c r="O148" s="168">
        <f t="shared" si="22"/>
        <v>0</v>
      </c>
      <c r="P148" s="168"/>
      <c r="Q148"/>
      <c r="R148"/>
    </row>
    <row r="149" spans="1:18">
      <c r="A149" s="109">
        <v>158</v>
      </c>
      <c r="B149" s="543" t="s">
        <v>254</v>
      </c>
      <c r="C149" s="160" t="s">
        <v>376</v>
      </c>
      <c r="D149" s="112">
        <v>1</v>
      </c>
      <c r="E149" s="536" t="s">
        <v>294</v>
      </c>
      <c r="F149" s="112" t="s">
        <v>356</v>
      </c>
      <c r="G149" s="111"/>
      <c r="H149" s="120">
        <v>10202</v>
      </c>
      <c r="I149" s="112" t="s">
        <v>156</v>
      </c>
      <c r="J149" s="113">
        <v>1</v>
      </c>
      <c r="K149" s="167">
        <v>3497593</v>
      </c>
      <c r="L149" s="169">
        <f t="shared" si="16"/>
        <v>134.52280769230768</v>
      </c>
      <c r="M149" s="168">
        <f t="shared" si="20"/>
        <v>134.52280769230768</v>
      </c>
      <c r="N149" s="168">
        <v>350000</v>
      </c>
      <c r="O149" s="169">
        <f t="shared" si="22"/>
        <v>13.461538461538462</v>
      </c>
      <c r="P149" s="169"/>
      <c r="Q149"/>
      <c r="R149"/>
    </row>
    <row r="150" spans="1:18">
      <c r="A150" s="109">
        <v>159</v>
      </c>
      <c r="B150" s="535"/>
      <c r="C150" s="161" t="s">
        <v>255</v>
      </c>
      <c r="D150" s="109">
        <v>2</v>
      </c>
      <c r="E150" s="533"/>
      <c r="F150" s="112" t="s">
        <v>356</v>
      </c>
      <c r="G150" s="131"/>
      <c r="H150" s="131">
        <v>10202</v>
      </c>
      <c r="I150" s="112" t="s">
        <v>156</v>
      </c>
      <c r="J150" s="113" t="e">
        <v>#N/A</v>
      </c>
      <c r="K150" s="167" t="e">
        <v>#N/A</v>
      </c>
      <c r="L150" s="169" t="e">
        <f t="shared" si="16"/>
        <v>#N/A</v>
      </c>
      <c r="M150" s="168" t="e">
        <f t="shared" si="20"/>
        <v>#N/A</v>
      </c>
      <c r="N150" s="168"/>
      <c r="O150" s="168">
        <f t="shared" si="22"/>
        <v>0</v>
      </c>
      <c r="P150" s="168"/>
      <c r="Q150"/>
      <c r="R150"/>
    </row>
    <row r="151" spans="1:18">
      <c r="A151" s="109">
        <v>160</v>
      </c>
      <c r="B151" s="543" t="s">
        <v>256</v>
      </c>
      <c r="C151" s="161" t="s">
        <v>257</v>
      </c>
      <c r="D151" s="109">
        <v>1</v>
      </c>
      <c r="E151" s="536" t="s">
        <v>294</v>
      </c>
      <c r="F151" s="112" t="s">
        <v>356</v>
      </c>
      <c r="G151" s="131"/>
      <c r="H151" s="131">
        <v>10202</v>
      </c>
      <c r="I151" s="112" t="s">
        <v>156</v>
      </c>
      <c r="J151" s="113">
        <v>1</v>
      </c>
      <c r="K151" s="167">
        <v>3700000</v>
      </c>
      <c r="L151" s="169">
        <f t="shared" si="16"/>
        <v>142.30769230769232</v>
      </c>
      <c r="M151" s="168">
        <f t="shared" si="20"/>
        <v>142.30769230769232</v>
      </c>
      <c r="N151" s="168">
        <v>325000</v>
      </c>
      <c r="O151" s="169">
        <f t="shared" si="22"/>
        <v>12.5</v>
      </c>
      <c r="P151" s="169"/>
      <c r="Q151"/>
      <c r="R151"/>
    </row>
    <row r="152" spans="1:18">
      <c r="A152" s="109">
        <v>161</v>
      </c>
      <c r="B152" s="535"/>
      <c r="C152" s="161" t="s">
        <v>258</v>
      </c>
      <c r="D152" s="109">
        <v>2</v>
      </c>
      <c r="E152" s="533"/>
      <c r="F152" s="112" t="s">
        <v>356</v>
      </c>
      <c r="G152" s="131"/>
      <c r="H152" s="131">
        <v>10202</v>
      </c>
      <c r="I152" s="112" t="s">
        <v>156</v>
      </c>
      <c r="J152" s="113" t="e">
        <v>#N/A</v>
      </c>
      <c r="K152" s="167" t="e">
        <v>#N/A</v>
      </c>
      <c r="L152" s="169" t="e">
        <f t="shared" si="16"/>
        <v>#N/A</v>
      </c>
      <c r="M152" s="168" t="e">
        <f t="shared" si="20"/>
        <v>#N/A</v>
      </c>
      <c r="N152" s="168"/>
      <c r="O152" s="168">
        <f t="shared" si="22"/>
        <v>0</v>
      </c>
      <c r="P152" s="168"/>
      <c r="Q152"/>
      <c r="R152"/>
    </row>
    <row r="153" spans="1:18">
      <c r="A153" s="109">
        <v>162</v>
      </c>
      <c r="B153" s="21" t="s">
        <v>259</v>
      </c>
      <c r="C153" s="161" t="s">
        <v>257</v>
      </c>
      <c r="D153" s="109">
        <v>3</v>
      </c>
      <c r="E153" s="111" t="str">
        <f t="shared" ref="E153:E160" si="23">TRIM(C153&amp;D153)</f>
        <v>L4125100053</v>
      </c>
      <c r="F153" s="112" t="s">
        <v>356</v>
      </c>
      <c r="G153" s="131"/>
      <c r="H153" s="131">
        <v>10202</v>
      </c>
      <c r="I153" s="112" t="s">
        <v>156</v>
      </c>
      <c r="J153" s="113" t="e">
        <v>#N/A</v>
      </c>
      <c r="K153" s="167" t="e">
        <v>#N/A</v>
      </c>
      <c r="L153" s="169" t="e">
        <f t="shared" si="16"/>
        <v>#N/A</v>
      </c>
      <c r="M153" s="168" t="e">
        <f t="shared" si="20"/>
        <v>#N/A</v>
      </c>
      <c r="N153" s="168"/>
      <c r="O153" s="168">
        <f t="shared" si="22"/>
        <v>0</v>
      </c>
      <c r="P153" s="168"/>
      <c r="Q153"/>
      <c r="R153"/>
    </row>
    <row r="154" spans="1:18">
      <c r="A154" s="109">
        <v>163</v>
      </c>
      <c r="B154" s="21" t="s">
        <v>260</v>
      </c>
      <c r="C154" s="142" t="s">
        <v>261</v>
      </c>
      <c r="D154" s="109">
        <v>1</v>
      </c>
      <c r="E154" s="111" t="str">
        <f t="shared" si="23"/>
        <v>R4125103281</v>
      </c>
      <c r="F154" s="112" t="s">
        <v>356</v>
      </c>
      <c r="G154" s="111"/>
      <c r="H154" s="120">
        <v>10597</v>
      </c>
      <c r="I154" s="112" t="s">
        <v>156</v>
      </c>
      <c r="J154" s="113">
        <v>5</v>
      </c>
      <c r="K154" s="167">
        <v>136768</v>
      </c>
      <c r="L154" s="169">
        <f t="shared" si="16"/>
        <v>5.2603076923076921</v>
      </c>
      <c r="M154" s="168">
        <f t="shared" si="20"/>
        <v>26.30153846153846</v>
      </c>
      <c r="N154" s="168"/>
      <c r="O154" s="168">
        <f t="shared" si="22"/>
        <v>0</v>
      </c>
      <c r="P154" s="168"/>
      <c r="Q154"/>
      <c r="R154"/>
    </row>
    <row r="155" spans="1:18">
      <c r="A155" s="109">
        <v>164</v>
      </c>
      <c r="B155" s="142" t="s">
        <v>262</v>
      </c>
      <c r="C155" s="142" t="s">
        <v>263</v>
      </c>
      <c r="D155" s="109">
        <v>1</v>
      </c>
      <c r="E155" s="111" t="str">
        <f t="shared" si="23"/>
        <v>L4125100061</v>
      </c>
      <c r="F155" s="112" t="s">
        <v>356</v>
      </c>
      <c r="G155" s="111"/>
      <c r="H155" s="120">
        <v>11444</v>
      </c>
      <c r="I155" s="112" t="s">
        <v>156</v>
      </c>
      <c r="J155" s="113" t="e">
        <v>#N/A</v>
      </c>
      <c r="K155" s="167" t="e">
        <v>#N/A</v>
      </c>
      <c r="L155" s="169" t="e">
        <f t="shared" si="16"/>
        <v>#N/A</v>
      </c>
      <c r="M155" s="168" t="e">
        <f t="shared" si="20"/>
        <v>#N/A</v>
      </c>
      <c r="N155" s="168"/>
      <c r="O155" s="168">
        <f t="shared" si="22"/>
        <v>0</v>
      </c>
      <c r="P155" s="168"/>
      <c r="Q155"/>
      <c r="R155"/>
    </row>
    <row r="156" spans="1:18">
      <c r="A156" s="109">
        <v>165</v>
      </c>
      <c r="B156" s="142" t="s">
        <v>264</v>
      </c>
      <c r="C156" s="142" t="s">
        <v>263</v>
      </c>
      <c r="D156" s="109">
        <v>2</v>
      </c>
      <c r="E156" s="111" t="str">
        <f t="shared" si="23"/>
        <v>L4125100062</v>
      </c>
      <c r="F156" s="112" t="s">
        <v>356</v>
      </c>
      <c r="G156" s="131"/>
      <c r="H156" s="131">
        <v>11444</v>
      </c>
      <c r="I156" s="112" t="s">
        <v>156</v>
      </c>
      <c r="J156" s="113" t="e">
        <v>#N/A</v>
      </c>
      <c r="K156" s="167" t="e">
        <v>#N/A</v>
      </c>
      <c r="L156" s="169" t="e">
        <f t="shared" si="16"/>
        <v>#N/A</v>
      </c>
      <c r="M156" s="168" t="e">
        <f t="shared" si="20"/>
        <v>#N/A</v>
      </c>
      <c r="N156" s="168"/>
      <c r="O156" s="168">
        <f t="shared" ref="O156:O166" si="24">N156/26000</f>
        <v>0</v>
      </c>
      <c r="P156" s="168"/>
      <c r="Q156"/>
      <c r="R156"/>
    </row>
    <row r="157" spans="1:18">
      <c r="A157" s="109">
        <v>166</v>
      </c>
      <c r="B157" s="142" t="s">
        <v>265</v>
      </c>
      <c r="C157" s="142" t="s">
        <v>263</v>
      </c>
      <c r="D157" s="109">
        <v>3</v>
      </c>
      <c r="E157" s="111" t="str">
        <f t="shared" si="23"/>
        <v>L4125100063</v>
      </c>
      <c r="F157" s="112" t="str">
        <f>VLOOKUP(E157,'[9]Danh sách kỳ hạn BV sắp trễ hẹn'!$C$2:$F$5000,4,0)</f>
        <v>EW1</v>
      </c>
      <c r="G157" s="131"/>
      <c r="H157" s="131">
        <v>11589</v>
      </c>
      <c r="I157" s="112" t="s">
        <v>156</v>
      </c>
      <c r="J157" s="113" t="e">
        <v>#N/A</v>
      </c>
      <c r="K157" s="167" t="e">
        <v>#N/A</v>
      </c>
      <c r="L157" s="169" t="e">
        <f t="shared" si="16"/>
        <v>#N/A</v>
      </c>
      <c r="M157" s="168" t="e">
        <f t="shared" si="20"/>
        <v>#N/A</v>
      </c>
      <c r="N157" s="168"/>
      <c r="O157" s="168">
        <f t="shared" si="24"/>
        <v>0</v>
      </c>
      <c r="P157" s="168"/>
      <c r="Q157"/>
      <c r="R157"/>
    </row>
    <row r="158" spans="1:18">
      <c r="A158" s="109">
        <v>167</v>
      </c>
      <c r="B158" s="142" t="s">
        <v>266</v>
      </c>
      <c r="C158" s="142" t="s">
        <v>263</v>
      </c>
      <c r="D158" s="109">
        <v>4</v>
      </c>
      <c r="E158" s="111" t="str">
        <f t="shared" si="23"/>
        <v>L4125100064</v>
      </c>
      <c r="F158" s="112" t="str">
        <f>VLOOKUP(E158,'[9]Danh sách kỳ hạn BV sắp trễ hẹn'!$C$2:$F$5000,4,0)</f>
        <v>ED1</v>
      </c>
      <c r="G158" s="131" t="str">
        <f>VLOOKUP(E158,'[9]Danh sách kỳ hạn BV sắp trễ hẹn'!$C$2:$G$5000,5,0)</f>
        <v>EW1, GP1</v>
      </c>
      <c r="H158" s="131">
        <v>11589</v>
      </c>
      <c r="I158" s="112" t="s">
        <v>156</v>
      </c>
      <c r="J158" s="113" t="e">
        <v>#N/A</v>
      </c>
      <c r="K158" s="167" t="e">
        <v>#N/A</v>
      </c>
      <c r="L158" s="169" t="e">
        <f t="shared" si="16"/>
        <v>#N/A</v>
      </c>
      <c r="M158" s="168" t="e">
        <f t="shared" si="20"/>
        <v>#N/A</v>
      </c>
      <c r="N158" s="168"/>
      <c r="O158" s="168">
        <f t="shared" si="24"/>
        <v>0</v>
      </c>
      <c r="P158" s="168"/>
      <c r="Q158"/>
      <c r="R158"/>
    </row>
    <row r="159" spans="1:18">
      <c r="A159" s="109">
        <v>168</v>
      </c>
      <c r="B159" s="142" t="s">
        <v>267</v>
      </c>
      <c r="C159" s="142" t="s">
        <v>268</v>
      </c>
      <c r="D159" s="149">
        <v>6</v>
      </c>
      <c r="E159" s="111" t="str">
        <f t="shared" si="23"/>
        <v>L4125100076</v>
      </c>
      <c r="F159" s="30" t="s">
        <v>356</v>
      </c>
      <c r="G159" s="111"/>
      <c r="H159" s="131">
        <v>11589</v>
      </c>
      <c r="I159" s="112" t="s">
        <v>156</v>
      </c>
      <c r="J159" s="113">
        <v>1</v>
      </c>
      <c r="K159" s="167">
        <v>2386156</v>
      </c>
      <c r="L159" s="169">
        <f t="shared" si="16"/>
        <v>91.775230769230774</v>
      </c>
      <c r="M159" s="168">
        <f t="shared" si="20"/>
        <v>91.775230769230774</v>
      </c>
      <c r="N159" s="168"/>
      <c r="O159" s="168">
        <f t="shared" si="24"/>
        <v>0</v>
      </c>
      <c r="P159" s="168"/>
      <c r="Q159"/>
      <c r="R159"/>
    </row>
    <row r="160" spans="1:18">
      <c r="A160" s="109">
        <v>169</v>
      </c>
      <c r="B160" s="142" t="s">
        <v>269</v>
      </c>
      <c r="C160" s="142" t="s">
        <v>268</v>
      </c>
      <c r="D160" s="149">
        <v>7</v>
      </c>
      <c r="E160" s="111" t="str">
        <f t="shared" si="23"/>
        <v>L4125100077</v>
      </c>
      <c r="F160" s="30" t="s">
        <v>356</v>
      </c>
      <c r="G160" s="131"/>
      <c r="H160" s="151">
        <v>11444</v>
      </c>
      <c r="I160" s="112" t="s">
        <v>156</v>
      </c>
      <c r="J160" s="113" t="e">
        <v>#N/A</v>
      </c>
      <c r="K160" s="167" t="e">
        <v>#N/A</v>
      </c>
      <c r="L160" s="169" t="e">
        <f t="shared" si="16"/>
        <v>#N/A</v>
      </c>
      <c r="M160" s="168" t="e">
        <f t="shared" si="20"/>
        <v>#N/A</v>
      </c>
      <c r="N160" s="168"/>
      <c r="O160" s="168">
        <f t="shared" si="24"/>
        <v>0</v>
      </c>
      <c r="P160" s="168"/>
      <c r="Q160"/>
      <c r="R160"/>
    </row>
    <row r="161" spans="1:18">
      <c r="A161" s="109">
        <v>170</v>
      </c>
      <c r="B161" s="142" t="s">
        <v>270</v>
      </c>
      <c r="C161" s="142" t="s">
        <v>271</v>
      </c>
      <c r="D161" s="149">
        <v>1</v>
      </c>
      <c r="E161" s="111"/>
      <c r="F161" s="30" t="s">
        <v>356</v>
      </c>
      <c r="G161" s="131"/>
      <c r="H161" s="151">
        <v>11444</v>
      </c>
      <c r="I161" s="112" t="s">
        <v>156</v>
      </c>
      <c r="J161" s="113" t="e">
        <v>#N/A</v>
      </c>
      <c r="K161" s="167" t="e">
        <v>#N/A</v>
      </c>
      <c r="L161" s="169" t="e">
        <f t="shared" si="16"/>
        <v>#N/A</v>
      </c>
      <c r="M161" s="168" t="e">
        <f t="shared" si="20"/>
        <v>#N/A</v>
      </c>
      <c r="N161" s="168"/>
      <c r="O161" s="168">
        <f t="shared" si="24"/>
        <v>0</v>
      </c>
      <c r="P161" s="168"/>
      <c r="Q161"/>
      <c r="R161"/>
    </row>
    <row r="162" spans="1:18">
      <c r="A162" s="109">
        <v>171</v>
      </c>
      <c r="B162" s="142" t="s">
        <v>272</v>
      </c>
      <c r="C162" s="142" t="s">
        <v>271</v>
      </c>
      <c r="D162" s="149">
        <v>2</v>
      </c>
      <c r="E162" s="111"/>
      <c r="F162" s="30" t="s">
        <v>356</v>
      </c>
      <c r="G162" s="131"/>
      <c r="H162" s="151">
        <v>11444</v>
      </c>
      <c r="I162" s="112" t="s">
        <v>156</v>
      </c>
      <c r="J162" s="113" t="e">
        <v>#N/A</v>
      </c>
      <c r="K162" s="167" t="e">
        <v>#N/A</v>
      </c>
      <c r="L162" s="169" t="e">
        <f t="shared" si="16"/>
        <v>#N/A</v>
      </c>
      <c r="M162" s="168" t="e">
        <f t="shared" si="20"/>
        <v>#N/A</v>
      </c>
      <c r="N162" s="168"/>
      <c r="O162" s="168">
        <f t="shared" si="24"/>
        <v>0</v>
      </c>
      <c r="P162" s="168"/>
      <c r="Q162"/>
      <c r="R162"/>
    </row>
    <row r="163" spans="1:18">
      <c r="A163" s="109">
        <v>172</v>
      </c>
      <c r="B163" s="142" t="s">
        <v>273</v>
      </c>
      <c r="C163" s="142" t="s">
        <v>271</v>
      </c>
      <c r="D163" s="149">
        <v>3</v>
      </c>
      <c r="E163" s="111"/>
      <c r="F163" s="30" t="s">
        <v>356</v>
      </c>
      <c r="G163" s="131"/>
      <c r="H163" s="151">
        <v>12290</v>
      </c>
      <c r="I163" s="112" t="s">
        <v>156</v>
      </c>
      <c r="J163" s="113" t="e">
        <v>#N/A</v>
      </c>
      <c r="K163" s="167" t="e">
        <v>#N/A</v>
      </c>
      <c r="L163" s="169" t="e">
        <f t="shared" si="16"/>
        <v>#N/A</v>
      </c>
      <c r="M163" s="168" t="e">
        <f t="shared" si="20"/>
        <v>#N/A</v>
      </c>
      <c r="N163" s="168"/>
      <c r="O163" s="168">
        <f t="shared" si="24"/>
        <v>0</v>
      </c>
      <c r="P163" s="168"/>
      <c r="Q163"/>
      <c r="R163"/>
    </row>
    <row r="164" spans="1:18">
      <c r="A164" s="109">
        <v>173</v>
      </c>
      <c r="B164" s="142" t="s">
        <v>274</v>
      </c>
      <c r="C164" s="142" t="s">
        <v>271</v>
      </c>
      <c r="D164" s="149">
        <v>4</v>
      </c>
      <c r="E164" s="111"/>
      <c r="F164" s="30" t="s">
        <v>356</v>
      </c>
      <c r="G164" s="131"/>
      <c r="H164" s="151">
        <v>12290</v>
      </c>
      <c r="I164" s="112" t="s">
        <v>156</v>
      </c>
      <c r="J164" s="113" t="e">
        <v>#N/A</v>
      </c>
      <c r="K164" s="167" t="e">
        <v>#N/A</v>
      </c>
      <c r="L164" s="169" t="e">
        <f t="shared" si="16"/>
        <v>#N/A</v>
      </c>
      <c r="M164" s="168" t="e">
        <f t="shared" si="20"/>
        <v>#N/A</v>
      </c>
      <c r="N164" s="168"/>
      <c r="O164" s="168">
        <f t="shared" si="24"/>
        <v>0</v>
      </c>
      <c r="P164" s="168"/>
      <c r="Q164"/>
      <c r="R164"/>
    </row>
    <row r="165" spans="1:18">
      <c r="A165" s="109">
        <v>174</v>
      </c>
      <c r="B165" s="544" t="s">
        <v>275</v>
      </c>
      <c r="C165" s="142" t="s">
        <v>271</v>
      </c>
      <c r="D165" s="149">
        <v>5</v>
      </c>
      <c r="E165" s="111"/>
      <c r="F165" s="112" t="s">
        <v>156</v>
      </c>
      <c r="G165" s="131"/>
      <c r="H165" s="151">
        <v>12290</v>
      </c>
      <c r="I165" s="112" t="s">
        <v>156</v>
      </c>
      <c r="J165" s="113" t="e">
        <v>#N/A</v>
      </c>
      <c r="K165" s="167" t="e">
        <v>#N/A</v>
      </c>
      <c r="L165" s="169" t="e">
        <f t="shared" si="16"/>
        <v>#N/A</v>
      </c>
      <c r="M165" s="168" t="e">
        <f t="shared" si="20"/>
        <v>#N/A</v>
      </c>
      <c r="N165" s="168"/>
      <c r="O165" s="168">
        <f t="shared" si="24"/>
        <v>0</v>
      </c>
      <c r="P165" s="168"/>
      <c r="Q165"/>
      <c r="R165"/>
    </row>
    <row r="166" spans="1:18">
      <c r="A166" s="109">
        <v>175</v>
      </c>
      <c r="B166" s="545"/>
      <c r="C166" s="142" t="s">
        <v>271</v>
      </c>
      <c r="D166" s="149">
        <v>6</v>
      </c>
      <c r="E166" s="111"/>
      <c r="F166" s="112" t="s">
        <v>156</v>
      </c>
      <c r="G166" s="131"/>
      <c r="H166" s="151">
        <v>12290</v>
      </c>
      <c r="I166" s="112" t="s">
        <v>156</v>
      </c>
      <c r="J166" s="113" t="e">
        <v>#N/A</v>
      </c>
      <c r="K166" s="167" t="e">
        <v>#N/A</v>
      </c>
      <c r="L166" s="169" t="e">
        <f t="shared" si="16"/>
        <v>#N/A</v>
      </c>
      <c r="M166" s="168" t="e">
        <f t="shared" si="20"/>
        <v>#N/A</v>
      </c>
      <c r="N166" s="168"/>
      <c r="O166" s="168">
        <f t="shared" si="24"/>
        <v>0</v>
      </c>
      <c r="P166" s="168"/>
      <c r="Q166"/>
      <c r="R166"/>
    </row>
    <row r="167" spans="1:18">
      <c r="A167" s="109">
        <v>177</v>
      </c>
      <c r="B167" s="534"/>
      <c r="C167" s="145" t="s">
        <v>276</v>
      </c>
      <c r="D167" s="109">
        <v>2</v>
      </c>
      <c r="E167" s="532"/>
      <c r="F167" s="112" t="s">
        <v>278</v>
      </c>
      <c r="G167" s="131" t="s">
        <v>279</v>
      </c>
      <c r="H167" s="131">
        <v>10202</v>
      </c>
      <c r="I167" s="112"/>
      <c r="J167" s="113" t="e">
        <v>#N/A</v>
      </c>
      <c r="K167" s="167" t="e">
        <v>#N/A</v>
      </c>
      <c r="L167" s="169" t="e">
        <f t="shared" si="16"/>
        <v>#N/A</v>
      </c>
      <c r="M167" s="168" t="e">
        <f t="shared" si="20"/>
        <v>#N/A</v>
      </c>
      <c r="N167" s="168"/>
      <c r="O167" s="168">
        <f t="shared" ref="O167:O168" si="25">N167/26000</f>
        <v>0</v>
      </c>
      <c r="P167" s="168"/>
      <c r="Q167"/>
      <c r="R167"/>
    </row>
    <row r="168" spans="1:18">
      <c r="A168" s="109">
        <v>178</v>
      </c>
      <c r="B168" s="535"/>
      <c r="C168" s="145" t="s">
        <v>276</v>
      </c>
      <c r="D168" s="109">
        <v>3</v>
      </c>
      <c r="E168" s="533"/>
      <c r="F168" s="112" t="s">
        <v>251</v>
      </c>
      <c r="G168" s="131" t="s">
        <v>280</v>
      </c>
      <c r="H168" s="131">
        <v>10202</v>
      </c>
      <c r="I168" s="112"/>
      <c r="J168" s="113" t="e">
        <v>#N/A</v>
      </c>
      <c r="K168" s="167" t="e">
        <v>#N/A</v>
      </c>
      <c r="L168" s="169" t="e">
        <f t="shared" si="16"/>
        <v>#N/A</v>
      </c>
      <c r="M168" s="168" t="e">
        <f t="shared" si="20"/>
        <v>#N/A</v>
      </c>
      <c r="N168" s="168"/>
      <c r="O168" s="168">
        <f t="shared" si="25"/>
        <v>0</v>
      </c>
      <c r="P168" s="168"/>
      <c r="Q168"/>
      <c r="R168"/>
    </row>
    <row r="169" spans="1:18">
      <c r="A169" s="109">
        <v>180</v>
      </c>
      <c r="B169" s="534"/>
      <c r="C169" s="145" t="s">
        <v>276</v>
      </c>
      <c r="D169" s="109">
        <v>5</v>
      </c>
      <c r="E169" s="532"/>
      <c r="F169" s="112" t="s">
        <v>251</v>
      </c>
      <c r="G169" s="131" t="s">
        <v>277</v>
      </c>
      <c r="H169" s="131">
        <v>10202</v>
      </c>
      <c r="I169" s="112"/>
      <c r="J169" s="113" t="e">
        <v>#N/A</v>
      </c>
      <c r="K169" s="167" t="e">
        <v>#N/A</v>
      </c>
      <c r="L169" s="169" t="e">
        <f t="shared" si="16"/>
        <v>#N/A</v>
      </c>
      <c r="M169" s="168" t="e">
        <f t="shared" si="20"/>
        <v>#N/A</v>
      </c>
      <c r="N169" s="168"/>
      <c r="O169" s="168">
        <f>N169/26000</f>
        <v>0</v>
      </c>
      <c r="P169" s="168"/>
      <c r="Q169"/>
      <c r="R169"/>
    </row>
    <row r="170" spans="1:18">
      <c r="A170" s="109">
        <v>181</v>
      </c>
      <c r="B170" s="534"/>
      <c r="C170" s="145" t="s">
        <v>276</v>
      </c>
      <c r="D170" s="109">
        <v>6</v>
      </c>
      <c r="E170" s="532"/>
      <c r="F170" s="112" t="s">
        <v>251</v>
      </c>
      <c r="G170" s="131" t="s">
        <v>277</v>
      </c>
      <c r="H170" s="131">
        <v>10202</v>
      </c>
      <c r="I170" s="112"/>
      <c r="J170" s="113" t="e">
        <v>#N/A</v>
      </c>
      <c r="K170" s="167" t="e">
        <v>#N/A</v>
      </c>
      <c r="L170" s="169" t="e">
        <f t="shared" si="16"/>
        <v>#N/A</v>
      </c>
      <c r="M170" s="168" t="e">
        <f t="shared" si="20"/>
        <v>#N/A</v>
      </c>
      <c r="N170" s="168"/>
      <c r="O170" s="168">
        <f t="shared" ref="O170:O171" si="26">N170/26000</f>
        <v>0</v>
      </c>
      <c r="P170" s="168"/>
      <c r="Q170"/>
      <c r="R170"/>
    </row>
    <row r="171" spans="1:18">
      <c r="A171" s="109">
        <v>182</v>
      </c>
      <c r="B171" s="535"/>
      <c r="C171" s="145" t="s">
        <v>276</v>
      </c>
      <c r="D171" s="109">
        <v>7</v>
      </c>
      <c r="E171" s="533"/>
      <c r="F171" s="112" t="s">
        <v>278</v>
      </c>
      <c r="G171" s="131" t="s">
        <v>281</v>
      </c>
      <c r="H171" s="131">
        <v>10202</v>
      </c>
      <c r="I171" s="112"/>
      <c r="J171" s="113" t="e">
        <v>#N/A</v>
      </c>
      <c r="K171" s="167" t="e">
        <v>#N/A</v>
      </c>
      <c r="L171" s="169" t="e">
        <f t="shared" si="16"/>
        <v>#N/A</v>
      </c>
      <c r="M171" s="168" t="e">
        <f t="shared" si="20"/>
        <v>#N/A</v>
      </c>
      <c r="N171" s="168"/>
      <c r="O171" s="168">
        <f t="shared" si="26"/>
        <v>0</v>
      </c>
      <c r="P171" s="168"/>
      <c r="Q171"/>
      <c r="R171"/>
    </row>
    <row r="172" spans="1:18">
      <c r="A172" s="152"/>
      <c r="B172" s="153"/>
      <c r="D172" s="152"/>
      <c r="E172" s="31"/>
      <c r="F172" s="30"/>
      <c r="G172" s="154"/>
      <c r="H172" s="30"/>
      <c r="I172" s="30"/>
      <c r="J172" s="30"/>
      <c r="K172" s="152"/>
      <c r="L172" s="30"/>
      <c r="M172" s="147"/>
      <c r="N172" s="147"/>
      <c r="O172" s="30"/>
      <c r="P172" s="152"/>
    </row>
    <row r="173" spans="1:18">
      <c r="A173" s="152"/>
      <c r="B173" s="153"/>
      <c r="D173" s="152"/>
      <c r="E173" s="31"/>
      <c r="F173" s="30"/>
      <c r="G173" s="154"/>
      <c r="H173" s="30"/>
      <c r="I173" s="30"/>
      <c r="J173" s="30"/>
      <c r="K173" s="152"/>
      <c r="L173" s="30"/>
      <c r="M173" s="147"/>
      <c r="N173" s="147"/>
      <c r="O173" s="30"/>
      <c r="P173" s="152"/>
      <c r="Q173" s="186"/>
    </row>
    <row r="174" spans="1:18">
      <c r="A174" s="152"/>
      <c r="B174" s="153"/>
      <c r="D174" s="152"/>
      <c r="E174" s="31"/>
      <c r="F174" s="30"/>
      <c r="G174" s="154"/>
      <c r="H174" s="30"/>
      <c r="I174" s="30"/>
      <c r="J174" s="30"/>
      <c r="K174" s="152"/>
      <c r="L174" s="30"/>
      <c r="M174" s="147"/>
      <c r="N174" s="147"/>
      <c r="O174" s="30"/>
      <c r="P174" s="152"/>
    </row>
    <row r="175" spans="1:18">
      <c r="A175" s="152"/>
      <c r="B175" s="153"/>
      <c r="D175" s="152"/>
      <c r="E175" s="31"/>
      <c r="F175" s="30"/>
      <c r="G175" s="154"/>
      <c r="H175" s="30"/>
      <c r="I175" s="30"/>
      <c r="J175" s="30"/>
      <c r="K175" s="152"/>
      <c r="L175" s="30"/>
      <c r="M175" s="147"/>
      <c r="N175" s="147"/>
      <c r="O175" s="30"/>
      <c r="P175" s="152"/>
    </row>
  </sheetData>
  <autoFilter ref="A2:K171" xr:uid="{9B44D639-925A-4170-ADDF-C07E356F08B1}"/>
  <mergeCells count="43">
    <mergeCell ref="A1:I1"/>
    <mergeCell ref="B141:B142"/>
    <mergeCell ref="B3:B5"/>
    <mergeCell ref="B6:B7"/>
    <mergeCell ref="B27:B29"/>
    <mergeCell ref="B40:B41"/>
    <mergeCell ref="B43:B44"/>
    <mergeCell ref="B54:B55"/>
    <mergeCell ref="B58:B59"/>
    <mergeCell ref="B68:B69"/>
    <mergeCell ref="B72:B73"/>
    <mergeCell ref="B76:B77"/>
    <mergeCell ref="B78:B81"/>
    <mergeCell ref="B85:B92"/>
    <mergeCell ref="E121:E122"/>
    <mergeCell ref="E126:E128"/>
    <mergeCell ref="B167:B168"/>
    <mergeCell ref="B105:B108"/>
    <mergeCell ref="B121:B122"/>
    <mergeCell ref="B126:B128"/>
    <mergeCell ref="B136:B137"/>
    <mergeCell ref="B114:B115"/>
    <mergeCell ref="E149:E150"/>
    <mergeCell ref="E151:E152"/>
    <mergeCell ref="B149:B150"/>
    <mergeCell ref="B151:B152"/>
    <mergeCell ref="B165:B166"/>
    <mergeCell ref="E167:E168"/>
    <mergeCell ref="E169:E171"/>
    <mergeCell ref="B169:B171"/>
    <mergeCell ref="E3:E5"/>
    <mergeCell ref="E6:E7"/>
    <mergeCell ref="E43:E44"/>
    <mergeCell ref="B49:B51"/>
    <mergeCell ref="E49:E51"/>
    <mergeCell ref="E68:E69"/>
    <mergeCell ref="E72:E73"/>
    <mergeCell ref="E76:E77"/>
    <mergeCell ref="E78:E81"/>
    <mergeCell ref="E85:E92"/>
    <mergeCell ref="E105:E108"/>
    <mergeCell ref="B146:B147"/>
    <mergeCell ref="E146:E147"/>
  </mergeCells>
  <phoneticPr fontId="24"/>
  <conditionalFormatting sqref="B54">
    <cfRule type="expression" dxfId="5" priority="6">
      <formula>#REF!="OK"</formula>
    </cfRule>
  </conditionalFormatting>
  <conditionalFormatting sqref="B60">
    <cfRule type="expression" dxfId="4" priority="5">
      <formula>#REF!="OK"</formula>
    </cfRule>
  </conditionalFormatting>
  <conditionalFormatting sqref="B112:B114">
    <cfRule type="expression" dxfId="3" priority="4">
      <formula>#REF!="OK"</formula>
    </cfRule>
  </conditionalFormatting>
  <conditionalFormatting sqref="B123:B126 B129:B130">
    <cfRule type="expression" dxfId="2" priority="3">
      <formula>#REF!="OK"</formula>
    </cfRule>
  </conditionalFormatting>
  <conditionalFormatting sqref="B134:B136 B138:B139">
    <cfRule type="expression" dxfId="1" priority="2">
      <formula>#REF!="OK"</formula>
    </cfRule>
  </conditionalFormatting>
  <conditionalFormatting sqref="B155:B165">
    <cfRule type="expression" dxfId="0" priority="1">
      <formula>#REF!="OK"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Quản lý MT năm</vt:lpstr>
      <vt:lpstr>So sánh MT 2025</vt:lpstr>
      <vt:lpstr>1.Nội tác linh kiện tòn kho </vt:lpstr>
      <vt:lpstr>2.Nội tác LK thành hình</vt:lpstr>
      <vt:lpstr>3.Nội tác LK khuôn dập</vt:lpstr>
      <vt:lpstr>THỰC TẾ GIA CÔNG </vt:lpstr>
      <vt:lpstr>BV CẦN GIA CÔNG TRONG THÁNG </vt:lpstr>
      <vt:lpstr>Thực sách mục tiêu</vt:lpstr>
      <vt:lpstr>S.NO cần chế tạo ĐC &amp; ĐG</vt:lpstr>
      <vt:lpstr>Gía gia công CK hiện tại</vt:lpstr>
      <vt:lpstr>Gía gia công điện cực</vt:lpstr>
      <vt:lpstr>Tiền điện cực TB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10202 Vu</dc:creator>
  <cp:lastModifiedBy>VDM/HOANG LE PHUOC</cp:lastModifiedBy>
  <dcterms:created xsi:type="dcterms:W3CDTF">2026-03-13T02:18:45Z</dcterms:created>
  <dcterms:modified xsi:type="dcterms:W3CDTF">2026-06-04T06:21:11Z</dcterms:modified>
</cp:coreProperties>
</file>