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e_cokhi\Bao_Cao_Tu_Dong_PPTX_New\Excel\"/>
    </mc:Choice>
  </mc:AlternateContent>
  <xr:revisionPtr revIDLastSave="0" documentId="13_ncr:1_{1C0035CF-84E8-4215-A19C-F6CB161C258E}" xr6:coauthVersionLast="47" xr6:coauthVersionMax="47" xr10:uidLastSave="{00000000-0000-0000-0000-000000000000}"/>
  <bookViews>
    <workbookView xWindow="22932" yWindow="-1584" windowWidth="23256" windowHeight="13896" xr2:uid="{BDE846C5-E219-4DBF-9831-BDDBF6BB9F56}"/>
  </bookViews>
  <sheets>
    <sheet name="KhongNguoi" sheetId="1" r:id="rId1"/>
    <sheet name="Sheet2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7" i="1" l="1"/>
  <c r="O10" i="1"/>
  <c r="R10" i="1"/>
  <c r="S10" i="1"/>
  <c r="T10" i="1"/>
  <c r="U10" i="1"/>
  <c r="V10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AK10" i="1"/>
  <c r="AL10" i="1"/>
  <c r="AM10" i="1"/>
  <c r="AN10" i="1"/>
  <c r="AO10" i="1"/>
  <c r="AP10" i="1"/>
  <c r="AQ10" i="1"/>
  <c r="AR10" i="1"/>
  <c r="AS10" i="1"/>
  <c r="N10" i="1"/>
  <c r="O9" i="1"/>
  <c r="R9" i="1"/>
  <c r="S9" i="1"/>
  <c r="T9" i="1"/>
  <c r="U9" i="1"/>
  <c r="V9" i="1"/>
  <c r="Y9" i="1"/>
  <c r="Z9" i="1"/>
  <c r="AA9" i="1"/>
  <c r="AB9" i="1"/>
  <c r="AC9" i="1"/>
  <c r="AD9" i="1"/>
  <c r="AE9" i="1"/>
  <c r="AF9" i="1"/>
  <c r="AG9" i="1"/>
  <c r="AH9" i="1"/>
  <c r="AI9" i="1"/>
  <c r="AJ9" i="1"/>
  <c r="AK9" i="1"/>
  <c r="AL9" i="1"/>
  <c r="AM9" i="1"/>
  <c r="AN9" i="1"/>
  <c r="AO9" i="1"/>
  <c r="AP9" i="1"/>
  <c r="AQ9" i="1"/>
  <c r="AR9" i="1"/>
  <c r="AS9" i="1"/>
  <c r="N9" i="1"/>
  <c r="O8" i="1"/>
  <c r="R8" i="1"/>
  <c r="S8" i="1"/>
  <c r="T8" i="1"/>
  <c r="U8" i="1"/>
  <c r="V8" i="1"/>
  <c r="Y8" i="1"/>
  <c r="Z8" i="1"/>
  <c r="AA8" i="1"/>
  <c r="AB8" i="1"/>
  <c r="AC8" i="1"/>
  <c r="AD8" i="1"/>
  <c r="AE8" i="1"/>
  <c r="AF8" i="1"/>
  <c r="AG8" i="1"/>
  <c r="AH8" i="1"/>
  <c r="AI8" i="1"/>
  <c r="AJ8" i="1"/>
  <c r="AK8" i="1"/>
  <c r="AL8" i="1"/>
  <c r="AM8" i="1"/>
  <c r="AN8" i="1"/>
  <c r="AO8" i="1"/>
  <c r="AP8" i="1"/>
  <c r="AQ8" i="1"/>
  <c r="AR8" i="1"/>
  <c r="AS8" i="1"/>
  <c r="N8" i="1"/>
  <c r="O7" i="1"/>
  <c r="R7" i="1"/>
  <c r="S7" i="1"/>
  <c r="T7" i="1"/>
  <c r="U7" i="1"/>
  <c r="V7" i="1"/>
  <c r="Y7" i="1"/>
  <c r="Z7" i="1"/>
  <c r="AA7" i="1"/>
  <c r="AB7" i="1"/>
  <c r="AC7" i="1"/>
  <c r="AD7" i="1"/>
  <c r="AE7" i="1"/>
  <c r="AF7" i="1"/>
  <c r="AG7" i="1"/>
  <c r="AH7" i="1"/>
  <c r="AI7" i="1"/>
  <c r="AJ7" i="1"/>
  <c r="AK7" i="1"/>
  <c r="AL7" i="1"/>
  <c r="AM7" i="1"/>
  <c r="AN7" i="1"/>
  <c r="AO7" i="1"/>
  <c r="AP7" i="1"/>
  <c r="AQ7" i="1"/>
  <c r="AR7" i="1"/>
  <c r="AS7" i="1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89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25" i="2"/>
  <c r="D14" i="2"/>
  <c r="D15" i="2"/>
  <c r="D16" i="2"/>
  <c r="D17" i="2"/>
  <c r="D18" i="2"/>
  <c r="D19" i="2"/>
  <c r="D20" i="2"/>
  <c r="D21" i="2"/>
  <c r="D22" i="2"/>
  <c r="D23" i="2"/>
  <c r="D24" i="2"/>
  <c r="F14" i="1" a="1"/>
  <c r="F14" i="1" s="1"/>
  <c r="G14" i="1" a="1"/>
  <c r="G14" i="1" s="1"/>
  <c r="H14" i="1" a="1"/>
  <c r="H14" i="1" s="1"/>
  <c r="I14" i="1" a="1"/>
  <c r="I14" i="1" s="1"/>
  <c r="J14" i="1" a="1"/>
  <c r="J14" i="1" s="1"/>
  <c r="K14" i="1" a="1"/>
  <c r="K14" i="1" s="1"/>
  <c r="L14" i="1" a="1"/>
  <c r="L14" i="1" s="1"/>
  <c r="M14" i="1" a="1"/>
  <c r="M14" i="1" s="1"/>
  <c r="D4" i="2"/>
  <c r="D5" i="2"/>
  <c r="D6" i="2"/>
  <c r="D7" i="2"/>
  <c r="D8" i="2"/>
  <c r="D9" i="2"/>
  <c r="D10" i="2"/>
  <c r="D11" i="2"/>
  <c r="D12" i="2"/>
  <c r="D13" i="2"/>
  <c r="D3" i="2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AK19" i="1"/>
  <c r="AL19" i="1"/>
  <c r="AM19" i="1"/>
  <c r="AN19" i="1"/>
  <c r="AO19" i="1"/>
  <c r="AP19" i="1"/>
  <c r="AQ19" i="1"/>
  <c r="AR19" i="1"/>
  <c r="AS19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AJ20" i="1"/>
  <c r="AK20" i="1"/>
  <c r="AL20" i="1"/>
  <c r="AM20" i="1"/>
  <c r="AN20" i="1"/>
  <c r="AO20" i="1"/>
  <c r="AP20" i="1"/>
  <c r="AQ20" i="1"/>
  <c r="AR20" i="1"/>
  <c r="AS20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AI21" i="1"/>
  <c r="AJ21" i="1"/>
  <c r="AK21" i="1"/>
  <c r="AL21" i="1"/>
  <c r="AM21" i="1"/>
  <c r="AN21" i="1"/>
  <c r="AO21" i="1"/>
  <c r="AP21" i="1"/>
  <c r="AQ21" i="1"/>
  <c r="AR21" i="1"/>
  <c r="AS21" i="1"/>
  <c r="N20" i="1"/>
  <c r="N21" i="1"/>
  <c r="N19" i="1"/>
  <c r="N13" i="1" l="1"/>
  <c r="AS13" i="1"/>
  <c r="AR13" i="1"/>
  <c r="AQ13" i="1"/>
  <c r="AP13" i="1"/>
  <c r="AO13" i="1"/>
  <c r="AN13" i="1"/>
  <c r="AM13" i="1"/>
  <c r="AL13" i="1"/>
  <c r="AK13" i="1"/>
  <c r="AJ13" i="1"/>
  <c r="AI13" i="1"/>
  <c r="AH13" i="1"/>
  <c r="AG13" i="1"/>
  <c r="AF13" i="1"/>
  <c r="AE13" i="1"/>
  <c r="AD13" i="1"/>
  <c r="AC13" i="1"/>
  <c r="AB13" i="1"/>
  <c r="AA13" i="1"/>
  <c r="Z13" i="1"/>
  <c r="Y13" i="1"/>
  <c r="V13" i="1"/>
  <c r="U13" i="1"/>
  <c r="T13" i="1"/>
  <c r="S13" i="1"/>
  <c r="R13" i="1"/>
  <c r="O13" i="1"/>
  <c r="N11" i="1"/>
  <c r="N12" i="1"/>
  <c r="AS12" i="1"/>
  <c r="AR12" i="1"/>
  <c r="AQ12" i="1"/>
  <c r="AP12" i="1"/>
  <c r="AO12" i="1"/>
  <c r="AN12" i="1"/>
  <c r="AM12" i="1"/>
  <c r="AL12" i="1"/>
  <c r="AK12" i="1"/>
  <c r="AJ12" i="1"/>
  <c r="AI12" i="1"/>
  <c r="AH12" i="1"/>
  <c r="AG12" i="1"/>
  <c r="AF12" i="1"/>
  <c r="AE12" i="1"/>
  <c r="AD12" i="1"/>
  <c r="AC12" i="1"/>
  <c r="AB12" i="1"/>
  <c r="AA12" i="1"/>
  <c r="Z12" i="1"/>
  <c r="Y12" i="1"/>
  <c r="V12" i="1"/>
  <c r="U12" i="1"/>
  <c r="T12" i="1"/>
  <c r="S12" i="1"/>
  <c r="R12" i="1"/>
  <c r="O12" i="1"/>
  <c r="AS11" i="1"/>
  <c r="AR11" i="1"/>
  <c r="AQ11" i="1"/>
  <c r="AP11" i="1"/>
  <c r="AO11" i="1"/>
  <c r="AN11" i="1"/>
  <c r="AM11" i="1"/>
  <c r="AL11" i="1"/>
  <c r="AK11" i="1"/>
  <c r="AJ11" i="1"/>
  <c r="AI11" i="1"/>
  <c r="AH11" i="1"/>
  <c r="AG11" i="1"/>
  <c r="AF11" i="1"/>
  <c r="AE11" i="1"/>
  <c r="AD11" i="1"/>
  <c r="AC11" i="1"/>
  <c r="AB11" i="1"/>
  <c r="AA11" i="1"/>
  <c r="Z11" i="1"/>
  <c r="Y11" i="1"/>
  <c r="V11" i="1"/>
  <c r="U11" i="1"/>
  <c r="T11" i="1"/>
  <c r="S11" i="1"/>
  <c r="R11" i="1"/>
  <c r="O1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<sst xmlns="http://schemas.openxmlformats.org/spreadsheetml/2006/main" count="1110" uniqueCount="645">
  <si>
    <t>Ngày làm việc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</si>
  <si>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</si>
  <si>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</si>
  <si>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</si>
  <si>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</si>
  <si>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</si>
  <si>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</si>
  <si>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</si>
  <si>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</si>
  <si>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</si>
  <si>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</si>
  <si>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</si>
  <si>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</si>
  <si>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Làm việc? 1=Yes, 0=No</t>
  </si>
  <si>
    <t>Mục tiêu tổng TGGC của 1 ngày (phút)</t>
  </si>
  <si>
    <t>Thực tích tổng TGGC của 1 ngày (phút)</t>
  </si>
  <si>
    <t>Mục tiêu TGGC không người:  Ăn cơm (phút)</t>
  </si>
  <si>
    <t>Thực tích TGGC không người:  Ăn cơm (phút)</t>
  </si>
  <si>
    <t>Thực tích TGGC không người: Giờ làm việc chính thức (phút)</t>
  </si>
  <si>
    <t>Thực tích TGGC không người: Sau 22h30 (phút)</t>
  </si>
  <si>
    <t>Mục tiêu TGGC không người: Sau 22h30 (phút)</t>
  </si>
  <si>
    <t>Mục tiêu TGGC không người: Giờ làm việc chính thức (phút)</t>
  </si>
  <si>
    <t>Mục tiêu TGGC không người: Giờ làm việc chính thức (%)</t>
  </si>
  <si>
    <t>Mục tiêu TGGC không người:  Ăn cơm (%)</t>
  </si>
  <si>
    <t>Mục tiêu TGGC không người: Sau 22h30 (%)</t>
  </si>
  <si>
    <t>Thực tích TGGC không người: Sau 22h30 (%)</t>
  </si>
  <si>
    <t>Thực tích TGGC không người: Giờ làm việc chính thức (%)</t>
  </si>
  <si>
    <t>Mục tiêu hoạt động máy không người (%/Tháng)</t>
  </si>
  <si>
    <t>Thực tích hoạt động máy không người (%/Tháng)</t>
  </si>
  <si>
    <t>Mục tiêu hoạt động máy không người (%/Ngày)</t>
  </si>
  <si>
    <t>B</t>
  </si>
  <si>
    <t>C</t>
  </si>
  <si>
    <t>D</t>
  </si>
  <si>
    <t>E</t>
  </si>
  <si>
    <t>F</t>
  </si>
  <si>
    <t>G</t>
  </si>
  <si>
    <t>I</t>
  </si>
  <si>
    <t>J</t>
  </si>
  <si>
    <t>K</t>
  </si>
  <si>
    <t>L</t>
  </si>
  <si>
    <t>M</t>
  </si>
  <si>
    <t>IFERROR(SUM($N$16:AS$16/$N$15:$AS15*100),"")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</si>
  <si>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</si>
  <si>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</si>
  <si>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</si>
  <si>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</si>
  <si>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</si>
  <si>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</si>
  <si>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</si>
  <si>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</si>
  <si>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</si>
  <si>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</si>
  <si>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</si>
  <si>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</si>
  <si>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</si>
  <si>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AA</t>
  </si>
  <si>
    <t>AB</t>
  </si>
  <si>
    <t>AC</t>
  </si>
  <si>
    <t>AD</t>
  </si>
  <si>
    <t>AE</t>
  </si>
  <si>
    <t>AF</t>
  </si>
  <si>
    <t>AG</t>
  </si>
  <si>
    <t>AH</t>
  </si>
  <si>
    <t>AI</t>
  </si>
  <si>
    <t>AJ</t>
  </si>
  <si>
    <t>AK</t>
  </si>
  <si>
    <t>AL</t>
  </si>
  <si>
    <t>AM</t>
  </si>
  <si>
    <t>AN</t>
  </si>
  <si>
    <t>AO</t>
  </si>
  <si>
    <t>AP</t>
  </si>
  <si>
    <t>AQ</t>
  </si>
  <si>
    <t>AR</t>
  </si>
  <si>
    <t>AS</t>
  </si>
  <si>
    <t>IFERROR(N8/N$7*100,"")</t>
  </si>
  <si>
    <t>IFERROR(O8/O$7*100,"")</t>
  </si>
  <si>
    <t>IFERROR(P8/P$7*100,"")</t>
  </si>
  <si>
    <t>IFERROR(Q8/Q$7*100,"")</t>
  </si>
  <si>
    <t>IFERROR(R8/R$7*100,"")</t>
  </si>
  <si>
    <t>IFERROR(S8/S$7*100,"")</t>
  </si>
  <si>
    <t>IFERROR(W8/W$7*100,"")</t>
  </si>
  <si>
    <t>IFERROR(X8/X$7*100,"")</t>
  </si>
  <si>
    <t>IFERROR(Y8/Y$7*100,"")</t>
  </si>
  <si>
    <t>IFERROR(Z8/Z$7*100,"")</t>
  </si>
  <si>
    <t>IFERROR(AA8/AA$7*100,"")</t>
  </si>
  <si>
    <t>IFERROR(T8/T$7*100,"")</t>
  </si>
  <si>
    <t>IFERROR(U8/U$7*100,"")</t>
  </si>
  <si>
    <t>IFERROR(V8/V$7*100,"")</t>
  </si>
  <si>
    <t>IFERROR(AB8/AB$7*100,"")</t>
  </si>
  <si>
    <t>IFERROR(AC8/AC$7*100,"")</t>
  </si>
  <si>
    <t>IFERROR(AD8/AD$7*100,"")</t>
  </si>
  <si>
    <t>IFERROR(AE8/AE$7*100,"")</t>
  </si>
  <si>
    <t>IFERROR(AF8/AF$7*100,"")</t>
  </si>
  <si>
    <t>IFERROR(AG8/AG$7*100,"")</t>
  </si>
  <si>
    <t>IFERROR(AH8/AH$7*100,"")</t>
  </si>
  <si>
    <t>IFERROR(AI8/AI$7*100,"")</t>
  </si>
  <si>
    <t>IFERROR(AJ8/AJ$7*100,"")</t>
  </si>
  <si>
    <t>IFERROR(AK8/AK$7*100,"")</t>
  </si>
  <si>
    <t>IFERROR(AL8/AL$7*100,"")</t>
  </si>
  <si>
    <t>IFERROR(AM8/AM$7*100,"")</t>
  </si>
  <si>
    <t>IFERROR(AN8/AN$7*100,"")</t>
  </si>
  <si>
    <t>IFERROR(AO8/AO$7*100,"")</t>
  </si>
  <si>
    <t>IFERROR(AP8/AP$7*100,"")</t>
  </si>
  <si>
    <t>IFERROR(AQ8/AQ$7*100,"")</t>
  </si>
  <si>
    <t>IFERROR(AR8/AR$7*100,"")</t>
  </si>
  <si>
    <t>IFERROR(AS8/AS$7*100,"")</t>
  </si>
  <si>
    <t>IFERROR(N9/N$7*100,"")</t>
  </si>
  <si>
    <t>IFERROR(O9/O$7*100,"")</t>
  </si>
  <si>
    <t>IFERROR(P9/P$7*100,"")</t>
  </si>
  <si>
    <t>IFERROR(Q9/Q$7*100,"")</t>
  </si>
  <si>
    <t>IFERROR(R9/R$7*100,"")</t>
  </si>
  <si>
    <t>IFERROR(S9/S$7*100,"")</t>
  </si>
  <si>
    <t>IFERROR(T9/T$7*100,"")</t>
  </si>
  <si>
    <t>IFERROR(U9/U$7*100,"")</t>
  </si>
  <si>
    <t>IFERROR(V9/V$7*100,"")</t>
  </si>
  <si>
    <t>IFERROR(W9/W$7*100,"")</t>
  </si>
  <si>
    <t>IFERROR(X9/X$7*100,"")</t>
  </si>
  <si>
    <t>IFERROR(Y9/Y$7*100,"")</t>
  </si>
  <si>
    <t>IFERROR(Z9/Z$7*100,"")</t>
  </si>
  <si>
    <t>IFERROR(AA9/AA$7*100,"")</t>
  </si>
  <si>
    <t>IFERROR(AB9/AB$7*100,"")</t>
  </si>
  <si>
    <t>IFERROR(AC9/AC$7*100,"")</t>
  </si>
  <si>
    <t>IFERROR(AD9/AD$7*100,"")</t>
  </si>
  <si>
    <t>IFERROR(AE9/AE$7*100,"")</t>
  </si>
  <si>
    <t>IFERROR(AF9/AF$7*100,"")</t>
  </si>
  <si>
    <t>IFERROR(AG9/AG$7*100,"")</t>
  </si>
  <si>
    <t>IFERROR(AH9/AH$7*100,"")</t>
  </si>
  <si>
    <t>IFERROR(AI9/AI$7*100,"")</t>
  </si>
  <si>
    <t>IFERROR(AJ9/AJ$7*100,"")</t>
  </si>
  <si>
    <t>IFERROR(AK9/AK$7*100,"")</t>
  </si>
  <si>
    <t>IFERROR(AL9/AL$7*100,"")</t>
  </si>
  <si>
    <t>IFERROR(AM9/AM$7*100,"")</t>
  </si>
  <si>
    <t>IFERROR(AN9/AN$7*100,"")</t>
  </si>
  <si>
    <t>IFERROR(AO9/AO$7*100,"")</t>
  </si>
  <si>
    <t>IFERROR(AP9/AP$7*100,"")</t>
  </si>
  <si>
    <t>IFERROR(AQ9/AQ$7*100,"")</t>
  </si>
  <si>
    <t>IFERROR(AR9/AR$7*100,"")</t>
  </si>
  <si>
    <t>IFERROR(AS9/AS$7*100,"")</t>
  </si>
  <si>
    <t>IFERROR(N10/N$7*100,"")</t>
  </si>
  <si>
    <t>IFERROR(O10/O$7*100,"")</t>
  </si>
  <si>
    <t>IFERROR(P10/P$7*100,"")</t>
  </si>
  <si>
    <t>IFERROR(Q10/Q$7*100,"")</t>
  </si>
  <si>
    <t>IFERROR(R10/R$7*100,"")</t>
  </si>
  <si>
    <t>IFERROR(S10/S$7*100,"")</t>
  </si>
  <si>
    <t>IFERROR(T10/T$7*100,"")</t>
  </si>
  <si>
    <t>IFERROR(U10/U$7*100,"")</t>
  </si>
  <si>
    <t>IFERROR(V10/V$7*100,"")</t>
  </si>
  <si>
    <t>IFERROR(W10/W$7*100,"")</t>
  </si>
  <si>
    <t>IFERROR(X10/X$7*100,"")</t>
  </si>
  <si>
    <t>IFERROR(Y10/Y$7*100,"")</t>
  </si>
  <si>
    <t>IFERROR(Z10/Z$7*100,"")</t>
  </si>
  <si>
    <t>IFERROR(AA10/AA$7*100,"")</t>
  </si>
  <si>
    <t>IFERROR(AB10/AB$7*100,"")</t>
  </si>
  <si>
    <t>IFERROR(AC10/AC$7*100,"")</t>
  </si>
  <si>
    <t>IFERROR(AD10/AD$7*100,"")</t>
  </si>
  <si>
    <t>IFERROR(AE10/AE$7*100,"")</t>
  </si>
  <si>
    <t>IFERROR(AF10/AF$7*100,"")</t>
  </si>
  <si>
    <t>IFERROR(AG10/AG$7*100,"")</t>
  </si>
  <si>
    <t>IFERROR(AH10/AH$7*100,"")</t>
  </si>
  <si>
    <t>IFERROR(AI10/AI$7*100,"")</t>
  </si>
  <si>
    <t>IFERROR(AJ10/AJ$7*100,"")</t>
  </si>
  <si>
    <t>IFERROR(AK10/AK$7*100,"")</t>
  </si>
  <si>
    <t>IFERROR(AL10/AL$7*100,"")</t>
  </si>
  <si>
    <t>IFERROR(AM10/AM$7*100,"")</t>
  </si>
  <si>
    <t>IFERROR(AN10/AN$7*100,"")</t>
  </si>
  <si>
    <t>IFERROR(AO10/AO$7*100,"")</t>
  </si>
  <si>
    <t>IFERROR(AP10/AP$7*100,"")</t>
  </si>
  <si>
    <t>IFERROR(AQ10/AQ$7*100,"")</t>
  </si>
  <si>
    <t>IFERROR(AR10/AR$7*100,"")</t>
  </si>
  <si>
    <t>IFERROR(AS10/AS$7*100,"")</t>
  </si>
  <si>
    <t>IFERROR(N16/N$15*100,"")</t>
  </si>
  <si>
    <t>IFERROR(O16/O$15*100,"")</t>
  </si>
  <si>
    <t>IFERROR(P16/P$15*100,"")</t>
  </si>
  <si>
    <t>IFERROR(Q16/Q$15*100,"")</t>
  </si>
  <si>
    <t>IFERROR(R16/R$15*100,"")</t>
  </si>
  <si>
    <t>IFERROR(S16/S$15*100,"")</t>
  </si>
  <si>
    <t>IFERROR(T16/T$15*100,"")</t>
  </si>
  <si>
    <t>IFERROR(U16/U$15*100,"")</t>
  </si>
  <si>
    <t>IFERROR(V16/V$15*100,"")</t>
  </si>
  <si>
    <t>IFERROR(W16/W$15*100,"")</t>
  </si>
  <si>
    <t>IFERROR(X16/X$15*100,"")</t>
  </si>
  <si>
    <t>IFERROR(Y16/Y$15*100,"")</t>
  </si>
  <si>
    <t>IFERROR(Z16/Z$15*100,"")</t>
  </si>
  <si>
    <t>IFERROR(AA16/AA$15*100,"")</t>
  </si>
  <si>
    <t>IFERROR(AB16/AB$15*100,"")</t>
  </si>
  <si>
    <t>IFERROR(AC16/AC$15*100,"")</t>
  </si>
  <si>
    <t>IFERROR(AD16/AD$15*100,"")</t>
  </si>
  <si>
    <t>IFERROR(AE16/AE$15*100,"")</t>
  </si>
  <si>
    <t>IFERROR(AF16/AF$15*100,"")</t>
  </si>
  <si>
    <t>IFERROR(AG16/AG$15*100,"")</t>
  </si>
  <si>
    <t>IFERROR(AH16/AH$15*100,"")</t>
  </si>
  <si>
    <t>IFERROR(AI16/AI$15*100,"")</t>
  </si>
  <si>
    <t>IFERROR(AJ16/AJ$15*100,"")</t>
  </si>
  <si>
    <t>IFERROR(AK16/AK$15*100,"")</t>
  </si>
  <si>
    <t>IFERROR(AL16/AL$15*100,"")</t>
  </si>
  <si>
    <t>IFERROR(AM16/AM$15*100,"")</t>
  </si>
  <si>
    <t>IFERROR(AN16/AN$15*100,"")</t>
  </si>
  <si>
    <t>IFERROR(AO16/AO$15*100,"")</t>
  </si>
  <si>
    <t>IFERROR(AP16/AP$15*100,"")</t>
  </si>
  <si>
    <t>IFERROR(AQ16/AQ$15*100,"")</t>
  </si>
  <si>
    <t>IFERROR(AR16/AR$15*100,"")</t>
  </si>
  <si>
    <t>IFERROR(AS16/AS$15*100,"")</t>
  </si>
  <si>
    <t>IFERROR(N17/N$15*100,"")</t>
  </si>
  <si>
    <t>IFERROR(O17/O$15*100,"")</t>
  </si>
  <si>
    <t>IFERROR(P17/P$15*100,"")</t>
  </si>
  <si>
    <t>IFERROR(Q17/Q$15*100,"")</t>
  </si>
  <si>
    <t>IFERROR(R17/R$15*100,"")</t>
  </si>
  <si>
    <t>IFERROR(S17/S$15*100,"")</t>
  </si>
  <si>
    <t>IFERROR(T17/T$15*100,"")</t>
  </si>
  <si>
    <t>IFERROR(U17/U$15*100,"")</t>
  </si>
  <si>
    <t>IFERROR(V17/V$15*100,"")</t>
  </si>
  <si>
    <t>IFERROR(W17/W$15*100,"")</t>
  </si>
  <si>
    <t>IFERROR(X17/X$15*100,"")</t>
  </si>
  <si>
    <t>IFERROR(Y17/Y$15*100,"")</t>
  </si>
  <si>
    <t>IFERROR(Z17/Z$15*100,"")</t>
  </si>
  <si>
    <t>IFERROR(AA17/AA$15*100,"")</t>
  </si>
  <si>
    <t>IFERROR(AB17/AB$15*100,"")</t>
  </si>
  <si>
    <t>IFERROR(AC17/AC$15*100,"")</t>
  </si>
  <si>
    <t>IFERROR(AD17/AD$15*100,"")</t>
  </si>
  <si>
    <t>IFERROR(AE17/AE$15*100,"")</t>
  </si>
  <si>
    <t>IFERROR(AF17/AF$15*100,"")</t>
  </si>
  <si>
    <t>IFERROR(AG17/AG$15*100,"")</t>
  </si>
  <si>
    <t>IFERROR(AH17/AH$15*100,"")</t>
  </si>
  <si>
    <t>IFERROR(AI17/AI$15*100,"")</t>
  </si>
  <si>
    <t>IFERROR(AJ17/AJ$15*100,"")</t>
  </si>
  <si>
    <t>IFERROR(AK17/AK$15*100,"")</t>
  </si>
  <si>
    <t>IFERROR(AL17/AL$15*100,"")</t>
  </si>
  <si>
    <t>IFERROR(AM17/AM$15*100,"")</t>
  </si>
  <si>
    <t>IFERROR(AN17/AN$15*100,"")</t>
  </si>
  <si>
    <t>IFERROR(AO17/AO$15*100,"")</t>
  </si>
  <si>
    <t>IFERROR(AP17/AP$15*100,"")</t>
  </si>
  <si>
    <t>IFERROR(AQ17/AQ$15*100,"")</t>
  </si>
  <si>
    <t>IFERROR(AR17/AR$15*100,"")</t>
  </si>
  <si>
    <t>IFERROR(AS17/AS$15*100,"")</t>
  </si>
  <si>
    <t>IFERROR(N18/N$15*100,"")</t>
  </si>
  <si>
    <t>IFERROR(O18/O$15*100,"")</t>
  </si>
  <si>
    <t>IFERROR(P18/P$15*100,"")</t>
  </si>
  <si>
    <t>IFERROR(Q18/Q$15*100,"")</t>
  </si>
  <si>
    <t>IFERROR(R18/R$15*100,"")</t>
  </si>
  <si>
    <t>IFERROR(S18/S$15*100,"")</t>
  </si>
  <si>
    <t>IFERROR(T18/T$15*100,"")</t>
  </si>
  <si>
    <t>IFERROR(U18/U$15*100,"")</t>
  </si>
  <si>
    <t>IFERROR(V18/V$15*100,"")</t>
  </si>
  <si>
    <t>IFERROR(W18/W$15*100,"")</t>
  </si>
  <si>
    <t>IFERROR(X18/X$15*100,"")</t>
  </si>
  <si>
    <t>IFERROR(Y18/Y$15*100,"")</t>
  </si>
  <si>
    <t>IFERROR(Z18/Z$15*100,"")</t>
  </si>
  <si>
    <t>IFERROR(AA18/AA$15*100,"")</t>
  </si>
  <si>
    <t>IFERROR(AB18/AB$15*100,"")</t>
  </si>
  <si>
    <t>IFERROR(AC18/AC$15*100,"")</t>
  </si>
  <si>
    <t>IFERROR(AD18/AD$15*100,"")</t>
  </si>
  <si>
    <t>IFERROR(AE18/AE$15*100,"")</t>
  </si>
  <si>
    <t>IFERROR(AF18/AF$15*100,"")</t>
  </si>
  <si>
    <t>IFERROR(AG18/AG$15*100,"")</t>
  </si>
  <si>
    <t>IFERROR(AH18/AH$15*100,"")</t>
  </si>
  <si>
    <t>IFERROR(AI18/AI$15*100,"")</t>
  </si>
  <si>
    <t>IFERROR(AJ18/AJ$15*100,"")</t>
  </si>
  <si>
    <t>IFERROR(AK18/AK$15*100,"")</t>
  </si>
  <si>
    <t>IFERROR(AL18/AL$15*100,"")</t>
  </si>
  <si>
    <t>IFERROR(AM18/AM$15*100,"")</t>
  </si>
  <si>
    <t>IFERROR(AN18/AN$15*100,"")</t>
  </si>
  <si>
    <t>IFERROR(AO18/AO$15*100,"")</t>
  </si>
  <si>
    <t>IFERROR(AP18/AP$15*100,"")</t>
  </si>
  <si>
    <t>IFERROR(AQ18/AQ$15*100,"")</t>
  </si>
  <si>
    <t>IFERROR(AR18/AR$15*100,"")</t>
  </si>
  <si>
    <t>IFERROR(AS18/AS$15*100,"")</t>
  </si>
  <si>
    <t>B5=20</t>
  </si>
  <si>
    <t>C5=20</t>
  </si>
  <si>
    <t>D5=20</t>
  </si>
  <si>
    <t>E5=20</t>
  </si>
  <si>
    <t>F5=20</t>
  </si>
  <si>
    <t>G5=20</t>
  </si>
  <si>
    <t>I5=20</t>
  </si>
  <si>
    <t>J5=20</t>
  </si>
  <si>
    <t>K5=20</t>
  </si>
  <si>
    <t>L5=20</t>
  </si>
  <si>
    <t>M5=20</t>
  </si>
  <si>
    <t>B14=IFERROR(SUM($N$16:AS$16/$N$15:$AS15*100),"")</t>
  </si>
  <si>
    <t>C14=IFERROR(SUM($N$16:AS$16/$N$15:$AS15*100),"")</t>
  </si>
  <si>
    <t>D14=IFERROR(SUM($N$16:AS$16/$N$15:$AS15*100),"")</t>
  </si>
  <si>
    <t>E14=IFERROR(SUM($N$16:AS$16/$N$15:$AS15*100),"")</t>
  </si>
  <si>
    <t>F14=IFERROR(SUM($N$16:AS$16/$N$15:$AS15*100),"")</t>
  </si>
  <si>
    <t>G14=IFERROR(SUM($N$16:AS$16/$N$15:$AS15*100),"")</t>
  </si>
  <si>
    <t>I14=IFERROR(SUM($N$16:AS$16/$N$15:$AS15*100),"")</t>
  </si>
  <si>
    <t>J14=IFERROR(SUM($N$16:AS$16/$N$15:$AS15*100),"")</t>
  </si>
  <si>
    <t>K14=IFERROR(SUM($N$16:AS$16/$N$15:$AS15*100),"")</t>
  </si>
  <si>
    <t>L14=IFERROR(SUM($N$16:AS$16/$N$15:$AS15*100),"")</t>
  </si>
  <si>
    <t>M14=IFERROR(SUM($N$16:AS$16/$N$15:$AS15*100),"")</t>
  </si>
  <si>
    <t>N6=20</t>
  </si>
  <si>
    <t>O6=20</t>
  </si>
  <si>
    <t>P6=20</t>
  </si>
  <si>
    <t>Q6=20</t>
  </si>
  <si>
    <t>R6=20</t>
  </si>
  <si>
    <t>S6=20</t>
  </si>
  <si>
    <t>T6=20</t>
  </si>
  <si>
    <t>U6=20</t>
  </si>
  <si>
    <t>V6=20</t>
  </si>
  <si>
    <t>W6=20</t>
  </si>
  <si>
    <t>X6=20</t>
  </si>
  <si>
    <t>Y6=20</t>
  </si>
  <si>
    <t>Z6=20</t>
  </si>
  <si>
    <t>AA6=20</t>
  </si>
  <si>
    <t>AB6=20</t>
  </si>
  <si>
    <t>AC6=20</t>
  </si>
  <si>
    <t>AD6=20</t>
  </si>
  <si>
    <t>AE6=20</t>
  </si>
  <si>
    <t>AF6=20</t>
  </si>
  <si>
    <t>AG6=20</t>
  </si>
  <si>
    <t>AH6=20</t>
  </si>
  <si>
    <t>AI6=20</t>
  </si>
  <si>
    <t>AJ6=20</t>
  </si>
  <si>
    <t>AK6=20</t>
  </si>
  <si>
    <t>AL6=20</t>
  </si>
  <si>
    <t>AM6=20</t>
  </si>
  <si>
    <t>AN6=20</t>
  </si>
  <si>
    <t>AO6=20</t>
  </si>
  <si>
    <t>AP6=20</t>
  </si>
  <si>
    <t>AQ6=20</t>
  </si>
  <si>
    <t>AR6=20</t>
  </si>
  <si>
    <t>AS6=20</t>
  </si>
  <si>
    <t>N11=IFERROR(N8/N$7*100,"")</t>
  </si>
  <si>
    <t>O11=IFERROR(O8/O$7*100,"")</t>
  </si>
  <si>
    <t>P11=IFERROR(P8/P$7*100,"")</t>
  </si>
  <si>
    <t>Q11=IFERROR(Q8/Q$7*100,"")</t>
  </si>
  <si>
    <t>R11=IFERROR(R8/R$7*100,"")</t>
  </si>
  <si>
    <t>S11=IFERROR(S8/S$7*100,"")</t>
  </si>
  <si>
    <t>T11=IFERROR(T8/T$7*100,"")</t>
  </si>
  <si>
    <t>U11=IFERROR(U8/U$7*100,"")</t>
  </si>
  <si>
    <t>V11=IFERROR(V8/V$7*100,"")</t>
  </si>
  <si>
    <t>W11=IFERROR(W8/W$7*100,"")</t>
  </si>
  <si>
    <t>X11=IFERROR(X8/X$7*100,"")</t>
  </si>
  <si>
    <t>Y11=IFERROR(Y8/Y$7*100,"")</t>
  </si>
  <si>
    <t>Z11=IFERROR(Z8/Z$7*100,"")</t>
  </si>
  <si>
    <t>AA11=IFERROR(AA8/AA$7*100,"")</t>
  </si>
  <si>
    <t>AB11=IFERROR(AB8/AB$7*100,"")</t>
  </si>
  <si>
    <t>AC11=IFERROR(AC8/AC$7*100,"")</t>
  </si>
  <si>
    <t>AD11=IFERROR(AD8/AD$7*100,"")</t>
  </si>
  <si>
    <t>AE11=IFERROR(AE8/AE$7*100,"")</t>
  </si>
  <si>
    <t>AF11=IFERROR(AF8/AF$7*100,"")</t>
  </si>
  <si>
    <t>AG11=IFERROR(AG8/AG$7*100,"")</t>
  </si>
  <si>
    <t>AH11=IFERROR(AH8/AH$7*100,"")</t>
  </si>
  <si>
    <t>AI11=IFERROR(AI8/AI$7*100,"")</t>
  </si>
  <si>
    <t>AJ11=IFERROR(AJ8/AJ$7*100,"")</t>
  </si>
  <si>
    <t>AK11=IFERROR(AK8/AK$7*100,"")</t>
  </si>
  <si>
    <t>AL11=IFERROR(AL8/AL$7*100,"")</t>
  </si>
  <si>
    <t>AM11=IFERROR(AM8/AM$7*100,"")</t>
  </si>
  <si>
    <t>AN11=IFERROR(AN8/AN$7*100,"")</t>
  </si>
  <si>
    <t>AO11=IFERROR(AO8/AO$7*100,"")</t>
  </si>
  <si>
    <t>AP11=IFERROR(AP8/AP$7*100,"")</t>
  </si>
  <si>
    <t>AQ11=IFERROR(AQ8/AQ$7*100,"")</t>
  </si>
  <si>
    <t>AR11=IFERROR(AR8/AR$7*100,"")</t>
  </si>
  <si>
    <t>AS11=IFERROR(AS8/AS$7*100,"")</t>
  </si>
  <si>
    <t>N12=IFERROR(N9/N$7*100,"")</t>
  </si>
  <si>
    <t>O12=IFERROR(O9/O$7*100,"")</t>
  </si>
  <si>
    <t>P12=IFERROR(P9/P$7*100,"")</t>
  </si>
  <si>
    <t>Q12=IFERROR(Q9/Q$7*100,"")</t>
  </si>
  <si>
    <t>R12=IFERROR(R9/R$7*100,"")</t>
  </si>
  <si>
    <t>S12=IFERROR(S9/S$7*100,"")</t>
  </si>
  <si>
    <t>T12=IFERROR(T9/T$7*100,"")</t>
  </si>
  <si>
    <t>U12=IFERROR(U9/U$7*100,"")</t>
  </si>
  <si>
    <t>V12=IFERROR(V9/V$7*100,"")</t>
  </si>
  <si>
    <t>W12=IFERROR(W9/W$7*100,"")</t>
  </si>
  <si>
    <t>X12=IFERROR(X9/X$7*100,"")</t>
  </si>
  <si>
    <t>Y12=IFERROR(Y9/Y$7*100,"")</t>
  </si>
  <si>
    <t>Z12=IFERROR(Z9/Z$7*100,"")</t>
  </si>
  <si>
    <t>AA12=IFERROR(AA9/AA$7*100,"")</t>
  </si>
  <si>
    <t>AB12=IFERROR(AB9/AB$7*100,"")</t>
  </si>
  <si>
    <t>AC12=IFERROR(AC9/AC$7*100,"")</t>
  </si>
  <si>
    <t>AD12=IFERROR(AD9/AD$7*100,"")</t>
  </si>
  <si>
    <t>AE12=IFERROR(AE9/AE$7*100,"")</t>
  </si>
  <si>
    <t>AF12=IFERROR(AF9/AF$7*100,"")</t>
  </si>
  <si>
    <t>AG12=IFERROR(AG9/AG$7*100,"")</t>
  </si>
  <si>
    <t>AH12=IFERROR(AH9/AH$7*100,"")</t>
  </si>
  <si>
    <t>AI12=IFERROR(AI9/AI$7*100,"")</t>
  </si>
  <si>
    <t>AJ12=IFERROR(AJ9/AJ$7*100,"")</t>
  </si>
  <si>
    <t>AK12=IFERROR(AK9/AK$7*100,"")</t>
  </si>
  <si>
    <t>AL12=IFERROR(AL9/AL$7*100,"")</t>
  </si>
  <si>
    <t>AM12=IFERROR(AM9/AM$7*100,"")</t>
  </si>
  <si>
    <t>AN12=IFERROR(AN9/AN$7*100,"")</t>
  </si>
  <si>
    <t>AO12=IFERROR(AO9/AO$7*100,"")</t>
  </si>
  <si>
    <t>AP12=IFERROR(AP9/AP$7*100,"")</t>
  </si>
  <si>
    <t>AQ12=IFERROR(AQ9/AQ$7*100,"")</t>
  </si>
  <si>
    <t>AR12=IFERROR(AR9/AR$7*100,"")</t>
  </si>
  <si>
    <t>AS12=IFERROR(AS9/AS$7*100,"")</t>
  </si>
  <si>
    <t>N13=IFERROR(N10/N$7*100,"")</t>
  </si>
  <si>
    <t>O13=IFERROR(O10/O$7*100,"")</t>
  </si>
  <si>
    <t>P13=IFERROR(P10/P$7*100,"")</t>
  </si>
  <si>
    <t>Q13=IFERROR(Q10/Q$7*100,"")</t>
  </si>
  <si>
    <t>R13=IFERROR(R10/R$7*100,"")</t>
  </si>
  <si>
    <t>S13=IFERROR(S10/S$7*100,"")</t>
  </si>
  <si>
    <t>T13=IFERROR(T10/T$7*100,"")</t>
  </si>
  <si>
    <t>U13=IFERROR(U10/U$7*100,"")</t>
  </si>
  <si>
    <t>V13=IFERROR(V10/V$7*100,"")</t>
  </si>
  <si>
    <t>W13=IFERROR(W10/W$7*100,"")</t>
  </si>
  <si>
    <t>X13=IFERROR(X10/X$7*100,"")</t>
  </si>
  <si>
    <t>Y13=IFERROR(Y10/Y$7*100,"")</t>
  </si>
  <si>
    <t>Z13=IFERROR(Z10/Z$7*100,"")</t>
  </si>
  <si>
    <t>AA13=IFERROR(AA10/AA$7*100,"")</t>
  </si>
  <si>
    <t>AB13=IFERROR(AB10/AB$7*100,"")</t>
  </si>
  <si>
    <t>AC13=IFERROR(AC10/AC$7*100,"")</t>
  </si>
  <si>
    <t>AD13=IFERROR(AD10/AD$7*100,"")</t>
  </si>
  <si>
    <t>AE13=IFERROR(AE10/AE$7*100,"")</t>
  </si>
  <si>
    <t>AF13=IFERROR(AF10/AF$7*100,"")</t>
  </si>
  <si>
    <t>AG13=IFERROR(AG10/AG$7*100,"")</t>
  </si>
  <si>
    <t>AH13=IFERROR(AH10/AH$7*100,"")</t>
  </si>
  <si>
    <t>AI13=IFERROR(AI10/AI$7*100,"")</t>
  </si>
  <si>
    <t>AJ13=IFERROR(AJ10/AJ$7*100,"")</t>
  </si>
  <si>
    <t>AK13=IFERROR(AK10/AK$7*100,"")</t>
  </si>
  <si>
    <t>AL13=IFERROR(AL10/AL$7*100,"")</t>
  </si>
  <si>
    <t>AM13=IFERROR(AM10/AM$7*100,"")</t>
  </si>
  <si>
    <t>AN13=IFERROR(AN10/AN$7*100,"")</t>
  </si>
  <si>
    <t>AO13=IFERROR(AO10/AO$7*100,"")</t>
  </si>
  <si>
    <t>AP13=IFERROR(AP10/AP$7*100,"")</t>
  </si>
  <si>
    <t>AQ13=IFERROR(AQ10/AQ$7*100,"")</t>
  </si>
  <si>
    <t>AR13=IFERROR(AR10/AR$7*100,"")</t>
  </si>
  <si>
    <t>AS13=IFERROR(AS10/AS$7*100,"")</t>
  </si>
  <si>
    <t>N19=IFERROR(N16/N$15*100,"")</t>
  </si>
  <si>
    <t>O19=IFERROR(O16/O$15*100,"")</t>
  </si>
  <si>
    <t>P19=IFERROR(P16/P$15*100,"")</t>
  </si>
  <si>
    <t>Q19=IFERROR(Q16/Q$15*100,"")</t>
  </si>
  <si>
    <t>R19=IFERROR(R16/R$15*100,"")</t>
  </si>
  <si>
    <t>S19=IFERROR(S16/S$15*100,"")</t>
  </si>
  <si>
    <t>T19=IFERROR(T16/T$15*100,"")</t>
  </si>
  <si>
    <t>U19=IFERROR(U16/U$15*100,"")</t>
  </si>
  <si>
    <t>V19=IFERROR(V16/V$15*100,"")</t>
  </si>
  <si>
    <t>W19=IFERROR(W16/W$15*100,"")</t>
  </si>
  <si>
    <t>X19=IFERROR(X16/X$15*100,"")</t>
  </si>
  <si>
    <t>Y19=IFERROR(Y16/Y$15*100,"")</t>
  </si>
  <si>
    <t>Z19=IFERROR(Z16/Z$15*100,"")</t>
  </si>
  <si>
    <t>AA19=IFERROR(AA16/AA$15*100,"")</t>
  </si>
  <si>
    <t>AB19=IFERROR(AB16/AB$15*100,"")</t>
  </si>
  <si>
    <t>AC19=IFERROR(AC16/AC$15*100,"")</t>
  </si>
  <si>
    <t>AD19=IFERROR(AD16/AD$15*100,"")</t>
  </si>
  <si>
    <t>AE19=IFERROR(AE16/AE$15*100,"")</t>
  </si>
  <si>
    <t>AF19=IFERROR(AF16/AF$15*100,"")</t>
  </si>
  <si>
    <t>AG19=IFERROR(AG16/AG$15*100,"")</t>
  </si>
  <si>
    <t>AH19=IFERROR(AH16/AH$15*100,"")</t>
  </si>
  <si>
    <t>AI19=IFERROR(AI16/AI$15*100,"")</t>
  </si>
  <si>
    <t>AJ19=IFERROR(AJ16/AJ$15*100,"")</t>
  </si>
  <si>
    <t>AK19=IFERROR(AK16/AK$15*100,"")</t>
  </si>
  <si>
    <t>AL19=IFERROR(AL16/AL$15*100,"")</t>
  </si>
  <si>
    <t>AM19=IFERROR(AM16/AM$15*100,"")</t>
  </si>
  <si>
    <t>AN19=IFERROR(AN16/AN$15*100,"")</t>
  </si>
  <si>
    <t>AO19=IFERROR(AO16/AO$15*100,"")</t>
  </si>
  <si>
    <t>AP19=IFERROR(AP16/AP$15*100,"")</t>
  </si>
  <si>
    <t>AQ19=IFERROR(AQ16/AQ$15*100,"")</t>
  </si>
  <si>
    <t>AR19=IFERROR(AR16/AR$15*100,"")</t>
  </si>
  <si>
    <t>AS19=IFERROR(AS16/AS$15*100,"")</t>
  </si>
  <si>
    <t>N20=IFERROR(N17/N$15*100,"")</t>
  </si>
  <si>
    <t>O20=IFERROR(O17/O$15*100,"")</t>
  </si>
  <si>
    <t>P20=IFERROR(P17/P$15*100,"")</t>
  </si>
  <si>
    <t>Q20=IFERROR(Q17/Q$15*100,"")</t>
  </si>
  <si>
    <t>R20=IFERROR(R17/R$15*100,"")</t>
  </si>
  <si>
    <t>S20=IFERROR(S17/S$15*100,"")</t>
  </si>
  <si>
    <t>T20=IFERROR(T17/T$15*100,"")</t>
  </si>
  <si>
    <t>U20=IFERROR(U17/U$15*100,"")</t>
  </si>
  <si>
    <t>V20=IFERROR(V17/V$15*100,"")</t>
  </si>
  <si>
    <t>W20=IFERROR(W17/W$15*100,"")</t>
  </si>
  <si>
    <t>X20=IFERROR(X17/X$15*100,"")</t>
  </si>
  <si>
    <t>Y20=IFERROR(Y17/Y$15*100,"")</t>
  </si>
  <si>
    <t>Z20=IFERROR(Z17/Z$15*100,"")</t>
  </si>
  <si>
    <t>AA20=IFERROR(AA17/AA$15*100,"")</t>
  </si>
  <si>
    <t>AB20=IFERROR(AB17/AB$15*100,"")</t>
  </si>
  <si>
    <t>AC20=IFERROR(AC17/AC$15*100,"")</t>
  </si>
  <si>
    <t>AD20=IFERROR(AD17/AD$15*100,"")</t>
  </si>
  <si>
    <t>AE20=IFERROR(AE17/AE$15*100,"")</t>
  </si>
  <si>
    <t>AF20=IFERROR(AF17/AF$15*100,"")</t>
  </si>
  <si>
    <t>AG20=IFERROR(AG17/AG$15*100,"")</t>
  </si>
  <si>
    <t>AH20=IFERROR(AH17/AH$15*100,"")</t>
  </si>
  <si>
    <t>AI20=IFERROR(AI17/AI$15*100,"")</t>
  </si>
  <si>
    <t>AJ20=IFERROR(AJ17/AJ$15*100,"")</t>
  </si>
  <si>
    <t>AK20=IFERROR(AK17/AK$15*100,"")</t>
  </si>
  <si>
    <t>AL20=IFERROR(AL17/AL$15*100,"")</t>
  </si>
  <si>
    <t>AM20=IFERROR(AM17/AM$15*100,"")</t>
  </si>
  <si>
    <t>AN20=IFERROR(AN17/AN$15*100,"")</t>
  </si>
  <si>
    <t>AO20=IFERROR(AO17/AO$15*100,"")</t>
  </si>
  <si>
    <t>AP20=IFERROR(AP17/AP$15*100,"")</t>
  </si>
  <si>
    <t>AQ20=IFERROR(AQ17/AQ$15*100,"")</t>
  </si>
  <si>
    <t>AR20=IFERROR(AR17/AR$15*100,"")</t>
  </si>
  <si>
    <t>AS20=IFERROR(AS17/AS$15*100,"")</t>
  </si>
  <si>
    <t>N21=IFERROR(N18/N$15*100,"")</t>
  </si>
  <si>
    <t>O21=IFERROR(O18/O$15*100,"")</t>
  </si>
  <si>
    <t>P21=IFERROR(P18/P$15*100,"")</t>
  </si>
  <si>
    <t>Q21=IFERROR(Q18/Q$15*100,"")</t>
  </si>
  <si>
    <t>R21=IFERROR(R18/R$15*100,"")</t>
  </si>
  <si>
    <t>S21=IFERROR(S18/S$15*100,"")</t>
  </si>
  <si>
    <t>T21=IFERROR(T18/T$15*100,"")</t>
  </si>
  <si>
    <t>U21=IFERROR(U18/U$15*100,"")</t>
  </si>
  <si>
    <t>V21=IFERROR(V18/V$15*100,"")</t>
  </si>
  <si>
    <t>W21=IFERROR(W18/W$15*100,"")</t>
  </si>
  <si>
    <t>X21=IFERROR(X18/X$15*100,"")</t>
  </si>
  <si>
    <t>Y21=IFERROR(Y18/Y$15*100,"")</t>
  </si>
  <si>
    <t>Z21=IFERROR(Z18/Z$15*100,"")</t>
  </si>
  <si>
    <t>AA21=IFERROR(AA18/AA$15*100,"")</t>
  </si>
  <si>
    <t>AB21=IFERROR(AB18/AB$15*100,"")</t>
  </si>
  <si>
    <t>AC21=IFERROR(AC18/AC$15*100,"")</t>
  </si>
  <si>
    <t>AD21=IFERROR(AD18/AD$15*100,"")</t>
  </si>
  <si>
    <t>AE21=IFERROR(AE18/AE$15*100,"")</t>
  </si>
  <si>
    <t>AF21=IFERROR(AF18/AF$15*100,"")</t>
  </si>
  <si>
    <t>AG21=IFERROR(AG18/AG$15*100,"")</t>
  </si>
  <si>
    <t>AH21=IFERROR(AH18/AH$15*100,"")</t>
  </si>
  <si>
    <t>AI21=IFERROR(AI18/AI$15*100,"")</t>
  </si>
  <si>
    <t>AJ21=IFERROR(AJ18/AJ$15*100,"")</t>
  </si>
  <si>
    <t>AK21=IFERROR(AK18/AK$15*100,"")</t>
  </si>
  <si>
    <t>AL21=IFERROR(AL18/AL$15*100,"")</t>
  </si>
  <si>
    <t>AM21=IFERROR(AM18/AM$15*100,"")</t>
  </si>
  <si>
    <t>AN21=IFERROR(AN18/AN$15*100,"")</t>
  </si>
  <si>
    <t>AO21=IFERROR(AO18/AO$15*100,"")</t>
  </si>
  <si>
    <t>AP21=IFERROR(AP18/AP$15*100,"")</t>
  </si>
  <si>
    <t>AQ21=IFERROR(AQ18/AQ$15*100,"")</t>
  </si>
  <si>
    <t>AR21=IFERROR(AR18/AR$15*100,"")</t>
  </si>
  <si>
    <t>AS21=IFERROR(AS18/AS$15*100,"")</t>
  </si>
  <si>
    <t>'\\vdm-fsvr\Cokhi-機工\1.TAI LIEU HANG NAM\2026\1.MUC TIEU NAM\9.TLHDM\[Gia_cong_khong_nguoi.xlsx]Tinh_Toan'!$Y$59</t>
  </si>
  <si>
    <t>N7='\\vdm-fsvr\Cokhi-機工\1.TAI LIEU HANG NAM\2026\1.MUC TIEU NAM\9.TLHDM\[Gia_cong_khong_nguoi.xlsx]Tinh_Toan'!$Y$59</t>
  </si>
  <si>
    <t>O7='\\vdm-fsvr\Cokhi-機工\1.TAI LIEU HANG NAM\2026\1.MUC TIEU NAM\9.TLHDM\[Gia_cong_khong_nguoi.xlsx]Tinh_Toan'!$Y$59</t>
  </si>
  <si>
    <t>P7='\\vdm-fsvr\Cokhi-機工\1.TAI LIEU HANG NAM\2026\1.MUC TIEU NAM\9.TLHDM\[Gia_cong_khong_nguoi.xlsx]Tinh_Toan'!$Y$59</t>
  </si>
  <si>
    <t>Q7='\\vdm-fsvr\Cokhi-機工\1.TAI LIEU HANG NAM\2026\1.MUC TIEU NAM\9.TLHDM\[Gia_cong_khong_nguoi.xlsx]Tinh_Toan'!$Y$59</t>
  </si>
  <si>
    <t>R7='\\vdm-fsvr\Cokhi-機工\1.TAI LIEU HANG NAM\2026\1.MUC TIEU NAM\9.TLHDM\[Gia_cong_khong_nguoi.xlsx]Tinh_Toan'!$Y$59</t>
  </si>
  <si>
    <t>S7='\\vdm-fsvr\Cokhi-機工\1.TAI LIEU HANG NAM\2026\1.MUC TIEU NAM\9.TLHDM\[Gia_cong_khong_nguoi.xlsx]Tinh_Toan'!$Y$59</t>
  </si>
  <si>
    <t>T7='\\vdm-fsvr\Cokhi-機工\1.TAI LIEU HANG NAM\2026\1.MUC TIEU NAM\9.TLHDM\[Gia_cong_khong_nguoi.xlsx]Tinh_Toan'!$Y$59</t>
  </si>
  <si>
    <t>U7='\\vdm-fsvr\Cokhi-機工\1.TAI LIEU HANG NAM\2026\1.MUC TIEU NAM\9.TLHDM\[Gia_cong_khong_nguoi.xlsx]Tinh_Toan'!$Y$59</t>
  </si>
  <si>
    <t>V7='\\vdm-fsvr\Cokhi-機工\1.TAI LIEU HANG NAM\2026\1.MUC TIEU NAM\9.TLHDM\[Gia_cong_khong_nguoi.xlsx]Tinh_Toan'!$Y$59</t>
  </si>
  <si>
    <t>W7='\\vdm-fsvr\Cokhi-機工\1.TAI LIEU HANG NAM\2026\1.MUC TIEU NAM\9.TLHDM\[Gia_cong_khong_nguoi.xlsx]Tinh_Toan'!$Y$59</t>
  </si>
  <si>
    <t>X7='\\vdm-fsvr\Cokhi-機工\1.TAI LIEU HANG NAM\2026\1.MUC TIEU NAM\9.TLHDM\[Gia_cong_khong_nguoi.xlsx]Tinh_Toan'!$Y$59</t>
  </si>
  <si>
    <t>Y7='\\vdm-fsvr\Cokhi-機工\1.TAI LIEU HANG NAM\2026\1.MUC TIEU NAM\9.TLHDM\[Gia_cong_khong_nguoi.xlsx]Tinh_Toan'!$Y$59</t>
  </si>
  <si>
    <t>Z7='\\vdm-fsvr\Cokhi-機工\1.TAI LIEU HANG NAM\2026\1.MUC TIEU NAM\9.TLHDM\[Gia_cong_khong_nguoi.xlsx]Tinh_Toan'!$Y$59</t>
  </si>
  <si>
    <t>AA7='\\vdm-fsvr\Cokhi-機工\1.TAI LIEU HANG NAM\2026\1.MUC TIEU NAM\9.TLHDM\[Gia_cong_khong_nguoi.xlsx]Tinh_Toan'!$Y$59</t>
  </si>
  <si>
    <t>AB7='\\vdm-fsvr\Cokhi-機工\1.TAI LIEU HANG NAM\2026\1.MUC TIEU NAM\9.TLHDM\[Gia_cong_khong_nguoi.xlsx]Tinh_Toan'!$Y$59</t>
  </si>
  <si>
    <t>AC7='\\vdm-fsvr\Cokhi-機工\1.TAI LIEU HANG NAM\2026\1.MUC TIEU NAM\9.TLHDM\[Gia_cong_khong_nguoi.xlsx]Tinh_Toan'!$Y$59</t>
  </si>
  <si>
    <t>AD7='\\vdm-fsvr\Cokhi-機工\1.TAI LIEU HANG NAM\2026\1.MUC TIEU NAM\9.TLHDM\[Gia_cong_khong_nguoi.xlsx]Tinh_Toan'!$Y$59</t>
  </si>
  <si>
    <t>AE7='\\vdm-fsvr\Cokhi-機工\1.TAI LIEU HANG NAM\2026\1.MUC TIEU NAM\9.TLHDM\[Gia_cong_khong_nguoi.xlsx]Tinh_Toan'!$Y$59</t>
  </si>
  <si>
    <t>AF7='\\vdm-fsvr\Cokhi-機工\1.TAI LIEU HANG NAM\2026\1.MUC TIEU NAM\9.TLHDM\[Gia_cong_khong_nguoi.xlsx]Tinh_Toan'!$Y$59</t>
  </si>
  <si>
    <t>AG7='\\vdm-fsvr\Cokhi-機工\1.TAI LIEU HANG NAM\2026\1.MUC TIEU NAM\9.TLHDM\[Gia_cong_khong_nguoi.xlsx]Tinh_Toan'!$Y$59</t>
  </si>
  <si>
    <t>AH7='\\vdm-fsvr\Cokhi-機工\1.TAI LIEU HANG NAM\2026\1.MUC TIEU NAM\9.TLHDM\[Gia_cong_khong_nguoi.xlsx]Tinh_Toan'!$Y$59</t>
  </si>
  <si>
    <t>AI7='\\vdm-fsvr\Cokhi-機工\1.TAI LIEU HANG NAM\2026\1.MUC TIEU NAM\9.TLHDM\[Gia_cong_khong_nguoi.xlsx]Tinh_Toan'!$Y$59</t>
  </si>
  <si>
    <t>AJ7='\\vdm-fsvr\Cokhi-機工\1.TAI LIEU HANG NAM\2026\1.MUC TIEU NAM\9.TLHDM\[Gia_cong_khong_nguoi.xlsx]Tinh_Toan'!$Y$59</t>
  </si>
  <si>
    <t>AK7='\\vdm-fsvr\Cokhi-機工\1.TAI LIEU HANG NAM\2026\1.MUC TIEU NAM\9.TLHDM\[Gia_cong_khong_nguoi.xlsx]Tinh_Toan'!$Y$59</t>
  </si>
  <si>
    <t>AL7='\\vdm-fsvr\Cokhi-機工\1.TAI LIEU HANG NAM\2026\1.MUC TIEU NAM\9.TLHDM\[Gia_cong_khong_nguoi.xlsx]Tinh_Toan'!$Y$59</t>
  </si>
  <si>
    <t>AM7='\\vdm-fsvr\Cokhi-機工\1.TAI LIEU HANG NAM\2026\1.MUC TIEU NAM\9.TLHDM\[Gia_cong_khong_nguoi.xlsx]Tinh_Toan'!$Y$59</t>
  </si>
  <si>
    <t>AN7='\\vdm-fsvr\Cokhi-機工\1.TAI LIEU HANG NAM\2026\1.MUC TIEU NAM\9.TLHDM\[Gia_cong_khong_nguoi.xlsx]Tinh_Toan'!$Y$59</t>
  </si>
  <si>
    <t>AO7='\\vdm-fsvr\Cokhi-機工\1.TAI LIEU HANG NAM\2026\1.MUC TIEU NAM\9.TLHDM\[Gia_cong_khong_nguoi.xlsx]Tinh_Toan'!$Y$59</t>
  </si>
  <si>
    <t>AP7='\\vdm-fsvr\Cokhi-機工\1.TAI LIEU HANG NAM\2026\1.MUC TIEU NAM\9.TLHDM\[Gia_cong_khong_nguoi.xlsx]Tinh_Toan'!$Y$59</t>
  </si>
  <si>
    <t>AQ7='\\vdm-fsvr\Cokhi-機工\1.TAI LIEU HANG NAM\2026\1.MUC TIEU NAM\9.TLHDM\[Gia_cong_khong_nguoi.xlsx]Tinh_Toan'!$Y$59</t>
  </si>
  <si>
    <t>AR7='\\vdm-fsvr\Cokhi-機工\1.TAI LIEU HANG NAM\2026\1.MUC TIEU NAM\9.TLHDM\[Gia_cong_khong_nguoi.xlsx]Tinh_Toan'!$Y$59</t>
  </si>
  <si>
    <t>AS7='\\vdm-fsvr\Cokhi-機工\1.TAI LIEU HANG NAM\2026\1.MUC TIEU NAM\9.TLHDM\[Gia_cong_khong_nguoi.xlsx]Tinh_Toan'!$Y$59</t>
  </si>
  <si>
    <t>(''\\vdm-fsvr\Cokhi-機工\1.TAI LIEU HANG NAM\2026\1.MUC TIEU NAM\9.TLHDM\[Gia_cong_khong_nguoi.xlsx]Tinh_Toan'!$R$59+''\\vdm-fsvr\Cokhi-機工\1.TAI LIEU HANG NAM\2026\1.MUC TIEU NAM\9.TLHDM\[Gia_cong_khong_nguoi.xlsx]Tinh_Toan'!$S$59)-''\\vdm-fsvr\Cokhi-機工\1.TAI LIEU HANG NAM\2026\1.MUC TIEU NAM\9.TLHDM\[Gia_cong_khong_nguoi.xlsx]Tinh_Toan'!$M$59*2</t>
  </si>
  <si>
    <t>N8=(''\\vdm-fsvr\Cokhi-機工\1.TAI LIEU HANG NAM\2026\1.MUC TIEU NAM\9.TLHDM\[Gia_cong_khong_nguoi.xlsx]Tinh_Toan'!$R$59+''\\vdm-fsvr\Cokhi-機工\1.TAI LIEU HANG NAM\2026\1.MUC TIEU NAM\9.TLHDM\[Gia_cong_khong_nguoi.xlsx]Tinh_Toan'!$S$59)-''\\vdm-fsvr\Cokhi-機工\1.TAI LIEU HANG NAM\2026\1.MUC TIEU NAM\9.TLHDM\[Gia_cong_khong_nguoi.xlsx]Tinh_Toan'!$M$59*2</t>
  </si>
  <si>
    <t>O8=(''\\vdm-fsvr\Cokhi-機工\1.TAI LIEU HANG NAM\2026\1.MUC TIEU NAM\9.TLHDM\[Gia_cong_khong_nguoi.xlsx]Tinh_Toan'!$R$59+''\\vdm-fsvr\Cokhi-機工\1.TAI LIEU HANG NAM\2026\1.MUC TIEU NAM\9.TLHDM\[Gia_cong_khong_nguoi.xlsx]Tinh_Toan'!$S$59)-''\\vdm-fsvr\Cokhi-機工\1.TAI LIEU HANG NAM\2026\1.MUC TIEU NAM\9.TLHDM\[Gia_cong_khong_nguoi.xlsx]Tinh_Toan'!$M$59*2</t>
  </si>
  <si>
    <t>P8=(''\\vdm-fsvr\Cokhi-機工\1.TAI LIEU HANG NAM\2026\1.MUC TIEU NAM\9.TLHDM\[Gia_cong_khong_nguoi.xlsx]Tinh_Toan'!$R$59+''\\vdm-fsvr\Cokhi-機工\1.TAI LIEU HANG NAM\2026\1.MUC TIEU NAM\9.TLHDM\[Gia_cong_khong_nguoi.xlsx]Tinh_Toan'!$S$59)-''\\vdm-fsvr\Cokhi-機工\1.TAI LIEU HANG NAM\2026\1.MUC TIEU NAM\9.TLHDM\[Gia_cong_khong_nguoi.xlsx]Tinh_Toan'!$M$59*2</t>
  </si>
  <si>
    <t>Q8=(''\\vdm-fsvr\Cokhi-機工\1.TAI LIEU HANG NAM\2026\1.MUC TIEU NAM\9.TLHDM\[Gia_cong_khong_nguoi.xlsx]Tinh_Toan'!$R$59+''\\vdm-fsvr\Cokhi-機工\1.TAI LIEU HANG NAM\2026\1.MUC TIEU NAM\9.TLHDM\[Gia_cong_khong_nguoi.xlsx]Tinh_Toan'!$S$59)-''\\vdm-fsvr\Cokhi-機工\1.TAI LIEU HANG NAM\2026\1.MUC TIEU NAM\9.TLHDM\[Gia_cong_khong_nguoi.xlsx]Tinh_Toan'!$M$59*2</t>
  </si>
  <si>
    <t>R8=(''\\vdm-fsvr\Cokhi-機工\1.TAI LIEU HANG NAM\2026\1.MUC TIEU NAM\9.TLHDM\[Gia_cong_khong_nguoi.xlsx]Tinh_Toan'!$R$59+''\\vdm-fsvr\Cokhi-機工\1.TAI LIEU HANG NAM\2026\1.MUC TIEU NAM\9.TLHDM\[Gia_cong_khong_nguoi.xlsx]Tinh_Toan'!$S$59)-''\\vdm-fsvr\Cokhi-機工\1.TAI LIEU HANG NAM\2026\1.MUC TIEU NAM\9.TLHDM\[Gia_cong_khong_nguoi.xlsx]Tinh_Toan'!$M$59*2</t>
  </si>
  <si>
    <t>S8=(''\\vdm-fsvr\Cokhi-機工\1.TAI LIEU HANG NAM\2026\1.MUC TIEU NAM\9.TLHDM\[Gia_cong_khong_nguoi.xlsx]Tinh_Toan'!$R$59+''\\vdm-fsvr\Cokhi-機工\1.TAI LIEU HANG NAM\2026\1.MUC TIEU NAM\9.TLHDM\[Gia_cong_khong_nguoi.xlsx]Tinh_Toan'!$S$59)-''\\vdm-fsvr\Cokhi-機工\1.TAI LIEU HANG NAM\2026\1.MUC TIEU NAM\9.TLHDM\[Gia_cong_khong_nguoi.xlsx]Tinh_Toan'!$M$59*2</t>
  </si>
  <si>
    <t>T8=(''\\vdm-fsvr\Cokhi-機工\1.TAI LIEU HANG NAM\2026\1.MUC TIEU NAM\9.TLHDM\[Gia_cong_khong_nguoi.xlsx]Tinh_Toan'!$R$59+''\\vdm-fsvr\Cokhi-機工\1.TAI LIEU HANG NAM\2026\1.MUC TIEU NAM\9.TLHDM\[Gia_cong_khong_nguoi.xlsx]Tinh_Toan'!$S$59)-''\\vdm-fsvr\Cokhi-機工\1.TAI LIEU HANG NAM\2026\1.MUC TIEU NAM\9.TLHDM\[Gia_cong_khong_nguoi.xlsx]Tinh_Toan'!$M$59*2</t>
  </si>
  <si>
    <t>U8=(''\\vdm-fsvr\Cokhi-機工\1.TAI LIEU HANG NAM\2026\1.MUC TIEU NAM\9.TLHDM\[Gia_cong_khong_nguoi.xlsx]Tinh_Toan'!$R$59+''\\vdm-fsvr\Cokhi-機工\1.TAI LIEU HANG NAM\2026\1.MUC TIEU NAM\9.TLHDM\[Gia_cong_khong_nguoi.xlsx]Tinh_Toan'!$S$59)-''\\vdm-fsvr\Cokhi-機工\1.TAI LIEU HANG NAM\2026\1.MUC TIEU NAM\9.TLHDM\[Gia_cong_khong_nguoi.xlsx]Tinh_Toan'!$M$59*2</t>
  </si>
  <si>
    <t>V8=(''\\vdm-fsvr\Cokhi-機工\1.TAI LIEU HANG NAM\2026\1.MUC TIEU NAM\9.TLHDM\[Gia_cong_khong_nguoi.xlsx]Tinh_Toan'!$R$59+''\\vdm-fsvr\Cokhi-機工\1.TAI LIEU HANG NAM\2026\1.MUC TIEU NAM\9.TLHDM\[Gia_cong_khong_nguoi.xlsx]Tinh_Toan'!$S$59)-''\\vdm-fsvr\Cokhi-機工\1.TAI LIEU HANG NAM\2026\1.MUC TIEU NAM\9.TLHDM\[Gia_cong_khong_nguoi.xlsx]Tinh_Toan'!$M$59*2</t>
  </si>
  <si>
    <t>W8=(''\\vdm-fsvr\Cokhi-機工\1.TAI LIEU HANG NAM\2026\1.MUC TIEU NAM\9.TLHDM\[Gia_cong_khong_nguoi.xlsx]Tinh_Toan'!$R$59+''\\vdm-fsvr\Cokhi-機工\1.TAI LIEU HANG NAM\2026\1.MUC TIEU NAM\9.TLHDM\[Gia_cong_khong_nguoi.xlsx]Tinh_Toan'!$S$59)-''\\vdm-fsvr\Cokhi-機工\1.TAI LIEU HANG NAM\2026\1.MUC TIEU NAM\9.TLHDM\[Gia_cong_khong_nguoi.xlsx]Tinh_Toan'!$M$59*2</t>
  </si>
  <si>
    <t>X8=(''\\vdm-fsvr\Cokhi-機工\1.TAI LIEU HANG NAM\2026\1.MUC TIEU NAM\9.TLHDM\[Gia_cong_khong_nguoi.xlsx]Tinh_Toan'!$R$59+''\\vdm-fsvr\Cokhi-機工\1.TAI LIEU HANG NAM\2026\1.MUC TIEU NAM\9.TLHDM\[Gia_cong_khong_nguoi.xlsx]Tinh_Toan'!$S$59)-''\\vdm-fsvr\Cokhi-機工\1.TAI LIEU HANG NAM\2026\1.MUC TIEU NAM\9.TLHDM\[Gia_cong_khong_nguoi.xlsx]Tinh_Toan'!$M$59*2</t>
  </si>
  <si>
    <t>Y8=(''\\vdm-fsvr\Cokhi-機工\1.TAI LIEU HANG NAM\2026\1.MUC TIEU NAM\9.TLHDM\[Gia_cong_khong_nguoi.xlsx]Tinh_Toan'!$R$59+''\\vdm-fsvr\Cokhi-機工\1.TAI LIEU HANG NAM\2026\1.MUC TIEU NAM\9.TLHDM\[Gia_cong_khong_nguoi.xlsx]Tinh_Toan'!$S$59)-''\\vdm-fsvr\Cokhi-機工\1.TAI LIEU HANG NAM\2026\1.MUC TIEU NAM\9.TLHDM\[Gia_cong_khong_nguoi.xlsx]Tinh_Toan'!$M$59*2</t>
  </si>
  <si>
    <t>Z8=(''\\vdm-fsvr\Cokhi-機工\1.TAI LIEU HANG NAM\2026\1.MUC TIEU NAM\9.TLHDM\[Gia_cong_khong_nguoi.xlsx]Tinh_Toan'!$R$59+''\\vdm-fsvr\Cokhi-機工\1.TAI LIEU HANG NAM\2026\1.MUC TIEU NAM\9.TLHDM\[Gia_cong_khong_nguoi.xlsx]Tinh_Toan'!$S$59)-''\\vdm-fsvr\Cokhi-機工\1.TAI LIEU HANG NAM\2026\1.MUC TIEU NAM\9.TLHDM\[Gia_cong_khong_nguoi.xlsx]Tinh_Toan'!$M$59*2</t>
  </si>
  <si>
    <t>AA8=(''\\vdm-fsvr\Cokhi-機工\1.TAI LIEU HANG NAM\2026\1.MUC TIEU NAM\9.TLHDM\[Gia_cong_khong_nguoi.xlsx]Tinh_Toan'!$R$59+''\\vdm-fsvr\Cokhi-機工\1.TAI LIEU HANG NAM\2026\1.MUC TIEU NAM\9.TLHDM\[Gia_cong_khong_nguoi.xlsx]Tinh_Toan'!$S$59)-''\\vdm-fsvr\Cokhi-機工\1.TAI LIEU HANG NAM\2026\1.MUC TIEU NAM\9.TLHDM\[Gia_cong_khong_nguoi.xlsx]Tinh_Toan'!$M$59*2</t>
  </si>
  <si>
    <t>AB8=(''\\vdm-fsvr\Cokhi-機工\1.TAI LIEU HANG NAM\2026\1.MUC TIEU NAM\9.TLHDM\[Gia_cong_khong_nguoi.xlsx]Tinh_Toan'!$R$59+''\\vdm-fsvr\Cokhi-機工\1.TAI LIEU HANG NAM\2026\1.MUC TIEU NAM\9.TLHDM\[Gia_cong_khong_nguoi.xlsx]Tinh_Toan'!$S$59)-''\\vdm-fsvr\Cokhi-機工\1.TAI LIEU HANG NAM\2026\1.MUC TIEU NAM\9.TLHDM\[Gia_cong_khong_nguoi.xlsx]Tinh_Toan'!$M$59*2</t>
  </si>
  <si>
    <t>AC8=(''\\vdm-fsvr\Cokhi-機工\1.TAI LIEU HANG NAM\2026\1.MUC TIEU NAM\9.TLHDM\[Gia_cong_khong_nguoi.xlsx]Tinh_Toan'!$R$59+''\\vdm-fsvr\Cokhi-機工\1.TAI LIEU HANG NAM\2026\1.MUC TIEU NAM\9.TLHDM\[Gia_cong_khong_nguoi.xlsx]Tinh_Toan'!$S$59)-''\\vdm-fsvr\Cokhi-機工\1.TAI LIEU HANG NAM\2026\1.MUC TIEU NAM\9.TLHDM\[Gia_cong_khong_nguoi.xlsx]Tinh_Toan'!$M$59*2</t>
  </si>
  <si>
    <t>AD8=(''\\vdm-fsvr\Cokhi-機工\1.TAI LIEU HANG NAM\2026\1.MUC TIEU NAM\9.TLHDM\[Gia_cong_khong_nguoi.xlsx]Tinh_Toan'!$R$59+''\\vdm-fsvr\Cokhi-機工\1.TAI LIEU HANG NAM\2026\1.MUC TIEU NAM\9.TLHDM\[Gia_cong_khong_nguoi.xlsx]Tinh_Toan'!$S$59)-''\\vdm-fsvr\Cokhi-機工\1.TAI LIEU HANG NAM\2026\1.MUC TIEU NAM\9.TLHDM\[Gia_cong_khong_nguoi.xlsx]Tinh_Toan'!$M$59*2</t>
  </si>
  <si>
    <t>AE8=(''\\vdm-fsvr\Cokhi-機工\1.TAI LIEU HANG NAM\2026\1.MUC TIEU NAM\9.TLHDM\[Gia_cong_khong_nguoi.xlsx]Tinh_Toan'!$R$59+''\\vdm-fsvr\Cokhi-機工\1.TAI LIEU HANG NAM\2026\1.MUC TIEU NAM\9.TLHDM\[Gia_cong_khong_nguoi.xlsx]Tinh_Toan'!$S$59)-''\\vdm-fsvr\Cokhi-機工\1.TAI LIEU HANG NAM\2026\1.MUC TIEU NAM\9.TLHDM\[Gia_cong_khong_nguoi.xlsx]Tinh_Toan'!$M$59*2</t>
  </si>
  <si>
    <t>AF8=(''\\vdm-fsvr\Cokhi-機工\1.TAI LIEU HANG NAM\2026\1.MUC TIEU NAM\9.TLHDM\[Gia_cong_khong_nguoi.xlsx]Tinh_Toan'!$R$59+''\\vdm-fsvr\Cokhi-機工\1.TAI LIEU HANG NAM\2026\1.MUC TIEU NAM\9.TLHDM\[Gia_cong_khong_nguoi.xlsx]Tinh_Toan'!$S$59)-''\\vdm-fsvr\Cokhi-機工\1.TAI LIEU HANG NAM\2026\1.MUC TIEU NAM\9.TLHDM\[Gia_cong_khong_nguoi.xlsx]Tinh_Toan'!$M$59*2</t>
  </si>
  <si>
    <t>AG8=(''\\vdm-fsvr\Cokhi-機工\1.TAI LIEU HANG NAM\2026\1.MUC TIEU NAM\9.TLHDM\[Gia_cong_khong_nguoi.xlsx]Tinh_Toan'!$R$59+''\\vdm-fsvr\Cokhi-機工\1.TAI LIEU HANG NAM\2026\1.MUC TIEU NAM\9.TLHDM\[Gia_cong_khong_nguoi.xlsx]Tinh_Toan'!$S$59)-''\\vdm-fsvr\Cokhi-機工\1.TAI LIEU HANG NAM\2026\1.MUC TIEU NAM\9.TLHDM\[Gia_cong_khong_nguoi.xlsx]Tinh_Toan'!$M$59*2</t>
  </si>
  <si>
    <t>AH8=(''\\vdm-fsvr\Cokhi-機工\1.TAI LIEU HANG NAM\2026\1.MUC TIEU NAM\9.TLHDM\[Gia_cong_khong_nguoi.xlsx]Tinh_Toan'!$R$59+''\\vdm-fsvr\Cokhi-機工\1.TAI LIEU HANG NAM\2026\1.MUC TIEU NAM\9.TLHDM\[Gia_cong_khong_nguoi.xlsx]Tinh_Toan'!$S$59)-''\\vdm-fsvr\Cokhi-機工\1.TAI LIEU HANG NAM\2026\1.MUC TIEU NAM\9.TLHDM\[Gia_cong_khong_nguoi.xlsx]Tinh_Toan'!$M$59*2</t>
  </si>
  <si>
    <t>AI8=(''\\vdm-fsvr\Cokhi-機工\1.TAI LIEU HANG NAM\2026\1.MUC TIEU NAM\9.TLHDM\[Gia_cong_khong_nguoi.xlsx]Tinh_Toan'!$R$59+''\\vdm-fsvr\Cokhi-機工\1.TAI LIEU HANG NAM\2026\1.MUC TIEU NAM\9.TLHDM\[Gia_cong_khong_nguoi.xlsx]Tinh_Toan'!$S$59)-''\\vdm-fsvr\Cokhi-機工\1.TAI LIEU HANG NAM\2026\1.MUC TIEU NAM\9.TLHDM\[Gia_cong_khong_nguoi.xlsx]Tinh_Toan'!$M$59*2</t>
  </si>
  <si>
    <t>AJ8=(''\\vdm-fsvr\Cokhi-機工\1.TAI LIEU HANG NAM\2026\1.MUC TIEU NAM\9.TLHDM\[Gia_cong_khong_nguoi.xlsx]Tinh_Toan'!$R$59+''\\vdm-fsvr\Cokhi-機工\1.TAI LIEU HANG NAM\2026\1.MUC TIEU NAM\9.TLHDM\[Gia_cong_khong_nguoi.xlsx]Tinh_Toan'!$S$59)-''\\vdm-fsvr\Cokhi-機工\1.TAI LIEU HANG NAM\2026\1.MUC TIEU NAM\9.TLHDM\[Gia_cong_khong_nguoi.xlsx]Tinh_Toan'!$M$59*2</t>
  </si>
  <si>
    <t>AK8=(''\\vdm-fsvr\Cokhi-機工\1.TAI LIEU HANG NAM\2026\1.MUC TIEU NAM\9.TLHDM\[Gia_cong_khong_nguoi.xlsx]Tinh_Toan'!$R$59+''\\vdm-fsvr\Cokhi-機工\1.TAI LIEU HANG NAM\2026\1.MUC TIEU NAM\9.TLHDM\[Gia_cong_khong_nguoi.xlsx]Tinh_Toan'!$S$59)-''\\vdm-fsvr\Cokhi-機工\1.TAI LIEU HANG NAM\2026\1.MUC TIEU NAM\9.TLHDM\[Gia_cong_khong_nguoi.xlsx]Tinh_Toan'!$M$59*2</t>
  </si>
  <si>
    <t>AL8=(''\\vdm-fsvr\Cokhi-機工\1.TAI LIEU HANG NAM\2026\1.MUC TIEU NAM\9.TLHDM\[Gia_cong_khong_nguoi.xlsx]Tinh_Toan'!$R$59+''\\vdm-fsvr\Cokhi-機工\1.TAI LIEU HANG NAM\2026\1.MUC TIEU NAM\9.TLHDM\[Gia_cong_khong_nguoi.xlsx]Tinh_Toan'!$S$59)-''\\vdm-fsvr\Cokhi-機工\1.TAI LIEU HANG NAM\2026\1.MUC TIEU NAM\9.TLHDM\[Gia_cong_khong_nguoi.xlsx]Tinh_Toan'!$M$59*2</t>
  </si>
  <si>
    <t>AM8=(''\\vdm-fsvr\Cokhi-機工\1.TAI LIEU HANG NAM\2026\1.MUC TIEU NAM\9.TLHDM\[Gia_cong_khong_nguoi.xlsx]Tinh_Toan'!$R$59+''\\vdm-fsvr\Cokhi-機工\1.TAI LIEU HANG NAM\2026\1.MUC TIEU NAM\9.TLHDM\[Gia_cong_khong_nguoi.xlsx]Tinh_Toan'!$S$59)-''\\vdm-fsvr\Cokhi-機工\1.TAI LIEU HANG NAM\2026\1.MUC TIEU NAM\9.TLHDM\[Gia_cong_khong_nguoi.xlsx]Tinh_Toan'!$M$59*2</t>
  </si>
  <si>
    <t>AN8=(''\\vdm-fsvr\Cokhi-機工\1.TAI LIEU HANG NAM\2026\1.MUC TIEU NAM\9.TLHDM\[Gia_cong_khong_nguoi.xlsx]Tinh_Toan'!$R$59+''\\vdm-fsvr\Cokhi-機工\1.TAI LIEU HANG NAM\2026\1.MUC TIEU NAM\9.TLHDM\[Gia_cong_khong_nguoi.xlsx]Tinh_Toan'!$S$59)-''\\vdm-fsvr\Cokhi-機工\1.TAI LIEU HANG NAM\2026\1.MUC TIEU NAM\9.TLHDM\[Gia_cong_khong_nguoi.xlsx]Tinh_Toan'!$M$59*2</t>
  </si>
  <si>
    <t>AO8=(''\\vdm-fsvr\Cokhi-機工\1.TAI LIEU HANG NAM\2026\1.MUC TIEU NAM\9.TLHDM\[Gia_cong_khong_nguoi.xlsx]Tinh_Toan'!$R$59+''\\vdm-fsvr\Cokhi-機工\1.TAI LIEU HANG NAM\2026\1.MUC TIEU NAM\9.TLHDM\[Gia_cong_khong_nguoi.xlsx]Tinh_Toan'!$S$59)-''\\vdm-fsvr\Cokhi-機工\1.TAI LIEU HANG NAM\2026\1.MUC TIEU NAM\9.TLHDM\[Gia_cong_khong_nguoi.xlsx]Tinh_Toan'!$M$59*2</t>
  </si>
  <si>
    <t>AP8=(''\\vdm-fsvr\Cokhi-機工\1.TAI LIEU HANG NAM\2026\1.MUC TIEU NAM\9.TLHDM\[Gia_cong_khong_nguoi.xlsx]Tinh_Toan'!$R$59+''\\vdm-fsvr\Cokhi-機工\1.TAI LIEU HANG NAM\2026\1.MUC TIEU NAM\9.TLHDM\[Gia_cong_khong_nguoi.xlsx]Tinh_Toan'!$S$59)-''\\vdm-fsvr\Cokhi-機工\1.TAI LIEU HANG NAM\2026\1.MUC TIEU NAM\9.TLHDM\[Gia_cong_khong_nguoi.xlsx]Tinh_Toan'!$M$59*2</t>
  </si>
  <si>
    <t>AQ8=(''\\vdm-fsvr\Cokhi-機工\1.TAI LIEU HANG NAM\2026\1.MUC TIEU NAM\9.TLHDM\[Gia_cong_khong_nguoi.xlsx]Tinh_Toan'!$R$59+''\\vdm-fsvr\Cokhi-機工\1.TAI LIEU HANG NAM\2026\1.MUC TIEU NAM\9.TLHDM\[Gia_cong_khong_nguoi.xlsx]Tinh_Toan'!$S$59)-''\\vdm-fsvr\Cokhi-機工\1.TAI LIEU HANG NAM\2026\1.MUC TIEU NAM\9.TLHDM\[Gia_cong_khong_nguoi.xlsx]Tinh_Toan'!$M$59*2</t>
  </si>
  <si>
    <t>AR8=(''\\vdm-fsvr\Cokhi-機工\1.TAI LIEU HANG NAM\2026\1.MUC TIEU NAM\9.TLHDM\[Gia_cong_khong_nguoi.xlsx]Tinh_Toan'!$R$59+''\\vdm-fsvr\Cokhi-機工\1.TAI LIEU HANG NAM\2026\1.MUC TIEU NAM\9.TLHDM\[Gia_cong_khong_nguoi.xlsx]Tinh_Toan'!$S$59)-''\\vdm-fsvr\Cokhi-機工\1.TAI LIEU HANG NAM\2026\1.MUC TIEU NAM\9.TLHDM\[Gia_cong_khong_nguoi.xlsx]Tinh_Toan'!$M$59*2</t>
  </si>
  <si>
    <t>AS8=(''\\vdm-fsvr\Cokhi-機工\1.TAI LIEU HANG NAM\2026\1.MUC TIEU NAM\9.TLHDM\[Gia_cong_khong_nguoi.xlsx]Tinh_Toan'!$R$59+''\\vdm-fsvr\Cokhi-機工\1.TAI LIEU HANG NAM\2026\1.MUC TIEU NAM\9.TLHDM\[Gia_cong_khong_nguoi.xlsx]Tinh_Toan'!$S$59)-''\\vdm-fsvr\Cokhi-機工\1.TAI LIEU HANG NAM\2026\1.MUC TIEU NAM\9.TLHDM\[Gia_cong_khong_nguoi.xlsx]Tinh_Toan'!$M$59*2</t>
  </si>
  <si>
    <t>'\\vdm-fsvr\Cokhi-機工\1.TAI LIEU HANG NAM\2026\1.MUC TIEU NAM\9.TLHDM\[Gia_cong_khong_nguoi.xlsx]Tinh_Toan'!$M$59*2</t>
  </si>
  <si>
    <t>N9=''\\vdm-fsvr\Cokhi-機工\1.TAI LIEU HANG NAM\2026\1.MUC TIEU NAM\9.TLHDM\[Gia_cong_khong_nguoi.xlsx]Tinh_Toan'!$M$59*2</t>
  </si>
  <si>
    <t>O9=''\\vdm-fsvr\Cokhi-機工\1.TAI LIEU HANG NAM\2026\1.MUC TIEU NAM\9.TLHDM\[Gia_cong_khong_nguoi.xlsx]Tinh_Toan'!$M$59*2</t>
  </si>
  <si>
    <t>P9=''\\vdm-fsvr\Cokhi-機工\1.TAI LIEU HANG NAM\2026\1.MUC TIEU NAM\9.TLHDM\[Gia_cong_khong_nguoi.xlsx]Tinh_Toan'!$M$59*2</t>
  </si>
  <si>
    <t>Q9=''\\vdm-fsvr\Cokhi-機工\1.TAI LIEU HANG NAM\2026\1.MUC TIEU NAM\9.TLHDM\[Gia_cong_khong_nguoi.xlsx]Tinh_Toan'!$M$59*2</t>
  </si>
  <si>
    <t>R9=''\\vdm-fsvr\Cokhi-機工\1.TAI LIEU HANG NAM\2026\1.MUC TIEU NAM\9.TLHDM\[Gia_cong_khong_nguoi.xlsx]Tinh_Toan'!$M$59*2</t>
  </si>
  <si>
    <t>S9=''\\vdm-fsvr\Cokhi-機工\1.TAI LIEU HANG NAM\2026\1.MUC TIEU NAM\9.TLHDM\[Gia_cong_khong_nguoi.xlsx]Tinh_Toan'!$M$59*2</t>
  </si>
  <si>
    <t>T9=''\\vdm-fsvr\Cokhi-機工\1.TAI LIEU HANG NAM\2026\1.MUC TIEU NAM\9.TLHDM\[Gia_cong_khong_nguoi.xlsx]Tinh_Toan'!$M$59*2</t>
  </si>
  <si>
    <t>U9=''\\vdm-fsvr\Cokhi-機工\1.TAI LIEU HANG NAM\2026\1.MUC TIEU NAM\9.TLHDM\[Gia_cong_khong_nguoi.xlsx]Tinh_Toan'!$M$59*2</t>
  </si>
  <si>
    <t>V9=''\\vdm-fsvr\Cokhi-機工\1.TAI LIEU HANG NAM\2026\1.MUC TIEU NAM\9.TLHDM\[Gia_cong_khong_nguoi.xlsx]Tinh_Toan'!$M$59*2</t>
  </si>
  <si>
    <t>W9=''\\vdm-fsvr\Cokhi-機工\1.TAI LIEU HANG NAM\2026\1.MUC TIEU NAM\9.TLHDM\[Gia_cong_khong_nguoi.xlsx]Tinh_Toan'!$M$59*2</t>
  </si>
  <si>
    <t>X9=''\\vdm-fsvr\Cokhi-機工\1.TAI LIEU HANG NAM\2026\1.MUC TIEU NAM\9.TLHDM\[Gia_cong_khong_nguoi.xlsx]Tinh_Toan'!$M$59*2</t>
  </si>
  <si>
    <t>Y9=''\\vdm-fsvr\Cokhi-機工\1.TAI LIEU HANG NAM\2026\1.MUC TIEU NAM\9.TLHDM\[Gia_cong_khong_nguoi.xlsx]Tinh_Toan'!$M$59*2</t>
  </si>
  <si>
    <t>Z9=''\\vdm-fsvr\Cokhi-機工\1.TAI LIEU HANG NAM\2026\1.MUC TIEU NAM\9.TLHDM\[Gia_cong_khong_nguoi.xlsx]Tinh_Toan'!$M$59*2</t>
  </si>
  <si>
    <t>AA9=''\\vdm-fsvr\Cokhi-機工\1.TAI LIEU HANG NAM\2026\1.MUC TIEU NAM\9.TLHDM\[Gia_cong_khong_nguoi.xlsx]Tinh_Toan'!$M$59*2</t>
  </si>
  <si>
    <t>AB9=''\\vdm-fsvr\Cokhi-機工\1.TAI LIEU HANG NAM\2026\1.MUC TIEU NAM\9.TLHDM\[Gia_cong_khong_nguoi.xlsx]Tinh_Toan'!$M$59*2</t>
  </si>
  <si>
    <t>AC9=''\\vdm-fsvr\Cokhi-機工\1.TAI LIEU HANG NAM\2026\1.MUC TIEU NAM\9.TLHDM\[Gia_cong_khong_nguoi.xlsx]Tinh_Toan'!$M$59*2</t>
  </si>
  <si>
    <t>AD9=''\\vdm-fsvr\Cokhi-機工\1.TAI LIEU HANG NAM\2026\1.MUC TIEU NAM\9.TLHDM\[Gia_cong_khong_nguoi.xlsx]Tinh_Toan'!$M$59*2</t>
  </si>
  <si>
    <t>AE9=''\\vdm-fsvr\Cokhi-機工\1.TAI LIEU HANG NAM\2026\1.MUC TIEU NAM\9.TLHDM\[Gia_cong_khong_nguoi.xlsx]Tinh_Toan'!$M$59*2</t>
  </si>
  <si>
    <t>AF9=''\\vdm-fsvr\Cokhi-機工\1.TAI LIEU HANG NAM\2026\1.MUC TIEU NAM\9.TLHDM\[Gia_cong_khong_nguoi.xlsx]Tinh_Toan'!$M$59*2</t>
  </si>
  <si>
    <t>AG9=''\\vdm-fsvr\Cokhi-機工\1.TAI LIEU HANG NAM\2026\1.MUC TIEU NAM\9.TLHDM\[Gia_cong_khong_nguoi.xlsx]Tinh_Toan'!$M$59*2</t>
  </si>
  <si>
    <t>AH9=''\\vdm-fsvr\Cokhi-機工\1.TAI LIEU HANG NAM\2026\1.MUC TIEU NAM\9.TLHDM\[Gia_cong_khong_nguoi.xlsx]Tinh_Toan'!$M$59*2</t>
  </si>
  <si>
    <t>AI9=''\\vdm-fsvr\Cokhi-機工\1.TAI LIEU HANG NAM\2026\1.MUC TIEU NAM\9.TLHDM\[Gia_cong_khong_nguoi.xlsx]Tinh_Toan'!$M$59*2</t>
  </si>
  <si>
    <t>AJ9=''\\vdm-fsvr\Cokhi-機工\1.TAI LIEU HANG NAM\2026\1.MUC TIEU NAM\9.TLHDM\[Gia_cong_khong_nguoi.xlsx]Tinh_Toan'!$M$59*2</t>
  </si>
  <si>
    <t>AK9=''\\vdm-fsvr\Cokhi-機工\1.TAI LIEU HANG NAM\2026\1.MUC TIEU NAM\9.TLHDM\[Gia_cong_khong_nguoi.xlsx]Tinh_Toan'!$M$59*2</t>
  </si>
  <si>
    <t>AL9=''\\vdm-fsvr\Cokhi-機工\1.TAI LIEU HANG NAM\2026\1.MUC TIEU NAM\9.TLHDM\[Gia_cong_khong_nguoi.xlsx]Tinh_Toan'!$M$59*2</t>
  </si>
  <si>
    <t>AM9=''\\vdm-fsvr\Cokhi-機工\1.TAI LIEU HANG NAM\2026\1.MUC TIEU NAM\9.TLHDM\[Gia_cong_khong_nguoi.xlsx]Tinh_Toan'!$M$59*2</t>
  </si>
  <si>
    <t>AN9=''\\vdm-fsvr\Cokhi-機工\1.TAI LIEU HANG NAM\2026\1.MUC TIEU NAM\9.TLHDM\[Gia_cong_khong_nguoi.xlsx]Tinh_Toan'!$M$59*2</t>
  </si>
  <si>
    <t>AO9=''\\vdm-fsvr\Cokhi-機工\1.TAI LIEU HANG NAM\2026\1.MUC TIEU NAM\9.TLHDM\[Gia_cong_khong_nguoi.xlsx]Tinh_Toan'!$M$59*2</t>
  </si>
  <si>
    <t>AP9=''\\vdm-fsvr\Cokhi-機工\1.TAI LIEU HANG NAM\2026\1.MUC TIEU NAM\9.TLHDM\[Gia_cong_khong_nguoi.xlsx]Tinh_Toan'!$M$59*2</t>
  </si>
  <si>
    <t>AQ9=''\\vdm-fsvr\Cokhi-機工\1.TAI LIEU HANG NAM\2026\1.MUC TIEU NAM\9.TLHDM\[Gia_cong_khong_nguoi.xlsx]Tinh_Toan'!$M$59*2</t>
  </si>
  <si>
    <t>AR9=''\\vdm-fsvr\Cokhi-機工\1.TAI LIEU HANG NAM\2026\1.MUC TIEU NAM\9.TLHDM\[Gia_cong_khong_nguoi.xlsx]Tinh_Toan'!$M$59*2</t>
  </si>
  <si>
    <t>AS9=''\\vdm-fsvr\Cokhi-機工\1.TAI LIEU HANG NAM\2026\1.MUC TIEU NAM\9.TLHDM\[Gia_cong_khong_nguoi.xlsx]Tinh_Toan'!$M$59*2</t>
  </si>
  <si>
    <t>'\\vdm-fsvr\Cokhi-機工\1.TAI LIEU HANG NAM\2026\1.MUC TIEU NAM\9.TLHDM\[Gia_cong_khong_nguoi.xlsx]Tinh_Toan'!$U$59+''\\vdm-fsvr\Cokhi-機工\1.TAI LIEU HANG NAM\2026\1.MUC TIEU NAM\9.TLHDM\[Gia_cong_khong_nguoi.xlsx]Tinh_Toan'!$V$59</t>
  </si>
  <si>
    <t>N10='\\vdm-fsvr\Cokhi-機工\1.TAI LIEU HANG NAM\2026\1.MUC TIEU NAM\9.TLHDM\[Gia_cong_khong_nguoi.xlsx]Tinh_Toan'!$U$59+''\\vdm-fsvr\Cokhi-機工\1.TAI LIEU HANG NAM\2026\1.MUC TIEU NAM\9.TLHDM\[Gia_cong_khong_nguoi.xlsx]Tinh_Toan'!$V$59</t>
  </si>
  <si>
    <t>O10='\\vdm-fsvr\Cokhi-機工\1.TAI LIEU HANG NAM\2026\1.MUC TIEU NAM\9.TLHDM\[Gia_cong_khong_nguoi.xlsx]Tinh_Toan'!$U$59+''\\vdm-fsvr\Cokhi-機工\1.TAI LIEU HANG NAM\2026\1.MUC TIEU NAM\9.TLHDM\[Gia_cong_khong_nguoi.xlsx]Tinh_Toan'!$V$59</t>
  </si>
  <si>
    <t>P10='\\vdm-fsvr\Cokhi-機工\1.TAI LIEU HANG NAM\2026\1.MUC TIEU NAM\9.TLHDM\[Gia_cong_khong_nguoi.xlsx]Tinh_Toan'!$U$59+''\\vdm-fsvr\Cokhi-機工\1.TAI LIEU HANG NAM\2026\1.MUC TIEU NAM\9.TLHDM\[Gia_cong_khong_nguoi.xlsx]Tinh_Toan'!$V$59</t>
  </si>
  <si>
    <t>Q10='\\vdm-fsvr\Cokhi-機工\1.TAI LIEU HANG NAM\2026\1.MUC TIEU NAM\9.TLHDM\[Gia_cong_khong_nguoi.xlsx]Tinh_Toan'!$U$59+''\\vdm-fsvr\Cokhi-機工\1.TAI LIEU HANG NAM\2026\1.MUC TIEU NAM\9.TLHDM\[Gia_cong_khong_nguoi.xlsx]Tinh_Toan'!$V$59</t>
  </si>
  <si>
    <t>R10='\\vdm-fsvr\Cokhi-機工\1.TAI LIEU HANG NAM\2026\1.MUC TIEU NAM\9.TLHDM\[Gia_cong_khong_nguoi.xlsx]Tinh_Toan'!$U$59+''\\vdm-fsvr\Cokhi-機工\1.TAI LIEU HANG NAM\2026\1.MUC TIEU NAM\9.TLHDM\[Gia_cong_khong_nguoi.xlsx]Tinh_Toan'!$V$59</t>
  </si>
  <si>
    <t>S10='\\vdm-fsvr\Cokhi-機工\1.TAI LIEU HANG NAM\2026\1.MUC TIEU NAM\9.TLHDM\[Gia_cong_khong_nguoi.xlsx]Tinh_Toan'!$U$59+''\\vdm-fsvr\Cokhi-機工\1.TAI LIEU HANG NAM\2026\1.MUC TIEU NAM\9.TLHDM\[Gia_cong_khong_nguoi.xlsx]Tinh_Toan'!$V$59</t>
  </si>
  <si>
    <t>T10='\\vdm-fsvr\Cokhi-機工\1.TAI LIEU HANG NAM\2026\1.MUC TIEU NAM\9.TLHDM\[Gia_cong_khong_nguoi.xlsx]Tinh_Toan'!$U$59+''\\vdm-fsvr\Cokhi-機工\1.TAI LIEU HANG NAM\2026\1.MUC TIEU NAM\9.TLHDM\[Gia_cong_khong_nguoi.xlsx]Tinh_Toan'!$V$59</t>
  </si>
  <si>
    <t>U10='\\vdm-fsvr\Cokhi-機工\1.TAI LIEU HANG NAM\2026\1.MUC TIEU NAM\9.TLHDM\[Gia_cong_khong_nguoi.xlsx]Tinh_Toan'!$U$59+''\\vdm-fsvr\Cokhi-機工\1.TAI LIEU HANG NAM\2026\1.MUC TIEU NAM\9.TLHDM\[Gia_cong_khong_nguoi.xlsx]Tinh_Toan'!$V$59</t>
  </si>
  <si>
    <t>V10='\\vdm-fsvr\Cokhi-機工\1.TAI LIEU HANG NAM\2026\1.MUC TIEU NAM\9.TLHDM\[Gia_cong_khong_nguoi.xlsx]Tinh_Toan'!$U$59+''\\vdm-fsvr\Cokhi-機工\1.TAI LIEU HANG NAM\2026\1.MUC TIEU NAM\9.TLHDM\[Gia_cong_khong_nguoi.xlsx]Tinh_Toan'!$V$59</t>
  </si>
  <si>
    <t>W10='\\vdm-fsvr\Cokhi-機工\1.TAI LIEU HANG NAM\2026\1.MUC TIEU NAM\9.TLHDM\[Gia_cong_khong_nguoi.xlsx]Tinh_Toan'!$U$59+''\\vdm-fsvr\Cokhi-機工\1.TAI LIEU HANG NAM\2026\1.MUC TIEU NAM\9.TLHDM\[Gia_cong_khong_nguoi.xlsx]Tinh_Toan'!$V$59</t>
  </si>
  <si>
    <t>X10='\\vdm-fsvr\Cokhi-機工\1.TAI LIEU HANG NAM\2026\1.MUC TIEU NAM\9.TLHDM\[Gia_cong_khong_nguoi.xlsx]Tinh_Toan'!$U$59+''\\vdm-fsvr\Cokhi-機工\1.TAI LIEU HANG NAM\2026\1.MUC TIEU NAM\9.TLHDM\[Gia_cong_khong_nguoi.xlsx]Tinh_Toan'!$V$59</t>
  </si>
  <si>
    <t>Y10='\\vdm-fsvr\Cokhi-機工\1.TAI LIEU HANG NAM\2026\1.MUC TIEU NAM\9.TLHDM\[Gia_cong_khong_nguoi.xlsx]Tinh_Toan'!$U$59+''\\vdm-fsvr\Cokhi-機工\1.TAI LIEU HANG NAM\2026\1.MUC TIEU NAM\9.TLHDM\[Gia_cong_khong_nguoi.xlsx]Tinh_Toan'!$V$59</t>
  </si>
  <si>
    <t>Z10='\\vdm-fsvr\Cokhi-機工\1.TAI LIEU HANG NAM\2026\1.MUC TIEU NAM\9.TLHDM\[Gia_cong_khong_nguoi.xlsx]Tinh_Toan'!$U$59+''\\vdm-fsvr\Cokhi-機工\1.TAI LIEU HANG NAM\2026\1.MUC TIEU NAM\9.TLHDM\[Gia_cong_khong_nguoi.xlsx]Tinh_Toan'!$V$59</t>
  </si>
  <si>
    <t>AA10='\\vdm-fsvr\Cokhi-機工\1.TAI LIEU HANG NAM\2026\1.MUC TIEU NAM\9.TLHDM\[Gia_cong_khong_nguoi.xlsx]Tinh_Toan'!$U$59+''\\vdm-fsvr\Cokhi-機工\1.TAI LIEU HANG NAM\2026\1.MUC TIEU NAM\9.TLHDM\[Gia_cong_khong_nguoi.xlsx]Tinh_Toan'!$V$59</t>
  </si>
  <si>
    <t>AB10='\\vdm-fsvr\Cokhi-機工\1.TAI LIEU HANG NAM\2026\1.MUC TIEU NAM\9.TLHDM\[Gia_cong_khong_nguoi.xlsx]Tinh_Toan'!$U$59+''\\vdm-fsvr\Cokhi-機工\1.TAI LIEU HANG NAM\2026\1.MUC TIEU NAM\9.TLHDM\[Gia_cong_khong_nguoi.xlsx]Tinh_Toan'!$V$59</t>
  </si>
  <si>
    <t>AC10='\\vdm-fsvr\Cokhi-機工\1.TAI LIEU HANG NAM\2026\1.MUC TIEU NAM\9.TLHDM\[Gia_cong_khong_nguoi.xlsx]Tinh_Toan'!$U$59+''\\vdm-fsvr\Cokhi-機工\1.TAI LIEU HANG NAM\2026\1.MUC TIEU NAM\9.TLHDM\[Gia_cong_khong_nguoi.xlsx]Tinh_Toan'!$V$59</t>
  </si>
  <si>
    <t>AD10='\\vdm-fsvr\Cokhi-機工\1.TAI LIEU HANG NAM\2026\1.MUC TIEU NAM\9.TLHDM\[Gia_cong_khong_nguoi.xlsx]Tinh_Toan'!$U$59+''\\vdm-fsvr\Cokhi-機工\1.TAI LIEU HANG NAM\2026\1.MUC TIEU NAM\9.TLHDM\[Gia_cong_khong_nguoi.xlsx]Tinh_Toan'!$V$59</t>
  </si>
  <si>
    <t>AE10='\\vdm-fsvr\Cokhi-機工\1.TAI LIEU HANG NAM\2026\1.MUC TIEU NAM\9.TLHDM\[Gia_cong_khong_nguoi.xlsx]Tinh_Toan'!$U$59+''\\vdm-fsvr\Cokhi-機工\1.TAI LIEU HANG NAM\2026\1.MUC TIEU NAM\9.TLHDM\[Gia_cong_khong_nguoi.xlsx]Tinh_Toan'!$V$59</t>
  </si>
  <si>
    <t>AF10='\\vdm-fsvr\Cokhi-機工\1.TAI LIEU HANG NAM\2026\1.MUC TIEU NAM\9.TLHDM\[Gia_cong_khong_nguoi.xlsx]Tinh_Toan'!$U$59+''\\vdm-fsvr\Cokhi-機工\1.TAI LIEU HANG NAM\2026\1.MUC TIEU NAM\9.TLHDM\[Gia_cong_khong_nguoi.xlsx]Tinh_Toan'!$V$59</t>
  </si>
  <si>
    <t>AG10='\\vdm-fsvr\Cokhi-機工\1.TAI LIEU HANG NAM\2026\1.MUC TIEU NAM\9.TLHDM\[Gia_cong_khong_nguoi.xlsx]Tinh_Toan'!$U$59+''\\vdm-fsvr\Cokhi-機工\1.TAI LIEU HANG NAM\2026\1.MUC TIEU NAM\9.TLHDM\[Gia_cong_khong_nguoi.xlsx]Tinh_Toan'!$V$59</t>
  </si>
  <si>
    <t>AH10='\\vdm-fsvr\Cokhi-機工\1.TAI LIEU HANG NAM\2026\1.MUC TIEU NAM\9.TLHDM\[Gia_cong_khong_nguoi.xlsx]Tinh_Toan'!$U$59+''\\vdm-fsvr\Cokhi-機工\1.TAI LIEU HANG NAM\2026\1.MUC TIEU NAM\9.TLHDM\[Gia_cong_khong_nguoi.xlsx]Tinh_Toan'!$V$59</t>
  </si>
  <si>
    <t>AI10='\\vdm-fsvr\Cokhi-機工\1.TAI LIEU HANG NAM\2026\1.MUC TIEU NAM\9.TLHDM\[Gia_cong_khong_nguoi.xlsx]Tinh_Toan'!$U$59+''\\vdm-fsvr\Cokhi-機工\1.TAI LIEU HANG NAM\2026\1.MUC TIEU NAM\9.TLHDM\[Gia_cong_khong_nguoi.xlsx]Tinh_Toan'!$V$59</t>
  </si>
  <si>
    <t>AJ10='\\vdm-fsvr\Cokhi-機工\1.TAI LIEU HANG NAM\2026\1.MUC TIEU NAM\9.TLHDM\[Gia_cong_khong_nguoi.xlsx]Tinh_Toan'!$U$59+''\\vdm-fsvr\Cokhi-機工\1.TAI LIEU HANG NAM\2026\1.MUC TIEU NAM\9.TLHDM\[Gia_cong_khong_nguoi.xlsx]Tinh_Toan'!$V$59</t>
  </si>
  <si>
    <t>AK10='\\vdm-fsvr\Cokhi-機工\1.TAI LIEU HANG NAM\2026\1.MUC TIEU NAM\9.TLHDM\[Gia_cong_khong_nguoi.xlsx]Tinh_Toan'!$U$59+''\\vdm-fsvr\Cokhi-機工\1.TAI LIEU HANG NAM\2026\1.MUC TIEU NAM\9.TLHDM\[Gia_cong_khong_nguoi.xlsx]Tinh_Toan'!$V$59</t>
  </si>
  <si>
    <t>AL10='\\vdm-fsvr\Cokhi-機工\1.TAI LIEU HANG NAM\2026\1.MUC TIEU NAM\9.TLHDM\[Gia_cong_khong_nguoi.xlsx]Tinh_Toan'!$U$59+''\\vdm-fsvr\Cokhi-機工\1.TAI LIEU HANG NAM\2026\1.MUC TIEU NAM\9.TLHDM\[Gia_cong_khong_nguoi.xlsx]Tinh_Toan'!$V$59</t>
  </si>
  <si>
    <t>AM10='\\vdm-fsvr\Cokhi-機工\1.TAI LIEU HANG NAM\2026\1.MUC TIEU NAM\9.TLHDM\[Gia_cong_khong_nguoi.xlsx]Tinh_Toan'!$U$59+''\\vdm-fsvr\Cokhi-機工\1.TAI LIEU HANG NAM\2026\1.MUC TIEU NAM\9.TLHDM\[Gia_cong_khong_nguoi.xlsx]Tinh_Toan'!$V$59</t>
  </si>
  <si>
    <t>AN10='\\vdm-fsvr\Cokhi-機工\1.TAI LIEU HANG NAM\2026\1.MUC TIEU NAM\9.TLHDM\[Gia_cong_khong_nguoi.xlsx]Tinh_Toan'!$U$59+''\\vdm-fsvr\Cokhi-機工\1.TAI LIEU HANG NAM\2026\1.MUC TIEU NAM\9.TLHDM\[Gia_cong_khong_nguoi.xlsx]Tinh_Toan'!$V$59</t>
  </si>
  <si>
    <t>AO10='\\vdm-fsvr\Cokhi-機工\1.TAI LIEU HANG NAM\2026\1.MUC TIEU NAM\9.TLHDM\[Gia_cong_khong_nguoi.xlsx]Tinh_Toan'!$U$59+''\\vdm-fsvr\Cokhi-機工\1.TAI LIEU HANG NAM\2026\1.MUC TIEU NAM\9.TLHDM\[Gia_cong_khong_nguoi.xlsx]Tinh_Toan'!$V$59</t>
  </si>
  <si>
    <t>AP10='\\vdm-fsvr\Cokhi-機工\1.TAI LIEU HANG NAM\2026\1.MUC TIEU NAM\9.TLHDM\[Gia_cong_khong_nguoi.xlsx]Tinh_Toan'!$U$59+''\\vdm-fsvr\Cokhi-機工\1.TAI LIEU HANG NAM\2026\1.MUC TIEU NAM\9.TLHDM\[Gia_cong_khong_nguoi.xlsx]Tinh_Toan'!$V$59</t>
  </si>
  <si>
    <t>AQ10='\\vdm-fsvr\Cokhi-機工\1.TAI LIEU HANG NAM\2026\1.MUC TIEU NAM\9.TLHDM\[Gia_cong_khong_nguoi.xlsx]Tinh_Toan'!$U$59+''\\vdm-fsvr\Cokhi-機工\1.TAI LIEU HANG NAM\2026\1.MUC TIEU NAM\9.TLHDM\[Gia_cong_khong_nguoi.xlsx]Tinh_Toan'!$V$59</t>
  </si>
  <si>
    <t>AR10='\\vdm-fsvr\Cokhi-機工\1.TAI LIEU HANG NAM\2026\1.MUC TIEU NAM\9.TLHDM\[Gia_cong_khong_nguoi.xlsx]Tinh_Toan'!$U$59+''\\vdm-fsvr\Cokhi-機工\1.TAI LIEU HANG NAM\2026\1.MUC TIEU NAM\9.TLHDM\[Gia_cong_khong_nguoi.xlsx]Tinh_Toan'!$V$59</t>
  </si>
  <si>
    <t>AS10='\\vdm-fsvr\Cokhi-機工\1.TAI LIEU HANG NAM\2026\1.MUC TIEU NAM\9.TLHDM\[Gia_cong_khong_nguoi.xlsx]Tinh_Toan'!$U$59+''\\vdm-fsvr\Cokhi-機工\1.TAI LIEU HANG NAM\2026\1.MUC TIEU NAM\9.TLHDM\[Gia_cong_khong_nguoi.xlsx]Tinh_Toan'!$V$59</t>
  </si>
  <si>
    <t>Thực tích TGGC không người: Ăn cơm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</si>
</sst>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rial"/>
      <family val="2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Calibri"/>
      <family val="2"/>
    </font>
    <font>
      <sz val="11"/>
      <color theme="1"/>
      <name val="Segoe UI"/>
      <family val="2"/>
    </font>
    <font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8">
    <xf numFmtId="0" fontId="0" fillId="0" borderId="0" xfId="0"/>
    <xf numFmtId="0" fontId="0" fillId="0" borderId="1" xfId="0" applyBorder="1"/>
    <xf numFmtId="0" fontId="3" fillId="0" borderId="1" xfId="1" applyBorder="1" applyAlignment="1">
      <alignment horizontal="left" vertical="center"/>
    </xf>
    <xf numFmtId="0" fontId="3" fillId="0" borderId="1" xfId="1" applyBorder="1" applyAlignment="1">
      <alignment horizontal="center" vertical="center"/>
    </xf>
    <xf numFmtId="16" fontId="3" fillId="0" borderId="1" xfId="1" applyNumberFormat="1" applyBorder="1" applyAlignment="1">
      <alignment horizontal="center" vertical="center"/>
    </xf>
    <xf numFmtId="0" fontId="4" fillId="0" borderId="1" xfId="1" applyFont="1" applyBorder="1" applyAlignment="1">
      <alignment horizontal="left" vertical="center"/>
    </xf>
    <xf numFmtId="0" fontId="4" fillId="0" borderId="1" xfId="1" applyFont="1" applyBorder="1" applyAlignment="1">
      <alignment horizontal="center" vertical="center"/>
    </xf>
    <xf numFmtId="0" fontId="3" fillId="0" borderId="1" xfId="1" applyBorder="1" applyAlignment="1">
      <alignment horizontal="center"/>
    </xf>
    <xf numFmtId="0" fontId="3" fillId="2" borderId="1" xfId="1" applyFill="1" applyBorder="1" applyAlignment="1">
      <alignment horizontal="left" vertical="center"/>
    </xf>
    <xf numFmtId="0" fontId="0" fillId="3" borderId="1" xfId="0" applyFill="1" applyBorder="1"/>
    <xf numFmtId="0" fontId="0" fillId="4" borderId="1" xfId="0" applyFill="1" applyBorder="1"/>
    <xf numFmtId="2" fontId="0" fillId="4" borderId="1" xfId="0" applyNumberFormat="1" applyFill="1" applyBorder="1"/>
    <xf numFmtId="0" fontId="0" fillId="5" borderId="1" xfId="0" applyFill="1" applyBorder="1"/>
    <xf numFmtId="0" fontId="0" fillId="0" borderId="0" xfId="0" applyAlignment="1">
      <alignment horizontal="left" vertical="center" wrapText="1"/>
    </xf>
    <xf numFmtId="0" fontId="0" fillId="0" borderId="0" xfId="0" quotePrefix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2" fillId="2" borderId="1" xfId="1" applyFont="1" applyFill="1" applyBorder="1" applyAlignment="1">
      <alignment horizontal="left" vertical="center"/>
    </xf>
    <xf numFmtId="0" fontId="1" fillId="2" borderId="1" xfId="1" applyFont="1" applyFill="1" applyBorder="1" applyAlignment="1">
      <alignment horizontal="left" vertical="center"/>
    </xf>
  </cellXfs>
  <cellStyles count="2">
    <cellStyle name="Normal" xfId="0" builtinId="0"/>
    <cellStyle name="Normal 2" xfId="1" xr:uid="{A3AF9813-CA71-46C2-A07F-D588CAB4E89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vdm-fsvr\Cokhi-&#27231;&#24037;\1.TAI%20LIEU%20HANG%20NAM\2026\1.MUC%20TIEU%20NAM\9.TLHDM\Gia_cong_khong_nguoi.xlsx" TargetMode="External"/><Relationship Id="rId1" Type="http://schemas.openxmlformats.org/officeDocument/2006/relationships/externalLinkPath" Target="file:///\\vdm-fsvr\Cokhi-&#27231;&#24037;\1.TAI%20LIEU%20HANG%20NAM\2026\1.MUC%20TIEU%20NAM\9.TLHDM\Gia_cong_khong_nguo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hực sách mục tiêu"/>
      <sheetName val="Tinh_Toan"/>
      <sheetName val="Biểu đồ new"/>
      <sheetName val="Thời gian phụ"/>
      <sheetName val="Tính toán "/>
    </sheetNames>
    <sheetDataSet>
      <sheetData sheetId="0"/>
      <sheetData sheetId="1">
        <row r="59">
          <cell r="M59">
            <v>315</v>
          </cell>
          <cell r="R59">
            <v>3738</v>
          </cell>
          <cell r="S59">
            <v>1837.5</v>
          </cell>
          <cell r="U59">
            <v>504</v>
          </cell>
          <cell r="V59">
            <v>1320</v>
          </cell>
          <cell r="Y59">
            <v>38239.5</v>
          </cell>
        </row>
      </sheetData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9E7B8-6B7F-4246-A9AF-96E1B27C9124}">
  <dimension ref="A3:AS21"/>
  <sheetViews>
    <sheetView tabSelected="1" topLeftCell="I1" workbookViewId="0">
      <selection activeCell="W17" sqref="W17"/>
    </sheetView>
  </sheetViews>
  <sheetFormatPr defaultRowHeight="14.25" x14ac:dyDescent="0.2"/>
  <cols>
    <col min="1" max="1" width="58.75" bestFit="1" customWidth="1"/>
    <col min="2" max="2" width="6.875" bestFit="1" customWidth="1"/>
    <col min="3" max="10" width="4.375" bestFit="1" customWidth="1"/>
    <col min="11" max="13" width="4.625" bestFit="1" customWidth="1"/>
    <col min="14" max="44" width="7.625" bestFit="1" customWidth="1"/>
    <col min="45" max="45" width="10.125" bestFit="1" customWidth="1"/>
  </cols>
  <sheetData>
    <row r="3" spans="1:45" ht="15" x14ac:dyDescent="0.2">
      <c r="A3" s="2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3" t="s">
        <v>11</v>
      </c>
      <c r="M3" s="3" t="s">
        <v>12</v>
      </c>
      <c r="N3" s="4">
        <v>46170</v>
      </c>
      <c r="O3" s="4">
        <v>46171</v>
      </c>
      <c r="P3" s="4">
        <v>46172</v>
      </c>
      <c r="Q3" s="4">
        <v>46173</v>
      </c>
      <c r="R3" s="4">
        <v>46174</v>
      </c>
      <c r="S3" s="4">
        <v>46175</v>
      </c>
      <c r="T3" s="4">
        <v>46176</v>
      </c>
      <c r="U3" s="4">
        <v>46177</v>
      </c>
      <c r="V3" s="4">
        <v>46178</v>
      </c>
      <c r="W3" s="4">
        <v>46179</v>
      </c>
      <c r="X3" s="4">
        <v>46180</v>
      </c>
      <c r="Y3" s="4">
        <v>46181</v>
      </c>
      <c r="Z3" s="4">
        <v>46182</v>
      </c>
      <c r="AA3" s="4">
        <v>46183</v>
      </c>
      <c r="AB3" s="4">
        <v>46184</v>
      </c>
      <c r="AC3" s="4">
        <v>46185</v>
      </c>
      <c r="AD3" s="4">
        <v>46186</v>
      </c>
      <c r="AE3" s="4">
        <v>46187</v>
      </c>
      <c r="AF3" s="4">
        <v>46188</v>
      </c>
      <c r="AG3" s="4">
        <v>46189</v>
      </c>
      <c r="AH3" s="4">
        <v>46190</v>
      </c>
      <c r="AI3" s="4">
        <v>46191</v>
      </c>
      <c r="AJ3" s="4">
        <v>46192</v>
      </c>
      <c r="AK3" s="4">
        <v>46193</v>
      </c>
      <c r="AL3" s="4">
        <v>46194</v>
      </c>
      <c r="AM3" s="4">
        <v>46195</v>
      </c>
      <c r="AN3" s="4">
        <v>46196</v>
      </c>
      <c r="AO3" s="4">
        <v>46197</v>
      </c>
      <c r="AP3" s="4">
        <v>46198</v>
      </c>
      <c r="AQ3" s="4">
        <v>46199</v>
      </c>
      <c r="AR3" s="4">
        <v>46200</v>
      </c>
      <c r="AS3" s="4">
        <v>46201</v>
      </c>
    </row>
    <row r="4" spans="1:45" ht="15" x14ac:dyDescent="0.25">
      <c r="A4" s="5" t="s">
        <v>13</v>
      </c>
      <c r="B4" s="6">
        <v>1</v>
      </c>
      <c r="C4" s="6">
        <v>1</v>
      </c>
      <c r="D4" s="6">
        <v>1</v>
      </c>
      <c r="E4" s="6">
        <v>1</v>
      </c>
      <c r="F4" s="6">
        <v>1</v>
      </c>
      <c r="G4" s="6">
        <v>1</v>
      </c>
      <c r="H4" s="6">
        <v>1</v>
      </c>
      <c r="I4" s="6">
        <v>1</v>
      </c>
      <c r="J4" s="6">
        <v>1</v>
      </c>
      <c r="K4" s="6">
        <v>1</v>
      </c>
      <c r="L4" s="6">
        <v>1</v>
      </c>
      <c r="M4" s="7">
        <v>1</v>
      </c>
      <c r="N4" s="7">
        <v>1</v>
      </c>
      <c r="O4" s="7">
        <v>1</v>
      </c>
      <c r="P4" s="7">
        <v>0</v>
      </c>
      <c r="Q4" s="7">
        <v>0</v>
      </c>
      <c r="R4" s="7">
        <v>1</v>
      </c>
      <c r="S4" s="7">
        <v>1</v>
      </c>
      <c r="T4" s="7">
        <v>1</v>
      </c>
      <c r="U4" s="7">
        <v>1</v>
      </c>
      <c r="V4" s="7">
        <v>1</v>
      </c>
      <c r="W4" s="7">
        <v>0</v>
      </c>
      <c r="X4" s="7">
        <v>0</v>
      </c>
      <c r="Y4" s="7">
        <v>1</v>
      </c>
      <c r="Z4" s="7">
        <v>1</v>
      </c>
      <c r="AA4" s="7">
        <v>1</v>
      </c>
      <c r="AB4" s="7">
        <v>1</v>
      </c>
      <c r="AC4" s="7">
        <v>1</v>
      </c>
      <c r="AD4" s="7">
        <v>0</v>
      </c>
      <c r="AE4" s="7">
        <v>0</v>
      </c>
      <c r="AF4" s="7">
        <v>1</v>
      </c>
      <c r="AG4" s="7">
        <v>1</v>
      </c>
      <c r="AH4" s="7">
        <v>1</v>
      </c>
      <c r="AI4" s="7">
        <v>1</v>
      </c>
      <c r="AJ4" s="7">
        <v>1</v>
      </c>
      <c r="AK4" s="7">
        <v>0</v>
      </c>
      <c r="AL4" s="7">
        <v>0</v>
      </c>
      <c r="AM4" s="7">
        <v>1</v>
      </c>
      <c r="AN4" s="7">
        <v>1</v>
      </c>
      <c r="AO4" s="7">
        <v>1</v>
      </c>
      <c r="AP4" s="7">
        <v>1</v>
      </c>
      <c r="AQ4" s="7">
        <v>1</v>
      </c>
      <c r="AR4" s="7">
        <v>0</v>
      </c>
      <c r="AS4" s="7">
        <v>0</v>
      </c>
    </row>
    <row r="5" spans="1:45" ht="15" x14ac:dyDescent="0.2">
      <c r="A5" s="16" t="s">
        <v>27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</row>
    <row r="6" spans="1:45" ht="15" x14ac:dyDescent="0.2">
      <c r="A6" s="8" t="s">
        <v>29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>
        <v>20</v>
      </c>
      <c r="O6" s="1">
        <v>20</v>
      </c>
      <c r="P6" s="1"/>
      <c r="Q6" s="1"/>
      <c r="R6" s="1">
        <v>20</v>
      </c>
      <c r="S6" s="1">
        <v>20</v>
      </c>
      <c r="T6" s="1">
        <v>20</v>
      </c>
      <c r="U6" s="1">
        <v>20</v>
      </c>
      <c r="V6" s="1">
        <v>20</v>
      </c>
      <c r="W6" s="1"/>
      <c r="X6" s="1"/>
      <c r="Y6" s="1">
        <v>20</v>
      </c>
      <c r="Z6" s="1">
        <v>20</v>
      </c>
      <c r="AA6" s="1">
        <v>20</v>
      </c>
      <c r="AB6" s="1">
        <v>20</v>
      </c>
      <c r="AC6" s="1">
        <v>20</v>
      </c>
      <c r="AD6" s="1">
        <v>20</v>
      </c>
      <c r="AE6" s="1">
        <v>20</v>
      </c>
      <c r="AF6" s="1">
        <v>20</v>
      </c>
      <c r="AG6" s="1">
        <v>20</v>
      </c>
      <c r="AH6" s="1">
        <v>20</v>
      </c>
      <c r="AI6" s="1">
        <v>20</v>
      </c>
      <c r="AJ6" s="1">
        <v>20</v>
      </c>
      <c r="AK6" s="1">
        <v>20</v>
      </c>
      <c r="AL6" s="1">
        <v>20</v>
      </c>
      <c r="AM6" s="1">
        <v>20</v>
      </c>
      <c r="AN6" s="1">
        <v>20</v>
      </c>
      <c r="AO6" s="1">
        <v>20</v>
      </c>
      <c r="AP6" s="1">
        <v>20</v>
      </c>
      <c r="AQ6" s="1">
        <v>20</v>
      </c>
      <c r="AR6" s="1">
        <v>20</v>
      </c>
      <c r="AS6" s="1">
        <v>20</v>
      </c>
    </row>
    <row r="7" spans="1:45" ht="15" x14ac:dyDescent="0.2">
      <c r="A7" s="8" t="s">
        <v>14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2">
        <f>[1]Tinh_Toan!$Y$59</f>
        <v>38239.5</v>
      </c>
      <c r="O7" s="12">
        <f>[1]Tinh_Toan!$Y$59</f>
        <v>38239.5</v>
      </c>
      <c r="P7" s="12"/>
      <c r="Q7" s="12"/>
      <c r="R7" s="12">
        <f>[1]Tinh_Toan!$Y$59</f>
        <v>38239.5</v>
      </c>
      <c r="S7" s="12">
        <f>[1]Tinh_Toan!$Y$59</f>
        <v>38239.5</v>
      </c>
      <c r="T7" s="12">
        <f>[1]Tinh_Toan!$Y$59</f>
        <v>38239.5</v>
      </c>
      <c r="U7" s="12">
        <f>[1]Tinh_Toan!$Y$59</f>
        <v>38239.5</v>
      </c>
      <c r="V7" s="12">
        <f>[1]Tinh_Toan!$Y$59</f>
        <v>38239.5</v>
      </c>
      <c r="W7" s="12"/>
      <c r="X7" s="12"/>
      <c r="Y7" s="12">
        <f>[1]Tinh_Toan!$Y$59</f>
        <v>38239.5</v>
      </c>
      <c r="Z7" s="12">
        <f>[1]Tinh_Toan!$Y$59</f>
        <v>38239.5</v>
      </c>
      <c r="AA7" s="12">
        <f>[1]Tinh_Toan!$Y$59</f>
        <v>38239.5</v>
      </c>
      <c r="AB7" s="12">
        <f>[1]Tinh_Toan!$Y$59</f>
        <v>38239.5</v>
      </c>
      <c r="AC7" s="12">
        <f>[1]Tinh_Toan!$Y$59</f>
        <v>38239.5</v>
      </c>
      <c r="AD7" s="12">
        <f>[1]Tinh_Toan!$Y$59</f>
        <v>38239.5</v>
      </c>
      <c r="AE7" s="12">
        <f>[1]Tinh_Toan!$Y$59</f>
        <v>38239.5</v>
      </c>
      <c r="AF7" s="12">
        <f>[1]Tinh_Toan!$Y$59</f>
        <v>38239.5</v>
      </c>
      <c r="AG7" s="12">
        <f>[1]Tinh_Toan!$Y$59</f>
        <v>38239.5</v>
      </c>
      <c r="AH7" s="12">
        <f>[1]Tinh_Toan!$Y$59</f>
        <v>38239.5</v>
      </c>
      <c r="AI7" s="12">
        <f>[1]Tinh_Toan!$Y$59</f>
        <v>38239.5</v>
      </c>
      <c r="AJ7" s="12">
        <f>[1]Tinh_Toan!$Y$59</f>
        <v>38239.5</v>
      </c>
      <c r="AK7" s="12">
        <f>[1]Tinh_Toan!$Y$59</f>
        <v>38239.5</v>
      </c>
      <c r="AL7" s="12">
        <f>[1]Tinh_Toan!$Y$59</f>
        <v>38239.5</v>
      </c>
      <c r="AM7" s="12">
        <f>[1]Tinh_Toan!$Y$59</f>
        <v>38239.5</v>
      </c>
      <c r="AN7" s="12">
        <f>[1]Tinh_Toan!$Y$59</f>
        <v>38239.5</v>
      </c>
      <c r="AO7" s="12">
        <f>[1]Tinh_Toan!$Y$59</f>
        <v>38239.5</v>
      </c>
      <c r="AP7" s="12">
        <f>[1]Tinh_Toan!$Y$59</f>
        <v>38239.5</v>
      </c>
      <c r="AQ7" s="12">
        <f>[1]Tinh_Toan!$Y$59</f>
        <v>38239.5</v>
      </c>
      <c r="AR7" s="12">
        <f>[1]Tinh_Toan!$Y$59</f>
        <v>38239.5</v>
      </c>
      <c r="AS7" s="12">
        <f>[1]Tinh_Toan!$Y$59</f>
        <v>38239.5</v>
      </c>
    </row>
    <row r="8" spans="1:45" ht="15" x14ac:dyDescent="0.2">
      <c r="A8" s="8" t="s">
        <v>21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2">
        <f>([1]Tinh_Toan!$R$59+[1]Tinh_Toan!$S$59)-[1]Tinh_Toan!$M$59*2</f>
        <v>4945.5</v>
      </c>
      <c r="O8" s="12">
        <f>([1]Tinh_Toan!$R$59+[1]Tinh_Toan!$S$59)-[1]Tinh_Toan!$M$59*2</f>
        <v>4945.5</v>
      </c>
      <c r="P8" s="12"/>
      <c r="Q8" s="12"/>
      <c r="R8" s="12">
        <f>([1]Tinh_Toan!$R$59+[1]Tinh_Toan!$S$59)-[1]Tinh_Toan!$M$59*2</f>
        <v>4945.5</v>
      </c>
      <c r="S8" s="12">
        <f>([1]Tinh_Toan!$R$59+[1]Tinh_Toan!$S$59)-[1]Tinh_Toan!$M$59*2</f>
        <v>4945.5</v>
      </c>
      <c r="T8" s="12">
        <f>([1]Tinh_Toan!$R$59+[1]Tinh_Toan!$S$59)-[1]Tinh_Toan!$M$59*2</f>
        <v>4945.5</v>
      </c>
      <c r="U8" s="12">
        <f>([1]Tinh_Toan!$R$59+[1]Tinh_Toan!$S$59)-[1]Tinh_Toan!$M$59*2</f>
        <v>4945.5</v>
      </c>
      <c r="V8" s="12">
        <f>([1]Tinh_Toan!$R$59+[1]Tinh_Toan!$S$59)-[1]Tinh_Toan!$M$59*2</f>
        <v>4945.5</v>
      </c>
      <c r="W8" s="12"/>
      <c r="X8" s="12"/>
      <c r="Y8" s="12">
        <f>([1]Tinh_Toan!$R$59+[1]Tinh_Toan!$S$59)-[1]Tinh_Toan!$M$59*2</f>
        <v>4945.5</v>
      </c>
      <c r="Z8" s="12">
        <f>([1]Tinh_Toan!$R$59+[1]Tinh_Toan!$S$59)-[1]Tinh_Toan!$M$59*2</f>
        <v>4945.5</v>
      </c>
      <c r="AA8" s="12">
        <f>([1]Tinh_Toan!$R$59+[1]Tinh_Toan!$S$59)-[1]Tinh_Toan!$M$59*2</f>
        <v>4945.5</v>
      </c>
      <c r="AB8" s="12">
        <f>([1]Tinh_Toan!$R$59+[1]Tinh_Toan!$S$59)-[1]Tinh_Toan!$M$59*2</f>
        <v>4945.5</v>
      </c>
      <c r="AC8" s="12">
        <f>([1]Tinh_Toan!$R$59+[1]Tinh_Toan!$S$59)-[1]Tinh_Toan!$M$59*2</f>
        <v>4945.5</v>
      </c>
      <c r="AD8" s="12">
        <f>([1]Tinh_Toan!$R$59+[1]Tinh_Toan!$S$59)-[1]Tinh_Toan!$M$59*2</f>
        <v>4945.5</v>
      </c>
      <c r="AE8" s="12">
        <f>([1]Tinh_Toan!$R$59+[1]Tinh_Toan!$S$59)-[1]Tinh_Toan!$M$59*2</f>
        <v>4945.5</v>
      </c>
      <c r="AF8" s="12">
        <f>([1]Tinh_Toan!$R$59+[1]Tinh_Toan!$S$59)-[1]Tinh_Toan!$M$59*2</f>
        <v>4945.5</v>
      </c>
      <c r="AG8" s="12">
        <f>([1]Tinh_Toan!$R$59+[1]Tinh_Toan!$S$59)-[1]Tinh_Toan!$M$59*2</f>
        <v>4945.5</v>
      </c>
      <c r="AH8" s="12">
        <f>([1]Tinh_Toan!$R$59+[1]Tinh_Toan!$S$59)-[1]Tinh_Toan!$M$59*2</f>
        <v>4945.5</v>
      </c>
      <c r="AI8" s="12">
        <f>([1]Tinh_Toan!$R$59+[1]Tinh_Toan!$S$59)-[1]Tinh_Toan!$M$59*2</f>
        <v>4945.5</v>
      </c>
      <c r="AJ8" s="12">
        <f>([1]Tinh_Toan!$R$59+[1]Tinh_Toan!$S$59)-[1]Tinh_Toan!$M$59*2</f>
        <v>4945.5</v>
      </c>
      <c r="AK8" s="12">
        <f>([1]Tinh_Toan!$R$59+[1]Tinh_Toan!$S$59)-[1]Tinh_Toan!$M$59*2</f>
        <v>4945.5</v>
      </c>
      <c r="AL8" s="12">
        <f>([1]Tinh_Toan!$R$59+[1]Tinh_Toan!$S$59)-[1]Tinh_Toan!$M$59*2</f>
        <v>4945.5</v>
      </c>
      <c r="AM8" s="12">
        <f>([1]Tinh_Toan!$R$59+[1]Tinh_Toan!$S$59)-[1]Tinh_Toan!$M$59*2</f>
        <v>4945.5</v>
      </c>
      <c r="AN8" s="12">
        <f>([1]Tinh_Toan!$R$59+[1]Tinh_Toan!$S$59)-[1]Tinh_Toan!$M$59*2</f>
        <v>4945.5</v>
      </c>
      <c r="AO8" s="12">
        <f>([1]Tinh_Toan!$R$59+[1]Tinh_Toan!$S$59)-[1]Tinh_Toan!$M$59*2</f>
        <v>4945.5</v>
      </c>
      <c r="AP8" s="12">
        <f>([1]Tinh_Toan!$R$59+[1]Tinh_Toan!$S$59)-[1]Tinh_Toan!$M$59*2</f>
        <v>4945.5</v>
      </c>
      <c r="AQ8" s="12">
        <f>([1]Tinh_Toan!$R$59+[1]Tinh_Toan!$S$59)-[1]Tinh_Toan!$M$59*2</f>
        <v>4945.5</v>
      </c>
      <c r="AR8" s="12">
        <f>([1]Tinh_Toan!$R$59+[1]Tinh_Toan!$S$59)-[1]Tinh_Toan!$M$59*2</f>
        <v>4945.5</v>
      </c>
      <c r="AS8" s="12">
        <f>([1]Tinh_Toan!$R$59+[1]Tinh_Toan!$S$59)-[1]Tinh_Toan!$M$59*2</f>
        <v>4945.5</v>
      </c>
    </row>
    <row r="9" spans="1:45" ht="15" x14ac:dyDescent="0.2">
      <c r="A9" s="8" t="s">
        <v>16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2">
        <f>[1]Tinh_Toan!$M$59*2</f>
        <v>630</v>
      </c>
      <c r="O9" s="12">
        <f>[1]Tinh_Toan!$M$59*2</f>
        <v>630</v>
      </c>
      <c r="P9" s="12"/>
      <c r="Q9" s="12"/>
      <c r="R9" s="12">
        <f>[1]Tinh_Toan!$M$59*2</f>
        <v>630</v>
      </c>
      <c r="S9" s="12">
        <f>[1]Tinh_Toan!$M$59*2</f>
        <v>630</v>
      </c>
      <c r="T9" s="12">
        <f>[1]Tinh_Toan!$M$59*2</f>
        <v>630</v>
      </c>
      <c r="U9" s="12">
        <f>[1]Tinh_Toan!$M$59*2</f>
        <v>630</v>
      </c>
      <c r="V9" s="12">
        <f>[1]Tinh_Toan!$M$59*2</f>
        <v>630</v>
      </c>
      <c r="W9" s="12"/>
      <c r="X9" s="12"/>
      <c r="Y9" s="12">
        <f>[1]Tinh_Toan!$M$59*2</f>
        <v>630</v>
      </c>
      <c r="Z9" s="12">
        <f>[1]Tinh_Toan!$M$59*2</f>
        <v>630</v>
      </c>
      <c r="AA9" s="12">
        <f>[1]Tinh_Toan!$M$59*2</f>
        <v>630</v>
      </c>
      <c r="AB9" s="12">
        <f>[1]Tinh_Toan!$M$59*2</f>
        <v>630</v>
      </c>
      <c r="AC9" s="12">
        <f>[1]Tinh_Toan!$M$59*2</f>
        <v>630</v>
      </c>
      <c r="AD9" s="12">
        <f>[1]Tinh_Toan!$M$59*2</f>
        <v>630</v>
      </c>
      <c r="AE9" s="12">
        <f>[1]Tinh_Toan!$M$59*2</f>
        <v>630</v>
      </c>
      <c r="AF9" s="12">
        <f>[1]Tinh_Toan!$M$59*2</f>
        <v>630</v>
      </c>
      <c r="AG9" s="12">
        <f>[1]Tinh_Toan!$M$59*2</f>
        <v>630</v>
      </c>
      <c r="AH9" s="12">
        <f>[1]Tinh_Toan!$M$59*2</f>
        <v>630</v>
      </c>
      <c r="AI9" s="12">
        <f>[1]Tinh_Toan!$M$59*2</f>
        <v>630</v>
      </c>
      <c r="AJ9" s="12">
        <f>[1]Tinh_Toan!$M$59*2</f>
        <v>630</v>
      </c>
      <c r="AK9" s="12">
        <f>[1]Tinh_Toan!$M$59*2</f>
        <v>630</v>
      </c>
      <c r="AL9" s="12">
        <f>[1]Tinh_Toan!$M$59*2</f>
        <v>630</v>
      </c>
      <c r="AM9" s="12">
        <f>[1]Tinh_Toan!$M$59*2</f>
        <v>630</v>
      </c>
      <c r="AN9" s="12">
        <f>[1]Tinh_Toan!$M$59*2</f>
        <v>630</v>
      </c>
      <c r="AO9" s="12">
        <f>[1]Tinh_Toan!$M$59*2</f>
        <v>630</v>
      </c>
      <c r="AP9" s="12">
        <f>[1]Tinh_Toan!$M$59*2</f>
        <v>630</v>
      </c>
      <c r="AQ9" s="12">
        <f>[1]Tinh_Toan!$M$59*2</f>
        <v>630</v>
      </c>
      <c r="AR9" s="12">
        <f>[1]Tinh_Toan!$M$59*2</f>
        <v>630</v>
      </c>
      <c r="AS9" s="12">
        <f>[1]Tinh_Toan!$M$59*2</f>
        <v>630</v>
      </c>
    </row>
    <row r="10" spans="1:45" ht="15" x14ac:dyDescent="0.2">
      <c r="A10" s="8" t="s">
        <v>20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2">
        <f>[1]Tinh_Toan!$U$59+[1]Tinh_Toan!$V$59</f>
        <v>1824</v>
      </c>
      <c r="O10" s="12">
        <f>[1]Tinh_Toan!$U$59+[1]Tinh_Toan!$V$59</f>
        <v>1824</v>
      </c>
      <c r="P10" s="12"/>
      <c r="Q10" s="12"/>
      <c r="R10" s="12">
        <f>[1]Tinh_Toan!$U$59+[1]Tinh_Toan!$V$59</f>
        <v>1824</v>
      </c>
      <c r="S10" s="12">
        <f>[1]Tinh_Toan!$U$59+[1]Tinh_Toan!$V$59</f>
        <v>1824</v>
      </c>
      <c r="T10" s="12">
        <f>[1]Tinh_Toan!$U$59+[1]Tinh_Toan!$V$59</f>
        <v>1824</v>
      </c>
      <c r="U10" s="12">
        <f>[1]Tinh_Toan!$U$59+[1]Tinh_Toan!$V$59</f>
        <v>1824</v>
      </c>
      <c r="V10" s="12">
        <f>[1]Tinh_Toan!$U$59+[1]Tinh_Toan!$V$59</f>
        <v>1824</v>
      </c>
      <c r="W10" s="12"/>
      <c r="X10" s="12"/>
      <c r="Y10" s="12">
        <f>[1]Tinh_Toan!$U$59+[1]Tinh_Toan!$V$59</f>
        <v>1824</v>
      </c>
      <c r="Z10" s="12">
        <f>[1]Tinh_Toan!$U$59+[1]Tinh_Toan!$V$59</f>
        <v>1824</v>
      </c>
      <c r="AA10" s="12">
        <f>[1]Tinh_Toan!$U$59+[1]Tinh_Toan!$V$59</f>
        <v>1824</v>
      </c>
      <c r="AB10" s="12">
        <f>[1]Tinh_Toan!$U$59+[1]Tinh_Toan!$V$59</f>
        <v>1824</v>
      </c>
      <c r="AC10" s="12">
        <f>[1]Tinh_Toan!$U$59+[1]Tinh_Toan!$V$59</f>
        <v>1824</v>
      </c>
      <c r="AD10" s="12">
        <f>[1]Tinh_Toan!$U$59+[1]Tinh_Toan!$V$59</f>
        <v>1824</v>
      </c>
      <c r="AE10" s="12">
        <f>[1]Tinh_Toan!$U$59+[1]Tinh_Toan!$V$59</f>
        <v>1824</v>
      </c>
      <c r="AF10" s="12">
        <f>[1]Tinh_Toan!$U$59+[1]Tinh_Toan!$V$59</f>
        <v>1824</v>
      </c>
      <c r="AG10" s="12">
        <f>[1]Tinh_Toan!$U$59+[1]Tinh_Toan!$V$59</f>
        <v>1824</v>
      </c>
      <c r="AH10" s="12">
        <f>[1]Tinh_Toan!$U$59+[1]Tinh_Toan!$V$59</f>
        <v>1824</v>
      </c>
      <c r="AI10" s="12">
        <f>[1]Tinh_Toan!$U$59+[1]Tinh_Toan!$V$59</f>
        <v>1824</v>
      </c>
      <c r="AJ10" s="12">
        <f>[1]Tinh_Toan!$U$59+[1]Tinh_Toan!$V$59</f>
        <v>1824</v>
      </c>
      <c r="AK10" s="12">
        <f>[1]Tinh_Toan!$U$59+[1]Tinh_Toan!$V$59</f>
        <v>1824</v>
      </c>
      <c r="AL10" s="12">
        <f>[1]Tinh_Toan!$U$59+[1]Tinh_Toan!$V$59</f>
        <v>1824</v>
      </c>
      <c r="AM10" s="12">
        <f>[1]Tinh_Toan!$U$59+[1]Tinh_Toan!$V$59</f>
        <v>1824</v>
      </c>
      <c r="AN10" s="12">
        <f>[1]Tinh_Toan!$U$59+[1]Tinh_Toan!$V$59</f>
        <v>1824</v>
      </c>
      <c r="AO10" s="12">
        <f>[1]Tinh_Toan!$U$59+[1]Tinh_Toan!$V$59</f>
        <v>1824</v>
      </c>
      <c r="AP10" s="12">
        <f>[1]Tinh_Toan!$U$59+[1]Tinh_Toan!$V$59</f>
        <v>1824</v>
      </c>
      <c r="AQ10" s="12">
        <f>[1]Tinh_Toan!$U$59+[1]Tinh_Toan!$V$59</f>
        <v>1824</v>
      </c>
      <c r="AR10" s="12">
        <f>[1]Tinh_Toan!$U$59+[1]Tinh_Toan!$V$59</f>
        <v>1824</v>
      </c>
      <c r="AS10" s="12">
        <f>[1]Tinh_Toan!$U$59+[1]Tinh_Toan!$V$59</f>
        <v>1824</v>
      </c>
    </row>
    <row r="11" spans="1:45" ht="15" x14ac:dyDescent="0.2">
      <c r="A11" s="8" t="s">
        <v>22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1">
        <f>IFERROR(N8/N$7*100,"")</f>
        <v>12.932961989565763</v>
      </c>
      <c r="O11" s="11">
        <f t="shared" ref="O11:AS11" si="0">IFERROR(O8/O$7*100,"")</f>
        <v>12.932961989565763</v>
      </c>
      <c r="P11" s="11"/>
      <c r="Q11" s="11"/>
      <c r="R11" s="11">
        <f t="shared" si="0"/>
        <v>12.932961989565763</v>
      </c>
      <c r="S11" s="11">
        <f t="shared" si="0"/>
        <v>12.932961989565763</v>
      </c>
      <c r="T11" s="11">
        <f t="shared" si="0"/>
        <v>12.932961989565763</v>
      </c>
      <c r="U11" s="11">
        <f t="shared" si="0"/>
        <v>12.932961989565763</v>
      </c>
      <c r="V11" s="11">
        <f t="shared" si="0"/>
        <v>12.932961989565763</v>
      </c>
      <c r="W11" s="11"/>
      <c r="X11" s="11"/>
      <c r="Y11" s="11">
        <f t="shared" si="0"/>
        <v>12.932961989565763</v>
      </c>
      <c r="Z11" s="11">
        <f t="shared" si="0"/>
        <v>12.932961989565763</v>
      </c>
      <c r="AA11" s="11">
        <f t="shared" si="0"/>
        <v>12.932961989565763</v>
      </c>
      <c r="AB11" s="11">
        <f t="shared" si="0"/>
        <v>12.932961989565763</v>
      </c>
      <c r="AC11" s="11">
        <f t="shared" si="0"/>
        <v>12.932961989565763</v>
      </c>
      <c r="AD11" s="11">
        <f t="shared" si="0"/>
        <v>12.932961989565763</v>
      </c>
      <c r="AE11" s="11">
        <f t="shared" si="0"/>
        <v>12.932961989565763</v>
      </c>
      <c r="AF11" s="11">
        <f t="shared" si="0"/>
        <v>12.932961989565763</v>
      </c>
      <c r="AG11" s="11">
        <f t="shared" si="0"/>
        <v>12.932961989565763</v>
      </c>
      <c r="AH11" s="11">
        <f t="shared" si="0"/>
        <v>12.932961989565763</v>
      </c>
      <c r="AI11" s="11">
        <f t="shared" si="0"/>
        <v>12.932961989565763</v>
      </c>
      <c r="AJ11" s="11">
        <f t="shared" si="0"/>
        <v>12.932961989565763</v>
      </c>
      <c r="AK11" s="11">
        <f t="shared" si="0"/>
        <v>12.932961989565763</v>
      </c>
      <c r="AL11" s="11">
        <f t="shared" si="0"/>
        <v>12.932961989565763</v>
      </c>
      <c r="AM11" s="11">
        <f t="shared" si="0"/>
        <v>12.932961989565763</v>
      </c>
      <c r="AN11" s="11">
        <f t="shared" si="0"/>
        <v>12.932961989565763</v>
      </c>
      <c r="AO11" s="11">
        <f t="shared" si="0"/>
        <v>12.932961989565763</v>
      </c>
      <c r="AP11" s="11">
        <f t="shared" si="0"/>
        <v>12.932961989565763</v>
      </c>
      <c r="AQ11" s="11">
        <f t="shared" si="0"/>
        <v>12.932961989565763</v>
      </c>
      <c r="AR11" s="11">
        <f t="shared" si="0"/>
        <v>12.932961989565763</v>
      </c>
      <c r="AS11" s="11">
        <f t="shared" si="0"/>
        <v>12.932961989565763</v>
      </c>
    </row>
    <row r="12" spans="1:45" ht="15" x14ac:dyDescent="0.2">
      <c r="A12" s="8" t="s">
        <v>23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1">
        <f>IFERROR(N9/N$7*100,"")</f>
        <v>1.6475110814733456</v>
      </c>
      <c r="O12" s="11">
        <f t="shared" ref="O12:AS12" si="1">IFERROR(O9/O$7*100,"")</f>
        <v>1.6475110814733456</v>
      </c>
      <c r="P12" s="11"/>
      <c r="Q12" s="11"/>
      <c r="R12" s="11">
        <f t="shared" si="1"/>
        <v>1.6475110814733456</v>
      </c>
      <c r="S12" s="11">
        <f t="shared" si="1"/>
        <v>1.6475110814733456</v>
      </c>
      <c r="T12" s="11">
        <f t="shared" si="1"/>
        <v>1.6475110814733456</v>
      </c>
      <c r="U12" s="11">
        <f t="shared" si="1"/>
        <v>1.6475110814733456</v>
      </c>
      <c r="V12" s="11">
        <f t="shared" si="1"/>
        <v>1.6475110814733456</v>
      </c>
      <c r="W12" s="11"/>
      <c r="X12" s="11"/>
      <c r="Y12" s="11">
        <f t="shared" si="1"/>
        <v>1.6475110814733456</v>
      </c>
      <c r="Z12" s="11">
        <f t="shared" si="1"/>
        <v>1.6475110814733456</v>
      </c>
      <c r="AA12" s="11">
        <f t="shared" si="1"/>
        <v>1.6475110814733456</v>
      </c>
      <c r="AB12" s="11">
        <f t="shared" si="1"/>
        <v>1.6475110814733456</v>
      </c>
      <c r="AC12" s="11">
        <f t="shared" si="1"/>
        <v>1.6475110814733456</v>
      </c>
      <c r="AD12" s="11">
        <f t="shared" si="1"/>
        <v>1.6475110814733456</v>
      </c>
      <c r="AE12" s="11">
        <f t="shared" si="1"/>
        <v>1.6475110814733456</v>
      </c>
      <c r="AF12" s="11">
        <f t="shared" si="1"/>
        <v>1.6475110814733456</v>
      </c>
      <c r="AG12" s="11">
        <f t="shared" si="1"/>
        <v>1.6475110814733456</v>
      </c>
      <c r="AH12" s="11">
        <f t="shared" si="1"/>
        <v>1.6475110814733456</v>
      </c>
      <c r="AI12" s="11">
        <f t="shared" si="1"/>
        <v>1.6475110814733456</v>
      </c>
      <c r="AJ12" s="11">
        <f t="shared" si="1"/>
        <v>1.6475110814733456</v>
      </c>
      <c r="AK12" s="11">
        <f t="shared" si="1"/>
        <v>1.6475110814733456</v>
      </c>
      <c r="AL12" s="11">
        <f t="shared" si="1"/>
        <v>1.6475110814733456</v>
      </c>
      <c r="AM12" s="11">
        <f t="shared" si="1"/>
        <v>1.6475110814733456</v>
      </c>
      <c r="AN12" s="11">
        <f t="shared" si="1"/>
        <v>1.6475110814733456</v>
      </c>
      <c r="AO12" s="11">
        <f t="shared" si="1"/>
        <v>1.6475110814733456</v>
      </c>
      <c r="AP12" s="11">
        <f t="shared" si="1"/>
        <v>1.6475110814733456</v>
      </c>
      <c r="AQ12" s="11">
        <f t="shared" si="1"/>
        <v>1.6475110814733456</v>
      </c>
      <c r="AR12" s="11">
        <f t="shared" si="1"/>
        <v>1.6475110814733456</v>
      </c>
      <c r="AS12" s="11">
        <f t="shared" si="1"/>
        <v>1.6475110814733456</v>
      </c>
    </row>
    <row r="13" spans="1:45" ht="15" x14ac:dyDescent="0.2">
      <c r="A13" s="8" t="s">
        <v>24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1">
        <f>IFERROR(N10/N$7*100,"")</f>
        <v>4.7699368454085436</v>
      </c>
      <c r="O13" s="11">
        <f t="shared" ref="O13:AS13" si="2">IFERROR(O10/O$7*100,"")</f>
        <v>4.7699368454085436</v>
      </c>
      <c r="P13" s="11"/>
      <c r="Q13" s="11"/>
      <c r="R13" s="11">
        <f t="shared" si="2"/>
        <v>4.7699368454085436</v>
      </c>
      <c r="S13" s="11">
        <f t="shared" si="2"/>
        <v>4.7699368454085436</v>
      </c>
      <c r="T13" s="11">
        <f t="shared" si="2"/>
        <v>4.7699368454085436</v>
      </c>
      <c r="U13" s="11">
        <f t="shared" si="2"/>
        <v>4.7699368454085436</v>
      </c>
      <c r="V13" s="11">
        <f t="shared" si="2"/>
        <v>4.7699368454085436</v>
      </c>
      <c r="W13" s="11"/>
      <c r="X13" s="11"/>
      <c r="Y13" s="11">
        <f t="shared" si="2"/>
        <v>4.7699368454085436</v>
      </c>
      <c r="Z13" s="11">
        <f t="shared" si="2"/>
        <v>4.7699368454085436</v>
      </c>
      <c r="AA13" s="11">
        <f t="shared" si="2"/>
        <v>4.7699368454085436</v>
      </c>
      <c r="AB13" s="11">
        <f t="shared" si="2"/>
        <v>4.7699368454085436</v>
      </c>
      <c r="AC13" s="11">
        <f t="shared" si="2"/>
        <v>4.7699368454085436</v>
      </c>
      <c r="AD13" s="11">
        <f t="shared" si="2"/>
        <v>4.7699368454085436</v>
      </c>
      <c r="AE13" s="11">
        <f t="shared" si="2"/>
        <v>4.7699368454085436</v>
      </c>
      <c r="AF13" s="11">
        <f t="shared" si="2"/>
        <v>4.7699368454085436</v>
      </c>
      <c r="AG13" s="11">
        <f t="shared" si="2"/>
        <v>4.7699368454085436</v>
      </c>
      <c r="AH13" s="11">
        <f t="shared" si="2"/>
        <v>4.7699368454085436</v>
      </c>
      <c r="AI13" s="11">
        <f t="shared" si="2"/>
        <v>4.7699368454085436</v>
      </c>
      <c r="AJ13" s="11">
        <f t="shared" si="2"/>
        <v>4.7699368454085436</v>
      </c>
      <c r="AK13" s="11">
        <f t="shared" si="2"/>
        <v>4.7699368454085436</v>
      </c>
      <c r="AL13" s="11">
        <f t="shared" si="2"/>
        <v>4.7699368454085436</v>
      </c>
      <c r="AM13" s="11">
        <f t="shared" si="2"/>
        <v>4.7699368454085436</v>
      </c>
      <c r="AN13" s="11">
        <f t="shared" si="2"/>
        <v>4.7699368454085436</v>
      </c>
      <c r="AO13" s="11">
        <f t="shared" si="2"/>
        <v>4.7699368454085436</v>
      </c>
      <c r="AP13" s="11">
        <f t="shared" si="2"/>
        <v>4.7699368454085436</v>
      </c>
      <c r="AQ13" s="11">
        <f t="shared" si="2"/>
        <v>4.7699368454085436</v>
      </c>
      <c r="AR13" s="11">
        <f t="shared" si="2"/>
        <v>4.7699368454085436</v>
      </c>
      <c r="AS13" s="11">
        <f t="shared" si="2"/>
        <v>4.7699368454085436</v>
      </c>
    </row>
    <row r="14" spans="1:45" ht="15" x14ac:dyDescent="0.2">
      <c r="A14" s="17" t="s">
        <v>28</v>
      </c>
      <c r="B14" s="1">
        <v>15</v>
      </c>
      <c r="C14" s="1">
        <v>17</v>
      </c>
      <c r="D14" s="1">
        <v>12</v>
      </c>
      <c r="E14" s="1">
        <v>25</v>
      </c>
      <c r="F14" s="9" t="str" cm="1">
        <f t="array" ref="F14">IFERROR(SUM($N$16:AW$16/$N$15:$AS15*100),"")</f>
        <v/>
      </c>
      <c r="G14" s="9" t="str" cm="1">
        <f t="array" ref="G14">IFERROR(SUM($N$16:AX$16/$N$15:$AS15*100),"")</f>
        <v/>
      </c>
      <c r="H14" s="9" t="str" cm="1">
        <f t="array" ref="H14">IFERROR(SUM($N$16:AY$16/$N$15:$AS15*100),"")</f>
        <v/>
      </c>
      <c r="I14" s="9" t="str" cm="1">
        <f t="array" ref="I14">IFERROR(SUM($N$16:AZ$16/$N$15:$AS15*100),"")</f>
        <v/>
      </c>
      <c r="J14" s="9" t="str" cm="1">
        <f t="array" ref="J14">IFERROR(SUM($N$16:BA$16/$N$15:$AS15*100),"")</f>
        <v/>
      </c>
      <c r="K14" s="9" t="str" cm="1">
        <f t="array" ref="K14">IFERROR(SUM($N$16:BB$16/$N$15:$AS15*100),"")</f>
        <v/>
      </c>
      <c r="L14" s="9" t="str" cm="1">
        <f t="array" ref="L14">IFERROR(SUM($N$16:BC$16/$N$15:$AS15*100),"")</f>
        <v/>
      </c>
      <c r="M14" s="9" t="str" cm="1">
        <f t="array" ref="M14">IFERROR(SUM($N$16:BD$16/$N$15:$AS15*100),"")</f>
        <v/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</row>
    <row r="15" spans="1:45" ht="15" x14ac:dyDescent="0.2">
      <c r="A15" s="8" t="s">
        <v>15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9">
        <v>39055</v>
      </c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</row>
    <row r="16" spans="1:45" ht="15" x14ac:dyDescent="0.2">
      <c r="A16" s="8" t="s">
        <v>18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9">
        <v>4605</v>
      </c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</row>
    <row r="17" spans="1:45" ht="15" x14ac:dyDescent="0.2">
      <c r="A17" s="8" t="s">
        <v>17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9">
        <v>1500</v>
      </c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</row>
    <row r="18" spans="1:45" ht="15" x14ac:dyDescent="0.2">
      <c r="A18" s="8" t="s">
        <v>19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9">
        <v>2500</v>
      </c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</row>
    <row r="19" spans="1:45" ht="15" x14ac:dyDescent="0.2">
      <c r="A19" s="17" t="s">
        <v>26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0">
        <f>IFERROR(N16/N$15*100,"")</f>
        <v>11.791063884265778</v>
      </c>
      <c r="O19" s="10" t="str">
        <f t="shared" ref="O19:AS21" si="3">IFERROR(O16/O$15*100,"")</f>
        <v/>
      </c>
      <c r="P19" s="10" t="str">
        <f t="shared" si="3"/>
        <v/>
      </c>
      <c r="Q19" s="10" t="str">
        <f t="shared" si="3"/>
        <v/>
      </c>
      <c r="R19" s="10" t="str">
        <f t="shared" si="3"/>
        <v/>
      </c>
      <c r="S19" s="10" t="str">
        <f t="shared" si="3"/>
        <v/>
      </c>
      <c r="T19" s="10" t="str">
        <f t="shared" si="3"/>
        <v/>
      </c>
      <c r="U19" s="10" t="str">
        <f t="shared" si="3"/>
        <v/>
      </c>
      <c r="V19" s="10" t="str">
        <f t="shared" si="3"/>
        <v/>
      </c>
      <c r="W19" s="10" t="str">
        <f t="shared" si="3"/>
        <v/>
      </c>
      <c r="X19" s="10" t="str">
        <f t="shared" si="3"/>
        <v/>
      </c>
      <c r="Y19" s="10" t="str">
        <f t="shared" si="3"/>
        <v/>
      </c>
      <c r="Z19" s="10" t="str">
        <f t="shared" si="3"/>
        <v/>
      </c>
      <c r="AA19" s="10" t="str">
        <f t="shared" si="3"/>
        <v/>
      </c>
      <c r="AB19" s="10" t="str">
        <f t="shared" si="3"/>
        <v/>
      </c>
      <c r="AC19" s="10" t="str">
        <f t="shared" si="3"/>
        <v/>
      </c>
      <c r="AD19" s="10" t="str">
        <f t="shared" si="3"/>
        <v/>
      </c>
      <c r="AE19" s="10" t="str">
        <f t="shared" si="3"/>
        <v/>
      </c>
      <c r="AF19" s="10" t="str">
        <f t="shared" si="3"/>
        <v/>
      </c>
      <c r="AG19" s="10" t="str">
        <f t="shared" si="3"/>
        <v/>
      </c>
      <c r="AH19" s="10" t="str">
        <f t="shared" si="3"/>
        <v/>
      </c>
      <c r="AI19" s="10" t="str">
        <f t="shared" si="3"/>
        <v/>
      </c>
      <c r="AJ19" s="10" t="str">
        <f t="shared" si="3"/>
        <v/>
      </c>
      <c r="AK19" s="10" t="str">
        <f t="shared" si="3"/>
        <v/>
      </c>
      <c r="AL19" s="10" t="str">
        <f t="shared" si="3"/>
        <v/>
      </c>
      <c r="AM19" s="10" t="str">
        <f t="shared" si="3"/>
        <v/>
      </c>
      <c r="AN19" s="10" t="str">
        <f t="shared" si="3"/>
        <v/>
      </c>
      <c r="AO19" s="10" t="str">
        <f t="shared" si="3"/>
        <v/>
      </c>
      <c r="AP19" s="10" t="str">
        <f t="shared" si="3"/>
        <v/>
      </c>
      <c r="AQ19" s="10" t="str">
        <f t="shared" si="3"/>
        <v/>
      </c>
      <c r="AR19" s="10" t="str">
        <f t="shared" si="3"/>
        <v/>
      </c>
      <c r="AS19" s="10" t="str">
        <f t="shared" si="3"/>
        <v/>
      </c>
    </row>
    <row r="20" spans="1:45" ht="15" x14ac:dyDescent="0.2">
      <c r="A20" s="17" t="s">
        <v>644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0">
        <f t="shared" ref="N20:AC21" si="4">IFERROR(N17/N$15*100,"")</f>
        <v>3.8407374215849446</v>
      </c>
      <c r="O20" s="10" t="str">
        <f t="shared" si="4"/>
        <v/>
      </c>
      <c r="P20" s="10" t="str">
        <f t="shared" si="4"/>
        <v/>
      </c>
      <c r="Q20" s="10" t="str">
        <f t="shared" si="4"/>
        <v/>
      </c>
      <c r="R20" s="10" t="str">
        <f t="shared" si="4"/>
        <v/>
      </c>
      <c r="S20" s="10" t="str">
        <f t="shared" si="4"/>
        <v/>
      </c>
      <c r="T20" s="10" t="str">
        <f t="shared" si="4"/>
        <v/>
      </c>
      <c r="U20" s="10" t="str">
        <f t="shared" si="4"/>
        <v/>
      </c>
      <c r="V20" s="10" t="str">
        <f t="shared" si="4"/>
        <v/>
      </c>
      <c r="W20" s="10" t="str">
        <f t="shared" si="4"/>
        <v/>
      </c>
      <c r="X20" s="10" t="str">
        <f t="shared" si="4"/>
        <v/>
      </c>
      <c r="Y20" s="10" t="str">
        <f t="shared" si="4"/>
        <v/>
      </c>
      <c r="Z20" s="10" t="str">
        <f t="shared" si="4"/>
        <v/>
      </c>
      <c r="AA20" s="10" t="str">
        <f t="shared" si="4"/>
        <v/>
      </c>
      <c r="AB20" s="10" t="str">
        <f t="shared" si="4"/>
        <v/>
      </c>
      <c r="AC20" s="10" t="str">
        <f t="shared" si="4"/>
        <v/>
      </c>
      <c r="AD20" s="10" t="str">
        <f t="shared" si="3"/>
        <v/>
      </c>
      <c r="AE20" s="10" t="str">
        <f t="shared" si="3"/>
        <v/>
      </c>
      <c r="AF20" s="10" t="str">
        <f t="shared" si="3"/>
        <v/>
      </c>
      <c r="AG20" s="10" t="str">
        <f t="shared" si="3"/>
        <v/>
      </c>
      <c r="AH20" s="10" t="str">
        <f t="shared" si="3"/>
        <v/>
      </c>
      <c r="AI20" s="10" t="str">
        <f t="shared" si="3"/>
        <v/>
      </c>
      <c r="AJ20" s="10" t="str">
        <f t="shared" si="3"/>
        <v/>
      </c>
      <c r="AK20" s="10" t="str">
        <f t="shared" si="3"/>
        <v/>
      </c>
      <c r="AL20" s="10" t="str">
        <f t="shared" si="3"/>
        <v/>
      </c>
      <c r="AM20" s="10" t="str">
        <f t="shared" si="3"/>
        <v/>
      </c>
      <c r="AN20" s="10" t="str">
        <f t="shared" si="3"/>
        <v/>
      </c>
      <c r="AO20" s="10" t="str">
        <f t="shared" si="3"/>
        <v/>
      </c>
      <c r="AP20" s="10" t="str">
        <f t="shared" si="3"/>
        <v/>
      </c>
      <c r="AQ20" s="10" t="str">
        <f t="shared" si="3"/>
        <v/>
      </c>
      <c r="AR20" s="10" t="str">
        <f t="shared" si="3"/>
        <v/>
      </c>
      <c r="AS20" s="10" t="str">
        <f t="shared" si="3"/>
        <v/>
      </c>
    </row>
    <row r="21" spans="1:45" ht="15" x14ac:dyDescent="0.2">
      <c r="A21" s="17" t="s">
        <v>25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0">
        <f t="shared" si="4"/>
        <v>6.4012290359749073</v>
      </c>
      <c r="O21" s="10" t="str">
        <f t="shared" si="3"/>
        <v/>
      </c>
      <c r="P21" s="10" t="str">
        <f t="shared" si="3"/>
        <v/>
      </c>
      <c r="Q21" s="10" t="str">
        <f t="shared" si="3"/>
        <v/>
      </c>
      <c r="R21" s="10" t="str">
        <f t="shared" si="3"/>
        <v/>
      </c>
      <c r="S21" s="10" t="str">
        <f t="shared" si="3"/>
        <v/>
      </c>
      <c r="T21" s="10" t="str">
        <f t="shared" si="3"/>
        <v/>
      </c>
      <c r="U21" s="10" t="str">
        <f t="shared" si="3"/>
        <v/>
      </c>
      <c r="V21" s="10" t="str">
        <f t="shared" si="3"/>
        <v/>
      </c>
      <c r="W21" s="10" t="str">
        <f t="shared" si="3"/>
        <v/>
      </c>
      <c r="X21" s="10" t="str">
        <f t="shared" si="3"/>
        <v/>
      </c>
      <c r="Y21" s="10" t="str">
        <f t="shared" si="3"/>
        <v/>
      </c>
      <c r="Z21" s="10" t="str">
        <f t="shared" si="3"/>
        <v/>
      </c>
      <c r="AA21" s="10" t="str">
        <f t="shared" si="3"/>
        <v/>
      </c>
      <c r="AB21" s="10" t="str">
        <f t="shared" si="3"/>
        <v/>
      </c>
      <c r="AC21" s="10" t="str">
        <f t="shared" si="3"/>
        <v/>
      </c>
      <c r="AD21" s="10" t="str">
        <f t="shared" si="3"/>
        <v/>
      </c>
      <c r="AE21" s="10" t="str">
        <f t="shared" si="3"/>
        <v/>
      </c>
      <c r="AF21" s="10" t="str">
        <f t="shared" si="3"/>
        <v/>
      </c>
      <c r="AG21" s="10" t="str">
        <f t="shared" si="3"/>
        <v/>
      </c>
      <c r="AH21" s="10" t="str">
        <f t="shared" si="3"/>
        <v/>
      </c>
      <c r="AI21" s="10" t="str">
        <f t="shared" si="3"/>
        <v/>
      </c>
      <c r="AJ21" s="10" t="str">
        <f t="shared" si="3"/>
        <v/>
      </c>
      <c r="AK21" s="10" t="str">
        <f t="shared" si="3"/>
        <v/>
      </c>
      <c r="AL21" s="10" t="str">
        <f t="shared" si="3"/>
        <v/>
      </c>
      <c r="AM21" s="10" t="str">
        <f t="shared" si="3"/>
        <v/>
      </c>
      <c r="AN21" s="10" t="str">
        <f t="shared" si="3"/>
        <v/>
      </c>
      <c r="AO21" s="10" t="str">
        <f t="shared" si="3"/>
        <v/>
      </c>
      <c r="AP21" s="10" t="str">
        <f t="shared" si="3"/>
        <v/>
      </c>
      <c r="AQ21" s="10" t="str">
        <f t="shared" si="3"/>
        <v/>
      </c>
      <c r="AR21" s="10" t="str">
        <f t="shared" si="3"/>
        <v/>
      </c>
      <c r="AS21" s="10" t="str">
        <f t="shared" si="3"/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9F85C-1861-4656-A281-1D517F684444}">
  <dimension ref="A3:E376"/>
  <sheetViews>
    <sheetView topLeftCell="A371" workbookViewId="0">
      <pane xSplit="1" topLeftCell="B1" activePane="topRight" state="frozen"/>
      <selection activeCell="A65" sqref="A65"/>
      <selection pane="topRight" activeCell="E3" sqref="E3:E376"/>
    </sheetView>
  </sheetViews>
  <sheetFormatPr defaultRowHeight="14.25" x14ac:dyDescent="0.2"/>
  <cols>
    <col min="1" max="1" width="3.5" style="13" bestFit="1" customWidth="1"/>
    <col min="2" max="2" width="2.875" style="13" bestFit="1" customWidth="1"/>
    <col min="3" max="3" width="93.25" style="13" customWidth="1"/>
    <col min="4" max="4" width="87.625" style="13" customWidth="1"/>
    <col min="5" max="5" width="29.25" style="13" customWidth="1"/>
    <col min="6" max="16384" width="9" style="13"/>
  </cols>
  <sheetData>
    <row r="3" spans="1:5" x14ac:dyDescent="0.2">
      <c r="A3" s="13" t="s">
        <v>30</v>
      </c>
      <c r="B3" s="14">
        <v>5</v>
      </c>
      <c r="C3" s="13">
        <v>20</v>
      </c>
      <c r="D3" s="13" t="str">
        <f>_xlfn.CONCAT(A3,B3,"=",C3)</f>
        <v>B5=20</v>
      </c>
      <c r="E3" s="13" t="s">
        <v>266</v>
      </c>
    </row>
    <row r="4" spans="1:5" x14ac:dyDescent="0.2">
      <c r="A4" s="13" t="s">
        <v>31</v>
      </c>
      <c r="B4" s="14">
        <v>5</v>
      </c>
      <c r="C4" s="13">
        <v>20</v>
      </c>
      <c r="D4" s="13" t="str">
        <f t="shared" ref="D4:D67" si="0">_xlfn.CONCAT(A4,B4,"=",C4)</f>
        <v>C5=20</v>
      </c>
      <c r="E4" s="13" t="s">
        <v>267</v>
      </c>
    </row>
    <row r="5" spans="1:5" x14ac:dyDescent="0.2">
      <c r="A5" s="13" t="s">
        <v>32</v>
      </c>
      <c r="B5" s="14">
        <v>5</v>
      </c>
      <c r="C5" s="13">
        <v>20</v>
      </c>
      <c r="D5" s="13" t="str">
        <f t="shared" si="0"/>
        <v>D5=20</v>
      </c>
      <c r="E5" s="13" t="s">
        <v>268</v>
      </c>
    </row>
    <row r="6" spans="1:5" x14ac:dyDescent="0.2">
      <c r="A6" s="13" t="s">
        <v>33</v>
      </c>
      <c r="B6" s="14">
        <v>5</v>
      </c>
      <c r="C6" s="13">
        <v>20</v>
      </c>
      <c r="D6" s="13" t="str">
        <f t="shared" si="0"/>
        <v>E5=20</v>
      </c>
      <c r="E6" s="13" t="s">
        <v>269</v>
      </c>
    </row>
    <row r="7" spans="1:5" x14ac:dyDescent="0.2">
      <c r="A7" s="13" t="s">
        <v>34</v>
      </c>
      <c r="B7" s="14">
        <v>5</v>
      </c>
      <c r="C7" s="13">
        <v>20</v>
      </c>
      <c r="D7" s="13" t="str">
        <f t="shared" si="0"/>
        <v>F5=20</v>
      </c>
      <c r="E7" s="13" t="s">
        <v>270</v>
      </c>
    </row>
    <row r="8" spans="1:5" x14ac:dyDescent="0.2">
      <c r="A8" s="13" t="s">
        <v>35</v>
      </c>
      <c r="B8" s="14">
        <v>5</v>
      </c>
      <c r="C8" s="13">
        <v>20</v>
      </c>
      <c r="D8" s="13" t="str">
        <f t="shared" si="0"/>
        <v>G5=20</v>
      </c>
      <c r="E8" s="13" t="s">
        <v>271</v>
      </c>
    </row>
    <row r="9" spans="1:5" x14ac:dyDescent="0.2">
      <c r="A9" s="13" t="s">
        <v>36</v>
      </c>
      <c r="B9" s="14">
        <v>5</v>
      </c>
      <c r="C9" s="13">
        <v>20</v>
      </c>
      <c r="D9" s="13" t="str">
        <f t="shared" si="0"/>
        <v>I5=20</v>
      </c>
      <c r="E9" s="13" t="s">
        <v>272</v>
      </c>
    </row>
    <row r="10" spans="1:5" x14ac:dyDescent="0.2">
      <c r="A10" s="13" t="s">
        <v>37</v>
      </c>
      <c r="B10" s="14">
        <v>5</v>
      </c>
      <c r="C10" s="13">
        <v>20</v>
      </c>
      <c r="D10" s="13" t="str">
        <f t="shared" si="0"/>
        <v>J5=20</v>
      </c>
      <c r="E10" s="13" t="s">
        <v>273</v>
      </c>
    </row>
    <row r="11" spans="1:5" x14ac:dyDescent="0.2">
      <c r="A11" s="13" t="s">
        <v>38</v>
      </c>
      <c r="B11" s="14">
        <v>5</v>
      </c>
      <c r="C11" s="13">
        <v>20</v>
      </c>
      <c r="D11" s="13" t="str">
        <f t="shared" si="0"/>
        <v>K5=20</v>
      </c>
      <c r="E11" s="13" t="s">
        <v>274</v>
      </c>
    </row>
    <row r="12" spans="1:5" x14ac:dyDescent="0.2">
      <c r="A12" s="13" t="s">
        <v>39</v>
      </c>
      <c r="B12" s="14">
        <v>5</v>
      </c>
      <c r="C12" s="13">
        <v>20</v>
      </c>
      <c r="D12" s="13" t="str">
        <f t="shared" si="0"/>
        <v>L5=20</v>
      </c>
      <c r="E12" s="13" t="s">
        <v>275</v>
      </c>
    </row>
    <row r="13" spans="1:5" x14ac:dyDescent="0.2">
      <c r="A13" s="13" t="s">
        <v>40</v>
      </c>
      <c r="B13" s="14">
        <v>5</v>
      </c>
      <c r="C13" s="13">
        <v>20</v>
      </c>
      <c r="D13" s="13" t="str">
        <f t="shared" si="0"/>
        <v>M5=20</v>
      </c>
      <c r="E13" s="13" t="s">
        <v>276</v>
      </c>
    </row>
    <row r="14" spans="1:5" ht="28.5" x14ac:dyDescent="0.2">
      <c r="A14" s="13" t="s">
        <v>30</v>
      </c>
      <c r="B14" s="13">
        <v>14</v>
      </c>
      <c r="C14" s="13" t="s">
        <v>41</v>
      </c>
      <c r="D14" s="13" t="str">
        <f t="shared" si="0"/>
        <v>B14=IFERROR(SUM($N$16:AS$16/$N$15:$AS15*100),"")</v>
      </c>
      <c r="E14" s="13" t="s">
        <v>277</v>
      </c>
    </row>
    <row r="15" spans="1:5" ht="28.5" x14ac:dyDescent="0.2">
      <c r="A15" s="13" t="s">
        <v>31</v>
      </c>
      <c r="B15" s="13">
        <v>14</v>
      </c>
      <c r="C15" s="13" t="s">
        <v>41</v>
      </c>
      <c r="D15" s="13" t="str">
        <f t="shared" si="0"/>
        <v>C14=IFERROR(SUM($N$16:AS$16/$N$15:$AS15*100),"")</v>
      </c>
      <c r="E15" s="13" t="s">
        <v>278</v>
      </c>
    </row>
    <row r="16" spans="1:5" ht="28.5" x14ac:dyDescent="0.2">
      <c r="A16" s="13" t="s">
        <v>32</v>
      </c>
      <c r="B16" s="13">
        <v>14</v>
      </c>
      <c r="C16" s="13" t="s">
        <v>41</v>
      </c>
      <c r="D16" s="13" t="str">
        <f t="shared" si="0"/>
        <v>D14=IFERROR(SUM($N$16:AS$16/$N$15:$AS15*100),"")</v>
      </c>
      <c r="E16" s="13" t="s">
        <v>279</v>
      </c>
    </row>
    <row r="17" spans="1:5" ht="28.5" x14ac:dyDescent="0.2">
      <c r="A17" s="13" t="s">
        <v>33</v>
      </c>
      <c r="B17" s="13">
        <v>14</v>
      </c>
      <c r="C17" s="13" t="s">
        <v>41</v>
      </c>
      <c r="D17" s="13" t="str">
        <f t="shared" si="0"/>
        <v>E14=IFERROR(SUM($N$16:AS$16/$N$15:$AS15*100),"")</v>
      </c>
      <c r="E17" s="13" t="s">
        <v>280</v>
      </c>
    </row>
    <row r="18" spans="1:5" ht="28.5" x14ac:dyDescent="0.2">
      <c r="A18" s="13" t="s">
        <v>34</v>
      </c>
      <c r="B18" s="13">
        <v>14</v>
      </c>
      <c r="C18" s="13" t="s">
        <v>41</v>
      </c>
      <c r="D18" s="13" t="str">
        <f t="shared" si="0"/>
        <v>F14=IFERROR(SUM($N$16:AS$16/$N$15:$AS15*100),"")</v>
      </c>
      <c r="E18" s="13" t="s">
        <v>281</v>
      </c>
    </row>
    <row r="19" spans="1:5" ht="28.5" x14ac:dyDescent="0.2">
      <c r="A19" s="13" t="s">
        <v>35</v>
      </c>
      <c r="B19" s="13">
        <v>14</v>
      </c>
      <c r="C19" s="13" t="s">
        <v>41</v>
      </c>
      <c r="D19" s="13" t="str">
        <f t="shared" si="0"/>
        <v>G14=IFERROR(SUM($N$16:AS$16/$N$15:$AS15*100),"")</v>
      </c>
      <c r="E19" s="13" t="s">
        <v>282</v>
      </c>
    </row>
    <row r="20" spans="1:5" ht="28.5" x14ac:dyDescent="0.2">
      <c r="A20" s="13" t="s">
        <v>36</v>
      </c>
      <c r="B20" s="13">
        <v>14</v>
      </c>
      <c r="C20" s="13" t="s">
        <v>41</v>
      </c>
      <c r="D20" s="13" t="str">
        <f t="shared" si="0"/>
        <v>I14=IFERROR(SUM($N$16:AS$16/$N$15:$AS15*100),"")</v>
      </c>
      <c r="E20" s="13" t="s">
        <v>283</v>
      </c>
    </row>
    <row r="21" spans="1:5" ht="28.5" x14ac:dyDescent="0.2">
      <c r="A21" s="13" t="s">
        <v>37</v>
      </c>
      <c r="B21" s="13">
        <v>14</v>
      </c>
      <c r="C21" s="13" t="s">
        <v>41</v>
      </c>
      <c r="D21" s="13" t="str">
        <f t="shared" si="0"/>
        <v>J14=IFERROR(SUM($N$16:AS$16/$N$15:$AS15*100),"")</v>
      </c>
      <c r="E21" s="13" t="s">
        <v>284</v>
      </c>
    </row>
    <row r="22" spans="1:5" ht="28.5" x14ac:dyDescent="0.2">
      <c r="A22" s="13" t="s">
        <v>38</v>
      </c>
      <c r="B22" s="13">
        <v>14</v>
      </c>
      <c r="C22" s="13" t="s">
        <v>41</v>
      </c>
      <c r="D22" s="13" t="str">
        <f t="shared" si="0"/>
        <v>K14=IFERROR(SUM($N$16:AS$16/$N$15:$AS15*100),"")</v>
      </c>
      <c r="E22" s="13" t="s">
        <v>285</v>
      </c>
    </row>
    <row r="23" spans="1:5" ht="28.5" x14ac:dyDescent="0.2">
      <c r="A23" s="13" t="s">
        <v>39</v>
      </c>
      <c r="B23" s="13">
        <v>14</v>
      </c>
      <c r="C23" s="13" t="s">
        <v>41</v>
      </c>
      <c r="D23" s="13" t="str">
        <f t="shared" si="0"/>
        <v>L14=IFERROR(SUM($N$16:AS$16/$N$15:$AS15*100),"")</v>
      </c>
      <c r="E23" s="13" t="s">
        <v>286</v>
      </c>
    </row>
    <row r="24" spans="1:5" ht="28.5" x14ac:dyDescent="0.2">
      <c r="A24" s="13" t="s">
        <v>40</v>
      </c>
      <c r="B24" s="13">
        <v>14</v>
      </c>
      <c r="C24" s="13" t="s">
        <v>41</v>
      </c>
      <c r="D24" s="13" t="str">
        <f t="shared" si="0"/>
        <v>M14=IFERROR(SUM($N$16:AS$16/$N$15:$AS15*100),"")</v>
      </c>
      <c r="E24" s="13" t="s">
        <v>287</v>
      </c>
    </row>
    <row r="25" spans="1:5" ht="16.5" x14ac:dyDescent="0.2">
      <c r="A25" s="13" t="s">
        <v>42</v>
      </c>
      <c r="B25" s="15">
        <v>6</v>
      </c>
      <c r="C25" s="13">
        <v>20</v>
      </c>
      <c r="D25" s="13" t="str">
        <f t="shared" si="0"/>
        <v>N6=20</v>
      </c>
      <c r="E25" s="13" t="s">
        <v>288</v>
      </c>
    </row>
    <row r="26" spans="1:5" ht="16.5" x14ac:dyDescent="0.2">
      <c r="A26" s="13" t="s">
        <v>43</v>
      </c>
      <c r="B26" s="15">
        <v>6</v>
      </c>
      <c r="C26" s="13">
        <v>20</v>
      </c>
      <c r="D26" s="13" t="str">
        <f t="shared" si="0"/>
        <v>O6=20</v>
      </c>
      <c r="E26" s="13" t="s">
        <v>289</v>
      </c>
    </row>
    <row r="27" spans="1:5" ht="16.5" x14ac:dyDescent="0.2">
      <c r="A27" s="13" t="s">
        <v>44</v>
      </c>
      <c r="B27" s="15">
        <v>6</v>
      </c>
      <c r="C27" s="13">
        <v>20</v>
      </c>
      <c r="D27" s="13" t="str">
        <f t="shared" si="0"/>
        <v>P6=20</v>
      </c>
      <c r="E27" s="13" t="s">
        <v>290</v>
      </c>
    </row>
    <row r="28" spans="1:5" ht="16.5" x14ac:dyDescent="0.2">
      <c r="A28" s="13" t="s">
        <v>45</v>
      </c>
      <c r="B28" s="15">
        <v>6</v>
      </c>
      <c r="C28" s="13">
        <v>20</v>
      </c>
      <c r="D28" s="13" t="str">
        <f t="shared" si="0"/>
        <v>Q6=20</v>
      </c>
      <c r="E28" s="13" t="s">
        <v>291</v>
      </c>
    </row>
    <row r="29" spans="1:5" ht="16.5" x14ac:dyDescent="0.2">
      <c r="A29" s="13" t="s">
        <v>46</v>
      </c>
      <c r="B29" s="15">
        <v>6</v>
      </c>
      <c r="C29" s="13">
        <v>20</v>
      </c>
      <c r="D29" s="13" t="str">
        <f t="shared" si="0"/>
        <v>R6=20</v>
      </c>
      <c r="E29" s="13" t="s">
        <v>292</v>
      </c>
    </row>
    <row r="30" spans="1:5" ht="16.5" x14ac:dyDescent="0.2">
      <c r="A30" s="13" t="s">
        <v>47</v>
      </c>
      <c r="B30" s="15">
        <v>6</v>
      </c>
      <c r="C30" s="13">
        <v>20</v>
      </c>
      <c r="D30" s="13" t="str">
        <f t="shared" si="0"/>
        <v>S6=20</v>
      </c>
      <c r="E30" s="13" t="s">
        <v>293</v>
      </c>
    </row>
    <row r="31" spans="1:5" ht="16.5" x14ac:dyDescent="0.2">
      <c r="A31" s="13" t="s">
        <v>48</v>
      </c>
      <c r="B31" s="15">
        <v>6</v>
      </c>
      <c r="C31" s="13">
        <v>20</v>
      </c>
      <c r="D31" s="13" t="str">
        <f t="shared" si="0"/>
        <v>T6=20</v>
      </c>
      <c r="E31" s="13" t="s">
        <v>294</v>
      </c>
    </row>
    <row r="32" spans="1:5" ht="16.5" x14ac:dyDescent="0.2">
      <c r="A32" s="13" t="s">
        <v>49</v>
      </c>
      <c r="B32" s="15">
        <v>6</v>
      </c>
      <c r="C32" s="13">
        <v>20</v>
      </c>
      <c r="D32" s="13" t="str">
        <f t="shared" si="0"/>
        <v>U6=20</v>
      </c>
      <c r="E32" s="13" t="s">
        <v>295</v>
      </c>
    </row>
    <row r="33" spans="1:5" ht="16.5" x14ac:dyDescent="0.2">
      <c r="A33" s="13" t="s">
        <v>50</v>
      </c>
      <c r="B33" s="15">
        <v>6</v>
      </c>
      <c r="C33" s="13">
        <v>20</v>
      </c>
      <c r="D33" s="13" t="str">
        <f t="shared" si="0"/>
        <v>V6=20</v>
      </c>
      <c r="E33" s="13" t="s">
        <v>296</v>
      </c>
    </row>
    <row r="34" spans="1:5" ht="16.5" x14ac:dyDescent="0.2">
      <c r="A34" s="13" t="s">
        <v>51</v>
      </c>
      <c r="B34" s="15">
        <v>6</v>
      </c>
      <c r="C34" s="13">
        <v>20</v>
      </c>
      <c r="D34" s="13" t="str">
        <f t="shared" si="0"/>
        <v>W6=20</v>
      </c>
      <c r="E34" s="13" t="s">
        <v>297</v>
      </c>
    </row>
    <row r="35" spans="1:5" ht="16.5" x14ac:dyDescent="0.2">
      <c r="A35" s="13" t="s">
        <v>52</v>
      </c>
      <c r="B35" s="15">
        <v>6</v>
      </c>
      <c r="C35" s="13">
        <v>20</v>
      </c>
      <c r="D35" s="13" t="str">
        <f t="shared" si="0"/>
        <v>X6=20</v>
      </c>
      <c r="E35" s="13" t="s">
        <v>298</v>
      </c>
    </row>
    <row r="36" spans="1:5" ht="16.5" x14ac:dyDescent="0.2">
      <c r="A36" s="13" t="s">
        <v>53</v>
      </c>
      <c r="B36" s="15">
        <v>6</v>
      </c>
      <c r="C36" s="13">
        <v>20</v>
      </c>
      <c r="D36" s="13" t="str">
        <f t="shared" si="0"/>
        <v>Y6=20</v>
      </c>
      <c r="E36" s="13" t="s">
        <v>299</v>
      </c>
    </row>
    <row r="37" spans="1:5" ht="16.5" x14ac:dyDescent="0.2">
      <c r="A37" s="13" t="s">
        <v>54</v>
      </c>
      <c r="B37" s="15">
        <v>6</v>
      </c>
      <c r="C37" s="13">
        <v>20</v>
      </c>
      <c r="D37" s="13" t="str">
        <f t="shared" si="0"/>
        <v>Z6=20</v>
      </c>
      <c r="E37" s="13" t="s">
        <v>300</v>
      </c>
    </row>
    <row r="38" spans="1:5" ht="16.5" x14ac:dyDescent="0.2">
      <c r="A38" s="13" t="s">
        <v>55</v>
      </c>
      <c r="B38" s="15">
        <v>6</v>
      </c>
      <c r="C38" s="13">
        <v>20</v>
      </c>
      <c r="D38" s="13" t="str">
        <f t="shared" si="0"/>
        <v>AA6=20</v>
      </c>
      <c r="E38" s="13" t="s">
        <v>301</v>
      </c>
    </row>
    <row r="39" spans="1:5" ht="16.5" x14ac:dyDescent="0.2">
      <c r="A39" s="13" t="s">
        <v>56</v>
      </c>
      <c r="B39" s="15">
        <v>6</v>
      </c>
      <c r="C39" s="13">
        <v>20</v>
      </c>
      <c r="D39" s="13" t="str">
        <f t="shared" si="0"/>
        <v>AB6=20</v>
      </c>
      <c r="E39" s="13" t="s">
        <v>302</v>
      </c>
    </row>
    <row r="40" spans="1:5" ht="16.5" x14ac:dyDescent="0.2">
      <c r="A40" s="13" t="s">
        <v>57</v>
      </c>
      <c r="B40" s="15">
        <v>6</v>
      </c>
      <c r="C40" s="13">
        <v>20</v>
      </c>
      <c r="D40" s="13" t="str">
        <f t="shared" si="0"/>
        <v>AC6=20</v>
      </c>
      <c r="E40" s="13" t="s">
        <v>303</v>
      </c>
    </row>
    <row r="41" spans="1:5" ht="16.5" x14ac:dyDescent="0.2">
      <c r="A41" s="13" t="s">
        <v>58</v>
      </c>
      <c r="B41" s="15">
        <v>6</v>
      </c>
      <c r="C41" s="13">
        <v>20</v>
      </c>
      <c r="D41" s="13" t="str">
        <f t="shared" si="0"/>
        <v>AD6=20</v>
      </c>
      <c r="E41" s="13" t="s">
        <v>304</v>
      </c>
    </row>
    <row r="42" spans="1:5" ht="16.5" x14ac:dyDescent="0.2">
      <c r="A42" s="13" t="s">
        <v>59</v>
      </c>
      <c r="B42" s="15">
        <v>6</v>
      </c>
      <c r="C42" s="13">
        <v>20</v>
      </c>
      <c r="D42" s="13" t="str">
        <f t="shared" si="0"/>
        <v>AE6=20</v>
      </c>
      <c r="E42" s="13" t="s">
        <v>305</v>
      </c>
    </row>
    <row r="43" spans="1:5" ht="16.5" x14ac:dyDescent="0.2">
      <c r="A43" s="13" t="s">
        <v>60</v>
      </c>
      <c r="B43" s="15">
        <v>6</v>
      </c>
      <c r="C43" s="13">
        <v>20</v>
      </c>
      <c r="D43" s="13" t="str">
        <f t="shared" si="0"/>
        <v>AF6=20</v>
      </c>
      <c r="E43" s="13" t="s">
        <v>306</v>
      </c>
    </row>
    <row r="44" spans="1:5" ht="16.5" x14ac:dyDescent="0.2">
      <c r="A44" s="13" t="s">
        <v>61</v>
      </c>
      <c r="B44" s="15">
        <v>6</v>
      </c>
      <c r="C44" s="13">
        <v>20</v>
      </c>
      <c r="D44" s="13" t="str">
        <f t="shared" si="0"/>
        <v>AG6=20</v>
      </c>
      <c r="E44" s="13" t="s">
        <v>307</v>
      </c>
    </row>
    <row r="45" spans="1:5" ht="16.5" x14ac:dyDescent="0.2">
      <c r="A45" s="13" t="s">
        <v>62</v>
      </c>
      <c r="B45" s="15">
        <v>6</v>
      </c>
      <c r="C45" s="13">
        <v>20</v>
      </c>
      <c r="D45" s="13" t="str">
        <f t="shared" si="0"/>
        <v>AH6=20</v>
      </c>
      <c r="E45" s="13" t="s">
        <v>308</v>
      </c>
    </row>
    <row r="46" spans="1:5" ht="16.5" x14ac:dyDescent="0.2">
      <c r="A46" s="13" t="s">
        <v>63</v>
      </c>
      <c r="B46" s="15">
        <v>6</v>
      </c>
      <c r="C46" s="13">
        <v>20</v>
      </c>
      <c r="D46" s="13" t="str">
        <f t="shared" si="0"/>
        <v>AI6=20</v>
      </c>
      <c r="E46" s="13" t="s">
        <v>309</v>
      </c>
    </row>
    <row r="47" spans="1:5" ht="16.5" x14ac:dyDescent="0.2">
      <c r="A47" s="13" t="s">
        <v>64</v>
      </c>
      <c r="B47" s="15">
        <v>6</v>
      </c>
      <c r="C47" s="13">
        <v>20</v>
      </c>
      <c r="D47" s="13" t="str">
        <f t="shared" si="0"/>
        <v>AJ6=20</v>
      </c>
      <c r="E47" s="13" t="s">
        <v>310</v>
      </c>
    </row>
    <row r="48" spans="1:5" ht="16.5" x14ac:dyDescent="0.2">
      <c r="A48" s="13" t="s">
        <v>65</v>
      </c>
      <c r="B48" s="15">
        <v>6</v>
      </c>
      <c r="C48" s="13">
        <v>20</v>
      </c>
      <c r="D48" s="13" t="str">
        <f t="shared" si="0"/>
        <v>AK6=20</v>
      </c>
      <c r="E48" s="13" t="s">
        <v>311</v>
      </c>
    </row>
    <row r="49" spans="1:5" ht="16.5" x14ac:dyDescent="0.2">
      <c r="A49" s="13" t="s">
        <v>66</v>
      </c>
      <c r="B49" s="15">
        <v>6</v>
      </c>
      <c r="C49" s="13">
        <v>20</v>
      </c>
      <c r="D49" s="13" t="str">
        <f t="shared" si="0"/>
        <v>AL6=20</v>
      </c>
      <c r="E49" s="13" t="s">
        <v>312</v>
      </c>
    </row>
    <row r="50" spans="1:5" ht="16.5" x14ac:dyDescent="0.2">
      <c r="A50" s="13" t="s">
        <v>67</v>
      </c>
      <c r="B50" s="15">
        <v>6</v>
      </c>
      <c r="C50" s="13">
        <v>20</v>
      </c>
      <c r="D50" s="13" t="str">
        <f t="shared" si="0"/>
        <v>AM6=20</v>
      </c>
      <c r="E50" s="13" t="s">
        <v>313</v>
      </c>
    </row>
    <row r="51" spans="1:5" ht="16.5" x14ac:dyDescent="0.2">
      <c r="A51" s="13" t="s">
        <v>68</v>
      </c>
      <c r="B51" s="15">
        <v>6</v>
      </c>
      <c r="C51" s="13">
        <v>20</v>
      </c>
      <c r="D51" s="13" t="str">
        <f t="shared" si="0"/>
        <v>AN6=20</v>
      </c>
      <c r="E51" s="13" t="s">
        <v>314</v>
      </c>
    </row>
    <row r="52" spans="1:5" ht="16.5" x14ac:dyDescent="0.2">
      <c r="A52" s="13" t="s">
        <v>69</v>
      </c>
      <c r="B52" s="15">
        <v>6</v>
      </c>
      <c r="C52" s="13">
        <v>20</v>
      </c>
      <c r="D52" s="13" t="str">
        <f t="shared" si="0"/>
        <v>AO6=20</v>
      </c>
      <c r="E52" s="13" t="s">
        <v>315</v>
      </c>
    </row>
    <row r="53" spans="1:5" ht="16.5" x14ac:dyDescent="0.2">
      <c r="A53" s="13" t="s">
        <v>70</v>
      </c>
      <c r="B53" s="15">
        <v>6</v>
      </c>
      <c r="C53" s="13">
        <v>20</v>
      </c>
      <c r="D53" s="13" t="str">
        <f t="shared" si="0"/>
        <v>AP6=20</v>
      </c>
      <c r="E53" s="13" t="s">
        <v>316</v>
      </c>
    </row>
    <row r="54" spans="1:5" ht="16.5" x14ac:dyDescent="0.2">
      <c r="A54" s="13" t="s">
        <v>71</v>
      </c>
      <c r="B54" s="15">
        <v>6</v>
      </c>
      <c r="C54" s="13">
        <v>20</v>
      </c>
      <c r="D54" s="13" t="str">
        <f t="shared" si="0"/>
        <v>AQ6=20</v>
      </c>
      <c r="E54" s="13" t="s">
        <v>317</v>
      </c>
    </row>
    <row r="55" spans="1:5" ht="16.5" x14ac:dyDescent="0.2">
      <c r="A55" s="13" t="s">
        <v>72</v>
      </c>
      <c r="B55" s="15">
        <v>6</v>
      </c>
      <c r="C55" s="13">
        <v>20</v>
      </c>
      <c r="D55" s="13" t="str">
        <f t="shared" si="0"/>
        <v>AR6=20</v>
      </c>
      <c r="E55" s="13" t="s">
        <v>318</v>
      </c>
    </row>
    <row r="56" spans="1:5" ht="16.5" x14ac:dyDescent="0.2">
      <c r="A56" s="13" t="s">
        <v>73</v>
      </c>
      <c r="B56" s="15">
        <v>6</v>
      </c>
      <c r="C56" s="13">
        <v>20</v>
      </c>
      <c r="D56" s="13" t="str">
        <f t="shared" si="0"/>
        <v>AS6=20</v>
      </c>
      <c r="E56" s="13" t="s">
        <v>319</v>
      </c>
    </row>
    <row r="57" spans="1:5" ht="71.25" x14ac:dyDescent="0.2">
      <c r="A57" s="13" t="s">
        <v>42</v>
      </c>
      <c r="B57" s="15">
        <v>7</v>
      </c>
      <c r="C57" s="14" t="s">
        <v>512</v>
      </c>
      <c r="D57" s="13" t="str">
        <f t="shared" si="0"/>
        <v>N7='\\vdm-fsvr\Cokhi-機工\1.TAI LIEU HANG NAM\2026\1.MUC TIEU NAM\9.TLHDM\[Gia_cong_khong_nguoi.xlsx]Tinh_Toan'!$Y$59</v>
      </c>
      <c r="E57" s="13" t="s">
        <v>513</v>
      </c>
    </row>
    <row r="58" spans="1:5" ht="71.25" x14ac:dyDescent="0.2">
      <c r="A58" s="13" t="s">
        <v>43</v>
      </c>
      <c r="B58" s="15">
        <v>7</v>
      </c>
      <c r="C58" s="14" t="s">
        <v>512</v>
      </c>
      <c r="D58" s="13" t="str">
        <f t="shared" si="0"/>
        <v>O7='\\vdm-fsvr\Cokhi-機工\1.TAI LIEU HANG NAM\2026\1.MUC TIEU NAM\9.TLHDM\[Gia_cong_khong_nguoi.xlsx]Tinh_Toan'!$Y$59</v>
      </c>
      <c r="E58" s="13" t="s">
        <v>514</v>
      </c>
    </row>
    <row r="59" spans="1:5" ht="71.25" x14ac:dyDescent="0.2">
      <c r="A59" s="13" t="s">
        <v>44</v>
      </c>
      <c r="B59" s="15">
        <v>7</v>
      </c>
      <c r="C59" s="14" t="s">
        <v>512</v>
      </c>
      <c r="D59" s="13" t="str">
        <f t="shared" si="0"/>
        <v>P7='\\vdm-fsvr\Cokhi-機工\1.TAI LIEU HANG NAM\2026\1.MUC TIEU NAM\9.TLHDM\[Gia_cong_khong_nguoi.xlsx]Tinh_Toan'!$Y$59</v>
      </c>
      <c r="E59" s="13" t="s">
        <v>515</v>
      </c>
    </row>
    <row r="60" spans="1:5" ht="71.25" x14ac:dyDescent="0.2">
      <c r="A60" s="13" t="s">
        <v>45</v>
      </c>
      <c r="B60" s="15">
        <v>7</v>
      </c>
      <c r="C60" s="14" t="s">
        <v>512</v>
      </c>
      <c r="D60" s="13" t="str">
        <f t="shared" si="0"/>
        <v>Q7='\\vdm-fsvr\Cokhi-機工\1.TAI LIEU HANG NAM\2026\1.MUC TIEU NAM\9.TLHDM\[Gia_cong_khong_nguoi.xlsx]Tinh_Toan'!$Y$59</v>
      </c>
      <c r="E60" s="13" t="s">
        <v>516</v>
      </c>
    </row>
    <row r="61" spans="1:5" ht="71.25" x14ac:dyDescent="0.2">
      <c r="A61" s="13" t="s">
        <v>46</v>
      </c>
      <c r="B61" s="15">
        <v>7</v>
      </c>
      <c r="C61" s="14" t="s">
        <v>512</v>
      </c>
      <c r="D61" s="13" t="str">
        <f t="shared" si="0"/>
        <v>R7='\\vdm-fsvr\Cokhi-機工\1.TAI LIEU HANG NAM\2026\1.MUC TIEU NAM\9.TLHDM\[Gia_cong_khong_nguoi.xlsx]Tinh_Toan'!$Y$59</v>
      </c>
      <c r="E61" s="13" t="s">
        <v>517</v>
      </c>
    </row>
    <row r="62" spans="1:5" ht="71.25" x14ac:dyDescent="0.2">
      <c r="A62" s="13" t="s">
        <v>47</v>
      </c>
      <c r="B62" s="15">
        <v>7</v>
      </c>
      <c r="C62" s="14" t="s">
        <v>512</v>
      </c>
      <c r="D62" s="13" t="str">
        <f t="shared" si="0"/>
        <v>S7='\\vdm-fsvr\Cokhi-機工\1.TAI LIEU HANG NAM\2026\1.MUC TIEU NAM\9.TLHDM\[Gia_cong_khong_nguoi.xlsx]Tinh_Toan'!$Y$59</v>
      </c>
      <c r="E62" s="13" t="s">
        <v>518</v>
      </c>
    </row>
    <row r="63" spans="1:5" ht="71.25" x14ac:dyDescent="0.2">
      <c r="A63" s="13" t="s">
        <v>48</v>
      </c>
      <c r="B63" s="15">
        <v>7</v>
      </c>
      <c r="C63" s="14" t="s">
        <v>512</v>
      </c>
      <c r="D63" s="13" t="str">
        <f t="shared" si="0"/>
        <v>T7='\\vdm-fsvr\Cokhi-機工\1.TAI LIEU HANG NAM\2026\1.MUC TIEU NAM\9.TLHDM\[Gia_cong_khong_nguoi.xlsx]Tinh_Toan'!$Y$59</v>
      </c>
      <c r="E63" s="13" t="s">
        <v>519</v>
      </c>
    </row>
    <row r="64" spans="1:5" ht="71.25" x14ac:dyDescent="0.2">
      <c r="A64" s="13" t="s">
        <v>49</v>
      </c>
      <c r="B64" s="15">
        <v>7</v>
      </c>
      <c r="C64" s="14" t="s">
        <v>512</v>
      </c>
      <c r="D64" s="13" t="str">
        <f t="shared" si="0"/>
        <v>U7='\\vdm-fsvr\Cokhi-機工\1.TAI LIEU HANG NAM\2026\1.MUC TIEU NAM\9.TLHDM\[Gia_cong_khong_nguoi.xlsx]Tinh_Toan'!$Y$59</v>
      </c>
      <c r="E64" s="13" t="s">
        <v>520</v>
      </c>
    </row>
    <row r="65" spans="1:5" ht="71.25" x14ac:dyDescent="0.2">
      <c r="A65" s="13" t="s">
        <v>50</v>
      </c>
      <c r="B65" s="15">
        <v>7</v>
      </c>
      <c r="C65" s="14" t="s">
        <v>512</v>
      </c>
      <c r="D65" s="13" t="str">
        <f t="shared" si="0"/>
        <v>V7='\\vdm-fsvr\Cokhi-機工\1.TAI LIEU HANG NAM\2026\1.MUC TIEU NAM\9.TLHDM\[Gia_cong_khong_nguoi.xlsx]Tinh_Toan'!$Y$59</v>
      </c>
      <c r="E65" s="13" t="s">
        <v>521</v>
      </c>
    </row>
    <row r="66" spans="1:5" ht="71.25" x14ac:dyDescent="0.2">
      <c r="A66" s="13" t="s">
        <v>51</v>
      </c>
      <c r="B66" s="15">
        <v>7</v>
      </c>
      <c r="C66" s="14" t="s">
        <v>512</v>
      </c>
      <c r="D66" s="13" t="str">
        <f t="shared" si="0"/>
        <v>W7='\\vdm-fsvr\Cokhi-機工\1.TAI LIEU HANG NAM\2026\1.MUC TIEU NAM\9.TLHDM\[Gia_cong_khong_nguoi.xlsx]Tinh_Toan'!$Y$59</v>
      </c>
      <c r="E66" s="13" t="s">
        <v>522</v>
      </c>
    </row>
    <row r="67" spans="1:5" ht="71.25" x14ac:dyDescent="0.2">
      <c r="A67" s="13" t="s">
        <v>52</v>
      </c>
      <c r="B67" s="15">
        <v>7</v>
      </c>
      <c r="C67" s="14" t="s">
        <v>512</v>
      </c>
      <c r="D67" s="13" t="str">
        <f t="shared" si="0"/>
        <v>X7='\\vdm-fsvr\Cokhi-機工\1.TAI LIEU HANG NAM\2026\1.MUC TIEU NAM\9.TLHDM\[Gia_cong_khong_nguoi.xlsx]Tinh_Toan'!$Y$59</v>
      </c>
      <c r="E67" s="13" t="s">
        <v>523</v>
      </c>
    </row>
    <row r="68" spans="1:5" ht="71.25" x14ac:dyDescent="0.2">
      <c r="A68" s="13" t="s">
        <v>53</v>
      </c>
      <c r="B68" s="15">
        <v>7</v>
      </c>
      <c r="C68" s="14" t="s">
        <v>512</v>
      </c>
      <c r="D68" s="13" t="str">
        <f t="shared" ref="D68:D131" si="1">_xlfn.CONCAT(A68,B68,"=",C68)</f>
        <v>Y7='\\vdm-fsvr\Cokhi-機工\1.TAI LIEU HANG NAM\2026\1.MUC TIEU NAM\9.TLHDM\[Gia_cong_khong_nguoi.xlsx]Tinh_Toan'!$Y$59</v>
      </c>
      <c r="E68" s="13" t="s">
        <v>524</v>
      </c>
    </row>
    <row r="69" spans="1:5" ht="71.25" x14ac:dyDescent="0.2">
      <c r="A69" s="13" t="s">
        <v>54</v>
      </c>
      <c r="B69" s="15">
        <v>7</v>
      </c>
      <c r="C69" s="14" t="s">
        <v>512</v>
      </c>
      <c r="D69" s="13" t="str">
        <f t="shared" si="1"/>
        <v>Z7='\\vdm-fsvr\Cokhi-機工\1.TAI LIEU HANG NAM\2026\1.MUC TIEU NAM\9.TLHDM\[Gia_cong_khong_nguoi.xlsx]Tinh_Toan'!$Y$59</v>
      </c>
      <c r="E69" s="13" t="s">
        <v>525</v>
      </c>
    </row>
    <row r="70" spans="1:5" ht="71.25" x14ac:dyDescent="0.2">
      <c r="A70" s="13" t="s">
        <v>55</v>
      </c>
      <c r="B70" s="15">
        <v>7</v>
      </c>
      <c r="C70" s="14" t="s">
        <v>512</v>
      </c>
      <c r="D70" s="13" t="str">
        <f t="shared" si="1"/>
        <v>AA7='\\vdm-fsvr\Cokhi-機工\1.TAI LIEU HANG NAM\2026\1.MUC TIEU NAM\9.TLHDM\[Gia_cong_khong_nguoi.xlsx]Tinh_Toan'!$Y$59</v>
      </c>
      <c r="E70" s="13" t="s">
        <v>526</v>
      </c>
    </row>
    <row r="71" spans="1:5" ht="71.25" x14ac:dyDescent="0.2">
      <c r="A71" s="13" t="s">
        <v>56</v>
      </c>
      <c r="B71" s="15">
        <v>7</v>
      </c>
      <c r="C71" s="14" t="s">
        <v>512</v>
      </c>
      <c r="D71" s="13" t="str">
        <f t="shared" si="1"/>
        <v>AB7='\\vdm-fsvr\Cokhi-機工\1.TAI LIEU HANG NAM\2026\1.MUC TIEU NAM\9.TLHDM\[Gia_cong_khong_nguoi.xlsx]Tinh_Toan'!$Y$59</v>
      </c>
      <c r="E71" s="13" t="s">
        <v>527</v>
      </c>
    </row>
    <row r="72" spans="1:5" ht="71.25" x14ac:dyDescent="0.2">
      <c r="A72" s="13" t="s">
        <v>57</v>
      </c>
      <c r="B72" s="15">
        <v>7</v>
      </c>
      <c r="C72" s="14" t="s">
        <v>512</v>
      </c>
      <c r="D72" s="13" t="str">
        <f t="shared" si="1"/>
        <v>AC7='\\vdm-fsvr\Cokhi-機工\1.TAI LIEU HANG NAM\2026\1.MUC TIEU NAM\9.TLHDM\[Gia_cong_khong_nguoi.xlsx]Tinh_Toan'!$Y$59</v>
      </c>
      <c r="E72" s="13" t="s">
        <v>528</v>
      </c>
    </row>
    <row r="73" spans="1:5" ht="71.25" x14ac:dyDescent="0.2">
      <c r="A73" s="13" t="s">
        <v>58</v>
      </c>
      <c r="B73" s="15">
        <v>7</v>
      </c>
      <c r="C73" s="14" t="s">
        <v>512</v>
      </c>
      <c r="D73" s="13" t="str">
        <f t="shared" si="1"/>
        <v>AD7='\\vdm-fsvr\Cokhi-機工\1.TAI LIEU HANG NAM\2026\1.MUC TIEU NAM\9.TLHDM\[Gia_cong_khong_nguoi.xlsx]Tinh_Toan'!$Y$59</v>
      </c>
      <c r="E73" s="13" t="s">
        <v>529</v>
      </c>
    </row>
    <row r="74" spans="1:5" ht="71.25" x14ac:dyDescent="0.2">
      <c r="A74" s="13" t="s">
        <v>59</v>
      </c>
      <c r="B74" s="15">
        <v>7</v>
      </c>
      <c r="C74" s="14" t="s">
        <v>512</v>
      </c>
      <c r="D74" s="13" t="str">
        <f t="shared" si="1"/>
        <v>AE7='\\vdm-fsvr\Cokhi-機工\1.TAI LIEU HANG NAM\2026\1.MUC TIEU NAM\9.TLHDM\[Gia_cong_khong_nguoi.xlsx]Tinh_Toan'!$Y$59</v>
      </c>
      <c r="E74" s="13" t="s">
        <v>530</v>
      </c>
    </row>
    <row r="75" spans="1:5" ht="71.25" x14ac:dyDescent="0.2">
      <c r="A75" s="13" t="s">
        <v>60</v>
      </c>
      <c r="B75" s="15">
        <v>7</v>
      </c>
      <c r="C75" s="14" t="s">
        <v>512</v>
      </c>
      <c r="D75" s="13" t="str">
        <f t="shared" si="1"/>
        <v>AF7='\\vdm-fsvr\Cokhi-機工\1.TAI LIEU HANG NAM\2026\1.MUC TIEU NAM\9.TLHDM\[Gia_cong_khong_nguoi.xlsx]Tinh_Toan'!$Y$59</v>
      </c>
      <c r="E75" s="13" t="s">
        <v>531</v>
      </c>
    </row>
    <row r="76" spans="1:5" ht="71.25" x14ac:dyDescent="0.2">
      <c r="A76" s="13" t="s">
        <v>61</v>
      </c>
      <c r="B76" s="15">
        <v>7</v>
      </c>
      <c r="C76" s="14" t="s">
        <v>512</v>
      </c>
      <c r="D76" s="13" t="str">
        <f t="shared" si="1"/>
        <v>AG7='\\vdm-fsvr\Cokhi-機工\1.TAI LIEU HANG NAM\2026\1.MUC TIEU NAM\9.TLHDM\[Gia_cong_khong_nguoi.xlsx]Tinh_Toan'!$Y$59</v>
      </c>
      <c r="E76" s="13" t="s">
        <v>532</v>
      </c>
    </row>
    <row r="77" spans="1:5" ht="71.25" x14ac:dyDescent="0.2">
      <c r="A77" s="13" t="s">
        <v>62</v>
      </c>
      <c r="B77" s="15">
        <v>7</v>
      </c>
      <c r="C77" s="14" t="s">
        <v>512</v>
      </c>
      <c r="D77" s="13" t="str">
        <f t="shared" si="1"/>
        <v>AH7='\\vdm-fsvr\Cokhi-機工\1.TAI LIEU HANG NAM\2026\1.MUC TIEU NAM\9.TLHDM\[Gia_cong_khong_nguoi.xlsx]Tinh_Toan'!$Y$59</v>
      </c>
      <c r="E77" s="13" t="s">
        <v>533</v>
      </c>
    </row>
    <row r="78" spans="1:5" ht="71.25" x14ac:dyDescent="0.2">
      <c r="A78" s="13" t="s">
        <v>63</v>
      </c>
      <c r="B78" s="15">
        <v>7</v>
      </c>
      <c r="C78" s="14" t="s">
        <v>512</v>
      </c>
      <c r="D78" s="13" t="str">
        <f t="shared" si="1"/>
        <v>AI7='\\vdm-fsvr\Cokhi-機工\1.TAI LIEU HANG NAM\2026\1.MUC TIEU NAM\9.TLHDM\[Gia_cong_khong_nguoi.xlsx]Tinh_Toan'!$Y$59</v>
      </c>
      <c r="E78" s="13" t="s">
        <v>534</v>
      </c>
    </row>
    <row r="79" spans="1:5" ht="71.25" x14ac:dyDescent="0.2">
      <c r="A79" s="13" t="s">
        <v>64</v>
      </c>
      <c r="B79" s="15">
        <v>7</v>
      </c>
      <c r="C79" s="14" t="s">
        <v>512</v>
      </c>
      <c r="D79" s="13" t="str">
        <f t="shared" si="1"/>
        <v>AJ7='\\vdm-fsvr\Cokhi-機工\1.TAI LIEU HANG NAM\2026\1.MUC TIEU NAM\9.TLHDM\[Gia_cong_khong_nguoi.xlsx]Tinh_Toan'!$Y$59</v>
      </c>
      <c r="E79" s="13" t="s">
        <v>535</v>
      </c>
    </row>
    <row r="80" spans="1:5" ht="71.25" x14ac:dyDescent="0.2">
      <c r="A80" s="13" t="s">
        <v>65</v>
      </c>
      <c r="B80" s="15">
        <v>7</v>
      </c>
      <c r="C80" s="14" t="s">
        <v>512</v>
      </c>
      <c r="D80" s="13" t="str">
        <f t="shared" si="1"/>
        <v>AK7='\\vdm-fsvr\Cokhi-機工\1.TAI LIEU HANG NAM\2026\1.MUC TIEU NAM\9.TLHDM\[Gia_cong_khong_nguoi.xlsx]Tinh_Toan'!$Y$59</v>
      </c>
      <c r="E80" s="13" t="s">
        <v>536</v>
      </c>
    </row>
    <row r="81" spans="1:5" ht="71.25" x14ac:dyDescent="0.2">
      <c r="A81" s="13" t="s">
        <v>66</v>
      </c>
      <c r="B81" s="15">
        <v>7</v>
      </c>
      <c r="C81" s="14" t="s">
        <v>512</v>
      </c>
      <c r="D81" s="13" t="str">
        <f t="shared" si="1"/>
        <v>AL7='\\vdm-fsvr\Cokhi-機工\1.TAI LIEU HANG NAM\2026\1.MUC TIEU NAM\9.TLHDM\[Gia_cong_khong_nguoi.xlsx]Tinh_Toan'!$Y$59</v>
      </c>
      <c r="E81" s="13" t="s">
        <v>537</v>
      </c>
    </row>
    <row r="82" spans="1:5" ht="71.25" x14ac:dyDescent="0.2">
      <c r="A82" s="13" t="s">
        <v>67</v>
      </c>
      <c r="B82" s="15">
        <v>7</v>
      </c>
      <c r="C82" s="14" t="s">
        <v>512</v>
      </c>
      <c r="D82" s="13" t="str">
        <f t="shared" si="1"/>
        <v>AM7='\\vdm-fsvr\Cokhi-機工\1.TAI LIEU HANG NAM\2026\1.MUC TIEU NAM\9.TLHDM\[Gia_cong_khong_nguoi.xlsx]Tinh_Toan'!$Y$59</v>
      </c>
      <c r="E82" s="13" t="s">
        <v>538</v>
      </c>
    </row>
    <row r="83" spans="1:5" ht="71.25" x14ac:dyDescent="0.2">
      <c r="A83" s="13" t="s">
        <v>68</v>
      </c>
      <c r="B83" s="15">
        <v>7</v>
      </c>
      <c r="C83" s="14" t="s">
        <v>512</v>
      </c>
      <c r="D83" s="13" t="str">
        <f t="shared" si="1"/>
        <v>AN7='\\vdm-fsvr\Cokhi-機工\1.TAI LIEU HANG NAM\2026\1.MUC TIEU NAM\9.TLHDM\[Gia_cong_khong_nguoi.xlsx]Tinh_Toan'!$Y$59</v>
      </c>
      <c r="E83" s="13" t="s">
        <v>539</v>
      </c>
    </row>
    <row r="84" spans="1:5" ht="71.25" x14ac:dyDescent="0.2">
      <c r="A84" s="13" t="s">
        <v>69</v>
      </c>
      <c r="B84" s="15">
        <v>7</v>
      </c>
      <c r="C84" s="14" t="s">
        <v>512</v>
      </c>
      <c r="D84" s="13" t="str">
        <f t="shared" si="1"/>
        <v>AO7='\\vdm-fsvr\Cokhi-機工\1.TAI LIEU HANG NAM\2026\1.MUC TIEU NAM\9.TLHDM\[Gia_cong_khong_nguoi.xlsx]Tinh_Toan'!$Y$59</v>
      </c>
      <c r="E84" s="13" t="s">
        <v>540</v>
      </c>
    </row>
    <row r="85" spans="1:5" ht="71.25" x14ac:dyDescent="0.2">
      <c r="A85" s="13" t="s">
        <v>70</v>
      </c>
      <c r="B85" s="15">
        <v>7</v>
      </c>
      <c r="C85" s="14" t="s">
        <v>512</v>
      </c>
      <c r="D85" s="13" t="str">
        <f t="shared" si="1"/>
        <v>AP7='\\vdm-fsvr\Cokhi-機工\1.TAI LIEU HANG NAM\2026\1.MUC TIEU NAM\9.TLHDM\[Gia_cong_khong_nguoi.xlsx]Tinh_Toan'!$Y$59</v>
      </c>
      <c r="E85" s="13" t="s">
        <v>541</v>
      </c>
    </row>
    <row r="86" spans="1:5" ht="71.25" x14ac:dyDescent="0.2">
      <c r="A86" s="13" t="s">
        <v>71</v>
      </c>
      <c r="B86" s="15">
        <v>7</v>
      </c>
      <c r="C86" s="14" t="s">
        <v>512</v>
      </c>
      <c r="D86" s="13" t="str">
        <f t="shared" si="1"/>
        <v>AQ7='\\vdm-fsvr\Cokhi-機工\1.TAI LIEU HANG NAM\2026\1.MUC TIEU NAM\9.TLHDM\[Gia_cong_khong_nguoi.xlsx]Tinh_Toan'!$Y$59</v>
      </c>
      <c r="E86" s="13" t="s">
        <v>542</v>
      </c>
    </row>
    <row r="87" spans="1:5" ht="71.25" x14ac:dyDescent="0.2">
      <c r="A87" s="13" t="s">
        <v>72</v>
      </c>
      <c r="B87" s="15">
        <v>7</v>
      </c>
      <c r="C87" s="14" t="s">
        <v>512</v>
      </c>
      <c r="D87" s="13" t="str">
        <f t="shared" si="1"/>
        <v>AR7='\\vdm-fsvr\Cokhi-機工\1.TAI LIEU HANG NAM\2026\1.MUC TIEU NAM\9.TLHDM\[Gia_cong_khong_nguoi.xlsx]Tinh_Toan'!$Y$59</v>
      </c>
      <c r="E87" s="13" t="s">
        <v>543</v>
      </c>
    </row>
    <row r="88" spans="1:5" ht="71.25" x14ac:dyDescent="0.2">
      <c r="A88" s="13" t="s">
        <v>73</v>
      </c>
      <c r="B88" s="15">
        <v>7</v>
      </c>
      <c r="C88" s="14" t="s">
        <v>512</v>
      </c>
      <c r="D88" s="13" t="str">
        <f t="shared" si="1"/>
        <v>AS7='\\vdm-fsvr\Cokhi-機工\1.TAI LIEU HANG NAM\2026\1.MUC TIEU NAM\9.TLHDM\[Gia_cong_khong_nguoi.xlsx]Tinh_Toan'!$Y$59</v>
      </c>
      <c r="E88" s="13" t="s">
        <v>544</v>
      </c>
    </row>
    <row r="89" spans="1:5" ht="185.25" x14ac:dyDescent="0.2">
      <c r="A89" s="13" t="s">
        <v>42</v>
      </c>
      <c r="B89" s="15">
        <v>8</v>
      </c>
      <c r="C89" s="13" t="s">
        <v>545</v>
      </c>
      <c r="D89" s="13" t="str">
        <f t="shared" si="1"/>
        <v>N8=(''\\vdm-fsvr\Cokhi-機工\1.TAI LIEU HANG NAM\2026\1.MUC TIEU NAM\9.TLHDM\[Gia_cong_khong_nguoi.xlsx]Tinh_Toan'!$R$59+''\\vdm-fsvr\Cokhi-機工\1.TAI LIEU HANG NAM\2026\1.MUC TIEU NAM\9.TLHDM\[Gia_cong_khong_nguoi.xlsx]Tinh_Toan'!$S$59)-''\\vdm-fsvr\Cokhi-機工\1.TAI LIEU HANG NAM\2026\1.MUC TIEU NAM\9.TLHDM\[Gia_cong_khong_nguoi.xlsx]Tinh_Toan'!$M$59*2</v>
      </c>
      <c r="E89" s="13" t="s">
        <v>546</v>
      </c>
    </row>
    <row r="90" spans="1:5" ht="185.25" x14ac:dyDescent="0.2">
      <c r="A90" s="13" t="s">
        <v>43</v>
      </c>
      <c r="B90" s="15">
        <v>8</v>
      </c>
      <c r="C90" s="13" t="s">
        <v>545</v>
      </c>
      <c r="D90" s="13" t="str">
        <f t="shared" si="1"/>
        <v>O8=(''\\vdm-fsvr\Cokhi-機工\1.TAI LIEU HANG NAM\2026\1.MUC TIEU NAM\9.TLHDM\[Gia_cong_khong_nguoi.xlsx]Tinh_Toan'!$R$59+''\\vdm-fsvr\Cokhi-機工\1.TAI LIEU HANG NAM\2026\1.MUC TIEU NAM\9.TLHDM\[Gia_cong_khong_nguoi.xlsx]Tinh_Toan'!$S$59)-''\\vdm-fsvr\Cokhi-機工\1.TAI LIEU HANG NAM\2026\1.MUC TIEU NAM\9.TLHDM\[Gia_cong_khong_nguoi.xlsx]Tinh_Toan'!$M$59*2</v>
      </c>
      <c r="E90" s="13" t="s">
        <v>547</v>
      </c>
    </row>
    <row r="91" spans="1:5" ht="185.25" x14ac:dyDescent="0.2">
      <c r="A91" s="13" t="s">
        <v>44</v>
      </c>
      <c r="B91" s="15">
        <v>8</v>
      </c>
      <c r="C91" s="13" t="s">
        <v>545</v>
      </c>
      <c r="D91" s="13" t="str">
        <f t="shared" si="1"/>
        <v>P8=(''\\vdm-fsvr\Cokhi-機工\1.TAI LIEU HANG NAM\2026\1.MUC TIEU NAM\9.TLHDM\[Gia_cong_khong_nguoi.xlsx]Tinh_Toan'!$R$59+''\\vdm-fsvr\Cokhi-機工\1.TAI LIEU HANG NAM\2026\1.MUC TIEU NAM\9.TLHDM\[Gia_cong_khong_nguoi.xlsx]Tinh_Toan'!$S$59)-''\\vdm-fsvr\Cokhi-機工\1.TAI LIEU HANG NAM\2026\1.MUC TIEU NAM\9.TLHDM\[Gia_cong_khong_nguoi.xlsx]Tinh_Toan'!$M$59*2</v>
      </c>
      <c r="E91" s="13" t="s">
        <v>548</v>
      </c>
    </row>
    <row r="92" spans="1:5" ht="185.25" x14ac:dyDescent="0.2">
      <c r="A92" s="13" t="s">
        <v>45</v>
      </c>
      <c r="B92" s="15">
        <v>8</v>
      </c>
      <c r="C92" s="13" t="s">
        <v>545</v>
      </c>
      <c r="D92" s="13" t="str">
        <f t="shared" si="1"/>
        <v>Q8=(''\\vdm-fsvr\Cokhi-機工\1.TAI LIEU HANG NAM\2026\1.MUC TIEU NAM\9.TLHDM\[Gia_cong_khong_nguoi.xlsx]Tinh_Toan'!$R$59+''\\vdm-fsvr\Cokhi-機工\1.TAI LIEU HANG NAM\2026\1.MUC TIEU NAM\9.TLHDM\[Gia_cong_khong_nguoi.xlsx]Tinh_Toan'!$S$59)-''\\vdm-fsvr\Cokhi-機工\1.TAI LIEU HANG NAM\2026\1.MUC TIEU NAM\9.TLHDM\[Gia_cong_khong_nguoi.xlsx]Tinh_Toan'!$M$59*2</v>
      </c>
      <c r="E92" s="13" t="s">
        <v>549</v>
      </c>
    </row>
    <row r="93" spans="1:5" ht="185.25" x14ac:dyDescent="0.2">
      <c r="A93" s="13" t="s">
        <v>46</v>
      </c>
      <c r="B93" s="15">
        <v>8</v>
      </c>
      <c r="C93" s="13" t="s">
        <v>545</v>
      </c>
      <c r="D93" s="13" t="str">
        <f t="shared" si="1"/>
        <v>R8=(''\\vdm-fsvr\Cokhi-機工\1.TAI LIEU HANG NAM\2026\1.MUC TIEU NAM\9.TLHDM\[Gia_cong_khong_nguoi.xlsx]Tinh_Toan'!$R$59+''\\vdm-fsvr\Cokhi-機工\1.TAI LIEU HANG NAM\2026\1.MUC TIEU NAM\9.TLHDM\[Gia_cong_khong_nguoi.xlsx]Tinh_Toan'!$S$59)-''\\vdm-fsvr\Cokhi-機工\1.TAI LIEU HANG NAM\2026\1.MUC TIEU NAM\9.TLHDM\[Gia_cong_khong_nguoi.xlsx]Tinh_Toan'!$M$59*2</v>
      </c>
      <c r="E93" s="13" t="s">
        <v>550</v>
      </c>
    </row>
    <row r="94" spans="1:5" ht="185.25" x14ac:dyDescent="0.2">
      <c r="A94" s="13" t="s">
        <v>47</v>
      </c>
      <c r="B94" s="15">
        <v>8</v>
      </c>
      <c r="C94" s="13" t="s">
        <v>545</v>
      </c>
      <c r="D94" s="13" t="str">
        <f t="shared" si="1"/>
        <v>S8=(''\\vdm-fsvr\Cokhi-機工\1.TAI LIEU HANG NAM\2026\1.MUC TIEU NAM\9.TLHDM\[Gia_cong_khong_nguoi.xlsx]Tinh_Toan'!$R$59+''\\vdm-fsvr\Cokhi-機工\1.TAI LIEU HANG NAM\2026\1.MUC TIEU NAM\9.TLHDM\[Gia_cong_khong_nguoi.xlsx]Tinh_Toan'!$S$59)-''\\vdm-fsvr\Cokhi-機工\1.TAI LIEU HANG NAM\2026\1.MUC TIEU NAM\9.TLHDM\[Gia_cong_khong_nguoi.xlsx]Tinh_Toan'!$M$59*2</v>
      </c>
      <c r="E94" s="13" t="s">
        <v>551</v>
      </c>
    </row>
    <row r="95" spans="1:5" ht="185.25" x14ac:dyDescent="0.2">
      <c r="A95" s="13" t="s">
        <v>48</v>
      </c>
      <c r="B95" s="15">
        <v>8</v>
      </c>
      <c r="C95" s="13" t="s">
        <v>545</v>
      </c>
      <c r="D95" s="13" t="str">
        <f t="shared" si="1"/>
        <v>T8=(''\\vdm-fsvr\Cokhi-機工\1.TAI LIEU HANG NAM\2026\1.MUC TIEU NAM\9.TLHDM\[Gia_cong_khong_nguoi.xlsx]Tinh_Toan'!$R$59+''\\vdm-fsvr\Cokhi-機工\1.TAI LIEU HANG NAM\2026\1.MUC TIEU NAM\9.TLHDM\[Gia_cong_khong_nguoi.xlsx]Tinh_Toan'!$S$59)-''\\vdm-fsvr\Cokhi-機工\1.TAI LIEU HANG NAM\2026\1.MUC TIEU NAM\9.TLHDM\[Gia_cong_khong_nguoi.xlsx]Tinh_Toan'!$M$59*2</v>
      </c>
      <c r="E95" s="13" t="s">
        <v>552</v>
      </c>
    </row>
    <row r="96" spans="1:5" ht="185.25" x14ac:dyDescent="0.2">
      <c r="A96" s="13" t="s">
        <v>49</v>
      </c>
      <c r="B96" s="15">
        <v>8</v>
      </c>
      <c r="C96" s="13" t="s">
        <v>545</v>
      </c>
      <c r="D96" s="13" t="str">
        <f t="shared" si="1"/>
        <v>U8=(''\\vdm-fsvr\Cokhi-機工\1.TAI LIEU HANG NAM\2026\1.MUC TIEU NAM\9.TLHDM\[Gia_cong_khong_nguoi.xlsx]Tinh_Toan'!$R$59+''\\vdm-fsvr\Cokhi-機工\1.TAI LIEU HANG NAM\2026\1.MUC TIEU NAM\9.TLHDM\[Gia_cong_khong_nguoi.xlsx]Tinh_Toan'!$S$59)-''\\vdm-fsvr\Cokhi-機工\1.TAI LIEU HANG NAM\2026\1.MUC TIEU NAM\9.TLHDM\[Gia_cong_khong_nguoi.xlsx]Tinh_Toan'!$M$59*2</v>
      </c>
      <c r="E96" s="13" t="s">
        <v>553</v>
      </c>
    </row>
    <row r="97" spans="1:5" ht="185.25" x14ac:dyDescent="0.2">
      <c r="A97" s="13" t="s">
        <v>50</v>
      </c>
      <c r="B97" s="15">
        <v>8</v>
      </c>
      <c r="C97" s="13" t="s">
        <v>545</v>
      </c>
      <c r="D97" s="13" t="str">
        <f t="shared" si="1"/>
        <v>V8=(''\\vdm-fsvr\Cokhi-機工\1.TAI LIEU HANG NAM\2026\1.MUC TIEU NAM\9.TLHDM\[Gia_cong_khong_nguoi.xlsx]Tinh_Toan'!$R$59+''\\vdm-fsvr\Cokhi-機工\1.TAI LIEU HANG NAM\2026\1.MUC TIEU NAM\9.TLHDM\[Gia_cong_khong_nguoi.xlsx]Tinh_Toan'!$S$59)-''\\vdm-fsvr\Cokhi-機工\1.TAI LIEU HANG NAM\2026\1.MUC TIEU NAM\9.TLHDM\[Gia_cong_khong_nguoi.xlsx]Tinh_Toan'!$M$59*2</v>
      </c>
      <c r="E97" s="13" t="s">
        <v>554</v>
      </c>
    </row>
    <row r="98" spans="1:5" ht="185.25" x14ac:dyDescent="0.2">
      <c r="A98" s="13" t="s">
        <v>51</v>
      </c>
      <c r="B98" s="15">
        <v>8</v>
      </c>
      <c r="C98" s="13" t="s">
        <v>545</v>
      </c>
      <c r="D98" s="13" t="str">
        <f t="shared" si="1"/>
        <v>W8=(''\\vdm-fsvr\Cokhi-機工\1.TAI LIEU HANG NAM\2026\1.MUC TIEU NAM\9.TLHDM\[Gia_cong_khong_nguoi.xlsx]Tinh_Toan'!$R$59+''\\vdm-fsvr\Cokhi-機工\1.TAI LIEU HANG NAM\2026\1.MUC TIEU NAM\9.TLHDM\[Gia_cong_khong_nguoi.xlsx]Tinh_Toan'!$S$59)-''\\vdm-fsvr\Cokhi-機工\1.TAI LIEU HANG NAM\2026\1.MUC TIEU NAM\9.TLHDM\[Gia_cong_khong_nguoi.xlsx]Tinh_Toan'!$M$59*2</v>
      </c>
      <c r="E98" s="13" t="s">
        <v>555</v>
      </c>
    </row>
    <row r="99" spans="1:5" ht="185.25" x14ac:dyDescent="0.2">
      <c r="A99" s="13" t="s">
        <v>52</v>
      </c>
      <c r="B99" s="15">
        <v>8</v>
      </c>
      <c r="C99" s="13" t="s">
        <v>545</v>
      </c>
      <c r="D99" s="13" t="str">
        <f t="shared" si="1"/>
        <v>X8=(''\\vdm-fsvr\Cokhi-機工\1.TAI LIEU HANG NAM\2026\1.MUC TIEU NAM\9.TLHDM\[Gia_cong_khong_nguoi.xlsx]Tinh_Toan'!$R$59+''\\vdm-fsvr\Cokhi-機工\1.TAI LIEU HANG NAM\2026\1.MUC TIEU NAM\9.TLHDM\[Gia_cong_khong_nguoi.xlsx]Tinh_Toan'!$S$59)-''\\vdm-fsvr\Cokhi-機工\1.TAI LIEU HANG NAM\2026\1.MUC TIEU NAM\9.TLHDM\[Gia_cong_khong_nguoi.xlsx]Tinh_Toan'!$M$59*2</v>
      </c>
      <c r="E99" s="13" t="s">
        <v>556</v>
      </c>
    </row>
    <row r="100" spans="1:5" ht="185.25" x14ac:dyDescent="0.2">
      <c r="A100" s="13" t="s">
        <v>53</v>
      </c>
      <c r="B100" s="15">
        <v>8</v>
      </c>
      <c r="C100" s="13" t="s">
        <v>545</v>
      </c>
      <c r="D100" s="13" t="str">
        <f t="shared" si="1"/>
        <v>Y8=(''\\vdm-fsvr\Cokhi-機工\1.TAI LIEU HANG NAM\2026\1.MUC TIEU NAM\9.TLHDM\[Gia_cong_khong_nguoi.xlsx]Tinh_Toan'!$R$59+''\\vdm-fsvr\Cokhi-機工\1.TAI LIEU HANG NAM\2026\1.MUC TIEU NAM\9.TLHDM\[Gia_cong_khong_nguoi.xlsx]Tinh_Toan'!$S$59)-''\\vdm-fsvr\Cokhi-機工\1.TAI LIEU HANG NAM\2026\1.MUC TIEU NAM\9.TLHDM\[Gia_cong_khong_nguoi.xlsx]Tinh_Toan'!$M$59*2</v>
      </c>
      <c r="E100" s="13" t="s">
        <v>557</v>
      </c>
    </row>
    <row r="101" spans="1:5" ht="185.25" x14ac:dyDescent="0.2">
      <c r="A101" s="13" t="s">
        <v>54</v>
      </c>
      <c r="B101" s="15">
        <v>8</v>
      </c>
      <c r="C101" s="13" t="s">
        <v>545</v>
      </c>
      <c r="D101" s="13" t="str">
        <f t="shared" si="1"/>
        <v>Z8=(''\\vdm-fsvr\Cokhi-機工\1.TAI LIEU HANG NAM\2026\1.MUC TIEU NAM\9.TLHDM\[Gia_cong_khong_nguoi.xlsx]Tinh_Toan'!$R$59+''\\vdm-fsvr\Cokhi-機工\1.TAI LIEU HANG NAM\2026\1.MUC TIEU NAM\9.TLHDM\[Gia_cong_khong_nguoi.xlsx]Tinh_Toan'!$S$59)-''\\vdm-fsvr\Cokhi-機工\1.TAI LIEU HANG NAM\2026\1.MUC TIEU NAM\9.TLHDM\[Gia_cong_khong_nguoi.xlsx]Tinh_Toan'!$M$59*2</v>
      </c>
      <c r="E101" s="13" t="s">
        <v>558</v>
      </c>
    </row>
    <row r="102" spans="1:5" ht="185.25" x14ac:dyDescent="0.2">
      <c r="A102" s="13" t="s">
        <v>55</v>
      </c>
      <c r="B102" s="15">
        <v>8</v>
      </c>
      <c r="C102" s="13" t="s">
        <v>545</v>
      </c>
      <c r="D102" s="13" t="str">
        <f t="shared" si="1"/>
        <v>AA8=(''\\vdm-fsvr\Cokhi-機工\1.TAI LIEU HANG NAM\2026\1.MUC TIEU NAM\9.TLHDM\[Gia_cong_khong_nguoi.xlsx]Tinh_Toan'!$R$59+''\\vdm-fsvr\Cokhi-機工\1.TAI LIEU HANG NAM\2026\1.MUC TIEU NAM\9.TLHDM\[Gia_cong_khong_nguoi.xlsx]Tinh_Toan'!$S$59)-''\\vdm-fsvr\Cokhi-機工\1.TAI LIEU HANG NAM\2026\1.MUC TIEU NAM\9.TLHDM\[Gia_cong_khong_nguoi.xlsx]Tinh_Toan'!$M$59*2</v>
      </c>
      <c r="E102" s="13" t="s">
        <v>559</v>
      </c>
    </row>
    <row r="103" spans="1:5" ht="185.25" x14ac:dyDescent="0.2">
      <c r="A103" s="13" t="s">
        <v>56</v>
      </c>
      <c r="B103" s="15">
        <v>8</v>
      </c>
      <c r="C103" s="13" t="s">
        <v>545</v>
      </c>
      <c r="D103" s="13" t="str">
        <f t="shared" si="1"/>
        <v>AB8=(''\\vdm-fsvr\Cokhi-機工\1.TAI LIEU HANG NAM\2026\1.MUC TIEU NAM\9.TLHDM\[Gia_cong_khong_nguoi.xlsx]Tinh_Toan'!$R$59+''\\vdm-fsvr\Cokhi-機工\1.TAI LIEU HANG NAM\2026\1.MUC TIEU NAM\9.TLHDM\[Gia_cong_khong_nguoi.xlsx]Tinh_Toan'!$S$59)-''\\vdm-fsvr\Cokhi-機工\1.TAI LIEU HANG NAM\2026\1.MUC TIEU NAM\9.TLHDM\[Gia_cong_khong_nguoi.xlsx]Tinh_Toan'!$M$59*2</v>
      </c>
      <c r="E103" s="13" t="s">
        <v>560</v>
      </c>
    </row>
    <row r="104" spans="1:5" ht="185.25" x14ac:dyDescent="0.2">
      <c r="A104" s="13" t="s">
        <v>57</v>
      </c>
      <c r="B104" s="15">
        <v>8</v>
      </c>
      <c r="C104" s="13" t="s">
        <v>545</v>
      </c>
      <c r="D104" s="13" t="str">
        <f t="shared" si="1"/>
        <v>AC8=(''\\vdm-fsvr\Cokhi-機工\1.TAI LIEU HANG NAM\2026\1.MUC TIEU NAM\9.TLHDM\[Gia_cong_khong_nguoi.xlsx]Tinh_Toan'!$R$59+''\\vdm-fsvr\Cokhi-機工\1.TAI LIEU HANG NAM\2026\1.MUC TIEU NAM\9.TLHDM\[Gia_cong_khong_nguoi.xlsx]Tinh_Toan'!$S$59)-''\\vdm-fsvr\Cokhi-機工\1.TAI LIEU HANG NAM\2026\1.MUC TIEU NAM\9.TLHDM\[Gia_cong_khong_nguoi.xlsx]Tinh_Toan'!$M$59*2</v>
      </c>
      <c r="E104" s="13" t="s">
        <v>561</v>
      </c>
    </row>
    <row r="105" spans="1:5" ht="185.25" x14ac:dyDescent="0.2">
      <c r="A105" s="13" t="s">
        <v>58</v>
      </c>
      <c r="B105" s="15">
        <v>8</v>
      </c>
      <c r="C105" s="13" t="s">
        <v>545</v>
      </c>
      <c r="D105" s="13" t="str">
        <f t="shared" si="1"/>
        <v>AD8=(''\\vdm-fsvr\Cokhi-機工\1.TAI LIEU HANG NAM\2026\1.MUC TIEU NAM\9.TLHDM\[Gia_cong_khong_nguoi.xlsx]Tinh_Toan'!$R$59+''\\vdm-fsvr\Cokhi-機工\1.TAI LIEU HANG NAM\2026\1.MUC TIEU NAM\9.TLHDM\[Gia_cong_khong_nguoi.xlsx]Tinh_Toan'!$S$59)-''\\vdm-fsvr\Cokhi-機工\1.TAI LIEU HANG NAM\2026\1.MUC TIEU NAM\9.TLHDM\[Gia_cong_khong_nguoi.xlsx]Tinh_Toan'!$M$59*2</v>
      </c>
      <c r="E105" s="13" t="s">
        <v>562</v>
      </c>
    </row>
    <row r="106" spans="1:5" ht="185.25" x14ac:dyDescent="0.2">
      <c r="A106" s="13" t="s">
        <v>59</v>
      </c>
      <c r="B106" s="15">
        <v>8</v>
      </c>
      <c r="C106" s="13" t="s">
        <v>545</v>
      </c>
      <c r="D106" s="13" t="str">
        <f t="shared" si="1"/>
        <v>AE8=(''\\vdm-fsvr\Cokhi-機工\1.TAI LIEU HANG NAM\2026\1.MUC TIEU NAM\9.TLHDM\[Gia_cong_khong_nguoi.xlsx]Tinh_Toan'!$R$59+''\\vdm-fsvr\Cokhi-機工\1.TAI LIEU HANG NAM\2026\1.MUC TIEU NAM\9.TLHDM\[Gia_cong_khong_nguoi.xlsx]Tinh_Toan'!$S$59)-''\\vdm-fsvr\Cokhi-機工\1.TAI LIEU HANG NAM\2026\1.MUC TIEU NAM\9.TLHDM\[Gia_cong_khong_nguoi.xlsx]Tinh_Toan'!$M$59*2</v>
      </c>
      <c r="E106" s="13" t="s">
        <v>563</v>
      </c>
    </row>
    <row r="107" spans="1:5" ht="185.25" x14ac:dyDescent="0.2">
      <c r="A107" s="13" t="s">
        <v>60</v>
      </c>
      <c r="B107" s="15">
        <v>8</v>
      </c>
      <c r="C107" s="13" t="s">
        <v>545</v>
      </c>
      <c r="D107" s="13" t="str">
        <f t="shared" si="1"/>
        <v>AF8=(''\\vdm-fsvr\Cokhi-機工\1.TAI LIEU HANG NAM\2026\1.MUC TIEU NAM\9.TLHDM\[Gia_cong_khong_nguoi.xlsx]Tinh_Toan'!$R$59+''\\vdm-fsvr\Cokhi-機工\1.TAI LIEU HANG NAM\2026\1.MUC TIEU NAM\9.TLHDM\[Gia_cong_khong_nguoi.xlsx]Tinh_Toan'!$S$59)-''\\vdm-fsvr\Cokhi-機工\1.TAI LIEU HANG NAM\2026\1.MUC TIEU NAM\9.TLHDM\[Gia_cong_khong_nguoi.xlsx]Tinh_Toan'!$M$59*2</v>
      </c>
      <c r="E107" s="13" t="s">
        <v>564</v>
      </c>
    </row>
    <row r="108" spans="1:5" ht="185.25" x14ac:dyDescent="0.2">
      <c r="A108" s="13" t="s">
        <v>61</v>
      </c>
      <c r="B108" s="15">
        <v>8</v>
      </c>
      <c r="C108" s="13" t="s">
        <v>545</v>
      </c>
      <c r="D108" s="13" t="str">
        <f t="shared" si="1"/>
        <v>AG8=(''\\vdm-fsvr\Cokhi-機工\1.TAI LIEU HANG NAM\2026\1.MUC TIEU NAM\9.TLHDM\[Gia_cong_khong_nguoi.xlsx]Tinh_Toan'!$R$59+''\\vdm-fsvr\Cokhi-機工\1.TAI LIEU HANG NAM\2026\1.MUC TIEU NAM\9.TLHDM\[Gia_cong_khong_nguoi.xlsx]Tinh_Toan'!$S$59)-''\\vdm-fsvr\Cokhi-機工\1.TAI LIEU HANG NAM\2026\1.MUC TIEU NAM\9.TLHDM\[Gia_cong_khong_nguoi.xlsx]Tinh_Toan'!$M$59*2</v>
      </c>
      <c r="E108" s="13" t="s">
        <v>565</v>
      </c>
    </row>
    <row r="109" spans="1:5" ht="185.25" x14ac:dyDescent="0.2">
      <c r="A109" s="13" t="s">
        <v>62</v>
      </c>
      <c r="B109" s="15">
        <v>8</v>
      </c>
      <c r="C109" s="13" t="s">
        <v>545</v>
      </c>
      <c r="D109" s="13" t="str">
        <f t="shared" si="1"/>
        <v>AH8=(''\\vdm-fsvr\Cokhi-機工\1.TAI LIEU HANG NAM\2026\1.MUC TIEU NAM\9.TLHDM\[Gia_cong_khong_nguoi.xlsx]Tinh_Toan'!$R$59+''\\vdm-fsvr\Cokhi-機工\1.TAI LIEU HANG NAM\2026\1.MUC TIEU NAM\9.TLHDM\[Gia_cong_khong_nguoi.xlsx]Tinh_Toan'!$S$59)-''\\vdm-fsvr\Cokhi-機工\1.TAI LIEU HANG NAM\2026\1.MUC TIEU NAM\9.TLHDM\[Gia_cong_khong_nguoi.xlsx]Tinh_Toan'!$M$59*2</v>
      </c>
      <c r="E109" s="13" t="s">
        <v>566</v>
      </c>
    </row>
    <row r="110" spans="1:5" ht="185.25" x14ac:dyDescent="0.2">
      <c r="A110" s="13" t="s">
        <v>63</v>
      </c>
      <c r="B110" s="15">
        <v>8</v>
      </c>
      <c r="C110" s="13" t="s">
        <v>545</v>
      </c>
      <c r="D110" s="13" t="str">
        <f t="shared" si="1"/>
        <v>AI8=(''\\vdm-fsvr\Cokhi-機工\1.TAI LIEU HANG NAM\2026\1.MUC TIEU NAM\9.TLHDM\[Gia_cong_khong_nguoi.xlsx]Tinh_Toan'!$R$59+''\\vdm-fsvr\Cokhi-機工\1.TAI LIEU HANG NAM\2026\1.MUC TIEU NAM\9.TLHDM\[Gia_cong_khong_nguoi.xlsx]Tinh_Toan'!$S$59)-''\\vdm-fsvr\Cokhi-機工\1.TAI LIEU HANG NAM\2026\1.MUC TIEU NAM\9.TLHDM\[Gia_cong_khong_nguoi.xlsx]Tinh_Toan'!$M$59*2</v>
      </c>
      <c r="E110" s="13" t="s">
        <v>567</v>
      </c>
    </row>
    <row r="111" spans="1:5" ht="185.25" x14ac:dyDescent="0.2">
      <c r="A111" s="13" t="s">
        <v>64</v>
      </c>
      <c r="B111" s="15">
        <v>8</v>
      </c>
      <c r="C111" s="13" t="s">
        <v>545</v>
      </c>
      <c r="D111" s="13" t="str">
        <f t="shared" si="1"/>
        <v>AJ8=(''\\vdm-fsvr\Cokhi-機工\1.TAI LIEU HANG NAM\2026\1.MUC TIEU NAM\9.TLHDM\[Gia_cong_khong_nguoi.xlsx]Tinh_Toan'!$R$59+''\\vdm-fsvr\Cokhi-機工\1.TAI LIEU HANG NAM\2026\1.MUC TIEU NAM\9.TLHDM\[Gia_cong_khong_nguoi.xlsx]Tinh_Toan'!$S$59)-''\\vdm-fsvr\Cokhi-機工\1.TAI LIEU HANG NAM\2026\1.MUC TIEU NAM\9.TLHDM\[Gia_cong_khong_nguoi.xlsx]Tinh_Toan'!$M$59*2</v>
      </c>
      <c r="E111" s="13" t="s">
        <v>568</v>
      </c>
    </row>
    <row r="112" spans="1:5" ht="185.25" x14ac:dyDescent="0.2">
      <c r="A112" s="13" t="s">
        <v>65</v>
      </c>
      <c r="B112" s="15">
        <v>8</v>
      </c>
      <c r="C112" s="13" t="s">
        <v>545</v>
      </c>
      <c r="D112" s="13" t="str">
        <f t="shared" si="1"/>
        <v>AK8=(''\\vdm-fsvr\Cokhi-機工\1.TAI LIEU HANG NAM\2026\1.MUC TIEU NAM\9.TLHDM\[Gia_cong_khong_nguoi.xlsx]Tinh_Toan'!$R$59+''\\vdm-fsvr\Cokhi-機工\1.TAI LIEU HANG NAM\2026\1.MUC TIEU NAM\9.TLHDM\[Gia_cong_khong_nguoi.xlsx]Tinh_Toan'!$S$59)-''\\vdm-fsvr\Cokhi-機工\1.TAI LIEU HANG NAM\2026\1.MUC TIEU NAM\9.TLHDM\[Gia_cong_khong_nguoi.xlsx]Tinh_Toan'!$M$59*2</v>
      </c>
      <c r="E112" s="13" t="s">
        <v>569</v>
      </c>
    </row>
    <row r="113" spans="1:5" ht="185.25" x14ac:dyDescent="0.2">
      <c r="A113" s="13" t="s">
        <v>66</v>
      </c>
      <c r="B113" s="15">
        <v>8</v>
      </c>
      <c r="C113" s="13" t="s">
        <v>545</v>
      </c>
      <c r="D113" s="13" t="str">
        <f t="shared" si="1"/>
        <v>AL8=(''\\vdm-fsvr\Cokhi-機工\1.TAI LIEU HANG NAM\2026\1.MUC TIEU NAM\9.TLHDM\[Gia_cong_khong_nguoi.xlsx]Tinh_Toan'!$R$59+''\\vdm-fsvr\Cokhi-機工\1.TAI LIEU HANG NAM\2026\1.MUC TIEU NAM\9.TLHDM\[Gia_cong_khong_nguoi.xlsx]Tinh_Toan'!$S$59)-''\\vdm-fsvr\Cokhi-機工\1.TAI LIEU HANG NAM\2026\1.MUC TIEU NAM\9.TLHDM\[Gia_cong_khong_nguoi.xlsx]Tinh_Toan'!$M$59*2</v>
      </c>
      <c r="E113" s="13" t="s">
        <v>570</v>
      </c>
    </row>
    <row r="114" spans="1:5" ht="185.25" x14ac:dyDescent="0.2">
      <c r="A114" s="13" t="s">
        <v>67</v>
      </c>
      <c r="B114" s="15">
        <v>8</v>
      </c>
      <c r="C114" s="13" t="s">
        <v>545</v>
      </c>
      <c r="D114" s="13" t="str">
        <f t="shared" si="1"/>
        <v>AM8=(''\\vdm-fsvr\Cokhi-機工\1.TAI LIEU HANG NAM\2026\1.MUC TIEU NAM\9.TLHDM\[Gia_cong_khong_nguoi.xlsx]Tinh_Toan'!$R$59+''\\vdm-fsvr\Cokhi-機工\1.TAI LIEU HANG NAM\2026\1.MUC TIEU NAM\9.TLHDM\[Gia_cong_khong_nguoi.xlsx]Tinh_Toan'!$S$59)-''\\vdm-fsvr\Cokhi-機工\1.TAI LIEU HANG NAM\2026\1.MUC TIEU NAM\9.TLHDM\[Gia_cong_khong_nguoi.xlsx]Tinh_Toan'!$M$59*2</v>
      </c>
      <c r="E114" s="13" t="s">
        <v>571</v>
      </c>
    </row>
    <row r="115" spans="1:5" ht="185.25" x14ac:dyDescent="0.2">
      <c r="A115" s="13" t="s">
        <v>68</v>
      </c>
      <c r="B115" s="15">
        <v>8</v>
      </c>
      <c r="C115" s="13" t="s">
        <v>545</v>
      </c>
      <c r="D115" s="13" t="str">
        <f t="shared" si="1"/>
        <v>AN8=(''\\vdm-fsvr\Cokhi-機工\1.TAI LIEU HANG NAM\2026\1.MUC TIEU NAM\9.TLHDM\[Gia_cong_khong_nguoi.xlsx]Tinh_Toan'!$R$59+''\\vdm-fsvr\Cokhi-機工\1.TAI LIEU HANG NAM\2026\1.MUC TIEU NAM\9.TLHDM\[Gia_cong_khong_nguoi.xlsx]Tinh_Toan'!$S$59)-''\\vdm-fsvr\Cokhi-機工\1.TAI LIEU HANG NAM\2026\1.MUC TIEU NAM\9.TLHDM\[Gia_cong_khong_nguoi.xlsx]Tinh_Toan'!$M$59*2</v>
      </c>
      <c r="E115" s="13" t="s">
        <v>572</v>
      </c>
    </row>
    <row r="116" spans="1:5" ht="185.25" x14ac:dyDescent="0.2">
      <c r="A116" s="13" t="s">
        <v>69</v>
      </c>
      <c r="B116" s="15">
        <v>8</v>
      </c>
      <c r="C116" s="13" t="s">
        <v>545</v>
      </c>
      <c r="D116" s="13" t="str">
        <f t="shared" si="1"/>
        <v>AO8=(''\\vdm-fsvr\Cokhi-機工\1.TAI LIEU HANG NAM\2026\1.MUC TIEU NAM\9.TLHDM\[Gia_cong_khong_nguoi.xlsx]Tinh_Toan'!$R$59+''\\vdm-fsvr\Cokhi-機工\1.TAI LIEU HANG NAM\2026\1.MUC TIEU NAM\9.TLHDM\[Gia_cong_khong_nguoi.xlsx]Tinh_Toan'!$S$59)-''\\vdm-fsvr\Cokhi-機工\1.TAI LIEU HANG NAM\2026\1.MUC TIEU NAM\9.TLHDM\[Gia_cong_khong_nguoi.xlsx]Tinh_Toan'!$M$59*2</v>
      </c>
      <c r="E116" s="13" t="s">
        <v>573</v>
      </c>
    </row>
    <row r="117" spans="1:5" ht="185.25" x14ac:dyDescent="0.2">
      <c r="A117" s="13" t="s">
        <v>70</v>
      </c>
      <c r="B117" s="15">
        <v>8</v>
      </c>
      <c r="C117" s="13" t="s">
        <v>545</v>
      </c>
      <c r="D117" s="13" t="str">
        <f t="shared" si="1"/>
        <v>AP8=(''\\vdm-fsvr\Cokhi-機工\1.TAI LIEU HANG NAM\2026\1.MUC TIEU NAM\9.TLHDM\[Gia_cong_khong_nguoi.xlsx]Tinh_Toan'!$R$59+''\\vdm-fsvr\Cokhi-機工\1.TAI LIEU HANG NAM\2026\1.MUC TIEU NAM\9.TLHDM\[Gia_cong_khong_nguoi.xlsx]Tinh_Toan'!$S$59)-''\\vdm-fsvr\Cokhi-機工\1.TAI LIEU HANG NAM\2026\1.MUC TIEU NAM\9.TLHDM\[Gia_cong_khong_nguoi.xlsx]Tinh_Toan'!$M$59*2</v>
      </c>
      <c r="E117" s="13" t="s">
        <v>574</v>
      </c>
    </row>
    <row r="118" spans="1:5" ht="185.25" x14ac:dyDescent="0.2">
      <c r="A118" s="13" t="s">
        <v>71</v>
      </c>
      <c r="B118" s="15">
        <v>8</v>
      </c>
      <c r="C118" s="13" t="s">
        <v>545</v>
      </c>
      <c r="D118" s="13" t="str">
        <f t="shared" si="1"/>
        <v>AQ8=(''\\vdm-fsvr\Cokhi-機工\1.TAI LIEU HANG NAM\2026\1.MUC TIEU NAM\9.TLHDM\[Gia_cong_khong_nguoi.xlsx]Tinh_Toan'!$R$59+''\\vdm-fsvr\Cokhi-機工\1.TAI LIEU HANG NAM\2026\1.MUC TIEU NAM\9.TLHDM\[Gia_cong_khong_nguoi.xlsx]Tinh_Toan'!$S$59)-''\\vdm-fsvr\Cokhi-機工\1.TAI LIEU HANG NAM\2026\1.MUC TIEU NAM\9.TLHDM\[Gia_cong_khong_nguoi.xlsx]Tinh_Toan'!$M$59*2</v>
      </c>
      <c r="E118" s="13" t="s">
        <v>575</v>
      </c>
    </row>
    <row r="119" spans="1:5" ht="185.25" x14ac:dyDescent="0.2">
      <c r="A119" s="13" t="s">
        <v>72</v>
      </c>
      <c r="B119" s="15">
        <v>8</v>
      </c>
      <c r="C119" s="13" t="s">
        <v>545</v>
      </c>
      <c r="D119" s="13" t="str">
        <f t="shared" si="1"/>
        <v>AR8=(''\\vdm-fsvr\Cokhi-機工\1.TAI LIEU HANG NAM\2026\1.MUC TIEU NAM\9.TLHDM\[Gia_cong_khong_nguoi.xlsx]Tinh_Toan'!$R$59+''\\vdm-fsvr\Cokhi-機工\1.TAI LIEU HANG NAM\2026\1.MUC TIEU NAM\9.TLHDM\[Gia_cong_khong_nguoi.xlsx]Tinh_Toan'!$S$59)-''\\vdm-fsvr\Cokhi-機工\1.TAI LIEU HANG NAM\2026\1.MUC TIEU NAM\9.TLHDM\[Gia_cong_khong_nguoi.xlsx]Tinh_Toan'!$M$59*2</v>
      </c>
      <c r="E119" s="13" t="s">
        <v>576</v>
      </c>
    </row>
    <row r="120" spans="1:5" ht="185.25" x14ac:dyDescent="0.2">
      <c r="A120" s="13" t="s">
        <v>73</v>
      </c>
      <c r="B120" s="15">
        <v>8</v>
      </c>
      <c r="C120" s="13" t="s">
        <v>545</v>
      </c>
      <c r="D120" s="13" t="str">
        <f t="shared" si="1"/>
        <v>AS8=(''\\vdm-fsvr\Cokhi-機工\1.TAI LIEU HANG NAM\2026\1.MUC TIEU NAM\9.TLHDM\[Gia_cong_khong_nguoi.xlsx]Tinh_Toan'!$R$59+''\\vdm-fsvr\Cokhi-機工\1.TAI LIEU HANG NAM\2026\1.MUC TIEU NAM\9.TLHDM\[Gia_cong_khong_nguoi.xlsx]Tinh_Toan'!$S$59)-''\\vdm-fsvr\Cokhi-機工\1.TAI LIEU HANG NAM\2026\1.MUC TIEU NAM\9.TLHDM\[Gia_cong_khong_nguoi.xlsx]Tinh_Toan'!$M$59*2</v>
      </c>
      <c r="E120" s="13" t="s">
        <v>577</v>
      </c>
    </row>
    <row r="121" spans="1:5" ht="71.25" x14ac:dyDescent="0.2">
      <c r="A121" s="13" t="s">
        <v>42</v>
      </c>
      <c r="B121" s="15">
        <v>9</v>
      </c>
      <c r="C121" s="14" t="s">
        <v>578</v>
      </c>
      <c r="D121" s="13" t="str">
        <f t="shared" si="1"/>
        <v>N9='\\vdm-fsvr\Cokhi-機工\1.TAI LIEU HANG NAM\2026\1.MUC TIEU NAM\9.TLHDM\[Gia_cong_khong_nguoi.xlsx]Tinh_Toan'!$M$59*2</v>
      </c>
      <c r="E121" s="13" t="s">
        <v>579</v>
      </c>
    </row>
    <row r="122" spans="1:5" ht="71.25" x14ac:dyDescent="0.2">
      <c r="A122" s="13" t="s">
        <v>43</v>
      </c>
      <c r="B122" s="15">
        <v>9</v>
      </c>
      <c r="C122" s="14" t="s">
        <v>578</v>
      </c>
      <c r="D122" s="13" t="str">
        <f t="shared" si="1"/>
        <v>O9='\\vdm-fsvr\Cokhi-機工\1.TAI LIEU HANG NAM\2026\1.MUC TIEU NAM\9.TLHDM\[Gia_cong_khong_nguoi.xlsx]Tinh_Toan'!$M$59*2</v>
      </c>
      <c r="E122" s="13" t="s">
        <v>580</v>
      </c>
    </row>
    <row r="123" spans="1:5" ht="71.25" x14ac:dyDescent="0.2">
      <c r="A123" s="13" t="s">
        <v>44</v>
      </c>
      <c r="B123" s="15">
        <v>9</v>
      </c>
      <c r="C123" s="14" t="s">
        <v>578</v>
      </c>
      <c r="D123" s="13" t="str">
        <f t="shared" si="1"/>
        <v>P9='\\vdm-fsvr\Cokhi-機工\1.TAI LIEU HANG NAM\2026\1.MUC TIEU NAM\9.TLHDM\[Gia_cong_khong_nguoi.xlsx]Tinh_Toan'!$M$59*2</v>
      </c>
      <c r="E123" s="13" t="s">
        <v>581</v>
      </c>
    </row>
    <row r="124" spans="1:5" ht="71.25" x14ac:dyDescent="0.2">
      <c r="A124" s="13" t="s">
        <v>45</v>
      </c>
      <c r="B124" s="15">
        <v>9</v>
      </c>
      <c r="C124" s="14" t="s">
        <v>578</v>
      </c>
      <c r="D124" s="13" t="str">
        <f t="shared" si="1"/>
        <v>Q9='\\vdm-fsvr\Cokhi-機工\1.TAI LIEU HANG NAM\2026\1.MUC TIEU NAM\9.TLHDM\[Gia_cong_khong_nguoi.xlsx]Tinh_Toan'!$M$59*2</v>
      </c>
      <c r="E124" s="13" t="s">
        <v>582</v>
      </c>
    </row>
    <row r="125" spans="1:5" ht="71.25" x14ac:dyDescent="0.2">
      <c r="A125" s="13" t="s">
        <v>46</v>
      </c>
      <c r="B125" s="15">
        <v>9</v>
      </c>
      <c r="C125" s="14" t="s">
        <v>578</v>
      </c>
      <c r="D125" s="13" t="str">
        <f t="shared" si="1"/>
        <v>R9='\\vdm-fsvr\Cokhi-機工\1.TAI LIEU HANG NAM\2026\1.MUC TIEU NAM\9.TLHDM\[Gia_cong_khong_nguoi.xlsx]Tinh_Toan'!$M$59*2</v>
      </c>
      <c r="E125" s="13" t="s">
        <v>583</v>
      </c>
    </row>
    <row r="126" spans="1:5" ht="71.25" x14ac:dyDescent="0.2">
      <c r="A126" s="13" t="s">
        <v>47</v>
      </c>
      <c r="B126" s="15">
        <v>9</v>
      </c>
      <c r="C126" s="14" t="s">
        <v>578</v>
      </c>
      <c r="D126" s="13" t="str">
        <f t="shared" si="1"/>
        <v>S9='\\vdm-fsvr\Cokhi-機工\1.TAI LIEU HANG NAM\2026\1.MUC TIEU NAM\9.TLHDM\[Gia_cong_khong_nguoi.xlsx]Tinh_Toan'!$M$59*2</v>
      </c>
      <c r="E126" s="13" t="s">
        <v>584</v>
      </c>
    </row>
    <row r="127" spans="1:5" ht="71.25" x14ac:dyDescent="0.2">
      <c r="A127" s="13" t="s">
        <v>48</v>
      </c>
      <c r="B127" s="15">
        <v>9</v>
      </c>
      <c r="C127" s="14" t="s">
        <v>578</v>
      </c>
      <c r="D127" s="13" t="str">
        <f t="shared" si="1"/>
        <v>T9='\\vdm-fsvr\Cokhi-機工\1.TAI LIEU HANG NAM\2026\1.MUC TIEU NAM\9.TLHDM\[Gia_cong_khong_nguoi.xlsx]Tinh_Toan'!$M$59*2</v>
      </c>
      <c r="E127" s="13" t="s">
        <v>585</v>
      </c>
    </row>
    <row r="128" spans="1:5" ht="71.25" x14ac:dyDescent="0.2">
      <c r="A128" s="13" t="s">
        <v>49</v>
      </c>
      <c r="B128" s="15">
        <v>9</v>
      </c>
      <c r="C128" s="14" t="s">
        <v>578</v>
      </c>
      <c r="D128" s="13" t="str">
        <f t="shared" si="1"/>
        <v>U9='\\vdm-fsvr\Cokhi-機工\1.TAI LIEU HANG NAM\2026\1.MUC TIEU NAM\9.TLHDM\[Gia_cong_khong_nguoi.xlsx]Tinh_Toan'!$M$59*2</v>
      </c>
      <c r="E128" s="13" t="s">
        <v>586</v>
      </c>
    </row>
    <row r="129" spans="1:5" ht="71.25" x14ac:dyDescent="0.2">
      <c r="A129" s="13" t="s">
        <v>50</v>
      </c>
      <c r="B129" s="15">
        <v>9</v>
      </c>
      <c r="C129" s="14" t="s">
        <v>578</v>
      </c>
      <c r="D129" s="13" t="str">
        <f t="shared" si="1"/>
        <v>V9='\\vdm-fsvr\Cokhi-機工\1.TAI LIEU HANG NAM\2026\1.MUC TIEU NAM\9.TLHDM\[Gia_cong_khong_nguoi.xlsx]Tinh_Toan'!$M$59*2</v>
      </c>
      <c r="E129" s="13" t="s">
        <v>587</v>
      </c>
    </row>
    <row r="130" spans="1:5" ht="71.25" x14ac:dyDescent="0.2">
      <c r="A130" s="13" t="s">
        <v>51</v>
      </c>
      <c r="B130" s="15">
        <v>9</v>
      </c>
      <c r="C130" s="14" t="s">
        <v>578</v>
      </c>
      <c r="D130" s="13" t="str">
        <f t="shared" si="1"/>
        <v>W9='\\vdm-fsvr\Cokhi-機工\1.TAI LIEU HANG NAM\2026\1.MUC TIEU NAM\9.TLHDM\[Gia_cong_khong_nguoi.xlsx]Tinh_Toan'!$M$59*2</v>
      </c>
      <c r="E130" s="13" t="s">
        <v>588</v>
      </c>
    </row>
    <row r="131" spans="1:5" ht="71.25" x14ac:dyDescent="0.2">
      <c r="A131" s="13" t="s">
        <v>52</v>
      </c>
      <c r="B131" s="15">
        <v>9</v>
      </c>
      <c r="C131" s="14" t="s">
        <v>578</v>
      </c>
      <c r="D131" s="13" t="str">
        <f t="shared" si="1"/>
        <v>X9='\\vdm-fsvr\Cokhi-機工\1.TAI LIEU HANG NAM\2026\1.MUC TIEU NAM\9.TLHDM\[Gia_cong_khong_nguoi.xlsx]Tinh_Toan'!$M$59*2</v>
      </c>
      <c r="E131" s="13" t="s">
        <v>589</v>
      </c>
    </row>
    <row r="132" spans="1:5" ht="71.25" x14ac:dyDescent="0.2">
      <c r="A132" s="13" t="s">
        <v>53</v>
      </c>
      <c r="B132" s="15">
        <v>9</v>
      </c>
      <c r="C132" s="14" t="s">
        <v>578</v>
      </c>
      <c r="D132" s="13" t="str">
        <f t="shared" ref="D132:D195" si="2">_xlfn.CONCAT(A132,B132,"=",C132)</f>
        <v>Y9='\\vdm-fsvr\Cokhi-機工\1.TAI LIEU HANG NAM\2026\1.MUC TIEU NAM\9.TLHDM\[Gia_cong_khong_nguoi.xlsx]Tinh_Toan'!$M$59*2</v>
      </c>
      <c r="E132" s="13" t="s">
        <v>590</v>
      </c>
    </row>
    <row r="133" spans="1:5" ht="71.25" x14ac:dyDescent="0.2">
      <c r="A133" s="13" t="s">
        <v>54</v>
      </c>
      <c r="B133" s="15">
        <v>9</v>
      </c>
      <c r="C133" s="14" t="s">
        <v>578</v>
      </c>
      <c r="D133" s="13" t="str">
        <f t="shared" si="2"/>
        <v>Z9='\\vdm-fsvr\Cokhi-機工\1.TAI LIEU HANG NAM\2026\1.MUC TIEU NAM\9.TLHDM\[Gia_cong_khong_nguoi.xlsx]Tinh_Toan'!$M$59*2</v>
      </c>
      <c r="E133" s="13" t="s">
        <v>591</v>
      </c>
    </row>
    <row r="134" spans="1:5" ht="71.25" x14ac:dyDescent="0.2">
      <c r="A134" s="13" t="s">
        <v>55</v>
      </c>
      <c r="B134" s="15">
        <v>9</v>
      </c>
      <c r="C134" s="14" t="s">
        <v>578</v>
      </c>
      <c r="D134" s="13" t="str">
        <f t="shared" si="2"/>
        <v>AA9='\\vdm-fsvr\Cokhi-機工\1.TAI LIEU HANG NAM\2026\1.MUC TIEU NAM\9.TLHDM\[Gia_cong_khong_nguoi.xlsx]Tinh_Toan'!$M$59*2</v>
      </c>
      <c r="E134" s="13" t="s">
        <v>592</v>
      </c>
    </row>
    <row r="135" spans="1:5" ht="71.25" x14ac:dyDescent="0.2">
      <c r="A135" s="13" t="s">
        <v>56</v>
      </c>
      <c r="B135" s="15">
        <v>9</v>
      </c>
      <c r="C135" s="14" t="s">
        <v>578</v>
      </c>
      <c r="D135" s="13" t="str">
        <f t="shared" si="2"/>
        <v>AB9='\\vdm-fsvr\Cokhi-機工\1.TAI LIEU HANG NAM\2026\1.MUC TIEU NAM\9.TLHDM\[Gia_cong_khong_nguoi.xlsx]Tinh_Toan'!$M$59*2</v>
      </c>
      <c r="E135" s="13" t="s">
        <v>593</v>
      </c>
    </row>
    <row r="136" spans="1:5" ht="71.25" x14ac:dyDescent="0.2">
      <c r="A136" s="13" t="s">
        <v>57</v>
      </c>
      <c r="B136" s="15">
        <v>9</v>
      </c>
      <c r="C136" s="14" t="s">
        <v>578</v>
      </c>
      <c r="D136" s="13" t="str">
        <f t="shared" si="2"/>
        <v>AC9='\\vdm-fsvr\Cokhi-機工\1.TAI LIEU HANG NAM\2026\1.MUC TIEU NAM\9.TLHDM\[Gia_cong_khong_nguoi.xlsx]Tinh_Toan'!$M$59*2</v>
      </c>
      <c r="E136" s="13" t="s">
        <v>594</v>
      </c>
    </row>
    <row r="137" spans="1:5" ht="71.25" x14ac:dyDescent="0.2">
      <c r="A137" s="13" t="s">
        <v>58</v>
      </c>
      <c r="B137" s="15">
        <v>9</v>
      </c>
      <c r="C137" s="14" t="s">
        <v>578</v>
      </c>
      <c r="D137" s="13" t="str">
        <f t="shared" si="2"/>
        <v>AD9='\\vdm-fsvr\Cokhi-機工\1.TAI LIEU HANG NAM\2026\1.MUC TIEU NAM\9.TLHDM\[Gia_cong_khong_nguoi.xlsx]Tinh_Toan'!$M$59*2</v>
      </c>
      <c r="E137" s="13" t="s">
        <v>595</v>
      </c>
    </row>
    <row r="138" spans="1:5" ht="71.25" x14ac:dyDescent="0.2">
      <c r="A138" s="13" t="s">
        <v>59</v>
      </c>
      <c r="B138" s="15">
        <v>9</v>
      </c>
      <c r="C138" s="14" t="s">
        <v>578</v>
      </c>
      <c r="D138" s="13" t="str">
        <f t="shared" si="2"/>
        <v>AE9='\\vdm-fsvr\Cokhi-機工\1.TAI LIEU HANG NAM\2026\1.MUC TIEU NAM\9.TLHDM\[Gia_cong_khong_nguoi.xlsx]Tinh_Toan'!$M$59*2</v>
      </c>
      <c r="E138" s="13" t="s">
        <v>596</v>
      </c>
    </row>
    <row r="139" spans="1:5" ht="71.25" x14ac:dyDescent="0.2">
      <c r="A139" s="13" t="s">
        <v>60</v>
      </c>
      <c r="B139" s="15">
        <v>9</v>
      </c>
      <c r="C139" s="14" t="s">
        <v>578</v>
      </c>
      <c r="D139" s="13" t="str">
        <f t="shared" si="2"/>
        <v>AF9='\\vdm-fsvr\Cokhi-機工\1.TAI LIEU HANG NAM\2026\1.MUC TIEU NAM\9.TLHDM\[Gia_cong_khong_nguoi.xlsx]Tinh_Toan'!$M$59*2</v>
      </c>
      <c r="E139" s="13" t="s">
        <v>597</v>
      </c>
    </row>
    <row r="140" spans="1:5" ht="71.25" x14ac:dyDescent="0.2">
      <c r="A140" s="13" t="s">
        <v>61</v>
      </c>
      <c r="B140" s="15">
        <v>9</v>
      </c>
      <c r="C140" s="14" t="s">
        <v>578</v>
      </c>
      <c r="D140" s="13" t="str">
        <f t="shared" si="2"/>
        <v>AG9='\\vdm-fsvr\Cokhi-機工\1.TAI LIEU HANG NAM\2026\1.MUC TIEU NAM\9.TLHDM\[Gia_cong_khong_nguoi.xlsx]Tinh_Toan'!$M$59*2</v>
      </c>
      <c r="E140" s="13" t="s">
        <v>598</v>
      </c>
    </row>
    <row r="141" spans="1:5" ht="71.25" x14ac:dyDescent="0.2">
      <c r="A141" s="13" t="s">
        <v>62</v>
      </c>
      <c r="B141" s="15">
        <v>9</v>
      </c>
      <c r="C141" s="14" t="s">
        <v>578</v>
      </c>
      <c r="D141" s="13" t="str">
        <f t="shared" si="2"/>
        <v>AH9='\\vdm-fsvr\Cokhi-機工\1.TAI LIEU HANG NAM\2026\1.MUC TIEU NAM\9.TLHDM\[Gia_cong_khong_nguoi.xlsx]Tinh_Toan'!$M$59*2</v>
      </c>
      <c r="E141" s="13" t="s">
        <v>599</v>
      </c>
    </row>
    <row r="142" spans="1:5" ht="71.25" x14ac:dyDescent="0.2">
      <c r="A142" s="13" t="s">
        <v>63</v>
      </c>
      <c r="B142" s="15">
        <v>9</v>
      </c>
      <c r="C142" s="14" t="s">
        <v>578</v>
      </c>
      <c r="D142" s="13" t="str">
        <f t="shared" si="2"/>
        <v>AI9='\\vdm-fsvr\Cokhi-機工\1.TAI LIEU HANG NAM\2026\1.MUC TIEU NAM\9.TLHDM\[Gia_cong_khong_nguoi.xlsx]Tinh_Toan'!$M$59*2</v>
      </c>
      <c r="E142" s="13" t="s">
        <v>600</v>
      </c>
    </row>
    <row r="143" spans="1:5" ht="71.25" x14ac:dyDescent="0.2">
      <c r="A143" s="13" t="s">
        <v>64</v>
      </c>
      <c r="B143" s="15">
        <v>9</v>
      </c>
      <c r="C143" s="14" t="s">
        <v>578</v>
      </c>
      <c r="D143" s="13" t="str">
        <f t="shared" si="2"/>
        <v>AJ9='\\vdm-fsvr\Cokhi-機工\1.TAI LIEU HANG NAM\2026\1.MUC TIEU NAM\9.TLHDM\[Gia_cong_khong_nguoi.xlsx]Tinh_Toan'!$M$59*2</v>
      </c>
      <c r="E143" s="13" t="s">
        <v>601</v>
      </c>
    </row>
    <row r="144" spans="1:5" ht="71.25" x14ac:dyDescent="0.2">
      <c r="A144" s="13" t="s">
        <v>65</v>
      </c>
      <c r="B144" s="15">
        <v>9</v>
      </c>
      <c r="C144" s="14" t="s">
        <v>578</v>
      </c>
      <c r="D144" s="13" t="str">
        <f t="shared" si="2"/>
        <v>AK9='\\vdm-fsvr\Cokhi-機工\1.TAI LIEU HANG NAM\2026\1.MUC TIEU NAM\9.TLHDM\[Gia_cong_khong_nguoi.xlsx]Tinh_Toan'!$M$59*2</v>
      </c>
      <c r="E144" s="13" t="s">
        <v>602</v>
      </c>
    </row>
    <row r="145" spans="1:5" ht="71.25" x14ac:dyDescent="0.2">
      <c r="A145" s="13" t="s">
        <v>66</v>
      </c>
      <c r="B145" s="15">
        <v>9</v>
      </c>
      <c r="C145" s="14" t="s">
        <v>578</v>
      </c>
      <c r="D145" s="13" t="str">
        <f t="shared" si="2"/>
        <v>AL9='\\vdm-fsvr\Cokhi-機工\1.TAI LIEU HANG NAM\2026\1.MUC TIEU NAM\9.TLHDM\[Gia_cong_khong_nguoi.xlsx]Tinh_Toan'!$M$59*2</v>
      </c>
      <c r="E145" s="13" t="s">
        <v>603</v>
      </c>
    </row>
    <row r="146" spans="1:5" ht="71.25" x14ac:dyDescent="0.2">
      <c r="A146" s="13" t="s">
        <v>67</v>
      </c>
      <c r="B146" s="15">
        <v>9</v>
      </c>
      <c r="C146" s="14" t="s">
        <v>578</v>
      </c>
      <c r="D146" s="13" t="str">
        <f t="shared" si="2"/>
        <v>AM9='\\vdm-fsvr\Cokhi-機工\1.TAI LIEU HANG NAM\2026\1.MUC TIEU NAM\9.TLHDM\[Gia_cong_khong_nguoi.xlsx]Tinh_Toan'!$M$59*2</v>
      </c>
      <c r="E146" s="13" t="s">
        <v>604</v>
      </c>
    </row>
    <row r="147" spans="1:5" ht="71.25" x14ac:dyDescent="0.2">
      <c r="A147" s="13" t="s">
        <v>68</v>
      </c>
      <c r="B147" s="15">
        <v>9</v>
      </c>
      <c r="C147" s="14" t="s">
        <v>578</v>
      </c>
      <c r="D147" s="13" t="str">
        <f t="shared" si="2"/>
        <v>AN9='\\vdm-fsvr\Cokhi-機工\1.TAI LIEU HANG NAM\2026\1.MUC TIEU NAM\9.TLHDM\[Gia_cong_khong_nguoi.xlsx]Tinh_Toan'!$M$59*2</v>
      </c>
      <c r="E147" s="13" t="s">
        <v>605</v>
      </c>
    </row>
    <row r="148" spans="1:5" ht="71.25" x14ac:dyDescent="0.2">
      <c r="A148" s="13" t="s">
        <v>69</v>
      </c>
      <c r="B148" s="15">
        <v>9</v>
      </c>
      <c r="C148" s="14" t="s">
        <v>578</v>
      </c>
      <c r="D148" s="13" t="str">
        <f t="shared" si="2"/>
        <v>AO9='\\vdm-fsvr\Cokhi-機工\1.TAI LIEU HANG NAM\2026\1.MUC TIEU NAM\9.TLHDM\[Gia_cong_khong_nguoi.xlsx]Tinh_Toan'!$M$59*2</v>
      </c>
      <c r="E148" s="13" t="s">
        <v>606</v>
      </c>
    </row>
    <row r="149" spans="1:5" ht="71.25" x14ac:dyDescent="0.2">
      <c r="A149" s="13" t="s">
        <v>70</v>
      </c>
      <c r="B149" s="15">
        <v>9</v>
      </c>
      <c r="C149" s="14" t="s">
        <v>578</v>
      </c>
      <c r="D149" s="13" t="str">
        <f t="shared" si="2"/>
        <v>AP9='\\vdm-fsvr\Cokhi-機工\1.TAI LIEU HANG NAM\2026\1.MUC TIEU NAM\9.TLHDM\[Gia_cong_khong_nguoi.xlsx]Tinh_Toan'!$M$59*2</v>
      </c>
      <c r="E149" s="13" t="s">
        <v>607</v>
      </c>
    </row>
    <row r="150" spans="1:5" ht="71.25" x14ac:dyDescent="0.2">
      <c r="A150" s="13" t="s">
        <v>71</v>
      </c>
      <c r="B150" s="15">
        <v>9</v>
      </c>
      <c r="C150" s="14" t="s">
        <v>578</v>
      </c>
      <c r="D150" s="13" t="str">
        <f t="shared" si="2"/>
        <v>AQ9='\\vdm-fsvr\Cokhi-機工\1.TAI LIEU HANG NAM\2026\1.MUC TIEU NAM\9.TLHDM\[Gia_cong_khong_nguoi.xlsx]Tinh_Toan'!$M$59*2</v>
      </c>
      <c r="E150" s="13" t="s">
        <v>608</v>
      </c>
    </row>
    <row r="151" spans="1:5" ht="71.25" x14ac:dyDescent="0.2">
      <c r="A151" s="13" t="s">
        <v>72</v>
      </c>
      <c r="B151" s="15">
        <v>9</v>
      </c>
      <c r="C151" s="14" t="s">
        <v>578</v>
      </c>
      <c r="D151" s="13" t="str">
        <f t="shared" si="2"/>
        <v>AR9='\\vdm-fsvr\Cokhi-機工\1.TAI LIEU HANG NAM\2026\1.MUC TIEU NAM\9.TLHDM\[Gia_cong_khong_nguoi.xlsx]Tinh_Toan'!$M$59*2</v>
      </c>
      <c r="E151" s="13" t="s">
        <v>609</v>
      </c>
    </row>
    <row r="152" spans="1:5" ht="71.25" x14ac:dyDescent="0.2">
      <c r="A152" s="13" t="s">
        <v>73</v>
      </c>
      <c r="B152" s="15">
        <v>9</v>
      </c>
      <c r="C152" s="14" t="s">
        <v>578</v>
      </c>
      <c r="D152" s="13" t="str">
        <f t="shared" si="2"/>
        <v>AS9='\\vdm-fsvr\Cokhi-機工\1.TAI LIEU HANG NAM\2026\1.MUC TIEU NAM\9.TLHDM\[Gia_cong_khong_nguoi.xlsx]Tinh_Toan'!$M$59*2</v>
      </c>
      <c r="E152" s="13" t="s">
        <v>610</v>
      </c>
    </row>
    <row r="153" spans="1:5" ht="128.25" x14ac:dyDescent="0.2">
      <c r="A153" s="13" t="s">
        <v>42</v>
      </c>
      <c r="B153" s="15">
        <v>10</v>
      </c>
      <c r="C153" s="14" t="s">
        <v>611</v>
      </c>
      <c r="D153" s="13" t="str">
        <f t="shared" si="2"/>
        <v>N10='\\vdm-fsvr\Cokhi-機工\1.TAI LIEU HANG NAM\2026\1.MUC TIEU NAM\9.TLHDM\[Gia_cong_khong_nguoi.xlsx]Tinh_Toan'!$U$59+''\\vdm-fsvr\Cokhi-機工\1.TAI LIEU HANG NAM\2026\1.MUC TIEU NAM\9.TLHDM\[Gia_cong_khong_nguoi.xlsx]Tinh_Toan'!$V$59</v>
      </c>
      <c r="E153" s="13" t="s">
        <v>612</v>
      </c>
    </row>
    <row r="154" spans="1:5" ht="128.25" x14ac:dyDescent="0.2">
      <c r="A154" s="13" t="s">
        <v>43</v>
      </c>
      <c r="B154" s="15">
        <v>10</v>
      </c>
      <c r="C154" s="14" t="s">
        <v>611</v>
      </c>
      <c r="D154" s="13" t="str">
        <f t="shared" si="2"/>
        <v>O10='\\vdm-fsvr\Cokhi-機工\1.TAI LIEU HANG NAM\2026\1.MUC TIEU NAM\9.TLHDM\[Gia_cong_khong_nguoi.xlsx]Tinh_Toan'!$U$59+''\\vdm-fsvr\Cokhi-機工\1.TAI LIEU HANG NAM\2026\1.MUC TIEU NAM\9.TLHDM\[Gia_cong_khong_nguoi.xlsx]Tinh_Toan'!$V$59</v>
      </c>
      <c r="E154" s="13" t="s">
        <v>613</v>
      </c>
    </row>
    <row r="155" spans="1:5" ht="128.25" x14ac:dyDescent="0.2">
      <c r="A155" s="13" t="s">
        <v>44</v>
      </c>
      <c r="B155" s="15">
        <v>10</v>
      </c>
      <c r="C155" s="14" t="s">
        <v>611</v>
      </c>
      <c r="D155" s="13" t="str">
        <f t="shared" si="2"/>
        <v>P10='\\vdm-fsvr\Cokhi-機工\1.TAI LIEU HANG NAM\2026\1.MUC TIEU NAM\9.TLHDM\[Gia_cong_khong_nguoi.xlsx]Tinh_Toan'!$U$59+''\\vdm-fsvr\Cokhi-機工\1.TAI LIEU HANG NAM\2026\1.MUC TIEU NAM\9.TLHDM\[Gia_cong_khong_nguoi.xlsx]Tinh_Toan'!$V$59</v>
      </c>
      <c r="E155" s="13" t="s">
        <v>614</v>
      </c>
    </row>
    <row r="156" spans="1:5" ht="128.25" x14ac:dyDescent="0.2">
      <c r="A156" s="13" t="s">
        <v>45</v>
      </c>
      <c r="B156" s="15">
        <v>10</v>
      </c>
      <c r="C156" s="14" t="s">
        <v>611</v>
      </c>
      <c r="D156" s="13" t="str">
        <f t="shared" si="2"/>
        <v>Q10='\\vdm-fsvr\Cokhi-機工\1.TAI LIEU HANG NAM\2026\1.MUC TIEU NAM\9.TLHDM\[Gia_cong_khong_nguoi.xlsx]Tinh_Toan'!$U$59+''\\vdm-fsvr\Cokhi-機工\1.TAI LIEU HANG NAM\2026\1.MUC TIEU NAM\9.TLHDM\[Gia_cong_khong_nguoi.xlsx]Tinh_Toan'!$V$59</v>
      </c>
      <c r="E156" s="13" t="s">
        <v>615</v>
      </c>
    </row>
    <row r="157" spans="1:5" ht="128.25" x14ac:dyDescent="0.2">
      <c r="A157" s="13" t="s">
        <v>46</v>
      </c>
      <c r="B157" s="15">
        <v>10</v>
      </c>
      <c r="C157" s="14" t="s">
        <v>611</v>
      </c>
      <c r="D157" s="13" t="str">
        <f t="shared" si="2"/>
        <v>R10='\\vdm-fsvr\Cokhi-機工\1.TAI LIEU HANG NAM\2026\1.MUC TIEU NAM\9.TLHDM\[Gia_cong_khong_nguoi.xlsx]Tinh_Toan'!$U$59+''\\vdm-fsvr\Cokhi-機工\1.TAI LIEU HANG NAM\2026\1.MUC TIEU NAM\9.TLHDM\[Gia_cong_khong_nguoi.xlsx]Tinh_Toan'!$V$59</v>
      </c>
      <c r="E157" s="13" t="s">
        <v>616</v>
      </c>
    </row>
    <row r="158" spans="1:5" ht="128.25" x14ac:dyDescent="0.2">
      <c r="A158" s="13" t="s">
        <v>47</v>
      </c>
      <c r="B158" s="15">
        <v>10</v>
      </c>
      <c r="C158" s="14" t="s">
        <v>611</v>
      </c>
      <c r="D158" s="13" t="str">
        <f t="shared" si="2"/>
        <v>S10='\\vdm-fsvr\Cokhi-機工\1.TAI LIEU HANG NAM\2026\1.MUC TIEU NAM\9.TLHDM\[Gia_cong_khong_nguoi.xlsx]Tinh_Toan'!$U$59+''\\vdm-fsvr\Cokhi-機工\1.TAI LIEU HANG NAM\2026\1.MUC TIEU NAM\9.TLHDM\[Gia_cong_khong_nguoi.xlsx]Tinh_Toan'!$V$59</v>
      </c>
      <c r="E158" s="13" t="s">
        <v>617</v>
      </c>
    </row>
    <row r="159" spans="1:5" ht="128.25" x14ac:dyDescent="0.2">
      <c r="A159" s="13" t="s">
        <v>48</v>
      </c>
      <c r="B159" s="15">
        <v>10</v>
      </c>
      <c r="C159" s="14" t="s">
        <v>611</v>
      </c>
      <c r="D159" s="13" t="str">
        <f t="shared" si="2"/>
        <v>T10='\\vdm-fsvr\Cokhi-機工\1.TAI LIEU HANG NAM\2026\1.MUC TIEU NAM\9.TLHDM\[Gia_cong_khong_nguoi.xlsx]Tinh_Toan'!$U$59+''\\vdm-fsvr\Cokhi-機工\1.TAI LIEU HANG NAM\2026\1.MUC TIEU NAM\9.TLHDM\[Gia_cong_khong_nguoi.xlsx]Tinh_Toan'!$V$59</v>
      </c>
      <c r="E159" s="13" t="s">
        <v>618</v>
      </c>
    </row>
    <row r="160" spans="1:5" ht="128.25" x14ac:dyDescent="0.2">
      <c r="A160" s="13" t="s">
        <v>49</v>
      </c>
      <c r="B160" s="15">
        <v>10</v>
      </c>
      <c r="C160" s="14" t="s">
        <v>611</v>
      </c>
      <c r="D160" s="13" t="str">
        <f t="shared" si="2"/>
        <v>U10='\\vdm-fsvr\Cokhi-機工\1.TAI LIEU HANG NAM\2026\1.MUC TIEU NAM\9.TLHDM\[Gia_cong_khong_nguoi.xlsx]Tinh_Toan'!$U$59+''\\vdm-fsvr\Cokhi-機工\1.TAI LIEU HANG NAM\2026\1.MUC TIEU NAM\9.TLHDM\[Gia_cong_khong_nguoi.xlsx]Tinh_Toan'!$V$59</v>
      </c>
      <c r="E160" s="13" t="s">
        <v>619</v>
      </c>
    </row>
    <row r="161" spans="1:5" ht="128.25" x14ac:dyDescent="0.2">
      <c r="A161" s="13" t="s">
        <v>50</v>
      </c>
      <c r="B161" s="15">
        <v>10</v>
      </c>
      <c r="C161" s="14" t="s">
        <v>611</v>
      </c>
      <c r="D161" s="13" t="str">
        <f t="shared" si="2"/>
        <v>V10='\\vdm-fsvr\Cokhi-機工\1.TAI LIEU HANG NAM\2026\1.MUC TIEU NAM\9.TLHDM\[Gia_cong_khong_nguoi.xlsx]Tinh_Toan'!$U$59+''\\vdm-fsvr\Cokhi-機工\1.TAI LIEU HANG NAM\2026\1.MUC TIEU NAM\9.TLHDM\[Gia_cong_khong_nguoi.xlsx]Tinh_Toan'!$V$59</v>
      </c>
      <c r="E161" s="13" t="s">
        <v>620</v>
      </c>
    </row>
    <row r="162" spans="1:5" ht="128.25" x14ac:dyDescent="0.2">
      <c r="A162" s="13" t="s">
        <v>51</v>
      </c>
      <c r="B162" s="15">
        <v>10</v>
      </c>
      <c r="C162" s="14" t="s">
        <v>611</v>
      </c>
      <c r="D162" s="13" t="str">
        <f t="shared" si="2"/>
        <v>W10='\\vdm-fsvr\Cokhi-機工\1.TAI LIEU HANG NAM\2026\1.MUC TIEU NAM\9.TLHDM\[Gia_cong_khong_nguoi.xlsx]Tinh_Toan'!$U$59+''\\vdm-fsvr\Cokhi-機工\1.TAI LIEU HANG NAM\2026\1.MUC TIEU NAM\9.TLHDM\[Gia_cong_khong_nguoi.xlsx]Tinh_Toan'!$V$59</v>
      </c>
      <c r="E162" s="13" t="s">
        <v>621</v>
      </c>
    </row>
    <row r="163" spans="1:5" ht="128.25" x14ac:dyDescent="0.2">
      <c r="A163" s="13" t="s">
        <v>52</v>
      </c>
      <c r="B163" s="15">
        <v>10</v>
      </c>
      <c r="C163" s="14" t="s">
        <v>611</v>
      </c>
      <c r="D163" s="13" t="str">
        <f t="shared" si="2"/>
        <v>X10='\\vdm-fsvr\Cokhi-機工\1.TAI LIEU HANG NAM\2026\1.MUC TIEU NAM\9.TLHDM\[Gia_cong_khong_nguoi.xlsx]Tinh_Toan'!$U$59+''\\vdm-fsvr\Cokhi-機工\1.TAI LIEU HANG NAM\2026\1.MUC TIEU NAM\9.TLHDM\[Gia_cong_khong_nguoi.xlsx]Tinh_Toan'!$V$59</v>
      </c>
      <c r="E163" s="13" t="s">
        <v>622</v>
      </c>
    </row>
    <row r="164" spans="1:5" ht="128.25" x14ac:dyDescent="0.2">
      <c r="A164" s="13" t="s">
        <v>53</v>
      </c>
      <c r="B164" s="15">
        <v>10</v>
      </c>
      <c r="C164" s="14" t="s">
        <v>611</v>
      </c>
      <c r="D164" s="13" t="str">
        <f t="shared" si="2"/>
        <v>Y10='\\vdm-fsvr\Cokhi-機工\1.TAI LIEU HANG NAM\2026\1.MUC TIEU NAM\9.TLHDM\[Gia_cong_khong_nguoi.xlsx]Tinh_Toan'!$U$59+''\\vdm-fsvr\Cokhi-機工\1.TAI LIEU HANG NAM\2026\1.MUC TIEU NAM\9.TLHDM\[Gia_cong_khong_nguoi.xlsx]Tinh_Toan'!$V$59</v>
      </c>
      <c r="E164" s="13" t="s">
        <v>623</v>
      </c>
    </row>
    <row r="165" spans="1:5" ht="128.25" x14ac:dyDescent="0.2">
      <c r="A165" s="13" t="s">
        <v>54</v>
      </c>
      <c r="B165" s="15">
        <v>10</v>
      </c>
      <c r="C165" s="14" t="s">
        <v>611</v>
      </c>
      <c r="D165" s="13" t="str">
        <f t="shared" si="2"/>
        <v>Z10='\\vdm-fsvr\Cokhi-機工\1.TAI LIEU HANG NAM\2026\1.MUC TIEU NAM\9.TLHDM\[Gia_cong_khong_nguoi.xlsx]Tinh_Toan'!$U$59+''\\vdm-fsvr\Cokhi-機工\1.TAI LIEU HANG NAM\2026\1.MUC TIEU NAM\9.TLHDM\[Gia_cong_khong_nguoi.xlsx]Tinh_Toan'!$V$59</v>
      </c>
      <c r="E165" s="13" t="s">
        <v>624</v>
      </c>
    </row>
    <row r="166" spans="1:5" ht="128.25" x14ac:dyDescent="0.2">
      <c r="A166" s="13" t="s">
        <v>55</v>
      </c>
      <c r="B166" s="15">
        <v>10</v>
      </c>
      <c r="C166" s="14" t="s">
        <v>611</v>
      </c>
      <c r="D166" s="13" t="str">
        <f t="shared" si="2"/>
        <v>AA10='\\vdm-fsvr\Cokhi-機工\1.TAI LIEU HANG NAM\2026\1.MUC TIEU NAM\9.TLHDM\[Gia_cong_khong_nguoi.xlsx]Tinh_Toan'!$U$59+''\\vdm-fsvr\Cokhi-機工\1.TAI LIEU HANG NAM\2026\1.MUC TIEU NAM\9.TLHDM\[Gia_cong_khong_nguoi.xlsx]Tinh_Toan'!$V$59</v>
      </c>
      <c r="E166" s="13" t="s">
        <v>625</v>
      </c>
    </row>
    <row r="167" spans="1:5" ht="128.25" x14ac:dyDescent="0.2">
      <c r="A167" s="13" t="s">
        <v>56</v>
      </c>
      <c r="B167" s="15">
        <v>10</v>
      </c>
      <c r="C167" s="14" t="s">
        <v>611</v>
      </c>
      <c r="D167" s="13" t="str">
        <f t="shared" si="2"/>
        <v>AB10='\\vdm-fsvr\Cokhi-機工\1.TAI LIEU HANG NAM\2026\1.MUC TIEU NAM\9.TLHDM\[Gia_cong_khong_nguoi.xlsx]Tinh_Toan'!$U$59+''\\vdm-fsvr\Cokhi-機工\1.TAI LIEU HANG NAM\2026\1.MUC TIEU NAM\9.TLHDM\[Gia_cong_khong_nguoi.xlsx]Tinh_Toan'!$V$59</v>
      </c>
      <c r="E167" s="13" t="s">
        <v>626</v>
      </c>
    </row>
    <row r="168" spans="1:5" ht="128.25" x14ac:dyDescent="0.2">
      <c r="A168" s="13" t="s">
        <v>57</v>
      </c>
      <c r="B168" s="15">
        <v>10</v>
      </c>
      <c r="C168" s="14" t="s">
        <v>611</v>
      </c>
      <c r="D168" s="13" t="str">
        <f t="shared" si="2"/>
        <v>AC10='\\vdm-fsvr\Cokhi-機工\1.TAI LIEU HANG NAM\2026\1.MUC TIEU NAM\9.TLHDM\[Gia_cong_khong_nguoi.xlsx]Tinh_Toan'!$U$59+''\\vdm-fsvr\Cokhi-機工\1.TAI LIEU HANG NAM\2026\1.MUC TIEU NAM\9.TLHDM\[Gia_cong_khong_nguoi.xlsx]Tinh_Toan'!$V$59</v>
      </c>
      <c r="E168" s="13" t="s">
        <v>627</v>
      </c>
    </row>
    <row r="169" spans="1:5" ht="128.25" x14ac:dyDescent="0.2">
      <c r="A169" s="13" t="s">
        <v>58</v>
      </c>
      <c r="B169" s="15">
        <v>10</v>
      </c>
      <c r="C169" s="14" t="s">
        <v>611</v>
      </c>
      <c r="D169" s="13" t="str">
        <f t="shared" si="2"/>
        <v>AD10='\\vdm-fsvr\Cokhi-機工\1.TAI LIEU HANG NAM\2026\1.MUC TIEU NAM\9.TLHDM\[Gia_cong_khong_nguoi.xlsx]Tinh_Toan'!$U$59+''\\vdm-fsvr\Cokhi-機工\1.TAI LIEU HANG NAM\2026\1.MUC TIEU NAM\9.TLHDM\[Gia_cong_khong_nguoi.xlsx]Tinh_Toan'!$V$59</v>
      </c>
      <c r="E169" s="13" t="s">
        <v>628</v>
      </c>
    </row>
    <row r="170" spans="1:5" ht="128.25" x14ac:dyDescent="0.2">
      <c r="A170" s="13" t="s">
        <v>59</v>
      </c>
      <c r="B170" s="15">
        <v>10</v>
      </c>
      <c r="C170" s="14" t="s">
        <v>611</v>
      </c>
      <c r="D170" s="13" t="str">
        <f t="shared" si="2"/>
        <v>AE10='\\vdm-fsvr\Cokhi-機工\1.TAI LIEU HANG NAM\2026\1.MUC TIEU NAM\9.TLHDM\[Gia_cong_khong_nguoi.xlsx]Tinh_Toan'!$U$59+''\\vdm-fsvr\Cokhi-機工\1.TAI LIEU HANG NAM\2026\1.MUC TIEU NAM\9.TLHDM\[Gia_cong_khong_nguoi.xlsx]Tinh_Toan'!$V$59</v>
      </c>
      <c r="E170" s="13" t="s">
        <v>629</v>
      </c>
    </row>
    <row r="171" spans="1:5" ht="128.25" x14ac:dyDescent="0.2">
      <c r="A171" s="13" t="s">
        <v>60</v>
      </c>
      <c r="B171" s="15">
        <v>10</v>
      </c>
      <c r="C171" s="14" t="s">
        <v>611</v>
      </c>
      <c r="D171" s="13" t="str">
        <f t="shared" si="2"/>
        <v>AF10='\\vdm-fsvr\Cokhi-機工\1.TAI LIEU HANG NAM\2026\1.MUC TIEU NAM\9.TLHDM\[Gia_cong_khong_nguoi.xlsx]Tinh_Toan'!$U$59+''\\vdm-fsvr\Cokhi-機工\1.TAI LIEU HANG NAM\2026\1.MUC TIEU NAM\9.TLHDM\[Gia_cong_khong_nguoi.xlsx]Tinh_Toan'!$V$59</v>
      </c>
      <c r="E171" s="13" t="s">
        <v>630</v>
      </c>
    </row>
    <row r="172" spans="1:5" ht="128.25" x14ac:dyDescent="0.2">
      <c r="A172" s="13" t="s">
        <v>61</v>
      </c>
      <c r="B172" s="15">
        <v>10</v>
      </c>
      <c r="C172" s="14" t="s">
        <v>611</v>
      </c>
      <c r="D172" s="13" t="str">
        <f t="shared" si="2"/>
        <v>AG10='\\vdm-fsvr\Cokhi-機工\1.TAI LIEU HANG NAM\2026\1.MUC TIEU NAM\9.TLHDM\[Gia_cong_khong_nguoi.xlsx]Tinh_Toan'!$U$59+''\\vdm-fsvr\Cokhi-機工\1.TAI LIEU HANG NAM\2026\1.MUC TIEU NAM\9.TLHDM\[Gia_cong_khong_nguoi.xlsx]Tinh_Toan'!$V$59</v>
      </c>
      <c r="E172" s="13" t="s">
        <v>631</v>
      </c>
    </row>
    <row r="173" spans="1:5" ht="128.25" x14ac:dyDescent="0.2">
      <c r="A173" s="13" t="s">
        <v>62</v>
      </c>
      <c r="B173" s="15">
        <v>10</v>
      </c>
      <c r="C173" s="14" t="s">
        <v>611</v>
      </c>
      <c r="D173" s="13" t="str">
        <f t="shared" si="2"/>
        <v>AH10='\\vdm-fsvr\Cokhi-機工\1.TAI LIEU HANG NAM\2026\1.MUC TIEU NAM\9.TLHDM\[Gia_cong_khong_nguoi.xlsx]Tinh_Toan'!$U$59+''\\vdm-fsvr\Cokhi-機工\1.TAI LIEU HANG NAM\2026\1.MUC TIEU NAM\9.TLHDM\[Gia_cong_khong_nguoi.xlsx]Tinh_Toan'!$V$59</v>
      </c>
      <c r="E173" s="13" t="s">
        <v>632</v>
      </c>
    </row>
    <row r="174" spans="1:5" ht="128.25" x14ac:dyDescent="0.2">
      <c r="A174" s="13" t="s">
        <v>63</v>
      </c>
      <c r="B174" s="15">
        <v>10</v>
      </c>
      <c r="C174" s="14" t="s">
        <v>611</v>
      </c>
      <c r="D174" s="13" t="str">
        <f t="shared" si="2"/>
        <v>AI10='\\vdm-fsvr\Cokhi-機工\1.TAI LIEU HANG NAM\2026\1.MUC TIEU NAM\9.TLHDM\[Gia_cong_khong_nguoi.xlsx]Tinh_Toan'!$U$59+''\\vdm-fsvr\Cokhi-機工\1.TAI LIEU HANG NAM\2026\1.MUC TIEU NAM\9.TLHDM\[Gia_cong_khong_nguoi.xlsx]Tinh_Toan'!$V$59</v>
      </c>
      <c r="E174" s="13" t="s">
        <v>633</v>
      </c>
    </row>
    <row r="175" spans="1:5" ht="128.25" x14ac:dyDescent="0.2">
      <c r="A175" s="13" t="s">
        <v>64</v>
      </c>
      <c r="B175" s="15">
        <v>10</v>
      </c>
      <c r="C175" s="14" t="s">
        <v>611</v>
      </c>
      <c r="D175" s="13" t="str">
        <f t="shared" si="2"/>
        <v>AJ10='\\vdm-fsvr\Cokhi-機工\1.TAI LIEU HANG NAM\2026\1.MUC TIEU NAM\9.TLHDM\[Gia_cong_khong_nguoi.xlsx]Tinh_Toan'!$U$59+''\\vdm-fsvr\Cokhi-機工\1.TAI LIEU HANG NAM\2026\1.MUC TIEU NAM\9.TLHDM\[Gia_cong_khong_nguoi.xlsx]Tinh_Toan'!$V$59</v>
      </c>
      <c r="E175" s="13" t="s">
        <v>634</v>
      </c>
    </row>
    <row r="176" spans="1:5" ht="128.25" x14ac:dyDescent="0.2">
      <c r="A176" s="13" t="s">
        <v>65</v>
      </c>
      <c r="B176" s="15">
        <v>10</v>
      </c>
      <c r="C176" s="14" t="s">
        <v>611</v>
      </c>
      <c r="D176" s="13" t="str">
        <f t="shared" si="2"/>
        <v>AK10='\\vdm-fsvr\Cokhi-機工\1.TAI LIEU HANG NAM\2026\1.MUC TIEU NAM\9.TLHDM\[Gia_cong_khong_nguoi.xlsx]Tinh_Toan'!$U$59+''\\vdm-fsvr\Cokhi-機工\1.TAI LIEU HANG NAM\2026\1.MUC TIEU NAM\9.TLHDM\[Gia_cong_khong_nguoi.xlsx]Tinh_Toan'!$V$59</v>
      </c>
      <c r="E176" s="13" t="s">
        <v>635</v>
      </c>
    </row>
    <row r="177" spans="1:5" ht="128.25" x14ac:dyDescent="0.2">
      <c r="A177" s="13" t="s">
        <v>66</v>
      </c>
      <c r="B177" s="15">
        <v>10</v>
      </c>
      <c r="C177" s="14" t="s">
        <v>611</v>
      </c>
      <c r="D177" s="13" t="str">
        <f t="shared" si="2"/>
        <v>AL10='\\vdm-fsvr\Cokhi-機工\1.TAI LIEU HANG NAM\2026\1.MUC TIEU NAM\9.TLHDM\[Gia_cong_khong_nguoi.xlsx]Tinh_Toan'!$U$59+''\\vdm-fsvr\Cokhi-機工\1.TAI LIEU HANG NAM\2026\1.MUC TIEU NAM\9.TLHDM\[Gia_cong_khong_nguoi.xlsx]Tinh_Toan'!$V$59</v>
      </c>
      <c r="E177" s="13" t="s">
        <v>636</v>
      </c>
    </row>
    <row r="178" spans="1:5" ht="128.25" x14ac:dyDescent="0.2">
      <c r="A178" s="13" t="s">
        <v>67</v>
      </c>
      <c r="B178" s="15">
        <v>10</v>
      </c>
      <c r="C178" s="14" t="s">
        <v>611</v>
      </c>
      <c r="D178" s="13" t="str">
        <f t="shared" si="2"/>
        <v>AM10='\\vdm-fsvr\Cokhi-機工\1.TAI LIEU HANG NAM\2026\1.MUC TIEU NAM\9.TLHDM\[Gia_cong_khong_nguoi.xlsx]Tinh_Toan'!$U$59+''\\vdm-fsvr\Cokhi-機工\1.TAI LIEU HANG NAM\2026\1.MUC TIEU NAM\9.TLHDM\[Gia_cong_khong_nguoi.xlsx]Tinh_Toan'!$V$59</v>
      </c>
      <c r="E178" s="13" t="s">
        <v>637</v>
      </c>
    </row>
    <row r="179" spans="1:5" ht="128.25" x14ac:dyDescent="0.2">
      <c r="A179" s="13" t="s">
        <v>68</v>
      </c>
      <c r="B179" s="15">
        <v>10</v>
      </c>
      <c r="C179" s="14" t="s">
        <v>611</v>
      </c>
      <c r="D179" s="13" t="str">
        <f t="shared" si="2"/>
        <v>AN10='\\vdm-fsvr\Cokhi-機工\1.TAI LIEU HANG NAM\2026\1.MUC TIEU NAM\9.TLHDM\[Gia_cong_khong_nguoi.xlsx]Tinh_Toan'!$U$59+''\\vdm-fsvr\Cokhi-機工\1.TAI LIEU HANG NAM\2026\1.MUC TIEU NAM\9.TLHDM\[Gia_cong_khong_nguoi.xlsx]Tinh_Toan'!$V$59</v>
      </c>
      <c r="E179" s="13" t="s">
        <v>638</v>
      </c>
    </row>
    <row r="180" spans="1:5" ht="128.25" x14ac:dyDescent="0.2">
      <c r="A180" s="13" t="s">
        <v>69</v>
      </c>
      <c r="B180" s="15">
        <v>10</v>
      </c>
      <c r="C180" s="14" t="s">
        <v>611</v>
      </c>
      <c r="D180" s="13" t="str">
        <f t="shared" si="2"/>
        <v>AO10='\\vdm-fsvr\Cokhi-機工\1.TAI LIEU HANG NAM\2026\1.MUC TIEU NAM\9.TLHDM\[Gia_cong_khong_nguoi.xlsx]Tinh_Toan'!$U$59+''\\vdm-fsvr\Cokhi-機工\1.TAI LIEU HANG NAM\2026\1.MUC TIEU NAM\9.TLHDM\[Gia_cong_khong_nguoi.xlsx]Tinh_Toan'!$V$59</v>
      </c>
      <c r="E180" s="13" t="s">
        <v>639</v>
      </c>
    </row>
    <row r="181" spans="1:5" ht="128.25" x14ac:dyDescent="0.2">
      <c r="A181" s="13" t="s">
        <v>70</v>
      </c>
      <c r="B181" s="15">
        <v>10</v>
      </c>
      <c r="C181" s="14" t="s">
        <v>611</v>
      </c>
      <c r="D181" s="13" t="str">
        <f t="shared" si="2"/>
        <v>AP10='\\vdm-fsvr\Cokhi-機工\1.TAI LIEU HANG NAM\2026\1.MUC TIEU NAM\9.TLHDM\[Gia_cong_khong_nguoi.xlsx]Tinh_Toan'!$U$59+''\\vdm-fsvr\Cokhi-機工\1.TAI LIEU HANG NAM\2026\1.MUC TIEU NAM\9.TLHDM\[Gia_cong_khong_nguoi.xlsx]Tinh_Toan'!$V$59</v>
      </c>
      <c r="E181" s="13" t="s">
        <v>640</v>
      </c>
    </row>
    <row r="182" spans="1:5" ht="128.25" x14ac:dyDescent="0.2">
      <c r="A182" s="13" t="s">
        <v>71</v>
      </c>
      <c r="B182" s="15">
        <v>10</v>
      </c>
      <c r="C182" s="14" t="s">
        <v>611</v>
      </c>
      <c r="D182" s="13" t="str">
        <f t="shared" si="2"/>
        <v>AQ10='\\vdm-fsvr\Cokhi-機工\1.TAI LIEU HANG NAM\2026\1.MUC TIEU NAM\9.TLHDM\[Gia_cong_khong_nguoi.xlsx]Tinh_Toan'!$U$59+''\\vdm-fsvr\Cokhi-機工\1.TAI LIEU HANG NAM\2026\1.MUC TIEU NAM\9.TLHDM\[Gia_cong_khong_nguoi.xlsx]Tinh_Toan'!$V$59</v>
      </c>
      <c r="E182" s="13" t="s">
        <v>641</v>
      </c>
    </row>
    <row r="183" spans="1:5" ht="128.25" x14ac:dyDescent="0.2">
      <c r="A183" s="13" t="s">
        <v>72</v>
      </c>
      <c r="B183" s="15">
        <v>10</v>
      </c>
      <c r="C183" s="14" t="s">
        <v>611</v>
      </c>
      <c r="D183" s="13" t="str">
        <f t="shared" si="2"/>
        <v>AR10='\\vdm-fsvr\Cokhi-機工\1.TAI LIEU HANG NAM\2026\1.MUC TIEU NAM\9.TLHDM\[Gia_cong_khong_nguoi.xlsx]Tinh_Toan'!$U$59+''\\vdm-fsvr\Cokhi-機工\1.TAI LIEU HANG NAM\2026\1.MUC TIEU NAM\9.TLHDM\[Gia_cong_khong_nguoi.xlsx]Tinh_Toan'!$V$59</v>
      </c>
      <c r="E183" s="13" t="s">
        <v>642</v>
      </c>
    </row>
    <row r="184" spans="1:5" ht="128.25" x14ac:dyDescent="0.2">
      <c r="A184" s="13" t="s">
        <v>73</v>
      </c>
      <c r="B184" s="15">
        <v>10</v>
      </c>
      <c r="C184" s="14" t="s">
        <v>611</v>
      </c>
      <c r="D184" s="13" t="str">
        <f t="shared" si="2"/>
        <v>AS10='\\vdm-fsvr\Cokhi-機工\1.TAI LIEU HANG NAM\2026\1.MUC TIEU NAM\9.TLHDM\[Gia_cong_khong_nguoi.xlsx]Tinh_Toan'!$U$59+''\\vdm-fsvr\Cokhi-機工\1.TAI LIEU HANG NAM\2026\1.MUC TIEU NAM\9.TLHDM\[Gia_cong_khong_nguoi.xlsx]Tinh_Toan'!$V$59</v>
      </c>
      <c r="E184" s="13" t="s">
        <v>643</v>
      </c>
    </row>
    <row r="185" spans="1:5" ht="16.5" x14ac:dyDescent="0.2">
      <c r="A185" s="13" t="s">
        <v>42</v>
      </c>
      <c r="B185" s="15">
        <v>11</v>
      </c>
      <c r="C185" s="13" t="s">
        <v>74</v>
      </c>
      <c r="D185" s="13" t="str">
        <f t="shared" si="2"/>
        <v>N11=IFERROR(N8/N$7*100,"")</v>
      </c>
      <c r="E185" s="13" t="s">
        <v>320</v>
      </c>
    </row>
    <row r="186" spans="1:5" ht="16.5" x14ac:dyDescent="0.2">
      <c r="A186" s="13" t="s">
        <v>43</v>
      </c>
      <c r="B186" s="15">
        <v>11</v>
      </c>
      <c r="C186" s="13" t="s">
        <v>75</v>
      </c>
      <c r="D186" s="13" t="str">
        <f t="shared" si="2"/>
        <v>O11=IFERROR(O8/O$7*100,"")</v>
      </c>
      <c r="E186" s="13" t="s">
        <v>321</v>
      </c>
    </row>
    <row r="187" spans="1:5" ht="16.5" x14ac:dyDescent="0.2">
      <c r="A187" s="13" t="s">
        <v>44</v>
      </c>
      <c r="B187" s="15">
        <v>11</v>
      </c>
      <c r="C187" s="13" t="s">
        <v>76</v>
      </c>
      <c r="D187" s="13" t="str">
        <f t="shared" si="2"/>
        <v>P11=IFERROR(P8/P$7*100,"")</v>
      </c>
      <c r="E187" s="13" t="s">
        <v>322</v>
      </c>
    </row>
    <row r="188" spans="1:5" ht="16.5" x14ac:dyDescent="0.2">
      <c r="A188" s="13" t="s">
        <v>45</v>
      </c>
      <c r="B188" s="15">
        <v>11</v>
      </c>
      <c r="C188" s="13" t="s">
        <v>77</v>
      </c>
      <c r="D188" s="13" t="str">
        <f t="shared" si="2"/>
        <v>Q11=IFERROR(Q8/Q$7*100,"")</v>
      </c>
      <c r="E188" s="13" t="s">
        <v>323</v>
      </c>
    </row>
    <row r="189" spans="1:5" ht="16.5" x14ac:dyDescent="0.2">
      <c r="A189" s="13" t="s">
        <v>46</v>
      </c>
      <c r="B189" s="15">
        <v>11</v>
      </c>
      <c r="C189" s="13" t="s">
        <v>78</v>
      </c>
      <c r="D189" s="13" t="str">
        <f t="shared" si="2"/>
        <v>R11=IFERROR(R8/R$7*100,"")</v>
      </c>
      <c r="E189" s="13" t="s">
        <v>324</v>
      </c>
    </row>
    <row r="190" spans="1:5" ht="16.5" x14ac:dyDescent="0.2">
      <c r="A190" s="13" t="s">
        <v>47</v>
      </c>
      <c r="B190" s="15">
        <v>11</v>
      </c>
      <c r="C190" s="13" t="s">
        <v>79</v>
      </c>
      <c r="D190" s="13" t="str">
        <f t="shared" si="2"/>
        <v>S11=IFERROR(S8/S$7*100,"")</v>
      </c>
      <c r="E190" s="13" t="s">
        <v>325</v>
      </c>
    </row>
    <row r="191" spans="1:5" ht="16.5" x14ac:dyDescent="0.2">
      <c r="A191" s="13" t="s">
        <v>48</v>
      </c>
      <c r="B191" s="15">
        <v>11</v>
      </c>
      <c r="C191" s="13" t="s">
        <v>85</v>
      </c>
      <c r="D191" s="13" t="str">
        <f t="shared" si="2"/>
        <v>T11=IFERROR(T8/T$7*100,"")</v>
      </c>
      <c r="E191" s="13" t="s">
        <v>326</v>
      </c>
    </row>
    <row r="192" spans="1:5" ht="16.5" x14ac:dyDescent="0.2">
      <c r="A192" s="13" t="s">
        <v>49</v>
      </c>
      <c r="B192" s="15">
        <v>11</v>
      </c>
      <c r="C192" s="13" t="s">
        <v>86</v>
      </c>
      <c r="D192" s="13" t="str">
        <f t="shared" si="2"/>
        <v>U11=IFERROR(U8/U$7*100,"")</v>
      </c>
      <c r="E192" s="13" t="s">
        <v>327</v>
      </c>
    </row>
    <row r="193" spans="1:5" ht="16.5" x14ac:dyDescent="0.2">
      <c r="A193" s="13" t="s">
        <v>50</v>
      </c>
      <c r="B193" s="15">
        <v>11</v>
      </c>
      <c r="C193" s="13" t="s">
        <v>87</v>
      </c>
      <c r="D193" s="13" t="str">
        <f t="shared" si="2"/>
        <v>V11=IFERROR(V8/V$7*100,"")</v>
      </c>
      <c r="E193" s="13" t="s">
        <v>328</v>
      </c>
    </row>
    <row r="194" spans="1:5" ht="16.5" x14ac:dyDescent="0.2">
      <c r="A194" s="13" t="s">
        <v>51</v>
      </c>
      <c r="B194" s="15">
        <v>11</v>
      </c>
      <c r="C194" s="13" t="s">
        <v>80</v>
      </c>
      <c r="D194" s="13" t="str">
        <f t="shared" si="2"/>
        <v>W11=IFERROR(W8/W$7*100,"")</v>
      </c>
      <c r="E194" s="13" t="s">
        <v>329</v>
      </c>
    </row>
    <row r="195" spans="1:5" ht="16.5" x14ac:dyDescent="0.2">
      <c r="A195" s="13" t="s">
        <v>52</v>
      </c>
      <c r="B195" s="15">
        <v>11</v>
      </c>
      <c r="C195" s="13" t="s">
        <v>81</v>
      </c>
      <c r="D195" s="13" t="str">
        <f t="shared" si="2"/>
        <v>X11=IFERROR(X8/X$7*100,"")</v>
      </c>
      <c r="E195" s="13" t="s">
        <v>330</v>
      </c>
    </row>
    <row r="196" spans="1:5" ht="16.5" x14ac:dyDescent="0.2">
      <c r="A196" s="13" t="s">
        <v>53</v>
      </c>
      <c r="B196" s="15">
        <v>11</v>
      </c>
      <c r="C196" s="13" t="s">
        <v>82</v>
      </c>
      <c r="D196" s="13" t="str">
        <f t="shared" ref="D196:D259" si="3">_xlfn.CONCAT(A196,B196,"=",C196)</f>
        <v>Y11=IFERROR(Y8/Y$7*100,"")</v>
      </c>
      <c r="E196" s="13" t="s">
        <v>331</v>
      </c>
    </row>
    <row r="197" spans="1:5" ht="16.5" x14ac:dyDescent="0.2">
      <c r="A197" s="13" t="s">
        <v>54</v>
      </c>
      <c r="B197" s="15">
        <v>11</v>
      </c>
      <c r="C197" s="13" t="s">
        <v>83</v>
      </c>
      <c r="D197" s="13" t="str">
        <f t="shared" si="3"/>
        <v>Z11=IFERROR(Z8/Z$7*100,"")</v>
      </c>
      <c r="E197" s="13" t="s">
        <v>332</v>
      </c>
    </row>
    <row r="198" spans="1:5" ht="28.5" x14ac:dyDescent="0.2">
      <c r="A198" s="13" t="s">
        <v>55</v>
      </c>
      <c r="B198" s="15">
        <v>11</v>
      </c>
      <c r="C198" s="13" t="s">
        <v>84</v>
      </c>
      <c r="D198" s="13" t="str">
        <f t="shared" si="3"/>
        <v>AA11=IFERROR(AA8/AA$7*100,"")</v>
      </c>
      <c r="E198" s="13" t="s">
        <v>333</v>
      </c>
    </row>
    <row r="199" spans="1:5" ht="28.5" x14ac:dyDescent="0.2">
      <c r="A199" s="13" t="s">
        <v>56</v>
      </c>
      <c r="B199" s="15">
        <v>11</v>
      </c>
      <c r="C199" s="13" t="s">
        <v>88</v>
      </c>
      <c r="D199" s="13" t="str">
        <f t="shared" si="3"/>
        <v>AB11=IFERROR(AB8/AB$7*100,"")</v>
      </c>
      <c r="E199" s="13" t="s">
        <v>334</v>
      </c>
    </row>
    <row r="200" spans="1:5" ht="28.5" x14ac:dyDescent="0.2">
      <c r="A200" s="13" t="s">
        <v>57</v>
      </c>
      <c r="B200" s="15">
        <v>11</v>
      </c>
      <c r="C200" s="13" t="s">
        <v>89</v>
      </c>
      <c r="D200" s="13" t="str">
        <f t="shared" si="3"/>
        <v>AC11=IFERROR(AC8/AC$7*100,"")</v>
      </c>
      <c r="E200" s="13" t="s">
        <v>335</v>
      </c>
    </row>
    <row r="201" spans="1:5" ht="28.5" x14ac:dyDescent="0.2">
      <c r="A201" s="13" t="s">
        <v>58</v>
      </c>
      <c r="B201" s="15">
        <v>11</v>
      </c>
      <c r="C201" s="13" t="s">
        <v>90</v>
      </c>
      <c r="D201" s="13" t="str">
        <f t="shared" si="3"/>
        <v>AD11=IFERROR(AD8/AD$7*100,"")</v>
      </c>
      <c r="E201" s="13" t="s">
        <v>336</v>
      </c>
    </row>
    <row r="202" spans="1:5" ht="28.5" x14ac:dyDescent="0.2">
      <c r="A202" s="13" t="s">
        <v>59</v>
      </c>
      <c r="B202" s="15">
        <v>11</v>
      </c>
      <c r="C202" s="13" t="s">
        <v>91</v>
      </c>
      <c r="D202" s="13" t="str">
        <f t="shared" si="3"/>
        <v>AE11=IFERROR(AE8/AE$7*100,"")</v>
      </c>
      <c r="E202" s="13" t="s">
        <v>337</v>
      </c>
    </row>
    <row r="203" spans="1:5" ht="28.5" x14ac:dyDescent="0.2">
      <c r="A203" s="13" t="s">
        <v>60</v>
      </c>
      <c r="B203" s="15">
        <v>11</v>
      </c>
      <c r="C203" s="13" t="s">
        <v>92</v>
      </c>
      <c r="D203" s="13" t="str">
        <f t="shared" si="3"/>
        <v>AF11=IFERROR(AF8/AF$7*100,"")</v>
      </c>
      <c r="E203" s="13" t="s">
        <v>338</v>
      </c>
    </row>
    <row r="204" spans="1:5" ht="28.5" x14ac:dyDescent="0.2">
      <c r="A204" s="13" t="s">
        <v>61</v>
      </c>
      <c r="B204" s="15">
        <v>11</v>
      </c>
      <c r="C204" s="13" t="s">
        <v>93</v>
      </c>
      <c r="D204" s="13" t="str">
        <f t="shared" si="3"/>
        <v>AG11=IFERROR(AG8/AG$7*100,"")</v>
      </c>
      <c r="E204" s="13" t="s">
        <v>339</v>
      </c>
    </row>
    <row r="205" spans="1:5" ht="28.5" x14ac:dyDescent="0.2">
      <c r="A205" s="13" t="s">
        <v>62</v>
      </c>
      <c r="B205" s="15">
        <v>11</v>
      </c>
      <c r="C205" s="13" t="s">
        <v>94</v>
      </c>
      <c r="D205" s="13" t="str">
        <f t="shared" si="3"/>
        <v>AH11=IFERROR(AH8/AH$7*100,"")</v>
      </c>
      <c r="E205" s="13" t="s">
        <v>340</v>
      </c>
    </row>
    <row r="206" spans="1:5" ht="16.5" x14ac:dyDescent="0.2">
      <c r="A206" s="13" t="s">
        <v>63</v>
      </c>
      <c r="B206" s="15">
        <v>11</v>
      </c>
      <c r="C206" s="13" t="s">
        <v>95</v>
      </c>
      <c r="D206" s="13" t="str">
        <f t="shared" si="3"/>
        <v>AI11=IFERROR(AI8/AI$7*100,"")</v>
      </c>
      <c r="E206" s="13" t="s">
        <v>341</v>
      </c>
    </row>
    <row r="207" spans="1:5" ht="16.5" x14ac:dyDescent="0.2">
      <c r="A207" s="13" t="s">
        <v>64</v>
      </c>
      <c r="B207" s="15">
        <v>11</v>
      </c>
      <c r="C207" s="13" t="s">
        <v>96</v>
      </c>
      <c r="D207" s="13" t="str">
        <f t="shared" si="3"/>
        <v>AJ11=IFERROR(AJ8/AJ$7*100,"")</v>
      </c>
      <c r="E207" s="13" t="s">
        <v>342</v>
      </c>
    </row>
    <row r="208" spans="1:5" ht="28.5" x14ac:dyDescent="0.2">
      <c r="A208" s="13" t="s">
        <v>65</v>
      </c>
      <c r="B208" s="15">
        <v>11</v>
      </c>
      <c r="C208" s="13" t="s">
        <v>97</v>
      </c>
      <c r="D208" s="13" t="str">
        <f t="shared" si="3"/>
        <v>AK11=IFERROR(AK8/AK$7*100,"")</v>
      </c>
      <c r="E208" s="13" t="s">
        <v>343</v>
      </c>
    </row>
    <row r="209" spans="1:5" ht="28.5" x14ac:dyDescent="0.2">
      <c r="A209" s="13" t="s">
        <v>66</v>
      </c>
      <c r="B209" s="15">
        <v>11</v>
      </c>
      <c r="C209" s="13" t="s">
        <v>98</v>
      </c>
      <c r="D209" s="13" t="str">
        <f t="shared" si="3"/>
        <v>AL11=IFERROR(AL8/AL$7*100,"")</v>
      </c>
      <c r="E209" s="13" t="s">
        <v>344</v>
      </c>
    </row>
    <row r="210" spans="1:5" ht="28.5" x14ac:dyDescent="0.2">
      <c r="A210" s="13" t="s">
        <v>67</v>
      </c>
      <c r="B210" s="15">
        <v>11</v>
      </c>
      <c r="C210" s="13" t="s">
        <v>99</v>
      </c>
      <c r="D210" s="13" t="str">
        <f t="shared" si="3"/>
        <v>AM11=IFERROR(AM8/AM$7*100,"")</v>
      </c>
      <c r="E210" s="13" t="s">
        <v>345</v>
      </c>
    </row>
    <row r="211" spans="1:5" ht="28.5" x14ac:dyDescent="0.2">
      <c r="A211" s="13" t="s">
        <v>68</v>
      </c>
      <c r="B211" s="15">
        <v>11</v>
      </c>
      <c r="C211" s="13" t="s">
        <v>100</v>
      </c>
      <c r="D211" s="13" t="str">
        <f t="shared" si="3"/>
        <v>AN11=IFERROR(AN8/AN$7*100,"")</v>
      </c>
      <c r="E211" s="13" t="s">
        <v>346</v>
      </c>
    </row>
    <row r="212" spans="1:5" ht="28.5" x14ac:dyDescent="0.2">
      <c r="A212" s="13" t="s">
        <v>69</v>
      </c>
      <c r="B212" s="15">
        <v>11</v>
      </c>
      <c r="C212" s="13" t="s">
        <v>101</v>
      </c>
      <c r="D212" s="13" t="str">
        <f t="shared" si="3"/>
        <v>AO11=IFERROR(AO8/AO$7*100,"")</v>
      </c>
      <c r="E212" s="13" t="s">
        <v>347</v>
      </c>
    </row>
    <row r="213" spans="1:5" ht="28.5" x14ac:dyDescent="0.2">
      <c r="A213" s="13" t="s">
        <v>70</v>
      </c>
      <c r="B213" s="15">
        <v>11</v>
      </c>
      <c r="C213" s="13" t="s">
        <v>102</v>
      </c>
      <c r="D213" s="13" t="str">
        <f t="shared" si="3"/>
        <v>AP11=IFERROR(AP8/AP$7*100,"")</v>
      </c>
      <c r="E213" s="13" t="s">
        <v>348</v>
      </c>
    </row>
    <row r="214" spans="1:5" ht="28.5" x14ac:dyDescent="0.2">
      <c r="A214" s="13" t="s">
        <v>71</v>
      </c>
      <c r="B214" s="15">
        <v>11</v>
      </c>
      <c r="C214" s="13" t="s">
        <v>103</v>
      </c>
      <c r="D214" s="13" t="str">
        <f t="shared" si="3"/>
        <v>AQ11=IFERROR(AQ8/AQ$7*100,"")</v>
      </c>
      <c r="E214" s="13" t="s">
        <v>349</v>
      </c>
    </row>
    <row r="215" spans="1:5" ht="28.5" x14ac:dyDescent="0.2">
      <c r="A215" s="13" t="s">
        <v>72</v>
      </c>
      <c r="B215" s="15">
        <v>11</v>
      </c>
      <c r="C215" s="13" t="s">
        <v>104</v>
      </c>
      <c r="D215" s="13" t="str">
        <f t="shared" si="3"/>
        <v>AR11=IFERROR(AR8/AR$7*100,"")</v>
      </c>
      <c r="E215" s="13" t="s">
        <v>350</v>
      </c>
    </row>
    <row r="216" spans="1:5" ht="28.5" x14ac:dyDescent="0.2">
      <c r="A216" s="13" t="s">
        <v>73</v>
      </c>
      <c r="B216" s="15">
        <v>11</v>
      </c>
      <c r="C216" s="13" t="s">
        <v>105</v>
      </c>
      <c r="D216" s="13" t="str">
        <f t="shared" si="3"/>
        <v>AS11=IFERROR(AS8/AS$7*100,"")</v>
      </c>
      <c r="E216" s="13" t="s">
        <v>351</v>
      </c>
    </row>
    <row r="217" spans="1:5" x14ac:dyDescent="0.2">
      <c r="A217" s="13" t="s">
        <v>42</v>
      </c>
      <c r="B217" s="13">
        <v>12</v>
      </c>
      <c r="C217" s="13" t="s">
        <v>106</v>
      </c>
      <c r="D217" s="13" t="str">
        <f t="shared" si="3"/>
        <v>N12=IFERROR(N9/N$7*100,"")</v>
      </c>
      <c r="E217" s="13" t="s">
        <v>352</v>
      </c>
    </row>
    <row r="218" spans="1:5" x14ac:dyDescent="0.2">
      <c r="A218" s="13" t="s">
        <v>43</v>
      </c>
      <c r="B218" s="13">
        <v>12</v>
      </c>
      <c r="C218" s="13" t="s">
        <v>107</v>
      </c>
      <c r="D218" s="13" t="str">
        <f t="shared" si="3"/>
        <v>O12=IFERROR(O9/O$7*100,"")</v>
      </c>
      <c r="E218" s="13" t="s">
        <v>353</v>
      </c>
    </row>
    <row r="219" spans="1:5" x14ac:dyDescent="0.2">
      <c r="A219" s="13" t="s">
        <v>44</v>
      </c>
      <c r="B219" s="13">
        <v>12</v>
      </c>
      <c r="C219" s="13" t="s">
        <v>108</v>
      </c>
      <c r="D219" s="13" t="str">
        <f t="shared" si="3"/>
        <v>P12=IFERROR(P9/P$7*100,"")</v>
      </c>
      <c r="E219" s="13" t="s">
        <v>354</v>
      </c>
    </row>
    <row r="220" spans="1:5" x14ac:dyDescent="0.2">
      <c r="A220" s="13" t="s">
        <v>45</v>
      </c>
      <c r="B220" s="13">
        <v>12</v>
      </c>
      <c r="C220" s="13" t="s">
        <v>109</v>
      </c>
      <c r="D220" s="13" t="str">
        <f t="shared" si="3"/>
        <v>Q12=IFERROR(Q9/Q$7*100,"")</v>
      </c>
      <c r="E220" s="13" t="s">
        <v>355</v>
      </c>
    </row>
    <row r="221" spans="1:5" x14ac:dyDescent="0.2">
      <c r="A221" s="13" t="s">
        <v>46</v>
      </c>
      <c r="B221" s="13">
        <v>12</v>
      </c>
      <c r="C221" s="13" t="s">
        <v>110</v>
      </c>
      <c r="D221" s="13" t="str">
        <f t="shared" si="3"/>
        <v>R12=IFERROR(R9/R$7*100,"")</v>
      </c>
      <c r="E221" s="13" t="s">
        <v>356</v>
      </c>
    </row>
    <row r="222" spans="1:5" x14ac:dyDescent="0.2">
      <c r="A222" s="13" t="s">
        <v>47</v>
      </c>
      <c r="B222" s="13">
        <v>12</v>
      </c>
      <c r="C222" s="13" t="s">
        <v>111</v>
      </c>
      <c r="D222" s="13" t="str">
        <f t="shared" si="3"/>
        <v>S12=IFERROR(S9/S$7*100,"")</v>
      </c>
      <c r="E222" s="13" t="s">
        <v>357</v>
      </c>
    </row>
    <row r="223" spans="1:5" x14ac:dyDescent="0.2">
      <c r="A223" s="13" t="s">
        <v>48</v>
      </c>
      <c r="B223" s="13">
        <v>12</v>
      </c>
      <c r="C223" s="13" t="s">
        <v>112</v>
      </c>
      <c r="D223" s="13" t="str">
        <f t="shared" si="3"/>
        <v>T12=IFERROR(T9/T$7*100,"")</v>
      </c>
      <c r="E223" s="13" t="s">
        <v>358</v>
      </c>
    </row>
    <row r="224" spans="1:5" x14ac:dyDescent="0.2">
      <c r="A224" s="13" t="s">
        <v>49</v>
      </c>
      <c r="B224" s="13">
        <v>12</v>
      </c>
      <c r="C224" s="13" t="s">
        <v>113</v>
      </c>
      <c r="D224" s="13" t="str">
        <f t="shared" si="3"/>
        <v>U12=IFERROR(U9/U$7*100,"")</v>
      </c>
      <c r="E224" s="13" t="s">
        <v>359</v>
      </c>
    </row>
    <row r="225" spans="1:5" x14ac:dyDescent="0.2">
      <c r="A225" s="13" t="s">
        <v>50</v>
      </c>
      <c r="B225" s="13">
        <v>12</v>
      </c>
      <c r="C225" s="13" t="s">
        <v>114</v>
      </c>
      <c r="D225" s="13" t="str">
        <f t="shared" si="3"/>
        <v>V12=IFERROR(V9/V$7*100,"")</v>
      </c>
      <c r="E225" s="13" t="s">
        <v>360</v>
      </c>
    </row>
    <row r="226" spans="1:5" x14ac:dyDescent="0.2">
      <c r="A226" s="13" t="s">
        <v>51</v>
      </c>
      <c r="B226" s="13">
        <v>12</v>
      </c>
      <c r="C226" s="13" t="s">
        <v>115</v>
      </c>
      <c r="D226" s="13" t="str">
        <f t="shared" si="3"/>
        <v>W12=IFERROR(W9/W$7*100,"")</v>
      </c>
      <c r="E226" s="13" t="s">
        <v>361</v>
      </c>
    </row>
    <row r="227" spans="1:5" x14ac:dyDescent="0.2">
      <c r="A227" s="13" t="s">
        <v>52</v>
      </c>
      <c r="B227" s="13">
        <v>12</v>
      </c>
      <c r="C227" s="13" t="s">
        <v>116</v>
      </c>
      <c r="D227" s="13" t="str">
        <f t="shared" si="3"/>
        <v>X12=IFERROR(X9/X$7*100,"")</v>
      </c>
      <c r="E227" s="13" t="s">
        <v>362</v>
      </c>
    </row>
    <row r="228" spans="1:5" x14ac:dyDescent="0.2">
      <c r="A228" s="13" t="s">
        <v>53</v>
      </c>
      <c r="B228" s="13">
        <v>12</v>
      </c>
      <c r="C228" s="13" t="s">
        <v>117</v>
      </c>
      <c r="D228" s="13" t="str">
        <f t="shared" si="3"/>
        <v>Y12=IFERROR(Y9/Y$7*100,"")</v>
      </c>
      <c r="E228" s="13" t="s">
        <v>363</v>
      </c>
    </row>
    <row r="229" spans="1:5" x14ac:dyDescent="0.2">
      <c r="A229" s="13" t="s">
        <v>54</v>
      </c>
      <c r="B229" s="13">
        <v>12</v>
      </c>
      <c r="C229" s="13" t="s">
        <v>118</v>
      </c>
      <c r="D229" s="13" t="str">
        <f t="shared" si="3"/>
        <v>Z12=IFERROR(Z9/Z$7*100,"")</v>
      </c>
      <c r="E229" s="13" t="s">
        <v>364</v>
      </c>
    </row>
    <row r="230" spans="1:5" ht="28.5" x14ac:dyDescent="0.2">
      <c r="A230" s="13" t="s">
        <v>55</v>
      </c>
      <c r="B230" s="13">
        <v>12</v>
      </c>
      <c r="C230" s="13" t="s">
        <v>119</v>
      </c>
      <c r="D230" s="13" t="str">
        <f t="shared" si="3"/>
        <v>AA12=IFERROR(AA9/AA$7*100,"")</v>
      </c>
      <c r="E230" s="13" t="s">
        <v>365</v>
      </c>
    </row>
    <row r="231" spans="1:5" ht="28.5" x14ac:dyDescent="0.2">
      <c r="A231" s="13" t="s">
        <v>56</v>
      </c>
      <c r="B231" s="13">
        <v>12</v>
      </c>
      <c r="C231" s="13" t="s">
        <v>120</v>
      </c>
      <c r="D231" s="13" t="str">
        <f t="shared" si="3"/>
        <v>AB12=IFERROR(AB9/AB$7*100,"")</v>
      </c>
      <c r="E231" s="13" t="s">
        <v>366</v>
      </c>
    </row>
    <row r="232" spans="1:5" ht="28.5" x14ac:dyDescent="0.2">
      <c r="A232" s="13" t="s">
        <v>57</v>
      </c>
      <c r="B232" s="13">
        <v>12</v>
      </c>
      <c r="C232" s="13" t="s">
        <v>121</v>
      </c>
      <c r="D232" s="13" t="str">
        <f t="shared" si="3"/>
        <v>AC12=IFERROR(AC9/AC$7*100,"")</v>
      </c>
      <c r="E232" s="13" t="s">
        <v>367</v>
      </c>
    </row>
    <row r="233" spans="1:5" ht="28.5" x14ac:dyDescent="0.2">
      <c r="A233" s="13" t="s">
        <v>58</v>
      </c>
      <c r="B233" s="13">
        <v>12</v>
      </c>
      <c r="C233" s="13" t="s">
        <v>122</v>
      </c>
      <c r="D233" s="13" t="str">
        <f t="shared" si="3"/>
        <v>AD12=IFERROR(AD9/AD$7*100,"")</v>
      </c>
      <c r="E233" s="13" t="s">
        <v>368</v>
      </c>
    </row>
    <row r="234" spans="1:5" ht="28.5" x14ac:dyDescent="0.2">
      <c r="A234" s="13" t="s">
        <v>59</v>
      </c>
      <c r="B234" s="13">
        <v>12</v>
      </c>
      <c r="C234" s="13" t="s">
        <v>123</v>
      </c>
      <c r="D234" s="13" t="str">
        <f t="shared" si="3"/>
        <v>AE12=IFERROR(AE9/AE$7*100,"")</v>
      </c>
      <c r="E234" s="13" t="s">
        <v>369</v>
      </c>
    </row>
    <row r="235" spans="1:5" ht="28.5" x14ac:dyDescent="0.2">
      <c r="A235" s="13" t="s">
        <v>60</v>
      </c>
      <c r="B235" s="13">
        <v>12</v>
      </c>
      <c r="C235" s="13" t="s">
        <v>124</v>
      </c>
      <c r="D235" s="13" t="str">
        <f t="shared" si="3"/>
        <v>AF12=IFERROR(AF9/AF$7*100,"")</v>
      </c>
      <c r="E235" s="13" t="s">
        <v>370</v>
      </c>
    </row>
    <row r="236" spans="1:5" ht="28.5" x14ac:dyDescent="0.2">
      <c r="A236" s="13" t="s">
        <v>61</v>
      </c>
      <c r="B236" s="13">
        <v>12</v>
      </c>
      <c r="C236" s="13" t="s">
        <v>125</v>
      </c>
      <c r="D236" s="13" t="str">
        <f t="shared" si="3"/>
        <v>AG12=IFERROR(AG9/AG$7*100,"")</v>
      </c>
      <c r="E236" s="13" t="s">
        <v>371</v>
      </c>
    </row>
    <row r="237" spans="1:5" ht="28.5" x14ac:dyDescent="0.2">
      <c r="A237" s="13" t="s">
        <v>62</v>
      </c>
      <c r="B237" s="13">
        <v>12</v>
      </c>
      <c r="C237" s="13" t="s">
        <v>126</v>
      </c>
      <c r="D237" s="13" t="str">
        <f t="shared" si="3"/>
        <v>AH12=IFERROR(AH9/AH$7*100,"")</v>
      </c>
      <c r="E237" s="13" t="s">
        <v>372</v>
      </c>
    </row>
    <row r="238" spans="1:5" x14ac:dyDescent="0.2">
      <c r="A238" s="13" t="s">
        <v>63</v>
      </c>
      <c r="B238" s="13">
        <v>12</v>
      </c>
      <c r="C238" s="13" t="s">
        <v>127</v>
      </c>
      <c r="D238" s="13" t="str">
        <f t="shared" si="3"/>
        <v>AI12=IFERROR(AI9/AI$7*100,"")</v>
      </c>
      <c r="E238" s="13" t="s">
        <v>373</v>
      </c>
    </row>
    <row r="239" spans="1:5" x14ac:dyDescent="0.2">
      <c r="A239" s="13" t="s">
        <v>64</v>
      </c>
      <c r="B239" s="13">
        <v>12</v>
      </c>
      <c r="C239" s="13" t="s">
        <v>128</v>
      </c>
      <c r="D239" s="13" t="str">
        <f t="shared" si="3"/>
        <v>AJ12=IFERROR(AJ9/AJ$7*100,"")</v>
      </c>
      <c r="E239" s="13" t="s">
        <v>374</v>
      </c>
    </row>
    <row r="240" spans="1:5" ht="28.5" x14ac:dyDescent="0.2">
      <c r="A240" s="13" t="s">
        <v>65</v>
      </c>
      <c r="B240" s="13">
        <v>12</v>
      </c>
      <c r="C240" s="13" t="s">
        <v>129</v>
      </c>
      <c r="D240" s="13" t="str">
        <f t="shared" si="3"/>
        <v>AK12=IFERROR(AK9/AK$7*100,"")</v>
      </c>
      <c r="E240" s="13" t="s">
        <v>375</v>
      </c>
    </row>
    <row r="241" spans="1:5" ht="28.5" x14ac:dyDescent="0.2">
      <c r="A241" s="13" t="s">
        <v>66</v>
      </c>
      <c r="B241" s="13">
        <v>12</v>
      </c>
      <c r="C241" s="13" t="s">
        <v>130</v>
      </c>
      <c r="D241" s="13" t="str">
        <f t="shared" si="3"/>
        <v>AL12=IFERROR(AL9/AL$7*100,"")</v>
      </c>
      <c r="E241" s="13" t="s">
        <v>376</v>
      </c>
    </row>
    <row r="242" spans="1:5" ht="28.5" x14ac:dyDescent="0.2">
      <c r="A242" s="13" t="s">
        <v>67</v>
      </c>
      <c r="B242" s="13">
        <v>12</v>
      </c>
      <c r="C242" s="13" t="s">
        <v>131</v>
      </c>
      <c r="D242" s="13" t="str">
        <f t="shared" si="3"/>
        <v>AM12=IFERROR(AM9/AM$7*100,"")</v>
      </c>
      <c r="E242" s="13" t="s">
        <v>377</v>
      </c>
    </row>
    <row r="243" spans="1:5" ht="28.5" x14ac:dyDescent="0.2">
      <c r="A243" s="13" t="s">
        <v>68</v>
      </c>
      <c r="B243" s="13">
        <v>12</v>
      </c>
      <c r="C243" s="13" t="s">
        <v>132</v>
      </c>
      <c r="D243" s="13" t="str">
        <f t="shared" si="3"/>
        <v>AN12=IFERROR(AN9/AN$7*100,"")</v>
      </c>
      <c r="E243" s="13" t="s">
        <v>378</v>
      </c>
    </row>
    <row r="244" spans="1:5" ht="28.5" x14ac:dyDescent="0.2">
      <c r="A244" s="13" t="s">
        <v>69</v>
      </c>
      <c r="B244" s="13">
        <v>12</v>
      </c>
      <c r="C244" s="13" t="s">
        <v>133</v>
      </c>
      <c r="D244" s="13" t="str">
        <f t="shared" si="3"/>
        <v>AO12=IFERROR(AO9/AO$7*100,"")</v>
      </c>
      <c r="E244" s="13" t="s">
        <v>379</v>
      </c>
    </row>
    <row r="245" spans="1:5" ht="28.5" x14ac:dyDescent="0.2">
      <c r="A245" s="13" t="s">
        <v>70</v>
      </c>
      <c r="B245" s="13">
        <v>12</v>
      </c>
      <c r="C245" s="13" t="s">
        <v>134</v>
      </c>
      <c r="D245" s="13" t="str">
        <f t="shared" si="3"/>
        <v>AP12=IFERROR(AP9/AP$7*100,"")</v>
      </c>
      <c r="E245" s="13" t="s">
        <v>380</v>
      </c>
    </row>
    <row r="246" spans="1:5" ht="28.5" x14ac:dyDescent="0.2">
      <c r="A246" s="13" t="s">
        <v>71</v>
      </c>
      <c r="B246" s="13">
        <v>12</v>
      </c>
      <c r="C246" s="13" t="s">
        <v>135</v>
      </c>
      <c r="D246" s="13" t="str">
        <f t="shared" si="3"/>
        <v>AQ12=IFERROR(AQ9/AQ$7*100,"")</v>
      </c>
      <c r="E246" s="13" t="s">
        <v>381</v>
      </c>
    </row>
    <row r="247" spans="1:5" ht="28.5" x14ac:dyDescent="0.2">
      <c r="A247" s="13" t="s">
        <v>72</v>
      </c>
      <c r="B247" s="13">
        <v>12</v>
      </c>
      <c r="C247" s="13" t="s">
        <v>136</v>
      </c>
      <c r="D247" s="13" t="str">
        <f t="shared" si="3"/>
        <v>AR12=IFERROR(AR9/AR$7*100,"")</v>
      </c>
      <c r="E247" s="13" t="s">
        <v>382</v>
      </c>
    </row>
    <row r="248" spans="1:5" ht="28.5" x14ac:dyDescent="0.2">
      <c r="A248" s="13" t="s">
        <v>73</v>
      </c>
      <c r="B248" s="13">
        <v>12</v>
      </c>
      <c r="C248" s="13" t="s">
        <v>137</v>
      </c>
      <c r="D248" s="13" t="str">
        <f t="shared" si="3"/>
        <v>AS12=IFERROR(AS9/AS$7*100,"")</v>
      </c>
      <c r="E248" s="13" t="s">
        <v>383</v>
      </c>
    </row>
    <row r="249" spans="1:5" x14ac:dyDescent="0.2">
      <c r="A249" s="13" t="s">
        <v>42</v>
      </c>
      <c r="B249" s="13">
        <v>13</v>
      </c>
      <c r="C249" s="13" t="s">
        <v>138</v>
      </c>
      <c r="D249" s="13" t="str">
        <f t="shared" si="3"/>
        <v>N13=IFERROR(N10/N$7*100,"")</v>
      </c>
      <c r="E249" s="13" t="s">
        <v>384</v>
      </c>
    </row>
    <row r="250" spans="1:5" x14ac:dyDescent="0.2">
      <c r="A250" s="13" t="s">
        <v>43</v>
      </c>
      <c r="B250" s="13">
        <v>13</v>
      </c>
      <c r="C250" s="13" t="s">
        <v>139</v>
      </c>
      <c r="D250" s="13" t="str">
        <f t="shared" si="3"/>
        <v>O13=IFERROR(O10/O$7*100,"")</v>
      </c>
      <c r="E250" s="13" t="s">
        <v>385</v>
      </c>
    </row>
    <row r="251" spans="1:5" x14ac:dyDescent="0.2">
      <c r="A251" s="13" t="s">
        <v>44</v>
      </c>
      <c r="B251" s="13">
        <v>13</v>
      </c>
      <c r="C251" s="13" t="s">
        <v>140</v>
      </c>
      <c r="D251" s="13" t="str">
        <f t="shared" si="3"/>
        <v>P13=IFERROR(P10/P$7*100,"")</v>
      </c>
      <c r="E251" s="13" t="s">
        <v>386</v>
      </c>
    </row>
    <row r="252" spans="1:5" x14ac:dyDescent="0.2">
      <c r="A252" s="13" t="s">
        <v>45</v>
      </c>
      <c r="B252" s="13">
        <v>13</v>
      </c>
      <c r="C252" s="13" t="s">
        <v>141</v>
      </c>
      <c r="D252" s="13" t="str">
        <f t="shared" si="3"/>
        <v>Q13=IFERROR(Q10/Q$7*100,"")</v>
      </c>
      <c r="E252" s="13" t="s">
        <v>387</v>
      </c>
    </row>
    <row r="253" spans="1:5" x14ac:dyDescent="0.2">
      <c r="A253" s="13" t="s">
        <v>46</v>
      </c>
      <c r="B253" s="13">
        <v>13</v>
      </c>
      <c r="C253" s="13" t="s">
        <v>142</v>
      </c>
      <c r="D253" s="13" t="str">
        <f t="shared" si="3"/>
        <v>R13=IFERROR(R10/R$7*100,"")</v>
      </c>
      <c r="E253" s="13" t="s">
        <v>388</v>
      </c>
    </row>
    <row r="254" spans="1:5" x14ac:dyDescent="0.2">
      <c r="A254" s="13" t="s">
        <v>47</v>
      </c>
      <c r="B254" s="13">
        <v>13</v>
      </c>
      <c r="C254" s="13" t="s">
        <v>143</v>
      </c>
      <c r="D254" s="13" t="str">
        <f t="shared" si="3"/>
        <v>S13=IFERROR(S10/S$7*100,"")</v>
      </c>
      <c r="E254" s="13" t="s">
        <v>389</v>
      </c>
    </row>
    <row r="255" spans="1:5" x14ac:dyDescent="0.2">
      <c r="A255" s="13" t="s">
        <v>48</v>
      </c>
      <c r="B255" s="13">
        <v>13</v>
      </c>
      <c r="C255" s="13" t="s">
        <v>144</v>
      </c>
      <c r="D255" s="13" t="str">
        <f t="shared" si="3"/>
        <v>T13=IFERROR(T10/T$7*100,"")</v>
      </c>
      <c r="E255" s="13" t="s">
        <v>390</v>
      </c>
    </row>
    <row r="256" spans="1:5" x14ac:dyDescent="0.2">
      <c r="A256" s="13" t="s">
        <v>49</v>
      </c>
      <c r="B256" s="13">
        <v>13</v>
      </c>
      <c r="C256" s="13" t="s">
        <v>145</v>
      </c>
      <c r="D256" s="13" t="str">
        <f t="shared" si="3"/>
        <v>U13=IFERROR(U10/U$7*100,"")</v>
      </c>
      <c r="E256" s="13" t="s">
        <v>391</v>
      </c>
    </row>
    <row r="257" spans="1:5" x14ac:dyDescent="0.2">
      <c r="A257" s="13" t="s">
        <v>50</v>
      </c>
      <c r="B257" s="13">
        <v>13</v>
      </c>
      <c r="C257" s="13" t="s">
        <v>146</v>
      </c>
      <c r="D257" s="13" t="str">
        <f t="shared" si="3"/>
        <v>V13=IFERROR(V10/V$7*100,"")</v>
      </c>
      <c r="E257" s="13" t="s">
        <v>392</v>
      </c>
    </row>
    <row r="258" spans="1:5" ht="28.5" x14ac:dyDescent="0.2">
      <c r="A258" s="13" t="s">
        <v>51</v>
      </c>
      <c r="B258" s="13">
        <v>13</v>
      </c>
      <c r="C258" s="13" t="s">
        <v>147</v>
      </c>
      <c r="D258" s="13" t="str">
        <f t="shared" si="3"/>
        <v>W13=IFERROR(W10/W$7*100,"")</v>
      </c>
      <c r="E258" s="13" t="s">
        <v>393</v>
      </c>
    </row>
    <row r="259" spans="1:5" x14ac:dyDescent="0.2">
      <c r="A259" s="13" t="s">
        <v>52</v>
      </c>
      <c r="B259" s="13">
        <v>13</v>
      </c>
      <c r="C259" s="13" t="s">
        <v>148</v>
      </c>
      <c r="D259" s="13" t="str">
        <f t="shared" si="3"/>
        <v>X13=IFERROR(X10/X$7*100,"")</v>
      </c>
      <c r="E259" s="13" t="s">
        <v>394</v>
      </c>
    </row>
    <row r="260" spans="1:5" x14ac:dyDescent="0.2">
      <c r="A260" s="13" t="s">
        <v>53</v>
      </c>
      <c r="B260" s="13">
        <v>13</v>
      </c>
      <c r="C260" s="13" t="s">
        <v>149</v>
      </c>
      <c r="D260" s="13" t="str">
        <f t="shared" ref="D260:D323" si="4">_xlfn.CONCAT(A260,B260,"=",C260)</f>
        <v>Y13=IFERROR(Y10/Y$7*100,"")</v>
      </c>
      <c r="E260" s="13" t="s">
        <v>395</v>
      </c>
    </row>
    <row r="261" spans="1:5" x14ac:dyDescent="0.2">
      <c r="A261" s="13" t="s">
        <v>54</v>
      </c>
      <c r="B261" s="13">
        <v>13</v>
      </c>
      <c r="C261" s="13" t="s">
        <v>150</v>
      </c>
      <c r="D261" s="13" t="str">
        <f t="shared" si="4"/>
        <v>Z13=IFERROR(Z10/Z$7*100,"")</v>
      </c>
      <c r="E261" s="13" t="s">
        <v>396</v>
      </c>
    </row>
    <row r="262" spans="1:5" ht="28.5" x14ac:dyDescent="0.2">
      <c r="A262" s="13" t="s">
        <v>55</v>
      </c>
      <c r="B262" s="13">
        <v>13</v>
      </c>
      <c r="C262" s="13" t="s">
        <v>151</v>
      </c>
      <c r="D262" s="13" t="str">
        <f t="shared" si="4"/>
        <v>AA13=IFERROR(AA10/AA$7*100,"")</v>
      </c>
      <c r="E262" s="13" t="s">
        <v>397</v>
      </c>
    </row>
    <row r="263" spans="1:5" ht="28.5" x14ac:dyDescent="0.2">
      <c r="A263" s="13" t="s">
        <v>56</v>
      </c>
      <c r="B263" s="13">
        <v>13</v>
      </c>
      <c r="C263" s="13" t="s">
        <v>152</v>
      </c>
      <c r="D263" s="13" t="str">
        <f t="shared" si="4"/>
        <v>AB13=IFERROR(AB10/AB$7*100,"")</v>
      </c>
      <c r="E263" s="13" t="s">
        <v>398</v>
      </c>
    </row>
    <row r="264" spans="1:5" ht="28.5" x14ac:dyDescent="0.2">
      <c r="A264" s="13" t="s">
        <v>57</v>
      </c>
      <c r="B264" s="13">
        <v>13</v>
      </c>
      <c r="C264" s="13" t="s">
        <v>153</v>
      </c>
      <c r="D264" s="13" t="str">
        <f t="shared" si="4"/>
        <v>AC13=IFERROR(AC10/AC$7*100,"")</v>
      </c>
      <c r="E264" s="13" t="s">
        <v>399</v>
      </c>
    </row>
    <row r="265" spans="1:5" ht="28.5" x14ac:dyDescent="0.2">
      <c r="A265" s="13" t="s">
        <v>58</v>
      </c>
      <c r="B265" s="13">
        <v>13</v>
      </c>
      <c r="C265" s="13" t="s">
        <v>154</v>
      </c>
      <c r="D265" s="13" t="str">
        <f t="shared" si="4"/>
        <v>AD13=IFERROR(AD10/AD$7*100,"")</v>
      </c>
      <c r="E265" s="13" t="s">
        <v>400</v>
      </c>
    </row>
    <row r="266" spans="1:5" ht="28.5" x14ac:dyDescent="0.2">
      <c r="A266" s="13" t="s">
        <v>59</v>
      </c>
      <c r="B266" s="13">
        <v>13</v>
      </c>
      <c r="C266" s="13" t="s">
        <v>155</v>
      </c>
      <c r="D266" s="13" t="str">
        <f t="shared" si="4"/>
        <v>AE13=IFERROR(AE10/AE$7*100,"")</v>
      </c>
      <c r="E266" s="13" t="s">
        <v>401</v>
      </c>
    </row>
    <row r="267" spans="1:5" ht="28.5" x14ac:dyDescent="0.2">
      <c r="A267" s="13" t="s">
        <v>60</v>
      </c>
      <c r="B267" s="13">
        <v>13</v>
      </c>
      <c r="C267" s="13" t="s">
        <v>156</v>
      </c>
      <c r="D267" s="13" t="str">
        <f t="shared" si="4"/>
        <v>AF13=IFERROR(AF10/AF$7*100,"")</v>
      </c>
      <c r="E267" s="13" t="s">
        <v>402</v>
      </c>
    </row>
    <row r="268" spans="1:5" ht="28.5" x14ac:dyDescent="0.2">
      <c r="A268" s="13" t="s">
        <v>61</v>
      </c>
      <c r="B268" s="13">
        <v>13</v>
      </c>
      <c r="C268" s="13" t="s">
        <v>157</v>
      </c>
      <c r="D268" s="13" t="str">
        <f t="shared" si="4"/>
        <v>AG13=IFERROR(AG10/AG$7*100,"")</v>
      </c>
      <c r="E268" s="13" t="s">
        <v>403</v>
      </c>
    </row>
    <row r="269" spans="1:5" ht="28.5" x14ac:dyDescent="0.2">
      <c r="A269" s="13" t="s">
        <v>62</v>
      </c>
      <c r="B269" s="13">
        <v>13</v>
      </c>
      <c r="C269" s="13" t="s">
        <v>158</v>
      </c>
      <c r="D269" s="13" t="str">
        <f t="shared" si="4"/>
        <v>AH13=IFERROR(AH10/AH$7*100,"")</v>
      </c>
      <c r="E269" s="13" t="s">
        <v>404</v>
      </c>
    </row>
    <row r="270" spans="1:5" x14ac:dyDescent="0.2">
      <c r="A270" s="13" t="s">
        <v>63</v>
      </c>
      <c r="B270" s="13">
        <v>13</v>
      </c>
      <c r="C270" s="13" t="s">
        <v>159</v>
      </c>
      <c r="D270" s="13" t="str">
        <f t="shared" si="4"/>
        <v>AI13=IFERROR(AI10/AI$7*100,"")</v>
      </c>
      <c r="E270" s="13" t="s">
        <v>405</v>
      </c>
    </row>
    <row r="271" spans="1:5" ht="28.5" x14ac:dyDescent="0.2">
      <c r="A271" s="13" t="s">
        <v>64</v>
      </c>
      <c r="B271" s="13">
        <v>13</v>
      </c>
      <c r="C271" s="13" t="s">
        <v>160</v>
      </c>
      <c r="D271" s="13" t="str">
        <f t="shared" si="4"/>
        <v>AJ13=IFERROR(AJ10/AJ$7*100,"")</v>
      </c>
      <c r="E271" s="13" t="s">
        <v>406</v>
      </c>
    </row>
    <row r="272" spans="1:5" ht="28.5" x14ac:dyDescent="0.2">
      <c r="A272" s="13" t="s">
        <v>65</v>
      </c>
      <c r="B272" s="13">
        <v>13</v>
      </c>
      <c r="C272" s="13" t="s">
        <v>161</v>
      </c>
      <c r="D272" s="13" t="str">
        <f t="shared" si="4"/>
        <v>AK13=IFERROR(AK10/AK$7*100,"")</v>
      </c>
      <c r="E272" s="13" t="s">
        <v>407</v>
      </c>
    </row>
    <row r="273" spans="1:5" ht="28.5" x14ac:dyDescent="0.2">
      <c r="A273" s="13" t="s">
        <v>66</v>
      </c>
      <c r="B273" s="13">
        <v>13</v>
      </c>
      <c r="C273" s="13" t="s">
        <v>162</v>
      </c>
      <c r="D273" s="13" t="str">
        <f t="shared" si="4"/>
        <v>AL13=IFERROR(AL10/AL$7*100,"")</v>
      </c>
      <c r="E273" s="13" t="s">
        <v>408</v>
      </c>
    </row>
    <row r="274" spans="1:5" ht="28.5" x14ac:dyDescent="0.2">
      <c r="A274" s="13" t="s">
        <v>67</v>
      </c>
      <c r="B274" s="13">
        <v>13</v>
      </c>
      <c r="C274" s="13" t="s">
        <v>163</v>
      </c>
      <c r="D274" s="13" t="str">
        <f t="shared" si="4"/>
        <v>AM13=IFERROR(AM10/AM$7*100,"")</v>
      </c>
      <c r="E274" s="13" t="s">
        <v>409</v>
      </c>
    </row>
    <row r="275" spans="1:5" ht="28.5" x14ac:dyDescent="0.2">
      <c r="A275" s="13" t="s">
        <v>68</v>
      </c>
      <c r="B275" s="13">
        <v>13</v>
      </c>
      <c r="C275" s="13" t="s">
        <v>164</v>
      </c>
      <c r="D275" s="13" t="str">
        <f t="shared" si="4"/>
        <v>AN13=IFERROR(AN10/AN$7*100,"")</v>
      </c>
      <c r="E275" s="13" t="s">
        <v>410</v>
      </c>
    </row>
    <row r="276" spans="1:5" ht="28.5" x14ac:dyDescent="0.2">
      <c r="A276" s="13" t="s">
        <v>69</v>
      </c>
      <c r="B276" s="13">
        <v>13</v>
      </c>
      <c r="C276" s="13" t="s">
        <v>165</v>
      </c>
      <c r="D276" s="13" t="str">
        <f t="shared" si="4"/>
        <v>AO13=IFERROR(AO10/AO$7*100,"")</v>
      </c>
      <c r="E276" s="13" t="s">
        <v>411</v>
      </c>
    </row>
    <row r="277" spans="1:5" ht="28.5" x14ac:dyDescent="0.2">
      <c r="A277" s="13" t="s">
        <v>70</v>
      </c>
      <c r="B277" s="13">
        <v>13</v>
      </c>
      <c r="C277" s="13" t="s">
        <v>166</v>
      </c>
      <c r="D277" s="13" t="str">
        <f t="shared" si="4"/>
        <v>AP13=IFERROR(AP10/AP$7*100,"")</v>
      </c>
      <c r="E277" s="13" t="s">
        <v>412</v>
      </c>
    </row>
    <row r="278" spans="1:5" ht="28.5" x14ac:dyDescent="0.2">
      <c r="A278" s="13" t="s">
        <v>71</v>
      </c>
      <c r="B278" s="13">
        <v>13</v>
      </c>
      <c r="C278" s="13" t="s">
        <v>167</v>
      </c>
      <c r="D278" s="13" t="str">
        <f t="shared" si="4"/>
        <v>AQ13=IFERROR(AQ10/AQ$7*100,"")</v>
      </c>
      <c r="E278" s="13" t="s">
        <v>413</v>
      </c>
    </row>
    <row r="279" spans="1:5" ht="28.5" x14ac:dyDescent="0.2">
      <c r="A279" s="13" t="s">
        <v>72</v>
      </c>
      <c r="B279" s="13">
        <v>13</v>
      </c>
      <c r="C279" s="13" t="s">
        <v>168</v>
      </c>
      <c r="D279" s="13" t="str">
        <f t="shared" si="4"/>
        <v>AR13=IFERROR(AR10/AR$7*100,"")</v>
      </c>
      <c r="E279" s="13" t="s">
        <v>414</v>
      </c>
    </row>
    <row r="280" spans="1:5" ht="28.5" x14ac:dyDescent="0.2">
      <c r="A280" s="13" t="s">
        <v>73</v>
      </c>
      <c r="B280" s="13">
        <v>13</v>
      </c>
      <c r="C280" s="13" t="s">
        <v>169</v>
      </c>
      <c r="D280" s="13" t="str">
        <f t="shared" si="4"/>
        <v>AS13=IFERROR(AS10/AS$7*100,"")</v>
      </c>
      <c r="E280" s="13" t="s">
        <v>415</v>
      </c>
    </row>
    <row r="281" spans="1:5" x14ac:dyDescent="0.2">
      <c r="A281" s="13" t="s">
        <v>42</v>
      </c>
      <c r="B281" s="13">
        <v>19</v>
      </c>
      <c r="C281" s="13" t="s">
        <v>170</v>
      </c>
      <c r="D281" s="13" t="str">
        <f t="shared" si="4"/>
        <v>N19=IFERROR(N16/N$15*100,"")</v>
      </c>
      <c r="E281" s="13" t="s">
        <v>416</v>
      </c>
    </row>
    <row r="282" spans="1:5" ht="28.5" x14ac:dyDescent="0.2">
      <c r="A282" s="13" t="s">
        <v>43</v>
      </c>
      <c r="B282" s="13">
        <v>19</v>
      </c>
      <c r="C282" s="13" t="s">
        <v>171</v>
      </c>
      <c r="D282" s="13" t="str">
        <f t="shared" si="4"/>
        <v>O19=IFERROR(O16/O$15*100,"")</v>
      </c>
      <c r="E282" s="13" t="s">
        <v>417</v>
      </c>
    </row>
    <row r="283" spans="1:5" x14ac:dyDescent="0.2">
      <c r="A283" s="13" t="s">
        <v>44</v>
      </c>
      <c r="B283" s="13">
        <v>19</v>
      </c>
      <c r="C283" s="13" t="s">
        <v>172</v>
      </c>
      <c r="D283" s="13" t="str">
        <f t="shared" si="4"/>
        <v>P19=IFERROR(P16/P$15*100,"")</v>
      </c>
      <c r="E283" s="13" t="s">
        <v>418</v>
      </c>
    </row>
    <row r="284" spans="1:5" ht="28.5" x14ac:dyDescent="0.2">
      <c r="A284" s="13" t="s">
        <v>45</v>
      </c>
      <c r="B284" s="13">
        <v>19</v>
      </c>
      <c r="C284" s="13" t="s">
        <v>173</v>
      </c>
      <c r="D284" s="13" t="str">
        <f t="shared" si="4"/>
        <v>Q19=IFERROR(Q16/Q$15*100,"")</v>
      </c>
      <c r="E284" s="13" t="s">
        <v>419</v>
      </c>
    </row>
    <row r="285" spans="1:5" x14ac:dyDescent="0.2">
      <c r="A285" s="13" t="s">
        <v>46</v>
      </c>
      <c r="B285" s="13">
        <v>19</v>
      </c>
      <c r="C285" s="13" t="s">
        <v>174</v>
      </c>
      <c r="D285" s="13" t="str">
        <f t="shared" si="4"/>
        <v>R19=IFERROR(R16/R$15*100,"")</v>
      </c>
      <c r="E285" s="13" t="s">
        <v>420</v>
      </c>
    </row>
    <row r="286" spans="1:5" x14ac:dyDescent="0.2">
      <c r="A286" s="13" t="s">
        <v>47</v>
      </c>
      <c r="B286" s="13">
        <v>19</v>
      </c>
      <c r="C286" s="13" t="s">
        <v>175</v>
      </c>
      <c r="D286" s="13" t="str">
        <f t="shared" si="4"/>
        <v>S19=IFERROR(S16/S$15*100,"")</v>
      </c>
      <c r="E286" s="13" t="s">
        <v>421</v>
      </c>
    </row>
    <row r="287" spans="1:5" x14ac:dyDescent="0.2">
      <c r="A287" s="13" t="s">
        <v>48</v>
      </c>
      <c r="B287" s="13">
        <v>19</v>
      </c>
      <c r="C287" s="13" t="s">
        <v>176</v>
      </c>
      <c r="D287" s="13" t="str">
        <f t="shared" si="4"/>
        <v>T19=IFERROR(T16/T$15*100,"")</v>
      </c>
      <c r="E287" s="13" t="s">
        <v>422</v>
      </c>
    </row>
    <row r="288" spans="1:5" x14ac:dyDescent="0.2">
      <c r="A288" s="13" t="s">
        <v>49</v>
      </c>
      <c r="B288" s="13">
        <v>19</v>
      </c>
      <c r="C288" s="13" t="s">
        <v>177</v>
      </c>
      <c r="D288" s="13" t="str">
        <f t="shared" si="4"/>
        <v>U19=IFERROR(U16/U$15*100,"")</v>
      </c>
      <c r="E288" s="13" t="s">
        <v>423</v>
      </c>
    </row>
    <row r="289" spans="1:5" x14ac:dyDescent="0.2">
      <c r="A289" s="13" t="s">
        <v>50</v>
      </c>
      <c r="B289" s="13">
        <v>19</v>
      </c>
      <c r="C289" s="13" t="s">
        <v>178</v>
      </c>
      <c r="D289" s="13" t="str">
        <f t="shared" si="4"/>
        <v>V19=IFERROR(V16/V$15*100,"")</v>
      </c>
      <c r="E289" s="13" t="s">
        <v>424</v>
      </c>
    </row>
    <row r="290" spans="1:5" ht="28.5" x14ac:dyDescent="0.2">
      <c r="A290" s="13" t="s">
        <v>51</v>
      </c>
      <c r="B290" s="13">
        <v>19</v>
      </c>
      <c r="C290" s="13" t="s">
        <v>179</v>
      </c>
      <c r="D290" s="13" t="str">
        <f t="shared" si="4"/>
        <v>W19=IFERROR(W16/W$15*100,"")</v>
      </c>
      <c r="E290" s="13" t="s">
        <v>425</v>
      </c>
    </row>
    <row r="291" spans="1:5" x14ac:dyDescent="0.2">
      <c r="A291" s="13" t="s">
        <v>52</v>
      </c>
      <c r="B291" s="13">
        <v>19</v>
      </c>
      <c r="C291" s="13" t="s">
        <v>180</v>
      </c>
      <c r="D291" s="13" t="str">
        <f t="shared" si="4"/>
        <v>X19=IFERROR(X16/X$15*100,"")</v>
      </c>
      <c r="E291" s="13" t="s">
        <v>426</v>
      </c>
    </row>
    <row r="292" spans="1:5" x14ac:dyDescent="0.2">
      <c r="A292" s="13" t="s">
        <v>53</v>
      </c>
      <c r="B292" s="13">
        <v>19</v>
      </c>
      <c r="C292" s="13" t="s">
        <v>181</v>
      </c>
      <c r="D292" s="13" t="str">
        <f t="shared" si="4"/>
        <v>Y19=IFERROR(Y16/Y$15*100,"")</v>
      </c>
      <c r="E292" s="13" t="s">
        <v>427</v>
      </c>
    </row>
    <row r="293" spans="1:5" x14ac:dyDescent="0.2">
      <c r="A293" s="13" t="s">
        <v>54</v>
      </c>
      <c r="B293" s="13">
        <v>19</v>
      </c>
      <c r="C293" s="13" t="s">
        <v>182</v>
      </c>
      <c r="D293" s="13" t="str">
        <f t="shared" si="4"/>
        <v>Z19=IFERROR(Z16/Z$15*100,"")</v>
      </c>
      <c r="E293" s="13" t="s">
        <v>428</v>
      </c>
    </row>
    <row r="294" spans="1:5" ht="28.5" x14ac:dyDescent="0.2">
      <c r="A294" s="13" t="s">
        <v>55</v>
      </c>
      <c r="B294" s="13">
        <v>19</v>
      </c>
      <c r="C294" s="13" t="s">
        <v>183</v>
      </c>
      <c r="D294" s="13" t="str">
        <f t="shared" si="4"/>
        <v>AA19=IFERROR(AA16/AA$15*100,"")</v>
      </c>
      <c r="E294" s="13" t="s">
        <v>429</v>
      </c>
    </row>
    <row r="295" spans="1:5" ht="28.5" x14ac:dyDescent="0.2">
      <c r="A295" s="13" t="s">
        <v>56</v>
      </c>
      <c r="B295" s="13">
        <v>19</v>
      </c>
      <c r="C295" s="13" t="s">
        <v>184</v>
      </c>
      <c r="D295" s="13" t="str">
        <f t="shared" si="4"/>
        <v>AB19=IFERROR(AB16/AB$15*100,"")</v>
      </c>
      <c r="E295" s="13" t="s">
        <v>430</v>
      </c>
    </row>
    <row r="296" spans="1:5" ht="28.5" x14ac:dyDescent="0.2">
      <c r="A296" s="13" t="s">
        <v>57</v>
      </c>
      <c r="B296" s="13">
        <v>19</v>
      </c>
      <c r="C296" s="13" t="s">
        <v>185</v>
      </c>
      <c r="D296" s="13" t="str">
        <f t="shared" si="4"/>
        <v>AC19=IFERROR(AC16/AC$15*100,"")</v>
      </c>
      <c r="E296" s="13" t="s">
        <v>431</v>
      </c>
    </row>
    <row r="297" spans="1:5" ht="28.5" x14ac:dyDescent="0.2">
      <c r="A297" s="13" t="s">
        <v>58</v>
      </c>
      <c r="B297" s="13">
        <v>19</v>
      </c>
      <c r="C297" s="13" t="s">
        <v>186</v>
      </c>
      <c r="D297" s="13" t="str">
        <f t="shared" si="4"/>
        <v>AD19=IFERROR(AD16/AD$15*100,"")</v>
      </c>
      <c r="E297" s="13" t="s">
        <v>432</v>
      </c>
    </row>
    <row r="298" spans="1:5" ht="28.5" x14ac:dyDescent="0.2">
      <c r="A298" s="13" t="s">
        <v>59</v>
      </c>
      <c r="B298" s="13">
        <v>19</v>
      </c>
      <c r="C298" s="13" t="s">
        <v>187</v>
      </c>
      <c r="D298" s="13" t="str">
        <f t="shared" si="4"/>
        <v>AE19=IFERROR(AE16/AE$15*100,"")</v>
      </c>
      <c r="E298" s="13" t="s">
        <v>433</v>
      </c>
    </row>
    <row r="299" spans="1:5" ht="28.5" x14ac:dyDescent="0.2">
      <c r="A299" s="13" t="s">
        <v>60</v>
      </c>
      <c r="B299" s="13">
        <v>19</v>
      </c>
      <c r="C299" s="13" t="s">
        <v>188</v>
      </c>
      <c r="D299" s="13" t="str">
        <f t="shared" si="4"/>
        <v>AF19=IFERROR(AF16/AF$15*100,"")</v>
      </c>
      <c r="E299" s="13" t="s">
        <v>434</v>
      </c>
    </row>
    <row r="300" spans="1:5" ht="28.5" x14ac:dyDescent="0.2">
      <c r="A300" s="13" t="s">
        <v>61</v>
      </c>
      <c r="B300" s="13">
        <v>19</v>
      </c>
      <c r="C300" s="13" t="s">
        <v>189</v>
      </c>
      <c r="D300" s="13" t="str">
        <f t="shared" si="4"/>
        <v>AG19=IFERROR(AG16/AG$15*100,"")</v>
      </c>
      <c r="E300" s="13" t="s">
        <v>435</v>
      </c>
    </row>
    <row r="301" spans="1:5" ht="28.5" x14ac:dyDescent="0.2">
      <c r="A301" s="13" t="s">
        <v>62</v>
      </c>
      <c r="B301" s="13">
        <v>19</v>
      </c>
      <c r="C301" s="13" t="s">
        <v>190</v>
      </c>
      <c r="D301" s="13" t="str">
        <f t="shared" si="4"/>
        <v>AH19=IFERROR(AH16/AH$15*100,"")</v>
      </c>
      <c r="E301" s="13" t="s">
        <v>436</v>
      </c>
    </row>
    <row r="302" spans="1:5" ht="28.5" x14ac:dyDescent="0.2">
      <c r="A302" s="13" t="s">
        <v>63</v>
      </c>
      <c r="B302" s="13">
        <v>19</v>
      </c>
      <c r="C302" s="13" t="s">
        <v>191</v>
      </c>
      <c r="D302" s="13" t="str">
        <f t="shared" si="4"/>
        <v>AI19=IFERROR(AI16/AI$15*100,"")</v>
      </c>
      <c r="E302" s="13" t="s">
        <v>437</v>
      </c>
    </row>
    <row r="303" spans="1:5" ht="28.5" x14ac:dyDescent="0.2">
      <c r="A303" s="13" t="s">
        <v>64</v>
      </c>
      <c r="B303" s="13">
        <v>19</v>
      </c>
      <c r="C303" s="13" t="s">
        <v>192</v>
      </c>
      <c r="D303" s="13" t="str">
        <f t="shared" si="4"/>
        <v>AJ19=IFERROR(AJ16/AJ$15*100,"")</v>
      </c>
      <c r="E303" s="13" t="s">
        <v>438</v>
      </c>
    </row>
    <row r="304" spans="1:5" ht="28.5" x14ac:dyDescent="0.2">
      <c r="A304" s="13" t="s">
        <v>65</v>
      </c>
      <c r="B304" s="13">
        <v>19</v>
      </c>
      <c r="C304" s="13" t="s">
        <v>193</v>
      </c>
      <c r="D304" s="13" t="str">
        <f t="shared" si="4"/>
        <v>AK19=IFERROR(AK16/AK$15*100,"")</v>
      </c>
      <c r="E304" s="13" t="s">
        <v>439</v>
      </c>
    </row>
    <row r="305" spans="1:5" ht="28.5" x14ac:dyDescent="0.2">
      <c r="A305" s="13" t="s">
        <v>66</v>
      </c>
      <c r="B305" s="13">
        <v>19</v>
      </c>
      <c r="C305" s="13" t="s">
        <v>194</v>
      </c>
      <c r="D305" s="13" t="str">
        <f t="shared" si="4"/>
        <v>AL19=IFERROR(AL16/AL$15*100,"")</v>
      </c>
      <c r="E305" s="13" t="s">
        <v>440</v>
      </c>
    </row>
    <row r="306" spans="1:5" ht="28.5" x14ac:dyDescent="0.2">
      <c r="A306" s="13" t="s">
        <v>67</v>
      </c>
      <c r="B306" s="13">
        <v>19</v>
      </c>
      <c r="C306" s="13" t="s">
        <v>195</v>
      </c>
      <c r="D306" s="13" t="str">
        <f t="shared" si="4"/>
        <v>AM19=IFERROR(AM16/AM$15*100,"")</v>
      </c>
      <c r="E306" s="13" t="s">
        <v>441</v>
      </c>
    </row>
    <row r="307" spans="1:5" ht="28.5" x14ac:dyDescent="0.2">
      <c r="A307" s="13" t="s">
        <v>68</v>
      </c>
      <c r="B307" s="13">
        <v>19</v>
      </c>
      <c r="C307" s="13" t="s">
        <v>196</v>
      </c>
      <c r="D307" s="13" t="str">
        <f t="shared" si="4"/>
        <v>AN19=IFERROR(AN16/AN$15*100,"")</v>
      </c>
      <c r="E307" s="13" t="s">
        <v>442</v>
      </c>
    </row>
    <row r="308" spans="1:5" ht="28.5" x14ac:dyDescent="0.2">
      <c r="A308" s="13" t="s">
        <v>69</v>
      </c>
      <c r="B308" s="13">
        <v>19</v>
      </c>
      <c r="C308" s="13" t="s">
        <v>197</v>
      </c>
      <c r="D308" s="13" t="str">
        <f t="shared" si="4"/>
        <v>AO19=IFERROR(AO16/AO$15*100,"")</v>
      </c>
      <c r="E308" s="13" t="s">
        <v>443</v>
      </c>
    </row>
    <row r="309" spans="1:5" ht="28.5" x14ac:dyDescent="0.2">
      <c r="A309" s="13" t="s">
        <v>70</v>
      </c>
      <c r="B309" s="13">
        <v>19</v>
      </c>
      <c r="C309" s="13" t="s">
        <v>198</v>
      </c>
      <c r="D309" s="13" t="str">
        <f t="shared" si="4"/>
        <v>AP19=IFERROR(AP16/AP$15*100,"")</v>
      </c>
      <c r="E309" s="13" t="s">
        <v>444</v>
      </c>
    </row>
    <row r="310" spans="1:5" ht="28.5" x14ac:dyDescent="0.2">
      <c r="A310" s="13" t="s">
        <v>71</v>
      </c>
      <c r="B310" s="13">
        <v>19</v>
      </c>
      <c r="C310" s="13" t="s">
        <v>199</v>
      </c>
      <c r="D310" s="13" t="str">
        <f t="shared" si="4"/>
        <v>AQ19=IFERROR(AQ16/AQ$15*100,"")</v>
      </c>
      <c r="E310" s="13" t="s">
        <v>445</v>
      </c>
    </row>
    <row r="311" spans="1:5" ht="28.5" x14ac:dyDescent="0.2">
      <c r="A311" s="13" t="s">
        <v>72</v>
      </c>
      <c r="B311" s="13">
        <v>19</v>
      </c>
      <c r="C311" s="13" t="s">
        <v>200</v>
      </c>
      <c r="D311" s="13" t="str">
        <f t="shared" si="4"/>
        <v>AR19=IFERROR(AR16/AR$15*100,"")</v>
      </c>
      <c r="E311" s="13" t="s">
        <v>446</v>
      </c>
    </row>
    <row r="312" spans="1:5" ht="28.5" x14ac:dyDescent="0.2">
      <c r="A312" s="13" t="s">
        <v>73</v>
      </c>
      <c r="B312" s="13">
        <v>19</v>
      </c>
      <c r="C312" s="13" t="s">
        <v>201</v>
      </c>
      <c r="D312" s="13" t="str">
        <f t="shared" si="4"/>
        <v>AS19=IFERROR(AS16/AS$15*100,"")</v>
      </c>
      <c r="E312" s="13" t="s">
        <v>447</v>
      </c>
    </row>
    <row r="313" spans="1:5" x14ac:dyDescent="0.2">
      <c r="A313" s="13" t="s">
        <v>42</v>
      </c>
      <c r="B313" s="13">
        <v>20</v>
      </c>
      <c r="C313" s="13" t="s">
        <v>202</v>
      </c>
      <c r="D313" s="13" t="str">
        <f t="shared" si="4"/>
        <v>N20=IFERROR(N17/N$15*100,"")</v>
      </c>
      <c r="E313" s="13" t="s">
        <v>448</v>
      </c>
    </row>
    <row r="314" spans="1:5" ht="28.5" x14ac:dyDescent="0.2">
      <c r="A314" s="13" t="s">
        <v>43</v>
      </c>
      <c r="B314" s="13">
        <v>20</v>
      </c>
      <c r="C314" s="13" t="s">
        <v>203</v>
      </c>
      <c r="D314" s="13" t="str">
        <f t="shared" si="4"/>
        <v>O20=IFERROR(O17/O$15*100,"")</v>
      </c>
      <c r="E314" s="13" t="s">
        <v>449</v>
      </c>
    </row>
    <row r="315" spans="1:5" x14ac:dyDescent="0.2">
      <c r="A315" s="13" t="s">
        <v>44</v>
      </c>
      <c r="B315" s="13">
        <v>20</v>
      </c>
      <c r="C315" s="13" t="s">
        <v>204</v>
      </c>
      <c r="D315" s="13" t="str">
        <f t="shared" si="4"/>
        <v>P20=IFERROR(P17/P$15*100,"")</v>
      </c>
      <c r="E315" s="13" t="s">
        <v>450</v>
      </c>
    </row>
    <row r="316" spans="1:5" ht="28.5" x14ac:dyDescent="0.2">
      <c r="A316" s="13" t="s">
        <v>45</v>
      </c>
      <c r="B316" s="13">
        <v>20</v>
      </c>
      <c r="C316" s="13" t="s">
        <v>205</v>
      </c>
      <c r="D316" s="13" t="str">
        <f t="shared" si="4"/>
        <v>Q20=IFERROR(Q17/Q$15*100,"")</v>
      </c>
      <c r="E316" s="13" t="s">
        <v>451</v>
      </c>
    </row>
    <row r="317" spans="1:5" x14ac:dyDescent="0.2">
      <c r="A317" s="13" t="s">
        <v>46</v>
      </c>
      <c r="B317" s="13">
        <v>20</v>
      </c>
      <c r="C317" s="13" t="s">
        <v>206</v>
      </c>
      <c r="D317" s="13" t="str">
        <f t="shared" si="4"/>
        <v>R20=IFERROR(R17/R$15*100,"")</v>
      </c>
      <c r="E317" s="13" t="s">
        <v>452</v>
      </c>
    </row>
    <row r="318" spans="1:5" x14ac:dyDescent="0.2">
      <c r="A318" s="13" t="s">
        <v>47</v>
      </c>
      <c r="B318" s="13">
        <v>20</v>
      </c>
      <c r="C318" s="13" t="s">
        <v>207</v>
      </c>
      <c r="D318" s="13" t="str">
        <f t="shared" si="4"/>
        <v>S20=IFERROR(S17/S$15*100,"")</v>
      </c>
      <c r="E318" s="13" t="s">
        <v>453</v>
      </c>
    </row>
    <row r="319" spans="1:5" x14ac:dyDescent="0.2">
      <c r="A319" s="13" t="s">
        <v>48</v>
      </c>
      <c r="B319" s="13">
        <v>20</v>
      </c>
      <c r="C319" s="13" t="s">
        <v>208</v>
      </c>
      <c r="D319" s="13" t="str">
        <f t="shared" si="4"/>
        <v>T20=IFERROR(T17/T$15*100,"")</v>
      </c>
      <c r="E319" s="13" t="s">
        <v>454</v>
      </c>
    </row>
    <row r="320" spans="1:5" x14ac:dyDescent="0.2">
      <c r="A320" s="13" t="s">
        <v>49</v>
      </c>
      <c r="B320" s="13">
        <v>20</v>
      </c>
      <c r="C320" s="13" t="s">
        <v>209</v>
      </c>
      <c r="D320" s="13" t="str">
        <f t="shared" si="4"/>
        <v>U20=IFERROR(U17/U$15*100,"")</v>
      </c>
      <c r="E320" s="13" t="s">
        <v>455</v>
      </c>
    </row>
    <row r="321" spans="1:5" x14ac:dyDescent="0.2">
      <c r="A321" s="13" t="s">
        <v>50</v>
      </c>
      <c r="B321" s="13">
        <v>20</v>
      </c>
      <c r="C321" s="13" t="s">
        <v>210</v>
      </c>
      <c r="D321" s="13" t="str">
        <f t="shared" si="4"/>
        <v>V20=IFERROR(V17/V$15*100,"")</v>
      </c>
      <c r="E321" s="13" t="s">
        <v>456</v>
      </c>
    </row>
    <row r="322" spans="1:5" ht="28.5" x14ac:dyDescent="0.2">
      <c r="A322" s="13" t="s">
        <v>51</v>
      </c>
      <c r="B322" s="13">
        <v>20</v>
      </c>
      <c r="C322" s="13" t="s">
        <v>211</v>
      </c>
      <c r="D322" s="13" t="str">
        <f t="shared" si="4"/>
        <v>W20=IFERROR(W17/W$15*100,"")</v>
      </c>
      <c r="E322" s="13" t="s">
        <v>457</v>
      </c>
    </row>
    <row r="323" spans="1:5" x14ac:dyDescent="0.2">
      <c r="A323" s="13" t="s">
        <v>52</v>
      </c>
      <c r="B323" s="13">
        <v>20</v>
      </c>
      <c r="C323" s="13" t="s">
        <v>212</v>
      </c>
      <c r="D323" s="13" t="str">
        <f t="shared" si="4"/>
        <v>X20=IFERROR(X17/X$15*100,"")</v>
      </c>
      <c r="E323" s="13" t="s">
        <v>458</v>
      </c>
    </row>
    <row r="324" spans="1:5" x14ac:dyDescent="0.2">
      <c r="A324" s="13" t="s">
        <v>53</v>
      </c>
      <c r="B324" s="13">
        <v>20</v>
      </c>
      <c r="C324" s="13" t="s">
        <v>213</v>
      </c>
      <c r="D324" s="13" t="str">
        <f t="shared" ref="D324:D376" si="5">_xlfn.CONCAT(A324,B324,"=",C324)</f>
        <v>Y20=IFERROR(Y17/Y$15*100,"")</v>
      </c>
      <c r="E324" s="13" t="s">
        <v>459</v>
      </c>
    </row>
    <row r="325" spans="1:5" x14ac:dyDescent="0.2">
      <c r="A325" s="13" t="s">
        <v>54</v>
      </c>
      <c r="B325" s="13">
        <v>20</v>
      </c>
      <c r="C325" s="13" t="s">
        <v>214</v>
      </c>
      <c r="D325" s="13" t="str">
        <f t="shared" si="5"/>
        <v>Z20=IFERROR(Z17/Z$15*100,"")</v>
      </c>
      <c r="E325" s="13" t="s">
        <v>460</v>
      </c>
    </row>
    <row r="326" spans="1:5" ht="28.5" x14ac:dyDescent="0.2">
      <c r="A326" s="13" t="s">
        <v>55</v>
      </c>
      <c r="B326" s="13">
        <v>20</v>
      </c>
      <c r="C326" s="13" t="s">
        <v>215</v>
      </c>
      <c r="D326" s="13" t="str">
        <f t="shared" si="5"/>
        <v>AA20=IFERROR(AA17/AA$15*100,"")</v>
      </c>
      <c r="E326" s="13" t="s">
        <v>461</v>
      </c>
    </row>
    <row r="327" spans="1:5" ht="28.5" x14ac:dyDescent="0.2">
      <c r="A327" s="13" t="s">
        <v>56</v>
      </c>
      <c r="B327" s="13">
        <v>20</v>
      </c>
      <c r="C327" s="13" t="s">
        <v>216</v>
      </c>
      <c r="D327" s="13" t="str">
        <f t="shared" si="5"/>
        <v>AB20=IFERROR(AB17/AB$15*100,"")</v>
      </c>
      <c r="E327" s="13" t="s">
        <v>462</v>
      </c>
    </row>
    <row r="328" spans="1:5" ht="28.5" x14ac:dyDescent="0.2">
      <c r="A328" s="13" t="s">
        <v>57</v>
      </c>
      <c r="B328" s="13">
        <v>20</v>
      </c>
      <c r="C328" s="13" t="s">
        <v>217</v>
      </c>
      <c r="D328" s="13" t="str">
        <f t="shared" si="5"/>
        <v>AC20=IFERROR(AC17/AC$15*100,"")</v>
      </c>
      <c r="E328" s="13" t="s">
        <v>463</v>
      </c>
    </row>
    <row r="329" spans="1:5" ht="28.5" x14ac:dyDescent="0.2">
      <c r="A329" s="13" t="s">
        <v>58</v>
      </c>
      <c r="B329" s="13">
        <v>20</v>
      </c>
      <c r="C329" s="13" t="s">
        <v>218</v>
      </c>
      <c r="D329" s="13" t="str">
        <f t="shared" si="5"/>
        <v>AD20=IFERROR(AD17/AD$15*100,"")</v>
      </c>
      <c r="E329" s="13" t="s">
        <v>464</v>
      </c>
    </row>
    <row r="330" spans="1:5" ht="28.5" x14ac:dyDescent="0.2">
      <c r="A330" s="13" t="s">
        <v>59</v>
      </c>
      <c r="B330" s="13">
        <v>20</v>
      </c>
      <c r="C330" s="13" t="s">
        <v>219</v>
      </c>
      <c r="D330" s="13" t="str">
        <f t="shared" si="5"/>
        <v>AE20=IFERROR(AE17/AE$15*100,"")</v>
      </c>
      <c r="E330" s="13" t="s">
        <v>465</v>
      </c>
    </row>
    <row r="331" spans="1:5" ht="28.5" x14ac:dyDescent="0.2">
      <c r="A331" s="13" t="s">
        <v>60</v>
      </c>
      <c r="B331" s="13">
        <v>20</v>
      </c>
      <c r="C331" s="13" t="s">
        <v>220</v>
      </c>
      <c r="D331" s="13" t="str">
        <f t="shared" si="5"/>
        <v>AF20=IFERROR(AF17/AF$15*100,"")</v>
      </c>
      <c r="E331" s="13" t="s">
        <v>466</v>
      </c>
    </row>
    <row r="332" spans="1:5" ht="28.5" x14ac:dyDescent="0.2">
      <c r="A332" s="13" t="s">
        <v>61</v>
      </c>
      <c r="B332" s="13">
        <v>20</v>
      </c>
      <c r="C332" s="13" t="s">
        <v>221</v>
      </c>
      <c r="D332" s="13" t="str">
        <f t="shared" si="5"/>
        <v>AG20=IFERROR(AG17/AG$15*100,"")</v>
      </c>
      <c r="E332" s="13" t="s">
        <v>467</v>
      </c>
    </row>
    <row r="333" spans="1:5" ht="28.5" x14ac:dyDescent="0.2">
      <c r="A333" s="13" t="s">
        <v>62</v>
      </c>
      <c r="B333" s="13">
        <v>20</v>
      </c>
      <c r="C333" s="13" t="s">
        <v>222</v>
      </c>
      <c r="D333" s="13" t="str">
        <f t="shared" si="5"/>
        <v>AH20=IFERROR(AH17/AH$15*100,"")</v>
      </c>
      <c r="E333" s="13" t="s">
        <v>468</v>
      </c>
    </row>
    <row r="334" spans="1:5" ht="28.5" x14ac:dyDescent="0.2">
      <c r="A334" s="13" t="s">
        <v>63</v>
      </c>
      <c r="B334" s="13">
        <v>20</v>
      </c>
      <c r="C334" s="13" t="s">
        <v>223</v>
      </c>
      <c r="D334" s="13" t="str">
        <f t="shared" si="5"/>
        <v>AI20=IFERROR(AI17/AI$15*100,"")</v>
      </c>
      <c r="E334" s="13" t="s">
        <v>469</v>
      </c>
    </row>
    <row r="335" spans="1:5" ht="28.5" x14ac:dyDescent="0.2">
      <c r="A335" s="13" t="s">
        <v>64</v>
      </c>
      <c r="B335" s="13">
        <v>20</v>
      </c>
      <c r="C335" s="13" t="s">
        <v>224</v>
      </c>
      <c r="D335" s="13" t="str">
        <f t="shared" si="5"/>
        <v>AJ20=IFERROR(AJ17/AJ$15*100,"")</v>
      </c>
      <c r="E335" s="13" t="s">
        <v>470</v>
      </c>
    </row>
    <row r="336" spans="1:5" ht="28.5" x14ac:dyDescent="0.2">
      <c r="A336" s="13" t="s">
        <v>65</v>
      </c>
      <c r="B336" s="13">
        <v>20</v>
      </c>
      <c r="C336" s="13" t="s">
        <v>225</v>
      </c>
      <c r="D336" s="13" t="str">
        <f t="shared" si="5"/>
        <v>AK20=IFERROR(AK17/AK$15*100,"")</v>
      </c>
      <c r="E336" s="13" t="s">
        <v>471</v>
      </c>
    </row>
    <row r="337" spans="1:5" ht="28.5" x14ac:dyDescent="0.2">
      <c r="A337" s="13" t="s">
        <v>66</v>
      </c>
      <c r="B337" s="13">
        <v>20</v>
      </c>
      <c r="C337" s="13" t="s">
        <v>226</v>
      </c>
      <c r="D337" s="13" t="str">
        <f t="shared" si="5"/>
        <v>AL20=IFERROR(AL17/AL$15*100,"")</v>
      </c>
      <c r="E337" s="13" t="s">
        <v>472</v>
      </c>
    </row>
    <row r="338" spans="1:5" ht="28.5" x14ac:dyDescent="0.2">
      <c r="A338" s="13" t="s">
        <v>67</v>
      </c>
      <c r="B338" s="13">
        <v>20</v>
      </c>
      <c r="C338" s="13" t="s">
        <v>227</v>
      </c>
      <c r="D338" s="13" t="str">
        <f t="shared" si="5"/>
        <v>AM20=IFERROR(AM17/AM$15*100,"")</v>
      </c>
      <c r="E338" s="13" t="s">
        <v>473</v>
      </c>
    </row>
    <row r="339" spans="1:5" ht="28.5" x14ac:dyDescent="0.2">
      <c r="A339" s="13" t="s">
        <v>68</v>
      </c>
      <c r="B339" s="13">
        <v>20</v>
      </c>
      <c r="C339" s="13" t="s">
        <v>228</v>
      </c>
      <c r="D339" s="13" t="str">
        <f t="shared" si="5"/>
        <v>AN20=IFERROR(AN17/AN$15*100,"")</v>
      </c>
      <c r="E339" s="13" t="s">
        <v>474</v>
      </c>
    </row>
    <row r="340" spans="1:5" ht="28.5" x14ac:dyDescent="0.2">
      <c r="A340" s="13" t="s">
        <v>69</v>
      </c>
      <c r="B340" s="13">
        <v>20</v>
      </c>
      <c r="C340" s="13" t="s">
        <v>229</v>
      </c>
      <c r="D340" s="13" t="str">
        <f t="shared" si="5"/>
        <v>AO20=IFERROR(AO17/AO$15*100,"")</v>
      </c>
      <c r="E340" s="13" t="s">
        <v>475</v>
      </c>
    </row>
    <row r="341" spans="1:5" ht="28.5" x14ac:dyDescent="0.2">
      <c r="A341" s="13" t="s">
        <v>70</v>
      </c>
      <c r="B341" s="13">
        <v>20</v>
      </c>
      <c r="C341" s="13" t="s">
        <v>230</v>
      </c>
      <c r="D341" s="13" t="str">
        <f t="shared" si="5"/>
        <v>AP20=IFERROR(AP17/AP$15*100,"")</v>
      </c>
      <c r="E341" s="13" t="s">
        <v>476</v>
      </c>
    </row>
    <row r="342" spans="1:5" ht="28.5" x14ac:dyDescent="0.2">
      <c r="A342" s="13" t="s">
        <v>71</v>
      </c>
      <c r="B342" s="13">
        <v>20</v>
      </c>
      <c r="C342" s="13" t="s">
        <v>231</v>
      </c>
      <c r="D342" s="13" t="str">
        <f t="shared" si="5"/>
        <v>AQ20=IFERROR(AQ17/AQ$15*100,"")</v>
      </c>
      <c r="E342" s="13" t="s">
        <v>477</v>
      </c>
    </row>
    <row r="343" spans="1:5" ht="28.5" x14ac:dyDescent="0.2">
      <c r="A343" s="13" t="s">
        <v>72</v>
      </c>
      <c r="B343" s="13">
        <v>20</v>
      </c>
      <c r="C343" s="13" t="s">
        <v>232</v>
      </c>
      <c r="D343" s="13" t="str">
        <f t="shared" si="5"/>
        <v>AR20=IFERROR(AR17/AR$15*100,"")</v>
      </c>
      <c r="E343" s="13" t="s">
        <v>478</v>
      </c>
    </row>
    <row r="344" spans="1:5" ht="28.5" x14ac:dyDescent="0.2">
      <c r="A344" s="13" t="s">
        <v>73</v>
      </c>
      <c r="B344" s="13">
        <v>20</v>
      </c>
      <c r="C344" s="13" t="s">
        <v>233</v>
      </c>
      <c r="D344" s="13" t="str">
        <f t="shared" si="5"/>
        <v>AS20=IFERROR(AS17/AS$15*100,"")</v>
      </c>
      <c r="E344" s="13" t="s">
        <v>479</v>
      </c>
    </row>
    <row r="345" spans="1:5" x14ac:dyDescent="0.2">
      <c r="A345" s="13" t="s">
        <v>42</v>
      </c>
      <c r="B345" s="13">
        <v>21</v>
      </c>
      <c r="C345" s="13" t="s">
        <v>234</v>
      </c>
      <c r="D345" s="13" t="str">
        <f t="shared" si="5"/>
        <v>N21=IFERROR(N18/N$15*100,"")</v>
      </c>
      <c r="E345" s="13" t="s">
        <v>480</v>
      </c>
    </row>
    <row r="346" spans="1:5" ht="28.5" x14ac:dyDescent="0.2">
      <c r="A346" s="13" t="s">
        <v>43</v>
      </c>
      <c r="B346" s="13">
        <v>21</v>
      </c>
      <c r="C346" s="13" t="s">
        <v>235</v>
      </c>
      <c r="D346" s="13" t="str">
        <f t="shared" si="5"/>
        <v>O21=IFERROR(O18/O$15*100,"")</v>
      </c>
      <c r="E346" s="13" t="s">
        <v>481</v>
      </c>
    </row>
    <row r="347" spans="1:5" x14ac:dyDescent="0.2">
      <c r="A347" s="13" t="s">
        <v>44</v>
      </c>
      <c r="B347" s="13">
        <v>21</v>
      </c>
      <c r="C347" s="13" t="s">
        <v>236</v>
      </c>
      <c r="D347" s="13" t="str">
        <f t="shared" si="5"/>
        <v>P21=IFERROR(P18/P$15*100,"")</v>
      </c>
      <c r="E347" s="13" t="s">
        <v>482</v>
      </c>
    </row>
    <row r="348" spans="1:5" ht="28.5" x14ac:dyDescent="0.2">
      <c r="A348" s="13" t="s">
        <v>45</v>
      </c>
      <c r="B348" s="13">
        <v>21</v>
      </c>
      <c r="C348" s="13" t="s">
        <v>237</v>
      </c>
      <c r="D348" s="13" t="str">
        <f t="shared" si="5"/>
        <v>Q21=IFERROR(Q18/Q$15*100,"")</v>
      </c>
      <c r="E348" s="13" t="s">
        <v>483</v>
      </c>
    </row>
    <row r="349" spans="1:5" x14ac:dyDescent="0.2">
      <c r="A349" s="13" t="s">
        <v>46</v>
      </c>
      <c r="B349" s="13">
        <v>21</v>
      </c>
      <c r="C349" s="13" t="s">
        <v>238</v>
      </c>
      <c r="D349" s="13" t="str">
        <f t="shared" si="5"/>
        <v>R21=IFERROR(R18/R$15*100,"")</v>
      </c>
      <c r="E349" s="13" t="s">
        <v>484</v>
      </c>
    </row>
    <row r="350" spans="1:5" x14ac:dyDescent="0.2">
      <c r="A350" s="13" t="s">
        <v>47</v>
      </c>
      <c r="B350" s="13">
        <v>21</v>
      </c>
      <c r="C350" s="13" t="s">
        <v>239</v>
      </c>
      <c r="D350" s="13" t="str">
        <f t="shared" si="5"/>
        <v>S21=IFERROR(S18/S$15*100,"")</v>
      </c>
      <c r="E350" s="13" t="s">
        <v>485</v>
      </c>
    </row>
    <row r="351" spans="1:5" x14ac:dyDescent="0.2">
      <c r="A351" s="13" t="s">
        <v>48</v>
      </c>
      <c r="B351" s="13">
        <v>21</v>
      </c>
      <c r="C351" s="13" t="s">
        <v>240</v>
      </c>
      <c r="D351" s="13" t="str">
        <f t="shared" si="5"/>
        <v>T21=IFERROR(T18/T$15*100,"")</v>
      </c>
      <c r="E351" s="13" t="s">
        <v>486</v>
      </c>
    </row>
    <row r="352" spans="1:5" x14ac:dyDescent="0.2">
      <c r="A352" s="13" t="s">
        <v>49</v>
      </c>
      <c r="B352" s="13">
        <v>21</v>
      </c>
      <c r="C352" s="13" t="s">
        <v>241</v>
      </c>
      <c r="D352" s="13" t="str">
        <f t="shared" si="5"/>
        <v>U21=IFERROR(U18/U$15*100,"")</v>
      </c>
      <c r="E352" s="13" t="s">
        <v>487</v>
      </c>
    </row>
    <row r="353" spans="1:5" x14ac:dyDescent="0.2">
      <c r="A353" s="13" t="s">
        <v>50</v>
      </c>
      <c r="B353" s="13">
        <v>21</v>
      </c>
      <c r="C353" s="13" t="s">
        <v>242</v>
      </c>
      <c r="D353" s="13" t="str">
        <f t="shared" si="5"/>
        <v>V21=IFERROR(V18/V$15*100,"")</v>
      </c>
      <c r="E353" s="13" t="s">
        <v>488</v>
      </c>
    </row>
    <row r="354" spans="1:5" ht="28.5" x14ac:dyDescent="0.2">
      <c r="A354" s="13" t="s">
        <v>51</v>
      </c>
      <c r="B354" s="13">
        <v>21</v>
      </c>
      <c r="C354" s="13" t="s">
        <v>243</v>
      </c>
      <c r="D354" s="13" t="str">
        <f t="shared" si="5"/>
        <v>W21=IFERROR(W18/W$15*100,"")</v>
      </c>
      <c r="E354" s="13" t="s">
        <v>489</v>
      </c>
    </row>
    <row r="355" spans="1:5" x14ac:dyDescent="0.2">
      <c r="A355" s="13" t="s">
        <v>52</v>
      </c>
      <c r="B355" s="13">
        <v>21</v>
      </c>
      <c r="C355" s="13" t="s">
        <v>244</v>
      </c>
      <c r="D355" s="13" t="str">
        <f t="shared" si="5"/>
        <v>X21=IFERROR(X18/X$15*100,"")</v>
      </c>
      <c r="E355" s="13" t="s">
        <v>490</v>
      </c>
    </row>
    <row r="356" spans="1:5" x14ac:dyDescent="0.2">
      <c r="A356" s="13" t="s">
        <v>53</v>
      </c>
      <c r="B356" s="13">
        <v>21</v>
      </c>
      <c r="C356" s="13" t="s">
        <v>245</v>
      </c>
      <c r="D356" s="13" t="str">
        <f t="shared" si="5"/>
        <v>Y21=IFERROR(Y18/Y$15*100,"")</v>
      </c>
      <c r="E356" s="13" t="s">
        <v>491</v>
      </c>
    </row>
    <row r="357" spans="1:5" x14ac:dyDescent="0.2">
      <c r="A357" s="13" t="s">
        <v>54</v>
      </c>
      <c r="B357" s="13">
        <v>21</v>
      </c>
      <c r="C357" s="13" t="s">
        <v>246</v>
      </c>
      <c r="D357" s="13" t="str">
        <f t="shared" si="5"/>
        <v>Z21=IFERROR(Z18/Z$15*100,"")</v>
      </c>
      <c r="E357" s="13" t="s">
        <v>492</v>
      </c>
    </row>
    <row r="358" spans="1:5" ht="28.5" x14ac:dyDescent="0.2">
      <c r="A358" s="13" t="s">
        <v>55</v>
      </c>
      <c r="B358" s="13">
        <v>21</v>
      </c>
      <c r="C358" s="13" t="s">
        <v>247</v>
      </c>
      <c r="D358" s="13" t="str">
        <f t="shared" si="5"/>
        <v>AA21=IFERROR(AA18/AA$15*100,"")</v>
      </c>
      <c r="E358" s="13" t="s">
        <v>493</v>
      </c>
    </row>
    <row r="359" spans="1:5" ht="28.5" x14ac:dyDescent="0.2">
      <c r="A359" s="13" t="s">
        <v>56</v>
      </c>
      <c r="B359" s="13">
        <v>21</v>
      </c>
      <c r="C359" s="13" t="s">
        <v>248</v>
      </c>
      <c r="D359" s="13" t="str">
        <f t="shared" si="5"/>
        <v>AB21=IFERROR(AB18/AB$15*100,"")</v>
      </c>
      <c r="E359" s="13" t="s">
        <v>494</v>
      </c>
    </row>
    <row r="360" spans="1:5" ht="28.5" x14ac:dyDescent="0.2">
      <c r="A360" s="13" t="s">
        <v>57</v>
      </c>
      <c r="B360" s="13">
        <v>21</v>
      </c>
      <c r="C360" s="13" t="s">
        <v>249</v>
      </c>
      <c r="D360" s="13" t="str">
        <f t="shared" si="5"/>
        <v>AC21=IFERROR(AC18/AC$15*100,"")</v>
      </c>
      <c r="E360" s="13" t="s">
        <v>495</v>
      </c>
    </row>
    <row r="361" spans="1:5" ht="28.5" x14ac:dyDescent="0.2">
      <c r="A361" s="13" t="s">
        <v>58</v>
      </c>
      <c r="B361" s="13">
        <v>21</v>
      </c>
      <c r="C361" s="13" t="s">
        <v>250</v>
      </c>
      <c r="D361" s="13" t="str">
        <f t="shared" si="5"/>
        <v>AD21=IFERROR(AD18/AD$15*100,"")</v>
      </c>
      <c r="E361" s="13" t="s">
        <v>496</v>
      </c>
    </row>
    <row r="362" spans="1:5" ht="28.5" x14ac:dyDescent="0.2">
      <c r="A362" s="13" t="s">
        <v>59</v>
      </c>
      <c r="B362" s="13">
        <v>21</v>
      </c>
      <c r="C362" s="13" t="s">
        <v>251</v>
      </c>
      <c r="D362" s="13" t="str">
        <f t="shared" si="5"/>
        <v>AE21=IFERROR(AE18/AE$15*100,"")</v>
      </c>
      <c r="E362" s="13" t="s">
        <v>497</v>
      </c>
    </row>
    <row r="363" spans="1:5" ht="28.5" x14ac:dyDescent="0.2">
      <c r="A363" s="13" t="s">
        <v>60</v>
      </c>
      <c r="B363" s="13">
        <v>21</v>
      </c>
      <c r="C363" s="13" t="s">
        <v>252</v>
      </c>
      <c r="D363" s="13" t="str">
        <f t="shared" si="5"/>
        <v>AF21=IFERROR(AF18/AF$15*100,"")</v>
      </c>
      <c r="E363" s="13" t="s">
        <v>498</v>
      </c>
    </row>
    <row r="364" spans="1:5" ht="28.5" x14ac:dyDescent="0.2">
      <c r="A364" s="13" t="s">
        <v>61</v>
      </c>
      <c r="B364" s="13">
        <v>21</v>
      </c>
      <c r="C364" s="13" t="s">
        <v>253</v>
      </c>
      <c r="D364" s="13" t="str">
        <f t="shared" si="5"/>
        <v>AG21=IFERROR(AG18/AG$15*100,"")</v>
      </c>
      <c r="E364" s="13" t="s">
        <v>499</v>
      </c>
    </row>
    <row r="365" spans="1:5" ht="28.5" x14ac:dyDescent="0.2">
      <c r="A365" s="13" t="s">
        <v>62</v>
      </c>
      <c r="B365" s="13">
        <v>21</v>
      </c>
      <c r="C365" s="13" t="s">
        <v>254</v>
      </c>
      <c r="D365" s="13" t="str">
        <f t="shared" si="5"/>
        <v>AH21=IFERROR(AH18/AH$15*100,"")</v>
      </c>
      <c r="E365" s="13" t="s">
        <v>500</v>
      </c>
    </row>
    <row r="366" spans="1:5" ht="28.5" x14ac:dyDescent="0.2">
      <c r="A366" s="13" t="s">
        <v>63</v>
      </c>
      <c r="B366" s="13">
        <v>21</v>
      </c>
      <c r="C366" s="13" t="s">
        <v>255</v>
      </c>
      <c r="D366" s="13" t="str">
        <f t="shared" si="5"/>
        <v>AI21=IFERROR(AI18/AI$15*100,"")</v>
      </c>
      <c r="E366" s="13" t="s">
        <v>501</v>
      </c>
    </row>
    <row r="367" spans="1:5" ht="28.5" x14ac:dyDescent="0.2">
      <c r="A367" s="13" t="s">
        <v>64</v>
      </c>
      <c r="B367" s="13">
        <v>21</v>
      </c>
      <c r="C367" s="13" t="s">
        <v>256</v>
      </c>
      <c r="D367" s="13" t="str">
        <f t="shared" si="5"/>
        <v>AJ21=IFERROR(AJ18/AJ$15*100,"")</v>
      </c>
      <c r="E367" s="13" t="s">
        <v>502</v>
      </c>
    </row>
    <row r="368" spans="1:5" ht="28.5" x14ac:dyDescent="0.2">
      <c r="A368" s="13" t="s">
        <v>65</v>
      </c>
      <c r="B368" s="13">
        <v>21</v>
      </c>
      <c r="C368" s="13" t="s">
        <v>257</v>
      </c>
      <c r="D368" s="13" t="str">
        <f t="shared" si="5"/>
        <v>AK21=IFERROR(AK18/AK$15*100,"")</v>
      </c>
      <c r="E368" s="13" t="s">
        <v>503</v>
      </c>
    </row>
    <row r="369" spans="1:5" ht="28.5" x14ac:dyDescent="0.2">
      <c r="A369" s="13" t="s">
        <v>66</v>
      </c>
      <c r="B369" s="13">
        <v>21</v>
      </c>
      <c r="C369" s="13" t="s">
        <v>258</v>
      </c>
      <c r="D369" s="13" t="str">
        <f t="shared" si="5"/>
        <v>AL21=IFERROR(AL18/AL$15*100,"")</v>
      </c>
      <c r="E369" s="13" t="s">
        <v>504</v>
      </c>
    </row>
    <row r="370" spans="1:5" ht="28.5" x14ac:dyDescent="0.2">
      <c r="A370" s="13" t="s">
        <v>67</v>
      </c>
      <c r="B370" s="13">
        <v>21</v>
      </c>
      <c r="C370" s="13" t="s">
        <v>259</v>
      </c>
      <c r="D370" s="13" t="str">
        <f t="shared" si="5"/>
        <v>AM21=IFERROR(AM18/AM$15*100,"")</v>
      </c>
      <c r="E370" s="13" t="s">
        <v>505</v>
      </c>
    </row>
    <row r="371" spans="1:5" ht="28.5" x14ac:dyDescent="0.2">
      <c r="A371" s="13" t="s">
        <v>68</v>
      </c>
      <c r="B371" s="13">
        <v>21</v>
      </c>
      <c r="C371" s="13" t="s">
        <v>260</v>
      </c>
      <c r="D371" s="13" t="str">
        <f t="shared" si="5"/>
        <v>AN21=IFERROR(AN18/AN$15*100,"")</v>
      </c>
      <c r="E371" s="13" t="s">
        <v>506</v>
      </c>
    </row>
    <row r="372" spans="1:5" ht="28.5" x14ac:dyDescent="0.2">
      <c r="A372" s="13" t="s">
        <v>69</v>
      </c>
      <c r="B372" s="13">
        <v>21</v>
      </c>
      <c r="C372" s="13" t="s">
        <v>261</v>
      </c>
      <c r="D372" s="13" t="str">
        <f t="shared" si="5"/>
        <v>AO21=IFERROR(AO18/AO$15*100,"")</v>
      </c>
      <c r="E372" s="13" t="s">
        <v>507</v>
      </c>
    </row>
    <row r="373" spans="1:5" ht="28.5" x14ac:dyDescent="0.2">
      <c r="A373" s="13" t="s">
        <v>70</v>
      </c>
      <c r="B373" s="13">
        <v>21</v>
      </c>
      <c r="C373" s="13" t="s">
        <v>262</v>
      </c>
      <c r="D373" s="13" t="str">
        <f t="shared" si="5"/>
        <v>AP21=IFERROR(AP18/AP$15*100,"")</v>
      </c>
      <c r="E373" s="13" t="s">
        <v>508</v>
      </c>
    </row>
    <row r="374" spans="1:5" ht="28.5" x14ac:dyDescent="0.2">
      <c r="A374" s="13" t="s">
        <v>71</v>
      </c>
      <c r="B374" s="13">
        <v>21</v>
      </c>
      <c r="C374" s="13" t="s">
        <v>263</v>
      </c>
      <c r="D374" s="13" t="str">
        <f t="shared" si="5"/>
        <v>AQ21=IFERROR(AQ18/AQ$15*100,"")</v>
      </c>
      <c r="E374" s="13" t="s">
        <v>509</v>
      </c>
    </row>
    <row r="375" spans="1:5" ht="28.5" x14ac:dyDescent="0.2">
      <c r="A375" s="13" t="s">
        <v>72</v>
      </c>
      <c r="B375" s="13">
        <v>21</v>
      </c>
      <c r="C375" s="13" t="s">
        <v>264</v>
      </c>
      <c r="D375" s="13" t="str">
        <f t="shared" si="5"/>
        <v>AR21=IFERROR(AR18/AR$15*100,"")</v>
      </c>
      <c r="E375" s="13" t="s">
        <v>510</v>
      </c>
    </row>
    <row r="376" spans="1:5" ht="28.5" x14ac:dyDescent="0.2">
      <c r="A376" s="13" t="s">
        <v>73</v>
      </c>
      <c r="B376" s="13">
        <v>21</v>
      </c>
      <c r="C376" s="13" t="s">
        <v>265</v>
      </c>
      <c r="D376" s="13" t="str">
        <f t="shared" si="5"/>
        <v>AS21=IFERROR(AS18/AS$15*100,"")</v>
      </c>
      <c r="E376" s="13" t="s">
        <v>511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KhongNguoi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12329 Hoang</dc:creator>
  <cp:lastModifiedBy>VDM/HOANG LE PHUOC</cp:lastModifiedBy>
  <dcterms:created xsi:type="dcterms:W3CDTF">2026-06-03T03:34:40Z</dcterms:created>
  <dcterms:modified xsi:type="dcterms:W3CDTF">2026-06-05T01:42:21Z</dcterms:modified>
</cp:coreProperties>
</file>