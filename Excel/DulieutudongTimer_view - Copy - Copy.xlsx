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440" yWindow="1440" windowWidth="14400" windowHeight="7375" tabRatio="600" firstSheet="0" activeTab="12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EN" sheetId="2" state="visible" r:id="rId2"/>
    <sheet xmlns:r="http://schemas.openxmlformats.org/officeDocument/2006/relationships" name="EW" sheetId="3" state="visible" r:id="rId3"/>
    <sheet xmlns:r="http://schemas.openxmlformats.org/officeDocument/2006/relationships" name="GJ" sheetId="4" state="visible" r:id="rId4"/>
    <sheet xmlns:r="http://schemas.openxmlformats.org/officeDocument/2006/relationships" name="GS" sheetId="5" state="visible" r:id="rId5"/>
    <sheet xmlns:r="http://schemas.openxmlformats.org/officeDocument/2006/relationships" name="GP" sheetId="6" state="visible" r:id="rId6"/>
    <sheet xmlns:r="http://schemas.openxmlformats.org/officeDocument/2006/relationships" name="GR" sheetId="7" state="visible" r:id="rId7"/>
    <sheet xmlns:r="http://schemas.openxmlformats.org/officeDocument/2006/relationships" name="GC" sheetId="8" state="visible" r:id="rId8"/>
    <sheet xmlns:r="http://schemas.openxmlformats.org/officeDocument/2006/relationships" name="LN" sheetId="9" state="visible" r:id="rId9"/>
    <sheet xmlns:r="http://schemas.openxmlformats.org/officeDocument/2006/relationships" name="MC" sheetId="10" state="visible" r:id="rId10"/>
    <sheet xmlns:r="http://schemas.openxmlformats.org/officeDocument/2006/relationships" name="MA" sheetId="11" state="visible" r:id="rId11"/>
    <sheet xmlns:r="http://schemas.openxmlformats.org/officeDocument/2006/relationships" name="BJ" sheetId="12" state="visible" r:id="rId12"/>
    <sheet xmlns:r="http://schemas.openxmlformats.org/officeDocument/2006/relationships" name="LA" sheetId="13" state="visible" r:id="rId13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8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3" fillId="0" borderId="0"/>
    <xf numFmtId="9" fontId="3" fillId="0" borderId="0"/>
  </cellStyleXfs>
  <cellXfs count="13">
    <xf numFmtId="0" fontId="0" fillId="0" borderId="0" pivotButton="0" quotePrefix="0" xfId="0"/>
    <xf numFmtId="9" fontId="0" fillId="0" borderId="0" pivotButton="0" quotePrefix="0" xfId="0"/>
    <xf numFmtId="0" fontId="1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9" fontId="4" fillId="0" borderId="1" applyAlignment="1" pivotButton="0" quotePrefix="0" xfId="1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 ĐỒ TỈ LỆ HOẠT ĐỘNG MÁY TẠI CÁC CÔNG ĐOẠN TRONG THÁNG  NĂM 2026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percentStacked"/>
        <varyColors val="0"/>
        <ser>
          <idx val="1"/>
          <order val="0"/>
          <tx>
            <strRef>
              <f>Tong_Hop!$A$4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overflow" horzOverflow="overflow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Tong_Hop!$B$1:$N$2</f>
              <strCache>
                <ptCount val="12"/>
                <pt idx="0">
                  <v>LA</v>
                </pt>
                <pt idx="1">
                  <v>MA</v>
                </pt>
                <pt idx="2">
                  <v>BJ</v>
                </pt>
                <pt idx="3">
                  <v>GC</v>
                </pt>
                <pt idx="4">
                  <v>GS</v>
                </pt>
                <pt idx="5">
                  <v>GR</v>
                </pt>
                <pt idx="6">
                  <v>EN</v>
                </pt>
                <pt idx="7">
                  <v>GJ</v>
                </pt>
                <pt idx="8">
                  <v>EW</v>
                </pt>
                <pt idx="9">
                  <v>GP</v>
                </pt>
                <pt idx="10">
                  <v>MC</v>
                </pt>
                <pt idx="11">
                  <v>LN</v>
                </pt>
              </strCache>
            </strRef>
          </cat>
          <val>
            <numRef>
              <f>Tong_Hop!$B$4:$M$4</f>
              <numCache>
                <formatCode>0.00%</formatCode>
                <ptCount val="12"/>
                <pt idx="0">
                  <v>0.1757593805836808</v>
                </pt>
                <pt idx="1">
                  <v>0.3146435625785599</v>
                </pt>
                <pt idx="2">
                  <v>0.2192784465462883</v>
                </pt>
                <pt idx="3">
                  <v>0.2330842254090083</v>
                </pt>
                <pt idx="4">
                  <v>0.2698672415895076</v>
                </pt>
                <pt idx="5">
                  <v>0.4510741464071655</v>
                </pt>
                <pt idx="6">
                  <v>0.5175301064149181</v>
                </pt>
                <pt idx="7">
                  <v>0.4457174317699185</v>
                </pt>
                <pt idx="8">
                  <v>0.5971405859895431</v>
                </pt>
                <pt idx="9">
                  <v>0.616956833886745</v>
                </pt>
                <pt idx="10">
                  <v>0.506586053768603</v>
                </pt>
                <pt idx="11">
                  <v>0.5347666868863876</v>
                </pt>
              </numCache>
            </numRef>
          </val>
        </ser>
        <ser>
          <idx val="2"/>
          <order val="1"/>
          <tx>
            <strRef>
              <f>Tong_Hop!$A$5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Tong_Hop!$B$1:$N$2</f>
              <strCache>
                <ptCount val="12"/>
                <pt idx="0">
                  <v>LA</v>
                </pt>
                <pt idx="1">
                  <v>MA</v>
                </pt>
                <pt idx="2">
                  <v>BJ</v>
                </pt>
                <pt idx="3">
                  <v>GC</v>
                </pt>
                <pt idx="4">
                  <v>GS</v>
                </pt>
                <pt idx="5">
                  <v>GR</v>
                </pt>
                <pt idx="6">
                  <v>EN</v>
                </pt>
                <pt idx="7">
                  <v>GJ</v>
                </pt>
                <pt idx="8">
                  <v>EW</v>
                </pt>
                <pt idx="9">
                  <v>GP</v>
                </pt>
                <pt idx="10">
                  <v>MC</v>
                </pt>
                <pt idx="11">
                  <v>LN</v>
                </pt>
              </strCache>
            </strRef>
          </cat>
          <val>
            <numRef>
              <f>Tong_Hop!$B$5:$M$5</f>
              <numCache>
                <formatCode>0.00%</formatCode>
                <ptCount val="12"/>
                <pt idx="0">
                  <v>0.1795562835020846</v>
                </pt>
                <pt idx="1">
                  <v>0.2507631531693302</v>
                </pt>
                <pt idx="2">
                  <v>0.3000412009171682</v>
                </pt>
                <pt idx="3">
                  <v>0.1991068022172849</v>
                </pt>
                <pt idx="4">
                  <v>0.311253986281417</v>
                </pt>
                <pt idx="5">
                  <v>0.1846813477899746</v>
                </pt>
                <pt idx="6">
                  <v>0.4513237926855033</v>
                </pt>
                <pt idx="7">
                  <v>0.3789161838345175</v>
                </pt>
                <pt idx="8">
                  <v>0.3502838141940685</v>
                </pt>
                <pt idx="9">
                  <v>0.07904065332495737</v>
                </pt>
                <pt idx="10">
                  <v>0.3252820451272204</v>
                </pt>
                <pt idx="11">
                  <v>0.2138123160567051</v>
                </pt>
              </numCache>
            </numRef>
          </val>
        </ser>
        <ser>
          <idx val="3"/>
          <order val="2"/>
          <tx>
            <strRef>
              <f>Tong_Hop!$A$6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Tong_Hop!$B$1:$N$2</f>
              <strCache>
                <ptCount val="12"/>
                <pt idx="0">
                  <v>LA</v>
                </pt>
                <pt idx="1">
                  <v>MA</v>
                </pt>
                <pt idx="2">
                  <v>BJ</v>
                </pt>
                <pt idx="3">
                  <v>GC</v>
                </pt>
                <pt idx="4">
                  <v>GS</v>
                </pt>
                <pt idx="5">
                  <v>GR</v>
                </pt>
                <pt idx="6">
                  <v>EN</v>
                </pt>
                <pt idx="7">
                  <v>GJ</v>
                </pt>
                <pt idx="8">
                  <v>EW</v>
                </pt>
                <pt idx="9">
                  <v>GP</v>
                </pt>
                <pt idx="10">
                  <v>MC</v>
                </pt>
                <pt idx="11">
                  <v>LN</v>
                </pt>
              </strCache>
            </strRef>
          </cat>
          <val>
            <numRef>
              <f>Tong_Hop!$B$6:$M$6</f>
              <numCache>
                <formatCode>0.00%</formatCode>
                <ptCount val="12"/>
                <pt idx="0">
                  <v>0.6446843359142347</v>
                </pt>
                <pt idx="1">
                  <v>0.4345932842521099</v>
                </pt>
                <pt idx="2">
                  <v>0.4806803525365434</v>
                </pt>
                <pt idx="3">
                  <v>0.5678089723737068</v>
                </pt>
                <pt idx="4">
                  <v>0.4188787721290753</v>
                </pt>
                <pt idx="5">
                  <v>0.3642445058028599</v>
                </pt>
                <pt idx="6">
                  <v>0.03114610089957857</v>
                </pt>
                <pt idx="7">
                  <v>0.1753663843955641</v>
                </pt>
                <pt idx="8">
                  <v>0.05257559981638845</v>
                </pt>
                <pt idx="9">
                  <v>0.3040025127882976</v>
                </pt>
                <pt idx="10">
                  <v>0.1681319011041767</v>
                </pt>
                <pt idx="11">
                  <v>0.2514209970569073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1005858304"/>
        <axId val="1005847864"/>
      </barChart>
      <lineChart>
        <grouping val="stacked"/>
        <varyColors val="0"/>
        <ser>
          <idx val="4"/>
          <order val="3"/>
          <tx>
            <strRef>
              <f>Tong_Hop!$A$3</f>
              <strCache>
                <ptCount val="1"/>
                <pt idx="0">
                  <v>% Mục tiêu</v>
                </pt>
              </strCache>
            </strRef>
          </tx>
          <spPr>
            <a:ln xmlns:a="http://schemas.openxmlformats.org/drawingml/2006/main" w="28575" cap="flat">
              <a:solidFill>
                <a:srgbClr val="FF0000"/>
              </a:solidFill>
              <a:prstDash val="solid"/>
              <a:bevel/>
              <a:headEnd w="med" len="med"/>
              <a:tailEnd/>
            </a:ln>
          </spPr>
          <marker>
            <symbol val="triangle"/>
            <size val="8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noFill/>
                <a:prstDash val="solid"/>
              </a:ln>
            </spPr>
          </marker>
          <dLbls>
            <dLbl>
              <idx val="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1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Tong_Hop!$B$1:$N$2</f>
              <strCache>
                <ptCount val="12"/>
                <pt idx="0">
                  <v>LA</v>
                </pt>
                <pt idx="1">
                  <v>MA</v>
                </pt>
                <pt idx="2">
                  <v>BJ</v>
                </pt>
                <pt idx="3">
                  <v>GC</v>
                </pt>
                <pt idx="4">
                  <v>GS</v>
                </pt>
                <pt idx="5">
                  <v>GR</v>
                </pt>
                <pt idx="6">
                  <v>EN</v>
                </pt>
                <pt idx="7">
                  <v>GJ</v>
                </pt>
                <pt idx="8">
                  <v>EW</v>
                </pt>
                <pt idx="9">
                  <v>GP</v>
                </pt>
                <pt idx="10">
                  <v>MC</v>
                </pt>
                <pt idx="11">
                  <v>LN</v>
                </pt>
              </strCache>
            </strRef>
          </cat>
          <val>
            <numRef>
              <f>Tong_Hop!$B$3:$M$3</f>
              <numCache>
                <formatCode>0%</formatCode>
                <ptCount val="12"/>
                <pt idx="0">
                  <v>0.21</v>
                </pt>
                <pt idx="1">
                  <v>0.3</v>
                </pt>
                <pt idx="2">
                  <v>0.3</v>
                </pt>
                <pt idx="3">
                  <v>0.38</v>
                </pt>
                <pt idx="4">
                  <v>0.35</v>
                </pt>
                <pt idx="5">
                  <v>0.48</v>
                </pt>
                <pt idx="6">
                  <v>0.6</v>
                </pt>
                <pt idx="7">
                  <v>0.5</v>
                </pt>
                <pt idx="8">
                  <v>0.68</v>
                </pt>
                <pt idx="9">
                  <v>0.7</v>
                </pt>
                <pt idx="10">
                  <v>0.65</v>
                </pt>
                <pt idx="11">
                  <v>0.65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5858304"/>
        <axId val="1005847864"/>
      </lineChart>
      <catAx>
        <axId val="1005858304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47864"/>
        <crosses val="autoZero"/>
        <auto val="1"/>
        <lblAlgn val="ctr"/>
        <lblOffset val="100"/>
        <noMultiLvlLbl val="0"/>
      </catAx>
      <valAx>
        <axId val="10058478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5830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CĐ Phóng điện tạo hình (EN)-9h/ca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MT </a:t>
            </a:r>
            <a:r>
              <a:rPr lang="en-US" sz="1400" b="0" i="0" strike="noStrike" kern="1200" spc="0" baseline="0" dirty="0" err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có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tải: Ca 1=60%, Ca 2=73%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percentStacked"/>
        <varyColors val="0"/>
        <ser>
          <idx val="2"/>
          <order val="0"/>
          <tx>
            <strRef>
              <f>EN!$K$1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;\-0%;;@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EN!$H$2:$H$75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EN!$K$2:$K$75</f>
              <numCache>
                <formatCode>0%</formatCode>
                <ptCount val="74"/>
                <pt idx="0">
                  <v>0.4598974577602262</v>
                </pt>
                <pt idx="1">
                  <v>0.3444655664045623</v>
                </pt>
                <pt idx="2">
                  <v>0.5085760806530758</v>
                </pt>
                <pt idx="3">
                  <v>0.5175301064149181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0.440054963929921</v>
                </pt>
                <pt idx="13">
                  <v>0.5636237897648686</v>
                </pt>
                <pt idx="14">
                  <v>0.498447740600207</v>
                </pt>
                <pt idx="15">
                  <v>0.6549465701482248</v>
                </pt>
                <pt idx="16">
                  <v>0.4378453038674033</v>
                </pt>
                <pt idx="17">
                  <v>0.5660701995870613</v>
                </pt>
                <pt idx="18">
                  <v>0.4929577464788732</v>
                </pt>
                <pt idx="19">
                  <v>0.5964972527472527</v>
                </pt>
                <pt idx="20">
                  <v>0.4529796761970376</v>
                </pt>
                <pt idx="21">
                  <v>0.01804928844151336</v>
                </pt>
                <pt idx="22">
                  <v>0.5042911088225197</v>
                </pt>
                <pt idx="23">
                  <v>0.6186877361731363</v>
                </pt>
                <pt idx="24">
                  <v>0.4751724137931034</v>
                </pt>
                <pt idx="25">
                  <v>0.5430827325780981</v>
                </pt>
                <pt idx="26">
                  <v>0.5005145797598628</v>
                </pt>
                <pt idx="27">
                  <v>0.6238846945778997</v>
                </pt>
                <pt idx="28">
                  <v>0.5850807837744929</v>
                </pt>
                <pt idx="29">
                  <v>0.729403653912444</v>
                </pt>
                <pt idx="30">
                  <v>0.4579020013802623</v>
                </pt>
                <pt idx="31">
                  <v>0.6889655172413793</v>
                </pt>
                <pt idx="32">
                  <v>0.4552058111380145</v>
                </pt>
                <pt idx="33">
                  <v>0.5863023175371843</v>
                </pt>
                <pt idx="34">
                  <v>0.5112729795352063</v>
                </pt>
                <pt idx="35">
                  <v>0.09030913511635985</v>
                </pt>
                <pt idx="36">
                  <v>0.550674507090972</v>
                </pt>
                <pt idx="37">
                  <v>0.5763121546961326</v>
                </pt>
                <pt idx="38">
                  <v>0.4531951640759931</v>
                </pt>
                <pt idx="39">
                  <v>0.7201376936316696</v>
                </pt>
                <pt idx="40">
                  <v>0.4963905122035064</v>
                </pt>
                <pt idx="41">
                  <v>0.6236187845303868</v>
                </pt>
                <pt idx="42">
                  <v>0.5238913716053627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3"/>
          <order val="1"/>
          <tx>
            <strRef>
              <f>EN!$L$1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EN!$H$2:$H$75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EN!$L$2:$L$75</f>
              <numCache>
                <formatCode>0%</formatCode>
                <ptCount val="74"/>
                <pt idx="0">
                  <v>0.3826149393048668</v>
                </pt>
                <pt idx="1">
                  <v>0.2605016602683586</v>
                </pt>
                <pt idx="2">
                  <v>0.3962004282464201</v>
                </pt>
                <pt idx="3">
                  <v>0.4513237926855033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0.5599450360700791</v>
                </pt>
                <pt idx="13">
                  <v>0.4363762102351314</v>
                </pt>
                <pt idx="14">
                  <v>0.501552259399793</v>
                </pt>
                <pt idx="15">
                  <v>0.3450534298517752</v>
                </pt>
                <pt idx="16">
                  <v>0.5621546961325967</v>
                </pt>
                <pt idx="17">
                  <v>0.4339298004129388</v>
                </pt>
                <pt idx="18">
                  <v>0.5070422535211268</v>
                </pt>
                <pt idx="19">
                  <v>0.4035027472527473</v>
                </pt>
                <pt idx="20">
                  <v>0.5359972442301068</v>
                </pt>
                <pt idx="21">
                  <v>0.2322110378340854</v>
                </pt>
                <pt idx="22">
                  <v>0.2866460693443186</v>
                </pt>
                <pt idx="23">
                  <v>0.3813122638268636</v>
                </pt>
                <pt idx="24">
                  <v>0.5248275862068965</v>
                </pt>
                <pt idx="25">
                  <v>0.4569172674219018</v>
                </pt>
                <pt idx="26">
                  <v>0.4994854202401372</v>
                </pt>
                <pt idx="27">
                  <v>0.3761153054221002</v>
                </pt>
                <pt idx="28">
                  <v>0.414919216225507</v>
                </pt>
                <pt idx="29">
                  <v>0.270596346087556</v>
                </pt>
                <pt idx="30">
                  <v>0.5420979986197377</v>
                </pt>
                <pt idx="31">
                  <v>0.3110344827586207</v>
                </pt>
                <pt idx="32">
                  <v>0.5447941888619855</v>
                </pt>
                <pt idx="33">
                  <v>0.4136976824628156</v>
                </pt>
                <pt idx="34">
                  <v>0.4887270204647936</v>
                </pt>
                <pt idx="35">
                  <v>0.9096908648836401</v>
                </pt>
                <pt idx="36">
                  <v>0.449325492909028</v>
                </pt>
                <pt idx="37">
                  <v>0.4236878453038674</v>
                </pt>
                <pt idx="38">
                  <v>0.5468048359240069</v>
                </pt>
                <pt idx="39">
                  <v>0.2798623063683305</v>
                </pt>
                <pt idx="40">
                  <v>0.5036094877964936</v>
                </pt>
                <pt idx="41">
                  <v>0.3763812154696133</v>
                </pt>
                <pt idx="42">
                  <v>0.4761086283946374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4"/>
          <order val="2"/>
          <tx>
            <strRef>
              <f>EN!$M$1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EN!$H$2:$H$75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EN!$M$2:$M$75</f>
              <numCache>
                <formatCode>0%</formatCode>
                <ptCount val="74"/>
                <pt idx="0">
                  <v>0.157487602934907</v>
                </pt>
                <pt idx="1">
                  <v>0.395032773327079</v>
                </pt>
                <pt idx="2">
                  <v>0.09522349110050408</v>
                </pt>
                <pt idx="3">
                  <v>0.03114610089957857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0.01102307957285567</v>
                </pt>
                <pt idx="21">
                  <v>0.7497396737244012</v>
                </pt>
                <pt idx="22">
                  <v>0.2090628218331617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1005856504"/>
        <axId val="1005854704"/>
      </barChart>
      <lineChart>
        <grouping val="standard"/>
        <varyColors val="0"/>
        <ser>
          <idx val="5"/>
          <order val="3"/>
          <tx>
            <strRef>
              <f>EN!$I$1</f>
              <strCache>
                <ptCount val="1"/>
                <pt idx="0">
                  <v>Mục Tiêu C1</v>
                </pt>
              </strCache>
            </strRef>
          </tx>
          <spPr>
            <a:ln xmlns:a="http://schemas.openxmlformats.org/drawingml/2006/main" w="28575" cap="rnd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EN!$H$2:$H$75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EN!$I$2:$I$75</f>
              <numCache>
                <formatCode>0%</formatCode>
                <ptCount val="74"/>
                <pt idx="0">
                  <v>0.6</v>
                </pt>
                <pt idx="1">
                  <v>0.6</v>
                </pt>
                <pt idx="2">
                  <v>0.6</v>
                </pt>
                <pt idx="3">
                  <v>0.6</v>
                </pt>
                <pt idx="4">
                  <v>0.6</v>
                </pt>
                <pt idx="5">
                  <v>0.6</v>
                </pt>
                <pt idx="6">
                  <v>0.6</v>
                </pt>
                <pt idx="7">
                  <v>0.6</v>
                </pt>
                <pt idx="8">
                  <v>0.6</v>
                </pt>
                <pt idx="9">
                  <v>0.6</v>
                </pt>
                <pt idx="10">
                  <v>0.6</v>
                </pt>
                <pt idx="11">
                  <v>0.6</v>
                </pt>
                <pt idx="12">
                  <v>0.6</v>
                </pt>
                <pt idx="13">
                  <v>0.6</v>
                </pt>
                <pt idx="14">
                  <v>0.6</v>
                </pt>
                <pt idx="15">
                  <v>0.6</v>
                </pt>
                <pt idx="16">
                  <v>0.6</v>
                </pt>
                <pt idx="17">
                  <v>0.6</v>
                </pt>
                <pt idx="18">
                  <v>0.6</v>
                </pt>
                <pt idx="19">
                  <v>0.6</v>
                </pt>
                <pt idx="20">
                  <v>0.6</v>
                </pt>
                <pt idx="21">
                  <v>0.6</v>
                </pt>
                <pt idx="22">
                  <v>0.6</v>
                </pt>
                <pt idx="23">
                  <v>0.6</v>
                </pt>
                <pt idx="24">
                  <v>0.6</v>
                </pt>
                <pt idx="25">
                  <v>0.6</v>
                </pt>
                <pt idx="26">
                  <v>0.6</v>
                </pt>
                <pt idx="27">
                  <v>0.6</v>
                </pt>
                <pt idx="28">
                  <v>0.6</v>
                </pt>
                <pt idx="29">
                  <v>0.6</v>
                </pt>
                <pt idx="30">
                  <v>0.6</v>
                </pt>
                <pt idx="31">
                  <v>0.6</v>
                </pt>
                <pt idx="32">
                  <v>0.6</v>
                </pt>
                <pt idx="33">
                  <v>0.6</v>
                </pt>
                <pt idx="34">
                  <v>0.6</v>
                </pt>
                <pt idx="35">
                  <v>0.6</v>
                </pt>
                <pt idx="36">
                  <v>0.6</v>
                </pt>
                <pt idx="37">
                  <v>0.6</v>
                </pt>
                <pt idx="38">
                  <v>0.6</v>
                </pt>
                <pt idx="39">
                  <v>0.6</v>
                </pt>
                <pt idx="40">
                  <v>0.6</v>
                </pt>
                <pt idx="41">
                  <v>0.6</v>
                </pt>
                <pt idx="42">
                  <v>0.6</v>
                </pt>
              </numCache>
            </numRef>
          </val>
          <smooth val="0"/>
        </ser>
        <ser>
          <idx val="6"/>
          <order val="4"/>
          <tx>
            <strRef>
              <f>EN!$J$1</f>
              <strCache>
                <ptCount val="1"/>
                <pt idx="0">
                  <v>Mục Tiêu C2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EN!$H$2:$H$75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EN!$J$2:$J$75</f>
              <numCache>
                <formatCode>0%</formatCode>
                <ptCount val="74"/>
                <pt idx="0">
                  <v>0.7294117647058823</v>
                </pt>
                <pt idx="1">
                  <v>0.7294117647058823</v>
                </pt>
                <pt idx="2">
                  <v>0.7294117647058823</v>
                </pt>
                <pt idx="3">
                  <v>0.7294117647058823</v>
                </pt>
                <pt idx="4">
                  <v>0.7294117647058823</v>
                </pt>
                <pt idx="5">
                  <v>0.7294117647058823</v>
                </pt>
                <pt idx="6">
                  <v>0.7294117647058823</v>
                </pt>
                <pt idx="7">
                  <v>0.7294117647058823</v>
                </pt>
                <pt idx="8">
                  <v>0.7294117647058823</v>
                </pt>
                <pt idx="9">
                  <v>0.7294117647058823</v>
                </pt>
                <pt idx="10">
                  <v>0.7294117647058823</v>
                </pt>
                <pt idx="11">
                  <v>0.7294117647058823</v>
                </pt>
                <pt idx="12">
                  <v>0.7294117647058823</v>
                </pt>
                <pt idx="13">
                  <v>0.7294117647058823</v>
                </pt>
                <pt idx="14">
                  <v>0.7294117647058823</v>
                </pt>
                <pt idx="15">
                  <v>0.7294117647058823</v>
                </pt>
                <pt idx="16">
                  <v>0.7294117647058823</v>
                </pt>
                <pt idx="17">
                  <v>0.7294117647058823</v>
                </pt>
                <pt idx="18">
                  <v>0.7294117647058823</v>
                </pt>
                <pt idx="19">
                  <v>0.7294117647058823</v>
                </pt>
                <pt idx="20">
                  <v>0.7294117647058823</v>
                </pt>
                <pt idx="21">
                  <v>0.7294117647058823</v>
                </pt>
                <pt idx="22">
                  <v>0.7294117647058823</v>
                </pt>
                <pt idx="23">
                  <v>0.7294117647058823</v>
                </pt>
                <pt idx="24">
                  <v>0.7294117647058823</v>
                </pt>
                <pt idx="25">
                  <v>0.7294117647058823</v>
                </pt>
                <pt idx="26">
                  <v>0.7294117647058823</v>
                </pt>
                <pt idx="27">
                  <v>0.7294117647058823</v>
                </pt>
                <pt idx="28">
                  <v>0.7294117647058823</v>
                </pt>
                <pt idx="29">
                  <v>0.7294117647058823</v>
                </pt>
                <pt idx="30">
                  <v>0.7294117647058823</v>
                </pt>
                <pt idx="31">
                  <v>0.7294117647058823</v>
                </pt>
                <pt idx="32">
                  <v>0.7294117647058823</v>
                </pt>
                <pt idx="33">
                  <v>0.7294117647058823</v>
                </pt>
                <pt idx="34">
                  <v>0.7294117647058823</v>
                </pt>
                <pt idx="35">
                  <v>0.7294117647058823</v>
                </pt>
                <pt idx="36">
                  <v>0.7294117647058823</v>
                </pt>
                <pt idx="37">
                  <v>0.7294117647058823</v>
                </pt>
                <pt idx="38">
                  <v>0.7294117647058823</v>
                </pt>
                <pt idx="39">
                  <v>0.7294117647058823</v>
                </pt>
                <pt idx="40">
                  <v>0.7294117647058823</v>
                </pt>
                <pt idx="41">
                  <v>0.7294117647058823</v>
                </pt>
                <pt idx="42">
                  <v>0.7294117647058823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5856504"/>
        <axId val="1005854704"/>
      </lineChart>
      <catAx>
        <axId val="10058565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54704"/>
        <crosses val="autoZero"/>
        <auto val="1"/>
        <lblAlgn val="ctr"/>
        <lblOffset val="100"/>
        <noMultiLvlLbl val="0"/>
      </catAx>
      <valAx>
        <axId val="10058547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5650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CĐ Cắt dây (EW)-9h/ca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1=68%, Ca 2=84%</a:t>
            </a:r>
            <a:r>
              <a:rPr lang="en-US" sz="1400" b="0" i="0" strike="noStrike" kern="1200" spc="0" baseline="0" dirty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3807178084056888"/>
          <y val="0.1342631137668085"/>
          <w val="0.9499505417091109"/>
          <h val="0.65702124893073"/>
        </manualLayout>
      </layout>
      <barChart>
        <barDir val="col"/>
        <grouping val="percentStacked"/>
        <varyColors val="0"/>
        <ser>
          <idx val="2"/>
          <order val="0"/>
          <tx>
            <strRef>
              <f>EW!$K$1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;\-0%;;@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EW!$H$2:$H$75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EW!$K$2:$K$75</f>
              <numCache>
                <formatCode>0%</formatCode>
                <ptCount val="74"/>
                <pt idx="0">
                  <v>0.5311971688118478</v>
                </pt>
                <pt idx="1">
                  <v>0.3981400539384358</v>
                </pt>
                <pt idx="2">
                  <v>0.5986989316658722</v>
                </pt>
                <pt idx="3">
                  <v>0.5971405859895431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0.5626083940339923</v>
                </pt>
                <pt idx="13">
                  <v>0.7989583333333333</v>
                </pt>
                <pt idx="14">
                  <v>0.5790568654646324</v>
                </pt>
                <pt idx="15">
                  <v>0.7526023594725885</v>
                </pt>
                <pt idx="16">
                  <v>0.5511975008677542</v>
                </pt>
                <pt idx="17">
                  <v>0.6603119584055459</v>
                </pt>
                <pt idx="18">
                  <v>0.5913194444444444</v>
                </pt>
                <pt idx="19">
                  <v>0.7430555555555556</v>
                </pt>
                <pt idx="20">
                  <v>0.490625</v>
                </pt>
                <pt idx="21">
                  <v>0.02953439888811675</v>
                </pt>
                <pt idx="22">
                  <v>0.5041666666666667</v>
                </pt>
                <pt idx="23">
                  <v>0.7805131761442441</v>
                </pt>
                <pt idx="24">
                  <v>0.5223570190641248</v>
                </pt>
                <pt idx="25">
                  <v>0.6996184530003469</v>
                </pt>
                <pt idx="26">
                  <v>0.5930555555555556</v>
                </pt>
                <pt idx="27">
                  <v>0.7288488210818308</v>
                </pt>
                <pt idx="28">
                  <v>0.5858480749219563</v>
                </pt>
                <pt idx="29">
                  <v>0.7304890738813735</v>
                </pt>
                <pt idx="30">
                  <v>0.6850694444444444</v>
                </pt>
                <pt idx="31">
                  <v>0.7763888888888889</v>
                </pt>
                <pt idx="32">
                  <v>0.5404654393886766</v>
                </pt>
                <pt idx="33">
                  <v>0.6609874826147427</v>
                </pt>
                <pt idx="34">
                  <v>0.5785267546907574</v>
                </pt>
                <pt idx="35">
                  <v>0.03269565217391304</v>
                </pt>
                <pt idx="36">
                  <v>0.5104094378903539</v>
                </pt>
                <pt idx="37">
                  <v>0.6843565730142213</v>
                </pt>
                <pt idx="38">
                  <v>0.5554400554400555</v>
                </pt>
                <pt idx="39">
                  <v>0.7140381282495667</v>
                </pt>
                <pt idx="40">
                  <v>0.6267361111111112</v>
                </pt>
                <pt idx="41">
                  <v>0.7147814018043026</v>
                </pt>
                <pt idx="42">
                  <v>0.5250173731758165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3"/>
          <order val="1"/>
          <tx>
            <strRef>
              <f>EW!$L$1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EW!$H$2:$H$75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EW!$L$2:$L$75</f>
              <numCache>
                <formatCode>0%</formatCode>
                <ptCount val="74"/>
                <pt idx="0">
                  <v>0.2875425467168586</v>
                </pt>
                <pt idx="1">
                  <v>0.2233795219938622</v>
                </pt>
                <pt idx="2">
                  <v>0.3099234500743067</v>
                </pt>
                <pt idx="3">
                  <v>0.3502838141940685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0.4373916059660076</v>
                </pt>
                <pt idx="13">
                  <v>0.2010416666666667</v>
                </pt>
                <pt idx="14">
                  <v>0.4209431345353675</v>
                </pt>
                <pt idx="15">
                  <v>0.2473976405274115</v>
                </pt>
                <pt idx="16">
                  <v>0.4488024991322457</v>
                </pt>
                <pt idx="17">
                  <v>0.3396880415944541</v>
                </pt>
                <pt idx="18">
                  <v>0.4083333333333333</v>
                </pt>
                <pt idx="19">
                  <v>0.2569444444444444</v>
                </pt>
                <pt idx="20">
                  <v>0.4951388888888889</v>
                </pt>
                <pt idx="21">
                  <v>0</v>
                </pt>
                <pt idx="22">
                  <v>0.2180555555555556</v>
                </pt>
                <pt idx="23">
                  <v>0.2194868238557559</v>
                </pt>
                <pt idx="24">
                  <v>0.4776429809358752</v>
                </pt>
                <pt idx="25">
                  <v>0.3003815469996531</v>
                </pt>
                <pt idx="26">
                  <v>0.4069444444444444</v>
                </pt>
                <pt idx="27">
                  <v>0.2711511789181692</v>
                </pt>
                <pt idx="28">
                  <v>0.4141519250780437</v>
                </pt>
                <pt idx="29">
                  <v>0.2695109261186264</v>
                </pt>
                <pt idx="30">
                  <v>0.3149305555555555</v>
                </pt>
                <pt idx="31">
                  <v>0.1975694444444444</v>
                </pt>
                <pt idx="32">
                  <v>0.3775616533518583</v>
                </pt>
                <pt idx="33">
                  <v>0.3390125173852573</v>
                </pt>
                <pt idx="34">
                  <v>0.4214732453092425</v>
                </pt>
                <pt idx="35">
                  <v>0.776695652173913</v>
                </pt>
                <pt idx="36">
                  <v>0.4198473282442748</v>
                </pt>
                <pt idx="37">
                  <v>0.3156434269857787</v>
                </pt>
                <pt idx="38">
                  <v>0.4445599445599446</v>
                </pt>
                <pt idx="39">
                  <v>0.2859618717504332</v>
                </pt>
                <pt idx="40">
                  <v>0.3732638888888889</v>
                </pt>
                <pt idx="41">
                  <v>0.2852185981956974</v>
                </pt>
                <pt idx="42">
                  <v>0.4746351633078527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4"/>
          <order val="2"/>
          <tx>
            <strRef>
              <f>EW!$M$1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EW!$H$2:$H$75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EW!$M$2:$M$75</f>
              <numCache>
                <formatCode>0%</formatCode>
                <ptCount val="74"/>
                <pt idx="0">
                  <v>0.1812602844712936</v>
                </pt>
                <pt idx="1">
                  <v>0.378480424067702</v>
                </pt>
                <pt idx="2">
                  <v>0.0913776182598211</v>
                </pt>
                <pt idx="3">
                  <v>0.05257559981638845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0.0003472222222222222</v>
                </pt>
                <pt idx="19">
                  <v>0</v>
                </pt>
                <pt idx="20">
                  <v>0.01423611111111111</v>
                </pt>
                <pt idx="21">
                  <v>0.9704656011118833</v>
                </pt>
                <pt idx="22">
                  <v>0.2777777777777778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0.02604166666666667</v>
                </pt>
                <pt idx="32">
                  <v>0.08197290725946509</v>
                </pt>
                <pt idx="33">
                  <v>0</v>
                </pt>
                <pt idx="34">
                  <v>0</v>
                </pt>
                <pt idx="35">
                  <v>0.1906086956521739</v>
                </pt>
                <pt idx="36">
                  <v>0.06974323386537128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0.0003474635163307853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1005830944"/>
        <axId val="1005833464"/>
      </barChart>
      <lineChart>
        <grouping val="standard"/>
        <varyColors val="0"/>
        <ser>
          <idx val="5"/>
          <order val="3"/>
          <tx>
            <strRef>
              <f>EW!$I$1</f>
              <strCache>
                <ptCount val="1"/>
                <pt idx="0">
                  <v>Mục Tiêu C1</v>
                </pt>
              </strCache>
            </strRef>
          </tx>
          <spPr>
            <a:ln xmlns:a="http://schemas.openxmlformats.org/drawingml/2006/main" w="28575" cap="rnd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EW!$H$2:$H$75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EW!$I$2:$I$75</f>
              <numCache>
                <formatCode>0%</formatCode>
                <ptCount val="74"/>
                <pt idx="0">
                  <v>0.68</v>
                </pt>
                <pt idx="1">
                  <v>0.68</v>
                </pt>
                <pt idx="2">
                  <v>0.68</v>
                </pt>
                <pt idx="3">
                  <v>0.68</v>
                </pt>
                <pt idx="4">
                  <v>0.68</v>
                </pt>
                <pt idx="5">
                  <v>0.68</v>
                </pt>
                <pt idx="6">
                  <v>0.68</v>
                </pt>
                <pt idx="7">
                  <v>0.68</v>
                </pt>
                <pt idx="8">
                  <v>0.68</v>
                </pt>
                <pt idx="9">
                  <v>0.68</v>
                </pt>
                <pt idx="10">
                  <v>0.68</v>
                </pt>
                <pt idx="11">
                  <v>0.68</v>
                </pt>
                <pt idx="12">
                  <v>0.68</v>
                </pt>
                <pt idx="13">
                  <v>0.68</v>
                </pt>
                <pt idx="14">
                  <v>0.68</v>
                </pt>
                <pt idx="15">
                  <v>0.68</v>
                </pt>
                <pt idx="16">
                  <v>0.68</v>
                </pt>
                <pt idx="17">
                  <v>0.68</v>
                </pt>
                <pt idx="18">
                  <v>0.68</v>
                </pt>
                <pt idx="19">
                  <v>0.68</v>
                </pt>
                <pt idx="20">
                  <v>0.68</v>
                </pt>
                <pt idx="21">
                  <v>0.68</v>
                </pt>
                <pt idx="22">
                  <v>0.68</v>
                </pt>
                <pt idx="23">
                  <v>0.68</v>
                </pt>
                <pt idx="24">
                  <v>0.68</v>
                </pt>
                <pt idx="25">
                  <v>0.68</v>
                </pt>
                <pt idx="26">
                  <v>0.68</v>
                </pt>
                <pt idx="27">
                  <v>0.68</v>
                </pt>
                <pt idx="28">
                  <v>0.68</v>
                </pt>
                <pt idx="29">
                  <v>0.68</v>
                </pt>
                <pt idx="30">
                  <v>0.68</v>
                </pt>
                <pt idx="31">
                  <v>0.68</v>
                </pt>
                <pt idx="32">
                  <v>0.68</v>
                </pt>
                <pt idx="33">
                  <v>0.68</v>
                </pt>
                <pt idx="34">
                  <v>0.68</v>
                </pt>
                <pt idx="35">
                  <v>0.68</v>
                </pt>
                <pt idx="36">
                  <v>0.68</v>
                </pt>
                <pt idx="37">
                  <v>0.68</v>
                </pt>
                <pt idx="38">
                  <v>0.68</v>
                </pt>
                <pt idx="39">
                  <v>0.68</v>
                </pt>
                <pt idx="40">
                  <v>0.68</v>
                </pt>
                <pt idx="41">
                  <v>0.68</v>
                </pt>
                <pt idx="42">
                  <v>0.68</v>
                </pt>
              </numCache>
            </numRef>
          </val>
          <smooth val="0"/>
        </ser>
        <ser>
          <idx val="6"/>
          <order val="4"/>
          <tx>
            <strRef>
              <f>EW!$J$1</f>
              <strCache>
                <ptCount val="1"/>
                <pt idx="0">
                  <v>Mục Tiêu C2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EW!$H$2:$H$75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EW!$J$2:$J$75</f>
              <numCache>
                <formatCode>0%</formatCode>
                <ptCount val="74"/>
                <pt idx="0">
                  <v>0.8423529411764706</v>
                </pt>
                <pt idx="1">
                  <v>0.8423529411764706</v>
                </pt>
                <pt idx="2">
                  <v>0.8423529411764706</v>
                </pt>
                <pt idx="3">
                  <v>0.8423529411764706</v>
                </pt>
                <pt idx="4">
                  <v>0.8423529411764706</v>
                </pt>
                <pt idx="5">
                  <v>0.8423529411764706</v>
                </pt>
                <pt idx="6">
                  <v>0.8423529411764706</v>
                </pt>
                <pt idx="7">
                  <v>0.8423529411764706</v>
                </pt>
                <pt idx="8">
                  <v>0.8423529411764706</v>
                </pt>
                <pt idx="9">
                  <v>0.8423529411764706</v>
                </pt>
                <pt idx="10">
                  <v>0.8423529411764706</v>
                </pt>
                <pt idx="11">
                  <v>0.8423529411764706</v>
                </pt>
                <pt idx="12">
                  <v>0.8423529411764706</v>
                </pt>
                <pt idx="13">
                  <v>0.8423529411764706</v>
                </pt>
                <pt idx="14">
                  <v>0.8423529411764706</v>
                </pt>
                <pt idx="15">
                  <v>0.8423529411764706</v>
                </pt>
                <pt idx="16">
                  <v>0.8423529411764706</v>
                </pt>
                <pt idx="17">
                  <v>0.8423529411764706</v>
                </pt>
                <pt idx="18">
                  <v>0.8423529411764706</v>
                </pt>
                <pt idx="19">
                  <v>0.8423529411764706</v>
                </pt>
                <pt idx="20">
                  <v>0.8423529411764706</v>
                </pt>
                <pt idx="21">
                  <v>0.8423529411764706</v>
                </pt>
                <pt idx="22">
                  <v>0.8423529411764706</v>
                </pt>
                <pt idx="23">
                  <v>0.8423529411764706</v>
                </pt>
                <pt idx="24">
                  <v>0.8423529411764706</v>
                </pt>
                <pt idx="25">
                  <v>0.8423529411764706</v>
                </pt>
                <pt idx="26">
                  <v>0.8423529411764706</v>
                </pt>
                <pt idx="27">
                  <v>0.8423529411764706</v>
                </pt>
                <pt idx="28">
                  <v>0.8423529411764706</v>
                </pt>
                <pt idx="29">
                  <v>0.8423529411764706</v>
                </pt>
                <pt idx="30">
                  <v>0.8423529411764706</v>
                </pt>
                <pt idx="31">
                  <v>0.8423529411764706</v>
                </pt>
                <pt idx="32">
                  <v>0.8423529411764706</v>
                </pt>
                <pt idx="33">
                  <v>0.8423529411764706</v>
                </pt>
                <pt idx="34">
                  <v>0.8423529411764706</v>
                </pt>
                <pt idx="35">
                  <v>0.8423529411764706</v>
                </pt>
                <pt idx="36">
                  <v>0.8423529411764706</v>
                </pt>
                <pt idx="37">
                  <v>0.8423529411764706</v>
                </pt>
                <pt idx="38">
                  <v>0.8423529411764706</v>
                </pt>
                <pt idx="39">
                  <v>0.8423529411764706</v>
                </pt>
                <pt idx="40">
                  <v>0.8423529411764706</v>
                </pt>
                <pt idx="41">
                  <v>0.8423529411764706</v>
                </pt>
                <pt idx="42">
                  <v>0.8423529411764706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5830944"/>
        <axId val="1005833464"/>
      </lineChart>
      <catAx>
        <axId val="100583094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33464"/>
        <crosses val="autoZero"/>
        <auto val="1"/>
        <lblAlgn val="ctr"/>
        <lblOffset val="100"/>
        <noMultiLvlLbl val="0"/>
      </catAx>
      <valAx>
        <axId val="10058334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3094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2882401070771783"/>
          <y val="0.9372380636381447"/>
          <w val="0.4235197858456433"/>
          <h val="0.062761936361855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CĐ Mài dụng cụ (GJ)-9h/ca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1=50%, Ca 2=59%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4015859590836231"/>
          <y val="0.1362292485655622"/>
          <w val="0.9472071984404127"/>
          <h val="0.6708670214504536"/>
        </manualLayout>
      </layout>
      <barChart>
        <barDir val="col"/>
        <grouping val="percentStacked"/>
        <varyColors val="0"/>
        <ser>
          <idx val="2"/>
          <order val="0"/>
          <tx>
            <strRef>
              <f>GJ!$K$1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;\-0%;;@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GJ!$H$2:$H$75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GJ!$K$2:$K$75</f>
              <numCache>
                <formatCode>0%</formatCode>
                <ptCount val="74"/>
                <pt idx="0">
                  <v>0.4827036751477769</v>
                </pt>
                <pt idx="1">
                  <v>0.4171942843609379</v>
                </pt>
                <pt idx="2">
                  <v>0.3664371456445205</v>
                </pt>
                <pt idx="3">
                  <v>0.4457174317699185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0.3747397640527412</v>
                </pt>
                <pt idx="13">
                  <v>0.63705759888966</v>
                </pt>
                <pt idx="14">
                  <v>0.5340277777777778</v>
                </pt>
                <pt idx="15">
                  <v>0.6173611111111111</v>
                </pt>
                <pt idx="16">
                  <v>0.5208333333333334</v>
                </pt>
                <pt idx="17">
                  <v>0.668235294117647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0.5429497568881686</v>
                </pt>
                <pt idx="23">
                  <v>0.4510756419153366</v>
                </pt>
                <pt idx="24">
                  <v>0.34375</v>
                </pt>
                <pt idx="25">
                  <v>0.4684247050659264</v>
                </pt>
                <pt idx="26">
                  <v>0.4878387769284225</v>
                </pt>
                <pt idx="27">
                  <v>0.5326388888888889</v>
                </pt>
                <pt idx="28">
                  <v>0.5229166666666667</v>
                </pt>
                <pt idx="29">
                  <v>0.6111111111111112</v>
                </pt>
                <pt idx="30">
                  <v>0.5111111111111111</v>
                </pt>
                <pt idx="31">
                  <v>0.5219435736677116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0.4315789473684211</v>
                </pt>
                <pt idx="37">
                  <v>0.6430555555555556</v>
                </pt>
                <pt idx="38">
                  <v>0.4413601665510062</v>
                </pt>
                <pt idx="39">
                  <v>0.7064538514920194</v>
                </pt>
                <pt idx="40">
                  <v>0.4662960389159138</v>
                </pt>
                <pt idx="41">
                  <v>0.6215277777777778</v>
                </pt>
                <pt idx="42">
                  <v>0.423905489923558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3"/>
          <order val="1"/>
          <tx>
            <strRef>
              <f>GJ!$L$1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GJ!$H$2:$H$75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GJ!$L$2:$L$75</f>
              <numCache>
                <formatCode>0%</formatCode>
                <ptCount val="74"/>
                <pt idx="0">
                  <v>0.3768439989719866</v>
                </pt>
                <pt idx="1">
                  <v>0.3093865950896029</v>
                </pt>
                <pt idx="2">
                  <v>0.3723189163968499</v>
                </pt>
                <pt idx="3">
                  <v>0.3789161838345175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0.6245662734212353</v>
                </pt>
                <pt idx="13">
                  <v>0.3622484385843164</v>
                </pt>
                <pt idx="14">
                  <v>0.4652777777777778</v>
                </pt>
                <pt idx="15">
                  <v>0.3819444444444444</v>
                </pt>
                <pt idx="16">
                  <v>0.4784722222222222</v>
                </pt>
                <pt idx="17">
                  <v>0.2086274509803921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0.2747163695299838</v>
                </pt>
                <pt idx="23">
                  <v>0.5482303955586398</v>
                </pt>
                <pt idx="24">
                  <v>0.5388888888888889</v>
                </pt>
                <pt idx="25">
                  <v>0.5308813324080499</v>
                </pt>
                <pt idx="26">
                  <v>0.5114662960389159</v>
                </pt>
                <pt idx="27">
                  <v>0.4666666666666667</v>
                </pt>
                <pt idx="28">
                  <v>0.4763888888888889</v>
                </pt>
                <pt idx="29">
                  <v>0.3881944444444445</v>
                </pt>
                <pt idx="30">
                  <v>0.4881944444444444</v>
                </pt>
                <pt idx="31">
                  <v>0.3565830721003135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0.4024291497975708</v>
                </pt>
                <pt idx="37">
                  <v>0.35625</v>
                </pt>
                <pt idx="38">
                  <v>0.5579458709229702</v>
                </pt>
                <pt idx="39">
                  <v>0.2928521859819569</v>
                </pt>
                <pt idx="40">
                  <v>0.5330090340514246</v>
                </pt>
                <pt idx="41">
                  <v>0.3777777777777778</v>
                </pt>
                <pt idx="42">
                  <v>0.5753995830437804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4"/>
          <order val="2"/>
          <tx>
            <strRef>
              <f>GJ!$M$1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GJ!$H$2:$H$75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GJ!$M$2:$M$75</f>
              <numCache>
                <formatCode>0%</formatCode>
                <ptCount val="74"/>
                <pt idx="0">
                  <v>0.1404523258802365</v>
                </pt>
                <pt idx="1">
                  <v>0.2734191205494592</v>
                </pt>
                <pt idx="2">
                  <v>0.2612439379586297</v>
                </pt>
                <pt idx="3">
                  <v>0.1753663843955641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0.0006939625260235947</v>
                </pt>
                <pt idx="13">
                  <v>0.0006939625260235947</v>
                </pt>
                <pt idx="14">
                  <v>0.0006944444444444445</v>
                </pt>
                <pt idx="15">
                  <v>0.0006944444444444445</v>
                </pt>
                <pt idx="16">
                  <v>0.0006944444444444445</v>
                </pt>
                <pt idx="17">
                  <v>0.1231372549019608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0.1823338735818477</v>
                </pt>
                <pt idx="23">
                  <v>0.0006939625260235947</v>
                </pt>
                <pt idx="24">
                  <v>0.1173611111111111</v>
                </pt>
                <pt idx="25">
                  <v>0.0006939625260235947</v>
                </pt>
                <pt idx="26">
                  <v>0.0006949270326615705</v>
                </pt>
                <pt idx="27">
                  <v>0.0006944444444444445</v>
                </pt>
                <pt idx="28">
                  <v>0.0006944444444444445</v>
                </pt>
                <pt idx="29">
                  <v>0.0006944444444444445</v>
                </pt>
                <pt idx="30">
                  <v>0.0006944444444444445</v>
                </pt>
                <pt idx="31">
                  <v>0.1214733542319749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0.1659919028340081</v>
                </pt>
                <pt idx="37">
                  <v>0.0006944444444444445</v>
                </pt>
                <pt idx="38">
                  <v>0.0006939625260235947</v>
                </pt>
                <pt idx="39">
                  <v>0.0006939625260235947</v>
                </pt>
                <pt idx="40">
                  <v>0.0006949270326615705</v>
                </pt>
                <pt idx="41">
                  <v>0.0006944444444444445</v>
                </pt>
                <pt idx="42">
                  <v>0.0006949270326615705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935924272"/>
        <axId val="935924632"/>
      </barChart>
      <lineChart>
        <grouping val="standard"/>
        <varyColors val="0"/>
        <ser>
          <idx val="5"/>
          <order val="3"/>
          <tx>
            <strRef>
              <f>GJ!$I$1</f>
              <strCache>
                <ptCount val="1"/>
                <pt idx="0">
                  <v>Mục Tiêu C1</v>
                </pt>
              </strCache>
            </strRef>
          </tx>
          <spPr>
            <a:ln xmlns:a="http://schemas.openxmlformats.org/drawingml/2006/main" w="28575" cap="rnd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GJ!$H$2:$H$75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GJ!$I$2:$I$75</f>
              <numCache>
                <formatCode>0%</formatCode>
                <ptCount val="74"/>
                <pt idx="0">
                  <v>0.5</v>
                </pt>
                <pt idx="1">
                  <v>0.5</v>
                </pt>
                <pt idx="2">
                  <v>0.5</v>
                </pt>
                <pt idx="3">
                  <v>0.5</v>
                </pt>
                <pt idx="4">
                  <v>0.5</v>
                </pt>
                <pt idx="5">
                  <v>0.5</v>
                </pt>
                <pt idx="6">
                  <v>0.5</v>
                </pt>
                <pt idx="7">
                  <v>0.5</v>
                </pt>
                <pt idx="8">
                  <v>0.5</v>
                </pt>
                <pt idx="9">
                  <v>0.5</v>
                </pt>
                <pt idx="10">
                  <v>0.5</v>
                </pt>
                <pt idx="11">
                  <v>0.5</v>
                </pt>
                <pt idx="12">
                  <v>0.5</v>
                </pt>
                <pt idx="13">
                  <v>0.5</v>
                </pt>
                <pt idx="14">
                  <v>0.5</v>
                </pt>
                <pt idx="15">
                  <v>0.5</v>
                </pt>
                <pt idx="16">
                  <v>0.5</v>
                </pt>
                <pt idx="17">
                  <v>0.5</v>
                </pt>
                <pt idx="18">
                  <v>0.5</v>
                </pt>
                <pt idx="19">
                  <v>0.5</v>
                </pt>
                <pt idx="20">
                  <v>0.5</v>
                </pt>
                <pt idx="21">
                  <v>0.5</v>
                </pt>
                <pt idx="22">
                  <v>0.5</v>
                </pt>
                <pt idx="23">
                  <v>0.5</v>
                </pt>
                <pt idx="24">
                  <v>0.5</v>
                </pt>
                <pt idx="25">
                  <v>0.5</v>
                </pt>
                <pt idx="26">
                  <v>0.5</v>
                </pt>
                <pt idx="27">
                  <v>0.5</v>
                </pt>
                <pt idx="28">
                  <v>0.5</v>
                </pt>
                <pt idx="29">
                  <v>0.5</v>
                </pt>
                <pt idx="30">
                  <v>0.5</v>
                </pt>
                <pt idx="31">
                  <v>0.5</v>
                </pt>
                <pt idx="32">
                  <v>0.5</v>
                </pt>
                <pt idx="33">
                  <v>0.5</v>
                </pt>
                <pt idx="34">
                  <v>0.5</v>
                </pt>
                <pt idx="35">
                  <v>0.5</v>
                </pt>
                <pt idx="36">
                  <v>0.5</v>
                </pt>
                <pt idx="37">
                  <v>0.5</v>
                </pt>
                <pt idx="38">
                  <v>0.5</v>
                </pt>
                <pt idx="39">
                  <v>0.5</v>
                </pt>
                <pt idx="40">
                  <v>0.5</v>
                </pt>
                <pt idx="41">
                  <v>0.5</v>
                </pt>
                <pt idx="42">
                  <v>0.5</v>
                </pt>
              </numCache>
            </numRef>
          </val>
          <smooth val="0"/>
        </ser>
        <ser>
          <idx val="6"/>
          <order val="4"/>
          <tx>
            <strRef>
              <f>GJ!$J$1</f>
              <strCache>
                <ptCount val="1"/>
                <pt idx="0">
                  <v>Mục Tiêu C2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GJ!$H$2:$H$75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GJ!$J$2:$J$75</f>
              <numCache>
                <formatCode>0%</formatCode>
                <ptCount val="74"/>
                <pt idx="0">
                  <v>0.5882352941176471</v>
                </pt>
                <pt idx="1">
                  <v>0.5882352941176471</v>
                </pt>
                <pt idx="2">
                  <v>0.5882352941176471</v>
                </pt>
                <pt idx="3">
                  <v>0.5882352941176471</v>
                </pt>
                <pt idx="4">
                  <v>0.5882352941176471</v>
                </pt>
                <pt idx="5">
                  <v>0.5882352941176471</v>
                </pt>
                <pt idx="6">
                  <v>0.5882352941176471</v>
                </pt>
                <pt idx="7">
                  <v>0.5882352941176471</v>
                </pt>
                <pt idx="8">
                  <v>0.5882352941176471</v>
                </pt>
                <pt idx="9">
                  <v>0.5882352941176471</v>
                </pt>
                <pt idx="10">
                  <v>0.5882352941176471</v>
                </pt>
                <pt idx="11">
                  <v>0.5882352941176471</v>
                </pt>
                <pt idx="12">
                  <v>0.5882352941176471</v>
                </pt>
                <pt idx="13">
                  <v>0.5882352941176471</v>
                </pt>
                <pt idx="14">
                  <v>0.5882352941176471</v>
                </pt>
                <pt idx="15">
                  <v>0.5882352941176471</v>
                </pt>
                <pt idx="16">
                  <v>0.5882352941176471</v>
                </pt>
                <pt idx="17">
                  <v>0.5882352941176471</v>
                </pt>
                <pt idx="18">
                  <v>0.5882352941176471</v>
                </pt>
                <pt idx="19">
                  <v>0.5882352941176471</v>
                </pt>
                <pt idx="20">
                  <v>0.5882352941176471</v>
                </pt>
                <pt idx="21">
                  <v>0.5882352941176471</v>
                </pt>
                <pt idx="22">
                  <v>0.5882352941176471</v>
                </pt>
                <pt idx="23">
                  <v>0.5882352941176471</v>
                </pt>
                <pt idx="24">
                  <v>0.5882352941176471</v>
                </pt>
                <pt idx="25">
                  <v>0.5882352941176471</v>
                </pt>
                <pt idx="26">
                  <v>0.5882352941176471</v>
                </pt>
                <pt idx="27">
                  <v>0.5882352941176471</v>
                </pt>
                <pt idx="28">
                  <v>0.5882352941176471</v>
                </pt>
                <pt idx="29">
                  <v>0.5882352941176471</v>
                </pt>
                <pt idx="30">
                  <v>0.5882352941176471</v>
                </pt>
                <pt idx="31">
                  <v>0.5882352941176471</v>
                </pt>
                <pt idx="32">
                  <v>0.5882352941176471</v>
                </pt>
                <pt idx="33">
                  <v>0.5882352941176471</v>
                </pt>
                <pt idx="34">
                  <v>0.5882352941176471</v>
                </pt>
                <pt idx="35">
                  <v>0.5882352941176471</v>
                </pt>
                <pt idx="36">
                  <v>0.5882352941176471</v>
                </pt>
                <pt idx="37">
                  <v>0.5882352941176471</v>
                </pt>
                <pt idx="38">
                  <v>0.5882352941176471</v>
                </pt>
                <pt idx="39">
                  <v>0.5882352941176471</v>
                </pt>
                <pt idx="40">
                  <v>0.5882352941176471</v>
                </pt>
                <pt idx="41">
                  <v>0.5882352941176471</v>
                </pt>
                <pt idx="42">
                  <v>0.5882352941176471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35924272"/>
        <axId val="935924632"/>
      </lineChart>
      <catAx>
        <axId val="9359242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35924632"/>
        <crosses val="autoZero"/>
        <auto val="1"/>
        <lblAlgn val="ctr"/>
        <lblOffset val="100"/>
        <noMultiLvlLbl val="0"/>
      </catAx>
      <valAx>
        <axId val="93592463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35924272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2754843775379198"/>
          <y val="0.9363189844982662"/>
          <w val="0.4467340261858156"/>
          <h val="0.063681015501733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CĐ Mài phẳng(GS)-9h/ca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1=35%, Ca 2=49%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percentStacked"/>
        <varyColors val="0"/>
        <ser>
          <idx val="2"/>
          <order val="0"/>
          <tx>
            <strRef>
              <f>GS!$K$1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;\-0%;;@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GS!$H$2:$H$75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GS!$K$2:$K$75</f>
              <numCache>
                <formatCode>0%</formatCode>
                <ptCount val="74"/>
                <pt idx="0">
                  <v>0.271419348590981</v>
                </pt>
                <pt idx="1">
                  <v>0.2143103062742022</v>
                </pt>
                <pt idx="2">
                  <v>0.2863302558090307</v>
                </pt>
                <pt idx="3">
                  <v>0.2698672415895076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0.3381738611497911</v>
                </pt>
                <pt idx="13">
                  <v>0.3780342220453641</v>
                </pt>
                <pt idx="14">
                  <v>0.3546268656716418</v>
                </pt>
                <pt idx="15">
                  <v>0.386191802626343</v>
                </pt>
                <pt idx="16">
                  <v>0.2990449661758854</v>
                </pt>
                <pt idx="17">
                  <v>0.3591479195699781</v>
                </pt>
                <pt idx="18">
                  <v>0.2672105053720653</v>
                </pt>
                <pt idx="19">
                  <v>0.2756015112348379</v>
                </pt>
                <pt idx="20">
                  <v>0.00535926955140929</v>
                </pt>
                <pt idx="21">
                  <v>0</v>
                </pt>
                <pt idx="22">
                  <v>0.3175487465181058</v>
                </pt>
                <pt idx="23">
                  <v>0.2869651741293532</v>
                </pt>
                <pt idx="24">
                  <v>0.3286226114649681</v>
                </pt>
                <pt idx="25">
                  <v>0.2782643312101911</v>
                </pt>
                <pt idx="26">
                  <v>0.3502588610115492</v>
                </pt>
                <pt idx="27">
                  <v>0.3165539196179865</v>
                </pt>
                <pt idx="28">
                  <v>0.3591325109430959</v>
                </pt>
                <pt idx="29">
                  <v>0.4206965174129353</v>
                </pt>
                <pt idx="30">
                  <v>0.3349253731343284</v>
                </pt>
                <pt idx="31">
                  <v>0.3353245718837117</v>
                </pt>
                <pt idx="32">
                  <v>0.2754026645456353</v>
                </pt>
                <pt idx="33">
                  <v>0.2548746518105849</v>
                </pt>
                <pt idx="34">
                  <v>0</v>
                </pt>
                <pt idx="35">
                  <v>0</v>
                </pt>
                <pt idx="36">
                  <v>0.2065606361829026</v>
                </pt>
                <pt idx="37">
                  <v>0.2463191404695583</v>
                </pt>
                <pt idx="38">
                  <v>0.2372241002187314</v>
                </pt>
                <pt idx="39">
                  <v>0.3217270194986073</v>
                </pt>
                <pt idx="40">
                  <v>0.2647702407002188</v>
                </pt>
                <pt idx="41">
                  <v>0.2851741293532338</v>
                </pt>
                <pt idx="42">
                  <v>0.2853726584296533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3"/>
          <order val="1"/>
          <tx>
            <strRef>
              <f>GS!$L$1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GS!$H$2:$H$75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GS!$L$2:$L$75</f>
              <numCache>
                <formatCode>0%</formatCode>
                <ptCount val="74"/>
                <pt idx="0">
                  <v>0.3044417185835566</v>
                </pt>
                <pt idx="1">
                  <v>0.2127308414465768</v>
                </pt>
                <pt idx="2">
                  <v>0.3009981599986973</v>
                </pt>
                <pt idx="3">
                  <v>0.311253986281417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0.3733837278695047</v>
                </pt>
                <pt idx="13">
                  <v>0.4003183446080382</v>
                </pt>
                <pt idx="14">
                  <v>0.3490547263681592</v>
                </pt>
                <pt idx="15">
                  <v>0.3911659371269399</v>
                </pt>
                <pt idx="16">
                  <v>0.315758058097891</v>
                </pt>
                <pt idx="17">
                  <v>0.3384431614572964</v>
                </pt>
                <pt idx="18">
                  <v>0.2871070433744529</v>
                </pt>
                <pt idx="19">
                  <v>0.360906740902764</v>
                </pt>
                <pt idx="20">
                  <v>0.003969829297340214</v>
                </pt>
                <pt idx="21">
                  <v>0</v>
                </pt>
                <pt idx="22">
                  <v>0.3973338639076801</v>
                </pt>
                <pt idx="23">
                  <v>0.3787064676616915</v>
                </pt>
                <pt idx="24">
                  <v>0.3867436305732484</v>
                </pt>
                <pt idx="25">
                  <v>0.3990843949044586</v>
                </pt>
                <pt idx="26">
                  <v>0.3665870171246515</v>
                </pt>
                <pt idx="27">
                  <v>0.3181456426581775</v>
                </pt>
                <pt idx="28">
                  <v>0.3571428571428572</v>
                </pt>
                <pt idx="29">
                  <v>0.3560199004975124</v>
                </pt>
                <pt idx="30">
                  <v>0.3737313432835821</v>
                </pt>
                <pt idx="31">
                  <v>0.3303464755077659</v>
                </pt>
                <pt idx="32">
                  <v>0.3992841519188706</v>
                </pt>
                <pt idx="33">
                  <v>0.2204536410664544</v>
                </pt>
                <pt idx="34">
                  <v>0</v>
                </pt>
                <pt idx="35">
                  <v>0</v>
                </pt>
                <pt idx="36">
                  <v>0.305765407554672</v>
                </pt>
                <pt idx="37">
                  <v>0.3641066454436928</v>
                </pt>
                <pt idx="38">
                  <v>0.2761980513024458</v>
                </pt>
                <pt idx="39">
                  <v>0.3939514524472742</v>
                </pt>
                <pt idx="40">
                  <v>0.349512631788343</v>
                </pt>
                <pt idx="41">
                  <v>0.4664676616915423</v>
                </pt>
                <pt idx="42">
                  <v>0.3927859705061778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4"/>
          <order val="2"/>
          <tx>
            <strRef>
              <f>GS!$M$1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GS!$H$2:$H$75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GS!$M$2:$M$75</f>
              <numCache>
                <formatCode>0%</formatCode>
                <ptCount val="74"/>
                <pt idx="0">
                  <v>0.4241389328254624</v>
                </pt>
                <pt idx="1">
                  <v>0.5729588522792209</v>
                </pt>
                <pt idx="2">
                  <v>0.412671584192272</v>
                </pt>
                <pt idx="3">
                  <v>0.4188787721290753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0.2884424109807042</v>
                </pt>
                <pt idx="13">
                  <v>0.2216474333465977</v>
                </pt>
                <pt idx="14">
                  <v>0.296318407960199</v>
                </pt>
                <pt idx="15">
                  <v>0.2226422602467171</v>
                </pt>
                <pt idx="16">
                  <v>0.3851969757262236</v>
                </pt>
                <pt idx="17">
                  <v>0.3024089189727255</v>
                </pt>
                <pt idx="18">
                  <v>0.4456824512534819</v>
                </pt>
                <pt idx="19">
                  <v>0.3634917478623981</v>
                </pt>
                <pt idx="20">
                  <v>0.9906709011512504</v>
                </pt>
                <pt idx="21">
                  <v>1</v>
                </pt>
                <pt idx="22">
                  <v>0.2851173895742141</v>
                </pt>
                <pt idx="23">
                  <v>0.3343283582089552</v>
                </pt>
                <pt idx="24">
                  <v>0.2846337579617834</v>
                </pt>
                <pt idx="25">
                  <v>0.3226512738853503</v>
                </pt>
                <pt idx="26">
                  <v>0.2831541218637993</v>
                </pt>
                <pt idx="27">
                  <v>0.3653004377238361</v>
                </pt>
                <pt idx="28">
                  <v>0.283724631914047</v>
                </pt>
                <pt idx="29">
                  <v>0.2232835820895522</v>
                </pt>
                <pt idx="30">
                  <v>0.2913432835820896</v>
                </pt>
                <pt idx="31">
                  <v>0.3343289526085225</v>
                </pt>
                <pt idx="32">
                  <v>0.3253131835354942</v>
                </pt>
                <pt idx="33">
                  <v>0.5246717071229606</v>
                </pt>
                <pt idx="34">
                  <v>1</v>
                </pt>
                <pt idx="35">
                  <v>1</v>
                </pt>
                <pt idx="36">
                  <v>0.4876739562624254</v>
                </pt>
                <pt idx="37">
                  <v>0.3895742140867489</v>
                </pt>
                <pt idx="38">
                  <v>0.4865778484788228</v>
                </pt>
                <pt idx="39">
                  <v>0.2843215280541186</v>
                </pt>
                <pt idx="40">
                  <v>0.3857171275114382</v>
                </pt>
                <pt idx="41">
                  <v>0.2483582089552239</v>
                </pt>
                <pt idx="42">
                  <v>0.321841371064169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005852904"/>
        <axId val="1005853984"/>
      </barChart>
      <lineChart>
        <grouping val="standard"/>
        <varyColors val="0"/>
        <ser>
          <idx val="5"/>
          <order val="3"/>
          <tx>
            <strRef>
              <f>GS!$I$1</f>
              <strCache>
                <ptCount val="1"/>
                <pt idx="0">
                  <v>Mục Tiêu C1</v>
                </pt>
              </strCache>
            </strRef>
          </tx>
          <spPr>
            <a:ln xmlns:a="http://schemas.openxmlformats.org/drawingml/2006/main" w="28575" cap="rnd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GS!$H$2:$H$75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GS!$I$2:$I$75</f>
              <numCache>
                <formatCode>0%</formatCode>
                <ptCount val="74"/>
                <pt idx="0">
                  <v>0.35</v>
                </pt>
                <pt idx="1">
                  <v>0.35</v>
                </pt>
                <pt idx="2">
                  <v>0.35</v>
                </pt>
                <pt idx="3">
                  <v>0.35</v>
                </pt>
                <pt idx="4">
                  <v>0.35</v>
                </pt>
                <pt idx="5">
                  <v>0.35</v>
                </pt>
                <pt idx="6">
                  <v>0.35</v>
                </pt>
                <pt idx="7">
                  <v>0.35</v>
                </pt>
                <pt idx="8">
                  <v>0.35</v>
                </pt>
                <pt idx="9">
                  <v>0.35</v>
                </pt>
                <pt idx="10">
                  <v>0.35</v>
                </pt>
                <pt idx="11">
                  <v>0.35</v>
                </pt>
                <pt idx="12">
                  <v>0.35</v>
                </pt>
                <pt idx="13">
                  <v>0.35</v>
                </pt>
                <pt idx="14">
                  <v>0.35</v>
                </pt>
                <pt idx="15">
                  <v>0.35</v>
                </pt>
                <pt idx="16">
                  <v>0.35</v>
                </pt>
                <pt idx="17">
                  <v>0.35</v>
                </pt>
                <pt idx="18">
                  <v>0.35</v>
                </pt>
                <pt idx="19">
                  <v>0.35</v>
                </pt>
                <pt idx="20">
                  <v>0.35</v>
                </pt>
                <pt idx="21">
                  <v>0.35</v>
                </pt>
                <pt idx="22">
                  <v>0.35</v>
                </pt>
                <pt idx="23">
                  <v>0.35</v>
                </pt>
                <pt idx="24">
                  <v>0.35</v>
                </pt>
                <pt idx="25">
                  <v>0.35</v>
                </pt>
                <pt idx="26">
                  <v>0.35</v>
                </pt>
                <pt idx="27">
                  <v>0.35</v>
                </pt>
                <pt idx="28">
                  <v>0.35</v>
                </pt>
                <pt idx="29">
                  <v>0.35</v>
                </pt>
                <pt idx="30">
                  <v>0.35</v>
                </pt>
                <pt idx="31">
                  <v>0.35</v>
                </pt>
                <pt idx="32">
                  <v>0.35</v>
                </pt>
                <pt idx="33">
                  <v>0.35</v>
                </pt>
                <pt idx="34">
                  <v>0.35</v>
                </pt>
                <pt idx="35">
                  <v>0.35</v>
                </pt>
                <pt idx="36">
                  <v>0.35</v>
                </pt>
                <pt idx="37">
                  <v>0.35</v>
                </pt>
                <pt idx="38">
                  <v>0.35</v>
                </pt>
                <pt idx="39">
                  <v>0.35</v>
                </pt>
                <pt idx="40">
                  <v>0.35</v>
                </pt>
                <pt idx="41">
                  <v>0.35</v>
                </pt>
                <pt idx="42">
                  <v>0.35</v>
                </pt>
              </numCache>
            </numRef>
          </val>
          <smooth val="0"/>
        </ser>
        <ser>
          <idx val="6"/>
          <order val="4"/>
          <tx>
            <strRef>
              <f>GS!$J$1</f>
              <strCache>
                <ptCount val="1"/>
                <pt idx="0">
                  <v>Mục Tiêu C2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GS!$H$2:$H$75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GS!$J$2:$J$75</f>
              <numCache>
                <formatCode>0%</formatCode>
                <ptCount val="74"/>
                <pt idx="0">
                  <v>0.4941176470588236</v>
                </pt>
                <pt idx="1">
                  <v>0.4941176470588236</v>
                </pt>
                <pt idx="2">
                  <v>0.4941176470588236</v>
                </pt>
                <pt idx="3">
                  <v>0.4941176470588236</v>
                </pt>
                <pt idx="4">
                  <v>0.4941176470588236</v>
                </pt>
                <pt idx="5">
                  <v>0.4941176470588236</v>
                </pt>
                <pt idx="6">
                  <v>0.4941176470588236</v>
                </pt>
                <pt idx="7">
                  <v>0.4941176470588236</v>
                </pt>
                <pt idx="8">
                  <v>0.4941176470588236</v>
                </pt>
                <pt idx="9">
                  <v>0.4941176470588236</v>
                </pt>
                <pt idx="10">
                  <v>0.4941176470588236</v>
                </pt>
                <pt idx="11">
                  <v>0.4941176470588236</v>
                </pt>
                <pt idx="12">
                  <v>0.4941176470588236</v>
                </pt>
                <pt idx="13">
                  <v>0.4941176470588236</v>
                </pt>
                <pt idx="14">
                  <v>0.4941176470588236</v>
                </pt>
                <pt idx="15">
                  <v>0.4941176470588236</v>
                </pt>
                <pt idx="16">
                  <v>0.4941176470588236</v>
                </pt>
                <pt idx="17">
                  <v>0.4941176470588236</v>
                </pt>
                <pt idx="18">
                  <v>0.4941176470588236</v>
                </pt>
                <pt idx="19">
                  <v>0.4941176470588236</v>
                </pt>
                <pt idx="20">
                  <v>0.4941176470588236</v>
                </pt>
                <pt idx="21">
                  <v>0.4941176470588236</v>
                </pt>
                <pt idx="22">
                  <v>0.4941176470588236</v>
                </pt>
                <pt idx="23">
                  <v>0.4941176470588236</v>
                </pt>
                <pt idx="24">
                  <v>0.4941176470588236</v>
                </pt>
                <pt idx="25">
                  <v>0.4941176470588236</v>
                </pt>
                <pt idx="26">
                  <v>0.4941176470588236</v>
                </pt>
                <pt idx="27">
                  <v>0.4941176470588236</v>
                </pt>
                <pt idx="28">
                  <v>0.4941176470588236</v>
                </pt>
                <pt idx="29">
                  <v>0.4941176470588236</v>
                </pt>
                <pt idx="30">
                  <v>0.4941176470588236</v>
                </pt>
                <pt idx="31">
                  <v>0.4941176470588236</v>
                </pt>
                <pt idx="32">
                  <v>0.4941176470588236</v>
                </pt>
                <pt idx="33">
                  <v>0.4941176470588236</v>
                </pt>
                <pt idx="34">
                  <v>0.4941176470588236</v>
                </pt>
                <pt idx="35">
                  <v>0.4941176470588236</v>
                </pt>
                <pt idx="36">
                  <v>0.4941176470588236</v>
                </pt>
                <pt idx="37">
                  <v>0.4941176470588236</v>
                </pt>
                <pt idx="38">
                  <v>0.4941176470588236</v>
                </pt>
                <pt idx="39">
                  <v>0.4941176470588236</v>
                </pt>
                <pt idx="40">
                  <v>0.4941176470588236</v>
                </pt>
                <pt idx="41">
                  <v>0.4941176470588236</v>
                </pt>
                <pt idx="42">
                  <v>0.4941176470588236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5852904"/>
        <axId val="1005853984"/>
      </lineChart>
      <catAx>
        <axId val="10058529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53984"/>
        <crosses val="autoZero"/>
        <auto val="1"/>
        <lblAlgn val="ctr"/>
        <lblOffset val="100"/>
        <noMultiLvlLbl val="0"/>
      </catAx>
      <valAx>
        <axId val="10058539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5290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CĐ Mài mô phỏng (GP)-9h/ca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1=70%, Ca 2=87%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percentStacked"/>
        <varyColors val="0"/>
        <ser>
          <idx val="2"/>
          <order val="0"/>
          <tx>
            <strRef>
              <f>GP!$K$1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;\-0%;;@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GP!$H$2:$H$75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GP!$K$2:$K$75</f>
              <numCache>
                <formatCode>0%</formatCode>
                <ptCount val="74"/>
                <pt idx="0">
                  <v>0.5313963328631875</v>
                </pt>
                <pt idx="1">
                  <v>0.433183956701466</v>
                </pt>
                <pt idx="2">
                  <v>0.6095018812826417</v>
                </pt>
                <pt idx="3">
                  <v>0.616956833886745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0.6696801112656467</v>
                </pt>
                <pt idx="13">
                  <v>0.7599164926931107</v>
                </pt>
                <pt idx="14">
                  <v>0.605702364394993</v>
                </pt>
                <pt idx="15">
                  <v>0.6662030598052852</v>
                </pt>
                <pt idx="16">
                  <v>0.6863699582753825</v>
                </pt>
                <pt idx="17">
                  <v>0.6787204450625869</v>
                </pt>
                <pt idx="18">
                  <v>0.5942936673625608</v>
                </pt>
                <pt idx="19">
                  <v>0.6791927627000696</v>
                </pt>
                <pt idx="20">
                  <v>0</v>
                </pt>
                <pt idx="21">
                  <v>0</v>
                </pt>
                <pt idx="22">
                  <v>0.6722338204592901</v>
                </pt>
                <pt idx="23">
                  <v>0.8269631688672689</v>
                </pt>
                <pt idx="24">
                  <v>0.6283924843423799</v>
                </pt>
                <pt idx="25">
                  <v>0.7876044568245125</v>
                </pt>
                <pt idx="26">
                  <v>0.6353514265831594</v>
                </pt>
                <pt idx="27">
                  <v>0.8539638386648123</v>
                </pt>
                <pt idx="28">
                  <v>0.6727019498607242</v>
                </pt>
                <pt idx="29">
                  <v>0.743910925539318</v>
                </pt>
                <pt idx="30">
                  <v>0.6564673157162726</v>
                </pt>
                <pt idx="31">
                  <v>0.7268936761640028</v>
                </pt>
                <pt idx="32">
                  <v>0.5827538247566064</v>
                </pt>
                <pt idx="33">
                  <v>0.6515994436717664</v>
                </pt>
                <pt idx="34">
                  <v>0.6183844011142061</v>
                </pt>
                <pt idx="35">
                  <v>0</v>
                </pt>
                <pt idx="36">
                  <v>0.6411682892906815</v>
                </pt>
                <pt idx="37">
                  <v>0.7399165507649513</v>
                </pt>
                <pt idx="38">
                  <v>0.6780250347705146</v>
                </pt>
                <pt idx="39">
                  <v>0.6872828353022933</v>
                </pt>
                <pt idx="40">
                  <v>0.6006944444444444</v>
                </pt>
                <pt idx="41">
                  <v>0.7341684064022269</v>
                </pt>
                <pt idx="42">
                  <v>0.6501742160278746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3"/>
          <order val="1"/>
          <tx>
            <strRef>
              <f>GP!$L$1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GP!$H$2:$H$75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GP!$L$2:$L$75</f>
              <numCache>
                <formatCode>0%</formatCode>
                <ptCount val="74"/>
                <pt idx="0">
                  <v>0.1511086036671368</v>
                </pt>
                <pt idx="1">
                  <v>0.07821790781682535</v>
                </pt>
                <pt idx="2">
                  <v>0.07445386645701128</v>
                </pt>
                <pt idx="3">
                  <v>0.07904065332495737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0.04937413073713491</v>
                </pt>
                <pt idx="13">
                  <v>0.04036186499652053</v>
                </pt>
                <pt idx="14">
                  <v>0.1189151599443672</v>
                </pt>
                <pt idx="15">
                  <v>0.1203059805285118</v>
                </pt>
                <pt idx="16">
                  <v>0.03337969401947149</v>
                </pt>
                <pt idx="17">
                  <v>0.1070931849791377</v>
                </pt>
                <pt idx="18">
                  <v>0.081419624217119</v>
                </pt>
                <pt idx="19">
                  <v>0.03340292275574112</v>
                </pt>
                <pt idx="20">
                  <v>0</v>
                </pt>
                <pt idx="21">
                  <v>0</v>
                </pt>
                <pt idx="22">
                  <v>0.04523312456506611</v>
                </pt>
                <pt idx="23">
                  <v>0.07852675469075747</v>
                </pt>
                <pt idx="24">
                  <v>0.08837856645789841</v>
                </pt>
                <pt idx="25">
                  <v>0.08844011142061281</v>
                </pt>
                <pt idx="26">
                  <v>0.08072372999304106</v>
                </pt>
                <pt idx="27">
                  <v>0.1133518776077886</v>
                </pt>
                <pt idx="28">
                  <v>0.0383008356545961</v>
                </pt>
                <pt idx="29">
                  <v>0.116214335421016</v>
                </pt>
                <pt idx="30">
                  <v>0.05702364394993046</v>
                </pt>
                <pt idx="31">
                  <v>0.1285615010423906</v>
                </pt>
                <pt idx="32">
                  <v>0.0917941585535466</v>
                </pt>
                <pt idx="33">
                  <v>0.08762169680111266</v>
                </pt>
                <pt idx="34">
                  <v>0.04874651810584958</v>
                </pt>
                <pt idx="35">
                  <v>0</v>
                </pt>
                <pt idx="36">
                  <v>0.0917941585535466</v>
                </pt>
                <pt idx="37">
                  <v>0.05563282336578582</v>
                </pt>
                <pt idx="38">
                  <v>0.05493741307371349</v>
                </pt>
                <pt idx="39">
                  <v>0.2140375260597637</v>
                </pt>
                <pt idx="40">
                  <v>0.2659722222222222</v>
                </pt>
                <pt idx="41">
                  <v>0.04732080723729993</v>
                </pt>
                <pt idx="42">
                  <v>0.07317073170731707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4"/>
          <order val="2"/>
          <tx>
            <strRef>
              <f>GP!$M$1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GP!$H$2:$H$75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GP!$M$2:$M$75</f>
              <numCache>
                <formatCode>0%</formatCode>
                <ptCount val="74"/>
                <pt idx="0">
                  <v>0.3174950634696756</v>
                </pt>
                <pt idx="1">
                  <v>0.4885981354817086</v>
                </pt>
                <pt idx="2">
                  <v>0.316044252260347</v>
                </pt>
                <pt idx="3">
                  <v>0.3040025127882976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0.2809457579972184</v>
                </pt>
                <pt idx="13">
                  <v>0.1997216423103688</v>
                </pt>
                <pt idx="14">
                  <v>0.2753824756606398</v>
                </pt>
                <pt idx="15">
                  <v>0.2134909596662031</v>
                </pt>
                <pt idx="16">
                  <v>0.2802503477051461</v>
                </pt>
                <pt idx="17">
                  <v>0.2141863699582754</v>
                </pt>
                <pt idx="18">
                  <v>0.3242867084203201</v>
                </pt>
                <pt idx="19">
                  <v>0.2874043145441893</v>
                </pt>
                <pt idx="20">
                  <v>1</v>
                </pt>
                <pt idx="21">
                  <v>1</v>
                </pt>
                <pt idx="22">
                  <v>0.2825330549756437</v>
                </pt>
                <pt idx="23">
                  <v>0.0945100764419736</v>
                </pt>
                <pt idx="24">
                  <v>0.2832289491997216</v>
                </pt>
                <pt idx="25">
                  <v>0.1239554317548747</v>
                </pt>
                <pt idx="26">
                  <v>0.2839248434237996</v>
                </pt>
                <pt idx="27">
                  <v>0.03268428372739916</v>
                </pt>
                <pt idx="28">
                  <v>0.2889972144846797</v>
                </pt>
                <pt idx="29">
                  <v>0.139874739039666</v>
                </pt>
                <pt idx="30">
                  <v>0.2865090403337969</v>
                </pt>
                <pt idx="31">
                  <v>0.1445448227936067</v>
                </pt>
                <pt idx="32">
                  <v>0.325452016689847</v>
                </pt>
                <pt idx="33">
                  <v>0.260778859527121</v>
                </pt>
                <pt idx="34">
                  <v>0.3328690807799443</v>
                </pt>
                <pt idx="35">
                  <v>1</v>
                </pt>
                <pt idx="36">
                  <v>0.2670375521557719</v>
                </pt>
                <pt idx="37">
                  <v>0.2044506258692629</v>
                </pt>
                <pt idx="38">
                  <v>0.2670375521557719</v>
                </pt>
                <pt idx="39">
                  <v>0.09867963863794302</v>
                </pt>
                <pt idx="40">
                  <v>0.1333333333333333</v>
                </pt>
                <pt idx="41">
                  <v>0.2185107863604732</v>
                </pt>
                <pt idx="42">
                  <v>0.2766550522648084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1005732304"/>
        <axId val="1005733384"/>
      </barChart>
      <lineChart>
        <grouping val="standard"/>
        <varyColors val="0"/>
        <ser>
          <idx val="5"/>
          <order val="3"/>
          <tx>
            <strRef>
              <f>GP!$I$1</f>
              <strCache>
                <ptCount val="1"/>
                <pt idx="0">
                  <v>Mục Tiêu C1</v>
                </pt>
              </strCache>
            </strRef>
          </tx>
          <spPr>
            <a:ln xmlns:a="http://schemas.openxmlformats.org/drawingml/2006/main" w="28575" cap="rnd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GP!$H$2:$H$75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GP!$I$2:$I$75</f>
              <numCache>
                <formatCode>0%</formatCode>
                <ptCount val="74"/>
                <pt idx="0">
                  <v>0.7</v>
                </pt>
                <pt idx="1">
                  <v>0.7</v>
                </pt>
                <pt idx="2">
                  <v>0.7</v>
                </pt>
                <pt idx="3">
                  <v>0.7</v>
                </pt>
                <pt idx="4">
                  <v>0.7</v>
                </pt>
                <pt idx="5">
                  <v>0.7</v>
                </pt>
                <pt idx="6">
                  <v>0.7</v>
                </pt>
                <pt idx="7">
                  <v>0.7</v>
                </pt>
                <pt idx="8">
                  <v>0.7</v>
                </pt>
                <pt idx="9">
                  <v>0.7</v>
                </pt>
                <pt idx="10">
                  <v>0.7</v>
                </pt>
                <pt idx="11">
                  <v>0.7</v>
                </pt>
                <pt idx="12">
                  <v>0.7</v>
                </pt>
                <pt idx="13">
                  <v>0.7</v>
                </pt>
                <pt idx="14">
                  <v>0.7</v>
                </pt>
                <pt idx="15">
                  <v>0.7</v>
                </pt>
                <pt idx="16">
                  <v>0.7</v>
                </pt>
                <pt idx="17">
                  <v>0.7</v>
                </pt>
                <pt idx="18">
                  <v>0.7</v>
                </pt>
                <pt idx="19">
                  <v>0.7</v>
                </pt>
                <pt idx="20">
                  <v>0.7</v>
                </pt>
                <pt idx="21">
                  <v>0.7</v>
                </pt>
                <pt idx="22">
                  <v>0.7</v>
                </pt>
                <pt idx="23">
                  <v>0.7</v>
                </pt>
                <pt idx="24">
                  <v>0.7</v>
                </pt>
                <pt idx="25">
                  <v>0.7</v>
                </pt>
                <pt idx="26">
                  <v>0.7</v>
                </pt>
                <pt idx="27">
                  <v>0.7</v>
                </pt>
                <pt idx="28">
                  <v>0.7</v>
                </pt>
                <pt idx="29">
                  <v>0.7</v>
                </pt>
                <pt idx="30">
                  <v>0.7</v>
                </pt>
                <pt idx="31">
                  <v>0.7</v>
                </pt>
                <pt idx="32">
                  <v>0.7</v>
                </pt>
                <pt idx="33">
                  <v>0.7</v>
                </pt>
                <pt idx="34">
                  <v>0.7</v>
                </pt>
                <pt idx="35">
                  <v>0.7</v>
                </pt>
                <pt idx="36">
                  <v>0.7</v>
                </pt>
                <pt idx="37">
                  <v>0.7</v>
                </pt>
                <pt idx="38">
                  <v>0.7</v>
                </pt>
                <pt idx="39">
                  <v>0.7</v>
                </pt>
                <pt idx="40">
                  <v>0.7</v>
                </pt>
                <pt idx="41">
                  <v>0.7</v>
                </pt>
                <pt idx="42">
                  <v>0.7</v>
                </pt>
              </numCache>
            </numRef>
          </val>
          <smooth val="0"/>
        </ser>
        <ser>
          <idx val="6"/>
          <order val="4"/>
          <tx>
            <strRef>
              <f>GP!$J$1</f>
              <strCache>
                <ptCount val="1"/>
                <pt idx="0">
                  <v>Mục Tiêu C2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GP!$H$2:$H$75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GP!$J$2:$J$75</f>
              <numCache>
                <formatCode>0%</formatCode>
                <ptCount val="74"/>
                <pt idx="0">
                  <v>0.8705882352941177</v>
                </pt>
                <pt idx="1">
                  <v>0.8705882352941177</v>
                </pt>
                <pt idx="2">
                  <v>0.8705882352941177</v>
                </pt>
                <pt idx="3">
                  <v>0.8705882352941177</v>
                </pt>
                <pt idx="4">
                  <v>0.8705882352941177</v>
                </pt>
                <pt idx="5">
                  <v>0.8705882352941177</v>
                </pt>
                <pt idx="6">
                  <v>0.8705882352941177</v>
                </pt>
                <pt idx="7">
                  <v>0.8705882352941177</v>
                </pt>
                <pt idx="8">
                  <v>0.8705882352941177</v>
                </pt>
                <pt idx="9">
                  <v>0.8705882352941177</v>
                </pt>
                <pt idx="10">
                  <v>0.8705882352941177</v>
                </pt>
                <pt idx="11">
                  <v>0.8705882352941177</v>
                </pt>
                <pt idx="12">
                  <v>0.8705882352941177</v>
                </pt>
                <pt idx="13">
                  <v>0.8705882352941177</v>
                </pt>
                <pt idx="14">
                  <v>0.8705882352941177</v>
                </pt>
                <pt idx="15">
                  <v>0.8705882352941177</v>
                </pt>
                <pt idx="16">
                  <v>0.8705882352941177</v>
                </pt>
                <pt idx="17">
                  <v>0.8705882352941177</v>
                </pt>
                <pt idx="18">
                  <v>0.8705882352941177</v>
                </pt>
                <pt idx="19">
                  <v>0.8705882352941177</v>
                </pt>
                <pt idx="20">
                  <v>0.8705882352941177</v>
                </pt>
                <pt idx="21">
                  <v>0.8705882352941177</v>
                </pt>
                <pt idx="22">
                  <v>0.8705882352941177</v>
                </pt>
                <pt idx="23">
                  <v>0.8705882352941177</v>
                </pt>
                <pt idx="24">
                  <v>0.8705882352941177</v>
                </pt>
                <pt idx="25">
                  <v>0.8705882352941177</v>
                </pt>
                <pt idx="26">
                  <v>0.8705882352941177</v>
                </pt>
                <pt idx="27">
                  <v>0.8705882352941177</v>
                </pt>
                <pt idx="28">
                  <v>0.8705882352941177</v>
                </pt>
                <pt idx="29">
                  <v>0.8705882352941177</v>
                </pt>
                <pt idx="30">
                  <v>0.8705882352941177</v>
                </pt>
                <pt idx="31">
                  <v>0.8705882352941177</v>
                </pt>
                <pt idx="32">
                  <v>0.8705882352941177</v>
                </pt>
                <pt idx="33">
                  <v>0.8705882352941177</v>
                </pt>
                <pt idx="34">
                  <v>0.8705882352941177</v>
                </pt>
                <pt idx="35">
                  <v>0.8705882352941177</v>
                </pt>
                <pt idx="36">
                  <v>0.8705882352941177</v>
                </pt>
                <pt idx="37">
                  <v>0.8705882352941177</v>
                </pt>
                <pt idx="38">
                  <v>0.8705882352941177</v>
                </pt>
                <pt idx="39">
                  <v>0.8705882352941177</v>
                </pt>
                <pt idx="40">
                  <v>0.8705882352941177</v>
                </pt>
                <pt idx="41">
                  <v>0.8705882352941177</v>
                </pt>
                <pt idx="42">
                  <v>0.8705882352941177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5732304"/>
        <axId val="1005733384"/>
      </lineChart>
      <catAx>
        <axId val="10057323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733384"/>
        <crosses val="autoZero"/>
        <auto val="1"/>
        <lblAlgn val="ctr"/>
        <lblOffset val="100"/>
        <noMultiLvlLbl val="0"/>
      </catAx>
      <valAx>
        <axId val="10057333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73230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CĐ Mài tròn có tâm-9h/ca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1=48%, Ca 2=68%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percentStacked"/>
        <varyColors val="0"/>
        <ser>
          <idx val="2"/>
          <order val="0"/>
          <tx>
            <strRef>
              <f>GR!$K$1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;\-0%;;@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GR!$H$2:$H$75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GR!$K$2:$K$75</f>
              <numCache>
                <formatCode>0%</formatCode>
                <ptCount val="74"/>
                <pt idx="0">
                  <v>0.4002417013971244</v>
                </pt>
                <pt idx="1">
                  <v>0.3079387947737096</v>
                </pt>
                <pt idx="2">
                  <v>0.4127645999954428</v>
                </pt>
                <pt idx="3">
                  <v>0.4510741464071655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0.467966573816156</v>
                </pt>
                <pt idx="13">
                  <v>0.5254355400696864</v>
                </pt>
                <pt idx="14">
                  <v>0.5086986778009742</v>
                </pt>
                <pt idx="15">
                  <v>0.6023676880222841</v>
                </pt>
                <pt idx="16">
                  <v>0.4965229485396384</v>
                </pt>
                <pt idx="17">
                  <v>0.5146239554317549</v>
                </pt>
                <pt idx="18">
                  <v>0.4449860724233983</v>
                </pt>
                <pt idx="19">
                  <v>0.3887343532684284</v>
                </pt>
                <pt idx="20">
                  <v>0</v>
                </pt>
                <pt idx="21">
                  <v>0</v>
                </pt>
                <pt idx="22">
                  <v>0.4815588030619346</v>
                </pt>
                <pt idx="23">
                  <v>0.6239554317548747</v>
                </pt>
                <pt idx="24">
                  <v>0.4439805149617258</v>
                </pt>
                <pt idx="25">
                  <v>0.5560194850382741</v>
                </pt>
                <pt idx="26">
                  <v>0.4540389972144847</v>
                </pt>
                <pt idx="27">
                  <v>0.631432545201669</v>
                </pt>
                <pt idx="28">
                  <v>0.5334261838440112</v>
                </pt>
                <pt idx="29">
                  <v>0.5347705146036161</v>
                </pt>
                <pt idx="30">
                  <v>0.5080027835768963</v>
                </pt>
                <pt idx="31">
                  <v>0.6044568245125348</v>
                </pt>
                <pt idx="32">
                  <v>0.5038274182324287</v>
                </pt>
                <pt idx="33">
                  <v>0.483983286908078</v>
                </pt>
                <pt idx="34">
                  <v>0</v>
                </pt>
                <pt idx="35">
                  <v>0</v>
                </pt>
                <pt idx="36">
                  <v>0.4794711203897007</v>
                </pt>
                <pt idx="37">
                  <v>0.5365344467640919</v>
                </pt>
                <pt idx="38">
                  <v>0.5034818941504178</v>
                </pt>
                <pt idx="39">
                  <v>0.5243732590529248</v>
                </pt>
                <pt idx="40">
                  <v>0.5274878218510787</v>
                </pt>
                <pt idx="41">
                  <v>0.5219512195121951</v>
                </pt>
                <pt idx="42">
                  <v>0.5856545961002786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3"/>
          <order val="1"/>
          <tx>
            <strRef>
              <f>GR!$L$1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GR!$H$2:$H$75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GR!$L$2:$L$75</f>
              <numCache>
                <formatCode>0%</formatCode>
                <ptCount val="74"/>
                <pt idx="0">
                  <v>0.1963315601034572</v>
                </pt>
                <pt idx="1">
                  <v>0.1315887525460778</v>
                </pt>
                <pt idx="2">
                  <v>0.1860231959350149</v>
                </pt>
                <pt idx="3">
                  <v>0.1846813477899746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0.2493036211699164</v>
                </pt>
                <pt idx="13">
                  <v>0.2536585365853659</v>
                </pt>
                <pt idx="14">
                  <v>0.2066805845511482</v>
                </pt>
                <pt idx="15">
                  <v>0.1740947075208914</v>
                </pt>
                <pt idx="16">
                  <v>0.2107093184979138</v>
                </pt>
                <pt idx="17">
                  <v>0.1880222841225627</v>
                </pt>
                <pt idx="18">
                  <v>0.2270194986072423</v>
                </pt>
                <pt idx="19">
                  <v>0.2517385257301808</v>
                </pt>
                <pt idx="20">
                  <v>0</v>
                </pt>
                <pt idx="21">
                  <v>0</v>
                </pt>
                <pt idx="22">
                  <v>0.2359081419624217</v>
                </pt>
                <pt idx="23">
                  <v>0.153899721448468</v>
                </pt>
                <pt idx="24">
                  <v>0.2727905358385526</v>
                </pt>
                <pt idx="25">
                  <v>0.220598469032707</v>
                </pt>
                <pt idx="26">
                  <v>0.2646239554317549</v>
                </pt>
                <pt idx="27">
                  <v>0.1481223922114047</v>
                </pt>
                <pt idx="28">
                  <v>0.1845403899721448</v>
                </pt>
                <pt idx="29">
                  <v>0.2461752433936022</v>
                </pt>
                <pt idx="30">
                  <v>0.2115518441196938</v>
                </pt>
                <pt idx="31">
                  <v>0.1789693593314763</v>
                </pt>
                <pt idx="32">
                  <v>0.1635351426583159</v>
                </pt>
                <pt idx="33">
                  <v>0.1636490250696379</v>
                </pt>
                <pt idx="34">
                  <v>0</v>
                </pt>
                <pt idx="35">
                  <v>0</v>
                </pt>
                <pt idx="36">
                  <v>0.2379958246346555</v>
                </pt>
                <pt idx="37">
                  <v>0.2421711899791232</v>
                </pt>
                <pt idx="38">
                  <v>0.2158774373259053</v>
                </pt>
                <pt idx="39">
                  <v>0.2527855153203343</v>
                </pt>
                <pt idx="40">
                  <v>0.18580375782881</v>
                </pt>
                <pt idx="41">
                  <v>0.2564459930313589</v>
                </pt>
                <pt idx="42">
                  <v>0.1302228412256267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4"/>
          <order val="2"/>
          <tx>
            <strRef>
              <f>GR!$M$1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GR!$H$2:$H$75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GR!$M$2:$M$75</f>
              <numCache>
                <formatCode>0%</formatCode>
                <ptCount val="74"/>
                <pt idx="0">
                  <v>0.4034267384994183</v>
                </pt>
                <pt idx="1">
                  <v>0.5604724526802126</v>
                </pt>
                <pt idx="2">
                  <v>0.4012122040695422</v>
                </pt>
                <pt idx="3">
                  <v>0.3642445058028599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0.2827298050139276</v>
                </pt>
                <pt idx="13">
                  <v>0.2209059233449477</v>
                </pt>
                <pt idx="14">
                  <v>0.2846207376478775</v>
                </pt>
                <pt idx="15">
                  <v>0.2235376044568245</v>
                </pt>
                <pt idx="16">
                  <v>0.2927677329624478</v>
                </pt>
                <pt idx="17">
                  <v>0.2973537604456825</v>
                </pt>
                <pt idx="18">
                  <v>0.3279944289693593</v>
                </pt>
                <pt idx="19">
                  <v>0.3595271210013908</v>
                </pt>
                <pt idx="20">
                  <v>1</v>
                </pt>
                <pt idx="21">
                  <v>1</v>
                </pt>
                <pt idx="22">
                  <v>0.2825330549756437</v>
                </pt>
                <pt idx="23">
                  <v>0.2221448467966574</v>
                </pt>
                <pt idx="24">
                  <v>0.2832289491997216</v>
                </pt>
                <pt idx="25">
                  <v>0.2233820459290188</v>
                </pt>
                <pt idx="26">
                  <v>0.2813370473537605</v>
                </pt>
                <pt idx="27">
                  <v>0.2204450625869263</v>
                </pt>
                <pt idx="28">
                  <v>0.282033426183844</v>
                </pt>
                <pt idx="29">
                  <v>0.2190542420027816</v>
                </pt>
                <pt idx="30">
                  <v>0.2804453723034099</v>
                </pt>
                <pt idx="31">
                  <v>0.2165738161559889</v>
                </pt>
                <pt idx="32">
                  <v>0.3326374391092554</v>
                </pt>
                <pt idx="33">
                  <v>0.3523676880222841</v>
                </pt>
                <pt idx="34">
                  <v>1</v>
                </pt>
                <pt idx="35">
                  <v>1</v>
                </pt>
                <pt idx="36">
                  <v>0.2825330549756437</v>
                </pt>
                <pt idx="37">
                  <v>0.221294363256785</v>
                </pt>
                <pt idx="38">
                  <v>0.2806406685236769</v>
                </pt>
                <pt idx="39">
                  <v>0.2228412256267409</v>
                </pt>
                <pt idx="40">
                  <v>0.2867084203201113</v>
                </pt>
                <pt idx="41">
                  <v>0.221602787456446</v>
                </pt>
                <pt idx="42">
                  <v>0.2841225626740947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005851464"/>
        <axId val="1005855064"/>
      </barChart>
      <lineChart>
        <grouping val="standard"/>
        <varyColors val="0"/>
        <ser>
          <idx val="5"/>
          <order val="3"/>
          <tx>
            <strRef>
              <f>GR!$I$1</f>
              <strCache>
                <ptCount val="1"/>
                <pt idx="0">
                  <v>Mục Tiêu C1</v>
                </pt>
              </strCache>
            </strRef>
          </tx>
          <spPr>
            <a:ln xmlns:a="http://schemas.openxmlformats.org/drawingml/2006/main" w="28575" cap="rnd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GR!$H$2:$H$75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GR!$I$2:$I$75</f>
              <numCache>
                <formatCode>0%</formatCode>
                <ptCount val="74"/>
                <pt idx="0">
                  <v>0.48</v>
                </pt>
                <pt idx="1">
                  <v>0.48</v>
                </pt>
                <pt idx="2">
                  <v>0.48</v>
                </pt>
                <pt idx="3">
                  <v>0.48</v>
                </pt>
                <pt idx="4">
                  <v>0.48</v>
                </pt>
                <pt idx="5">
                  <v>0.48</v>
                </pt>
                <pt idx="6">
                  <v>0.48</v>
                </pt>
                <pt idx="7">
                  <v>0.48</v>
                </pt>
                <pt idx="8">
                  <v>0.48</v>
                </pt>
                <pt idx="9">
                  <v>0.48</v>
                </pt>
                <pt idx="10">
                  <v>0.48</v>
                </pt>
                <pt idx="11">
                  <v>0.48</v>
                </pt>
                <pt idx="12">
                  <v>0.48</v>
                </pt>
                <pt idx="13">
                  <v>0.48</v>
                </pt>
                <pt idx="14">
                  <v>0.48</v>
                </pt>
                <pt idx="15">
                  <v>0.48</v>
                </pt>
                <pt idx="16">
                  <v>0.48</v>
                </pt>
                <pt idx="17">
                  <v>0.48</v>
                </pt>
                <pt idx="18">
                  <v>0.48</v>
                </pt>
                <pt idx="19">
                  <v>0.48</v>
                </pt>
                <pt idx="20">
                  <v>0.48</v>
                </pt>
                <pt idx="21">
                  <v>0.48</v>
                </pt>
                <pt idx="22">
                  <v>0.48</v>
                </pt>
                <pt idx="23">
                  <v>0.48</v>
                </pt>
                <pt idx="24">
                  <v>0.48</v>
                </pt>
                <pt idx="25">
                  <v>0.48</v>
                </pt>
                <pt idx="26">
                  <v>0.48</v>
                </pt>
                <pt idx="27">
                  <v>0.48</v>
                </pt>
                <pt idx="28">
                  <v>0.48</v>
                </pt>
                <pt idx="29">
                  <v>0.48</v>
                </pt>
                <pt idx="30">
                  <v>0.48</v>
                </pt>
                <pt idx="31">
                  <v>0.48</v>
                </pt>
                <pt idx="32">
                  <v>0.48</v>
                </pt>
                <pt idx="33">
                  <v>0.48</v>
                </pt>
                <pt idx="34">
                  <v>0.48</v>
                </pt>
                <pt idx="35">
                  <v>0.48</v>
                </pt>
                <pt idx="36">
                  <v>0.48</v>
                </pt>
                <pt idx="37">
                  <v>0.48</v>
                </pt>
                <pt idx="38">
                  <v>0.48</v>
                </pt>
                <pt idx="39">
                  <v>0.48</v>
                </pt>
                <pt idx="40">
                  <v>0.48</v>
                </pt>
                <pt idx="41">
                  <v>0.48</v>
                </pt>
                <pt idx="42">
                  <v>0.48</v>
                </pt>
              </numCache>
            </numRef>
          </val>
          <smooth val="0"/>
        </ser>
        <ser>
          <idx val="6"/>
          <order val="4"/>
          <tx>
            <strRef>
              <f>GR!$J$1</f>
              <strCache>
                <ptCount val="1"/>
                <pt idx="0">
                  <v>Mục Tiêu C2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GR!$H$2:$H$75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GR!$J$2:$J$75</f>
              <numCache>
                <formatCode>0%</formatCode>
                <ptCount val="74"/>
                <pt idx="0">
                  <v>0.6776470588235293</v>
                </pt>
                <pt idx="1">
                  <v>0.6776470588235293</v>
                </pt>
                <pt idx="2">
                  <v>0.6776470588235293</v>
                </pt>
                <pt idx="3">
                  <v>0.6776470588235293</v>
                </pt>
                <pt idx="4">
                  <v>0.6776470588235293</v>
                </pt>
                <pt idx="5">
                  <v>0.6776470588235293</v>
                </pt>
                <pt idx="6">
                  <v>0.6776470588235293</v>
                </pt>
                <pt idx="7">
                  <v>0.6776470588235293</v>
                </pt>
                <pt idx="8">
                  <v>0.6776470588235293</v>
                </pt>
                <pt idx="9">
                  <v>0.6776470588235293</v>
                </pt>
                <pt idx="10">
                  <v>0.6776470588235293</v>
                </pt>
                <pt idx="11">
                  <v>0.6776470588235293</v>
                </pt>
                <pt idx="12">
                  <v>0.6776470588235293</v>
                </pt>
                <pt idx="13">
                  <v>0.6776470588235293</v>
                </pt>
                <pt idx="14">
                  <v>0.6776470588235293</v>
                </pt>
                <pt idx="15">
                  <v>0.6776470588235293</v>
                </pt>
                <pt idx="16">
                  <v>0.6776470588235293</v>
                </pt>
                <pt idx="17">
                  <v>0.6776470588235293</v>
                </pt>
                <pt idx="18">
                  <v>0.6776470588235293</v>
                </pt>
                <pt idx="19">
                  <v>0.6776470588235293</v>
                </pt>
                <pt idx="20">
                  <v>0.6776470588235293</v>
                </pt>
                <pt idx="21">
                  <v>0.6776470588235293</v>
                </pt>
                <pt idx="22">
                  <v>0.6776470588235293</v>
                </pt>
                <pt idx="23">
                  <v>0.6776470588235293</v>
                </pt>
                <pt idx="24">
                  <v>0.6776470588235293</v>
                </pt>
                <pt idx="25">
                  <v>0.6776470588235293</v>
                </pt>
                <pt idx="26">
                  <v>0.6776470588235293</v>
                </pt>
                <pt idx="27">
                  <v>0.6776470588235293</v>
                </pt>
                <pt idx="28">
                  <v>0.6776470588235293</v>
                </pt>
                <pt idx="29">
                  <v>0.6776470588235293</v>
                </pt>
                <pt idx="30">
                  <v>0.6776470588235293</v>
                </pt>
                <pt idx="31">
                  <v>0.6776470588235293</v>
                </pt>
                <pt idx="32">
                  <v>0.6776470588235293</v>
                </pt>
                <pt idx="33">
                  <v>0.6776470588235293</v>
                </pt>
                <pt idx="34">
                  <v>0.6776470588235293</v>
                </pt>
                <pt idx="35">
                  <v>0.6776470588235293</v>
                </pt>
                <pt idx="36">
                  <v>0.6776470588235293</v>
                </pt>
                <pt idx="37">
                  <v>0.6776470588235293</v>
                </pt>
                <pt idx="38">
                  <v>0.6776470588235293</v>
                </pt>
                <pt idx="39">
                  <v>0.6776470588235293</v>
                </pt>
                <pt idx="40">
                  <v>0.6776470588235293</v>
                </pt>
                <pt idx="41">
                  <v>0.6776470588235293</v>
                </pt>
                <pt idx="42">
                  <v>0.6776470588235293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5851464"/>
        <axId val="1005855064"/>
      </lineChart>
      <catAx>
        <axId val="100585146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55064"/>
        <crosses val="autoZero"/>
        <auto val="1"/>
        <lblAlgn val="ctr"/>
        <lblOffset val="100"/>
        <noMultiLvlLbl val="0"/>
      </catAx>
      <valAx>
        <axId val="10058550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5146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CĐ Mài tròn vô tâm (GC)-9h/ca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1=38%, Ca 2= 54%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percentStacked"/>
        <varyColors val="0"/>
        <ser>
          <idx val="2"/>
          <order val="0"/>
          <tx>
            <strRef>
              <f>GC!$K$1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;\-0%;;@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GC!$H$2:$H$75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GC!$K$2:$K$75</f>
              <numCache>
                <formatCode>0%</formatCode>
                <ptCount val="74"/>
                <pt idx="0">
                  <v>0.1616755652380039</v>
                </pt>
                <pt idx="1">
                  <v>0.12839104577679</v>
                </pt>
                <pt idx="2">
                  <v>0.2481571361839332</v>
                </pt>
                <pt idx="3">
                  <v>0.2330842254090083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0.3389121338912134</v>
                </pt>
                <pt idx="13">
                  <v>0.2173611111111111</v>
                </pt>
                <pt idx="14">
                  <v>0.1438498957609451</v>
                </pt>
                <pt idx="15">
                  <v>0.2878998609179416</v>
                </pt>
                <pt idx="16">
                  <v>0.1696801112656467</v>
                </pt>
                <pt idx="17">
                  <v>0.2059846903270703</v>
                </pt>
                <pt idx="18">
                  <v>0.1681723419041001</v>
                </pt>
                <pt idx="19">
                  <v>0.2359081419624217</v>
                </pt>
                <pt idx="20">
                  <v>0</v>
                </pt>
                <pt idx="21">
                  <v>0</v>
                </pt>
                <pt idx="22">
                  <v>0.3778705636743215</v>
                </pt>
                <pt idx="23">
                  <v>0.2116991643454039</v>
                </pt>
                <pt idx="24">
                  <v>0.3393602225312934</v>
                </pt>
                <pt idx="25">
                  <v>0.2118466898954704</v>
                </pt>
                <pt idx="26">
                  <v>0.3731758165392633</v>
                </pt>
                <pt idx="27">
                  <v>0.2033426183844011</v>
                </pt>
                <pt idx="28">
                  <v>0.3871866295264624</v>
                </pt>
                <pt idx="29">
                  <v>0.2393876130828114</v>
                </pt>
                <pt idx="30">
                  <v>0.3043175487465181</v>
                </pt>
                <pt idx="31">
                  <v>0.2674094707520892</v>
                </pt>
                <pt idx="32">
                  <v>0.3324061196105703</v>
                </pt>
                <pt idx="33">
                  <v>0.1991643454038997</v>
                </pt>
                <pt idx="34">
                  <v>0</v>
                </pt>
                <pt idx="35">
                  <v>0</v>
                </pt>
                <pt idx="36">
                  <v>0.3287004864489229</v>
                </pt>
                <pt idx="37">
                  <v>0.2289491997216423</v>
                </pt>
                <pt idx="38">
                  <v>0.2959610027855153</v>
                </pt>
                <pt idx="39">
                  <v>0.256089074460682</v>
                </pt>
                <pt idx="40">
                  <v>0.3389004871259568</v>
                </pt>
                <pt idx="41">
                  <v>0.2567849686847599</v>
                </pt>
                <pt idx="42">
                  <v>0.3075313807531381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3"/>
          <order val="1"/>
          <tx>
            <strRef>
              <f>GC!$L$1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GC!$H$2:$H$75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GC!$L$2:$L$75</f>
              <numCache>
                <formatCode>0%</formatCode>
                <ptCount val="74"/>
                <pt idx="0">
                  <v>0.1654795633868</v>
                </pt>
                <pt idx="1">
                  <v>0.1216989682529829</v>
                </pt>
                <pt idx="2">
                  <v>0.2096478335668957</v>
                </pt>
                <pt idx="3">
                  <v>0.1991068022172849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0.2921896792189679</v>
                </pt>
                <pt idx="13">
                  <v>0.2298611111111111</v>
                </pt>
                <pt idx="14">
                  <v>0.1334259902710215</v>
                </pt>
                <pt idx="15">
                  <v>0.1564673157162726</v>
                </pt>
                <pt idx="16">
                  <v>0.1105702364394993</v>
                </pt>
                <pt idx="17">
                  <v>0.1941544885177453</v>
                </pt>
                <pt idx="18">
                  <v>0.1097984711605281</v>
                </pt>
                <pt idx="19">
                  <v>0.1725817675713291</v>
                </pt>
                <pt idx="20">
                  <v>0</v>
                </pt>
                <pt idx="21">
                  <v>0</v>
                </pt>
                <pt idx="22">
                  <v>0.2540013917884482</v>
                </pt>
                <pt idx="23">
                  <v>0.2325905292479109</v>
                </pt>
                <pt idx="24">
                  <v>0.2927677329624478</v>
                </pt>
                <pt idx="25">
                  <v>0.2355400696864111</v>
                </pt>
                <pt idx="26">
                  <v>0.2599027102154274</v>
                </pt>
                <pt idx="27">
                  <v>0.2444289693593315</v>
                </pt>
                <pt idx="28">
                  <v>0.2458217270194986</v>
                </pt>
                <pt idx="29">
                  <v>0.2025052192066806</v>
                </pt>
                <pt idx="30">
                  <v>0.3272980501392758</v>
                </pt>
                <pt idx="31">
                  <v>0.1803621169916435</v>
                </pt>
                <pt idx="32">
                  <v>0.2788595271210014</v>
                </pt>
                <pt idx="33">
                  <v>0.2089136490250696</v>
                </pt>
                <pt idx="34">
                  <v>0</v>
                </pt>
                <pt idx="35">
                  <v>0</v>
                </pt>
                <pt idx="36">
                  <v>0.3036831132731063</v>
                </pt>
                <pt idx="37">
                  <v>0.1753653444676409</v>
                </pt>
                <pt idx="38">
                  <v>0.3377437325905293</v>
                </pt>
                <pt idx="39">
                  <v>0.1885873347251218</v>
                </pt>
                <pt idx="40">
                  <v>0.2950591510090466</v>
                </pt>
                <pt idx="41">
                  <v>0.186499652052888</v>
                </pt>
                <pt idx="42">
                  <v>0.3256624825662482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4"/>
          <order val="2"/>
          <tx>
            <strRef>
              <f>GC!$M$1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GC!$H$2:$H$75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GC!$M$2:$M$75</f>
              <numCache>
                <formatCode>0%</formatCode>
                <ptCount val="74"/>
                <pt idx="0">
                  <v>0.6728448713751961</v>
                </pt>
                <pt idx="1">
                  <v>0.7499099859702271</v>
                </pt>
                <pt idx="2">
                  <v>0.5421950302491712</v>
                </pt>
                <pt idx="3">
                  <v>0.5678089723737068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0.3688981868898187</v>
                </pt>
                <pt idx="13">
                  <v>0.5527777777777778</v>
                </pt>
                <pt idx="14">
                  <v>0.7227241139680334</v>
                </pt>
                <pt idx="15">
                  <v>0.5556328233657858</v>
                </pt>
                <pt idx="16">
                  <v>0.719749652294854</v>
                </pt>
                <pt idx="17">
                  <v>0.5998608211551845</v>
                </pt>
                <pt idx="18">
                  <v>0.7220291869353718</v>
                </pt>
                <pt idx="19">
                  <v>0.5915100904662491</v>
                </pt>
                <pt idx="20">
                  <v>1</v>
                </pt>
                <pt idx="21">
                  <v>1</v>
                </pt>
                <pt idx="22">
                  <v>0.3681280445372304</v>
                </pt>
                <pt idx="23">
                  <v>0.5557103064066853</v>
                </pt>
                <pt idx="24">
                  <v>0.3678720445062587</v>
                </pt>
                <pt idx="25">
                  <v>0.5526132404181184</v>
                </pt>
                <pt idx="26">
                  <v>0.3669214732453092</v>
                </pt>
                <pt idx="27">
                  <v>0.5522284122562674</v>
                </pt>
                <pt idx="28">
                  <v>0.366991643454039</v>
                </pt>
                <pt idx="29">
                  <v>0.5581071677105081</v>
                </pt>
                <pt idx="30">
                  <v>0.3683844011142061</v>
                </pt>
                <pt idx="31">
                  <v>0.5522284122562674</v>
                </pt>
                <pt idx="32">
                  <v>0.3887343532684284</v>
                </pt>
                <pt idx="33">
                  <v>0.5919220055710307</v>
                </pt>
                <pt idx="34">
                  <v>1</v>
                </pt>
                <pt idx="35">
                  <v>1</v>
                </pt>
                <pt idx="36">
                  <v>0.3676164002779708</v>
                </pt>
                <pt idx="37">
                  <v>0.5956854558107167</v>
                </pt>
                <pt idx="38">
                  <v>0.3662952646239555</v>
                </pt>
                <pt idx="39">
                  <v>0.5553235908141962</v>
                </pt>
                <pt idx="40">
                  <v>0.3660403618649965</v>
                </pt>
                <pt idx="41">
                  <v>0.5567153792623522</v>
                </pt>
                <pt idx="42">
                  <v>0.3668061366806137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1005736984"/>
        <axId val="1005739864"/>
      </barChart>
      <lineChart>
        <grouping val="standard"/>
        <varyColors val="0"/>
        <ser>
          <idx val="5"/>
          <order val="3"/>
          <tx>
            <strRef>
              <f>GC!$I$1</f>
              <strCache>
                <ptCount val="1"/>
                <pt idx="0">
                  <v>Mục Tiêu C1</v>
                </pt>
              </strCache>
            </strRef>
          </tx>
          <spPr>
            <a:ln xmlns:a="http://schemas.openxmlformats.org/drawingml/2006/main" w="28575" cap="rnd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GC!$H$2:$H$75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GC!$I$2:$I$75</f>
              <numCache>
                <formatCode>0%</formatCode>
                <ptCount val="74"/>
                <pt idx="0">
                  <v>0.38</v>
                </pt>
                <pt idx="1">
                  <v>0.38</v>
                </pt>
                <pt idx="2">
                  <v>0.38</v>
                </pt>
                <pt idx="3">
                  <v>0.38</v>
                </pt>
                <pt idx="4">
                  <v>0.38</v>
                </pt>
                <pt idx="5">
                  <v>0.38</v>
                </pt>
                <pt idx="6">
                  <v>0.38</v>
                </pt>
                <pt idx="7">
                  <v>0.38</v>
                </pt>
                <pt idx="8">
                  <v>0.38</v>
                </pt>
                <pt idx="9">
                  <v>0.38</v>
                </pt>
                <pt idx="10">
                  <v>0.38</v>
                </pt>
                <pt idx="11">
                  <v>0.38</v>
                </pt>
                <pt idx="12">
                  <v>0.38</v>
                </pt>
                <pt idx="13">
                  <v>0.38</v>
                </pt>
                <pt idx="14">
                  <v>0.38</v>
                </pt>
                <pt idx="15">
                  <v>0.38</v>
                </pt>
                <pt idx="16">
                  <v>0.38</v>
                </pt>
                <pt idx="17">
                  <v>0.38</v>
                </pt>
                <pt idx="18">
                  <v>0.38</v>
                </pt>
                <pt idx="19">
                  <v>0.38</v>
                </pt>
                <pt idx="20">
                  <v>0.38</v>
                </pt>
                <pt idx="21">
                  <v>0.38</v>
                </pt>
                <pt idx="22">
                  <v>0.38</v>
                </pt>
                <pt idx="23">
                  <v>0.38</v>
                </pt>
                <pt idx="24">
                  <v>0.38</v>
                </pt>
                <pt idx="25">
                  <v>0.38</v>
                </pt>
                <pt idx="26">
                  <v>0.38</v>
                </pt>
                <pt idx="27">
                  <v>0.38</v>
                </pt>
                <pt idx="28">
                  <v>0.38</v>
                </pt>
                <pt idx="29">
                  <v>0.38</v>
                </pt>
                <pt idx="30">
                  <v>0.38</v>
                </pt>
                <pt idx="31">
                  <v>0.38</v>
                </pt>
                <pt idx="32">
                  <v>0.38</v>
                </pt>
                <pt idx="33">
                  <v>0.38</v>
                </pt>
                <pt idx="34">
                  <v>0.38</v>
                </pt>
                <pt idx="35">
                  <v>0.38</v>
                </pt>
                <pt idx="36">
                  <v>0.38</v>
                </pt>
                <pt idx="37">
                  <v>0.38</v>
                </pt>
                <pt idx="38">
                  <v>0.38</v>
                </pt>
                <pt idx="39">
                  <v>0.38</v>
                </pt>
                <pt idx="40">
                  <v>0.38</v>
                </pt>
                <pt idx="41">
                  <v>0.38</v>
                </pt>
                <pt idx="42">
                  <v>0.38</v>
                </pt>
              </numCache>
            </numRef>
          </val>
          <smooth val="0"/>
        </ser>
        <ser>
          <idx val="6"/>
          <order val="4"/>
          <tx>
            <strRef>
              <f>GC!$J$1</f>
              <strCache>
                <ptCount val="1"/>
                <pt idx="0">
                  <v>Mục Tiêu C2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GC!$H$2:$H$75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GC!$J$2:$J$75</f>
              <numCache>
                <formatCode>0%</formatCode>
                <ptCount val="74"/>
                <pt idx="0">
                  <v>0.5364705882352941</v>
                </pt>
                <pt idx="1">
                  <v>0.5364705882352941</v>
                </pt>
                <pt idx="2">
                  <v>0.5364705882352941</v>
                </pt>
                <pt idx="3">
                  <v>0.5364705882352941</v>
                </pt>
                <pt idx="4">
                  <v>0.5364705882352941</v>
                </pt>
                <pt idx="5">
                  <v>0.5364705882352941</v>
                </pt>
                <pt idx="6">
                  <v>0.5364705882352941</v>
                </pt>
                <pt idx="7">
                  <v>0.5364705882352941</v>
                </pt>
                <pt idx="8">
                  <v>0.5364705882352941</v>
                </pt>
                <pt idx="9">
                  <v>0.5364705882352941</v>
                </pt>
                <pt idx="10">
                  <v>0.5364705882352941</v>
                </pt>
                <pt idx="11">
                  <v>0.5364705882352941</v>
                </pt>
                <pt idx="12">
                  <v>0.5364705882352941</v>
                </pt>
                <pt idx="13">
                  <v>0.5364705882352941</v>
                </pt>
                <pt idx="14">
                  <v>0.5364705882352941</v>
                </pt>
                <pt idx="15">
                  <v>0.5364705882352941</v>
                </pt>
                <pt idx="16">
                  <v>0.5364705882352941</v>
                </pt>
                <pt idx="17">
                  <v>0.5364705882352941</v>
                </pt>
                <pt idx="18">
                  <v>0.5364705882352941</v>
                </pt>
                <pt idx="19">
                  <v>0.5364705882352941</v>
                </pt>
                <pt idx="20">
                  <v>0.5364705882352941</v>
                </pt>
                <pt idx="21">
                  <v>0.5364705882352941</v>
                </pt>
                <pt idx="22">
                  <v>0.5364705882352941</v>
                </pt>
                <pt idx="23">
                  <v>0.5364705882352941</v>
                </pt>
                <pt idx="24">
                  <v>0.5364705882352941</v>
                </pt>
                <pt idx="25">
                  <v>0.5364705882352941</v>
                </pt>
                <pt idx="26">
                  <v>0.5364705882352941</v>
                </pt>
                <pt idx="27">
                  <v>0.5364705882352941</v>
                </pt>
                <pt idx="28">
                  <v>0.5364705882352941</v>
                </pt>
                <pt idx="29">
                  <v>0.5364705882352941</v>
                </pt>
                <pt idx="30">
                  <v>0.5364705882352941</v>
                </pt>
                <pt idx="31">
                  <v>0.5364705882352941</v>
                </pt>
                <pt idx="32">
                  <v>0.5364705882352941</v>
                </pt>
                <pt idx="33">
                  <v>0.5364705882352941</v>
                </pt>
                <pt idx="34">
                  <v>0.5364705882352941</v>
                </pt>
                <pt idx="35">
                  <v>0.5364705882352941</v>
                </pt>
                <pt idx="36">
                  <v>0.5364705882352941</v>
                </pt>
                <pt idx="37">
                  <v>0.5364705882352941</v>
                </pt>
                <pt idx="38">
                  <v>0.5364705882352941</v>
                </pt>
                <pt idx="39">
                  <v>0.5364705882352941</v>
                </pt>
                <pt idx="40">
                  <v>0.5364705882352941</v>
                </pt>
                <pt idx="41">
                  <v>0.5364705882352941</v>
                </pt>
                <pt idx="42">
                  <v>0.5364705882352941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5736984"/>
        <axId val="1005739864"/>
      </lineChart>
      <catAx>
        <axId val="10057369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739864"/>
        <crosses val="autoZero"/>
        <auto val="1"/>
        <lblAlgn val="ctr"/>
        <lblOffset val="100"/>
        <noMultiLvlLbl val="0"/>
      </catAx>
      <valAx>
        <axId val="10057398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7369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CĐ Tiện CNC-9h/ca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1=65%, Ca 2= 80%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rich>
      </tx>
      <layout>
        <manualLayout>
          <xMode val="edge"/>
          <yMode val="edge"/>
          <wMode val="factor"/>
          <hMode val="factor"/>
          <x val="0.2410342893368991"/>
          <y val="0.0152526169647532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419423260783611"/>
          <y val="0.1367424242424242"/>
          <w val="0.9448622929283904"/>
          <h val="0.6506877833452637"/>
        </manualLayout>
      </layout>
      <barChart>
        <barDir val="col"/>
        <grouping val="percentStacked"/>
        <varyColors val="0"/>
        <ser>
          <idx val="2"/>
          <order val="0"/>
          <tx>
            <strRef>
              <f>LN!$K$1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;\-0%;;@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LN!$H$2:$H$75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LN!$K$2:$K$75</f>
              <numCache>
                <formatCode>0%</formatCode>
                <ptCount val="74"/>
                <pt idx="0">
                  <v>0.5052880160900318</v>
                </pt>
                <pt idx="1">
                  <v>0.3839050459855829</v>
                </pt>
                <pt idx="2">
                  <v>0.547059225980068</v>
                </pt>
                <pt idx="3">
                  <v>0.5347666868863876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0.5615866388308977</v>
                </pt>
                <pt idx="13">
                  <v>0.686411149825784</v>
                </pt>
                <pt idx="14">
                  <v>0.5734168406402227</v>
                </pt>
                <pt idx="15">
                  <v>0.581184668989547</v>
                </pt>
                <pt idx="16">
                  <v>0.5410863509749304</v>
                </pt>
                <pt idx="17">
                  <v>0.5756097560975609</v>
                </pt>
                <pt idx="18">
                  <v>0.4958217270194986</v>
                </pt>
                <pt idx="19">
                  <v>0.5365344467640919</v>
                </pt>
                <pt idx="20">
                  <v>0.5792767732962448</v>
                </pt>
                <pt idx="21">
                  <v>0</v>
                </pt>
                <pt idx="22">
                  <v>0.4832869080779944</v>
                </pt>
                <pt idx="23">
                  <v>0.5418410041841004</v>
                </pt>
                <pt idx="24">
                  <v>0.5501392757660167</v>
                </pt>
                <pt idx="25">
                  <v>0.5653389238294899</v>
                </pt>
                <pt idx="26">
                  <v>0.5125348189415042</v>
                </pt>
                <pt idx="27">
                  <v>0.7028531663187195</v>
                </pt>
                <pt idx="28">
                  <v>0.5515320334261838</v>
                </pt>
                <pt idx="29">
                  <v>0.633008356545961</v>
                </pt>
                <pt idx="30">
                  <v>0.5233449477351917</v>
                </pt>
                <pt idx="31">
                  <v>0.6262203626220363</v>
                </pt>
                <pt idx="32">
                  <v>0.4877878576413119</v>
                </pt>
                <pt idx="33">
                  <v>0.5066109951287404</v>
                </pt>
                <pt idx="34">
                  <v>0.4066852367688022</v>
                </pt>
                <pt idx="35">
                  <v>0</v>
                </pt>
                <pt idx="36">
                  <v>0.4773519163763066</v>
                </pt>
                <pt idx="37">
                  <v>0.6434540389972145</v>
                </pt>
                <pt idx="38">
                  <v>0.5814763231197771</v>
                </pt>
                <pt idx="39">
                  <v>0.6977715877437326</v>
                </pt>
                <pt idx="40">
                  <v>0.6125435540069687</v>
                </pt>
                <pt idx="41">
                  <v>0.7423398328690808</v>
                </pt>
                <pt idx="42">
                  <v>0.603905160390516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3"/>
          <order val="1"/>
          <tx>
            <strRef>
              <f>LN!$L$1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LN!$H$2:$H$75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LN!$L$2:$L$75</f>
              <numCache>
                <formatCode>0%</formatCode>
                <ptCount val="74"/>
                <pt idx="0">
                  <v>0.1686063591783236</v>
                </pt>
                <pt idx="1">
                  <v>0.1504225702212279</v>
                </pt>
                <pt idx="2">
                  <v>0.194793495860795</v>
                </pt>
                <pt idx="3">
                  <v>0.2138123160567051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0.2950591510090466</v>
                </pt>
                <pt idx="13">
                  <v>0.2048780487804878</v>
                </pt>
                <pt idx="14">
                  <v>0.2839248434237996</v>
                </pt>
                <pt idx="15">
                  <v>0.3094076655052265</v>
                </pt>
                <pt idx="16">
                  <v>0.3147632311977716</v>
                </pt>
                <pt idx="17">
                  <v>0.3142857142857143</v>
                </pt>
                <pt idx="18">
                  <v>0.3398328690807799</v>
                </pt>
                <pt idx="19">
                  <v>0.290883785664579</v>
                </pt>
                <pt idx="20">
                  <v>0.2524339360222531</v>
                </pt>
                <pt idx="21">
                  <v>0</v>
                </pt>
                <pt idx="22">
                  <v>0.2298050139275766</v>
                </pt>
                <pt idx="23">
                  <v>0.2426778242677824</v>
                </pt>
                <pt idx="24">
                  <v>0.1664345403899722</v>
                </pt>
                <pt idx="25">
                  <v>0.2194269741439553</v>
                </pt>
                <pt idx="26">
                  <v>0.2047353760445682</v>
                </pt>
                <pt idx="27">
                  <v>0.08211551844119694</v>
                </pt>
                <pt idx="28">
                  <v>0.1657381615598886</v>
                </pt>
                <pt idx="29">
                  <v>0.1518105849582173</v>
                </pt>
                <pt idx="30">
                  <v>0.1958188153310104</v>
                </pt>
                <pt idx="31">
                  <v>0.1603905160390516</v>
                </pt>
                <pt idx="32">
                  <v>0.1870202372644801</v>
                </pt>
                <pt idx="33">
                  <v>0.1524008350730689</v>
                </pt>
                <pt idx="34">
                  <v>0.2618384401114206</v>
                </pt>
                <pt idx="35">
                  <v>0</v>
                </pt>
                <pt idx="36">
                  <v>0.2383275261324042</v>
                </pt>
                <pt idx="37">
                  <v>0.2486072423398329</v>
                </pt>
                <pt idx="38">
                  <v>0.277158774373259</v>
                </pt>
                <pt idx="39">
                  <v>0.1935933147632312</v>
                </pt>
                <pt idx="40">
                  <v>0.245993031358885</v>
                </pt>
                <pt idx="41">
                  <v>0.1469359331476323</v>
                </pt>
                <pt idx="42">
                  <v>0.2531380753138076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4"/>
          <order val="2"/>
          <tx>
            <strRef>
              <f>LN!$M$1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LN!$H$2:$H$75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LN!$M$2:$M$75</f>
              <numCache>
                <formatCode>0%</formatCode>
                <ptCount val="74"/>
                <pt idx="0">
                  <v>0.3261056247316445</v>
                </pt>
                <pt idx="1">
                  <v>0.4656723837931891</v>
                </pt>
                <pt idx="2">
                  <v>0.258147278159137</v>
                </pt>
                <pt idx="3">
                  <v>0.2514209970569073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0.1433542101600557</v>
                </pt>
                <pt idx="13">
                  <v>0.1087108013937282</v>
                </pt>
                <pt idx="14">
                  <v>0.1426583159359777</v>
                </pt>
                <pt idx="15">
                  <v>0.1094076655052265</v>
                </pt>
                <pt idx="16">
                  <v>0.144150417827298</v>
                </pt>
                <pt idx="17">
                  <v>0.1101045296167247</v>
                </pt>
                <pt idx="18">
                  <v>0.1643454038997214</v>
                </pt>
                <pt idx="19">
                  <v>0.1725817675713291</v>
                </pt>
                <pt idx="20">
                  <v>0.1682892906815021</v>
                </pt>
                <pt idx="21">
                  <v>1</v>
                </pt>
                <pt idx="22">
                  <v>0.286908077994429</v>
                </pt>
                <pt idx="23">
                  <v>0.2154811715481172</v>
                </pt>
                <pt idx="24">
                  <v>0.2834261838440111</v>
                </pt>
                <pt idx="25">
                  <v>0.2152341020265549</v>
                </pt>
                <pt idx="26">
                  <v>0.2827298050139276</v>
                </pt>
                <pt idx="27">
                  <v>0.2150313152400835</v>
                </pt>
                <pt idx="28">
                  <v>0.2827298050139276</v>
                </pt>
                <pt idx="29">
                  <v>0.2151810584958217</v>
                </pt>
                <pt idx="30">
                  <v>0.2808362369337979</v>
                </pt>
                <pt idx="31">
                  <v>0.2133891213389121</v>
                </pt>
                <pt idx="32">
                  <v>0.325191905094208</v>
                </pt>
                <pt idx="33">
                  <v>0.3409881697981907</v>
                </pt>
                <pt idx="34">
                  <v>0.3314763231197771</v>
                </pt>
                <pt idx="35">
                  <v>1</v>
                </pt>
                <pt idx="36">
                  <v>0.2843205574912892</v>
                </pt>
                <pt idx="37">
                  <v>0.1079387186629526</v>
                </pt>
                <pt idx="38">
                  <v>0.1413649025069638</v>
                </pt>
                <pt idx="39">
                  <v>0.1086350974930362</v>
                </pt>
                <pt idx="40">
                  <v>0.1414634146341463</v>
                </pt>
                <pt idx="41">
                  <v>0.1107242339832869</v>
                </pt>
                <pt idx="42">
                  <v>0.1429567642956764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1005858664"/>
        <axId val="1005862264"/>
      </barChart>
      <lineChart>
        <grouping val="standard"/>
        <varyColors val="0"/>
        <ser>
          <idx val="5"/>
          <order val="3"/>
          <tx>
            <strRef>
              <f>LN!$I$1</f>
              <strCache>
                <ptCount val="1"/>
                <pt idx="0">
                  <v>Mục Tiêu C1</v>
                </pt>
              </strCache>
            </strRef>
          </tx>
          <spPr>
            <a:ln xmlns:a="http://schemas.openxmlformats.org/drawingml/2006/main" w="28575" cap="rnd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LN!$H$2:$H$75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LN!$I$2:$I$75</f>
              <numCache>
                <formatCode>0%</formatCode>
                <ptCount val="74"/>
                <pt idx="0">
                  <v>0.65</v>
                </pt>
                <pt idx="1">
                  <v>0.65</v>
                </pt>
                <pt idx="2">
                  <v>0.65</v>
                </pt>
                <pt idx="3">
                  <v>0.65</v>
                </pt>
                <pt idx="4">
                  <v>0.65</v>
                </pt>
                <pt idx="5">
                  <v>0.65</v>
                </pt>
                <pt idx="6">
                  <v>0.65</v>
                </pt>
                <pt idx="7">
                  <v>0.65</v>
                </pt>
                <pt idx="8">
                  <v>0.65</v>
                </pt>
                <pt idx="9">
                  <v>0.65</v>
                </pt>
                <pt idx="10">
                  <v>0.65</v>
                </pt>
                <pt idx="11">
                  <v>0.65</v>
                </pt>
                <pt idx="12">
                  <v>0.65</v>
                </pt>
                <pt idx="13">
                  <v>0.65</v>
                </pt>
                <pt idx="14">
                  <v>0.65</v>
                </pt>
                <pt idx="15">
                  <v>0.65</v>
                </pt>
                <pt idx="16">
                  <v>0.65</v>
                </pt>
                <pt idx="17">
                  <v>0.65</v>
                </pt>
                <pt idx="18">
                  <v>0.65</v>
                </pt>
                <pt idx="19">
                  <v>0.65</v>
                </pt>
                <pt idx="20">
                  <v>0.65</v>
                </pt>
                <pt idx="21">
                  <v>0.65</v>
                </pt>
                <pt idx="22">
                  <v>0.65</v>
                </pt>
                <pt idx="23">
                  <v>0.65</v>
                </pt>
                <pt idx="24">
                  <v>0.65</v>
                </pt>
                <pt idx="25">
                  <v>0.65</v>
                </pt>
                <pt idx="26">
                  <v>0.65</v>
                </pt>
                <pt idx="27">
                  <v>0.65</v>
                </pt>
                <pt idx="28">
                  <v>0.65</v>
                </pt>
                <pt idx="29">
                  <v>0.65</v>
                </pt>
                <pt idx="30">
                  <v>0.65</v>
                </pt>
                <pt idx="31">
                  <v>0.65</v>
                </pt>
                <pt idx="32">
                  <v>0.65</v>
                </pt>
                <pt idx="33">
                  <v>0.65</v>
                </pt>
                <pt idx="34">
                  <v>0.65</v>
                </pt>
                <pt idx="35">
                  <v>0.65</v>
                </pt>
                <pt idx="36">
                  <v>0.65</v>
                </pt>
                <pt idx="37">
                  <v>0.65</v>
                </pt>
                <pt idx="38">
                  <v>0.65</v>
                </pt>
                <pt idx="39">
                  <v>0.65</v>
                </pt>
                <pt idx="40">
                  <v>0.65</v>
                </pt>
                <pt idx="41">
                  <v>0.65</v>
                </pt>
                <pt idx="42">
                  <v>0.65</v>
                </pt>
              </numCache>
            </numRef>
          </val>
          <smooth val="0"/>
        </ser>
        <ser>
          <idx val="6"/>
          <order val="4"/>
          <tx>
            <strRef>
              <f>LN!$J$1</f>
              <strCache>
                <ptCount val="1"/>
                <pt idx="0">
                  <v>Mục Tiêu C2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LN!$H$2:$H$75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LN!$J$2:$J$75</f>
              <numCache>
                <formatCode>0%</formatCode>
                <ptCount val="74"/>
                <pt idx="0">
                  <v>0.8</v>
                </pt>
                <pt idx="1">
                  <v>0.8</v>
                </pt>
                <pt idx="2">
                  <v>0.8</v>
                </pt>
                <pt idx="3">
                  <v>0.8</v>
                </pt>
                <pt idx="4">
                  <v>0.8</v>
                </pt>
                <pt idx="5">
                  <v>0.8</v>
                </pt>
                <pt idx="6">
                  <v>0.8</v>
                </pt>
                <pt idx="7">
                  <v>0.8</v>
                </pt>
                <pt idx="8">
                  <v>0.8</v>
                </pt>
                <pt idx="9">
                  <v>0.8</v>
                </pt>
                <pt idx="10">
                  <v>0.8</v>
                </pt>
                <pt idx="11">
                  <v>0.8</v>
                </pt>
                <pt idx="12">
                  <v>0.8</v>
                </pt>
                <pt idx="13">
                  <v>0.8</v>
                </pt>
                <pt idx="14">
                  <v>0.8</v>
                </pt>
                <pt idx="15">
                  <v>0.8</v>
                </pt>
                <pt idx="16">
                  <v>0.8</v>
                </pt>
                <pt idx="17">
                  <v>0.8</v>
                </pt>
                <pt idx="18">
                  <v>0.8</v>
                </pt>
                <pt idx="19">
                  <v>0.8</v>
                </pt>
                <pt idx="20">
                  <v>0.8</v>
                </pt>
                <pt idx="21">
                  <v>0.8</v>
                </pt>
                <pt idx="22">
                  <v>0.8</v>
                </pt>
                <pt idx="23">
                  <v>0.8</v>
                </pt>
                <pt idx="24">
                  <v>0.8</v>
                </pt>
                <pt idx="25">
                  <v>0.8</v>
                </pt>
                <pt idx="26">
                  <v>0.8</v>
                </pt>
                <pt idx="27">
                  <v>0.8</v>
                </pt>
                <pt idx="28">
                  <v>0.8</v>
                </pt>
                <pt idx="29">
                  <v>0.8</v>
                </pt>
                <pt idx="30">
                  <v>0.8</v>
                </pt>
                <pt idx="31">
                  <v>0.8</v>
                </pt>
                <pt idx="32">
                  <v>0.8</v>
                </pt>
                <pt idx="33">
                  <v>0.8</v>
                </pt>
                <pt idx="34">
                  <v>0.8</v>
                </pt>
                <pt idx="35">
                  <v>0.8</v>
                </pt>
                <pt idx="36">
                  <v>0.8</v>
                </pt>
                <pt idx="37">
                  <v>0.8</v>
                </pt>
                <pt idx="38">
                  <v>0.8</v>
                </pt>
                <pt idx="39">
                  <v>0.8</v>
                </pt>
                <pt idx="40">
                  <v>0.8</v>
                </pt>
                <pt idx="41">
                  <v>0.8</v>
                </pt>
                <pt idx="42">
                  <v>0.8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5858664"/>
        <axId val="1005862264"/>
      </lineChart>
      <catAx>
        <axId val="100585866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62264"/>
        <crosses val="autoZero"/>
        <auto val="1"/>
        <lblAlgn val="ctr"/>
        <lblOffset val="100"/>
        <noMultiLvlLbl val="0"/>
      </catAx>
      <valAx>
        <axId val="10058622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5866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2655120346219594"/>
          <y val="0.9285033404915295"/>
          <w val="0.4665766761203653"/>
          <h val="0.0639209019327129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CĐ Phay CNC(MC)-9h/ca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1=65%, Ca 2=80%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percentStacked"/>
        <varyColors val="0"/>
        <ser>
          <idx val="2"/>
          <order val="0"/>
          <tx>
            <strRef>
              <f>MC!$K$1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;\-0%;;@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MC!$H$2:$H$75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MC!$K$2:$K$75</f>
              <numCache>
                <formatCode>0%</formatCode>
                <ptCount val="74"/>
                <pt idx="0">
                  <v>0.4292086493829956</v>
                </pt>
                <pt idx="1">
                  <v>0.3506208063432557</v>
                </pt>
                <pt idx="2">
                  <v>0.4777401302013934</v>
                </pt>
                <pt idx="3">
                  <v>0.506586053768603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0.5337366216845044</v>
                </pt>
                <pt idx="13">
                  <v>0.6875580315691736</v>
                </pt>
                <pt idx="14">
                  <v>0.4550953932061424</v>
                </pt>
                <pt idx="15">
                  <v>0.595072059507206</v>
                </pt>
                <pt idx="16">
                  <v>0.5595903165735568</v>
                </pt>
                <pt idx="17">
                  <v>0.6234309623430963</v>
                </pt>
                <pt idx="18">
                  <v>0.3508120649651972</v>
                </pt>
                <pt idx="19">
                  <v>0.4758588672237697</v>
                </pt>
                <pt idx="20">
                  <v>0.4944134078212291</v>
                </pt>
                <pt idx="21">
                  <v>0</v>
                </pt>
                <pt idx="22">
                  <v>0.4853556485355648</v>
                </pt>
                <pt idx="23">
                  <v>0.7095571095571096</v>
                </pt>
                <pt idx="24">
                  <v>0.4614312267657992</v>
                </pt>
                <pt idx="25">
                  <v>0.74487895716946</v>
                </pt>
                <pt idx="26">
                  <v>0.5220827522082753</v>
                </pt>
                <pt idx="27">
                  <v>0.7234936945352639</v>
                </pt>
                <pt idx="28">
                  <v>0.4902416356877323</v>
                </pt>
                <pt idx="29">
                  <v>0.6568764568764569</v>
                </pt>
                <pt idx="30">
                  <v>0.499302649930265</v>
                </pt>
                <pt idx="31">
                  <v>0.5841491841491842</v>
                </pt>
                <pt idx="32">
                  <v>0.2980992118683357</v>
                </pt>
                <pt idx="33">
                  <v>0.491635687732342</v>
                </pt>
                <pt idx="34">
                  <v>0.4181395348837209</v>
                </pt>
                <pt idx="35">
                  <v>0</v>
                </pt>
                <pt idx="36">
                  <v>0.4696828358208955</v>
                </pt>
                <pt idx="37">
                  <v>0.6</v>
                </pt>
                <pt idx="38">
                  <v>0.5197766402978129</v>
                </pt>
                <pt idx="39">
                  <v>0.602510460251046</v>
                </pt>
                <pt idx="40">
                  <v>0.5037243947858473</v>
                </pt>
                <pt idx="41">
                  <v>0.6213953488372093</v>
                </pt>
                <pt idx="42">
                  <v>0.5337995337995338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3"/>
          <order val="1"/>
          <tx>
            <strRef>
              <f>MC!$L$1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MC!$H$2:$H$75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MC!$L$2:$L$75</f>
              <numCache>
                <formatCode>0%</formatCode>
                <ptCount val="74"/>
                <pt idx="0">
                  <v>0.2728706743650704</v>
                </pt>
                <pt idx="1">
                  <v>0.1849895080825088</v>
                </pt>
                <pt idx="2">
                  <v>0.3126051699851525</v>
                </pt>
                <pt idx="3">
                  <v>0.3252820451272204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0.3704048394602141</v>
                </pt>
                <pt idx="13">
                  <v>0.2400185701021356</v>
                </pt>
                <pt idx="14">
                  <v>0.4485807352256864</v>
                </pt>
                <pt idx="15">
                  <v>0.3328684332868433</v>
                </pt>
                <pt idx="16">
                  <v>0.3440409683426443</v>
                </pt>
                <pt idx="17">
                  <v>0.302185030218503</v>
                </pt>
                <pt idx="18">
                  <v>0.414385150812065</v>
                </pt>
                <pt idx="19">
                  <v>0.2929433611884865</v>
                </pt>
                <pt idx="20">
                  <v>0.2811918063314711</v>
                </pt>
                <pt idx="21">
                  <v>0</v>
                </pt>
                <pt idx="22">
                  <v>0.2338447233844723</v>
                </pt>
                <pt idx="23">
                  <v>0.2904428904428905</v>
                </pt>
                <pt idx="24">
                  <v>0.5385687732342007</v>
                </pt>
                <pt idx="25">
                  <v>0.25512104283054</v>
                </pt>
                <pt idx="26">
                  <v>0.4779172477917248</v>
                </pt>
                <pt idx="27">
                  <v>0.2765063054647361</v>
                </pt>
                <pt idx="28">
                  <v>0.5009293680297398</v>
                </pt>
                <pt idx="29">
                  <v>0.3431235431235432</v>
                </pt>
                <pt idx="30">
                  <v>0.500697350069735</v>
                </pt>
                <pt idx="31">
                  <v>0.4158508158508158</v>
                </pt>
                <pt idx="32">
                  <v>0.4506258692628651</v>
                </pt>
                <pt idx="33">
                  <v>0.2439591078066914</v>
                </pt>
                <pt idx="34">
                  <v>0.3367441860465116</v>
                </pt>
                <pt idx="35">
                  <v>0</v>
                </pt>
                <pt idx="36">
                  <v>0.2476679104477612</v>
                </pt>
                <pt idx="37">
                  <v>0.2553488372093023</v>
                </pt>
                <pt idx="38">
                  <v>0.2899022801302932</v>
                </pt>
                <pt idx="39">
                  <v>0.3249651324965133</v>
                </pt>
                <pt idx="40">
                  <v>0.4008379888268156</v>
                </pt>
                <pt idx="41">
                  <v>0.3055813953488372</v>
                </pt>
                <pt idx="42">
                  <v>0.3706293706293706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4"/>
          <order val="2"/>
          <tx>
            <strRef>
              <f>MC!$M$1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MC!$H$2:$H$75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MC!$M$2:$M$75</f>
              <numCache>
                <formatCode>0%</formatCode>
                <ptCount val="74"/>
                <pt idx="0">
                  <v>0.297920676251934</v>
                </pt>
                <pt idx="1">
                  <v>0.4643896855742355</v>
                </pt>
                <pt idx="2">
                  <v>0.2096546998134541</v>
                </pt>
                <pt idx="3">
                  <v>0.1681319011041767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0.09585853885528153</v>
                </pt>
                <pt idx="13">
                  <v>0.07242339832869081</v>
                </pt>
                <pt idx="14">
                  <v>0.09632387156817124</v>
                </pt>
                <pt idx="15">
                  <v>0.07205950720595072</v>
                </pt>
                <pt idx="16">
                  <v>0.09636871508379888</v>
                </pt>
                <pt idx="17">
                  <v>0.07438400743840075</v>
                </pt>
                <pt idx="18">
                  <v>0.2348027842227378</v>
                </pt>
                <pt idx="19">
                  <v>0.2311977715877437</v>
                </pt>
                <pt idx="20">
                  <v>0.2243947858472998</v>
                </pt>
                <pt idx="21">
                  <v>1</v>
                </pt>
                <pt idx="22">
                  <v>0.2807996280799628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0.008828996282527882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0.2512749188687993</v>
                </pt>
                <pt idx="33">
                  <v>0.2644052044609665</v>
                </pt>
                <pt idx="34">
                  <v>0.2451162790697674</v>
                </pt>
                <pt idx="35">
                  <v>1</v>
                </pt>
                <pt idx="36">
                  <v>0.2826492537313433</v>
                </pt>
                <pt idx="37">
                  <v>0.1446511627906977</v>
                </pt>
                <pt idx="38">
                  <v>0.1903210795718939</v>
                </pt>
                <pt idx="39">
                  <v>0.07252440725244072</v>
                </pt>
                <pt idx="40">
                  <v>0.09543761638733705</v>
                </pt>
                <pt idx="41">
                  <v>0.07302325581395348</v>
                </pt>
                <pt idx="42">
                  <v>0.09557109557109557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695551600"/>
        <axId val="695548000"/>
      </barChart>
      <lineChart>
        <grouping val="standard"/>
        <varyColors val="0"/>
        <ser>
          <idx val="5"/>
          <order val="3"/>
          <tx>
            <strRef>
              <f>MC!$I$1</f>
              <strCache>
                <ptCount val="1"/>
                <pt idx="0">
                  <v>Mục Tiêu C1</v>
                </pt>
              </strCache>
            </strRef>
          </tx>
          <spPr>
            <a:ln xmlns:a="http://schemas.openxmlformats.org/drawingml/2006/main" w="28575" cap="rnd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MC!$H$2:$H$75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MC!$I$2:$I$75</f>
              <numCache>
                <formatCode>0%</formatCode>
                <ptCount val="74"/>
                <pt idx="0">
                  <v>0.65</v>
                </pt>
                <pt idx="1">
                  <v>0.65</v>
                </pt>
                <pt idx="2">
                  <v>0.65</v>
                </pt>
                <pt idx="3">
                  <v>0.65</v>
                </pt>
                <pt idx="4">
                  <v>0.65</v>
                </pt>
                <pt idx="5">
                  <v>0.65</v>
                </pt>
                <pt idx="6">
                  <v>0.65</v>
                </pt>
                <pt idx="7">
                  <v>0.65</v>
                </pt>
                <pt idx="8">
                  <v>0.65</v>
                </pt>
                <pt idx="9">
                  <v>0.65</v>
                </pt>
                <pt idx="10">
                  <v>0.65</v>
                </pt>
                <pt idx="11">
                  <v>0.65</v>
                </pt>
                <pt idx="12">
                  <v>0.65</v>
                </pt>
                <pt idx="13">
                  <v>0.65</v>
                </pt>
                <pt idx="14">
                  <v>0.65</v>
                </pt>
                <pt idx="15">
                  <v>0.65</v>
                </pt>
                <pt idx="16">
                  <v>0.65</v>
                </pt>
                <pt idx="17">
                  <v>0.65</v>
                </pt>
                <pt idx="18">
                  <v>0.65</v>
                </pt>
                <pt idx="19">
                  <v>0.65</v>
                </pt>
                <pt idx="20">
                  <v>0.65</v>
                </pt>
                <pt idx="21">
                  <v>0.65</v>
                </pt>
                <pt idx="22">
                  <v>0.65</v>
                </pt>
                <pt idx="23">
                  <v>0.65</v>
                </pt>
                <pt idx="24">
                  <v>0.65</v>
                </pt>
                <pt idx="25">
                  <v>0.65</v>
                </pt>
                <pt idx="26">
                  <v>0.65</v>
                </pt>
                <pt idx="27">
                  <v>0.65</v>
                </pt>
                <pt idx="28">
                  <v>0.65</v>
                </pt>
                <pt idx="29">
                  <v>0.65</v>
                </pt>
                <pt idx="30">
                  <v>0.65</v>
                </pt>
                <pt idx="31">
                  <v>0.65</v>
                </pt>
                <pt idx="32">
                  <v>0.65</v>
                </pt>
                <pt idx="33">
                  <v>0.65</v>
                </pt>
                <pt idx="34">
                  <v>0.65</v>
                </pt>
                <pt idx="35">
                  <v>0.65</v>
                </pt>
                <pt idx="36">
                  <v>0.65</v>
                </pt>
                <pt idx="37">
                  <v>0.65</v>
                </pt>
                <pt idx="38">
                  <v>0.65</v>
                </pt>
                <pt idx="39">
                  <v>0.65</v>
                </pt>
                <pt idx="40">
                  <v>0.65</v>
                </pt>
                <pt idx="41">
                  <v>0.65</v>
                </pt>
                <pt idx="42">
                  <v>0.65</v>
                </pt>
              </numCache>
            </numRef>
          </val>
          <smooth val="0"/>
        </ser>
        <ser>
          <idx val="6"/>
          <order val="4"/>
          <tx>
            <strRef>
              <f>MC!$J$1</f>
              <strCache>
                <ptCount val="1"/>
                <pt idx="0">
                  <v>Mục Tiêu C2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MC!$H$2:$H$75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MC!$J$2:$J$75</f>
              <numCache>
                <formatCode>0%</formatCode>
                <ptCount val="74"/>
                <pt idx="0">
                  <v>0.8</v>
                </pt>
                <pt idx="1">
                  <v>0.8</v>
                </pt>
                <pt idx="2">
                  <v>0.8</v>
                </pt>
                <pt idx="3">
                  <v>0.8</v>
                </pt>
                <pt idx="4">
                  <v>0.8</v>
                </pt>
                <pt idx="5">
                  <v>0.8</v>
                </pt>
                <pt idx="6">
                  <v>0.8</v>
                </pt>
                <pt idx="7">
                  <v>0.8</v>
                </pt>
                <pt idx="8">
                  <v>0.8</v>
                </pt>
                <pt idx="9">
                  <v>0.8</v>
                </pt>
                <pt idx="10">
                  <v>0.8</v>
                </pt>
                <pt idx="11">
                  <v>0.8</v>
                </pt>
                <pt idx="12">
                  <v>0.8</v>
                </pt>
                <pt idx="13">
                  <v>0.8</v>
                </pt>
                <pt idx="14">
                  <v>0.8</v>
                </pt>
                <pt idx="15">
                  <v>0.8</v>
                </pt>
                <pt idx="16">
                  <v>0.8</v>
                </pt>
                <pt idx="17">
                  <v>0.8</v>
                </pt>
                <pt idx="18">
                  <v>0.8</v>
                </pt>
                <pt idx="19">
                  <v>0.8</v>
                </pt>
                <pt idx="20">
                  <v>0.8</v>
                </pt>
                <pt idx="21">
                  <v>0.8</v>
                </pt>
                <pt idx="22">
                  <v>0.8</v>
                </pt>
                <pt idx="23">
                  <v>0.8</v>
                </pt>
                <pt idx="24">
                  <v>0.8</v>
                </pt>
                <pt idx="25">
                  <v>0.8</v>
                </pt>
                <pt idx="26">
                  <v>0.8</v>
                </pt>
                <pt idx="27">
                  <v>0.8</v>
                </pt>
                <pt idx="28">
                  <v>0.8</v>
                </pt>
                <pt idx="29">
                  <v>0.8</v>
                </pt>
                <pt idx="30">
                  <v>0.8</v>
                </pt>
                <pt idx="31">
                  <v>0.8</v>
                </pt>
                <pt idx="32">
                  <v>0.8</v>
                </pt>
                <pt idx="33">
                  <v>0.8</v>
                </pt>
                <pt idx="34">
                  <v>0.8</v>
                </pt>
                <pt idx="35">
                  <v>0.8</v>
                </pt>
                <pt idx="36">
                  <v>0.8</v>
                </pt>
                <pt idx="37">
                  <v>0.8</v>
                </pt>
                <pt idx="38">
                  <v>0.8</v>
                </pt>
                <pt idx="39">
                  <v>0.8</v>
                </pt>
                <pt idx="40">
                  <v>0.8</v>
                </pt>
                <pt idx="41">
                  <v>0.8</v>
                </pt>
                <pt idx="42">
                  <v>0.8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95551600"/>
        <axId val="695548000"/>
      </lineChart>
      <catAx>
        <axId val="6955516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95548000"/>
        <crosses val="autoZero"/>
        <auto val="1"/>
        <lblAlgn val="ctr"/>
        <lblOffset val="100"/>
        <noMultiLvlLbl val="0"/>
      </catAx>
      <valAx>
        <axId val="6955480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9555160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CĐ Phay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vạn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năng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(MA)-9h/ca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1=30%, Ca 2= 42%</a:t>
            </a:r>
            <a:r>
              <a:rPr lang="en-US" sz="1400" b="0" i="0" strike="noStrike" kern="1200" spc="0" baseline="0" dirty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rich>
      </tx>
      <layout>
        <manualLayout>
          <xMode val="edge"/>
          <yMode val="edge"/>
          <wMode val="factor"/>
          <hMode val="factor"/>
          <x val="0.2308193143998728"/>
          <y val="0.00499628819062373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5482037037037037"/>
          <y val="0.1296825555502686"/>
          <w val="0.9224046913580247"/>
          <h val="0.5939013024575837"/>
        </manualLayout>
      </layout>
      <barChart>
        <barDir val="col"/>
        <grouping val="percentStacked"/>
        <varyColors val="0"/>
        <ser>
          <idx val="2"/>
          <order val="0"/>
          <tx>
            <strRef>
              <f>MA!$K$1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;\-0%;;@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MA!$H$2:$H$75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MA!$K$2:$K$75</f>
              <numCache>
                <formatCode>0%</formatCode>
                <ptCount val="74"/>
                <pt idx="0">
                  <v>0.2867596684458966</v>
                </pt>
                <pt idx="1">
                  <v>0.2044848765789779</v>
                </pt>
                <pt idx="2">
                  <v>0.3069794997607419</v>
                </pt>
                <pt idx="3">
                  <v>0.3146435625785599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0.3218923933209648</v>
                </pt>
                <pt idx="13">
                  <v>0.4338132837900604</v>
                </pt>
                <pt idx="14">
                  <v>0.2971719981455725</v>
                </pt>
                <pt idx="15">
                  <v>0.4277751973989782</v>
                </pt>
                <pt idx="16">
                  <v>0.2752548656163114</v>
                </pt>
                <pt idx="17">
                  <v>0.4601113172541744</v>
                </pt>
                <pt idx="18">
                  <v>0.2790913305516922</v>
                </pt>
                <pt idx="19">
                  <v>0.2871057513914657</v>
                </pt>
                <pt idx="20">
                  <v>0</v>
                </pt>
                <pt idx="21">
                  <v>0</v>
                </pt>
                <pt idx="22">
                  <v>0.3672237697307335</v>
                </pt>
                <pt idx="23">
                  <v>0.3144712430426716</v>
                </pt>
                <pt idx="24">
                  <v>0.3365831012070566</v>
                </pt>
                <pt idx="25">
                  <v>0.3081556997219648</v>
                </pt>
                <pt idx="26">
                  <v>0.3311658151416628</v>
                </pt>
                <pt idx="27">
                  <v>0.3543599257884972</v>
                </pt>
                <pt idx="28">
                  <v>0.3260566651184394</v>
                </pt>
                <pt idx="29">
                  <v>0.3260667903525046</v>
                </pt>
                <pt idx="30">
                  <v>0.3819025522041763</v>
                </pt>
                <pt idx="31">
                  <v>0.4053803339517625</v>
                </pt>
                <pt idx="32">
                  <v>0.3579387186629526</v>
                </pt>
                <pt idx="33">
                  <v>0.4464037122969838</v>
                </pt>
                <pt idx="34">
                  <v>0</v>
                </pt>
                <pt idx="35">
                  <v>0</v>
                </pt>
                <pt idx="36">
                  <v>0.4707792207792208</v>
                </pt>
                <pt idx="37">
                  <v>0.3729679516953089</v>
                </pt>
                <pt idx="38">
                  <v>0.4526901669758813</v>
                </pt>
                <pt idx="39">
                  <v>0.4047397769516728</v>
                </pt>
                <pt idx="40">
                  <v>0.3354958294717331</v>
                </pt>
                <pt idx="41">
                  <v>0.2706592386258124</v>
                </pt>
                <pt idx="42">
                  <v>0.4119832791453785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3"/>
          <order val="1"/>
          <tx>
            <strRef>
              <f>MA!$L$1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MA!$H$2:$H$75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MA!$L$2:$L$75</f>
              <numCache>
                <formatCode>0%</formatCode>
                <ptCount val="74"/>
                <pt idx="0">
                  <v>0.2625104457610913</v>
                </pt>
                <pt idx="1">
                  <v>0.1915716106815886</v>
                </pt>
                <pt idx="2">
                  <v>0.2601001086155693</v>
                </pt>
                <pt idx="3">
                  <v>0.2507631531693302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0.2156771799628943</v>
                </pt>
                <pt idx="13">
                  <v>0.3358104969809568</v>
                </pt>
                <pt idx="14">
                  <v>0.1780250347705146</v>
                </pt>
                <pt idx="15">
                  <v>0.3093358104969809</v>
                </pt>
                <pt idx="16">
                  <v>0.1978683966635774</v>
                </pt>
                <pt idx="17">
                  <v>0.2764378478664193</v>
                </pt>
                <pt idx="18">
                  <v>0.3625405656003709</v>
                </pt>
                <pt idx="19">
                  <v>0.3594619666048238</v>
                </pt>
                <pt idx="20">
                  <v>0</v>
                </pt>
                <pt idx="21">
                  <v>0</v>
                </pt>
                <pt idx="22">
                  <v>0.340297121634169</v>
                </pt>
                <pt idx="23">
                  <v>0.1767161410018553</v>
                </pt>
                <pt idx="24">
                  <v>0.3709377901578459</v>
                </pt>
                <pt idx="25">
                  <v>0.2757182576459685</v>
                </pt>
                <pt idx="26">
                  <v>0.3748258244310265</v>
                </pt>
                <pt idx="27">
                  <v>0.1665120593692022</v>
                </pt>
                <pt idx="28">
                  <v>0.3748258244310265</v>
                </pt>
                <pt idx="29">
                  <v>0.1948051948051948</v>
                </pt>
                <pt idx="30">
                  <v>0.3262180974477958</v>
                </pt>
                <pt idx="31">
                  <v>0.2824675324675325</v>
                </pt>
                <pt idx="32">
                  <v>0.3138347260909935</v>
                </pt>
                <pt idx="33">
                  <v>0.1986078886310905</v>
                </pt>
                <pt idx="34">
                  <v>0</v>
                </pt>
                <pt idx="35">
                  <v>0</v>
                </pt>
                <pt idx="36">
                  <v>0.2286641929499072</v>
                </pt>
                <pt idx="37">
                  <v>0.3817928471899675</v>
                </pt>
                <pt idx="38">
                  <v>0.2574211502782932</v>
                </pt>
                <pt idx="39">
                  <v>0.3378252788104089</v>
                </pt>
                <pt idx="40">
                  <v>0.1404077849860982</v>
                </pt>
                <pt idx="41">
                  <v>0.4990714948932219</v>
                </pt>
                <pt idx="42">
                  <v>0.3009753831862517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4"/>
          <order val="2"/>
          <tx>
            <strRef>
              <f>MA!$M$1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MA!$H$2:$H$75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MA!$M$2:$M$75</f>
              <numCache>
                <formatCode>0%</formatCode>
                <ptCount val="74"/>
                <pt idx="0">
                  <v>0.450729885793012</v>
                </pt>
                <pt idx="1">
                  <v>0.6039435127394335</v>
                </pt>
                <pt idx="2">
                  <v>0.4329203916236888</v>
                </pt>
                <pt idx="3">
                  <v>0.4345932842521099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0.462430426716141</v>
                </pt>
                <pt idx="13">
                  <v>0.2303762192289828</v>
                </pt>
                <pt idx="14">
                  <v>0.5248029670839128</v>
                </pt>
                <pt idx="15">
                  <v>0.2628889921040409</v>
                </pt>
                <pt idx="16">
                  <v>0.5268767377201112</v>
                </pt>
                <pt idx="17">
                  <v>0.2634508348794063</v>
                </pt>
                <pt idx="18">
                  <v>0.3583681038479369</v>
                </pt>
                <pt idx="19">
                  <v>0.3534322820037106</v>
                </pt>
                <pt idx="20">
                  <v>1</v>
                </pt>
                <pt idx="21">
                  <v>1</v>
                </pt>
                <pt idx="22">
                  <v>0.2924791086350975</v>
                </pt>
                <pt idx="23">
                  <v>0.5088126159554731</v>
                </pt>
                <pt idx="24">
                  <v>0.2924791086350975</v>
                </pt>
                <pt idx="25">
                  <v>0.4161260426320667</v>
                </pt>
                <pt idx="26">
                  <v>0.2940083604273107</v>
                </pt>
                <pt idx="27">
                  <v>0.4791280148423006</v>
                </pt>
                <pt idx="28">
                  <v>0.2991175104505341</v>
                </pt>
                <pt idx="29">
                  <v>0.4791280148423006</v>
                </pt>
                <pt idx="30">
                  <v>0.2918793503480279</v>
                </pt>
                <pt idx="31">
                  <v>0.312152133580705</v>
                </pt>
                <pt idx="32">
                  <v>0.3282265552460539</v>
                </pt>
                <pt idx="33">
                  <v>0.3549883990719258</v>
                </pt>
                <pt idx="34">
                  <v>1</v>
                </pt>
                <pt idx="35">
                  <v>1</v>
                </pt>
                <pt idx="36">
                  <v>0.300556586270872</v>
                </pt>
                <pt idx="37">
                  <v>0.2452392011147236</v>
                </pt>
                <pt idx="38">
                  <v>0.2898886827458256</v>
                </pt>
                <pt idx="39">
                  <v>0.2574349442379182</v>
                </pt>
                <pt idx="40">
                  <v>0.5240963855421686</v>
                </pt>
                <pt idx="41">
                  <v>0.2302692664809657</v>
                </pt>
                <pt idx="42">
                  <v>0.2870413376683697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1005826624"/>
        <axId val="1005832744"/>
      </barChart>
      <lineChart>
        <grouping val="standard"/>
        <varyColors val="0"/>
        <ser>
          <idx val="5"/>
          <order val="3"/>
          <tx>
            <strRef>
              <f>MA!$I$1</f>
              <strCache>
                <ptCount val="1"/>
                <pt idx="0">
                  <v>Mục Tiêu C1</v>
                </pt>
              </strCache>
            </strRef>
          </tx>
          <spPr>
            <a:ln xmlns:a="http://schemas.openxmlformats.org/drawingml/2006/main" w="28575" cap="rnd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MA!$H$2:$H$75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MA!$I$2:$I$75</f>
              <numCache>
                <formatCode>0%</formatCode>
                <ptCount val="74"/>
                <pt idx="0">
                  <v>0.3</v>
                </pt>
                <pt idx="1">
                  <v>0.3</v>
                </pt>
                <pt idx="2">
                  <v>0.3</v>
                </pt>
                <pt idx="3">
                  <v>0.3</v>
                </pt>
                <pt idx="4">
                  <v>0.3</v>
                </pt>
                <pt idx="5">
                  <v>0.3</v>
                </pt>
                <pt idx="6">
                  <v>0.3</v>
                </pt>
                <pt idx="7">
                  <v>0.3</v>
                </pt>
                <pt idx="8">
                  <v>0.3</v>
                </pt>
                <pt idx="9">
                  <v>0.3</v>
                </pt>
                <pt idx="10">
                  <v>0.3</v>
                </pt>
                <pt idx="11">
                  <v>0.3</v>
                </pt>
                <pt idx="12">
                  <v>0.3</v>
                </pt>
                <pt idx="13">
                  <v>0.3</v>
                </pt>
                <pt idx="14">
                  <v>0.3</v>
                </pt>
                <pt idx="15">
                  <v>0.3</v>
                </pt>
                <pt idx="16">
                  <v>0.3</v>
                </pt>
                <pt idx="17">
                  <v>0.3</v>
                </pt>
                <pt idx="18">
                  <v>0.3</v>
                </pt>
                <pt idx="19">
                  <v>0.3</v>
                </pt>
                <pt idx="20">
                  <v>0.3</v>
                </pt>
                <pt idx="21">
                  <v>0.3</v>
                </pt>
                <pt idx="22">
                  <v>0.3</v>
                </pt>
                <pt idx="23">
                  <v>0.3</v>
                </pt>
                <pt idx="24">
                  <v>0.3</v>
                </pt>
                <pt idx="25">
                  <v>0.3</v>
                </pt>
                <pt idx="26">
                  <v>0.3</v>
                </pt>
                <pt idx="27">
                  <v>0.3</v>
                </pt>
                <pt idx="28">
                  <v>0.3</v>
                </pt>
                <pt idx="29">
                  <v>0.3</v>
                </pt>
                <pt idx="30">
                  <v>0.3</v>
                </pt>
                <pt idx="31">
                  <v>0.3</v>
                </pt>
                <pt idx="32">
                  <v>0.3</v>
                </pt>
                <pt idx="33">
                  <v>0.3</v>
                </pt>
                <pt idx="34">
                  <v>0.3</v>
                </pt>
                <pt idx="35">
                  <v>0.3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0.3</v>
                </pt>
                <pt idx="41">
                  <v>0.3</v>
                </pt>
                <pt idx="42">
                  <v>0.3</v>
                </pt>
              </numCache>
            </numRef>
          </val>
          <smooth val="0"/>
        </ser>
        <ser>
          <idx val="6"/>
          <order val="4"/>
          <tx>
            <strRef>
              <f>MA!$J$1</f>
              <strCache>
                <ptCount val="1"/>
                <pt idx="0">
                  <v>Mục Tiêu C2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MA!$H$2:$H$75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MA!$J$2:$J$75</f>
              <numCache>
                <formatCode>0%</formatCode>
                <ptCount val="74"/>
                <pt idx="0">
                  <v>0.4235294117647059</v>
                </pt>
                <pt idx="1">
                  <v>0.4235294117647059</v>
                </pt>
                <pt idx="2">
                  <v>0.4235294117647059</v>
                </pt>
                <pt idx="3">
                  <v>0.4235294117647059</v>
                </pt>
                <pt idx="4">
                  <v>0.4235294117647059</v>
                </pt>
                <pt idx="5">
                  <v>0.4235294117647059</v>
                </pt>
                <pt idx="6">
                  <v>0.4235294117647059</v>
                </pt>
                <pt idx="7">
                  <v>0.4235294117647059</v>
                </pt>
                <pt idx="8">
                  <v>0.4235294117647059</v>
                </pt>
                <pt idx="9">
                  <v>0.4235294117647059</v>
                </pt>
                <pt idx="10">
                  <v>0.4235294117647059</v>
                </pt>
                <pt idx="11">
                  <v>0.4235294117647059</v>
                </pt>
                <pt idx="12">
                  <v>0.4235294117647059</v>
                </pt>
                <pt idx="13">
                  <v>0.4235294117647059</v>
                </pt>
                <pt idx="14">
                  <v>0.4235294117647059</v>
                </pt>
                <pt idx="15">
                  <v>0.4235294117647059</v>
                </pt>
                <pt idx="16">
                  <v>0.4235294117647059</v>
                </pt>
                <pt idx="17">
                  <v>0.4235294117647059</v>
                </pt>
                <pt idx="18">
                  <v>0.4235294117647059</v>
                </pt>
                <pt idx="19">
                  <v>0.4235294117647059</v>
                </pt>
                <pt idx="20">
                  <v>0.4235294117647059</v>
                </pt>
                <pt idx="21">
                  <v>0.4235294117647059</v>
                </pt>
                <pt idx="22">
                  <v>0.4235294117647059</v>
                </pt>
                <pt idx="23">
                  <v>0.4235294117647059</v>
                </pt>
                <pt idx="24">
                  <v>0.4235294117647059</v>
                </pt>
                <pt idx="25">
                  <v>0.4235294117647059</v>
                </pt>
                <pt idx="26">
                  <v>0.4235294117647059</v>
                </pt>
                <pt idx="27">
                  <v>0.4235294117647059</v>
                </pt>
                <pt idx="28">
                  <v>0.4235294117647059</v>
                </pt>
                <pt idx="29">
                  <v>0.4235294117647059</v>
                </pt>
                <pt idx="30">
                  <v>0.4235294117647059</v>
                </pt>
                <pt idx="31">
                  <v>0.4235294117647059</v>
                </pt>
                <pt idx="32">
                  <v>0.4235294117647059</v>
                </pt>
                <pt idx="33">
                  <v>0.4235294117647059</v>
                </pt>
                <pt idx="34">
                  <v>0.4235294117647059</v>
                </pt>
                <pt idx="35">
                  <v>0.4235294117647059</v>
                </pt>
                <pt idx="36">
                  <v>0.4235294117647059</v>
                </pt>
                <pt idx="37">
                  <v>0.4235294117647059</v>
                </pt>
                <pt idx="38">
                  <v>0.4235294117647059</v>
                </pt>
                <pt idx="39">
                  <v>0.4235294117647059</v>
                </pt>
                <pt idx="40">
                  <v>0.4235294117647059</v>
                </pt>
                <pt idx="41">
                  <v>0.4235294117647059</v>
                </pt>
                <pt idx="42">
                  <v>0.4235294117647059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5826624"/>
        <axId val="1005832744"/>
      </lineChart>
      <catAx>
        <axId val="10058266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32744"/>
        <crosses val="autoZero"/>
        <auto val="1"/>
        <lblAlgn val="ctr"/>
        <lblOffset val="100"/>
        <noMultiLvlLbl val="0"/>
      </catAx>
      <valAx>
        <axId val="1005832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2662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950823456790123"/>
          <y val="0.9007805555555555"/>
          <w val="0.6098351851851852"/>
          <h val="0.0992194444444444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CĐ Phay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chính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xác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(BJ)- 9h/ca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1=30%</a:t>
            </a:r>
            <a:r>
              <a:rPr lang="en-US" sz="1400" b="0" i="0" strike="noStrike" kern="1200" spc="0" baseline="0" dirty="0" err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, Ca 2=42%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percentStacked"/>
        <varyColors val="0"/>
        <ser>
          <idx val="2"/>
          <order val="0"/>
          <tx>
            <strRef>
              <f>BJ!$K$1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;\-0%;;@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BJ!$H$2:$H$75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BJ!$K$2:$K$75</f>
              <numCache>
                <formatCode>0%</formatCode>
                <ptCount val="74"/>
                <pt idx="0">
                  <v>0.199621459633627</v>
                </pt>
                <pt idx="1">
                  <v>0.1709066023981672</v>
                </pt>
                <pt idx="2">
                  <v>0.220444619813292</v>
                </pt>
                <pt idx="3">
                  <v>0.2192784465462883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0.2476401998889506</v>
                </pt>
                <pt idx="13">
                  <v>0.3255620316402997</v>
                </pt>
                <pt idx="14">
                  <v>0.2393897364771151</v>
                </pt>
                <pt idx="15">
                  <v>0.2995558023320378</v>
                </pt>
                <pt idx="16">
                  <v>0.2781015820149875</v>
                </pt>
                <pt idx="17">
                  <v>0.2901166018878401</v>
                </pt>
                <pt idx="18">
                  <v>0.1748542880932556</v>
                </pt>
                <pt idx="19">
                  <v>0.2302138294918078</v>
                </pt>
                <pt idx="20">
                  <v>0</v>
                </pt>
                <pt idx="21">
                  <v>0</v>
                </pt>
                <pt idx="22">
                  <v>0.2873020283412059</v>
                </pt>
                <pt idx="23">
                  <v>0.3225985563575791</v>
                </pt>
                <pt idx="24">
                  <v>0.2677777777777778</v>
                </pt>
                <pt idx="25">
                  <v>0.2673322240709928</v>
                </pt>
                <pt idx="26">
                  <v>0.2535406831435713</v>
                </pt>
                <pt idx="27">
                  <v>0.300749791724521</v>
                </pt>
                <pt idx="28">
                  <v>0.2469444444444444</v>
                </pt>
                <pt idx="29">
                  <v>0.2388349514563107</v>
                </pt>
                <pt idx="30">
                  <v>0.2391666666666667</v>
                </pt>
                <pt idx="31">
                  <v>0.1870663336108798</v>
                </pt>
                <pt idx="32">
                  <v>0.1815401723658605</v>
                </pt>
                <pt idx="33">
                  <v>0.316315205327414</v>
                </pt>
                <pt idx="34">
                  <v>0</v>
                </pt>
                <pt idx="35">
                  <v>0</v>
                </pt>
                <pt idx="36">
                  <v>0.2170413544268665</v>
                </pt>
                <pt idx="37">
                  <v>0.2343966712898752</v>
                </pt>
                <pt idx="38">
                  <v>0.1760622049430714</v>
                </pt>
                <pt idx="39">
                  <v>0.2314531814392887</v>
                </pt>
                <pt idx="40">
                  <v>0.2252152179950014</v>
                </pt>
                <pt idx="41">
                  <v>0.278256039988892</v>
                </pt>
                <pt idx="42">
                  <v>0.2400666851903306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3"/>
          <order val="1"/>
          <tx>
            <strRef>
              <f>BJ!$L$1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BJ!$H$2:$H$75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BJ!$L$2:$L$75</f>
              <numCache>
                <formatCode>0%</formatCode>
                <ptCount val="74"/>
                <pt idx="0">
                  <v>0.3179964399179829</v>
                </pt>
                <pt idx="1">
                  <v>0.2288028008370774</v>
                </pt>
                <pt idx="2">
                  <v>0.3064226847575576</v>
                </pt>
                <pt idx="3">
                  <v>0.3000412009171682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0.330094392004442</v>
                </pt>
                <pt idx="13">
                  <v>0.337774077157924</v>
                </pt>
                <pt idx="14">
                  <v>0.3952843273231623</v>
                </pt>
                <pt idx="15">
                  <v>0.3176013325930039</v>
                </pt>
                <pt idx="16">
                  <v>0.3014154870940883</v>
                </pt>
                <pt idx="17">
                  <v>0.3323153803442532</v>
                </pt>
                <pt idx="18">
                  <v>0.2328615043019706</v>
                </pt>
                <pt idx="19">
                  <v>0.268814218272702</v>
                </pt>
                <pt idx="20">
                  <v>0</v>
                </pt>
                <pt idx="21">
                  <v>0</v>
                </pt>
                <pt idx="22">
                  <v>0.3175882189497082</v>
                </pt>
                <pt idx="23">
                  <v>0.2940033314825097</v>
                </pt>
                <pt idx="24">
                  <v>0.3044444444444445</v>
                </pt>
                <pt idx="25">
                  <v>0.3544093178036606</v>
                </pt>
                <pt idx="26">
                  <v>0.3196334351569008</v>
                </pt>
                <pt idx="27">
                  <v>0.3235212440988614</v>
                </pt>
                <pt idx="28">
                  <v>0.3272222222222222</v>
                </pt>
                <pt idx="29">
                  <v>0.3811373092926491</v>
                </pt>
                <pt idx="30">
                  <v>0.335</v>
                </pt>
                <pt idx="31">
                  <v>0.3710796558423536</v>
                </pt>
                <pt idx="32">
                  <v>0.2260216847372811</v>
                </pt>
                <pt idx="33">
                  <v>0.3396226415094339</v>
                </pt>
                <pt idx="34">
                  <v>0</v>
                </pt>
                <pt idx="35">
                  <v>0</v>
                </pt>
                <pt idx="36">
                  <v>0.3635859006383569</v>
                </pt>
                <pt idx="37">
                  <v>0.4011095700416089</v>
                </pt>
                <pt idx="38">
                  <v>0.4148847542349348</v>
                </pt>
                <pt idx="39">
                  <v>0.5307029730480689</v>
                </pt>
                <pt idx="40">
                  <v>0.3482366009441822</v>
                </pt>
                <pt idx="41">
                  <v>0.4768119966675923</v>
                </pt>
                <pt idx="42">
                  <v>0.3553764934704084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4"/>
          <order val="2"/>
          <tx>
            <strRef>
              <f>BJ!$M$1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BJ!$H$2:$H$75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BJ!$M$2:$M$75</f>
              <numCache>
                <formatCode>0%</formatCode>
                <ptCount val="74"/>
                <pt idx="0">
                  <v>0.4823821004483901</v>
                </pt>
                <pt idx="1">
                  <v>0.6002905967647555</v>
                </pt>
                <pt idx="2">
                  <v>0.4731326954291505</v>
                </pt>
                <pt idx="3">
                  <v>0.4806803525365434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0.4222654081066075</v>
                </pt>
                <pt idx="13">
                  <v>0.3366638912017763</v>
                </pt>
                <pt idx="14">
                  <v>0.3653259361997226</v>
                </pt>
                <pt idx="15">
                  <v>0.3828428650749583</v>
                </pt>
                <pt idx="16">
                  <v>0.4204829308909243</v>
                </pt>
                <pt idx="17">
                  <v>0.3775680177679067</v>
                </pt>
                <pt idx="18">
                  <v>0.5922842076047738</v>
                </pt>
                <pt idx="19">
                  <v>0.5009719522354902</v>
                </pt>
                <pt idx="20">
                  <v>1</v>
                </pt>
                <pt idx="21">
                  <v>1</v>
                </pt>
                <pt idx="22">
                  <v>0.3951097527090859</v>
                </pt>
                <pt idx="23">
                  <v>0.3833981121599112</v>
                </pt>
                <pt idx="24">
                  <v>0.4277777777777778</v>
                </pt>
                <pt idx="25">
                  <v>0.3782584581253466</v>
                </pt>
                <pt idx="26">
                  <v>0.4268258816995279</v>
                </pt>
                <pt idx="27">
                  <v>0.3757289641766176</v>
                </pt>
                <pt idx="28">
                  <v>0.4258333333333333</v>
                </pt>
                <pt idx="29">
                  <v>0.3800277392510402</v>
                </pt>
                <pt idx="30">
                  <v>0.4258333333333333</v>
                </pt>
                <pt idx="31">
                  <v>0.4418540105467666</v>
                </pt>
                <pt idx="32">
                  <v>0.5924381428968585</v>
                </pt>
                <pt idx="33">
                  <v>0.344062153163152</v>
                </pt>
                <pt idx="34">
                  <v>1</v>
                </pt>
                <pt idx="35">
                  <v>1</v>
                </pt>
                <pt idx="36">
                  <v>0.4193727449347766</v>
                </pt>
                <pt idx="37">
                  <v>0.364493758668516</v>
                </pt>
                <pt idx="38">
                  <v>0.4090530408219939</v>
                </pt>
                <pt idx="39">
                  <v>0.2378438455126424</v>
                </pt>
                <pt idx="40">
                  <v>0.4265481810608164</v>
                </pt>
                <pt idx="41">
                  <v>0.2449319633435157</v>
                </pt>
                <pt idx="42">
                  <v>0.4045568213392609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1005783784"/>
        <axId val="1005783424"/>
      </barChart>
      <lineChart>
        <grouping val="standard"/>
        <varyColors val="0"/>
        <ser>
          <idx val="5"/>
          <order val="3"/>
          <tx>
            <strRef>
              <f>BJ!$I$1</f>
              <strCache>
                <ptCount val="1"/>
                <pt idx="0">
                  <v>Mục Tiêu C1</v>
                </pt>
              </strCache>
            </strRef>
          </tx>
          <spPr>
            <a:ln xmlns:a="http://schemas.openxmlformats.org/drawingml/2006/main" w="28575" cap="rnd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BJ!$H$2:$H$75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BJ!$I$2:$I$75</f>
              <numCache>
                <formatCode>0%</formatCode>
                <ptCount val="74"/>
                <pt idx="0">
                  <v>0.3</v>
                </pt>
                <pt idx="1">
                  <v>0.3</v>
                </pt>
                <pt idx="2">
                  <v>0.3</v>
                </pt>
                <pt idx="3">
                  <v>0.3</v>
                </pt>
                <pt idx="4">
                  <v>0.3</v>
                </pt>
                <pt idx="5">
                  <v>0.3</v>
                </pt>
                <pt idx="6">
                  <v>0.3</v>
                </pt>
                <pt idx="7">
                  <v>0.3</v>
                </pt>
                <pt idx="8">
                  <v>0.3</v>
                </pt>
                <pt idx="9">
                  <v>0.3</v>
                </pt>
                <pt idx="10">
                  <v>0.3</v>
                </pt>
                <pt idx="11">
                  <v>0.3</v>
                </pt>
                <pt idx="12">
                  <v>0.3</v>
                </pt>
                <pt idx="13">
                  <v>0.3</v>
                </pt>
                <pt idx="14">
                  <v>0.3</v>
                </pt>
                <pt idx="15">
                  <v>0.3</v>
                </pt>
                <pt idx="16">
                  <v>0.3</v>
                </pt>
                <pt idx="17">
                  <v>0.3</v>
                </pt>
                <pt idx="18">
                  <v>0.3</v>
                </pt>
                <pt idx="19">
                  <v>0.3</v>
                </pt>
                <pt idx="20">
                  <v>0.3</v>
                </pt>
                <pt idx="21">
                  <v>0.3</v>
                </pt>
                <pt idx="22">
                  <v>0.3</v>
                </pt>
                <pt idx="23">
                  <v>0.3</v>
                </pt>
                <pt idx="24">
                  <v>0.3</v>
                </pt>
                <pt idx="25">
                  <v>0.3</v>
                </pt>
                <pt idx="26">
                  <v>0.3</v>
                </pt>
                <pt idx="27">
                  <v>0.3</v>
                </pt>
                <pt idx="28">
                  <v>0.3</v>
                </pt>
                <pt idx="29">
                  <v>0.3</v>
                </pt>
                <pt idx="30">
                  <v>0.3</v>
                </pt>
                <pt idx="31">
                  <v>0.3</v>
                </pt>
                <pt idx="32">
                  <v>0.3</v>
                </pt>
                <pt idx="33">
                  <v>0.3</v>
                </pt>
                <pt idx="34">
                  <v>0.3</v>
                </pt>
                <pt idx="35">
                  <v>0.3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0.3</v>
                </pt>
                <pt idx="41">
                  <v>0.3</v>
                </pt>
                <pt idx="42">
                  <v>0.3</v>
                </pt>
              </numCache>
            </numRef>
          </val>
          <smooth val="0"/>
        </ser>
        <ser>
          <idx val="6"/>
          <order val="4"/>
          <tx>
            <strRef>
              <f>BJ!$J$1</f>
              <strCache>
                <ptCount val="1"/>
                <pt idx="0">
                  <v>Mục Tiêu C2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BJ!$H$2:$H$75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BJ!$J$2:$J$75</f>
              <numCache>
                <formatCode>0%</formatCode>
                <ptCount val="74"/>
                <pt idx="0">
                  <v>0.4235294117647059</v>
                </pt>
                <pt idx="1">
                  <v>0.4235294117647059</v>
                </pt>
                <pt idx="2">
                  <v>0.4235294117647059</v>
                </pt>
                <pt idx="3">
                  <v>0.4235294117647059</v>
                </pt>
                <pt idx="4">
                  <v>0.4235294117647059</v>
                </pt>
                <pt idx="5">
                  <v>0.4235294117647059</v>
                </pt>
                <pt idx="6">
                  <v>0.4235294117647059</v>
                </pt>
                <pt idx="7">
                  <v>0.4235294117647059</v>
                </pt>
                <pt idx="8">
                  <v>0.4235294117647059</v>
                </pt>
                <pt idx="9">
                  <v>0.4235294117647059</v>
                </pt>
                <pt idx="10">
                  <v>0.4235294117647059</v>
                </pt>
                <pt idx="11">
                  <v>0.4235294117647059</v>
                </pt>
                <pt idx="12">
                  <v>0.4235294117647059</v>
                </pt>
                <pt idx="13">
                  <v>0.4235294117647059</v>
                </pt>
                <pt idx="14">
                  <v>0.4235294117647059</v>
                </pt>
                <pt idx="15">
                  <v>0.4235294117647059</v>
                </pt>
                <pt idx="16">
                  <v>0.4235294117647059</v>
                </pt>
                <pt idx="17">
                  <v>0.4235294117647059</v>
                </pt>
                <pt idx="18">
                  <v>0.4235294117647059</v>
                </pt>
                <pt idx="19">
                  <v>0.4235294117647059</v>
                </pt>
                <pt idx="20">
                  <v>0.4235294117647059</v>
                </pt>
                <pt idx="21">
                  <v>0.4235294117647059</v>
                </pt>
                <pt idx="22">
                  <v>0.4235294117647059</v>
                </pt>
                <pt idx="23">
                  <v>0.4235294117647059</v>
                </pt>
                <pt idx="24">
                  <v>0.4235294117647059</v>
                </pt>
                <pt idx="25">
                  <v>0.4235294117647059</v>
                </pt>
                <pt idx="26">
                  <v>0.4235294117647059</v>
                </pt>
                <pt idx="27">
                  <v>0.4235294117647059</v>
                </pt>
                <pt idx="28">
                  <v>0.4235294117647059</v>
                </pt>
                <pt idx="29">
                  <v>0.4235294117647059</v>
                </pt>
                <pt idx="30">
                  <v>0.4235294117647059</v>
                </pt>
                <pt idx="31">
                  <v>0.4235294117647059</v>
                </pt>
                <pt idx="32">
                  <v>0.4235294117647059</v>
                </pt>
                <pt idx="33">
                  <v>0.4235294117647059</v>
                </pt>
                <pt idx="34">
                  <v>0.4235294117647059</v>
                </pt>
                <pt idx="35">
                  <v>0.4235294117647059</v>
                </pt>
                <pt idx="36">
                  <v>0.4235294117647059</v>
                </pt>
                <pt idx="37">
                  <v>0.4235294117647059</v>
                </pt>
                <pt idx="38">
                  <v>0.4235294117647059</v>
                </pt>
                <pt idx="39">
                  <v>0.4235294117647059</v>
                </pt>
                <pt idx="40">
                  <v>0.4235294117647059</v>
                </pt>
                <pt idx="41">
                  <v>0.4235294117647059</v>
                </pt>
                <pt idx="42">
                  <v>0.4235294117647059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5783784"/>
        <axId val="1005783424"/>
      </lineChart>
      <catAx>
        <axId val="10057837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783424"/>
        <crosses val="autoZero"/>
        <auto val="1"/>
        <lblAlgn val="ctr"/>
        <lblOffset val="100"/>
        <noMultiLvlLbl val="0"/>
      </catAx>
      <valAx>
        <axId val="1005783424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783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t" anchorCtr="0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CĐ Tiện Cơ(LA)-9h/ca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1=21%</a:t>
            </a:r>
            <a:r>
              <a:rPr lang="en-US" sz="1400" b="0" i="0" strike="noStrike" kern="1200" spc="0" baseline="0" dirty="0" err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,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Ca 2=30%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rich>
      </tx>
      <layout>
        <manualLayout>
          <xMode val="edge"/>
          <yMode val="edge"/>
          <wMode val="factor"/>
          <hMode val="factor"/>
          <x val="0.2530354887208978"/>
          <y val="0.0247773815672864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350451336948327"/>
          <y val="0.01729246011057952"/>
          <w val="0.9592893600194079"/>
          <h val="0.686790176801801"/>
        </manualLayout>
      </layout>
      <barChart>
        <barDir val="col"/>
        <grouping val="percentStacked"/>
        <varyColors val="0"/>
        <ser>
          <idx val="2"/>
          <order val="0"/>
          <tx>
            <strRef>
              <f>LA!$K$1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;\-0%;;@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LA!$H$2:$H$75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LA!$K$2:$K$75</f>
              <numCache>
                <formatCode>0%</formatCode>
                <ptCount val="74"/>
                <pt idx="0">
                  <v>0.1511583488753567</v>
                </pt>
                <pt idx="1">
                  <v>0.1299255141011788</v>
                </pt>
                <pt idx="2">
                  <v>0.1691248257924116</v>
                </pt>
                <pt idx="3">
                  <v>0.1757593805836808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0.21227503461006</v>
                </pt>
                <pt idx="13">
                  <v>0.2011070110701107</v>
                </pt>
                <pt idx="14">
                  <v>0.1895756457564576</v>
                </pt>
                <pt idx="15">
                  <v>0.208679593721145</v>
                </pt>
                <pt idx="16">
                  <v>0.1993554327808471</v>
                </pt>
                <pt idx="17">
                  <v>0.2332872291378515</v>
                </pt>
                <pt idx="18">
                  <v>0.1295527893038267</v>
                </pt>
                <pt idx="19">
                  <v>0.178373382624769</v>
                </pt>
                <pt idx="20">
                  <v>0.0004631773969430292</v>
                </pt>
                <pt idx="21">
                  <v>0</v>
                </pt>
                <pt idx="22">
                  <v>0.2120092378752887</v>
                </pt>
                <pt idx="23">
                  <v>0.1033210332103321</v>
                </pt>
                <pt idx="24">
                  <v>0.1907621247113164</v>
                </pt>
                <pt idx="25">
                  <v>0.1029547553093259</v>
                </pt>
                <pt idx="26">
                  <v>0.171824480369515</v>
                </pt>
                <pt idx="27">
                  <v>0.2620912022109627</v>
                </pt>
                <pt idx="28">
                  <v>0.1956622058144901</v>
                </pt>
                <pt idx="29">
                  <v>0.2175115207373272</v>
                </pt>
                <pt idx="30">
                  <v>0.1842956120092379</v>
                </pt>
                <pt idx="31">
                  <v>0.2022160664819945</v>
                </pt>
                <pt idx="32">
                  <v>0.1759815242494226</v>
                </pt>
                <pt idx="33">
                  <v>0.2029452369995398</v>
                </pt>
                <pt idx="34">
                  <v>0</v>
                </pt>
                <pt idx="35">
                  <v>0</v>
                </pt>
                <pt idx="36">
                  <v>0.2270842929525564</v>
                </pt>
                <pt idx="37">
                  <v>0.2322907083716651</v>
                </pt>
                <pt idx="38">
                  <v>0.238909426987061</v>
                </pt>
                <pt idx="39">
                  <v>0.2105263157894737</v>
                </pt>
                <pt idx="40">
                  <v>0.2580794090489381</v>
                </pt>
                <pt idx="41">
                  <v>0.2404245500692201</v>
                </pt>
                <pt idx="42">
                  <v>0.2643253234750462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3"/>
          <order val="1"/>
          <tx>
            <strRef>
              <f>LA!$L$1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LA!$H$2:$H$75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LA!$L$2:$L$75</f>
              <numCache>
                <formatCode>0%</formatCode>
                <ptCount val="74"/>
                <pt idx="0">
                  <v>0.2018740309642047</v>
                </pt>
                <pt idx="1">
                  <v>0.1481386774009948</v>
                </pt>
                <pt idx="2">
                  <v>0.1856251723444056</v>
                </pt>
                <pt idx="3">
                  <v>0.1795562835020846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0.241808952468851</v>
                </pt>
                <pt idx="13">
                  <v>0.1526752767527675</v>
                </pt>
                <pt idx="14">
                  <v>0.2301660516605166</v>
                </pt>
                <pt idx="15">
                  <v>0.1426592797783933</v>
                </pt>
                <pt idx="16">
                  <v>0.2486187845303867</v>
                </pt>
                <pt idx="17">
                  <v>0.1715076071922545</v>
                </pt>
                <pt idx="18">
                  <v>0.3342554172429691</v>
                </pt>
                <pt idx="19">
                  <v>0.1122920517560074</v>
                </pt>
                <pt idx="20">
                  <v>0.0333487725798981</v>
                </pt>
                <pt idx="21">
                  <v>0.3333333333333333</v>
                </pt>
                <pt idx="22">
                  <v>0.1958429561200924</v>
                </pt>
                <pt idx="23">
                  <v>0.1512915129151292</v>
                </pt>
                <pt idx="24">
                  <v>0.2683602771362587</v>
                </pt>
                <pt idx="25">
                  <v>0.1795937211449677</v>
                </pt>
                <pt idx="26">
                  <v>0.1399538106235566</v>
                </pt>
                <pt idx="27">
                  <v>0.2206356517733763</v>
                </pt>
                <pt idx="28">
                  <v>0.1195200738347946</v>
                </pt>
                <pt idx="29">
                  <v>0.2682027649769586</v>
                </pt>
                <pt idx="30">
                  <v>0.1413394919168591</v>
                </pt>
                <pt idx="31">
                  <v>0.3024007386888273</v>
                </pt>
                <pt idx="32">
                  <v>0.1519630484988453</v>
                </pt>
                <pt idx="33">
                  <v>0.2581684307409112</v>
                </pt>
                <pt idx="34">
                  <v>0</v>
                </pt>
                <pt idx="35">
                  <v>0</v>
                </pt>
                <pt idx="36">
                  <v>0.2160294795025334</v>
                </pt>
                <pt idx="37">
                  <v>0.125114995400184</v>
                </pt>
                <pt idx="38">
                  <v>0.1903881700554529</v>
                </pt>
                <pt idx="39">
                  <v>0.1454293628808864</v>
                </pt>
                <pt idx="40">
                  <v>0.1749769159741459</v>
                </pt>
                <pt idx="41">
                  <v>0.1107521919704661</v>
                </pt>
                <pt idx="42">
                  <v>0.2037892791127542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4"/>
          <order val="2"/>
          <tx>
            <strRef>
              <f>LA!$M$1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LA!$H$2:$H$75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LA!$M$2:$M$75</f>
              <numCache>
                <formatCode>0%</formatCode>
                <ptCount val="74"/>
                <pt idx="0">
                  <v>0.6469676201604386</v>
                </pt>
                <pt idx="1">
                  <v>0.7219358084978265</v>
                </pt>
                <pt idx="2">
                  <v>0.6452500018631827</v>
                </pt>
                <pt idx="3">
                  <v>0.6446843359142347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0.545916012921089</v>
                </pt>
                <pt idx="13">
                  <v>0.6462177121771218</v>
                </pt>
                <pt idx="14">
                  <v>0.5802583025830258</v>
                </pt>
                <pt idx="15">
                  <v>0.6486611265004617</v>
                </pt>
                <pt idx="16">
                  <v>0.5520257826887661</v>
                </pt>
                <pt idx="17">
                  <v>0.595205163669894</v>
                </pt>
                <pt idx="18">
                  <v>0.5361917934532042</v>
                </pt>
                <pt idx="19">
                  <v>0.7093345656192237</v>
                </pt>
                <pt idx="20">
                  <v>0.9661880500231589</v>
                </pt>
                <pt idx="21">
                  <v>0.6666666666666666</v>
                </pt>
                <pt idx="22">
                  <v>0.5921478060046189</v>
                </pt>
                <pt idx="23">
                  <v>0.7453874538745388</v>
                </pt>
                <pt idx="24">
                  <v>0.540877598152425</v>
                </pt>
                <pt idx="25">
                  <v>0.7174515235457064</v>
                </pt>
                <pt idx="26">
                  <v>0.6882217090069284</v>
                </pt>
                <pt idx="27">
                  <v>0.517273146015661</v>
                </pt>
                <pt idx="28">
                  <v>0.6848177203507153</v>
                </pt>
                <pt idx="29">
                  <v>0.5142857142857142</v>
                </pt>
                <pt idx="30">
                  <v>0.674364896073903</v>
                </pt>
                <pt idx="31">
                  <v>0.4953831948291782</v>
                </pt>
                <pt idx="32">
                  <v>0.6720554272517321</v>
                </pt>
                <pt idx="33">
                  <v>0.538886332259549</v>
                </pt>
                <pt idx="34">
                  <v>1</v>
                </pt>
                <pt idx="35">
                  <v>1</v>
                </pt>
                <pt idx="36">
                  <v>0.5568862275449101</v>
                </pt>
                <pt idx="37">
                  <v>0.6425942962281509</v>
                </pt>
                <pt idx="38">
                  <v>0.5707024029574861</v>
                </pt>
                <pt idx="39">
                  <v>0.6440443213296398</v>
                </pt>
                <pt idx="40">
                  <v>0.566943674976916</v>
                </pt>
                <pt idx="41">
                  <v>0.6488232579603138</v>
                </pt>
                <pt idx="42">
                  <v>0.5318853974121996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005792424"/>
        <axId val="1005799264"/>
      </barChart>
      <lineChart>
        <grouping val="standard"/>
        <varyColors val="0"/>
        <ser>
          <idx val="5"/>
          <order val="3"/>
          <tx>
            <strRef>
              <f>LA!$I$1</f>
              <strCache>
                <ptCount val="1"/>
                <pt idx="0">
                  <v>Mục Tiêu C1</v>
                </pt>
              </strCache>
            </strRef>
          </tx>
          <spPr>
            <a:ln xmlns:a="http://schemas.openxmlformats.org/drawingml/2006/main" w="28575" cap="rnd">
              <a:solidFill>
                <a:srgbClr val="FF00FF"/>
              </a:solidFill>
              <a:prstDash val="solid"/>
              <a:round/>
            </a:ln>
          </spPr>
          <marker>
            <symbol val="triangle"/>
            <size val="5"/>
            <spPr>
              <a:noFill xmlns:a="http://schemas.openxmlformats.org/drawingml/2006/main"/>
              <a:ln xmlns:a="http://schemas.openxmlformats.org/drawingml/2006/main" w="9525">
                <a:noFill/>
                <a:prstDash val="solid"/>
              </a:ln>
            </spPr>
          </marker>
          <cat>
            <strRef>
              <f>LA!$H$2:$H$75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LA!$I$2:$I$75</f>
              <numCache>
                <formatCode>0%</formatCode>
                <ptCount val="74"/>
                <pt idx="0">
                  <v>0.21</v>
                </pt>
                <pt idx="1">
                  <v>0.21</v>
                </pt>
                <pt idx="2">
                  <v>0.21</v>
                </pt>
                <pt idx="3">
                  <v>0.21</v>
                </pt>
                <pt idx="4">
                  <v>0.21</v>
                </pt>
                <pt idx="5">
                  <v>0.21</v>
                </pt>
                <pt idx="6">
                  <v>0.21</v>
                </pt>
                <pt idx="7">
                  <v>0.21</v>
                </pt>
                <pt idx="8">
                  <v>0.21</v>
                </pt>
                <pt idx="9">
                  <v>0.21</v>
                </pt>
                <pt idx="10">
                  <v>0.21</v>
                </pt>
                <pt idx="11">
                  <v>0.21</v>
                </pt>
                <pt idx="12">
                  <v>0.21</v>
                </pt>
                <pt idx="13">
                  <v>0.21</v>
                </pt>
                <pt idx="14">
                  <v>0.21</v>
                </pt>
                <pt idx="15">
                  <v>0.21</v>
                </pt>
                <pt idx="16">
                  <v>0.21</v>
                </pt>
                <pt idx="17">
                  <v>0.21</v>
                </pt>
                <pt idx="18">
                  <v>0.21</v>
                </pt>
                <pt idx="19">
                  <v>0.21</v>
                </pt>
                <pt idx="20">
                  <v>0.21</v>
                </pt>
                <pt idx="21">
                  <v>0.21</v>
                </pt>
                <pt idx="22">
                  <v>0.21</v>
                </pt>
                <pt idx="23">
                  <v>0.21</v>
                </pt>
                <pt idx="24">
                  <v>0.21</v>
                </pt>
                <pt idx="25">
                  <v>0.21</v>
                </pt>
                <pt idx="26">
                  <v>0.21</v>
                </pt>
                <pt idx="27">
                  <v>0.21</v>
                </pt>
                <pt idx="28">
                  <v>0.21</v>
                </pt>
                <pt idx="29">
                  <v>0.21</v>
                </pt>
                <pt idx="30">
                  <v>0.21</v>
                </pt>
                <pt idx="31">
                  <v>0.21</v>
                </pt>
                <pt idx="32">
                  <v>0.21</v>
                </pt>
                <pt idx="33">
                  <v>0.21</v>
                </pt>
                <pt idx="34">
                  <v>0.21</v>
                </pt>
                <pt idx="35">
                  <v>0.21</v>
                </pt>
                <pt idx="36">
                  <v>0.21</v>
                </pt>
                <pt idx="37">
                  <v>0.21</v>
                </pt>
                <pt idx="38">
                  <v>0.21</v>
                </pt>
                <pt idx="39">
                  <v>0.21</v>
                </pt>
                <pt idx="40">
                  <v>0.21</v>
                </pt>
                <pt idx="41">
                  <v>0.21</v>
                </pt>
                <pt idx="42">
                  <v>0.21</v>
                </pt>
              </numCache>
            </numRef>
          </val>
          <smooth val="0"/>
        </ser>
        <ser>
          <idx val="6"/>
          <order val="4"/>
          <tx>
            <strRef>
              <f>LA!$J$1</f>
              <strCache>
                <ptCount val="1"/>
                <pt idx="0">
                  <v>Mục Tiêu C2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diamond"/>
            <size val="5"/>
            <spPr>
              <a:noFill xmlns:a="http://schemas.openxmlformats.org/drawingml/2006/main"/>
              <a:ln xmlns:a="http://schemas.openxmlformats.org/drawingml/2006/main" w="9525">
                <a:noFill/>
                <a:prstDash val="solid"/>
              </a:ln>
            </spPr>
          </marker>
          <cat>
            <strRef>
              <f>LA!$H$2:$H$75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LA!$J$2:$J$75</f>
              <numCache>
                <formatCode>0%</formatCode>
                <ptCount val="74"/>
                <pt idx="0">
                  <v>0.296470588235294</v>
                </pt>
                <pt idx="1">
                  <v>0.296470588235294</v>
                </pt>
                <pt idx="2">
                  <v>0.296470588235294</v>
                </pt>
                <pt idx="3">
                  <v>0.296470588235294</v>
                </pt>
                <pt idx="4">
                  <v>0.296470588235294</v>
                </pt>
                <pt idx="5">
                  <v>0.296470588235294</v>
                </pt>
                <pt idx="6">
                  <v>0.296470588235294</v>
                </pt>
                <pt idx="7">
                  <v>0.296470588235294</v>
                </pt>
                <pt idx="8">
                  <v>0.296470588235294</v>
                </pt>
                <pt idx="9">
                  <v>0.296470588235294</v>
                </pt>
                <pt idx="10">
                  <v>0.296470588235294</v>
                </pt>
                <pt idx="11">
                  <v>0.296470588235294</v>
                </pt>
                <pt idx="12">
                  <v>0.296470588235294</v>
                </pt>
                <pt idx="13">
                  <v>0.296470588235294</v>
                </pt>
                <pt idx="14">
                  <v>0.296470588235294</v>
                </pt>
                <pt idx="15">
                  <v>0.296470588235294</v>
                </pt>
                <pt idx="16">
                  <v>0.296470588235294</v>
                </pt>
                <pt idx="17">
                  <v>0.296470588235294</v>
                </pt>
                <pt idx="18">
                  <v>0.296470588235294</v>
                </pt>
                <pt idx="19">
                  <v>0.296470588235294</v>
                </pt>
                <pt idx="20">
                  <v>0.296470588235294</v>
                </pt>
                <pt idx="21">
                  <v>0.296470588235294</v>
                </pt>
                <pt idx="22">
                  <v>0.296470588235294</v>
                </pt>
                <pt idx="23">
                  <v>0.296470588235294</v>
                </pt>
                <pt idx="24">
                  <v>0.296470588235294</v>
                </pt>
                <pt idx="25">
                  <v>0.296470588235294</v>
                </pt>
                <pt idx="26">
                  <v>0.296470588235294</v>
                </pt>
                <pt idx="27">
                  <v>0.296470588235294</v>
                </pt>
                <pt idx="28">
                  <v>0.296470588235294</v>
                </pt>
                <pt idx="29">
                  <v>0.296470588235294</v>
                </pt>
                <pt idx="30">
                  <v>0.296470588235294</v>
                </pt>
                <pt idx="31">
                  <v>0.296470588235294</v>
                </pt>
                <pt idx="32">
                  <v>0.296470588235294</v>
                </pt>
                <pt idx="33">
                  <v>0.296470588235294</v>
                </pt>
                <pt idx="34">
                  <v>0.296470588235294</v>
                </pt>
                <pt idx="35">
                  <v>0.296470588235294</v>
                </pt>
                <pt idx="36">
                  <v>0.296470588235294</v>
                </pt>
                <pt idx="37">
                  <v>0.296470588235294</v>
                </pt>
                <pt idx="38">
                  <v>0.296470588235294</v>
                </pt>
                <pt idx="39">
                  <v>0.296470588235294</v>
                </pt>
                <pt idx="40">
                  <v>0.296470588235294</v>
                </pt>
                <pt idx="41">
                  <v>0.296470588235294</v>
                </pt>
                <pt idx="42">
                  <v>0.296470588235294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5792424"/>
        <axId val="1005799264"/>
      </lineChart>
      <catAx>
        <axId val="10057924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799264"/>
        <crosses val="autoZero"/>
        <auto val="1"/>
        <lblAlgn val="ctr"/>
        <lblOffset val="100"/>
        <noMultiLvlLbl val="0"/>
      </catAx>
      <valAx>
        <axId val="10057992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79242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twoCellAnchor editAs="absolute">
    <from>
      <col>1</col>
      <colOff>815340</colOff>
      <row>12</row>
      <rowOff>54122</rowOff>
    </from>
    <to>
      <col>11</col>
      <colOff>822959</colOff>
      <row>34</row>
      <rowOff>171692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4</col>
      <colOff>947737</colOff>
      <row>41</row>
      <rowOff>76200</rowOff>
    </from>
    <to>
      <col>19</col>
      <colOff>28575</colOff>
      <row>61</row>
      <rowOff>142875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3</col>
      <colOff>1147761</colOff>
      <row>16</row>
      <rowOff>80962</rowOff>
    </from>
    <to>
      <col>17</col>
      <colOff>114299</colOff>
      <row>34</row>
      <rowOff>66675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9</col>
      <colOff>173934</colOff>
      <row>11</row>
      <rowOff>16566</rowOff>
    </from>
    <to>
      <col>26</col>
      <colOff>463827</colOff>
      <row>28</row>
      <rowOff>143496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3</col>
      <colOff>1366835</colOff>
      <row>15</row>
      <rowOff>138111</rowOff>
    </from>
    <to>
      <col>16</col>
      <colOff>114299</colOff>
      <row>35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6</col>
      <colOff>447676</colOff>
      <row>10</row>
      <rowOff>52387</rowOff>
    </from>
    <to>
      <col>24</col>
      <colOff>504826</colOff>
      <row>26</row>
      <rowOff>123825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>
    <from>
      <col>3</col>
      <colOff>1095375</colOff>
      <row>20</row>
      <rowOff>166686</rowOff>
    </from>
    <to>
      <col>17</col>
      <colOff>323850</colOff>
      <row>38</row>
      <rowOff>133350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8.xml><?xml version="1.0" encoding="utf-8"?>
<wsDr xmlns="http://schemas.openxmlformats.org/drawingml/2006/spreadsheetDrawing">
  <twoCellAnchor>
    <from>
      <col>3</col>
      <colOff>1176336</colOff>
      <row>22</row>
      <rowOff>71436</rowOff>
    </from>
    <to>
      <col>16</col>
      <colOff>600075</colOff>
      <row>42</row>
      <rowOff>161925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9.xml><?xml version="1.0" encoding="utf-8"?>
<wsDr xmlns="http://schemas.openxmlformats.org/drawingml/2006/spreadsheetDrawing">
  <twoCellAnchor>
    <from>
      <col>2</col>
      <colOff>395287</colOff>
      <row>30</row>
      <rowOff>85725</rowOff>
    </from>
    <to>
      <col>12</col>
      <colOff>323850</colOff>
      <row>48</row>
      <rowOff>9525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0.xml><?xml version="1.0" encoding="utf-8"?>
<wsDr xmlns="http://schemas.openxmlformats.org/drawingml/2006/spreadsheetDrawing">
  <twoCellAnchor>
    <from>
      <col>11</col>
      <colOff>381001</colOff>
      <row>6</row>
      <rowOff>9525</rowOff>
    </from>
    <to>
      <col>28</col>
      <colOff>400052</colOff>
      <row>20</row>
      <rowOff>38100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1.xml><?xml version="1.0" encoding="utf-8"?>
<wsDr xmlns="http://schemas.openxmlformats.org/drawingml/2006/spreadsheetDrawing">
  <twoCellAnchor editAs="absolute">
    <from>
      <col>4</col>
      <colOff>1826935</colOff>
      <row>5</row>
      <rowOff>173936</rowOff>
    </from>
    <to>
      <col>21</col>
      <colOff>604630</colOff>
      <row>19</row>
      <rowOff>48823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2.xml><?xml version="1.0" encoding="utf-8"?>
<wsDr xmlns="http://schemas.openxmlformats.org/drawingml/2006/spreadsheetDrawing">
  <twoCellAnchor>
    <from>
      <col>3</col>
      <colOff>995361</colOff>
      <row>5</row>
      <rowOff>95249</rowOff>
    </from>
    <to>
      <col>17</col>
      <colOff>266700</colOff>
      <row>25</row>
      <rowOff>9525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3.xml><?xml version="1.0" encoding="utf-8"?>
<wsDr xmlns="http://schemas.openxmlformats.org/drawingml/2006/spreadsheetDrawing">
  <twoCellAnchor>
    <from>
      <col>3</col>
      <colOff>1051033</colOff>
      <row>28</row>
      <rowOff>5094</rowOff>
    </from>
    <to>
      <col>20</col>
      <colOff>141657</colOff>
      <row>49</row>
      <rowOff>105108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 codeName="Sheet16">
    <outlinePr summaryBelow="1" summaryRight="1"/>
    <pageSetUpPr/>
  </sheetPr>
  <dimension ref="A1:M9"/>
  <sheetViews>
    <sheetView zoomScaleNormal="100" workbookViewId="0">
      <selection activeCell="M8" sqref="M8"/>
    </sheetView>
  </sheetViews>
  <sheetFormatPr baseColWidth="8" defaultColWidth="12.453125" defaultRowHeight="14.75"/>
  <cols>
    <col width="30.6796875" customWidth="1" style="5" min="1" max="1"/>
    <col width="12.453125" customWidth="1" style="5" min="2" max="7"/>
    <col width="12.453125" customWidth="1" style="5" min="8" max="16384"/>
  </cols>
  <sheetData>
    <row r="1" ht="18.75" customHeight="1">
      <c r="A1" s="10" t="inlineStr">
        <is>
          <t>Tỉ lệ % hoạt động có tải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2" t="n"/>
    </row>
    <row r="2">
      <c r="A2" s="6" t="inlineStr">
        <is>
          <t>Hạng mục</t>
        </is>
      </c>
      <c r="B2" s="6" t="inlineStr">
        <is>
          <t>LA</t>
        </is>
      </c>
      <c r="C2" s="6" t="inlineStr">
        <is>
          <t>MA</t>
        </is>
      </c>
      <c r="D2" s="6" t="inlineStr">
        <is>
          <t>BJ</t>
        </is>
      </c>
      <c r="E2" s="6" t="inlineStr">
        <is>
          <t>GC</t>
        </is>
      </c>
      <c r="F2" s="6" t="inlineStr">
        <is>
          <t>GS</t>
        </is>
      </c>
      <c r="G2" s="6" t="inlineStr">
        <is>
          <t>GR</t>
        </is>
      </c>
      <c r="H2" s="6" t="inlineStr">
        <is>
          <t>EN</t>
        </is>
      </c>
      <c r="I2" s="6" t="inlineStr">
        <is>
          <t>GJ</t>
        </is>
      </c>
      <c r="J2" s="6" t="inlineStr">
        <is>
          <t>EW</t>
        </is>
      </c>
      <c r="K2" s="6" t="inlineStr">
        <is>
          <t>GP</t>
        </is>
      </c>
      <c r="L2" s="6" t="inlineStr">
        <is>
          <t>MC</t>
        </is>
      </c>
      <c r="M2" s="6" t="inlineStr">
        <is>
          <t>LN</t>
        </is>
      </c>
    </row>
    <row r="3">
      <c r="A3" s="4" t="inlineStr">
        <is>
          <t>% Mục tiêu</t>
        </is>
      </c>
      <c r="B3" s="9" t="n">
        <v>0.21</v>
      </c>
      <c r="C3" s="9" t="n">
        <v>0.3</v>
      </c>
      <c r="D3" s="9" t="n">
        <v>0.3</v>
      </c>
      <c r="E3" s="9" t="n">
        <v>0.38</v>
      </c>
      <c r="F3" s="9" t="n">
        <v>0.35</v>
      </c>
      <c r="G3" s="9" t="n">
        <v>0.48</v>
      </c>
      <c r="H3" s="9" t="n">
        <v>0.6</v>
      </c>
      <c r="I3" s="9" t="n">
        <v>0.5</v>
      </c>
      <c r="J3" s="9" t="n">
        <v>0.68</v>
      </c>
      <c r="K3" s="9" t="n">
        <v>0.7</v>
      </c>
      <c r="L3" s="9" t="n">
        <v>0.65</v>
      </c>
      <c r="M3" s="9" t="n">
        <v>0.65</v>
      </c>
    </row>
    <row r="4">
      <c r="A4" s="4" t="inlineStr">
        <is>
          <t>% Có tải</t>
        </is>
      </c>
      <c r="B4" s="8">
        <f>$B7/SUM(B$7:B$9)</f>
        <v/>
      </c>
      <c r="C4" s="8">
        <f>$C7/SUM(C$7:C$9)</f>
        <v/>
      </c>
      <c r="D4" s="8">
        <f>$D7/SUM(D$7:D$9)</f>
        <v/>
      </c>
      <c r="E4" s="8">
        <f>$E7/SUM(E$7:E$9)</f>
        <v/>
      </c>
      <c r="F4" s="8">
        <f>$F7/SUM(F$7:F$9)</f>
        <v/>
      </c>
      <c r="G4" s="8">
        <f>G7/SUM(G$7:G$9)</f>
        <v/>
      </c>
      <c r="H4" s="8">
        <f>H7/SUM(H$7:H$9)</f>
        <v/>
      </c>
      <c r="I4" s="8">
        <f>I7/SUM(I$7:I$9)</f>
        <v/>
      </c>
      <c r="J4" s="8">
        <f>J7/SUM(J$7:J$9)</f>
        <v/>
      </c>
      <c r="K4" s="8">
        <f>K7/SUM(K$7:K$9)</f>
        <v/>
      </c>
      <c r="L4" s="8">
        <f>L7/SUM(L$7:L$9)</f>
        <v/>
      </c>
      <c r="M4" s="8">
        <f>M7/SUM(M$7:M$9)</f>
        <v/>
      </c>
    </row>
    <row r="5">
      <c r="A5" s="4" t="inlineStr">
        <is>
          <t>% Không tải</t>
        </is>
      </c>
      <c r="B5" s="8">
        <f>$B8/SUM(B$7:B$9)</f>
        <v/>
      </c>
      <c r="C5" s="8">
        <f>$C8/SUM(C$7:C$9)</f>
        <v/>
      </c>
      <c r="D5" s="8">
        <f>$D8/SUM(D$7:D$9)</f>
        <v/>
      </c>
      <c r="E5" s="8">
        <f>$E8/SUM(E$7:E$9)</f>
        <v/>
      </c>
      <c r="F5" s="8">
        <f>$F8/SUM(F$7:F$9)</f>
        <v/>
      </c>
      <c r="G5" s="8">
        <f>G8/SUM(G$7:G$9)</f>
        <v/>
      </c>
      <c r="H5" s="8">
        <f>H8/SUM(H$7:H$9)</f>
        <v/>
      </c>
      <c r="I5" s="8">
        <f>I8/SUM(I$7:I$9)</f>
        <v/>
      </c>
      <c r="J5" s="8">
        <f>J8/SUM(J$7:J$9)</f>
        <v/>
      </c>
      <c r="K5" s="8">
        <f>K8/SUM(K$7:K$9)</f>
        <v/>
      </c>
      <c r="L5" s="8">
        <f>L8/SUM(L$7:L$9)</f>
        <v/>
      </c>
      <c r="M5" s="8">
        <f>M8/SUM(M$7:M$9)</f>
        <v/>
      </c>
    </row>
    <row r="6">
      <c r="A6" s="4" t="inlineStr">
        <is>
          <t>% Tắt máy</t>
        </is>
      </c>
      <c r="B6" s="8">
        <f>$B9/SUM(B$7:B$9)</f>
        <v/>
      </c>
      <c r="C6" s="8">
        <f>$C9/SUM(C$7:C$9)</f>
        <v/>
      </c>
      <c r="D6" s="8">
        <f>$D9/SUM(D$7:D$9)</f>
        <v/>
      </c>
      <c r="E6" s="8">
        <f>$E9/SUM(E$7:E$9)</f>
        <v/>
      </c>
      <c r="F6" s="8">
        <f>$F9/SUM(F$7:F$9)</f>
        <v/>
      </c>
      <c r="G6" s="8">
        <f>G9/SUM(G$7:G$9)</f>
        <v/>
      </c>
      <c r="H6" s="8">
        <f>H9/SUM(H$7:H$9)</f>
        <v/>
      </c>
      <c r="I6" s="8">
        <f>I9/SUM(I$7:I$9)</f>
        <v/>
      </c>
      <c r="J6" s="8">
        <f>J9/SUM(J$7:J$9)</f>
        <v/>
      </c>
      <c r="K6" s="8">
        <f>K9/SUM(K$7:K$9)</f>
        <v/>
      </c>
      <c r="L6" s="8">
        <f>L9/SUM(L$7:L$9)</f>
        <v/>
      </c>
      <c r="M6" s="8">
        <f>M9/SUM(M$7:M$9)</f>
        <v/>
      </c>
    </row>
    <row r="7">
      <c r="A7" s="4" t="inlineStr">
        <is>
          <t>Tổng thời gian h/đ có tải</t>
        </is>
      </c>
      <c r="B7" s="7">
        <f>SUM(LA!$E$2:$E$53)</f>
        <v/>
      </c>
      <c r="C7" s="7">
        <f>SUM(MA!$E$2:$E$53)</f>
        <v/>
      </c>
      <c r="D7" s="7">
        <f>SUM(BJ!$E$2:$E$53)</f>
        <v/>
      </c>
      <c r="E7" s="7">
        <f>SUM(GC!$E$2:$E$53)</f>
        <v/>
      </c>
      <c r="F7" s="7">
        <f>SUM(GS!$E$2:$E$53)</f>
        <v/>
      </c>
      <c r="G7" s="7">
        <f>SUM(GR!$E$2:$E$53)</f>
        <v/>
      </c>
      <c r="H7" s="7">
        <f>SUM(EN!$E$2:$E$53)</f>
        <v/>
      </c>
      <c r="I7" s="7">
        <f>SUM(GJ!$E$2:$E$53)</f>
        <v/>
      </c>
      <c r="J7" s="7">
        <f>SUM(EW!$E$2:$E$53)</f>
        <v/>
      </c>
      <c r="K7" s="7">
        <f>SUM(GP!$E$2:$E$53)</f>
        <v/>
      </c>
      <c r="L7" s="7">
        <f>SUM(MC!$E$2:$E$53)</f>
        <v/>
      </c>
      <c r="M7" s="7">
        <f>SUM(LN!$E$2:$E$53)</f>
        <v/>
      </c>
    </row>
    <row r="8">
      <c r="A8" s="4" t="inlineStr">
        <is>
          <t>Tổng thời gian h/đ không tải</t>
        </is>
      </c>
      <c r="B8" s="7">
        <f>SUM(LA!$D$2:$D$53)</f>
        <v/>
      </c>
      <c r="C8" s="7">
        <f>SUM(MA!$D$2:$D$53)</f>
        <v/>
      </c>
      <c r="D8" s="7">
        <f>SUM(BJ!$D$2:$D$53)</f>
        <v/>
      </c>
      <c r="E8" s="7">
        <f>SUM(GC!$D$2:$D$53)</f>
        <v/>
      </c>
      <c r="F8" s="7">
        <f>SUM(GS!$D$2:$D$53)</f>
        <v/>
      </c>
      <c r="G8" s="7">
        <f>SUM(GR!$D$2:$D$53)</f>
        <v/>
      </c>
      <c r="H8" s="7">
        <f>SUM(EN!$D$2:$D$53)</f>
        <v/>
      </c>
      <c r="I8" s="7">
        <f>SUM(GJ!$D$2:$D$53)</f>
        <v/>
      </c>
      <c r="J8" s="7">
        <f>SUM(EW!$D$2:$D$53)</f>
        <v/>
      </c>
      <c r="K8" s="7">
        <f>SUM(GP!$D$2:$D$53)</f>
        <v/>
      </c>
      <c r="L8" s="7">
        <f>SUM(MC!$D$2:$D$53)</f>
        <v/>
      </c>
      <c r="M8" s="7">
        <f>SUM(LN!$D$2:$D$53)</f>
        <v/>
      </c>
    </row>
    <row r="9">
      <c r="A9" s="4" t="inlineStr">
        <is>
          <t>Tổng thời gian tắt máy</t>
        </is>
      </c>
      <c r="B9" s="7">
        <f>SUM(LA!$F$2:$F$53)</f>
        <v/>
      </c>
      <c r="C9" s="7">
        <f>SUM(MA!$F$2:$F$53)</f>
        <v/>
      </c>
      <c r="D9" s="7">
        <f>SUM(BJ!$F$2:$F$53)</f>
        <v/>
      </c>
      <c r="E9" s="7">
        <f>SUM(GC!$F$2:$F$53)</f>
        <v/>
      </c>
      <c r="F9" s="7">
        <f>SUM(GS!$F$2:$F$53)</f>
        <v/>
      </c>
      <c r="G9" s="7">
        <f>SUM(GR!$F$2:$F$53)</f>
        <v/>
      </c>
      <c r="H9" s="7">
        <f>SUM(EN!$F$2:$F$53)</f>
        <v/>
      </c>
      <c r="I9" s="7">
        <f>SUM(GJ!$F$2:$F$53)</f>
        <v/>
      </c>
      <c r="J9" s="7">
        <f>SUM(EW!$F$2:$F$53)</f>
        <v/>
      </c>
      <c r="K9" s="7">
        <f>SUM(GP!$F$2:$F$53)</f>
        <v/>
      </c>
      <c r="L9" s="7">
        <f>SUM(MC!$F$2:$F$53)</f>
        <v/>
      </c>
      <c r="M9" s="7">
        <f>SUM(LN!$F$2:$F$53)</f>
        <v/>
      </c>
    </row>
  </sheetData>
  <mergeCells count="1">
    <mergeCell ref="A1:M1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T234"/>
  <sheetViews>
    <sheetView topLeftCell="E10" workbookViewId="0">
      <selection activeCell="H31" sqref="H31"/>
    </sheetView>
  </sheetViews>
  <sheetFormatPr baseColWidth="8" defaultRowHeight="14.75"/>
  <cols>
    <col width="3" bestFit="1" customWidth="1" min="1" max="1"/>
    <col width="10.86328125" bestFit="1" customWidth="1" min="2" max="3"/>
    <col width="34.08984375" bestFit="1" customWidth="1" min="4" max="4"/>
    <col width="30.54296875" bestFit="1" customWidth="1" min="5" max="5"/>
    <col width="22.6796875" bestFit="1" customWidth="1" min="6" max="6"/>
    <col width="11.54296875" customWidth="1" min="9" max="9"/>
    <col width="14.31640625" customWidth="1" min="10" max="10"/>
    <col width="8.31640625" bestFit="1" customWidth="1" min="11" max="11"/>
    <col width="11.54296875" bestFit="1" customWidth="1" min="12" max="12"/>
    <col width="10" bestFit="1" customWidth="1" min="13" max="13"/>
    <col width="3" bestFit="1" customWidth="1" min="15" max="15"/>
    <col width="10.86328125" bestFit="1" customWidth="1" min="16" max="17"/>
    <col width="34.08984375" bestFit="1" customWidth="1" min="18" max="18"/>
    <col width="30.54296875" bestFit="1" customWidth="1" min="19" max="19"/>
    <col width="22.6796875" bestFit="1" customWidth="1" min="20" max="20"/>
  </cols>
  <sheetData>
    <row r="1" customFormat="1" s="2">
      <c r="A1" s="3" t="inlineStr">
        <is>
          <t>ID</t>
        </is>
      </c>
      <c r="B1" s="3" t="inlineStr">
        <is>
          <t>Ngày tháng</t>
        </is>
      </c>
      <c r="C1" s="3" t="inlineStr">
        <is>
          <t>Ca làm việc</t>
        </is>
      </c>
      <c r="D1" s="3" t="inlineStr">
        <is>
          <t>Thời gian hoạt động không tải (phút)</t>
        </is>
      </c>
      <c r="E1" s="3" t="inlineStr">
        <is>
          <t>Thời gian hoạt động có tải (phút)</t>
        </is>
      </c>
      <c r="F1" s="3" t="inlineStr">
        <is>
          <t>Thời gian tắt máy (phút)</t>
        </is>
      </c>
      <c r="H1" s="3" t="inlineStr">
        <is>
          <t>Ngày - Ca</t>
        </is>
      </c>
      <c r="I1" s="3" t="inlineStr">
        <is>
          <t>Mục Tiêu C1</t>
        </is>
      </c>
      <c r="J1" s="3" t="inlineStr">
        <is>
          <t>Mục Tiêu C2</t>
        </is>
      </c>
      <c r="K1" s="3" t="inlineStr">
        <is>
          <t>% Có Tải</t>
        </is>
      </c>
      <c r="L1" s="3" t="inlineStr">
        <is>
          <t>% Không Tải</t>
        </is>
      </c>
      <c r="M1" s="3" t="inlineStr">
        <is>
          <t>% Tắt Máy</t>
        </is>
      </c>
      <c r="O1" s="3" t="inlineStr">
        <is>
          <t>ID</t>
        </is>
      </c>
      <c r="P1" s="3" t="inlineStr">
        <is>
          <t>Ngày tháng</t>
        </is>
      </c>
      <c r="Q1" s="3" t="inlineStr">
        <is>
          <t>Ca làm việc</t>
        </is>
      </c>
      <c r="R1" s="3" t="inlineStr">
        <is>
          <t>Thời gian hoạt động không tải (phút)</t>
        </is>
      </c>
      <c r="S1" s="3" t="inlineStr">
        <is>
          <t>Thời gian hoạt động có tải (phút)</t>
        </is>
      </c>
      <c r="T1" s="3" t="inlineStr">
        <is>
          <t>Thời gian tắt máy (phút)</t>
        </is>
      </c>
    </row>
    <row r="2">
      <c r="A2" t="n">
        <v>1</v>
      </c>
      <c r="B2" t="inlineStr">
        <is>
          <t>01/04/2026</t>
        </is>
      </c>
      <c r="C2" t="inlineStr">
        <is>
          <t>CN</t>
        </is>
      </c>
      <c r="D2" t="n">
        <v>1630</v>
      </c>
      <c r="E2" t="n">
        <v>1281</v>
      </c>
      <c r="F2" t="n">
        <v>0</v>
      </c>
      <c r="H2" t="inlineStr">
        <is>
          <t>T1</t>
        </is>
      </c>
      <c r="I2" s="1" t="n">
        <v>0.6</v>
      </c>
      <c r="J2" s="1" t="n">
        <v>0.7294117647058823</v>
      </c>
      <c r="K2" s="1">
        <f>IFERROR(SUMIFS(S:S,P:P,"*/01/2026")/(SUMIFS(R:R,P:P,"*/01/2026")+SUMIFS(S:S,P:P,"*/01/2026")+SUMIFS(T:T,P:P,"*/01/2026")),"")</f>
        <v/>
      </c>
      <c r="L2" s="1">
        <f>IFERROR(SUMIFS(R:R,P:P,"*/01/2026")/(SUMIFS(R:R,P:P,"*/01/2026")+SUMIFS(S:S,P:P,"*/01/2026")+SUMIFS(T:T,P:P,"*/01/2026")),"")</f>
        <v/>
      </c>
      <c r="M2" s="1">
        <f>IFERROR(SUMIFS(T:T,P:P,"*/01/2026")/(SUMIFS(R:R,P:P,"*/01/2026")+SUMIFS(S:S,P:P,"*/01/2026")+SUMIFS(T:T,P:P,"*/01/2026")),"")</f>
        <v/>
      </c>
      <c r="O2" t="n">
        <v>1</v>
      </c>
      <c r="P2" t="inlineStr">
        <is>
          <t>01/01/2026</t>
        </is>
      </c>
      <c r="Q2" t="inlineStr">
        <is>
          <t>CN</t>
        </is>
      </c>
      <c r="R2" t="n">
        <v>0</v>
      </c>
      <c r="S2" t="n">
        <v>0</v>
      </c>
      <c r="T2" t="n">
        <v>2880</v>
      </c>
    </row>
    <row r="3">
      <c r="A3" t="n">
        <v>2</v>
      </c>
      <c r="B3" t="inlineStr">
        <is>
          <t>01/04/2026</t>
        </is>
      </c>
      <c r="C3" t="inlineStr">
        <is>
          <t>CD</t>
        </is>
      </c>
      <c r="D3" t="n">
        <v>1262</v>
      </c>
      <c r="E3" t="n">
        <v>1630</v>
      </c>
      <c r="F3" t="n">
        <v>0</v>
      </c>
      <c r="H3" t="inlineStr">
        <is>
          <t>T2</t>
        </is>
      </c>
      <c r="I3" s="1" t="n">
        <v>0.6</v>
      </c>
      <c r="J3" s="1" t="n">
        <v>0.7294117647058823</v>
      </c>
      <c r="K3" s="1">
        <f>IFERROR(SUMIFS(S:S,P:P,"*/02/2026")/(SUMIFS(R:R,P:P,"*/02/2026")+SUMIFS(S:S,P:P,"*/02/2026")+SUMIFS(T:T,P:P,"*/02/2026")),"")</f>
        <v/>
      </c>
      <c r="L3" s="1">
        <f>IFERROR(SUMIFS(R:R,P:P,"*/02/2026")/(SUMIFS(R:R,P:P,"*/02/2026")+SUMIFS(S:S,P:P,"*/02/2026")+SUMIFS(T:T,P:P,"*/02/2026")),"")</f>
        <v/>
      </c>
      <c r="M3" s="1">
        <f>IFERROR(SUMIFS(T:T,P:P,"*/02/2026")/(SUMIFS(R:R,P:P,"*/02/2026")+SUMIFS(S:S,P:P,"*/02/2026")+SUMIFS(T:T,P:P,"*/02/2026")),"")</f>
        <v/>
      </c>
      <c r="O3" t="n">
        <v>2</v>
      </c>
      <c r="P3" t="inlineStr">
        <is>
          <t>01/01/2026</t>
        </is>
      </c>
      <c r="Q3" t="inlineStr">
        <is>
          <t>CD</t>
        </is>
      </c>
      <c r="R3" t="n">
        <v>257</v>
      </c>
      <c r="S3" t="n">
        <v>5</v>
      </c>
      <c r="T3" t="n">
        <v>2614</v>
      </c>
    </row>
    <row r="4">
      <c r="A4" t="n">
        <v>3</v>
      </c>
      <c r="B4" t="inlineStr">
        <is>
          <t>02/04/2026</t>
        </is>
      </c>
      <c r="C4" t="inlineStr">
        <is>
          <t>CN</t>
        </is>
      </c>
      <c r="D4" t="n">
        <v>1454</v>
      </c>
      <c r="E4" t="n">
        <v>1445</v>
      </c>
      <c r="F4" t="n">
        <v>0</v>
      </c>
      <c r="H4" t="inlineStr">
        <is>
          <t>T3</t>
        </is>
      </c>
      <c r="I4" s="1" t="n">
        <v>0.6</v>
      </c>
      <c r="J4" s="1" t="n">
        <v>0.7294117647058823</v>
      </c>
      <c r="K4" s="1">
        <f>IFERROR(SUMIFS(S:S,P:P,"*/03/2026")/(SUMIFS(R:R,P:P,"*/03/2026")+SUMIFS(S:S,P:P,"*/03/2026")+SUMIFS(T:T,P:P,"*/03/2026")),"")</f>
        <v/>
      </c>
      <c r="L4" s="1">
        <f>IFERROR(SUMIFS(R:R,P:P,"*/03/2026")/(SUMIFS(R:R,P:P,"*/03/2026")+SUMIFS(S:S,P:P,"*/03/2026")+SUMIFS(T:T,P:P,"*/03/2026")),"")</f>
        <v/>
      </c>
      <c r="M4" s="1">
        <f>IFERROR(SUMIFS(T:T,P:P,"*/03/2026")/(SUMIFS(R:R,P:P,"*/03/2026")+SUMIFS(S:S,P:P,"*/03/2026")+SUMIFS(T:T,P:P,"*/03/2026")),"")</f>
        <v/>
      </c>
      <c r="O4" t="n">
        <v>3</v>
      </c>
      <c r="P4" t="inlineStr">
        <is>
          <t>02/01/2026</t>
        </is>
      </c>
      <c r="Q4" t="inlineStr">
        <is>
          <t>CN</t>
        </is>
      </c>
      <c r="R4" t="n">
        <v>1188</v>
      </c>
      <c r="S4" t="n">
        <v>1721</v>
      </c>
      <c r="T4" t="n">
        <v>0</v>
      </c>
    </row>
    <row r="5">
      <c r="A5" t="n">
        <v>4</v>
      </c>
      <c r="B5" t="inlineStr">
        <is>
          <t>02/04/2026</t>
        </is>
      </c>
      <c r="C5" t="inlineStr">
        <is>
          <t>CD</t>
        </is>
      </c>
      <c r="D5" t="n">
        <v>1001</v>
      </c>
      <c r="E5" t="n">
        <v>1900</v>
      </c>
      <c r="F5" t="n">
        <v>0</v>
      </c>
      <c r="H5" t="inlineStr">
        <is>
          <t>T4</t>
        </is>
      </c>
      <c r="I5" s="1" t="n">
        <v>0.6</v>
      </c>
      <c r="J5" s="1" t="n">
        <v>0.7294117647058823</v>
      </c>
      <c r="K5" s="1">
        <f>IFERROR(SUMIFS(S:S,P:P,"*/04/2026")/(SUMIFS(R:R,P:P,"*/04/2026")+SUMIFS(S:S,P:P,"*/04/2026")+SUMIFS(T:T,P:P,"*/04/2026")),"")</f>
        <v/>
      </c>
      <c r="L5" s="1">
        <f>IFERROR(SUMIFS(R:R,P:P,"*/04/2026")/(SUMIFS(R:R,P:P,"*/04/2026")+SUMIFS(S:S,P:P,"*/04/2026")+SUMIFS(T:T,P:P,"*/04/2026")),"")</f>
        <v/>
      </c>
      <c r="M5" s="1">
        <f>IFERROR(SUMIFS(T:T,P:P,"*/04/2026")/(SUMIFS(R:R,P:P,"*/04/2026")+SUMIFS(S:S,P:P,"*/04/2026")+SUMIFS(T:T,P:P,"*/04/2026")),"")</f>
        <v/>
      </c>
      <c r="O5" t="n">
        <v>4</v>
      </c>
      <c r="P5" t="inlineStr">
        <is>
          <t>02/01/2026</t>
        </is>
      </c>
      <c r="Q5" t="inlineStr">
        <is>
          <t>CD</t>
        </is>
      </c>
      <c r="R5" t="n">
        <v>1075</v>
      </c>
      <c r="S5" t="n">
        <v>1397</v>
      </c>
      <c r="T5" t="n">
        <v>435</v>
      </c>
    </row>
    <row r="6">
      <c r="A6" t="n">
        <v>5</v>
      </c>
      <c r="B6" t="inlineStr">
        <is>
          <t>03/04/2026</t>
        </is>
      </c>
      <c r="C6" t="inlineStr">
        <is>
          <t>CN</t>
        </is>
      </c>
      <c r="D6" t="n">
        <v>1628</v>
      </c>
      <c r="E6" t="n">
        <v>1268</v>
      </c>
      <c r="F6" t="n">
        <v>0</v>
      </c>
      <c r="H6" t="inlineStr">
        <is>
          <t>T5</t>
        </is>
      </c>
      <c r="I6" s="1" t="n">
        <v>0.6</v>
      </c>
      <c r="J6" s="1" t="n">
        <v>0.7294117647058823</v>
      </c>
      <c r="K6" s="1">
        <f>IFERROR(SUMIFS(S:S,P:P,"*/05/2026")/(SUMIFS(R:R,P:P,"*/05/2026")+SUMIFS(S:S,P:P,"*/05/2026")+SUMIFS(T:T,P:P,"*/05/2026")),"")</f>
        <v/>
      </c>
      <c r="L6" s="1">
        <f>IFERROR(SUMIFS(R:R,P:P,"*/05/2026")/(SUMIFS(R:R,P:P,"*/05/2026")+SUMIFS(S:S,P:P,"*/05/2026")+SUMIFS(T:T,P:P,"*/05/2026")),"")</f>
        <v/>
      </c>
      <c r="M6" s="1">
        <f>IFERROR(SUMIFS(T:T,P:P,"*/05/2026")/(SUMIFS(R:R,P:P,"*/05/2026")+SUMIFS(S:S,P:P,"*/05/2026")+SUMIFS(T:T,P:P,"*/05/2026")),"")</f>
        <v/>
      </c>
      <c r="O6" t="n">
        <v>5</v>
      </c>
      <c r="P6" t="inlineStr">
        <is>
          <t>03/01/2026</t>
        </is>
      </c>
      <c r="Q6" t="inlineStr">
        <is>
          <t>CD</t>
        </is>
      </c>
      <c r="R6" t="n">
        <v>1228</v>
      </c>
      <c r="S6" t="n">
        <v>3109</v>
      </c>
      <c r="T6" t="n">
        <v>374</v>
      </c>
    </row>
    <row r="7">
      <c r="A7" t="n">
        <v>6</v>
      </c>
      <c r="B7" t="inlineStr">
        <is>
          <t>03/04/2026</t>
        </is>
      </c>
      <c r="C7" t="inlineStr">
        <is>
          <t>CD</t>
        </is>
      </c>
      <c r="D7" t="n">
        <v>1261</v>
      </c>
      <c r="E7" t="n">
        <v>1645</v>
      </c>
      <c r="F7" t="n">
        <v>0</v>
      </c>
      <c r="H7" t="inlineStr">
        <is>
          <t>T6</t>
        </is>
      </c>
      <c r="I7" s="1" t="n">
        <v>0.6</v>
      </c>
      <c r="J7" s="1" t="n">
        <v>0.7294117647058823</v>
      </c>
      <c r="K7" s="1">
        <f>IFERROR(SUMIFS(S:S,P:P,"*/06/2026")/(SUMIFS(R:R,P:P,"*/06/2026")+SUMIFS(S:S,P:P,"*/06/2026")+SUMIFS(T:T,P:P,"*/06/2026")),"")</f>
        <v/>
      </c>
      <c r="L7" s="1">
        <f>IFERROR(SUMIFS(R:R,P:P,"*/06/2026")/(SUMIFS(R:R,P:P,"*/06/2026")+SUMIFS(S:S,P:P,"*/06/2026")+SUMIFS(T:T,P:P,"*/06/2026")),"")</f>
        <v/>
      </c>
      <c r="M7" s="1">
        <f>IFERROR(SUMIFS(T:T,P:P,"*/06/2026")/(SUMIFS(R:R,P:P,"*/06/2026")+SUMIFS(S:S,P:P,"*/06/2026")+SUMIFS(T:T,P:P,"*/06/2026")),"")</f>
        <v/>
      </c>
      <c r="O7" t="n">
        <v>6</v>
      </c>
      <c r="P7" t="inlineStr">
        <is>
          <t>04/01/2026</t>
        </is>
      </c>
      <c r="Q7" t="inlineStr">
        <is>
          <t>CN</t>
        </is>
      </c>
      <c r="R7" t="n">
        <v>33</v>
      </c>
      <c r="S7" t="n">
        <v>696</v>
      </c>
      <c r="T7" t="n">
        <v>2160</v>
      </c>
    </row>
    <row r="8">
      <c r="A8" t="n">
        <v>7</v>
      </c>
      <c r="B8" t="inlineStr">
        <is>
          <t>04/04/2026</t>
        </is>
      </c>
      <c r="C8" t="inlineStr">
        <is>
          <t>CN</t>
        </is>
      </c>
      <c r="D8" t="n">
        <v>1476</v>
      </c>
      <c r="E8" t="n">
        <v>1435</v>
      </c>
      <c r="F8" t="n">
        <v>0</v>
      </c>
      <c r="H8" t="inlineStr">
        <is>
          <t>T7</t>
        </is>
      </c>
      <c r="I8" s="1" t="n">
        <v>0.6</v>
      </c>
      <c r="J8" s="1" t="n">
        <v>0.7294117647058823</v>
      </c>
      <c r="K8" s="1">
        <f>IFERROR(SUMIFS(S:S,P:P,"*/07/2026")/(SUMIFS(R:R,P:P,"*/07/2026")+SUMIFS(S:S,P:P,"*/07/2026")+SUMIFS(T:T,P:P,"*/07/2026")),"")</f>
        <v/>
      </c>
      <c r="L8" s="1">
        <f>IFERROR(SUMIFS(R:R,P:P,"*/07/2026")/(SUMIFS(R:R,P:P,"*/07/2026")+SUMIFS(S:S,P:P,"*/07/2026")+SUMIFS(T:T,P:P,"*/07/2026")),"")</f>
        <v/>
      </c>
      <c r="M8" s="1">
        <f>IFERROR(SUMIFS(T:T,P:P,"*/07/2026")/(SUMIFS(R:R,P:P,"*/07/2026")+SUMIFS(S:S,P:P,"*/07/2026")+SUMIFS(T:T,P:P,"*/07/2026")),"")</f>
        <v/>
      </c>
      <c r="O8" t="n">
        <v>7</v>
      </c>
      <c r="P8" t="inlineStr">
        <is>
          <t>04/01/2026</t>
        </is>
      </c>
      <c r="Q8" t="inlineStr">
        <is>
          <t>CD</t>
        </is>
      </c>
      <c r="R8" t="n">
        <v>455</v>
      </c>
      <c r="S8" t="n">
        <v>268</v>
      </c>
      <c r="T8" t="n">
        <v>2160</v>
      </c>
    </row>
    <row r="9">
      <c r="A9" t="n">
        <v>8</v>
      </c>
      <c r="B9" t="inlineStr">
        <is>
          <t>04/04/2026</t>
        </is>
      </c>
      <c r="C9" t="inlineStr">
        <is>
          <t>CD</t>
        </is>
      </c>
      <c r="D9" t="n">
        <v>1175</v>
      </c>
      <c r="E9" t="n">
        <v>1737</v>
      </c>
      <c r="F9" t="n">
        <v>0</v>
      </c>
      <c r="H9" t="inlineStr">
        <is>
          <t>T8</t>
        </is>
      </c>
      <c r="I9" s="1" t="n">
        <v>0.6</v>
      </c>
      <c r="J9" s="1" t="n">
        <v>0.7294117647058823</v>
      </c>
      <c r="K9" s="1">
        <f>IFERROR(SUMIFS(S:S,P:P,"*/08/2026")/(SUMIFS(R:R,P:P,"*/08/2026")+SUMIFS(S:S,P:P,"*/08/2026")+SUMIFS(T:T,P:P,"*/08/2026")),"")</f>
        <v/>
      </c>
      <c r="L9" s="1">
        <f>IFERROR(SUMIFS(R:R,P:P,"*/08/2026")/(SUMIFS(R:R,P:P,"*/08/2026")+SUMIFS(S:S,P:P,"*/08/2026")+SUMIFS(T:T,P:P,"*/08/2026")),"")</f>
        <v/>
      </c>
      <c r="M9" s="1">
        <f>IFERROR(SUMIFS(T:T,P:P,"*/08/2026")/(SUMIFS(R:R,P:P,"*/08/2026")+SUMIFS(S:S,P:P,"*/08/2026")+SUMIFS(T:T,P:P,"*/08/2026")),"")</f>
        <v/>
      </c>
      <c r="O9" t="n">
        <v>8</v>
      </c>
      <c r="P9" t="inlineStr">
        <is>
          <t>05/01/2026</t>
        </is>
      </c>
      <c r="Q9" t="inlineStr">
        <is>
          <t>CN</t>
        </is>
      </c>
      <c r="R9" t="n">
        <v>987</v>
      </c>
      <c r="S9" t="n">
        <v>1330</v>
      </c>
      <c r="T9" t="n">
        <v>574</v>
      </c>
    </row>
    <row r="10">
      <c r="A10" t="n">
        <v>9</v>
      </c>
      <c r="B10" t="inlineStr">
        <is>
          <t>05/04/2026</t>
        </is>
      </c>
      <c r="C10" t="inlineStr">
        <is>
          <t>CN</t>
        </is>
      </c>
      <c r="D10" t="n">
        <v>1556</v>
      </c>
      <c r="E10" t="n">
        <v>1315</v>
      </c>
      <c r="F10" t="n">
        <v>32</v>
      </c>
      <c r="H10" t="inlineStr">
        <is>
          <t>T9</t>
        </is>
      </c>
      <c r="I10" s="1" t="n">
        <v>0.6</v>
      </c>
      <c r="J10" s="1" t="n">
        <v>0.7294117647058823</v>
      </c>
      <c r="K10" s="1">
        <f>IFERROR(SUMIFS(S:S,P:P,"*/09/2026")/(SUMIFS(R:R,P:P,"*/09/2026")+SUMIFS(S:S,P:P,"*/09/2026")+SUMIFS(T:T,P:P,"*/09/2026")),"")</f>
        <v/>
      </c>
      <c r="L10" s="1">
        <f>IFERROR(SUMIFS(R:R,P:P,"*/09/2026")/(SUMIFS(R:R,P:P,"*/09/2026")+SUMIFS(S:S,P:P,"*/09/2026")+SUMIFS(T:T,P:P,"*/09/2026")),"")</f>
        <v/>
      </c>
      <c r="M10" s="1">
        <f>IFERROR(SUMIFS(T:T,P:P,"*/09/2026")/(SUMIFS(R:R,P:P,"*/09/2026")+SUMIFS(S:S,P:P,"*/09/2026")+SUMIFS(T:T,P:P,"*/09/2026")),"")</f>
        <v/>
      </c>
      <c r="O10" t="n">
        <v>9</v>
      </c>
      <c r="P10" t="inlineStr">
        <is>
          <t>05/01/2026</t>
        </is>
      </c>
      <c r="Q10" t="inlineStr">
        <is>
          <t>CD</t>
        </is>
      </c>
      <c r="R10" t="n">
        <v>1385</v>
      </c>
      <c r="S10" t="n">
        <v>1481</v>
      </c>
      <c r="T10" t="n">
        <v>0</v>
      </c>
    </row>
    <row r="11">
      <c r="A11" t="n">
        <v>10</v>
      </c>
      <c r="B11" t="inlineStr">
        <is>
          <t>05/04/2026</t>
        </is>
      </c>
      <c r="C11" t="inlineStr">
        <is>
          <t>CD</t>
        </is>
      </c>
      <c r="D11" t="n">
        <v>669</v>
      </c>
      <c r="E11" t="n">
        <v>52</v>
      </c>
      <c r="F11" t="n">
        <v>2160</v>
      </c>
      <c r="H11" t="inlineStr">
        <is>
          <t>T10</t>
        </is>
      </c>
      <c r="I11" s="1" t="n">
        <v>0.6</v>
      </c>
      <c r="J11" s="1" t="n">
        <v>0.7294117647058823</v>
      </c>
      <c r="K11" s="1">
        <f>IFERROR(SUMIFS(S:S,P:P,"*/10/2026")/(SUMIFS(R:R,P:P,"*/10/2026")+SUMIFS(S:S,P:P,"*/10/2026")+SUMIFS(T:T,P:P,"*/10/2026")),"")</f>
        <v/>
      </c>
      <c r="L11" s="1">
        <f>IFERROR(SUMIFS(R:R,P:P,"*/10/2026")/(SUMIFS(R:R,P:P,"*/10/2026")+SUMIFS(S:S,P:P,"*/10/2026")+SUMIFS(T:T,P:P,"*/10/2026")),"")</f>
        <v/>
      </c>
      <c r="M11" s="1">
        <f>IFERROR(SUMIFS(T:T,P:P,"*/10/2026")/(SUMIFS(R:R,P:P,"*/10/2026")+SUMIFS(S:S,P:P,"*/10/2026")+SUMIFS(T:T,P:P,"*/10/2026")),"")</f>
        <v/>
      </c>
      <c r="O11" t="n">
        <v>10</v>
      </c>
      <c r="P11" t="inlineStr">
        <is>
          <t>06/01/2026</t>
        </is>
      </c>
      <c r="Q11" t="inlineStr">
        <is>
          <t>CN</t>
        </is>
      </c>
      <c r="R11" t="n">
        <v>1460</v>
      </c>
      <c r="S11" t="n">
        <v>1428</v>
      </c>
      <c r="T11" t="n">
        <v>0</v>
      </c>
    </row>
    <row r="12">
      <c r="A12" t="n">
        <v>11</v>
      </c>
      <c r="B12" t="inlineStr">
        <is>
          <t>06/04/2026</t>
        </is>
      </c>
      <c r="C12" t="inlineStr">
        <is>
          <t>CN</t>
        </is>
      </c>
      <c r="D12" t="n">
        <v>835</v>
      </c>
      <c r="E12" t="n">
        <v>1469</v>
      </c>
      <c r="F12" t="n">
        <v>609</v>
      </c>
      <c r="H12" t="inlineStr">
        <is>
          <t>T11</t>
        </is>
      </c>
      <c r="I12" s="1" t="n">
        <v>0.6</v>
      </c>
      <c r="J12" s="1" t="n">
        <v>0.7294117647058823</v>
      </c>
      <c r="K12" s="1">
        <f>IFERROR(SUMIFS(S:S,P:P,"*/11/2026")/(SUMIFS(R:R,P:P,"*/11/2026")+SUMIFS(S:S,P:P,"*/11/2026")+SUMIFS(T:T,P:P,"*/11/2026")),"")</f>
        <v/>
      </c>
      <c r="L12" s="1">
        <f>IFERROR(SUMIFS(R:R,P:P,"*/11/2026")/(SUMIFS(R:R,P:P,"*/11/2026")+SUMIFS(S:S,P:P,"*/11/2026")+SUMIFS(T:T,P:P,"*/11/2026")),"")</f>
        <v/>
      </c>
      <c r="M12" s="1">
        <f>IFERROR(SUMIFS(T:T,P:P,"*/11/2026")/(SUMIFS(R:R,P:P,"*/11/2026")+SUMIFS(S:S,P:P,"*/11/2026")+SUMIFS(T:T,P:P,"*/11/2026")),"")</f>
        <v/>
      </c>
      <c r="O12" t="n">
        <v>11</v>
      </c>
      <c r="P12" t="inlineStr">
        <is>
          <t>06/01/2026</t>
        </is>
      </c>
      <c r="Q12" t="inlineStr">
        <is>
          <t>CD</t>
        </is>
      </c>
      <c r="R12" t="n">
        <v>1269</v>
      </c>
      <c r="S12" t="n">
        <v>1625</v>
      </c>
      <c r="T12" t="n">
        <v>0</v>
      </c>
    </row>
    <row r="13">
      <c r="A13" t="n">
        <v>12</v>
      </c>
      <c r="B13" t="inlineStr">
        <is>
          <t>06/04/2026</t>
        </is>
      </c>
      <c r="C13" t="inlineStr">
        <is>
          <t>CD</t>
        </is>
      </c>
      <c r="D13" t="n">
        <v>1110</v>
      </c>
      <c r="E13" t="n">
        <v>1801</v>
      </c>
      <c r="F13" t="n">
        <v>0</v>
      </c>
      <c r="H13" t="inlineStr">
        <is>
          <t>T12</t>
        </is>
      </c>
      <c r="I13" s="1" t="n">
        <v>0.6</v>
      </c>
      <c r="J13" s="1" t="n">
        <v>0.7294117647058823</v>
      </c>
      <c r="K13" s="1">
        <f>IFERROR(SUMIFS(S:S,P:P,"*/12/2026")/(SUMIFS(R:R,P:P,"*/12/2026")+SUMIFS(S:S,P:P,"*/12/2026")+SUMIFS(T:T,P:P,"*/12/2026")),"")</f>
        <v/>
      </c>
      <c r="L13" s="1">
        <f>IFERROR(SUMIFS(R:R,P:P,"*/12/2026")/(SUMIFS(R:R,P:P,"*/12/2026")+SUMIFS(S:S,P:P,"*/12/2026")+SUMIFS(T:T,P:P,"*/12/2026")),"")</f>
        <v/>
      </c>
      <c r="M13" s="1">
        <f>IFERROR(SUMIFS(T:T,P:P,"*/12/2026")/(SUMIFS(R:R,P:P,"*/12/2026")+SUMIFS(S:S,P:P,"*/12/2026")+SUMIFS(T:T,P:P,"*/12/2026")),"")</f>
        <v/>
      </c>
      <c r="O13" t="n">
        <v>12</v>
      </c>
      <c r="P13" t="inlineStr">
        <is>
          <t>07/01/2026</t>
        </is>
      </c>
      <c r="Q13" t="inlineStr">
        <is>
          <t>CN</t>
        </is>
      </c>
      <c r="R13" t="n">
        <v>1074</v>
      </c>
      <c r="S13" t="n">
        <v>311</v>
      </c>
      <c r="T13" t="n">
        <v>1495</v>
      </c>
    </row>
    <row r="14">
      <c r="A14" t="n">
        <v>13</v>
      </c>
      <c r="B14" t="inlineStr">
        <is>
          <t>07/04/2026</t>
        </is>
      </c>
      <c r="C14" t="inlineStr">
        <is>
          <t>CN</t>
        </is>
      </c>
      <c r="D14" t="n">
        <v>1522</v>
      </c>
      <c r="E14" t="n">
        <v>1378</v>
      </c>
      <c r="F14" t="n">
        <v>0</v>
      </c>
      <c r="H14">
        <f>IF(B2="","",TEXT(B2,"dd/mm")&amp; "-" &amp;IF(UPPER(TRIM(C2))="CN",1,IF(UPPER(TRIM(C2))="CD",2,"")))</f>
        <v/>
      </c>
      <c r="I14" s="1" t="n">
        <v>0.6</v>
      </c>
      <c r="J14" s="1" t="n">
        <v>0.7294117647058823</v>
      </c>
      <c r="K14" s="1">
        <f>IFERROR($E2/SUM($D2:$F2),"")</f>
        <v/>
      </c>
      <c r="L14" s="1">
        <f>IFERROR($D2/SUM($D2:$F2),"")</f>
        <v/>
      </c>
      <c r="M14" s="1">
        <f>IFERROR($F2/SUM($D2:$F2),"")</f>
        <v/>
      </c>
      <c r="O14" t="n">
        <v>13</v>
      </c>
      <c r="P14" t="inlineStr">
        <is>
          <t>07/01/2026</t>
        </is>
      </c>
      <c r="Q14" t="inlineStr">
        <is>
          <t>CD</t>
        </is>
      </c>
      <c r="R14" t="n">
        <v>0</v>
      </c>
      <c r="S14" t="n">
        <v>0</v>
      </c>
      <c r="T14" t="n">
        <v>2880</v>
      </c>
    </row>
    <row r="15">
      <c r="A15" t="n">
        <v>14</v>
      </c>
      <c r="B15" t="inlineStr">
        <is>
          <t>07/04/2026</t>
        </is>
      </c>
      <c r="C15" t="inlineStr">
        <is>
          <t>CD</t>
        </is>
      </c>
      <c r="D15" t="n">
        <v>1331</v>
      </c>
      <c r="E15" t="n">
        <v>1582</v>
      </c>
      <c r="F15" t="n">
        <v>0</v>
      </c>
      <c r="H15">
        <f>IF(B3="","",TEXT(B3,"dd/mm") &amp; "-" &amp; IF(UPPER(TRIM(C3))="CN",1,IF(UPPER(TRIM(C3))="CD",2,"")))</f>
        <v/>
      </c>
      <c r="I15" s="1" t="n">
        <v>0.6</v>
      </c>
      <c r="J15" s="1" t="n">
        <v>0.7294117647058823</v>
      </c>
      <c r="K15" s="1">
        <f>IFERROR($E3/SUM($D3:$F3),"")</f>
        <v/>
      </c>
      <c r="L15" s="1">
        <f>IFERROR($D3/SUM($D3:$F3),"")</f>
        <v/>
      </c>
      <c r="M15" s="1">
        <f>IFERROR($F3/SUM($D3:$F3),"")</f>
        <v/>
      </c>
      <c r="O15" t="n">
        <v>14</v>
      </c>
      <c r="P15" t="inlineStr">
        <is>
          <t>08/01/2026</t>
        </is>
      </c>
      <c r="Q15" t="inlineStr">
        <is>
          <t>CN</t>
        </is>
      </c>
      <c r="R15" t="n">
        <v>586</v>
      </c>
      <c r="S15" t="n">
        <v>1499</v>
      </c>
      <c r="T15" t="n">
        <v>811</v>
      </c>
    </row>
    <row r="16">
      <c r="A16" t="n">
        <v>15</v>
      </c>
      <c r="B16" t="inlineStr">
        <is>
          <t>08/04/2026</t>
        </is>
      </c>
      <c r="C16" t="inlineStr">
        <is>
          <t>CN</t>
        </is>
      </c>
      <c r="D16" t="n">
        <v>1456</v>
      </c>
      <c r="E16" t="n">
        <v>1459</v>
      </c>
      <c r="F16" t="n">
        <v>0</v>
      </c>
      <c r="H16">
        <f>IF(B4="","",TEXT(B4,"dd/mm") &amp; "-" &amp; IF(UPPER(TRIM(C4))="CN",1,IF(UPPER(TRIM(C4))="CD",2,"")))</f>
        <v/>
      </c>
      <c r="I16" s="1" t="n">
        <v>0.6</v>
      </c>
      <c r="J16" s="1" t="n">
        <v>0.7294117647058823</v>
      </c>
      <c r="K16" s="1">
        <f>IFERROR($E4/SUM($D4:$F4),"")</f>
        <v/>
      </c>
      <c r="L16" s="1">
        <f>IFERROR($D4/SUM($D4:$F4),"")</f>
        <v/>
      </c>
      <c r="M16" s="1">
        <f>IFERROR($F4/SUM($D4:$F4),"")</f>
        <v/>
      </c>
      <c r="O16" t="n">
        <v>15</v>
      </c>
      <c r="P16" t="inlineStr">
        <is>
          <t>08/01/2026</t>
        </is>
      </c>
      <c r="Q16" t="inlineStr">
        <is>
          <t>CD</t>
        </is>
      </c>
      <c r="R16" t="n">
        <v>1410</v>
      </c>
      <c r="S16" t="n">
        <v>1484</v>
      </c>
      <c r="T16" t="n">
        <v>0</v>
      </c>
    </row>
    <row r="17">
      <c r="A17" t="n">
        <v>16</v>
      </c>
      <c r="B17" t="inlineStr">
        <is>
          <t>08/04/2026</t>
        </is>
      </c>
      <c r="C17" t="inlineStr">
        <is>
          <t>CD</t>
        </is>
      </c>
      <c r="D17" t="n">
        <v>1096</v>
      </c>
      <c r="E17" t="n">
        <v>1818</v>
      </c>
      <c r="F17" t="n">
        <v>0</v>
      </c>
      <c r="H17">
        <f>IF(B5="","",TEXT(B5,"dd/mm") &amp; "-" &amp; IF(UPPER(TRIM(C5))="CN",1,IF(UPPER(TRIM(C5))="CD",2,"")))</f>
        <v/>
      </c>
      <c r="I17" s="1" t="n">
        <v>0.6</v>
      </c>
      <c r="J17" s="1" t="n">
        <v>0.7294117647058823</v>
      </c>
      <c r="K17" s="1">
        <f>IFERROR($E5/SUM($D5:$F5),"")</f>
        <v/>
      </c>
      <c r="L17" s="1">
        <f>IFERROR($D5/SUM($D5:$F5),"")</f>
        <v/>
      </c>
      <c r="M17" s="1">
        <f>IFERROR($F5/SUM($D5:$F5),"")</f>
        <v/>
      </c>
      <c r="O17" t="n">
        <v>16</v>
      </c>
      <c r="P17" t="inlineStr">
        <is>
          <t>09/01/2026</t>
        </is>
      </c>
      <c r="Q17" t="inlineStr">
        <is>
          <t>CN</t>
        </is>
      </c>
      <c r="R17" t="n">
        <v>1646</v>
      </c>
      <c r="S17" t="n">
        <v>1253</v>
      </c>
      <c r="T17" t="n">
        <v>0</v>
      </c>
    </row>
    <row r="18">
      <c r="A18" t="n">
        <v>17</v>
      </c>
      <c r="B18" t="inlineStr">
        <is>
          <t>09/04/2026</t>
        </is>
      </c>
      <c r="C18" t="inlineStr">
        <is>
          <t>CN</t>
        </is>
      </c>
      <c r="D18" t="n">
        <v>1207</v>
      </c>
      <c r="E18" t="n">
        <v>1702</v>
      </c>
      <c r="F18" t="n">
        <v>0</v>
      </c>
      <c r="H18">
        <f>IF(B6="","",TEXT(B6,"dd/mm") &amp; "-" &amp; IF(UPPER(TRIM(C6))="CN",1,IF(UPPER(TRIM(C6))="CD",2,"")))</f>
        <v/>
      </c>
      <c r="I18" s="1" t="n">
        <v>0.6</v>
      </c>
      <c r="J18" s="1" t="n">
        <v>0.7294117647058823</v>
      </c>
      <c r="K18" s="1">
        <f>IFERROR($E6/SUM($D6:$F6),"")</f>
        <v/>
      </c>
      <c r="L18" s="1">
        <f>IFERROR($D6/SUM($D6:$F6),"")</f>
        <v/>
      </c>
      <c r="M18" s="1">
        <f>IFERROR($F6/SUM($D6:$F6),"")</f>
        <v/>
      </c>
      <c r="O18" t="n">
        <v>17</v>
      </c>
      <c r="P18" t="inlineStr">
        <is>
          <t>09/01/2026</t>
        </is>
      </c>
      <c r="Q18" t="inlineStr">
        <is>
          <t>CD</t>
        </is>
      </c>
      <c r="R18" t="n">
        <v>1282</v>
      </c>
      <c r="S18" t="n">
        <v>1607</v>
      </c>
      <c r="T18" t="n">
        <v>0</v>
      </c>
    </row>
    <row r="19">
      <c r="A19" t="n">
        <v>18</v>
      </c>
      <c r="B19" t="inlineStr">
        <is>
          <t>09/04/2026</t>
        </is>
      </c>
      <c r="C19" t="inlineStr">
        <is>
          <t>CD</t>
        </is>
      </c>
      <c r="D19" t="n">
        <v>785</v>
      </c>
      <c r="E19" t="n">
        <v>2116</v>
      </c>
      <c r="F19" t="n">
        <v>0</v>
      </c>
      <c r="H19">
        <f>IF(B7="","",TEXT(B7,"dd/mm") &amp; "-" &amp; IF(UPPER(TRIM(C7))="CN",1,IF(UPPER(TRIM(C7))="CD",2,"")))</f>
        <v/>
      </c>
      <c r="I19" s="1" t="n">
        <v>0.6</v>
      </c>
      <c r="J19" s="1" t="n">
        <v>0.7294117647058823</v>
      </c>
      <c r="K19" s="1">
        <f>IFERROR($E7/SUM($D7:$F7),"")</f>
        <v/>
      </c>
      <c r="L19" s="1">
        <f>IFERROR($D7/SUM($D7:$F7),"")</f>
        <v/>
      </c>
      <c r="M19" s="1">
        <f>IFERROR($F7/SUM($D7:$F7),"")</f>
        <v/>
      </c>
      <c r="O19" t="n">
        <v>18</v>
      </c>
      <c r="P19" t="inlineStr">
        <is>
          <t>10/01/2026</t>
        </is>
      </c>
      <c r="Q19" t="inlineStr">
        <is>
          <t>CN</t>
        </is>
      </c>
      <c r="R19" t="n">
        <v>1599</v>
      </c>
      <c r="S19" t="n">
        <v>1284</v>
      </c>
      <c r="T19" t="n">
        <v>7</v>
      </c>
    </row>
    <row r="20">
      <c r="A20" t="n">
        <v>19</v>
      </c>
      <c r="B20" t="inlineStr">
        <is>
          <t>10/04/2026</t>
        </is>
      </c>
      <c r="C20" t="inlineStr">
        <is>
          <t>CN</t>
        </is>
      </c>
      <c r="D20" t="n">
        <v>1571</v>
      </c>
      <c r="E20" t="n">
        <v>1327</v>
      </c>
      <c r="F20" t="n">
        <v>0</v>
      </c>
      <c r="H20">
        <f>IF(B8="","",TEXT(B8,"dd/mm") &amp; "-" &amp; IF(UPPER(TRIM(C8))="CN",1,IF(UPPER(TRIM(C8))="CD",2,"")))</f>
        <v/>
      </c>
      <c r="I20" s="1" t="n">
        <v>0.6</v>
      </c>
      <c r="J20" s="1" t="n">
        <v>0.7294117647058823</v>
      </c>
      <c r="K20" s="1">
        <f>IFERROR($E8/SUM($D8:$F8),"")</f>
        <v/>
      </c>
      <c r="L20" s="1">
        <f>IFERROR($D8/SUM($D8:$F8),"")</f>
        <v/>
      </c>
      <c r="M20" s="1">
        <f>IFERROR($F8/SUM($D8:$F8),"")</f>
        <v/>
      </c>
      <c r="O20" t="n">
        <v>19</v>
      </c>
      <c r="P20" t="inlineStr">
        <is>
          <t>10/01/2026</t>
        </is>
      </c>
      <c r="Q20" t="inlineStr">
        <is>
          <t>CD</t>
        </is>
      </c>
      <c r="R20" t="n">
        <v>0</v>
      </c>
      <c r="S20" t="n">
        <v>97</v>
      </c>
      <c r="T20" t="n">
        <v>2782</v>
      </c>
    </row>
    <row r="21">
      <c r="A21" t="n">
        <v>20</v>
      </c>
      <c r="B21" t="inlineStr">
        <is>
          <t>10/04/2026</t>
        </is>
      </c>
      <c r="C21" t="inlineStr">
        <is>
          <t>CD</t>
        </is>
      </c>
      <c r="D21" t="n">
        <v>902</v>
      </c>
      <c r="E21" t="n">
        <v>1998</v>
      </c>
      <c r="F21" t="n">
        <v>0</v>
      </c>
      <c r="H21">
        <f>IF(B9="","",TEXT(B9,"dd/mm") &amp; "-" &amp; IF(UPPER(TRIM(C9))="CN",1,IF(UPPER(TRIM(C9))="CD",2,"")))</f>
        <v/>
      </c>
      <c r="I21" s="1" t="n">
        <v>0.6</v>
      </c>
      <c r="J21" s="1" t="n">
        <v>0.7294117647058823</v>
      </c>
      <c r="K21" s="1">
        <f>IFERROR($E9/SUM($D9:$F9),"")</f>
        <v/>
      </c>
      <c r="L21" s="1">
        <f>IFERROR($D9/SUM($D9:$F9),"")</f>
        <v/>
      </c>
      <c r="M21" s="1">
        <f>IFERROR($F9/SUM($D9:$F9),"")</f>
        <v/>
      </c>
      <c r="O21" t="n">
        <v>20</v>
      </c>
      <c r="P21" t="inlineStr">
        <is>
          <t>11/01/2026</t>
        </is>
      </c>
      <c r="Q21" t="inlineStr">
        <is>
          <t>CN</t>
        </is>
      </c>
      <c r="R21" t="n">
        <v>0</v>
      </c>
      <c r="S21" t="n">
        <v>0</v>
      </c>
      <c r="T21" t="n">
        <v>2880</v>
      </c>
    </row>
    <row r="22">
      <c r="A22" t="n">
        <v>21</v>
      </c>
      <c r="B22" t="inlineStr">
        <is>
          <t>11/04/2026</t>
        </is>
      </c>
      <c r="C22" t="inlineStr">
        <is>
          <t>CN</t>
        </is>
      </c>
      <c r="D22" t="n">
        <v>1575</v>
      </c>
      <c r="E22" t="n">
        <v>1316</v>
      </c>
      <c r="F22" t="n">
        <v>0</v>
      </c>
      <c r="H22">
        <f>IF(B10="","",TEXT(B10,"dd/mm") &amp; "-" &amp; IF(UPPER(TRIM(C10))="CN",1,IF(UPPER(TRIM(C10))="CD",2,"")))</f>
        <v/>
      </c>
      <c r="I22" s="1" t="n">
        <v>0.6</v>
      </c>
      <c r="J22" s="1" t="n">
        <v>0.7294117647058823</v>
      </c>
      <c r="K22" s="1">
        <f>IFERROR($E10/SUM($D10:$F10),"")</f>
        <v/>
      </c>
      <c r="L22" s="1">
        <f>IFERROR($D10/SUM($D10:$F10),"")</f>
        <v/>
      </c>
      <c r="M22" s="1">
        <f>IFERROR($F10/SUM($D10:$F10),"")</f>
        <v/>
      </c>
      <c r="O22" t="n">
        <v>21</v>
      </c>
      <c r="P22" t="inlineStr">
        <is>
          <t>11/01/2026</t>
        </is>
      </c>
      <c r="Q22" t="inlineStr">
        <is>
          <t>CD</t>
        </is>
      </c>
      <c r="R22" t="n">
        <v>0</v>
      </c>
      <c r="S22" t="n">
        <v>0</v>
      </c>
      <c r="T22" t="n">
        <v>2880</v>
      </c>
    </row>
    <row r="23">
      <c r="A23" t="n">
        <v>22</v>
      </c>
      <c r="B23" t="inlineStr">
        <is>
          <t>11/04/2026</t>
        </is>
      </c>
      <c r="C23" t="inlineStr">
        <is>
          <t>CD</t>
        </is>
      </c>
      <c r="D23" t="n">
        <v>1196</v>
      </c>
      <c r="E23" t="n">
        <v>1695</v>
      </c>
      <c r="F23" t="n">
        <v>0</v>
      </c>
      <c r="H23">
        <f>IF(B11="","",TEXT(B11,"dd/mm") &amp; "-" &amp; IF(UPPER(TRIM(C11))="CN",1,IF(UPPER(TRIM(C11))="CD",2,"")))</f>
        <v/>
      </c>
      <c r="I23" s="1" t="n">
        <v>0.6</v>
      </c>
      <c r="J23" s="1" t="n">
        <v>0.7294117647058823</v>
      </c>
      <c r="K23" s="1">
        <f>IFERROR($E11/SUM($D11:$F11),"")</f>
        <v/>
      </c>
      <c r="L23" s="1">
        <f>IFERROR($D11/SUM($D11:$F11),"")</f>
        <v/>
      </c>
      <c r="M23" s="1">
        <f>IFERROR($F11/SUM($D11:$F11),"")</f>
        <v/>
      </c>
      <c r="O23" t="n">
        <v>22</v>
      </c>
      <c r="P23" t="inlineStr">
        <is>
          <t>12/01/2026</t>
        </is>
      </c>
      <c r="Q23" t="inlineStr">
        <is>
          <t>CN</t>
        </is>
      </c>
      <c r="R23" t="n">
        <v>694</v>
      </c>
      <c r="S23" t="n">
        <v>1337</v>
      </c>
      <c r="T23" t="n">
        <v>862</v>
      </c>
    </row>
    <row r="24">
      <c r="A24" t="n">
        <v>23</v>
      </c>
      <c r="B24" t="inlineStr">
        <is>
          <t>12/04/2026</t>
        </is>
      </c>
      <c r="C24" t="inlineStr">
        <is>
          <t>CN</t>
        </is>
      </c>
      <c r="D24" t="n">
        <v>1409</v>
      </c>
      <c r="E24" t="n">
        <v>1474</v>
      </c>
      <c r="F24" t="n">
        <v>0</v>
      </c>
      <c r="H24">
        <f>IF(B12="","",TEXT(B12,"dd/mm") &amp; "-" &amp; IF(UPPER(TRIM(C12))="CN",1,IF(UPPER(TRIM(C12))="CD",2,"")))</f>
        <v/>
      </c>
      <c r="I24" s="1" t="n">
        <v>0.6</v>
      </c>
      <c r="J24" s="1" t="n">
        <v>0.7294117647058823</v>
      </c>
      <c r="K24" s="1">
        <f>IFERROR($E12/SUM($D12:$F12),"")</f>
        <v/>
      </c>
      <c r="L24" s="1">
        <f>IFERROR($D12/SUM($D12:$F12),"")</f>
        <v/>
      </c>
      <c r="M24" s="1">
        <f>IFERROR($F12/SUM($D12:$F12),"")</f>
        <v/>
      </c>
      <c r="O24" t="n">
        <v>23</v>
      </c>
      <c r="P24" t="inlineStr">
        <is>
          <t>12/01/2026</t>
        </is>
      </c>
      <c r="Q24" t="inlineStr">
        <is>
          <t>CD</t>
        </is>
      </c>
      <c r="R24" t="n">
        <v>1354</v>
      </c>
      <c r="S24" t="n">
        <v>1549</v>
      </c>
      <c r="T24" t="n">
        <v>0</v>
      </c>
    </row>
    <row r="25">
      <c r="A25" t="n">
        <v>24</v>
      </c>
      <c r="B25" t="inlineStr">
        <is>
          <t>12/04/2026</t>
        </is>
      </c>
      <c r="C25" t="inlineStr">
        <is>
          <t>CD</t>
        </is>
      </c>
      <c r="D25" t="n">
        <v>2619</v>
      </c>
      <c r="E25" t="n">
        <v>260</v>
      </c>
      <c r="F25" t="n">
        <v>0</v>
      </c>
      <c r="H25">
        <f>IF(B13="","",TEXT(B13,"dd/mm") &amp; "-" &amp; IF(UPPER(TRIM(C13))="CN",1,IF(UPPER(TRIM(C13))="CD",2,"")))</f>
        <v/>
      </c>
      <c r="I25" s="1" t="n">
        <v>0.6</v>
      </c>
      <c r="J25" s="1" t="n">
        <v>0.7294117647058823</v>
      </c>
      <c r="K25" s="1">
        <f>IFERROR($E13/SUM($D13:$F13),"")</f>
        <v/>
      </c>
      <c r="L25" s="1">
        <f>IFERROR($D13/SUM($D13:$F13),"")</f>
        <v/>
      </c>
      <c r="M25" s="1">
        <f>IFERROR($F13/SUM($D13:$F13),"")</f>
        <v/>
      </c>
      <c r="O25" t="n">
        <v>24</v>
      </c>
      <c r="P25" t="inlineStr">
        <is>
          <t>13/01/2026</t>
        </is>
      </c>
      <c r="Q25" t="inlineStr">
        <is>
          <t>CN</t>
        </is>
      </c>
      <c r="R25" t="n">
        <v>1616</v>
      </c>
      <c r="S25" t="n">
        <v>1282</v>
      </c>
      <c r="T25" t="n">
        <v>0</v>
      </c>
    </row>
    <row r="26">
      <c r="A26" t="n">
        <v>25</v>
      </c>
      <c r="B26" t="inlineStr">
        <is>
          <t>13/04/2026</t>
        </is>
      </c>
      <c r="C26" t="inlineStr">
        <is>
          <t>CN</t>
        </is>
      </c>
      <c r="D26" t="n">
        <v>1299</v>
      </c>
      <c r="E26" t="n">
        <v>1592</v>
      </c>
      <c r="F26" t="n">
        <v>0</v>
      </c>
      <c r="H26">
        <f>IF(B14="","",TEXT(B14,"dd/mm") &amp; "-" &amp; IF(UPPER(TRIM(C14))="CN",1,IF(UPPER(TRIM(C14))="CD",2,"")))</f>
        <v/>
      </c>
      <c r="I26" s="1" t="n">
        <v>0.6</v>
      </c>
      <c r="J26" s="1" t="n">
        <v>0.7294117647058823</v>
      </c>
      <c r="K26" s="1">
        <f>IFERROR($E14/SUM($D14:$F14),"")</f>
        <v/>
      </c>
      <c r="L26" s="1">
        <f>IFERROR($D14/SUM($D14:$F14),"")</f>
        <v/>
      </c>
      <c r="M26" s="1">
        <f>IFERROR($F14/SUM($D14:$F14),"")</f>
        <v/>
      </c>
      <c r="O26" t="n">
        <v>25</v>
      </c>
      <c r="P26" t="inlineStr">
        <is>
          <t>13/01/2026</t>
        </is>
      </c>
      <c r="Q26" t="inlineStr">
        <is>
          <t>CD</t>
        </is>
      </c>
      <c r="R26" t="n">
        <v>1074</v>
      </c>
      <c r="S26" t="n">
        <v>1818</v>
      </c>
      <c r="T26" t="n">
        <v>0</v>
      </c>
    </row>
    <row r="27">
      <c r="A27" t="n">
        <v>26</v>
      </c>
      <c r="B27" t="inlineStr">
        <is>
          <t>13/04/2026</t>
        </is>
      </c>
      <c r="C27" t="inlineStr">
        <is>
          <t>CD</t>
        </is>
      </c>
      <c r="D27" t="n">
        <v>1227</v>
      </c>
      <c r="E27" t="n">
        <v>1669</v>
      </c>
      <c r="F27" t="n">
        <v>0</v>
      </c>
      <c r="H27">
        <f>IF(B15="","",TEXT(B15,"dd/mm") &amp; "-" &amp; IF(UPPER(TRIM(C15))="CN",1,IF(UPPER(TRIM(C15))="CD",2,"")))</f>
        <v/>
      </c>
      <c r="I27" s="1" t="n">
        <v>0.6</v>
      </c>
      <c r="J27" s="1" t="n">
        <v>0.7294117647058823</v>
      </c>
      <c r="K27" s="1">
        <f>IFERROR($E15/SUM($D15:$F15),"")</f>
        <v/>
      </c>
      <c r="L27" s="1">
        <f>IFERROR($D15/SUM($D15:$F15),"")</f>
        <v/>
      </c>
      <c r="M27" s="1">
        <f>IFERROR($F15/SUM($D15:$F15),"")</f>
        <v/>
      </c>
      <c r="O27" t="n">
        <v>26</v>
      </c>
      <c r="P27" t="inlineStr">
        <is>
          <t>14/01/2026</t>
        </is>
      </c>
      <c r="Q27" t="inlineStr">
        <is>
          <t>CN</t>
        </is>
      </c>
      <c r="R27" t="n">
        <v>1437</v>
      </c>
      <c r="S27" t="n">
        <v>1462</v>
      </c>
      <c r="T27" t="n">
        <v>0</v>
      </c>
    </row>
    <row r="28">
      <c r="A28" t="n">
        <v>27</v>
      </c>
      <c r="B28" t="inlineStr">
        <is>
          <t>14/04/2026</t>
        </is>
      </c>
      <c r="C28" t="inlineStr">
        <is>
          <t>CN</t>
        </is>
      </c>
      <c r="D28" t="n">
        <v>1583</v>
      </c>
      <c r="E28" t="n">
        <v>1312</v>
      </c>
      <c r="F28" t="n">
        <v>0</v>
      </c>
      <c r="H28">
        <f>IF(B16="","",TEXT(B16,"dd/mm") &amp; "-" &amp; IF(UPPER(TRIM(C16))="CN",1,IF(UPPER(TRIM(C16))="CD",2,"")))</f>
        <v/>
      </c>
      <c r="I28" s="1" t="n">
        <v>0.6</v>
      </c>
      <c r="J28" s="1" t="n">
        <v>0.7294117647058823</v>
      </c>
      <c r="K28" s="1">
        <f>IFERROR($E16/SUM($D16:$F16),"")</f>
        <v/>
      </c>
      <c r="L28" s="1">
        <f>IFERROR($D16/SUM($D16:$F16),"")</f>
        <v/>
      </c>
      <c r="M28" s="1">
        <f>IFERROR($F16/SUM($D16:$F16),"")</f>
        <v/>
      </c>
      <c r="O28" t="n">
        <v>27</v>
      </c>
      <c r="P28" t="inlineStr">
        <is>
          <t>14/01/2026</t>
        </is>
      </c>
      <c r="Q28" t="inlineStr">
        <is>
          <t>CD</t>
        </is>
      </c>
      <c r="R28" t="n">
        <v>834</v>
      </c>
      <c r="S28" t="n">
        <v>2054</v>
      </c>
      <c r="T28" t="n">
        <v>0</v>
      </c>
    </row>
    <row r="29">
      <c r="A29" t="n">
        <v>28</v>
      </c>
      <c r="B29" t="inlineStr">
        <is>
          <t>14/04/2026</t>
        </is>
      </c>
      <c r="C29" t="inlineStr">
        <is>
          <t>CD</t>
        </is>
      </c>
      <c r="D29" t="n">
        <v>813</v>
      </c>
      <c r="E29" t="n">
        <v>2092</v>
      </c>
      <c r="F29" t="n">
        <v>0</v>
      </c>
      <c r="H29">
        <f>IF(B17="","",TEXT(B17,"dd/mm") &amp; "-" &amp; IF(UPPER(TRIM(C17))="CN",1,IF(UPPER(TRIM(C17))="CD",2,"")))</f>
        <v/>
      </c>
      <c r="I29" s="1" t="n">
        <v>0.6</v>
      </c>
      <c r="J29" s="1" t="n">
        <v>0.7294117647058823</v>
      </c>
      <c r="K29" s="1">
        <f>IFERROR($E17/SUM($D17:$F17),"")</f>
        <v/>
      </c>
      <c r="L29" s="1">
        <f>IFERROR($D17/SUM($D17:$F17),"")</f>
        <v/>
      </c>
      <c r="M29" s="1">
        <f>IFERROR($F17/SUM($D17:$F17),"")</f>
        <v/>
      </c>
      <c r="O29" t="n">
        <v>28</v>
      </c>
      <c r="P29" t="inlineStr">
        <is>
          <t>15/01/2026</t>
        </is>
      </c>
      <c r="Q29" t="inlineStr">
        <is>
          <t>CN</t>
        </is>
      </c>
      <c r="R29" t="n">
        <v>1399</v>
      </c>
      <c r="S29" t="n">
        <v>1499</v>
      </c>
      <c r="T29" t="n">
        <v>0</v>
      </c>
    </row>
    <row r="30">
      <c r="A30" t="n">
        <v>29</v>
      </c>
      <c r="B30" t="inlineStr">
        <is>
          <t>15/04/2026</t>
        </is>
      </c>
      <c r="C30" t="inlineStr">
        <is>
          <t>CN</t>
        </is>
      </c>
      <c r="D30" t="n">
        <v>1465</v>
      </c>
      <c r="E30" t="n">
        <v>1444</v>
      </c>
      <c r="F30" t="n">
        <v>0</v>
      </c>
      <c r="H30">
        <f>IF(B18="","",TEXT(B18,"dd/mm") &amp; "-" &amp; IF(UPPER(TRIM(C18))="CN",1,IF(UPPER(TRIM(C18))="CD",2,"")))</f>
        <v/>
      </c>
      <c r="I30" s="1" t="n">
        <v>0.6</v>
      </c>
      <c r="J30" s="1" t="n">
        <v>0.7294117647058823</v>
      </c>
      <c r="K30" s="1">
        <f>IFERROR($E18/SUM($D18:$F18),"")</f>
        <v/>
      </c>
      <c r="L30" s="1">
        <f>IFERROR($D18/SUM($D18:$F18),"")</f>
        <v/>
      </c>
      <c r="M30" s="1">
        <f>IFERROR($F18/SUM($D18:$F18),"")</f>
        <v/>
      </c>
      <c r="O30" t="n">
        <v>29</v>
      </c>
      <c r="P30" t="inlineStr">
        <is>
          <t>15/01/2026</t>
        </is>
      </c>
      <c r="Q30" t="inlineStr">
        <is>
          <t>CD</t>
        </is>
      </c>
      <c r="R30" t="n">
        <v>998</v>
      </c>
      <c r="S30" t="n">
        <v>1898</v>
      </c>
      <c r="T30" t="n">
        <v>0</v>
      </c>
    </row>
    <row r="31">
      <c r="A31" t="n">
        <v>30</v>
      </c>
      <c r="B31" t="inlineStr">
        <is>
          <t>15/04/2026</t>
        </is>
      </c>
      <c r="C31" t="inlineStr">
        <is>
          <t>CD</t>
        </is>
      </c>
      <c r="D31" t="n">
        <v>1090</v>
      </c>
      <c r="E31" t="n">
        <v>1806</v>
      </c>
      <c r="F31" t="n">
        <v>0</v>
      </c>
      <c r="H31">
        <f>IF(B19="","",TEXT(B19,"dd/mm") &amp; "-" &amp; IF(UPPER(TRIM(C19))="CN",1,IF(UPPER(TRIM(C19))="CD",2,"")))</f>
        <v/>
      </c>
      <c r="I31" s="1" t="n">
        <v>0.6</v>
      </c>
      <c r="J31" s="1" t="n">
        <v>0.7294117647058823</v>
      </c>
      <c r="K31" s="1">
        <f>IFERROR($E19/SUM($D19:$F19),"")</f>
        <v/>
      </c>
      <c r="L31" s="1">
        <f>IFERROR($D19/SUM($D19:$F19),"")</f>
        <v/>
      </c>
      <c r="M31" s="1">
        <f>IFERROR($F19/SUM($D19:$F19),"")</f>
        <v/>
      </c>
      <c r="O31" t="n">
        <v>30</v>
      </c>
      <c r="P31" t="inlineStr">
        <is>
          <t>16/01/2026</t>
        </is>
      </c>
      <c r="Q31" t="inlineStr">
        <is>
          <t>CN</t>
        </is>
      </c>
      <c r="R31" t="n">
        <v>1790</v>
      </c>
      <c r="S31" t="n">
        <v>1100</v>
      </c>
      <c r="T31" t="n">
        <v>0</v>
      </c>
    </row>
    <row r="32">
      <c r="A32" t="n">
        <v>31</v>
      </c>
      <c r="B32" t="inlineStr">
        <is>
          <t>16/04/2026</t>
        </is>
      </c>
      <c r="C32" t="inlineStr">
        <is>
          <t>CN</t>
        </is>
      </c>
      <c r="D32" t="n">
        <v>1385</v>
      </c>
      <c r="E32" t="n">
        <v>1524</v>
      </c>
      <c r="F32" t="n">
        <v>0</v>
      </c>
      <c r="H32">
        <f>IF(B20="","",TEXT(B20,"dd/mm") &amp; "-" &amp; IF(UPPER(TRIM(C20))="CN",1,IF(UPPER(TRIM(C20))="CD",2,"")))</f>
        <v/>
      </c>
      <c r="I32" s="1" t="n">
        <v>0.6</v>
      </c>
      <c r="J32" s="1" t="n">
        <v>0.7294117647058823</v>
      </c>
      <c r="K32" s="1">
        <f>IFERROR($E20/SUM($D20:$F20),"")</f>
        <v/>
      </c>
      <c r="L32" s="1">
        <f>IFERROR($D20/SUM($D20:$F20),"")</f>
        <v/>
      </c>
      <c r="M32" s="1">
        <f>IFERROR($F20/SUM($D20:$F20),"")</f>
        <v/>
      </c>
      <c r="O32" t="n">
        <v>31</v>
      </c>
      <c r="P32" t="inlineStr">
        <is>
          <t>16/01/2026</t>
        </is>
      </c>
      <c r="Q32" t="inlineStr">
        <is>
          <t>CD</t>
        </is>
      </c>
      <c r="R32" t="n">
        <v>933</v>
      </c>
      <c r="S32" t="n">
        <v>1974</v>
      </c>
      <c r="T32" t="n">
        <v>0</v>
      </c>
    </row>
    <row r="33">
      <c r="A33" t="n">
        <v>32</v>
      </c>
      <c r="B33" t="inlineStr">
        <is>
          <t>16/04/2026</t>
        </is>
      </c>
      <c r="C33" t="inlineStr">
        <is>
          <t>CD</t>
        </is>
      </c>
      <c r="D33" t="n">
        <v>869</v>
      </c>
      <c r="E33" t="n">
        <v>2053</v>
      </c>
      <c r="F33" t="n">
        <v>0</v>
      </c>
      <c r="H33">
        <f>IF(B21="","",TEXT(B21,"dd/mm") &amp; "-" &amp; IF(UPPER(TRIM(C21))="CN",1,IF(UPPER(TRIM(C21))="CD",2,"")))</f>
        <v/>
      </c>
      <c r="I33" s="1" t="n">
        <v>0.6</v>
      </c>
      <c r="J33" s="1" t="n">
        <v>0.7294117647058823</v>
      </c>
      <c r="K33" s="1">
        <f>IFERROR($E21/SUM($D21:$F21),"")</f>
        <v/>
      </c>
      <c r="L33" s="1">
        <f>IFERROR($D21/SUM($D21:$F21),"")</f>
        <v/>
      </c>
      <c r="M33" s="1">
        <f>IFERROR($F21/SUM($D21:$F21),"")</f>
        <v/>
      </c>
      <c r="O33" t="n">
        <v>32</v>
      </c>
      <c r="P33" t="inlineStr">
        <is>
          <t>17/01/2026</t>
        </is>
      </c>
      <c r="Q33" t="inlineStr">
        <is>
          <t>CN</t>
        </is>
      </c>
      <c r="R33" t="n">
        <v>1191</v>
      </c>
      <c r="S33" t="n">
        <v>1706</v>
      </c>
      <c r="T33" t="n">
        <v>0</v>
      </c>
    </row>
    <row r="34">
      <c r="A34" t="n">
        <v>33</v>
      </c>
      <c r="B34" t="inlineStr">
        <is>
          <t>17/04/2026</t>
        </is>
      </c>
      <c r="C34" t="inlineStr">
        <is>
          <t>CN</t>
        </is>
      </c>
      <c r="D34" t="n">
        <v>1234</v>
      </c>
      <c r="E34" t="n">
        <v>1656</v>
      </c>
      <c r="F34" t="n">
        <v>0</v>
      </c>
      <c r="H34">
        <f>IF(B22="","",TEXT(B22,"dd/mm") &amp; "-" &amp; IF(UPPER(TRIM(C22))="CN",1,IF(UPPER(TRIM(C22))="CD",2,"")))</f>
        <v/>
      </c>
      <c r="I34" s="1" t="n">
        <v>0.6</v>
      </c>
      <c r="J34" s="1" t="n">
        <v>0.7294117647058823</v>
      </c>
      <c r="K34" s="1">
        <f>IFERROR($E22/SUM($D22:$F22),"")</f>
        <v/>
      </c>
      <c r="L34" s="1">
        <f>IFERROR($D22/SUM($D22:$F22),"")</f>
        <v/>
      </c>
      <c r="M34" s="1">
        <f>IFERROR($F22/SUM($D22:$F22),"")</f>
        <v/>
      </c>
      <c r="O34" t="n">
        <v>33</v>
      </c>
      <c r="P34" t="inlineStr">
        <is>
          <t>17/01/2026</t>
        </is>
      </c>
      <c r="Q34" t="inlineStr">
        <is>
          <t>CD</t>
        </is>
      </c>
      <c r="R34" t="n">
        <v>989</v>
      </c>
      <c r="S34" t="n">
        <v>1898</v>
      </c>
      <c r="T34" t="n">
        <v>0</v>
      </c>
    </row>
    <row r="35">
      <c r="A35" t="n">
        <v>34</v>
      </c>
      <c r="B35" t="inlineStr">
        <is>
          <t>17/04/2026</t>
        </is>
      </c>
      <c r="C35" t="inlineStr">
        <is>
          <t>CD</t>
        </is>
      </c>
      <c r="D35" t="n">
        <v>1424</v>
      </c>
      <c r="E35" t="n">
        <v>1487</v>
      </c>
      <c r="F35" t="n">
        <v>0</v>
      </c>
      <c r="H35">
        <f>IF(B23="","",TEXT(B23,"dd/mm") &amp; "-" &amp; IF(UPPER(TRIM(C23))="CN",1,IF(UPPER(TRIM(C23))="CD",2,"")))</f>
        <v/>
      </c>
      <c r="I35" s="1" t="n">
        <v>0.6</v>
      </c>
      <c r="J35" s="1" t="n">
        <v>0.7294117647058823</v>
      </c>
      <c r="K35" s="1">
        <f>IFERROR($E23/SUM($D23:$F23),"")</f>
        <v/>
      </c>
      <c r="L35" s="1">
        <f>IFERROR($D23/SUM($D23:$F23),"")</f>
        <v/>
      </c>
      <c r="M35" s="1">
        <f>IFERROR($F23/SUM($D23:$F23),"")</f>
        <v/>
      </c>
      <c r="O35" t="n">
        <v>34</v>
      </c>
      <c r="P35" t="inlineStr">
        <is>
          <t>18/01/2026</t>
        </is>
      </c>
      <c r="Q35" t="inlineStr">
        <is>
          <t>CN</t>
        </is>
      </c>
      <c r="R35" t="n">
        <v>1806</v>
      </c>
      <c r="S35" t="n">
        <v>1080</v>
      </c>
      <c r="T35" t="n">
        <v>0</v>
      </c>
    </row>
    <row r="36">
      <c r="A36" t="n">
        <v>35</v>
      </c>
      <c r="B36" t="inlineStr">
        <is>
          <t>18/04/2026</t>
        </is>
      </c>
      <c r="C36" t="inlineStr">
        <is>
          <t>CN</t>
        </is>
      </c>
      <c r="D36" t="n">
        <v>1534</v>
      </c>
      <c r="E36" t="n">
        <v>1367</v>
      </c>
      <c r="F36" t="n">
        <v>0</v>
      </c>
      <c r="H36">
        <f>IF(B24="","",TEXT(B24,"dd/mm") &amp; "-" &amp; IF(UPPER(TRIM(C24))="CN",1,IF(UPPER(TRIM(C24))="CD",2,"")))</f>
        <v/>
      </c>
      <c r="I36" s="1" t="n">
        <v>0.6</v>
      </c>
      <c r="J36" s="1" t="n">
        <v>0.7294117647058823</v>
      </c>
      <c r="K36" s="1">
        <f>IFERROR($E24/SUM($D24:$F24),"")</f>
        <v/>
      </c>
      <c r="L36" s="1">
        <f>IFERROR($D24/SUM($D24:$F24),"")</f>
        <v/>
      </c>
      <c r="M36" s="1">
        <f>IFERROR($F24/SUM($D24:$F24),"")</f>
        <v/>
      </c>
      <c r="O36" t="n">
        <v>35</v>
      </c>
      <c r="P36" t="inlineStr">
        <is>
          <t>18/01/2026</t>
        </is>
      </c>
      <c r="Q36" t="inlineStr">
        <is>
          <t>CD</t>
        </is>
      </c>
      <c r="R36" t="n">
        <v>1326</v>
      </c>
      <c r="S36" t="n">
        <v>351</v>
      </c>
      <c r="T36" t="n">
        <v>1207</v>
      </c>
    </row>
    <row r="37">
      <c r="A37" t="n">
        <v>36</v>
      </c>
      <c r="B37" t="inlineStr">
        <is>
          <t>18/04/2026</t>
        </is>
      </c>
      <c r="C37" t="inlineStr">
        <is>
          <t>CD</t>
        </is>
      </c>
      <c r="D37" t="n">
        <v>1662</v>
      </c>
      <c r="E37" t="n">
        <v>1276</v>
      </c>
      <c r="F37" t="n">
        <v>0</v>
      </c>
      <c r="H37">
        <f>IF(B25="","",TEXT(B25,"dd/mm") &amp; "-" &amp; IF(UPPER(TRIM(C25))="CN",1,IF(UPPER(TRIM(C25))="CD",2,"")))</f>
        <v/>
      </c>
      <c r="I37" s="1" t="n">
        <v>0.6</v>
      </c>
      <c r="J37" s="1" t="n">
        <v>0.7294117647058823</v>
      </c>
      <c r="K37" s="1">
        <f>IFERROR($E25/SUM($D25:$F25),"")</f>
        <v/>
      </c>
      <c r="L37" s="1">
        <f>IFERROR($D25/SUM($D25:$F25),"")</f>
        <v/>
      </c>
      <c r="M37" s="1">
        <f>IFERROR($F25/SUM($D25:$F25),"")</f>
        <v/>
      </c>
      <c r="O37" t="n">
        <v>36</v>
      </c>
      <c r="P37" t="inlineStr">
        <is>
          <t>19/01/2026</t>
        </is>
      </c>
      <c r="Q37" t="inlineStr">
        <is>
          <t>CN</t>
        </is>
      </c>
      <c r="R37" t="n">
        <v>1214</v>
      </c>
      <c r="S37" t="n">
        <v>1261</v>
      </c>
      <c r="T37" t="n">
        <v>410</v>
      </c>
    </row>
    <row r="38">
      <c r="A38" t="n">
        <v>37</v>
      </c>
      <c r="B38" t="inlineStr">
        <is>
          <t>19/04/2026</t>
        </is>
      </c>
      <c r="C38" t="inlineStr">
        <is>
          <t>CN</t>
        </is>
      </c>
      <c r="D38" t="n">
        <v>1553</v>
      </c>
      <c r="E38" t="n">
        <v>1299</v>
      </c>
      <c r="F38" t="n">
        <v>37</v>
      </c>
      <c r="H38">
        <f>IF(B26="","",TEXT(B26,"dd/mm") &amp; "-" &amp; IF(UPPER(TRIM(C26))="CN",1,IF(UPPER(TRIM(C26))="CD",2,"")))</f>
        <v/>
      </c>
      <c r="I38" s="1" t="n">
        <v>0.6</v>
      </c>
      <c r="J38" s="1" t="n">
        <v>0.7294117647058823</v>
      </c>
      <c r="K38" s="1">
        <f>IFERROR($E26/SUM($D26:$F26),"")</f>
        <v/>
      </c>
      <c r="L38" s="1">
        <f>IFERROR($D26/SUM($D26:$F26),"")</f>
        <v/>
      </c>
      <c r="M38" s="1">
        <f>IFERROR($F26/SUM($D26:$F26),"")</f>
        <v/>
      </c>
      <c r="O38" t="n">
        <v>37</v>
      </c>
      <c r="P38" t="inlineStr">
        <is>
          <t>19/01/2026</t>
        </is>
      </c>
      <c r="Q38" t="inlineStr">
        <is>
          <t>CD</t>
        </is>
      </c>
      <c r="R38" t="n">
        <v>993</v>
      </c>
      <c r="S38" t="n">
        <v>1905</v>
      </c>
      <c r="T38" t="n">
        <v>0</v>
      </c>
    </row>
    <row r="39">
      <c r="A39" t="n">
        <v>38</v>
      </c>
      <c r="B39" t="inlineStr">
        <is>
          <t>19/04/2026</t>
        </is>
      </c>
      <c r="C39" t="inlineStr">
        <is>
          <t>CD</t>
        </is>
      </c>
      <c r="D39" t="n">
        <v>692</v>
      </c>
      <c r="E39" t="n">
        <v>30</v>
      </c>
      <c r="F39" t="n">
        <v>2160</v>
      </c>
      <c r="H39">
        <f>IF(B27="","",TEXT(B27,"dd/mm") &amp; "-" &amp; IF(UPPER(TRIM(C27))="CN",1,IF(UPPER(TRIM(C27))="CD",2,"")))</f>
        <v/>
      </c>
      <c r="I39" s="1" t="n">
        <v>0.6</v>
      </c>
      <c r="J39" s="1" t="n">
        <v>0.7294117647058823</v>
      </c>
      <c r="K39" s="1">
        <f>IFERROR($E27/SUM($D27:$F27),"")</f>
        <v/>
      </c>
      <c r="L39" s="1">
        <f>IFERROR($D27/SUM($D27:$F27),"")</f>
        <v/>
      </c>
      <c r="M39" s="1">
        <f>IFERROR($F27/SUM($D27:$F27),"")</f>
        <v/>
      </c>
      <c r="O39" t="n">
        <v>38</v>
      </c>
      <c r="P39" t="inlineStr">
        <is>
          <t>20/01/2026</t>
        </is>
      </c>
      <c r="Q39" t="inlineStr">
        <is>
          <t>CN</t>
        </is>
      </c>
      <c r="R39" t="n">
        <v>1428</v>
      </c>
      <c r="S39" t="n">
        <v>1455</v>
      </c>
      <c r="T39" t="n">
        <v>0</v>
      </c>
    </row>
    <row r="40">
      <c r="A40" t="n">
        <v>39</v>
      </c>
      <c r="B40" t="inlineStr">
        <is>
          <t>20/04/2026</t>
        </is>
      </c>
      <c r="C40" t="inlineStr">
        <is>
          <t>CN</t>
        </is>
      </c>
      <c r="D40" t="n">
        <v>925</v>
      </c>
      <c r="E40" t="n">
        <v>1353</v>
      </c>
      <c r="F40" t="n">
        <v>618</v>
      </c>
      <c r="H40">
        <f>IF(B28="","",TEXT(B28,"dd/mm") &amp; "-" &amp; IF(UPPER(TRIM(C28))="CN",1,IF(UPPER(TRIM(C28))="CD",2,"")))</f>
        <v/>
      </c>
      <c r="I40" s="1" t="n">
        <v>0.6</v>
      </c>
      <c r="J40" s="1" t="n">
        <v>0.7294117647058823</v>
      </c>
      <c r="K40" s="1">
        <f>IFERROR($E28/SUM($D28:$F28),"")</f>
        <v/>
      </c>
      <c r="L40" s="1">
        <f>IFERROR($D28/SUM($D28:$F28),"")</f>
        <v/>
      </c>
      <c r="M40" s="1">
        <f>IFERROR($F28/SUM($D28:$F28),"")</f>
        <v/>
      </c>
      <c r="O40" t="n">
        <v>39</v>
      </c>
      <c r="P40" t="inlineStr">
        <is>
          <t>20/01/2026</t>
        </is>
      </c>
      <c r="Q40" t="inlineStr">
        <is>
          <t>CD</t>
        </is>
      </c>
      <c r="R40" t="n">
        <v>1355</v>
      </c>
      <c r="S40" t="n">
        <v>1531</v>
      </c>
      <c r="T40" t="n">
        <v>0</v>
      </c>
    </row>
    <row r="41">
      <c r="A41" t="n">
        <v>40</v>
      </c>
      <c r="B41" t="inlineStr">
        <is>
          <t>20/04/2026</t>
        </is>
      </c>
      <c r="C41" t="inlineStr">
        <is>
          <t>CD</t>
        </is>
      </c>
      <c r="D41" t="n">
        <v>728</v>
      </c>
      <c r="E41" t="n">
        <v>2167</v>
      </c>
      <c r="F41" t="n">
        <v>0</v>
      </c>
      <c r="H41">
        <f>IF(B29="","",TEXT(B29,"dd/mm") &amp; "-" &amp; IF(UPPER(TRIM(C29))="CN",1,IF(UPPER(TRIM(C29))="CD",2,"")))</f>
        <v/>
      </c>
      <c r="I41" s="1" t="n">
        <v>0.6</v>
      </c>
      <c r="J41" s="1" t="n">
        <v>0.7294117647058823</v>
      </c>
      <c r="K41" s="1">
        <f>IFERROR($E29/SUM($D29:$F29),"")</f>
        <v/>
      </c>
      <c r="L41" s="1">
        <f>IFERROR($D29/SUM($D29:$F29),"")</f>
        <v/>
      </c>
      <c r="M41" s="1">
        <f>IFERROR($F29/SUM($D29:$F29),"")</f>
        <v/>
      </c>
      <c r="O41" t="n">
        <v>40</v>
      </c>
      <c r="P41" t="inlineStr">
        <is>
          <t>21/01/2026</t>
        </is>
      </c>
      <c r="Q41" t="inlineStr">
        <is>
          <t>CN</t>
        </is>
      </c>
      <c r="R41" t="n">
        <v>1433</v>
      </c>
      <c r="S41" t="n">
        <v>1456</v>
      </c>
      <c r="T41" t="n">
        <v>0</v>
      </c>
    </row>
    <row r="42">
      <c r="A42" t="n">
        <v>41</v>
      </c>
      <c r="B42" t="inlineStr">
        <is>
          <t>21/04/2026</t>
        </is>
      </c>
      <c r="C42" t="inlineStr">
        <is>
          <t>CN</t>
        </is>
      </c>
      <c r="D42" t="n">
        <v>1514</v>
      </c>
      <c r="E42" t="n">
        <v>1380</v>
      </c>
      <c r="F42" t="n">
        <v>0</v>
      </c>
      <c r="H42">
        <f>IF(B30="","",TEXT(B30,"dd/mm") &amp; "-" &amp; IF(UPPER(TRIM(C30))="CN",1,IF(UPPER(TRIM(C30))="CD",2,"")))</f>
        <v/>
      </c>
      <c r="I42" s="1" t="n">
        <v>0.6</v>
      </c>
      <c r="J42" s="1" t="n">
        <v>0.7294117647058823</v>
      </c>
      <c r="K42" s="1">
        <f>IFERROR($E30/SUM($D30:$F30),"")</f>
        <v/>
      </c>
      <c r="L42" s="1">
        <f>IFERROR($D30/SUM($D30:$F30),"")</f>
        <v/>
      </c>
      <c r="M42" s="1">
        <f>IFERROR($F30/SUM($D30:$F30),"")</f>
        <v/>
      </c>
      <c r="O42" t="n">
        <v>41</v>
      </c>
      <c r="P42" t="inlineStr">
        <is>
          <t>21/01/2026</t>
        </is>
      </c>
      <c r="Q42" t="inlineStr">
        <is>
          <t>CD</t>
        </is>
      </c>
      <c r="R42" t="n">
        <v>1256</v>
      </c>
      <c r="S42" t="n">
        <v>1632</v>
      </c>
      <c r="T42" t="n">
        <v>0</v>
      </c>
    </row>
    <row r="43">
      <c r="A43" t="n">
        <v>42</v>
      </c>
      <c r="B43" t="inlineStr">
        <is>
          <t>21/04/2026</t>
        </is>
      </c>
      <c r="C43" t="inlineStr">
        <is>
          <t>CD</t>
        </is>
      </c>
      <c r="D43" t="n">
        <v>1085</v>
      </c>
      <c r="E43" t="n">
        <v>1817</v>
      </c>
      <c r="F43" t="n">
        <v>0</v>
      </c>
      <c r="H43">
        <f>IF(B31="","",TEXT(B31,"dd/mm") &amp; "-" &amp; IF(UPPER(TRIM(C31))="CN",1,IF(UPPER(TRIM(C31))="CD",2,"")))</f>
        <v/>
      </c>
      <c r="I43" s="1" t="n">
        <v>0.6</v>
      </c>
      <c r="J43" s="1" t="n">
        <v>0.7294117647058823</v>
      </c>
      <c r="K43" s="1">
        <f>IFERROR($E31/SUM($D31:$F31),"")</f>
        <v/>
      </c>
      <c r="L43" s="1">
        <f>IFERROR($D31/SUM($D31:$F31),"")</f>
        <v/>
      </c>
      <c r="M43" s="1">
        <f>IFERROR($F31/SUM($D31:$F31),"")</f>
        <v/>
      </c>
      <c r="O43" t="n">
        <v>42</v>
      </c>
      <c r="P43" t="inlineStr">
        <is>
          <t>22/01/2026</t>
        </is>
      </c>
      <c r="Q43" t="inlineStr">
        <is>
          <t>CN</t>
        </is>
      </c>
      <c r="R43" t="n">
        <v>1464</v>
      </c>
      <c r="S43" t="n">
        <v>1423</v>
      </c>
      <c r="T43" t="n">
        <v>0</v>
      </c>
    </row>
    <row r="44">
      <c r="A44" t="n">
        <v>43</v>
      </c>
      <c r="B44" t="inlineStr">
        <is>
          <t>22/04/2026</t>
        </is>
      </c>
      <c r="C44" t="inlineStr">
        <is>
          <t>CN</t>
        </is>
      </c>
      <c r="D44" t="n">
        <v>1493</v>
      </c>
      <c r="E44" t="n">
        <v>1426</v>
      </c>
      <c r="F44" t="n">
        <v>0</v>
      </c>
      <c r="H44">
        <f>IF(B32="","",TEXT(B32,"dd/mm") &amp; "-" &amp; IF(UPPER(TRIM(C32))="CN",1,IF(UPPER(TRIM(C32))="CD",2,"")))</f>
        <v/>
      </c>
      <c r="I44" s="1" t="n">
        <v>0.6</v>
      </c>
      <c r="J44" s="1" t="n">
        <v>0.7294117647058823</v>
      </c>
      <c r="K44" s="1">
        <f>IFERROR($E32/SUM($D32:$F32),"")</f>
        <v/>
      </c>
      <c r="L44" s="1">
        <f>IFERROR($D32/SUM($D32:$F32),"")</f>
        <v/>
      </c>
      <c r="M44" s="1">
        <f>IFERROR($F32/SUM($D32:$F32),"")</f>
        <v/>
      </c>
      <c r="O44" t="n">
        <v>43</v>
      </c>
      <c r="P44" t="inlineStr">
        <is>
          <t>22/01/2026</t>
        </is>
      </c>
      <c r="Q44" t="inlineStr">
        <is>
          <t>CD</t>
        </is>
      </c>
      <c r="R44" t="n">
        <v>1097</v>
      </c>
      <c r="S44" t="n">
        <v>1790</v>
      </c>
      <c r="T44" t="n">
        <v>0</v>
      </c>
    </row>
    <row r="45">
      <c r="A45" t="n">
        <v>44</v>
      </c>
      <c r="B45" t="inlineStr">
        <is>
          <t>22/04/2026</t>
        </is>
      </c>
      <c r="C45" t="inlineStr">
        <is>
          <t>CD</t>
        </is>
      </c>
      <c r="D45" t="n">
        <v>861</v>
      </c>
      <c r="E45" t="n">
        <v>2047</v>
      </c>
      <c r="F45" t="n">
        <v>0</v>
      </c>
      <c r="H45">
        <f>IF(B33="","",TEXT(B33,"dd/mm") &amp; "-" &amp; IF(UPPER(TRIM(C33))="CN",1,IF(UPPER(TRIM(C33))="CD",2,"")))</f>
        <v/>
      </c>
      <c r="I45" s="1" t="n">
        <v>0.6</v>
      </c>
      <c r="J45" s="1" t="n">
        <v>0.7294117647058823</v>
      </c>
      <c r="K45" s="1">
        <f>IFERROR($E33/SUM($D33:$F33),"")</f>
        <v/>
      </c>
      <c r="L45" s="1">
        <f>IFERROR($D33/SUM($D33:$F33),"")</f>
        <v/>
      </c>
      <c r="M45" s="1">
        <f>IFERROR($F33/SUM($D33:$F33),"")</f>
        <v/>
      </c>
      <c r="O45" t="n">
        <v>44</v>
      </c>
      <c r="P45" t="inlineStr">
        <is>
          <t>23/01/2026</t>
        </is>
      </c>
      <c r="Q45" t="inlineStr">
        <is>
          <t>CN</t>
        </is>
      </c>
      <c r="R45" t="n">
        <v>1489</v>
      </c>
      <c r="S45" t="n">
        <v>1417</v>
      </c>
      <c r="T45" t="n">
        <v>0</v>
      </c>
    </row>
    <row r="46">
      <c r="A46" t="n">
        <v>45</v>
      </c>
      <c r="B46" t="inlineStr">
        <is>
          <t>23/04/2026</t>
        </is>
      </c>
      <c r="C46" t="inlineStr">
        <is>
          <t>CN</t>
        </is>
      </c>
      <c r="D46" t="n">
        <v>908</v>
      </c>
      <c r="E46" t="n">
        <v>1994</v>
      </c>
      <c r="F46" t="n">
        <v>0</v>
      </c>
      <c r="H46">
        <f>IF(B34="","",TEXT(B34,"dd/mm") &amp; "-" &amp; IF(UPPER(TRIM(C34))="CN",1,IF(UPPER(TRIM(C34))="CD",2,"")))</f>
        <v/>
      </c>
      <c r="I46" s="1" t="n">
        <v>0.6</v>
      </c>
      <c r="J46" s="1" t="n">
        <v>0.7294117647058823</v>
      </c>
      <c r="K46" s="1">
        <f>IFERROR($E34/SUM($D34:$F34),"")</f>
        <v/>
      </c>
      <c r="L46" s="1">
        <f>IFERROR($D34/SUM($D34:$F34),"")</f>
        <v/>
      </c>
      <c r="M46" s="1">
        <f>IFERROR($F34/SUM($D34:$F34),"")</f>
        <v/>
      </c>
      <c r="O46" t="n">
        <v>45</v>
      </c>
      <c r="P46" t="inlineStr">
        <is>
          <t>23/01/2026</t>
        </is>
      </c>
      <c r="Q46" t="inlineStr">
        <is>
          <t>CD</t>
        </is>
      </c>
      <c r="R46" t="n">
        <v>1120</v>
      </c>
      <c r="S46" t="n">
        <v>1773</v>
      </c>
      <c r="T46" t="n">
        <v>0</v>
      </c>
    </row>
    <row r="47">
      <c r="A47" t="n">
        <v>46</v>
      </c>
      <c r="B47" t="inlineStr">
        <is>
          <t>23/04/2026</t>
        </is>
      </c>
      <c r="C47" t="inlineStr">
        <is>
          <t>CD</t>
        </is>
      </c>
      <c r="D47" t="n">
        <v>855</v>
      </c>
      <c r="E47" t="n">
        <v>2042</v>
      </c>
      <c r="F47" t="n">
        <v>0</v>
      </c>
      <c r="H47">
        <f>IF(B35="","",TEXT(B35,"dd/mm") &amp; "-" &amp; IF(UPPER(TRIM(C35))="CN",1,IF(UPPER(TRIM(C35))="CD",2,"")))</f>
        <v/>
      </c>
      <c r="I47" s="1" t="n">
        <v>0.6</v>
      </c>
      <c r="J47" s="1" t="n">
        <v>0.7294117647058823</v>
      </c>
      <c r="K47" s="1">
        <f>IFERROR($E35/SUM($D35:$F35),"")</f>
        <v/>
      </c>
      <c r="L47" s="1">
        <f>IFERROR($D35/SUM($D35:$F35),"")</f>
        <v/>
      </c>
      <c r="M47" s="1">
        <f>IFERROR($F35/SUM($D35:$F35),"")</f>
        <v/>
      </c>
      <c r="O47" t="n">
        <v>46</v>
      </c>
      <c r="P47" t="inlineStr">
        <is>
          <t>24/01/2026</t>
        </is>
      </c>
      <c r="Q47" t="inlineStr">
        <is>
          <t>CN</t>
        </is>
      </c>
      <c r="R47" t="n">
        <v>1541</v>
      </c>
      <c r="S47" t="n">
        <v>1352</v>
      </c>
      <c r="T47" t="n">
        <v>0</v>
      </c>
    </row>
    <row r="48">
      <c r="A48" t="n">
        <v>47</v>
      </c>
      <c r="B48" t="inlineStr">
        <is>
          <t>24/04/2026</t>
        </is>
      </c>
      <c r="C48" t="inlineStr">
        <is>
          <t>CN</t>
        </is>
      </c>
      <c r="D48" t="n">
        <v>1240</v>
      </c>
      <c r="E48" t="n">
        <v>1654</v>
      </c>
      <c r="F48" t="n">
        <v>0</v>
      </c>
      <c r="H48">
        <f>IF(B36="","",TEXT(B36,"dd/mm") &amp; "-" &amp; IF(UPPER(TRIM(C36))="CN",1,IF(UPPER(TRIM(C36))="CD",2,"")))</f>
        <v/>
      </c>
      <c r="I48" s="1" t="n">
        <v>0.6</v>
      </c>
      <c r="J48" s="1" t="n">
        <v>0.7294117647058823</v>
      </c>
      <c r="K48" s="1">
        <f>IFERROR($E36/SUM($D36:$F36),"")</f>
        <v/>
      </c>
      <c r="L48" s="1">
        <f>IFERROR($D36/SUM($D36:$F36),"")</f>
        <v/>
      </c>
      <c r="M48" s="1">
        <f>IFERROR($F36/SUM($D36:$F36),"")</f>
        <v/>
      </c>
      <c r="O48" t="n">
        <v>47</v>
      </c>
      <c r="P48" t="inlineStr">
        <is>
          <t>24/01/2026</t>
        </is>
      </c>
      <c r="Q48" t="inlineStr">
        <is>
          <t>CD</t>
        </is>
      </c>
      <c r="R48" t="n">
        <v>1214</v>
      </c>
      <c r="S48" t="n">
        <v>1699</v>
      </c>
      <c r="T48" t="n">
        <v>0</v>
      </c>
    </row>
    <row r="49">
      <c r="A49" t="n">
        <v>48</v>
      </c>
      <c r="B49" t="inlineStr">
        <is>
          <t>24/04/2026</t>
        </is>
      </c>
      <c r="C49" t="inlineStr">
        <is>
          <t>CD</t>
        </is>
      </c>
      <c r="D49" t="n">
        <v>559</v>
      </c>
      <c r="E49" t="n">
        <v>1976</v>
      </c>
      <c r="F49" t="n">
        <v>355</v>
      </c>
      <c r="H49">
        <f>IF(B37="","",TEXT(B37,"dd/mm") &amp; "-" &amp; IF(UPPER(TRIM(C37))="CN",1,IF(UPPER(TRIM(C37))="CD",2,"")))</f>
        <v/>
      </c>
      <c r="I49" s="1" t="n">
        <v>0.6</v>
      </c>
      <c r="J49" s="1" t="n">
        <v>0.7294117647058823</v>
      </c>
      <c r="K49" s="1">
        <f>IFERROR($E37/SUM($D37:$F37),"")</f>
        <v/>
      </c>
      <c r="L49" s="1">
        <f>IFERROR($D37/SUM($D37:$F37),"")</f>
        <v/>
      </c>
      <c r="M49" s="1">
        <f>IFERROR($F37/SUM($D37:$F37),"")</f>
        <v/>
      </c>
      <c r="O49" t="n">
        <v>48</v>
      </c>
      <c r="P49" t="inlineStr">
        <is>
          <t>25/01/2026</t>
        </is>
      </c>
      <c r="Q49" t="inlineStr">
        <is>
          <t>CN</t>
        </is>
      </c>
      <c r="R49" t="n">
        <v>1672</v>
      </c>
      <c r="S49" t="n">
        <v>1214</v>
      </c>
      <c r="T49" t="n">
        <v>2</v>
      </c>
    </row>
    <row r="50">
      <c r="A50" t="n">
        <v>49</v>
      </c>
      <c r="B50" t="inlineStr">
        <is>
          <t>25/04/2026</t>
        </is>
      </c>
      <c r="C50" t="inlineStr">
        <is>
          <t>CN</t>
        </is>
      </c>
      <c r="D50" t="n">
        <v>3</v>
      </c>
      <c r="E50" t="n">
        <v>355</v>
      </c>
      <c r="F50" t="n">
        <v>2522</v>
      </c>
      <c r="H50">
        <f>IF(B38="","",TEXT(B38,"dd/mm") &amp; "-" &amp; IF(UPPER(TRIM(C38))="CN",1,IF(UPPER(TRIM(C38))="CD",2,"")))</f>
        <v/>
      </c>
      <c r="I50" s="1" t="n">
        <v>0.6</v>
      </c>
      <c r="J50" s="1" t="n">
        <v>0.7294117647058823</v>
      </c>
      <c r="K50" s="1">
        <f>IFERROR($E38/SUM($D38:$F38),"")</f>
        <v/>
      </c>
      <c r="L50" s="1">
        <f>IFERROR($D38/SUM($D38:$F38),"")</f>
        <v/>
      </c>
      <c r="M50" s="1">
        <f>IFERROR($F38/SUM($D38:$F38),"")</f>
        <v/>
      </c>
      <c r="O50" t="n">
        <v>49</v>
      </c>
      <c r="P50" t="inlineStr">
        <is>
          <t>25/01/2026</t>
        </is>
      </c>
      <c r="Q50" t="inlineStr">
        <is>
          <t>CD</t>
        </is>
      </c>
      <c r="R50" t="n">
        <v>1962</v>
      </c>
      <c r="S50" t="n">
        <v>922</v>
      </c>
      <c r="T50" t="n">
        <v>0</v>
      </c>
    </row>
    <row r="51">
      <c r="A51" t="n">
        <v>50</v>
      </c>
      <c r="B51" t="inlineStr">
        <is>
          <t>25/04/2026</t>
        </is>
      </c>
      <c r="C51" t="inlineStr">
        <is>
          <t>CD</t>
        </is>
      </c>
      <c r="D51" t="n">
        <v>0</v>
      </c>
      <c r="E51" t="n">
        <v>0</v>
      </c>
      <c r="F51" t="n">
        <v>2880</v>
      </c>
      <c r="H51">
        <f>IF(B39="","",TEXT(B39,"dd/mm") &amp; "-" &amp; IF(UPPER(TRIM(C39))="CN",1,IF(UPPER(TRIM(C39))="CD",2,"")))</f>
        <v/>
      </c>
      <c r="I51" s="1" t="n">
        <v>0.6</v>
      </c>
      <c r="J51" s="1" t="n">
        <v>0.7294117647058823</v>
      </c>
      <c r="K51" s="1">
        <f>IFERROR($E39/SUM($D39:$F39),"")</f>
        <v/>
      </c>
      <c r="L51" s="1">
        <f>IFERROR($D39/SUM($D39:$F39),"")</f>
        <v/>
      </c>
      <c r="M51" s="1">
        <f>IFERROR($F39/SUM($D39:$F39),"")</f>
        <v/>
      </c>
      <c r="O51" t="n">
        <v>50</v>
      </c>
      <c r="P51" t="inlineStr">
        <is>
          <t>26/01/2026</t>
        </is>
      </c>
      <c r="Q51" t="inlineStr">
        <is>
          <t>CN</t>
        </is>
      </c>
      <c r="R51" t="n">
        <v>1499</v>
      </c>
      <c r="S51" t="n">
        <v>1401</v>
      </c>
      <c r="T51" t="n">
        <v>0</v>
      </c>
    </row>
    <row r="52">
      <c r="A52" t="n">
        <v>51</v>
      </c>
      <c r="B52" t="inlineStr">
        <is>
          <t>26/04/2026</t>
        </is>
      </c>
      <c r="C52" t="inlineStr">
        <is>
          <t>CN</t>
        </is>
      </c>
      <c r="D52" t="n">
        <v>0</v>
      </c>
      <c r="E52" t="n">
        <v>0</v>
      </c>
      <c r="F52" t="n">
        <v>2880</v>
      </c>
      <c r="H52">
        <f>IF(B40="","",TEXT(B40,"dd/mm") &amp; "-" &amp; IF(UPPER(TRIM(C40))="CN",1,IF(UPPER(TRIM(C40))="CD",2,"")))</f>
        <v/>
      </c>
      <c r="I52" s="1" t="n">
        <v>0.6</v>
      </c>
      <c r="J52" s="1" t="n">
        <v>0.7294117647058823</v>
      </c>
      <c r="K52" s="1">
        <f>IFERROR($E40/SUM($D40:$F40),"")</f>
        <v/>
      </c>
      <c r="L52" s="1">
        <f>IFERROR($D40/SUM($D40:$F40),"")</f>
        <v/>
      </c>
      <c r="M52" s="1">
        <f>IFERROR($F40/SUM($D40:$F40),"")</f>
        <v/>
      </c>
      <c r="O52" t="n">
        <v>51</v>
      </c>
      <c r="P52" t="inlineStr">
        <is>
          <t>26/01/2026</t>
        </is>
      </c>
      <c r="Q52" t="inlineStr">
        <is>
          <t>CD</t>
        </is>
      </c>
      <c r="R52" t="n">
        <v>799</v>
      </c>
      <c r="S52" t="n">
        <v>2091</v>
      </c>
      <c r="T52" t="n">
        <v>0</v>
      </c>
    </row>
    <row r="53">
      <c r="A53" t="n">
        <v>52</v>
      </c>
      <c r="B53" t="inlineStr">
        <is>
          <t>26/04/2026</t>
        </is>
      </c>
      <c r="C53" t="inlineStr">
        <is>
          <t>CD</t>
        </is>
      </c>
      <c r="D53" t="n">
        <v>0</v>
      </c>
      <c r="E53" t="n">
        <v>0</v>
      </c>
      <c r="F53" t="n">
        <v>2880</v>
      </c>
      <c r="H53">
        <f>IF(B41="","",TEXT(B41,"dd/mm") &amp; "-" &amp; IF(UPPER(TRIM(C41))="CN",1,IF(UPPER(TRIM(C41))="CD",2,"")))</f>
        <v/>
      </c>
      <c r="I53" s="1" t="n">
        <v>0.6</v>
      </c>
      <c r="J53" s="1" t="n">
        <v>0.7294117647058823</v>
      </c>
      <c r="K53" s="1">
        <f>IFERROR($E41/SUM($D41:$F41),"")</f>
        <v/>
      </c>
      <c r="L53" s="1">
        <f>IFERROR($D41/SUM($D41:$F41),"")</f>
        <v/>
      </c>
      <c r="M53" s="1">
        <f>IFERROR($F41/SUM($D41:$F41),"")</f>
        <v/>
      </c>
      <c r="O53" t="n">
        <v>52</v>
      </c>
      <c r="P53" t="inlineStr">
        <is>
          <t>27/01/2026</t>
        </is>
      </c>
      <c r="Q53" t="inlineStr">
        <is>
          <t>CN</t>
        </is>
      </c>
      <c r="R53" t="n">
        <v>1484</v>
      </c>
      <c r="S53" t="n">
        <v>1407</v>
      </c>
      <c r="T53" t="n">
        <v>0</v>
      </c>
    </row>
    <row r="54">
      <c r="A54" t="n">
        <v>53</v>
      </c>
      <c r="B54" t="inlineStr">
        <is>
          <t>27/04/2026</t>
        </is>
      </c>
      <c r="C54" t="inlineStr">
        <is>
          <t>CN</t>
        </is>
      </c>
      <c r="D54" t="n">
        <v>632</v>
      </c>
      <c r="E54" t="n">
        <v>1468</v>
      </c>
      <c r="F54" t="n">
        <v>800</v>
      </c>
      <c r="H54">
        <f>IF(B42="","",TEXT(B42,"dd/mm") &amp; "-" &amp; IF(UPPER(TRIM(C42))="CN",1,IF(UPPER(TRIM(C42))="CD",2,"")))</f>
        <v/>
      </c>
      <c r="I54" s="1" t="n">
        <v>0.6</v>
      </c>
      <c r="J54" s="1" t="n">
        <v>0.7294117647058823</v>
      </c>
      <c r="K54" s="1">
        <f>IFERROR($E42/SUM($D42:$F42),"")</f>
        <v/>
      </c>
      <c r="L54" s="1">
        <f>IFERROR($D42/SUM($D42:$F42),"")</f>
        <v/>
      </c>
      <c r="M54" s="1">
        <f>IFERROR($F42/SUM($D42:$F42),"")</f>
        <v/>
      </c>
      <c r="O54" t="n">
        <v>53</v>
      </c>
      <c r="P54" t="inlineStr">
        <is>
          <t>27/01/2026</t>
        </is>
      </c>
      <c r="Q54" t="inlineStr">
        <is>
          <t>CD</t>
        </is>
      </c>
      <c r="R54" t="n">
        <v>1346</v>
      </c>
      <c r="S54" t="n">
        <v>1571</v>
      </c>
      <c r="T54" t="n">
        <v>0</v>
      </c>
    </row>
    <row r="55">
      <c r="A55" t="n">
        <v>54</v>
      </c>
      <c r="B55" t="inlineStr">
        <is>
          <t>27/04/2026</t>
        </is>
      </c>
      <c r="C55" t="inlineStr">
        <is>
          <t>CD</t>
        </is>
      </c>
      <c r="D55" t="n">
        <v>807</v>
      </c>
      <c r="E55" t="n">
        <v>2095</v>
      </c>
      <c r="F55" t="n">
        <v>0</v>
      </c>
      <c r="H55">
        <f>IF(B43="","",TEXT(B43,"dd/mm") &amp; "-" &amp; IF(UPPER(TRIM(C43))="CN",1,IF(UPPER(TRIM(C43))="CD",2,"")))</f>
        <v/>
      </c>
      <c r="I55" s="1" t="n">
        <v>0.6</v>
      </c>
      <c r="J55" s="1" t="n">
        <v>0.7294117647058823</v>
      </c>
      <c r="K55" s="1">
        <f>IFERROR($E43/SUM($D43:$F43),"")</f>
        <v/>
      </c>
      <c r="L55" s="1">
        <f>IFERROR($D43/SUM($D43:$F43),"")</f>
        <v/>
      </c>
      <c r="M55" s="1">
        <f>IFERROR($F43/SUM($D43:$F43),"")</f>
        <v/>
      </c>
      <c r="O55" t="n">
        <v>54</v>
      </c>
      <c r="P55" t="inlineStr">
        <is>
          <t>28/01/2026</t>
        </is>
      </c>
      <c r="Q55" t="inlineStr">
        <is>
          <t>CN</t>
        </is>
      </c>
      <c r="R55" t="n">
        <v>1485</v>
      </c>
      <c r="S55" t="n">
        <v>1429</v>
      </c>
      <c r="T55" t="n">
        <v>0</v>
      </c>
    </row>
    <row r="56">
      <c r="H56">
        <f>IF(B44="","",TEXT(B44,"dd/mm") &amp; "-" &amp; IF(UPPER(TRIM(C44))="CN",1,IF(UPPER(TRIM(C44))="CD",2,"")))</f>
        <v/>
      </c>
      <c r="I56" s="1" t="n">
        <v>0.6</v>
      </c>
      <c r="J56" s="1" t="n">
        <v>0.7294117647058823</v>
      </c>
      <c r="K56" s="1">
        <f>IFERROR($E44/SUM($D44:$F44),"")</f>
        <v/>
      </c>
      <c r="L56" s="1">
        <f>IFERROR($D44/SUM($D44:$F44),"")</f>
        <v/>
      </c>
      <c r="M56" s="1">
        <f>IFERROR($F44/SUM($D44:$F44),"")</f>
        <v/>
      </c>
      <c r="O56" t="n">
        <v>55</v>
      </c>
      <c r="P56" t="inlineStr">
        <is>
          <t>28/01/2026</t>
        </is>
      </c>
      <c r="Q56" t="inlineStr">
        <is>
          <t>CD</t>
        </is>
      </c>
      <c r="R56" t="n">
        <v>1287</v>
      </c>
      <c r="S56" t="n">
        <v>1618</v>
      </c>
      <c r="T56" t="n">
        <v>0</v>
      </c>
    </row>
    <row r="57">
      <c r="H57">
        <f>IF(B45="","",TEXT(B45,"dd/mm") &amp; "-" &amp; IF(UPPER(TRIM(C45))="CN",1,IF(UPPER(TRIM(C45))="CD",2,"")))</f>
        <v/>
      </c>
      <c r="I57" s="1" t="n">
        <v>0.6</v>
      </c>
      <c r="J57" s="1" t="n">
        <v>0.7294117647058823</v>
      </c>
      <c r="K57" s="1">
        <f>IFERROR($E45/SUM($D45:$F45),"")</f>
        <v/>
      </c>
      <c r="L57" s="1">
        <f>IFERROR($D45/SUM($D45:$F45),"")</f>
        <v/>
      </c>
      <c r="M57" s="1">
        <f>IFERROR($F45/SUM($D45:$F45),"")</f>
        <v/>
      </c>
      <c r="O57" t="n">
        <v>56</v>
      </c>
      <c r="P57" t="inlineStr">
        <is>
          <t>29/01/2026</t>
        </is>
      </c>
      <c r="Q57" t="inlineStr">
        <is>
          <t>CN</t>
        </is>
      </c>
      <c r="R57" t="n">
        <v>1428</v>
      </c>
      <c r="S57" t="n">
        <v>1465</v>
      </c>
      <c r="T57" t="n">
        <v>0</v>
      </c>
    </row>
    <row r="58">
      <c r="H58">
        <f>IF(B46="","",TEXT(B46,"dd/mm") &amp; "-" &amp; IF(UPPER(TRIM(C46))="CN",1,IF(UPPER(TRIM(C46))="CD",2,"")))</f>
        <v/>
      </c>
      <c r="I58" s="1" t="n">
        <v>0.6</v>
      </c>
      <c r="J58" s="1" t="n">
        <v>0.7294117647058823</v>
      </c>
      <c r="K58" s="1">
        <f>IFERROR($E46/SUM($D46:$F46),"")</f>
        <v/>
      </c>
      <c r="L58" s="1">
        <f>IFERROR($D46/SUM($D46:$F46),"")</f>
        <v/>
      </c>
      <c r="M58" s="1">
        <f>IFERROR($F46/SUM($D46:$F46),"")</f>
        <v/>
      </c>
      <c r="O58" t="n">
        <v>57</v>
      </c>
      <c r="P58" t="inlineStr">
        <is>
          <t>29/01/2026</t>
        </is>
      </c>
      <c r="Q58" t="inlineStr">
        <is>
          <t>CD</t>
        </is>
      </c>
      <c r="R58" t="n">
        <v>1103</v>
      </c>
      <c r="S58" t="n">
        <v>1805</v>
      </c>
      <c r="T58" t="n">
        <v>0</v>
      </c>
    </row>
    <row r="59">
      <c r="H59">
        <f>IF(B47="","",TEXT(B47,"dd/mm") &amp; "-" &amp; IF(UPPER(TRIM(C47))="CN",1,IF(UPPER(TRIM(C47))="CD",2,"")))</f>
        <v/>
      </c>
      <c r="I59" s="1" t="n">
        <v>0.6</v>
      </c>
      <c r="J59" s="1" t="n">
        <v>0.7294117647058823</v>
      </c>
      <c r="K59" s="1">
        <f>IFERROR($E47/SUM($D47:$F47),"")</f>
        <v/>
      </c>
      <c r="L59" s="1">
        <f>IFERROR($D47/SUM($D47:$F47),"")</f>
        <v/>
      </c>
      <c r="M59" s="1">
        <f>IFERROR($F47/SUM($D47:$F47),"")</f>
        <v/>
      </c>
      <c r="O59" t="n">
        <v>58</v>
      </c>
      <c r="P59" t="inlineStr">
        <is>
          <t>30/01/2026</t>
        </is>
      </c>
      <c r="Q59" t="inlineStr">
        <is>
          <t>CN</t>
        </is>
      </c>
      <c r="R59" t="n">
        <v>1302</v>
      </c>
      <c r="S59" t="n">
        <v>1590</v>
      </c>
      <c r="T59" t="n">
        <v>0</v>
      </c>
    </row>
    <row r="60">
      <c r="H60">
        <f>IF(B48="","",TEXT(B48,"dd/mm") &amp; "-" &amp; IF(UPPER(TRIM(C48))="CN",1,IF(UPPER(TRIM(C48))="CD",2,"")))</f>
        <v/>
      </c>
      <c r="I60" s="1" t="n">
        <v>0.6</v>
      </c>
      <c r="J60" s="1" t="n">
        <v>0.7294117647058823</v>
      </c>
      <c r="K60" s="1">
        <f>IFERROR($E48/SUM($D48:$F48),"")</f>
        <v/>
      </c>
      <c r="L60" s="1">
        <f>IFERROR($D48/SUM($D48:$F48),"")</f>
        <v/>
      </c>
      <c r="M60" s="1">
        <f>IFERROR($F48/SUM($D48:$F48),"")</f>
        <v/>
      </c>
      <c r="O60" t="n">
        <v>59</v>
      </c>
      <c r="P60" t="inlineStr">
        <is>
          <t>30/01/2026</t>
        </is>
      </c>
      <c r="Q60" t="inlineStr">
        <is>
          <t>CD</t>
        </is>
      </c>
      <c r="R60" t="n">
        <v>1044</v>
      </c>
      <c r="S60" t="n">
        <v>1874</v>
      </c>
      <c r="T60" t="n">
        <v>0</v>
      </c>
    </row>
    <row r="61">
      <c r="H61">
        <f>IF(B49="","",TEXT(B49,"dd/mm") &amp; "-" &amp; IF(UPPER(TRIM(C49))="CN",1,IF(UPPER(TRIM(C49))="CD",2,"")))</f>
        <v/>
      </c>
      <c r="I61" s="1" t="n">
        <v>0.6</v>
      </c>
      <c r="J61" s="1" t="n">
        <v>0.7294117647058823</v>
      </c>
      <c r="K61" s="1">
        <f>IFERROR($E49/SUM($D49:$F49),"")</f>
        <v/>
      </c>
      <c r="L61" s="1">
        <f>IFERROR($D49/SUM($D49:$F49),"")</f>
        <v/>
      </c>
      <c r="M61" s="1">
        <f>IFERROR($F49/SUM($D49:$F49),"")</f>
        <v/>
      </c>
      <c r="O61" t="n">
        <v>60</v>
      </c>
      <c r="P61" t="inlineStr">
        <is>
          <t>31/01/2026</t>
        </is>
      </c>
      <c r="Q61" t="inlineStr">
        <is>
          <t>CN</t>
        </is>
      </c>
      <c r="R61" t="n">
        <v>1383</v>
      </c>
      <c r="S61" t="n">
        <v>1506</v>
      </c>
      <c r="T61" t="n">
        <v>0</v>
      </c>
    </row>
    <row r="62">
      <c r="H62">
        <f>IF(B50="","",TEXT(B50,"dd/mm") &amp; "-" &amp; IF(UPPER(TRIM(C50))="CN",1,IF(UPPER(TRIM(C50))="CD",2,"")))</f>
        <v/>
      </c>
      <c r="I62" s="1" t="n">
        <v>0.6</v>
      </c>
      <c r="J62" s="1" t="n">
        <v>0.7294117647058823</v>
      </c>
      <c r="K62" s="1">
        <f>IFERROR($E50/SUM($D50:$F50),"")</f>
        <v/>
      </c>
      <c r="L62" s="1">
        <f>IFERROR($D50/SUM($D50:$F50),"")</f>
        <v/>
      </c>
      <c r="M62" s="1">
        <f>IFERROR($F50/SUM($D50:$F50),"")</f>
        <v/>
      </c>
      <c r="O62" t="n">
        <v>61</v>
      </c>
      <c r="P62" t="inlineStr">
        <is>
          <t>31/01/2026</t>
        </is>
      </c>
      <c r="Q62" t="inlineStr">
        <is>
          <t>CD</t>
        </is>
      </c>
      <c r="R62" t="n">
        <v>435</v>
      </c>
      <c r="S62" t="n">
        <v>1795</v>
      </c>
      <c r="T62" t="n">
        <v>662</v>
      </c>
    </row>
    <row r="63">
      <c r="H63">
        <f>IF(B51="","",TEXT(B51,"dd/mm") &amp; "-" &amp; IF(UPPER(TRIM(C51))="CN",1,IF(UPPER(TRIM(C51))="CD",2,"")))</f>
        <v/>
      </c>
      <c r="I63" s="1" t="n">
        <v>0.6</v>
      </c>
      <c r="J63" s="1" t="n">
        <v>0.7294117647058823</v>
      </c>
      <c r="K63" s="1">
        <f>IFERROR($E51/SUM($D51:$F51),"")</f>
        <v/>
      </c>
      <c r="L63" s="1">
        <f>IFERROR($D51/SUM($D51:$F51),"")</f>
        <v/>
      </c>
      <c r="M63" s="1">
        <f>IFERROR($F51/SUM($D51:$F51),"")</f>
        <v/>
      </c>
      <c r="O63" t="n">
        <v>62</v>
      </c>
      <c r="P63" t="inlineStr">
        <is>
          <t>01/02/2026</t>
        </is>
      </c>
      <c r="Q63" t="inlineStr">
        <is>
          <t>CN</t>
        </is>
      </c>
      <c r="R63" t="n">
        <v>609</v>
      </c>
      <c r="S63" t="n">
        <v>110</v>
      </c>
      <c r="T63" t="n">
        <v>2160</v>
      </c>
    </row>
    <row r="64">
      <c r="H64">
        <f>IF(B52="","",TEXT(B52,"dd/mm") &amp; "-" &amp; IF(UPPER(TRIM(C52))="CN",1,IF(UPPER(TRIM(C52))="CD",2,"")))</f>
        <v/>
      </c>
      <c r="I64" s="1" t="n">
        <v>0.6</v>
      </c>
      <c r="J64" s="1" t="n">
        <v>0.7294117647058823</v>
      </c>
      <c r="K64" s="1">
        <f>IFERROR($E52/SUM($D52:$F52),"")</f>
        <v/>
      </c>
      <c r="L64" s="1">
        <f>IFERROR($D52/SUM($D52:$F52),"")</f>
        <v/>
      </c>
      <c r="M64" s="1">
        <f>IFERROR($F52/SUM($D52:$F52),"")</f>
        <v/>
      </c>
      <c r="O64" t="n">
        <v>63</v>
      </c>
      <c r="P64" t="inlineStr">
        <is>
          <t>01/02/2026</t>
        </is>
      </c>
      <c r="Q64" t="inlineStr">
        <is>
          <t>CD</t>
        </is>
      </c>
      <c r="R64" t="n">
        <v>720</v>
      </c>
      <c r="S64" t="n">
        <v>0</v>
      </c>
      <c r="T64" t="n">
        <v>2160</v>
      </c>
    </row>
    <row r="65">
      <c r="H65">
        <f>IF(B53="","",TEXT(B53,"dd/mm") &amp; "-" &amp; IF(UPPER(TRIM(C53))="CN",1,IF(UPPER(TRIM(C53))="CD",2,"")))</f>
        <v/>
      </c>
      <c r="I65" s="1" t="n">
        <v>0.6</v>
      </c>
      <c r="J65" s="1" t="n">
        <v>0.7294117647058823</v>
      </c>
      <c r="K65" s="1">
        <f>IFERROR($E53/SUM($D53:$F53),"")</f>
        <v/>
      </c>
      <c r="L65" s="1">
        <f>IFERROR($D53/SUM($D53:$F53),"")</f>
        <v/>
      </c>
      <c r="M65" s="1">
        <f>IFERROR($F53/SUM($D53:$F53),"")</f>
        <v/>
      </c>
      <c r="O65" t="n">
        <v>64</v>
      </c>
      <c r="P65" t="inlineStr">
        <is>
          <t>02/02/2026</t>
        </is>
      </c>
      <c r="Q65" t="inlineStr">
        <is>
          <t>CN</t>
        </is>
      </c>
      <c r="R65" t="n">
        <v>675</v>
      </c>
      <c r="S65" t="n">
        <v>1603</v>
      </c>
      <c r="T65" t="n">
        <v>609</v>
      </c>
    </row>
    <row r="66">
      <c r="H66">
        <f>IF(B54="","",TEXT(B54,"dd/mm") &amp; "-" &amp; IF(UPPER(TRIM(C54))="CN",1,IF(UPPER(TRIM(C54))="CD",2,"")))</f>
        <v/>
      </c>
      <c r="I66" s="1" t="n">
        <v>0.6</v>
      </c>
      <c r="J66" s="1" t="n">
        <v>0.7294117647058823</v>
      </c>
      <c r="K66" s="1">
        <f>IFERROR($E54/SUM($D54:$F54),"")</f>
        <v/>
      </c>
      <c r="L66" s="1">
        <f>IFERROR($D54/SUM($D54:$F54),"")</f>
        <v/>
      </c>
      <c r="M66" s="1">
        <f>IFERROR($F54/SUM($D54:$F54),"")</f>
        <v/>
      </c>
      <c r="O66" t="n">
        <v>65</v>
      </c>
      <c r="P66" t="inlineStr">
        <is>
          <t>02/02/2026</t>
        </is>
      </c>
      <c r="Q66" t="inlineStr">
        <is>
          <t>CD</t>
        </is>
      </c>
      <c r="R66" t="n">
        <v>1047</v>
      </c>
      <c r="S66" t="n">
        <v>1857</v>
      </c>
      <c r="T66" t="n">
        <v>0</v>
      </c>
    </row>
    <row r="67">
      <c r="H67">
        <f>IF(B55="","",TEXT(B55,"dd/mm") &amp; "-" &amp; IF(UPPER(TRIM(C55))="CN",1,IF(UPPER(TRIM(C55))="CD",2,"")))</f>
        <v/>
      </c>
      <c r="I67" s="1" t="n">
        <v>0.6</v>
      </c>
      <c r="J67" s="1" t="n">
        <v>0.7294117647058823</v>
      </c>
      <c r="K67" s="1">
        <f>IFERROR($E55/SUM($D55:$F55),"")</f>
        <v/>
      </c>
      <c r="L67" s="1">
        <f>IFERROR($D55/SUM($D55:$F55),"")</f>
        <v/>
      </c>
      <c r="M67" s="1">
        <f>IFERROR($F55/SUM($D55:$F55),"")</f>
        <v/>
      </c>
      <c r="O67" t="n">
        <v>66</v>
      </c>
      <c r="P67" t="inlineStr">
        <is>
          <t>03/02/2026</t>
        </is>
      </c>
      <c r="Q67" t="inlineStr">
        <is>
          <t>CN</t>
        </is>
      </c>
      <c r="R67" t="n">
        <v>1522</v>
      </c>
      <c r="S67" t="n">
        <v>1390</v>
      </c>
      <c r="T67" t="n">
        <v>0</v>
      </c>
    </row>
    <row r="68">
      <c r="H68">
        <f>IF(B56="","",TEXT(B56,"dd/mm") &amp; "-" &amp; IF(UPPER(TRIM(C56))="CN",1,IF(UPPER(TRIM(C56))="CD",2,"")))</f>
        <v/>
      </c>
      <c r="I68" s="1" t="n"/>
      <c r="J68" s="1" t="n"/>
      <c r="K68" s="1">
        <f>IFERROR($E56/SUM($D56:$F56),"")</f>
        <v/>
      </c>
      <c r="L68" s="1">
        <f>IFERROR($D56/SUM($D56:$F56),"")</f>
        <v/>
      </c>
      <c r="M68" s="1">
        <f>IFERROR($F56/SUM($D56:$F56),"")</f>
        <v/>
      </c>
      <c r="O68" t="n">
        <v>67</v>
      </c>
      <c r="P68" t="inlineStr">
        <is>
          <t>03/02/2026</t>
        </is>
      </c>
      <c r="Q68" t="inlineStr">
        <is>
          <t>CD</t>
        </is>
      </c>
      <c r="R68" t="n">
        <v>1544</v>
      </c>
      <c r="S68" t="n">
        <v>1355</v>
      </c>
      <c r="T68" t="n">
        <v>0</v>
      </c>
    </row>
    <row r="69">
      <c r="H69">
        <f>IF(B57="","",TEXT(B57,"dd/mm") &amp; "-" &amp; IF(UPPER(TRIM(C57))="CN",1,IF(UPPER(TRIM(C57))="CD",2,"")))</f>
        <v/>
      </c>
      <c r="I69" s="1" t="n"/>
      <c r="J69" s="1" t="n"/>
      <c r="K69" s="1">
        <f>IFERROR($E57/SUM($D57:$F57),"")</f>
        <v/>
      </c>
      <c r="L69" s="1">
        <f>IFERROR($D57/SUM($D57:$F57),"")</f>
        <v/>
      </c>
      <c r="M69" s="1">
        <f>IFERROR($F57/SUM($D57:$F57),"")</f>
        <v/>
      </c>
      <c r="O69" t="n">
        <v>68</v>
      </c>
      <c r="P69" t="inlineStr">
        <is>
          <t>04/02/2026</t>
        </is>
      </c>
      <c r="Q69" t="inlineStr">
        <is>
          <t>CN</t>
        </is>
      </c>
      <c r="R69" t="n">
        <v>1385</v>
      </c>
      <c r="S69" t="n">
        <v>1503</v>
      </c>
      <c r="T69" t="n">
        <v>0</v>
      </c>
    </row>
    <row r="70">
      <c r="H70">
        <f>IF(B58="","",TEXT(B58,"dd/mm") &amp; "-" &amp; IF(UPPER(TRIM(C58))="CN",1,IF(UPPER(TRIM(C58))="CD",2,"")))</f>
        <v/>
      </c>
      <c r="I70" s="1" t="n"/>
      <c r="J70" s="1" t="n"/>
      <c r="K70" s="1">
        <f>IFERROR($E58/SUM($D58:$F58),"")</f>
        <v/>
      </c>
      <c r="L70" s="1">
        <f>IFERROR($D58/SUM($D58:$F58),"")</f>
        <v/>
      </c>
      <c r="M70" s="1">
        <f>IFERROR($F58/SUM($D58:$F58),"")</f>
        <v/>
      </c>
      <c r="O70" t="n">
        <v>69</v>
      </c>
      <c r="P70" t="inlineStr">
        <is>
          <t>04/02/2026</t>
        </is>
      </c>
      <c r="Q70" t="inlineStr">
        <is>
          <t>CD</t>
        </is>
      </c>
      <c r="R70" t="n">
        <v>1125</v>
      </c>
      <c r="S70" t="n">
        <v>1758</v>
      </c>
      <c r="T70" t="n">
        <v>0</v>
      </c>
    </row>
    <row r="71">
      <c r="H71">
        <f>IF(B59="","",TEXT(B59,"dd/mm") &amp; "-" &amp; IF(UPPER(TRIM(C59))="CN",1,IF(UPPER(TRIM(C59))="CD",2,"")))</f>
        <v/>
      </c>
      <c r="I71" s="1" t="n"/>
      <c r="J71" s="1" t="n"/>
      <c r="K71" s="1">
        <f>IFERROR($E59/SUM($D59:$F59),"")</f>
        <v/>
      </c>
      <c r="L71" s="1">
        <f>IFERROR($D59/SUM($D59:$F59),"")</f>
        <v/>
      </c>
      <c r="M71" s="1">
        <f>IFERROR($F59/SUM($D59:$F59),"")</f>
        <v/>
      </c>
      <c r="O71" t="n">
        <v>70</v>
      </c>
      <c r="P71" t="inlineStr">
        <is>
          <t>05/02/2026</t>
        </is>
      </c>
      <c r="Q71" t="inlineStr">
        <is>
          <t>CN</t>
        </is>
      </c>
      <c r="R71" t="n">
        <v>1370</v>
      </c>
      <c r="S71" t="n">
        <v>1522</v>
      </c>
      <c r="T71" t="n">
        <v>0</v>
      </c>
    </row>
    <row r="72">
      <c r="H72">
        <f>IF(B60="","",TEXT(B60,"dd/mm") &amp; "-" &amp; IF(UPPER(TRIM(C60))="CN",1,IF(UPPER(TRIM(C60))="CD",2,"")))</f>
        <v/>
      </c>
      <c r="I72" s="1" t="n"/>
      <c r="J72" s="1" t="n"/>
      <c r="K72" s="1">
        <f>IFERROR($E60/SUM($D60:$F60),"")</f>
        <v/>
      </c>
      <c r="L72" s="1">
        <f>IFERROR($D60/SUM($D60:$F60),"")</f>
        <v/>
      </c>
      <c r="M72" s="1">
        <f>IFERROR($F60/SUM($D60:$F60),"")</f>
        <v/>
      </c>
      <c r="O72" t="n">
        <v>71</v>
      </c>
      <c r="P72" t="inlineStr">
        <is>
          <t>05/02/2026</t>
        </is>
      </c>
      <c r="Q72" t="inlineStr">
        <is>
          <t>CD</t>
        </is>
      </c>
      <c r="R72" t="n">
        <v>1237</v>
      </c>
      <c r="S72" t="n">
        <v>1659</v>
      </c>
      <c r="T72" t="n">
        <v>0</v>
      </c>
    </row>
    <row r="73">
      <c r="H73">
        <f>IF(B61="","",TEXT(B61,"dd/mm") &amp; "-" &amp; IF(UPPER(TRIM(C61))="CN",1,IF(UPPER(TRIM(C61))="CD",2,"")))</f>
        <v/>
      </c>
      <c r="I73" s="1" t="n"/>
      <c r="J73" s="1" t="n"/>
      <c r="K73" s="1">
        <f>IFERROR($E61/SUM($D61:$F61),"")</f>
        <v/>
      </c>
      <c r="L73" s="1">
        <f>IFERROR($D61/SUM($D61:$F61),"")</f>
        <v/>
      </c>
      <c r="M73" s="1">
        <f>IFERROR($F61/SUM($D61:$F61),"")</f>
        <v/>
      </c>
      <c r="O73" t="n">
        <v>72</v>
      </c>
      <c r="P73" t="inlineStr">
        <is>
          <t>06/02/2026</t>
        </is>
      </c>
      <c r="Q73" t="inlineStr">
        <is>
          <t>CN</t>
        </is>
      </c>
      <c r="R73" t="n">
        <v>1387</v>
      </c>
      <c r="S73" t="n">
        <v>1505</v>
      </c>
      <c r="T73" t="n">
        <v>0</v>
      </c>
    </row>
    <row r="74">
      <c r="H74">
        <f>IF(B62="","",TEXT(B62,"dd/mm") &amp; "-" &amp; IF(UPPER(TRIM(C62))="CN",1,IF(UPPER(TRIM(C62))="CD",2,"")))</f>
        <v/>
      </c>
      <c r="I74" s="1" t="n"/>
      <c r="J74" s="1" t="n"/>
      <c r="K74" s="1">
        <f>IFERROR($E62/SUM($D62:$F62),"")</f>
        <v/>
      </c>
      <c r="L74" s="1">
        <f>IFERROR($D62/SUM($D62:$F62),"")</f>
        <v/>
      </c>
      <c r="M74" s="1">
        <f>IFERROR($F62/SUM($D62:$F62),"")</f>
        <v/>
      </c>
      <c r="O74" t="n">
        <v>73</v>
      </c>
      <c r="P74" t="inlineStr">
        <is>
          <t>06/02/2026</t>
        </is>
      </c>
      <c r="Q74" t="inlineStr">
        <is>
          <t>CD</t>
        </is>
      </c>
      <c r="R74" t="n">
        <v>949</v>
      </c>
      <c r="S74" t="n">
        <v>1946</v>
      </c>
      <c r="T74" t="n">
        <v>0</v>
      </c>
    </row>
    <row r="75">
      <c r="H75">
        <f>IF(B63="","",TEXT(B63,"dd/mm") &amp; "-" &amp; IF(UPPER(TRIM(C63))="CN",1,IF(UPPER(TRIM(C63))="CD",2,"")))</f>
        <v/>
      </c>
      <c r="I75" s="1" t="n"/>
      <c r="J75" s="1" t="n"/>
      <c r="K75" s="1">
        <f>IFERROR($E63/SUM($D63:$F63),"")</f>
        <v/>
      </c>
      <c r="L75" s="1">
        <f>IFERROR($D63/SUM($D63:$F63),"")</f>
        <v/>
      </c>
      <c r="M75" s="1">
        <f>IFERROR($F63/SUM($D63:$F63),"")</f>
        <v/>
      </c>
      <c r="O75" t="n">
        <v>74</v>
      </c>
      <c r="P75" t="inlineStr">
        <is>
          <t>07/02/2026</t>
        </is>
      </c>
      <c r="Q75" t="inlineStr">
        <is>
          <t>CN</t>
        </is>
      </c>
      <c r="R75" t="n">
        <v>1482</v>
      </c>
      <c r="S75" t="n">
        <v>1434</v>
      </c>
      <c r="T75" t="n">
        <v>0</v>
      </c>
    </row>
    <row r="76">
      <c r="I76" s="1" t="n"/>
      <c r="J76" s="1" t="n"/>
      <c r="K76" s="1" t="n"/>
      <c r="L76" s="1" t="n"/>
      <c r="M76" s="1" t="n"/>
      <c r="O76" t="n">
        <v>75</v>
      </c>
      <c r="P76" t="inlineStr">
        <is>
          <t>07/02/2026</t>
        </is>
      </c>
      <c r="Q76" t="inlineStr">
        <is>
          <t>CD</t>
        </is>
      </c>
      <c r="R76" t="n">
        <v>1303</v>
      </c>
      <c r="S76" t="n">
        <v>1581</v>
      </c>
      <c r="T76" t="n">
        <v>0</v>
      </c>
    </row>
    <row r="77">
      <c r="I77" s="1" t="n"/>
      <c r="J77" s="1" t="n"/>
      <c r="K77" s="1" t="n"/>
      <c r="L77" s="1" t="n"/>
      <c r="M77" s="1" t="n"/>
      <c r="O77" t="n">
        <v>76</v>
      </c>
      <c r="P77" t="inlineStr">
        <is>
          <t>08/02/2026</t>
        </is>
      </c>
      <c r="Q77" t="inlineStr">
        <is>
          <t>CN</t>
        </is>
      </c>
      <c r="R77" t="n">
        <v>1435</v>
      </c>
      <c r="S77" t="n">
        <v>1447</v>
      </c>
      <c r="T77" t="n">
        <v>12</v>
      </c>
    </row>
    <row r="78">
      <c r="I78" s="1" t="n"/>
      <c r="J78" s="1" t="n"/>
      <c r="K78" s="1" t="n"/>
      <c r="L78" s="1" t="n"/>
      <c r="M78" s="1" t="n"/>
      <c r="O78" t="n">
        <v>77</v>
      </c>
      <c r="P78" t="inlineStr">
        <is>
          <t>08/02/2026</t>
        </is>
      </c>
      <c r="Q78" t="inlineStr">
        <is>
          <t>CD</t>
        </is>
      </c>
      <c r="R78" t="n">
        <v>7</v>
      </c>
      <c r="S78" t="n">
        <v>117</v>
      </c>
      <c r="T78" t="n">
        <v>2755</v>
      </c>
    </row>
    <row r="79">
      <c r="I79" s="1" t="n"/>
      <c r="J79" s="1" t="n"/>
      <c r="K79" s="1" t="n"/>
      <c r="L79" s="1" t="n"/>
      <c r="M79" s="1" t="n"/>
      <c r="O79" t="n">
        <v>78</v>
      </c>
      <c r="P79" t="inlineStr">
        <is>
          <t>09/02/2026</t>
        </is>
      </c>
      <c r="Q79" t="inlineStr">
        <is>
          <t>CN</t>
        </is>
      </c>
      <c r="R79" t="n">
        <v>768</v>
      </c>
      <c r="S79" t="n">
        <v>1293</v>
      </c>
      <c r="T79" t="n">
        <v>827</v>
      </c>
    </row>
    <row r="80">
      <c r="I80" s="1" t="n"/>
      <c r="J80" s="1" t="n"/>
      <c r="K80" s="1" t="n"/>
      <c r="L80" s="1" t="n"/>
      <c r="M80" s="1" t="n"/>
      <c r="O80" t="n">
        <v>79</v>
      </c>
      <c r="P80" t="inlineStr">
        <is>
          <t>09/02/2026</t>
        </is>
      </c>
      <c r="Q80" t="inlineStr">
        <is>
          <t>CD</t>
        </is>
      </c>
      <c r="R80" t="n">
        <v>907</v>
      </c>
      <c r="S80" t="n">
        <v>2013</v>
      </c>
      <c r="T80" t="n">
        <v>0</v>
      </c>
    </row>
    <row r="81">
      <c r="I81" s="1" t="n"/>
      <c r="J81" s="1" t="n"/>
      <c r="K81" s="1" t="n"/>
      <c r="L81" s="1" t="n"/>
      <c r="M81" s="1" t="n"/>
      <c r="O81" t="n">
        <v>80</v>
      </c>
      <c r="P81" t="inlineStr">
        <is>
          <t>10/02/2026</t>
        </is>
      </c>
      <c r="Q81" t="inlineStr">
        <is>
          <t>CN</t>
        </is>
      </c>
      <c r="R81" t="n">
        <v>1516</v>
      </c>
      <c r="S81" t="n">
        <v>1412</v>
      </c>
      <c r="T81" t="n">
        <v>0</v>
      </c>
    </row>
    <row r="82">
      <c r="I82" s="1" t="n"/>
      <c r="J82" s="1" t="n"/>
      <c r="K82" s="1" t="n"/>
      <c r="L82" s="1" t="n"/>
      <c r="M82" s="1" t="n"/>
      <c r="O82" t="n">
        <v>81</v>
      </c>
      <c r="P82" t="inlineStr">
        <is>
          <t>10/02/2026</t>
        </is>
      </c>
      <c r="Q82" t="inlineStr">
        <is>
          <t>CD</t>
        </is>
      </c>
      <c r="R82" t="n">
        <v>1094</v>
      </c>
      <c r="S82" t="n">
        <v>1827</v>
      </c>
      <c r="T82" t="n">
        <v>0</v>
      </c>
    </row>
    <row r="83">
      <c r="I83" s="1" t="n"/>
      <c r="J83" s="1" t="n"/>
      <c r="K83" s="1" t="n"/>
      <c r="L83" s="1" t="n"/>
      <c r="M83" s="1" t="n"/>
      <c r="O83" t="n">
        <v>82</v>
      </c>
      <c r="P83" t="inlineStr">
        <is>
          <t>11/02/2026</t>
        </is>
      </c>
      <c r="Q83" t="inlineStr">
        <is>
          <t>CN</t>
        </is>
      </c>
      <c r="R83" t="n">
        <v>1854</v>
      </c>
      <c r="S83" t="n">
        <v>1049</v>
      </c>
      <c r="T83" t="n">
        <v>0</v>
      </c>
    </row>
    <row r="84">
      <c r="I84" s="1" t="n"/>
      <c r="J84" s="1" t="n"/>
      <c r="K84" s="1" t="n"/>
      <c r="L84" s="1" t="n"/>
      <c r="M84" s="1" t="n"/>
      <c r="O84" t="n">
        <v>83</v>
      </c>
      <c r="P84" t="inlineStr">
        <is>
          <t>11/02/2026</t>
        </is>
      </c>
      <c r="Q84" t="inlineStr">
        <is>
          <t>CD</t>
        </is>
      </c>
      <c r="R84" t="n">
        <v>870</v>
      </c>
      <c r="S84" t="n">
        <v>2029</v>
      </c>
      <c r="T84" t="n">
        <v>0</v>
      </c>
    </row>
    <row r="85">
      <c r="I85" s="1" t="n"/>
      <c r="J85" s="1" t="n"/>
      <c r="K85" s="1" t="n"/>
      <c r="L85" s="1" t="n"/>
      <c r="M85" s="1" t="n"/>
      <c r="O85" t="n">
        <v>84</v>
      </c>
      <c r="P85" t="inlineStr">
        <is>
          <t>12/02/2026</t>
        </is>
      </c>
      <c r="Q85" t="inlineStr">
        <is>
          <t>CN</t>
        </is>
      </c>
      <c r="R85" t="n">
        <v>1380</v>
      </c>
      <c r="S85" t="n">
        <v>1516</v>
      </c>
      <c r="T85" t="n">
        <v>0</v>
      </c>
    </row>
    <row r="86">
      <c r="I86" s="1" t="n"/>
      <c r="J86" s="1" t="n"/>
      <c r="K86" s="1" t="n"/>
      <c r="L86" s="1" t="n"/>
      <c r="M86" s="1" t="n"/>
      <c r="O86" t="n">
        <v>85</v>
      </c>
      <c r="P86" t="inlineStr">
        <is>
          <t>12/02/2026</t>
        </is>
      </c>
      <c r="Q86" t="inlineStr">
        <is>
          <t>CD</t>
        </is>
      </c>
      <c r="R86" t="n">
        <v>1263</v>
      </c>
      <c r="S86" t="n">
        <v>1648</v>
      </c>
      <c r="T86" t="n">
        <v>0</v>
      </c>
    </row>
    <row r="87">
      <c r="I87" s="1" t="n"/>
      <c r="J87" s="1" t="n"/>
      <c r="K87" s="1" t="n"/>
      <c r="L87" s="1" t="n"/>
      <c r="M87" s="1" t="n"/>
      <c r="O87" t="n">
        <v>86</v>
      </c>
      <c r="P87" t="inlineStr">
        <is>
          <t>13/02/2026</t>
        </is>
      </c>
      <c r="Q87" t="inlineStr">
        <is>
          <t>CN</t>
        </is>
      </c>
      <c r="R87" t="n">
        <v>1403</v>
      </c>
      <c r="S87" t="n">
        <v>1490</v>
      </c>
      <c r="T87" t="n">
        <v>0</v>
      </c>
    </row>
    <row r="88">
      <c r="I88" s="1" t="n"/>
      <c r="J88" s="1" t="n"/>
      <c r="K88" s="1" t="n"/>
      <c r="L88" s="1" t="n"/>
      <c r="M88" s="1" t="n"/>
      <c r="O88" t="n">
        <v>87</v>
      </c>
      <c r="P88" t="inlineStr">
        <is>
          <t>13/02/2026</t>
        </is>
      </c>
      <c r="Q88" t="inlineStr">
        <is>
          <t>CD</t>
        </is>
      </c>
      <c r="R88" t="n">
        <v>512</v>
      </c>
      <c r="S88" t="n">
        <v>1230</v>
      </c>
      <c r="T88" t="n">
        <v>1152</v>
      </c>
    </row>
    <row r="89">
      <c r="I89" s="1" t="n"/>
      <c r="J89" s="1" t="n"/>
      <c r="K89" s="1" t="n"/>
      <c r="L89" s="1" t="n"/>
      <c r="M89" s="1" t="n"/>
      <c r="O89" t="n">
        <v>88</v>
      </c>
      <c r="P89" t="inlineStr">
        <is>
          <t>14/02/2026</t>
        </is>
      </c>
      <c r="Q89" t="inlineStr">
        <is>
          <t>CN</t>
        </is>
      </c>
      <c r="R89" t="n">
        <v>0</v>
      </c>
      <c r="S89" t="n">
        <v>0</v>
      </c>
      <c r="T89" t="n">
        <v>2880</v>
      </c>
    </row>
    <row r="90">
      <c r="I90" s="1" t="n"/>
      <c r="J90" s="1" t="n"/>
      <c r="K90" s="1" t="n"/>
      <c r="L90" s="1" t="n"/>
      <c r="M90" s="1" t="n"/>
      <c r="O90" t="n">
        <v>89</v>
      </c>
      <c r="P90" t="inlineStr">
        <is>
          <t>14/02/2026</t>
        </is>
      </c>
      <c r="Q90" t="inlineStr">
        <is>
          <t>CD</t>
        </is>
      </c>
      <c r="R90" t="n">
        <v>0</v>
      </c>
      <c r="S90" t="n">
        <v>0</v>
      </c>
      <c r="T90" t="n">
        <v>2880</v>
      </c>
    </row>
    <row r="91">
      <c r="I91" s="1" t="n"/>
      <c r="J91" s="1" t="n"/>
      <c r="K91" s="1" t="n"/>
      <c r="L91" s="1" t="n"/>
      <c r="M91" s="1" t="n"/>
      <c r="O91" t="n">
        <v>90</v>
      </c>
      <c r="P91" t="inlineStr">
        <is>
          <t>15/02/2026</t>
        </is>
      </c>
      <c r="Q91" t="inlineStr">
        <is>
          <t>CN</t>
        </is>
      </c>
      <c r="R91" t="n">
        <v>0</v>
      </c>
      <c r="S91" t="n">
        <v>0</v>
      </c>
      <c r="T91" t="n">
        <v>2880</v>
      </c>
    </row>
    <row r="92">
      <c r="I92" s="1" t="n"/>
      <c r="J92" s="1" t="n"/>
      <c r="K92" s="1" t="n"/>
      <c r="L92" s="1" t="n"/>
      <c r="M92" s="1" t="n"/>
      <c r="O92" t="n">
        <v>91</v>
      </c>
      <c r="P92" t="inlineStr">
        <is>
          <t>15/02/2026</t>
        </is>
      </c>
      <c r="Q92" t="inlineStr">
        <is>
          <t>CD</t>
        </is>
      </c>
      <c r="R92" t="n">
        <v>0</v>
      </c>
      <c r="S92" t="n">
        <v>0</v>
      </c>
      <c r="T92" t="n">
        <v>2880</v>
      </c>
    </row>
    <row r="93">
      <c r="I93" s="1" t="n"/>
      <c r="J93" s="1" t="n"/>
      <c r="K93" s="1" t="n"/>
      <c r="L93" s="1" t="n"/>
      <c r="M93" s="1" t="n"/>
      <c r="O93" t="n">
        <v>92</v>
      </c>
      <c r="P93" t="inlineStr">
        <is>
          <t>16/02/2026</t>
        </is>
      </c>
      <c r="Q93" t="inlineStr">
        <is>
          <t>CN</t>
        </is>
      </c>
      <c r="R93" t="n">
        <v>0</v>
      </c>
      <c r="S93" t="n">
        <v>0</v>
      </c>
      <c r="T93" t="n">
        <v>2880</v>
      </c>
    </row>
    <row r="94">
      <c r="I94" s="1" t="n"/>
      <c r="J94" s="1" t="n"/>
      <c r="K94" s="1" t="n"/>
      <c r="L94" s="1" t="n"/>
      <c r="M94" s="1" t="n"/>
      <c r="O94" t="n">
        <v>93</v>
      </c>
      <c r="P94" t="inlineStr">
        <is>
          <t>16/02/2026</t>
        </is>
      </c>
      <c r="Q94" t="inlineStr">
        <is>
          <t>CD</t>
        </is>
      </c>
      <c r="R94" t="n">
        <v>0</v>
      </c>
      <c r="S94" t="n">
        <v>0</v>
      </c>
      <c r="T94" t="n">
        <v>2880</v>
      </c>
    </row>
    <row r="95">
      <c r="I95" s="1" t="n"/>
      <c r="J95" s="1" t="n"/>
      <c r="K95" s="1" t="n"/>
      <c r="L95" s="1" t="n"/>
      <c r="M95" s="1" t="n"/>
      <c r="O95" t="n">
        <v>94</v>
      </c>
      <c r="P95" t="inlineStr">
        <is>
          <t>17/02/2026</t>
        </is>
      </c>
      <c r="Q95" t="inlineStr">
        <is>
          <t>CN</t>
        </is>
      </c>
      <c r="R95" t="n">
        <v>0</v>
      </c>
      <c r="S95" t="n">
        <v>0</v>
      </c>
      <c r="T95" t="n">
        <v>2880</v>
      </c>
    </row>
    <row r="96">
      <c r="I96" s="1" t="n"/>
      <c r="J96" s="1" t="n"/>
      <c r="K96" s="1" t="n"/>
      <c r="L96" s="1" t="n"/>
      <c r="M96" s="1" t="n"/>
      <c r="O96" t="n">
        <v>95</v>
      </c>
      <c r="P96" t="inlineStr">
        <is>
          <t>17/02/2026</t>
        </is>
      </c>
      <c r="Q96" t="inlineStr">
        <is>
          <t>CD</t>
        </is>
      </c>
      <c r="R96" t="n">
        <v>0</v>
      </c>
      <c r="S96" t="n">
        <v>0</v>
      </c>
      <c r="T96" t="n">
        <v>2880</v>
      </c>
    </row>
    <row r="97">
      <c r="I97" s="1" t="n"/>
      <c r="J97" s="1" t="n"/>
      <c r="K97" s="1" t="n"/>
      <c r="L97" s="1" t="n"/>
      <c r="M97" s="1" t="n"/>
      <c r="O97" t="n">
        <v>96</v>
      </c>
      <c r="P97" t="inlineStr">
        <is>
          <t>18/02/2026</t>
        </is>
      </c>
      <c r="Q97" t="inlineStr">
        <is>
          <t>CN</t>
        </is>
      </c>
      <c r="R97" t="n">
        <v>0</v>
      </c>
      <c r="S97" t="n">
        <v>0</v>
      </c>
      <c r="T97" t="n">
        <v>2880</v>
      </c>
    </row>
    <row r="98">
      <c r="I98" s="1" t="n"/>
      <c r="J98" s="1" t="n"/>
      <c r="K98" s="1" t="n"/>
      <c r="L98" s="1" t="n"/>
      <c r="M98" s="1" t="n"/>
      <c r="O98" t="n">
        <v>97</v>
      </c>
      <c r="P98" t="inlineStr">
        <is>
          <t>18/02/2026</t>
        </is>
      </c>
      <c r="Q98" t="inlineStr">
        <is>
          <t>CD</t>
        </is>
      </c>
      <c r="R98" t="n">
        <v>0</v>
      </c>
      <c r="S98" t="n">
        <v>0</v>
      </c>
      <c r="T98" t="n">
        <v>2880</v>
      </c>
    </row>
    <row r="99">
      <c r="I99" s="1" t="n"/>
      <c r="J99" s="1" t="n"/>
      <c r="K99" s="1" t="n"/>
      <c r="L99" s="1" t="n"/>
      <c r="M99" s="1" t="n"/>
      <c r="O99" t="n">
        <v>98</v>
      </c>
      <c r="P99" t="inlineStr">
        <is>
          <t>19/02/2026</t>
        </is>
      </c>
      <c r="Q99" t="inlineStr">
        <is>
          <t>CN</t>
        </is>
      </c>
      <c r="R99" t="n">
        <v>0</v>
      </c>
      <c r="S99" t="n">
        <v>0</v>
      </c>
      <c r="T99" t="n">
        <v>2880</v>
      </c>
    </row>
    <row r="100">
      <c r="I100" s="1" t="n"/>
      <c r="J100" s="1" t="n"/>
      <c r="K100" s="1" t="n"/>
      <c r="L100" s="1" t="n"/>
      <c r="M100" s="1" t="n"/>
      <c r="O100" t="n">
        <v>99</v>
      </c>
      <c r="P100" t="inlineStr">
        <is>
          <t>19/02/2026</t>
        </is>
      </c>
      <c r="Q100" t="inlineStr">
        <is>
          <t>CD</t>
        </is>
      </c>
      <c r="R100" t="n">
        <v>0</v>
      </c>
      <c r="S100" t="n">
        <v>0</v>
      </c>
      <c r="T100" t="n">
        <v>2880</v>
      </c>
    </row>
    <row r="101">
      <c r="I101" s="1" t="n"/>
      <c r="J101" s="1" t="n"/>
      <c r="K101" s="1" t="n"/>
      <c r="L101" s="1" t="n"/>
      <c r="M101" s="1" t="n"/>
      <c r="O101" t="n">
        <v>100</v>
      </c>
      <c r="P101" t="inlineStr">
        <is>
          <t>20/02/2026</t>
        </is>
      </c>
      <c r="Q101" t="inlineStr">
        <is>
          <t>CN</t>
        </is>
      </c>
      <c r="R101" t="n">
        <v>0</v>
      </c>
      <c r="S101" t="n">
        <v>0</v>
      </c>
      <c r="T101" t="n">
        <v>2880</v>
      </c>
    </row>
    <row r="102">
      <c r="O102" t="n">
        <v>101</v>
      </c>
      <c r="P102" t="inlineStr">
        <is>
          <t>20/02/2026</t>
        </is>
      </c>
      <c r="Q102" t="inlineStr">
        <is>
          <t>CD</t>
        </is>
      </c>
      <c r="R102" t="n">
        <v>0</v>
      </c>
      <c r="S102" t="n">
        <v>0</v>
      </c>
      <c r="T102" t="n">
        <v>2880</v>
      </c>
    </row>
    <row r="103">
      <c r="O103" t="n">
        <v>102</v>
      </c>
      <c r="P103" t="inlineStr">
        <is>
          <t>21/02/2026</t>
        </is>
      </c>
      <c r="Q103" t="inlineStr">
        <is>
          <t>CN</t>
        </is>
      </c>
      <c r="R103" t="n">
        <v>0</v>
      </c>
      <c r="S103" t="n">
        <v>0</v>
      </c>
      <c r="T103" t="n">
        <v>2880</v>
      </c>
    </row>
    <row r="104">
      <c r="O104" t="n">
        <v>103</v>
      </c>
      <c r="P104" t="inlineStr">
        <is>
          <t>21/02/2026</t>
        </is>
      </c>
      <c r="Q104" t="inlineStr">
        <is>
          <t>CD</t>
        </is>
      </c>
      <c r="R104" t="n">
        <v>0</v>
      </c>
      <c r="S104" t="n">
        <v>0</v>
      </c>
      <c r="T104" t="n">
        <v>2880</v>
      </c>
    </row>
    <row r="105">
      <c r="O105" t="n">
        <v>104</v>
      </c>
      <c r="P105" t="inlineStr">
        <is>
          <t>22/02/2026</t>
        </is>
      </c>
      <c r="Q105" t="inlineStr">
        <is>
          <t>CN</t>
        </is>
      </c>
      <c r="R105" t="n">
        <v>0</v>
      </c>
      <c r="S105" t="n">
        <v>0</v>
      </c>
      <c r="T105" t="n">
        <v>2880</v>
      </c>
    </row>
    <row r="106">
      <c r="O106" t="n">
        <v>105</v>
      </c>
      <c r="P106" t="inlineStr">
        <is>
          <t>22/02/2026</t>
        </is>
      </c>
      <c r="Q106" t="inlineStr">
        <is>
          <t>CD</t>
        </is>
      </c>
      <c r="R106" t="n">
        <v>0</v>
      </c>
      <c r="S106" t="n">
        <v>0</v>
      </c>
      <c r="T106" t="n">
        <v>2880</v>
      </c>
    </row>
    <row r="107">
      <c r="O107" t="n">
        <v>106</v>
      </c>
      <c r="P107" t="inlineStr">
        <is>
          <t>23/02/2026</t>
        </is>
      </c>
      <c r="Q107" t="inlineStr">
        <is>
          <t>CN</t>
        </is>
      </c>
      <c r="R107" t="n">
        <v>1123</v>
      </c>
      <c r="S107" t="n">
        <v>937</v>
      </c>
      <c r="T107" t="n">
        <v>837</v>
      </c>
    </row>
    <row r="108">
      <c r="O108" t="n">
        <v>107</v>
      </c>
      <c r="P108" t="inlineStr">
        <is>
          <t>23/02/2026</t>
        </is>
      </c>
      <c r="Q108" t="inlineStr">
        <is>
          <t>CD</t>
        </is>
      </c>
      <c r="R108" t="n">
        <v>910</v>
      </c>
      <c r="S108" t="n">
        <v>1706</v>
      </c>
      <c r="T108" t="n">
        <v>292</v>
      </c>
    </row>
    <row r="109">
      <c r="O109" t="n">
        <v>108</v>
      </c>
      <c r="P109" t="inlineStr">
        <is>
          <t>24/02/2026</t>
        </is>
      </c>
      <c r="Q109" t="inlineStr">
        <is>
          <t>CN</t>
        </is>
      </c>
      <c r="R109" t="n">
        <v>1218</v>
      </c>
      <c r="S109" t="n">
        <v>1305</v>
      </c>
      <c r="T109" t="n">
        <v>375</v>
      </c>
    </row>
    <row r="110">
      <c r="O110" t="n">
        <v>109</v>
      </c>
      <c r="P110" t="inlineStr">
        <is>
          <t>24/02/2026</t>
        </is>
      </c>
      <c r="Q110" t="inlineStr">
        <is>
          <t>CD</t>
        </is>
      </c>
      <c r="R110" t="n">
        <v>832</v>
      </c>
      <c r="S110" t="n">
        <v>2071</v>
      </c>
      <c r="T110" t="n">
        <v>0</v>
      </c>
    </row>
    <row r="111">
      <c r="O111" t="n">
        <v>110</v>
      </c>
      <c r="P111" t="inlineStr">
        <is>
          <t>25/02/2026</t>
        </is>
      </c>
      <c r="Q111" t="inlineStr">
        <is>
          <t>CN</t>
        </is>
      </c>
      <c r="R111" t="n">
        <v>1386</v>
      </c>
      <c r="S111" t="n">
        <v>1511</v>
      </c>
      <c r="T111" t="n">
        <v>0</v>
      </c>
    </row>
    <row r="112">
      <c r="O112" t="n">
        <v>111</v>
      </c>
      <c r="P112" t="inlineStr">
        <is>
          <t>25/02/2026</t>
        </is>
      </c>
      <c r="Q112" t="inlineStr">
        <is>
          <t>CD</t>
        </is>
      </c>
      <c r="R112" t="n">
        <v>1043</v>
      </c>
      <c r="S112" t="n">
        <v>1888</v>
      </c>
      <c r="T112" t="n">
        <v>0</v>
      </c>
    </row>
    <row r="113">
      <c r="O113" t="n">
        <v>112</v>
      </c>
      <c r="P113" t="inlineStr">
        <is>
          <t>26/02/2026</t>
        </is>
      </c>
      <c r="Q113" t="inlineStr">
        <is>
          <t>CN</t>
        </is>
      </c>
      <c r="R113" t="n">
        <v>1385</v>
      </c>
      <c r="S113" t="n">
        <v>1524</v>
      </c>
      <c r="T113" t="n">
        <v>0</v>
      </c>
    </row>
    <row r="114">
      <c r="O114" t="n">
        <v>113</v>
      </c>
      <c r="P114" t="inlineStr">
        <is>
          <t>26/02/2026</t>
        </is>
      </c>
      <c r="Q114" t="inlineStr">
        <is>
          <t>CD</t>
        </is>
      </c>
      <c r="R114" t="n">
        <v>834</v>
      </c>
      <c r="S114" t="n">
        <v>2080</v>
      </c>
      <c r="T114" t="n">
        <v>0</v>
      </c>
    </row>
    <row r="115">
      <c r="O115" t="n">
        <v>114</v>
      </c>
      <c r="P115" t="inlineStr">
        <is>
          <t>27/02/2026</t>
        </is>
      </c>
      <c r="Q115" t="inlineStr">
        <is>
          <t>CN</t>
        </is>
      </c>
      <c r="R115" t="n">
        <v>1538</v>
      </c>
      <c r="S115" t="n">
        <v>1355</v>
      </c>
      <c r="T115" t="n">
        <v>0</v>
      </c>
    </row>
    <row r="116">
      <c r="O116" t="n">
        <v>115</v>
      </c>
      <c r="P116" t="inlineStr">
        <is>
          <t>27/02/2026</t>
        </is>
      </c>
      <c r="Q116" t="inlineStr">
        <is>
          <t>CD</t>
        </is>
      </c>
      <c r="R116" t="n">
        <v>648</v>
      </c>
      <c r="S116" t="n">
        <v>2250</v>
      </c>
      <c r="T116" t="n">
        <v>0</v>
      </c>
    </row>
    <row r="117">
      <c r="O117" t="n">
        <v>116</v>
      </c>
      <c r="P117" t="inlineStr">
        <is>
          <t>28/02/2026</t>
        </is>
      </c>
      <c r="Q117" t="inlineStr">
        <is>
          <t>CN</t>
        </is>
      </c>
      <c r="R117" t="n">
        <v>1277</v>
      </c>
      <c r="S117" t="n">
        <v>1636</v>
      </c>
      <c r="T117" t="n">
        <v>0</v>
      </c>
    </row>
    <row r="118">
      <c r="O118" t="n">
        <v>117</v>
      </c>
      <c r="P118" t="inlineStr">
        <is>
          <t>28/02/2026</t>
        </is>
      </c>
      <c r="Q118" t="inlineStr">
        <is>
          <t>CD</t>
        </is>
      </c>
      <c r="R118" t="n">
        <v>649</v>
      </c>
      <c r="S118" t="n">
        <v>1254</v>
      </c>
      <c r="T118" t="n">
        <v>985</v>
      </c>
    </row>
    <row r="119">
      <c r="O119" t="n">
        <v>118</v>
      </c>
      <c r="P119" t="inlineStr">
        <is>
          <t>01/03/2026</t>
        </is>
      </c>
      <c r="Q119" t="inlineStr">
        <is>
          <t>CN</t>
        </is>
      </c>
      <c r="R119" t="n">
        <v>0</v>
      </c>
      <c r="S119" t="n">
        <v>0</v>
      </c>
      <c r="T119" t="n">
        <v>2620</v>
      </c>
    </row>
    <row r="120">
      <c r="O120" t="n">
        <v>119</v>
      </c>
      <c r="P120" t="inlineStr">
        <is>
          <t>01/03/2026</t>
        </is>
      </c>
      <c r="Q120" t="inlineStr">
        <is>
          <t>CD</t>
        </is>
      </c>
      <c r="R120" t="n">
        <v>0</v>
      </c>
      <c r="S120" t="n">
        <v>0</v>
      </c>
      <c r="T120" t="n">
        <v>2880</v>
      </c>
    </row>
    <row r="121">
      <c r="O121" t="n">
        <v>120</v>
      </c>
      <c r="P121" t="inlineStr">
        <is>
          <t>02/03/2026</t>
        </is>
      </c>
      <c r="Q121" t="inlineStr">
        <is>
          <t>CN</t>
        </is>
      </c>
      <c r="R121" t="n">
        <v>604</v>
      </c>
      <c r="S121" t="n">
        <v>1484</v>
      </c>
      <c r="T121" t="n">
        <v>811</v>
      </c>
    </row>
    <row r="122">
      <c r="O122" t="n">
        <v>121</v>
      </c>
      <c r="P122" t="inlineStr">
        <is>
          <t>02/03/2026</t>
        </is>
      </c>
      <c r="Q122" t="inlineStr">
        <is>
          <t>CD</t>
        </is>
      </c>
      <c r="R122" t="n">
        <v>970</v>
      </c>
      <c r="S122" t="n">
        <v>1928</v>
      </c>
      <c r="T122" t="n">
        <v>0</v>
      </c>
    </row>
    <row r="123">
      <c r="O123" t="n">
        <v>122</v>
      </c>
      <c r="P123" t="inlineStr">
        <is>
          <t>03/03/2026</t>
        </is>
      </c>
      <c r="Q123" t="inlineStr">
        <is>
          <t>CN</t>
        </is>
      </c>
      <c r="R123" t="n">
        <v>1296</v>
      </c>
      <c r="S123" t="n">
        <v>1601</v>
      </c>
      <c r="T123" t="n">
        <v>0</v>
      </c>
    </row>
    <row r="124">
      <c r="O124" t="n">
        <v>123</v>
      </c>
      <c r="P124" t="inlineStr">
        <is>
          <t>03/03/2026</t>
        </is>
      </c>
      <c r="Q124" t="inlineStr">
        <is>
          <t>CD</t>
        </is>
      </c>
      <c r="R124" t="n">
        <v>931</v>
      </c>
      <c r="S124" t="n">
        <v>1961</v>
      </c>
      <c r="T124" t="n">
        <v>0</v>
      </c>
    </row>
    <row r="125">
      <c r="O125" t="n">
        <v>124</v>
      </c>
      <c r="P125" t="inlineStr">
        <is>
          <t>04/03/2026</t>
        </is>
      </c>
      <c r="Q125" t="inlineStr">
        <is>
          <t>CN</t>
        </is>
      </c>
      <c r="R125" t="n">
        <v>1490</v>
      </c>
      <c r="S125" t="n">
        <v>1399</v>
      </c>
      <c r="T125" t="n">
        <v>0</v>
      </c>
    </row>
    <row r="126">
      <c r="O126" t="n">
        <v>125</v>
      </c>
      <c r="P126" t="inlineStr">
        <is>
          <t>04/03/2026</t>
        </is>
      </c>
      <c r="Q126" t="inlineStr">
        <is>
          <t>CD</t>
        </is>
      </c>
      <c r="R126" t="n">
        <v>913</v>
      </c>
      <c r="S126" t="n">
        <v>1979</v>
      </c>
      <c r="T126" t="n">
        <v>0</v>
      </c>
    </row>
    <row r="127">
      <c r="O127" t="n">
        <v>126</v>
      </c>
      <c r="P127" t="inlineStr">
        <is>
          <t>05/03/2026</t>
        </is>
      </c>
      <c r="Q127" t="inlineStr">
        <is>
          <t>CN</t>
        </is>
      </c>
      <c r="R127" t="n">
        <v>1405</v>
      </c>
      <c r="S127" t="n">
        <v>1505</v>
      </c>
      <c r="T127" t="n">
        <v>0</v>
      </c>
    </row>
    <row r="128">
      <c r="O128" t="n">
        <v>127</v>
      </c>
      <c r="P128" t="inlineStr">
        <is>
          <t>05/03/2026</t>
        </is>
      </c>
      <c r="Q128" t="inlineStr">
        <is>
          <t>CD</t>
        </is>
      </c>
      <c r="R128" t="n">
        <v>1018</v>
      </c>
      <c r="S128" t="n">
        <v>1879</v>
      </c>
      <c r="T128" t="n">
        <v>0</v>
      </c>
    </row>
    <row r="129">
      <c r="O129" t="n">
        <v>128</v>
      </c>
      <c r="P129" t="inlineStr">
        <is>
          <t>06/03/2026</t>
        </is>
      </c>
      <c r="Q129" t="inlineStr">
        <is>
          <t>CN</t>
        </is>
      </c>
      <c r="R129" t="n">
        <v>1418</v>
      </c>
      <c r="S129" t="n">
        <v>1469</v>
      </c>
      <c r="T129" t="n">
        <v>0</v>
      </c>
    </row>
    <row r="130">
      <c r="O130" t="n">
        <v>129</v>
      </c>
      <c r="P130" t="inlineStr">
        <is>
          <t>06/03/2026</t>
        </is>
      </c>
      <c r="Q130" t="inlineStr">
        <is>
          <t>CD</t>
        </is>
      </c>
      <c r="R130" t="n">
        <v>1173</v>
      </c>
      <c r="S130" t="n">
        <v>1721</v>
      </c>
      <c r="T130" t="n">
        <v>0</v>
      </c>
    </row>
    <row r="131">
      <c r="O131" t="n">
        <v>130</v>
      </c>
      <c r="P131" t="inlineStr">
        <is>
          <t>07/03/2026</t>
        </is>
      </c>
      <c r="Q131" t="inlineStr">
        <is>
          <t>CN</t>
        </is>
      </c>
      <c r="R131" t="n">
        <v>1623</v>
      </c>
      <c r="S131" t="n">
        <v>1288</v>
      </c>
      <c r="T131" t="n">
        <v>0</v>
      </c>
    </row>
    <row r="132">
      <c r="O132" t="n">
        <v>131</v>
      </c>
      <c r="P132" t="inlineStr">
        <is>
          <t>07/03/2026</t>
        </is>
      </c>
      <c r="Q132" t="inlineStr">
        <is>
          <t>CD</t>
        </is>
      </c>
      <c r="R132" t="n">
        <v>1096</v>
      </c>
      <c r="S132" t="n">
        <v>1795</v>
      </c>
      <c r="T132" t="n">
        <v>0</v>
      </c>
    </row>
    <row r="133">
      <c r="O133" t="n">
        <v>132</v>
      </c>
      <c r="P133" t="inlineStr">
        <is>
          <t>08/03/2026</t>
        </is>
      </c>
      <c r="Q133" t="inlineStr">
        <is>
          <t>CN</t>
        </is>
      </c>
      <c r="R133" t="n">
        <v>1420</v>
      </c>
      <c r="S133" t="n">
        <v>1481</v>
      </c>
      <c r="T133" t="n">
        <v>6</v>
      </c>
    </row>
    <row r="134">
      <c r="O134" t="n">
        <v>133</v>
      </c>
      <c r="P134" t="inlineStr">
        <is>
          <t>08/03/2026</t>
        </is>
      </c>
      <c r="Q134" t="inlineStr">
        <is>
          <t>CD</t>
        </is>
      </c>
      <c r="R134" t="n">
        <v>1930</v>
      </c>
      <c r="S134" t="n">
        <v>228</v>
      </c>
      <c r="T134" t="n">
        <v>720</v>
      </c>
    </row>
    <row r="135">
      <c r="O135" t="n">
        <v>134</v>
      </c>
      <c r="P135" t="inlineStr">
        <is>
          <t>09/03/2026</t>
        </is>
      </c>
      <c r="Q135" t="inlineStr">
        <is>
          <t>CN</t>
        </is>
      </c>
      <c r="R135" t="n">
        <v>1375</v>
      </c>
      <c r="S135" t="n">
        <v>1312</v>
      </c>
      <c r="T135" t="n">
        <v>208</v>
      </c>
    </row>
    <row r="136">
      <c r="O136" t="n">
        <v>135</v>
      </c>
      <c r="P136" t="inlineStr">
        <is>
          <t>09/03/2026</t>
        </is>
      </c>
      <c r="Q136" t="inlineStr">
        <is>
          <t>CD</t>
        </is>
      </c>
      <c r="R136" t="n">
        <v>1053</v>
      </c>
      <c r="S136" t="n">
        <v>1853</v>
      </c>
      <c r="T136" t="n">
        <v>0</v>
      </c>
    </row>
    <row r="137">
      <c r="O137" t="n">
        <v>136</v>
      </c>
      <c r="P137" t="inlineStr">
        <is>
          <t>10/03/2026</t>
        </is>
      </c>
      <c r="Q137" t="inlineStr">
        <is>
          <t>CN</t>
        </is>
      </c>
      <c r="R137" t="n">
        <v>1361</v>
      </c>
      <c r="S137" t="n">
        <v>1532</v>
      </c>
      <c r="T137" t="n">
        <v>0</v>
      </c>
    </row>
    <row r="138">
      <c r="O138" t="n">
        <v>137</v>
      </c>
      <c r="P138" t="inlineStr">
        <is>
          <t>10/03/2026</t>
        </is>
      </c>
      <c r="Q138" t="inlineStr">
        <is>
          <t>CD</t>
        </is>
      </c>
      <c r="R138" t="n">
        <v>966</v>
      </c>
      <c r="S138" t="n">
        <v>1999</v>
      </c>
      <c r="T138" t="n">
        <v>0</v>
      </c>
    </row>
    <row r="139">
      <c r="O139" t="n">
        <v>138</v>
      </c>
      <c r="P139" t="inlineStr">
        <is>
          <t>11/03/2026</t>
        </is>
      </c>
      <c r="Q139" t="inlineStr">
        <is>
          <t>CN</t>
        </is>
      </c>
      <c r="R139" t="n">
        <v>1478</v>
      </c>
      <c r="S139" t="n">
        <v>1420</v>
      </c>
      <c r="T139" t="n">
        <v>0</v>
      </c>
    </row>
    <row r="140">
      <c r="O140" t="n">
        <v>139</v>
      </c>
      <c r="P140" t="inlineStr">
        <is>
          <t>11/03/2026</t>
        </is>
      </c>
      <c r="Q140" t="inlineStr">
        <is>
          <t>CD</t>
        </is>
      </c>
      <c r="R140" t="n">
        <v>1107</v>
      </c>
      <c r="S140" t="n">
        <v>1817</v>
      </c>
      <c r="T140" t="n">
        <v>0</v>
      </c>
    </row>
    <row r="141">
      <c r="O141" t="n">
        <v>140</v>
      </c>
      <c r="P141" t="inlineStr">
        <is>
          <t>12/03/2026</t>
        </is>
      </c>
      <c r="Q141" t="inlineStr">
        <is>
          <t>CN</t>
        </is>
      </c>
      <c r="R141" t="n">
        <v>1512</v>
      </c>
      <c r="S141" t="n">
        <v>1383</v>
      </c>
      <c r="T141" t="n">
        <v>0</v>
      </c>
    </row>
    <row r="142">
      <c r="O142" t="n">
        <v>141</v>
      </c>
      <c r="P142" t="inlineStr">
        <is>
          <t>12/03/2026</t>
        </is>
      </c>
      <c r="Q142" t="inlineStr">
        <is>
          <t>CD</t>
        </is>
      </c>
      <c r="R142" t="n">
        <v>872</v>
      </c>
      <c r="S142" t="n">
        <v>2026</v>
      </c>
      <c r="T142" t="n">
        <v>0</v>
      </c>
    </row>
    <row r="143">
      <c r="O143" t="n">
        <v>142</v>
      </c>
      <c r="P143" t="inlineStr">
        <is>
          <t>13/03/2026</t>
        </is>
      </c>
      <c r="Q143" t="inlineStr">
        <is>
          <t>CN</t>
        </is>
      </c>
      <c r="R143" t="n">
        <v>1368</v>
      </c>
      <c r="S143" t="n">
        <v>1539</v>
      </c>
      <c r="T143" t="n">
        <v>0</v>
      </c>
    </row>
    <row r="144">
      <c r="O144" t="n">
        <v>143</v>
      </c>
      <c r="P144" t="inlineStr">
        <is>
          <t>13/03/2026</t>
        </is>
      </c>
      <c r="Q144" t="inlineStr">
        <is>
          <t>CD</t>
        </is>
      </c>
      <c r="R144" t="n">
        <v>947</v>
      </c>
      <c r="S144" t="n">
        <v>1954</v>
      </c>
      <c r="T144" t="n">
        <v>0</v>
      </c>
    </row>
    <row r="145">
      <c r="O145" t="n">
        <v>144</v>
      </c>
      <c r="P145" t="inlineStr">
        <is>
          <t>14/03/2026</t>
        </is>
      </c>
      <c r="Q145" t="inlineStr">
        <is>
          <t>CN</t>
        </is>
      </c>
      <c r="R145" t="n">
        <v>1551</v>
      </c>
      <c r="S145" t="n">
        <v>1336</v>
      </c>
      <c r="T145" t="n">
        <v>0</v>
      </c>
    </row>
    <row r="146">
      <c r="O146" t="n">
        <v>145</v>
      </c>
      <c r="P146" t="inlineStr">
        <is>
          <t>14/03/2026</t>
        </is>
      </c>
      <c r="Q146" t="inlineStr">
        <is>
          <t>CD</t>
        </is>
      </c>
      <c r="R146" t="n">
        <v>542</v>
      </c>
      <c r="S146" t="n">
        <v>1779</v>
      </c>
      <c r="T146" t="n">
        <v>562</v>
      </c>
    </row>
    <row r="147">
      <c r="O147" t="n">
        <v>146</v>
      </c>
      <c r="P147" t="inlineStr">
        <is>
          <t>15/03/2026</t>
        </is>
      </c>
      <c r="Q147" t="inlineStr">
        <is>
          <t>CN</t>
        </is>
      </c>
      <c r="R147" t="n">
        <v>0</v>
      </c>
      <c r="S147" t="n">
        <v>0</v>
      </c>
      <c r="T147" t="n">
        <v>2880</v>
      </c>
    </row>
    <row r="148">
      <c r="O148" t="n">
        <v>147</v>
      </c>
      <c r="P148" t="inlineStr">
        <is>
          <t>15/03/2026</t>
        </is>
      </c>
      <c r="Q148" t="inlineStr">
        <is>
          <t>CD</t>
        </is>
      </c>
      <c r="R148" t="n">
        <v>0</v>
      </c>
      <c r="S148" t="n">
        <v>0</v>
      </c>
      <c r="T148" t="n">
        <v>2880</v>
      </c>
    </row>
    <row r="149">
      <c r="O149" t="n">
        <v>148</v>
      </c>
      <c r="P149" t="inlineStr">
        <is>
          <t>16/03/2026</t>
        </is>
      </c>
      <c r="Q149" t="inlineStr">
        <is>
          <t>CN</t>
        </is>
      </c>
      <c r="R149" t="n">
        <v>626</v>
      </c>
      <c r="S149" t="n">
        <v>1462</v>
      </c>
      <c r="T149" t="n">
        <v>812</v>
      </c>
    </row>
    <row r="150">
      <c r="O150" t="n">
        <v>149</v>
      </c>
      <c r="P150" t="inlineStr">
        <is>
          <t>16/03/2026</t>
        </is>
      </c>
      <c r="Q150" t="inlineStr">
        <is>
          <t>CD</t>
        </is>
      </c>
      <c r="R150" t="n">
        <v>1188</v>
      </c>
      <c r="S150" t="n">
        <v>1704</v>
      </c>
      <c r="T150" t="n">
        <v>0</v>
      </c>
    </row>
    <row r="151">
      <c r="O151" t="n">
        <v>150</v>
      </c>
      <c r="P151" t="inlineStr">
        <is>
          <t>17/03/2026</t>
        </is>
      </c>
      <c r="Q151" t="inlineStr">
        <is>
          <t>CN</t>
        </is>
      </c>
      <c r="R151" t="n">
        <v>1422</v>
      </c>
      <c r="S151" t="n">
        <v>1472</v>
      </c>
      <c r="T151" t="n">
        <v>0</v>
      </c>
    </row>
    <row r="152">
      <c r="O152" t="n">
        <v>151</v>
      </c>
      <c r="P152" t="inlineStr">
        <is>
          <t>17/03/2026</t>
        </is>
      </c>
      <c r="Q152" t="inlineStr">
        <is>
          <t>CD</t>
        </is>
      </c>
      <c r="R152" t="n">
        <v>1165</v>
      </c>
      <c r="S152" t="n">
        <v>1733</v>
      </c>
      <c r="T152" t="n">
        <v>0</v>
      </c>
    </row>
    <row r="153">
      <c r="O153" t="n">
        <v>152</v>
      </c>
      <c r="P153" t="inlineStr">
        <is>
          <t>18/03/2026</t>
        </is>
      </c>
      <c r="Q153" t="inlineStr">
        <is>
          <t>CN</t>
        </is>
      </c>
      <c r="R153" t="n">
        <v>1350</v>
      </c>
      <c r="S153" t="n">
        <v>1539</v>
      </c>
      <c r="T153" t="n">
        <v>0</v>
      </c>
    </row>
    <row r="154">
      <c r="O154" t="n">
        <v>153</v>
      </c>
      <c r="P154" t="inlineStr">
        <is>
          <t>18/03/2026</t>
        </is>
      </c>
      <c r="Q154" t="inlineStr">
        <is>
          <t>CD</t>
        </is>
      </c>
      <c r="R154" t="n">
        <v>1081</v>
      </c>
      <c r="S154" t="n">
        <v>1805</v>
      </c>
      <c r="T154" t="n">
        <v>0</v>
      </c>
    </row>
    <row r="155">
      <c r="O155" t="n">
        <v>154</v>
      </c>
      <c r="P155" t="inlineStr">
        <is>
          <t>19/03/2026</t>
        </is>
      </c>
      <c r="Q155" t="inlineStr">
        <is>
          <t>CN</t>
        </is>
      </c>
      <c r="R155" t="n">
        <v>1280</v>
      </c>
      <c r="S155" t="n">
        <v>1612</v>
      </c>
      <c r="T155" t="n">
        <v>0</v>
      </c>
    </row>
    <row r="156">
      <c r="O156" t="n">
        <v>155</v>
      </c>
      <c r="P156" t="inlineStr">
        <is>
          <t>19/03/2026</t>
        </is>
      </c>
      <c r="Q156" t="inlineStr">
        <is>
          <t>CD</t>
        </is>
      </c>
      <c r="R156" t="n">
        <v>1251</v>
      </c>
      <c r="S156" t="n">
        <v>1635</v>
      </c>
      <c r="T156" t="n">
        <v>0</v>
      </c>
    </row>
    <row r="157">
      <c r="O157" t="n">
        <v>156</v>
      </c>
      <c r="P157" t="inlineStr">
        <is>
          <t>20/03/2026</t>
        </is>
      </c>
      <c r="Q157" t="inlineStr">
        <is>
          <t>CN</t>
        </is>
      </c>
      <c r="R157" t="n">
        <v>1526</v>
      </c>
      <c r="S157" t="n">
        <v>1368</v>
      </c>
      <c r="T157" t="n">
        <v>0</v>
      </c>
    </row>
    <row r="158">
      <c r="O158" t="n">
        <v>157</v>
      </c>
      <c r="P158" t="inlineStr">
        <is>
          <t>20/03/2026</t>
        </is>
      </c>
      <c r="Q158" t="inlineStr">
        <is>
          <t>CD</t>
        </is>
      </c>
      <c r="R158" t="n">
        <v>980</v>
      </c>
      <c r="S158" t="n">
        <v>1910</v>
      </c>
      <c r="T158" t="n">
        <v>0</v>
      </c>
    </row>
    <row r="159">
      <c r="O159" t="n">
        <v>158</v>
      </c>
      <c r="P159" t="inlineStr">
        <is>
          <t>21/03/2026</t>
        </is>
      </c>
      <c r="Q159" t="inlineStr">
        <is>
          <t>CN</t>
        </is>
      </c>
      <c r="R159" t="n">
        <v>1515</v>
      </c>
      <c r="S159" t="n">
        <v>1377</v>
      </c>
      <c r="T159" t="n">
        <v>0</v>
      </c>
    </row>
    <row r="160">
      <c r="O160" t="n">
        <v>159</v>
      </c>
      <c r="P160" t="inlineStr">
        <is>
          <t>21/03/2026</t>
        </is>
      </c>
      <c r="Q160" t="inlineStr">
        <is>
          <t>CD</t>
        </is>
      </c>
      <c r="R160" t="n">
        <v>1630</v>
      </c>
      <c r="S160" t="n">
        <v>1274</v>
      </c>
      <c r="T160" t="n">
        <v>0</v>
      </c>
    </row>
    <row r="161">
      <c r="O161" t="n">
        <v>160</v>
      </c>
      <c r="P161" t="inlineStr">
        <is>
          <t>22/03/2026</t>
        </is>
      </c>
      <c r="Q161" t="inlineStr">
        <is>
          <t>CN</t>
        </is>
      </c>
      <c r="R161" t="n">
        <v>1442</v>
      </c>
      <c r="S161" t="n">
        <v>1438</v>
      </c>
      <c r="T161" t="n">
        <v>7</v>
      </c>
    </row>
    <row r="162">
      <c r="O162" t="n">
        <v>161</v>
      </c>
      <c r="P162" t="inlineStr">
        <is>
          <t>22/03/2026</t>
        </is>
      </c>
      <c r="Q162" t="inlineStr">
        <is>
          <t>CD</t>
        </is>
      </c>
      <c r="R162" t="n">
        <v>1049</v>
      </c>
      <c r="S162" t="n">
        <v>427</v>
      </c>
      <c r="T162" t="n">
        <v>1403</v>
      </c>
    </row>
    <row r="163">
      <c r="O163" t="n">
        <v>162</v>
      </c>
      <c r="P163" t="inlineStr">
        <is>
          <t>23/03/2026</t>
        </is>
      </c>
      <c r="Q163" t="inlineStr">
        <is>
          <t>CN</t>
        </is>
      </c>
      <c r="R163" t="n">
        <v>1208</v>
      </c>
      <c r="S163" t="n">
        <v>1278</v>
      </c>
      <c r="T163" t="n">
        <v>410</v>
      </c>
    </row>
    <row r="164">
      <c r="O164" t="n">
        <v>163</v>
      </c>
      <c r="P164" t="inlineStr">
        <is>
          <t>23/03/2026</t>
        </is>
      </c>
      <c r="Q164" t="inlineStr">
        <is>
          <t>CD</t>
        </is>
      </c>
      <c r="R164" t="n">
        <v>543</v>
      </c>
      <c r="S164" t="n">
        <v>2352</v>
      </c>
      <c r="T164" t="n">
        <v>0</v>
      </c>
    </row>
    <row r="165">
      <c r="O165" t="n">
        <v>164</v>
      </c>
      <c r="P165" t="inlineStr">
        <is>
          <t>24/03/2026</t>
        </is>
      </c>
      <c r="Q165" t="inlineStr">
        <is>
          <t>CN</t>
        </is>
      </c>
      <c r="R165" t="n">
        <v>1206</v>
      </c>
      <c r="S165" t="n">
        <v>1688</v>
      </c>
      <c r="T165" t="n">
        <v>0</v>
      </c>
    </row>
    <row r="166">
      <c r="O166" t="n">
        <v>165</v>
      </c>
      <c r="P166" t="inlineStr">
        <is>
          <t>24/03/2026</t>
        </is>
      </c>
      <c r="Q166" t="inlineStr">
        <is>
          <t>CD</t>
        </is>
      </c>
      <c r="R166" t="n">
        <v>1115</v>
      </c>
      <c r="S166" t="n">
        <v>1821</v>
      </c>
      <c r="T166" t="n">
        <v>0</v>
      </c>
    </row>
    <row r="167">
      <c r="O167" t="n">
        <v>166</v>
      </c>
      <c r="P167" t="inlineStr">
        <is>
          <t>25/03/2026</t>
        </is>
      </c>
      <c r="Q167" t="inlineStr">
        <is>
          <t>CN</t>
        </is>
      </c>
      <c r="R167" t="n">
        <v>1281</v>
      </c>
      <c r="S167" t="n">
        <v>1657</v>
      </c>
      <c r="T167" t="n">
        <v>0</v>
      </c>
    </row>
    <row r="168">
      <c r="O168" t="n">
        <v>167</v>
      </c>
      <c r="P168" t="inlineStr">
        <is>
          <t>25/03/2026</t>
        </is>
      </c>
      <c r="Q168" t="inlineStr">
        <is>
          <t>CD</t>
        </is>
      </c>
      <c r="R168" t="n">
        <v>940</v>
      </c>
      <c r="S168" t="n">
        <v>1953</v>
      </c>
      <c r="T168" t="n">
        <v>0</v>
      </c>
    </row>
    <row r="169">
      <c r="O169" t="n">
        <v>168</v>
      </c>
      <c r="P169" t="inlineStr">
        <is>
          <t>26/03/2026</t>
        </is>
      </c>
      <c r="Q169" t="inlineStr">
        <is>
          <t>CN</t>
        </is>
      </c>
      <c r="R169" t="n">
        <v>1229</v>
      </c>
      <c r="S169" t="n">
        <v>1663</v>
      </c>
      <c r="T169" t="n">
        <v>0</v>
      </c>
    </row>
    <row r="170">
      <c r="O170" t="n">
        <v>169</v>
      </c>
      <c r="P170" t="inlineStr">
        <is>
          <t>26/03/2026</t>
        </is>
      </c>
      <c r="Q170" t="inlineStr">
        <is>
          <t>CD</t>
        </is>
      </c>
      <c r="R170" t="n">
        <v>1196</v>
      </c>
      <c r="S170" t="n">
        <v>1713</v>
      </c>
      <c r="T170" t="n">
        <v>0</v>
      </c>
    </row>
    <row r="171">
      <c r="O171" t="n">
        <v>170</v>
      </c>
      <c r="P171" t="inlineStr">
        <is>
          <t>27/03/2026</t>
        </is>
      </c>
      <c r="Q171" t="inlineStr">
        <is>
          <t>CN</t>
        </is>
      </c>
      <c r="R171" t="n">
        <v>1572</v>
      </c>
      <c r="S171" t="n">
        <v>1323</v>
      </c>
      <c r="T171" t="n">
        <v>0</v>
      </c>
    </row>
    <row r="172">
      <c r="O172" t="n">
        <v>171</v>
      </c>
      <c r="P172" t="inlineStr">
        <is>
          <t>27/03/2026</t>
        </is>
      </c>
      <c r="Q172" t="inlineStr">
        <is>
          <t>CD</t>
        </is>
      </c>
      <c r="R172" t="n">
        <v>943</v>
      </c>
      <c r="S172" t="n">
        <v>1967</v>
      </c>
      <c r="T172" t="n">
        <v>0</v>
      </c>
    </row>
    <row r="173">
      <c r="O173" t="n">
        <v>172</v>
      </c>
      <c r="P173" t="inlineStr">
        <is>
          <t>28/03/2026</t>
        </is>
      </c>
      <c r="Q173" t="inlineStr">
        <is>
          <t>CN</t>
        </is>
      </c>
      <c r="R173" t="n">
        <v>1357</v>
      </c>
      <c r="S173" t="n">
        <v>1528</v>
      </c>
      <c r="T173" t="n">
        <v>0</v>
      </c>
    </row>
    <row r="174">
      <c r="O174" t="n">
        <v>173</v>
      </c>
      <c r="P174" t="inlineStr">
        <is>
          <t>28/03/2026</t>
        </is>
      </c>
      <c r="Q174" t="inlineStr">
        <is>
          <t>CD</t>
        </is>
      </c>
      <c r="R174" t="n">
        <v>1283</v>
      </c>
      <c r="S174" t="n">
        <v>1619</v>
      </c>
      <c r="T174" t="n">
        <v>0</v>
      </c>
    </row>
    <row r="175">
      <c r="O175" t="n">
        <v>174</v>
      </c>
      <c r="P175" t="inlineStr">
        <is>
          <t>29/03/2026</t>
        </is>
      </c>
      <c r="Q175" t="inlineStr">
        <is>
          <t>CN</t>
        </is>
      </c>
      <c r="R175" t="n">
        <v>1439</v>
      </c>
      <c r="S175" t="n">
        <v>1454</v>
      </c>
      <c r="T175" t="n">
        <v>0</v>
      </c>
    </row>
    <row r="176">
      <c r="O176" t="n">
        <v>175</v>
      </c>
      <c r="P176" t="inlineStr">
        <is>
          <t>29/03/2026</t>
        </is>
      </c>
      <c r="Q176" t="inlineStr">
        <is>
          <t>CD</t>
        </is>
      </c>
      <c r="R176" t="n">
        <v>2027</v>
      </c>
      <c r="S176" t="n">
        <v>184</v>
      </c>
      <c r="T176" t="n">
        <v>665</v>
      </c>
    </row>
    <row r="177">
      <c r="O177" t="n">
        <v>176</v>
      </c>
      <c r="P177" t="inlineStr">
        <is>
          <t>30/03/2026</t>
        </is>
      </c>
      <c r="Q177" t="inlineStr">
        <is>
          <t>CN</t>
        </is>
      </c>
      <c r="R177" t="n">
        <v>1075</v>
      </c>
      <c r="S177" t="n">
        <v>1599</v>
      </c>
      <c r="T177" t="n">
        <v>213</v>
      </c>
    </row>
    <row r="178">
      <c r="O178" t="n">
        <v>177</v>
      </c>
      <c r="P178" t="inlineStr">
        <is>
          <t>30/03/2026</t>
        </is>
      </c>
      <c r="Q178" t="inlineStr">
        <is>
          <t>CD</t>
        </is>
      </c>
      <c r="R178" t="n">
        <v>1122</v>
      </c>
      <c r="S178" t="n">
        <v>1780</v>
      </c>
      <c r="T178" t="n">
        <v>0</v>
      </c>
    </row>
    <row r="179">
      <c r="O179" t="n">
        <v>178</v>
      </c>
      <c r="P179" t="inlineStr">
        <is>
          <t>31/03/2026</t>
        </is>
      </c>
      <c r="Q179" t="inlineStr">
        <is>
          <t>CN</t>
        </is>
      </c>
      <c r="R179" t="n">
        <v>1466</v>
      </c>
      <c r="S179" t="n">
        <v>1438</v>
      </c>
      <c r="T179" t="n">
        <v>0</v>
      </c>
    </row>
    <row r="180">
      <c r="O180" t="n">
        <v>179</v>
      </c>
      <c r="P180" t="inlineStr">
        <is>
          <t>31/03/2026</t>
        </is>
      </c>
      <c r="Q180" t="inlineStr">
        <is>
          <t>CD</t>
        </is>
      </c>
      <c r="R180" t="n">
        <v>1127</v>
      </c>
      <c r="S180" t="n">
        <v>1765</v>
      </c>
      <c r="T180" t="n">
        <v>0</v>
      </c>
    </row>
    <row r="181">
      <c r="O181" t="n">
        <v>180</v>
      </c>
      <c r="P181" t="inlineStr">
        <is>
          <t>01/04/2026</t>
        </is>
      </c>
      <c r="Q181" t="inlineStr">
        <is>
          <t>CN</t>
        </is>
      </c>
      <c r="R181" t="n">
        <v>1630</v>
      </c>
      <c r="S181" t="n">
        <v>1281</v>
      </c>
      <c r="T181" t="n">
        <v>0</v>
      </c>
    </row>
    <row r="182">
      <c r="O182" t="n">
        <v>181</v>
      </c>
      <c r="P182" t="inlineStr">
        <is>
          <t>01/04/2026</t>
        </is>
      </c>
      <c r="Q182" t="inlineStr">
        <is>
          <t>CD</t>
        </is>
      </c>
      <c r="R182" t="n">
        <v>1262</v>
      </c>
      <c r="S182" t="n">
        <v>1630</v>
      </c>
      <c r="T182" t="n">
        <v>0</v>
      </c>
    </row>
    <row r="183">
      <c r="O183" t="n">
        <v>182</v>
      </c>
      <c r="P183" t="inlineStr">
        <is>
          <t>02/04/2026</t>
        </is>
      </c>
      <c r="Q183" t="inlineStr">
        <is>
          <t>CN</t>
        </is>
      </c>
      <c r="R183" t="n">
        <v>1454</v>
      </c>
      <c r="S183" t="n">
        <v>1445</v>
      </c>
      <c r="T183" t="n">
        <v>0</v>
      </c>
    </row>
    <row r="184">
      <c r="O184" t="n">
        <v>183</v>
      </c>
      <c r="P184" t="inlineStr">
        <is>
          <t>02/04/2026</t>
        </is>
      </c>
      <c r="Q184" t="inlineStr">
        <is>
          <t>CD</t>
        </is>
      </c>
      <c r="R184" t="n">
        <v>1001</v>
      </c>
      <c r="S184" t="n">
        <v>1900</v>
      </c>
      <c r="T184" t="n">
        <v>0</v>
      </c>
    </row>
    <row r="185">
      <c r="O185" t="n">
        <v>184</v>
      </c>
      <c r="P185" t="inlineStr">
        <is>
          <t>03/04/2026</t>
        </is>
      </c>
      <c r="Q185" t="inlineStr">
        <is>
          <t>CN</t>
        </is>
      </c>
      <c r="R185" t="n">
        <v>1628</v>
      </c>
      <c r="S185" t="n">
        <v>1268</v>
      </c>
      <c r="T185" t="n">
        <v>0</v>
      </c>
    </row>
    <row r="186">
      <c r="O186" t="n">
        <v>185</v>
      </c>
      <c r="P186" t="inlineStr">
        <is>
          <t>03/04/2026</t>
        </is>
      </c>
      <c r="Q186" t="inlineStr">
        <is>
          <t>CD</t>
        </is>
      </c>
      <c r="R186" t="n">
        <v>1261</v>
      </c>
      <c r="S186" t="n">
        <v>1645</v>
      </c>
      <c r="T186" t="n">
        <v>0</v>
      </c>
    </row>
    <row r="187">
      <c r="O187" t="n">
        <v>186</v>
      </c>
      <c r="P187" t="inlineStr">
        <is>
          <t>04/04/2026</t>
        </is>
      </c>
      <c r="Q187" t="inlineStr">
        <is>
          <t>CN</t>
        </is>
      </c>
      <c r="R187" t="n">
        <v>1476</v>
      </c>
      <c r="S187" t="n">
        <v>1435</v>
      </c>
      <c r="T187" t="n">
        <v>0</v>
      </c>
    </row>
    <row r="188">
      <c r="O188" t="n">
        <v>187</v>
      </c>
      <c r="P188" t="inlineStr">
        <is>
          <t>04/04/2026</t>
        </is>
      </c>
      <c r="Q188" t="inlineStr">
        <is>
          <t>CD</t>
        </is>
      </c>
      <c r="R188" t="n">
        <v>1175</v>
      </c>
      <c r="S188" t="n">
        <v>1737</v>
      </c>
      <c r="T188" t="n">
        <v>0</v>
      </c>
    </row>
    <row r="189">
      <c r="O189" t="n">
        <v>188</v>
      </c>
      <c r="P189" t="inlineStr">
        <is>
          <t>05/04/2026</t>
        </is>
      </c>
      <c r="Q189" t="inlineStr">
        <is>
          <t>CN</t>
        </is>
      </c>
      <c r="R189" t="n">
        <v>1556</v>
      </c>
      <c r="S189" t="n">
        <v>1315</v>
      </c>
      <c r="T189" t="n">
        <v>32</v>
      </c>
    </row>
    <row r="190">
      <c r="O190" t="n">
        <v>189</v>
      </c>
      <c r="P190" t="inlineStr">
        <is>
          <t>05/04/2026</t>
        </is>
      </c>
      <c r="Q190" t="inlineStr">
        <is>
          <t>CD</t>
        </is>
      </c>
      <c r="R190" t="n">
        <v>669</v>
      </c>
      <c r="S190" t="n">
        <v>52</v>
      </c>
      <c r="T190" t="n">
        <v>2160</v>
      </c>
    </row>
    <row r="191">
      <c r="O191" t="n">
        <v>190</v>
      </c>
      <c r="P191" t="inlineStr">
        <is>
          <t>06/04/2026</t>
        </is>
      </c>
      <c r="Q191" t="inlineStr">
        <is>
          <t>CN</t>
        </is>
      </c>
      <c r="R191" t="n">
        <v>835</v>
      </c>
      <c r="S191" t="n">
        <v>1469</v>
      </c>
      <c r="T191" t="n">
        <v>609</v>
      </c>
    </row>
    <row r="192">
      <c r="O192" t="n">
        <v>191</v>
      </c>
      <c r="P192" t="inlineStr">
        <is>
          <t>06/04/2026</t>
        </is>
      </c>
      <c r="Q192" t="inlineStr">
        <is>
          <t>CD</t>
        </is>
      </c>
      <c r="R192" t="n">
        <v>1110</v>
      </c>
      <c r="S192" t="n">
        <v>1801</v>
      </c>
      <c r="T192" t="n">
        <v>0</v>
      </c>
    </row>
    <row r="193">
      <c r="O193" t="n">
        <v>192</v>
      </c>
      <c r="P193" t="inlineStr">
        <is>
          <t>07/04/2026</t>
        </is>
      </c>
      <c r="Q193" t="inlineStr">
        <is>
          <t>CN</t>
        </is>
      </c>
      <c r="R193" t="n">
        <v>1522</v>
      </c>
      <c r="S193" t="n">
        <v>1378</v>
      </c>
      <c r="T193" t="n">
        <v>0</v>
      </c>
    </row>
    <row r="194">
      <c r="O194" t="n">
        <v>193</v>
      </c>
      <c r="P194" t="inlineStr">
        <is>
          <t>07/04/2026</t>
        </is>
      </c>
      <c r="Q194" t="inlineStr">
        <is>
          <t>CD</t>
        </is>
      </c>
      <c r="R194" t="n">
        <v>1331</v>
      </c>
      <c r="S194" t="n">
        <v>1582</v>
      </c>
      <c r="T194" t="n">
        <v>0</v>
      </c>
    </row>
    <row r="195">
      <c r="O195" t="n">
        <v>194</v>
      </c>
      <c r="P195" t="inlineStr">
        <is>
          <t>08/04/2026</t>
        </is>
      </c>
      <c r="Q195" t="inlineStr">
        <is>
          <t>CN</t>
        </is>
      </c>
      <c r="R195" t="n">
        <v>1456</v>
      </c>
      <c r="S195" t="n">
        <v>1459</v>
      </c>
      <c r="T195" t="n">
        <v>0</v>
      </c>
    </row>
    <row r="196">
      <c r="O196" t="n">
        <v>195</v>
      </c>
      <c r="P196" t="inlineStr">
        <is>
          <t>08/04/2026</t>
        </is>
      </c>
      <c r="Q196" t="inlineStr">
        <is>
          <t>CD</t>
        </is>
      </c>
      <c r="R196" t="n">
        <v>1096</v>
      </c>
      <c r="S196" t="n">
        <v>1818</v>
      </c>
      <c r="T196" t="n">
        <v>0</v>
      </c>
    </row>
    <row r="197">
      <c r="O197" t="n">
        <v>196</v>
      </c>
      <c r="P197" t="inlineStr">
        <is>
          <t>09/04/2026</t>
        </is>
      </c>
      <c r="Q197" t="inlineStr">
        <is>
          <t>CN</t>
        </is>
      </c>
      <c r="R197" t="n">
        <v>1207</v>
      </c>
      <c r="S197" t="n">
        <v>1702</v>
      </c>
      <c r="T197" t="n">
        <v>0</v>
      </c>
    </row>
    <row r="198">
      <c r="O198" t="n">
        <v>197</v>
      </c>
      <c r="P198" t="inlineStr">
        <is>
          <t>09/04/2026</t>
        </is>
      </c>
      <c r="Q198" t="inlineStr">
        <is>
          <t>CD</t>
        </is>
      </c>
      <c r="R198" t="n">
        <v>785</v>
      </c>
      <c r="S198" t="n">
        <v>2116</v>
      </c>
      <c r="T198" t="n">
        <v>0</v>
      </c>
    </row>
    <row r="199">
      <c r="O199" t="n">
        <v>198</v>
      </c>
      <c r="P199" t="inlineStr">
        <is>
          <t>10/04/2026</t>
        </is>
      </c>
      <c r="Q199" t="inlineStr">
        <is>
          <t>CN</t>
        </is>
      </c>
      <c r="R199" t="n">
        <v>1571</v>
      </c>
      <c r="S199" t="n">
        <v>1327</v>
      </c>
      <c r="T199" t="n">
        <v>0</v>
      </c>
    </row>
    <row r="200">
      <c r="O200" t="n">
        <v>199</v>
      </c>
      <c r="P200" t="inlineStr">
        <is>
          <t>10/04/2026</t>
        </is>
      </c>
      <c r="Q200" t="inlineStr">
        <is>
          <t>CD</t>
        </is>
      </c>
      <c r="R200" t="n">
        <v>902</v>
      </c>
      <c r="S200" t="n">
        <v>1998</v>
      </c>
      <c r="T200" t="n">
        <v>0</v>
      </c>
    </row>
    <row r="201">
      <c r="O201" t="n">
        <v>200</v>
      </c>
      <c r="P201" t="inlineStr">
        <is>
          <t>11/04/2026</t>
        </is>
      </c>
      <c r="Q201" t="inlineStr">
        <is>
          <t>CN</t>
        </is>
      </c>
      <c r="R201" t="n">
        <v>1575</v>
      </c>
      <c r="S201" t="n">
        <v>1316</v>
      </c>
      <c r="T201" t="n">
        <v>0</v>
      </c>
    </row>
    <row r="202">
      <c r="O202" t="n">
        <v>201</v>
      </c>
      <c r="P202" t="inlineStr">
        <is>
          <t>11/04/2026</t>
        </is>
      </c>
      <c r="Q202" t="inlineStr">
        <is>
          <t>CD</t>
        </is>
      </c>
      <c r="R202" t="n">
        <v>1196</v>
      </c>
      <c r="S202" t="n">
        <v>1695</v>
      </c>
      <c r="T202" t="n">
        <v>0</v>
      </c>
    </row>
    <row r="203">
      <c r="O203" t="n">
        <v>202</v>
      </c>
      <c r="P203" t="inlineStr">
        <is>
          <t>12/04/2026</t>
        </is>
      </c>
      <c r="Q203" t="inlineStr">
        <is>
          <t>CN</t>
        </is>
      </c>
      <c r="R203" t="n">
        <v>1409</v>
      </c>
      <c r="S203" t="n">
        <v>1474</v>
      </c>
      <c r="T203" t="n">
        <v>0</v>
      </c>
    </row>
    <row r="204">
      <c r="O204" t="n">
        <v>203</v>
      </c>
      <c r="P204" t="inlineStr">
        <is>
          <t>12/04/2026</t>
        </is>
      </c>
      <c r="Q204" t="inlineStr">
        <is>
          <t>CD</t>
        </is>
      </c>
      <c r="R204" t="n">
        <v>2619</v>
      </c>
      <c r="S204" t="n">
        <v>260</v>
      </c>
      <c r="T204" t="n">
        <v>0</v>
      </c>
    </row>
    <row r="205">
      <c r="O205" t="n">
        <v>204</v>
      </c>
      <c r="P205" t="inlineStr">
        <is>
          <t>13/04/2026</t>
        </is>
      </c>
      <c r="Q205" t="inlineStr">
        <is>
          <t>CN</t>
        </is>
      </c>
      <c r="R205" t="n">
        <v>1299</v>
      </c>
      <c r="S205" t="n">
        <v>1592</v>
      </c>
      <c r="T205" t="n">
        <v>0</v>
      </c>
    </row>
    <row r="206">
      <c r="O206" t="n">
        <v>205</v>
      </c>
      <c r="P206" t="inlineStr">
        <is>
          <t>13/04/2026</t>
        </is>
      </c>
      <c r="Q206" t="inlineStr">
        <is>
          <t>CD</t>
        </is>
      </c>
      <c r="R206" t="n">
        <v>1227</v>
      </c>
      <c r="S206" t="n">
        <v>1669</v>
      </c>
      <c r="T206" t="n">
        <v>0</v>
      </c>
    </row>
    <row r="207">
      <c r="O207" t="n">
        <v>206</v>
      </c>
      <c r="P207" t="inlineStr">
        <is>
          <t>14/04/2026</t>
        </is>
      </c>
      <c r="Q207" t="inlineStr">
        <is>
          <t>CN</t>
        </is>
      </c>
      <c r="R207" t="n">
        <v>1583</v>
      </c>
      <c r="S207" t="n">
        <v>1312</v>
      </c>
      <c r="T207" t="n">
        <v>0</v>
      </c>
    </row>
    <row r="208">
      <c r="O208" t="n">
        <v>207</v>
      </c>
      <c r="P208" t="inlineStr">
        <is>
          <t>14/04/2026</t>
        </is>
      </c>
      <c r="Q208" t="inlineStr">
        <is>
          <t>CD</t>
        </is>
      </c>
      <c r="R208" t="n">
        <v>813</v>
      </c>
      <c r="S208" t="n">
        <v>2092</v>
      </c>
      <c r="T208" t="n">
        <v>0</v>
      </c>
    </row>
    <row r="209">
      <c r="O209" t="n">
        <v>208</v>
      </c>
      <c r="P209" t="inlineStr">
        <is>
          <t>15/04/2026</t>
        </is>
      </c>
      <c r="Q209" t="inlineStr">
        <is>
          <t>CN</t>
        </is>
      </c>
      <c r="R209" t="n">
        <v>1465</v>
      </c>
      <c r="S209" t="n">
        <v>1444</v>
      </c>
      <c r="T209" t="n">
        <v>0</v>
      </c>
    </row>
    <row r="210">
      <c r="O210" t="n">
        <v>209</v>
      </c>
      <c r="P210" t="inlineStr">
        <is>
          <t>15/04/2026</t>
        </is>
      </c>
      <c r="Q210" t="inlineStr">
        <is>
          <t>CD</t>
        </is>
      </c>
      <c r="R210" t="n">
        <v>1090</v>
      </c>
      <c r="S210" t="n">
        <v>1806</v>
      </c>
      <c r="T210" t="n">
        <v>0</v>
      </c>
    </row>
    <row r="211">
      <c r="O211" t="n">
        <v>210</v>
      </c>
      <c r="P211" t="inlineStr">
        <is>
          <t>16/04/2026</t>
        </is>
      </c>
      <c r="Q211" t="inlineStr">
        <is>
          <t>CN</t>
        </is>
      </c>
      <c r="R211" t="n">
        <v>1385</v>
      </c>
      <c r="S211" t="n">
        <v>1524</v>
      </c>
      <c r="T211" t="n">
        <v>0</v>
      </c>
    </row>
    <row r="212">
      <c r="O212" t="n">
        <v>211</v>
      </c>
      <c r="P212" t="inlineStr">
        <is>
          <t>16/04/2026</t>
        </is>
      </c>
      <c r="Q212" t="inlineStr">
        <is>
          <t>CD</t>
        </is>
      </c>
      <c r="R212" t="n">
        <v>869</v>
      </c>
      <c r="S212" t="n">
        <v>2053</v>
      </c>
      <c r="T212" t="n">
        <v>0</v>
      </c>
    </row>
    <row r="213">
      <c r="O213" t="n">
        <v>212</v>
      </c>
      <c r="P213" t="inlineStr">
        <is>
          <t>17/04/2026</t>
        </is>
      </c>
      <c r="Q213" t="inlineStr">
        <is>
          <t>CN</t>
        </is>
      </c>
      <c r="R213" t="n">
        <v>1234</v>
      </c>
      <c r="S213" t="n">
        <v>1656</v>
      </c>
      <c r="T213" t="n">
        <v>0</v>
      </c>
    </row>
    <row r="214">
      <c r="O214" t="n">
        <v>213</v>
      </c>
      <c r="P214" t="inlineStr">
        <is>
          <t>17/04/2026</t>
        </is>
      </c>
      <c r="Q214" t="inlineStr">
        <is>
          <t>CD</t>
        </is>
      </c>
      <c r="R214" t="n">
        <v>1424</v>
      </c>
      <c r="S214" t="n">
        <v>1487</v>
      </c>
      <c r="T214" t="n">
        <v>0</v>
      </c>
    </row>
    <row r="215">
      <c r="O215" t="n">
        <v>214</v>
      </c>
      <c r="P215" t="inlineStr">
        <is>
          <t>18/04/2026</t>
        </is>
      </c>
      <c r="Q215" t="inlineStr">
        <is>
          <t>CN</t>
        </is>
      </c>
      <c r="R215" t="n">
        <v>1534</v>
      </c>
      <c r="S215" t="n">
        <v>1367</v>
      </c>
      <c r="T215" t="n">
        <v>0</v>
      </c>
    </row>
    <row r="216">
      <c r="O216" t="n">
        <v>215</v>
      </c>
      <c r="P216" t="inlineStr">
        <is>
          <t>18/04/2026</t>
        </is>
      </c>
      <c r="Q216" t="inlineStr">
        <is>
          <t>CD</t>
        </is>
      </c>
      <c r="R216" t="n">
        <v>1662</v>
      </c>
      <c r="S216" t="n">
        <v>1276</v>
      </c>
      <c r="T216" t="n">
        <v>0</v>
      </c>
    </row>
    <row r="217">
      <c r="O217" t="n">
        <v>216</v>
      </c>
      <c r="P217" t="inlineStr">
        <is>
          <t>19/04/2026</t>
        </is>
      </c>
      <c r="Q217" t="inlineStr">
        <is>
          <t>CN</t>
        </is>
      </c>
      <c r="R217" t="n">
        <v>1553</v>
      </c>
      <c r="S217" t="n">
        <v>1299</v>
      </c>
      <c r="T217" t="n">
        <v>37</v>
      </c>
    </row>
    <row r="218">
      <c r="O218" t="n">
        <v>217</v>
      </c>
      <c r="P218" t="inlineStr">
        <is>
          <t>19/04/2026</t>
        </is>
      </c>
      <c r="Q218" t="inlineStr">
        <is>
          <t>CD</t>
        </is>
      </c>
      <c r="R218" t="n">
        <v>692</v>
      </c>
      <c r="S218" t="n">
        <v>30</v>
      </c>
      <c r="T218" t="n">
        <v>2160</v>
      </c>
    </row>
    <row r="219">
      <c r="O219" t="n">
        <v>218</v>
      </c>
      <c r="P219" t="inlineStr">
        <is>
          <t>20/04/2026</t>
        </is>
      </c>
      <c r="Q219" t="inlineStr">
        <is>
          <t>CN</t>
        </is>
      </c>
      <c r="R219" t="n">
        <v>925</v>
      </c>
      <c r="S219" t="n">
        <v>1353</v>
      </c>
      <c r="T219" t="n">
        <v>618</v>
      </c>
    </row>
    <row r="220">
      <c r="O220" t="n">
        <v>219</v>
      </c>
      <c r="P220" t="inlineStr">
        <is>
          <t>20/04/2026</t>
        </is>
      </c>
      <c r="Q220" t="inlineStr">
        <is>
          <t>CD</t>
        </is>
      </c>
      <c r="R220" t="n">
        <v>728</v>
      </c>
      <c r="S220" t="n">
        <v>2167</v>
      </c>
      <c r="T220" t="n">
        <v>0</v>
      </c>
    </row>
    <row r="221">
      <c r="O221" t="n">
        <v>220</v>
      </c>
      <c r="P221" t="inlineStr">
        <is>
          <t>21/04/2026</t>
        </is>
      </c>
      <c r="Q221" t="inlineStr">
        <is>
          <t>CN</t>
        </is>
      </c>
      <c r="R221" t="n">
        <v>1514</v>
      </c>
      <c r="S221" t="n">
        <v>1380</v>
      </c>
      <c r="T221" t="n">
        <v>0</v>
      </c>
    </row>
    <row r="222">
      <c r="O222" t="n">
        <v>221</v>
      </c>
      <c r="P222" t="inlineStr">
        <is>
          <t>21/04/2026</t>
        </is>
      </c>
      <c r="Q222" t="inlineStr">
        <is>
          <t>CD</t>
        </is>
      </c>
      <c r="R222" t="n">
        <v>1085</v>
      </c>
      <c r="S222" t="n">
        <v>1817</v>
      </c>
      <c r="T222" t="n">
        <v>0</v>
      </c>
    </row>
    <row r="223">
      <c r="O223" t="n">
        <v>222</v>
      </c>
      <c r="P223" t="inlineStr">
        <is>
          <t>22/04/2026</t>
        </is>
      </c>
      <c r="Q223" t="inlineStr">
        <is>
          <t>CN</t>
        </is>
      </c>
      <c r="R223" t="n">
        <v>1493</v>
      </c>
      <c r="S223" t="n">
        <v>1426</v>
      </c>
      <c r="T223" t="n">
        <v>0</v>
      </c>
    </row>
    <row r="224">
      <c r="O224" t="n">
        <v>223</v>
      </c>
      <c r="P224" t="inlineStr">
        <is>
          <t>22/04/2026</t>
        </is>
      </c>
      <c r="Q224" t="inlineStr">
        <is>
          <t>CD</t>
        </is>
      </c>
      <c r="R224" t="n">
        <v>861</v>
      </c>
      <c r="S224" t="n">
        <v>2047</v>
      </c>
      <c r="T224" t="n">
        <v>0</v>
      </c>
    </row>
    <row r="225">
      <c r="O225" t="n">
        <v>224</v>
      </c>
      <c r="P225" t="inlineStr">
        <is>
          <t>23/04/2026</t>
        </is>
      </c>
      <c r="Q225" t="inlineStr">
        <is>
          <t>CN</t>
        </is>
      </c>
      <c r="R225" t="n">
        <v>908</v>
      </c>
      <c r="S225" t="n">
        <v>1994</v>
      </c>
      <c r="T225" t="n">
        <v>0</v>
      </c>
    </row>
    <row r="226">
      <c r="O226" t="n">
        <v>225</v>
      </c>
      <c r="P226" t="inlineStr">
        <is>
          <t>23/04/2026</t>
        </is>
      </c>
      <c r="Q226" t="inlineStr">
        <is>
          <t>CD</t>
        </is>
      </c>
      <c r="R226" t="n">
        <v>855</v>
      </c>
      <c r="S226" t="n">
        <v>2042</v>
      </c>
      <c r="T226" t="n">
        <v>0</v>
      </c>
    </row>
    <row r="227">
      <c r="O227" t="n">
        <v>226</v>
      </c>
      <c r="P227" t="inlineStr">
        <is>
          <t>24/04/2026</t>
        </is>
      </c>
      <c r="Q227" t="inlineStr">
        <is>
          <t>CN</t>
        </is>
      </c>
      <c r="R227" t="n">
        <v>1240</v>
      </c>
      <c r="S227" t="n">
        <v>1654</v>
      </c>
      <c r="T227" t="n">
        <v>0</v>
      </c>
    </row>
    <row r="228">
      <c r="O228" t="n">
        <v>227</v>
      </c>
      <c r="P228" t="inlineStr">
        <is>
          <t>24/04/2026</t>
        </is>
      </c>
      <c r="Q228" t="inlineStr">
        <is>
          <t>CD</t>
        </is>
      </c>
      <c r="R228" t="n">
        <v>559</v>
      </c>
      <c r="S228" t="n">
        <v>1976</v>
      </c>
      <c r="T228" t="n">
        <v>355</v>
      </c>
    </row>
    <row r="229">
      <c r="O229" t="n">
        <v>228</v>
      </c>
      <c r="P229" t="inlineStr">
        <is>
          <t>25/04/2026</t>
        </is>
      </c>
      <c r="Q229" t="inlineStr">
        <is>
          <t>CN</t>
        </is>
      </c>
      <c r="R229" t="n">
        <v>3</v>
      </c>
      <c r="S229" t="n">
        <v>355</v>
      </c>
      <c r="T229" t="n">
        <v>2522</v>
      </c>
    </row>
    <row r="230">
      <c r="O230" t="n">
        <v>229</v>
      </c>
      <c r="P230" t="inlineStr">
        <is>
          <t>25/04/2026</t>
        </is>
      </c>
      <c r="Q230" t="inlineStr">
        <is>
          <t>CD</t>
        </is>
      </c>
      <c r="R230" t="n">
        <v>0</v>
      </c>
      <c r="S230" t="n">
        <v>0</v>
      </c>
      <c r="T230" t="n">
        <v>2880</v>
      </c>
    </row>
    <row r="231">
      <c r="O231" t="n">
        <v>230</v>
      </c>
      <c r="P231" t="inlineStr">
        <is>
          <t>26/04/2026</t>
        </is>
      </c>
      <c r="Q231" t="inlineStr">
        <is>
          <t>CN</t>
        </is>
      </c>
      <c r="R231" t="n">
        <v>0</v>
      </c>
      <c r="S231" t="n">
        <v>0</v>
      </c>
      <c r="T231" t="n">
        <v>2880</v>
      </c>
    </row>
    <row r="232">
      <c r="O232" t="n">
        <v>231</v>
      </c>
      <c r="P232" t="inlineStr">
        <is>
          <t>26/04/2026</t>
        </is>
      </c>
      <c r="Q232" t="inlineStr">
        <is>
          <t>CD</t>
        </is>
      </c>
      <c r="R232" t="n">
        <v>0</v>
      </c>
      <c r="S232" t="n">
        <v>0</v>
      </c>
      <c r="T232" t="n">
        <v>2880</v>
      </c>
    </row>
    <row r="233">
      <c r="O233" t="n">
        <v>232</v>
      </c>
      <c r="P233" t="inlineStr">
        <is>
          <t>27/04/2026</t>
        </is>
      </c>
      <c r="Q233" t="inlineStr">
        <is>
          <t>CN</t>
        </is>
      </c>
      <c r="R233" t="n">
        <v>632</v>
      </c>
      <c r="S233" t="n">
        <v>1468</v>
      </c>
      <c r="T233" t="n">
        <v>800</v>
      </c>
    </row>
    <row r="234">
      <c r="O234" t="n">
        <v>233</v>
      </c>
      <c r="P234" t="inlineStr">
        <is>
          <t>27/04/2026</t>
        </is>
      </c>
      <c r="Q234" t="inlineStr">
        <is>
          <t>CD</t>
        </is>
      </c>
      <c r="R234" t="n">
        <v>807</v>
      </c>
      <c r="S234" t="n">
        <v>2095</v>
      </c>
      <c r="T234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T234"/>
  <sheetViews>
    <sheetView topLeftCell="D1" workbookViewId="0">
      <selection activeCell="K11" sqref="K11"/>
    </sheetView>
  </sheetViews>
  <sheetFormatPr baseColWidth="8" defaultRowHeight="14.75"/>
  <cols>
    <col width="3" bestFit="1" customWidth="1" min="1" max="1"/>
    <col width="10.86328125" bestFit="1" customWidth="1" min="2" max="3"/>
    <col width="34.08984375" bestFit="1" customWidth="1" min="4" max="4"/>
    <col width="30.54296875" bestFit="1" customWidth="1" min="5" max="5"/>
    <col width="22.6796875" bestFit="1" customWidth="1" min="6" max="6"/>
    <col width="8.31640625" bestFit="1" customWidth="1" min="11" max="11"/>
    <col width="11.54296875" bestFit="1" customWidth="1" min="12" max="12"/>
    <col width="10" bestFit="1" customWidth="1" min="13" max="13"/>
  </cols>
  <sheetData>
    <row r="1" customFormat="1" s="2">
      <c r="A1" s="3" t="inlineStr">
        <is>
          <t>ID</t>
        </is>
      </c>
      <c r="B1" s="3" t="inlineStr">
        <is>
          <t>Ngày tháng</t>
        </is>
      </c>
      <c r="C1" s="3" t="inlineStr">
        <is>
          <t>Ca làm việc</t>
        </is>
      </c>
      <c r="D1" s="3" t="inlineStr">
        <is>
          <t>Thời gian hoạt động không tải (phút)</t>
        </is>
      </c>
      <c r="E1" s="3" t="inlineStr">
        <is>
          <t>Thời gian hoạt động có tải (phút)</t>
        </is>
      </c>
      <c r="F1" s="3" t="inlineStr">
        <is>
          <t>Thời gian tắt máy (phút)</t>
        </is>
      </c>
      <c r="H1" s="3" t="inlineStr">
        <is>
          <t>Ngày - Ca</t>
        </is>
      </c>
      <c r="I1" s="3" t="inlineStr">
        <is>
          <t>Mục Tiêu C1</t>
        </is>
      </c>
      <c r="J1" s="3" t="inlineStr">
        <is>
          <t>Mục Tiêu C2</t>
        </is>
      </c>
      <c r="K1" s="3" t="inlineStr">
        <is>
          <t>% Có Tải</t>
        </is>
      </c>
      <c r="L1" s="3" t="inlineStr">
        <is>
          <t>% Không Tải</t>
        </is>
      </c>
      <c r="M1" s="3" t="inlineStr">
        <is>
          <t>% Tắt Máy</t>
        </is>
      </c>
    </row>
    <row r="2">
      <c r="A2" t="n">
        <v>1</v>
      </c>
      <c r="B2" t="inlineStr">
        <is>
          <t>01/04/2026</t>
        </is>
      </c>
      <c r="C2" t="inlineStr">
        <is>
          <t>CN</t>
        </is>
      </c>
      <c r="D2" t="n">
        <v>1261</v>
      </c>
      <c r="E2" t="n">
        <v>1622</v>
      </c>
      <c r="F2" t="n">
        <v>0</v>
      </c>
      <c r="H2" t="inlineStr">
        <is>
          <t>T1</t>
        </is>
      </c>
      <c r="I2" s="1" t="n">
        <v>0.68</v>
      </c>
      <c r="J2" s="1" t="n">
        <v>0.8423529411764706</v>
      </c>
      <c r="K2" s="1">
        <f>IFERROR(SUMIFS(S:S,P:P,"*/01/2026")/(SUMIFS(R:R,P:P,"*/01/2026")+SUMIFS(S:S,P:P,"*/01/2026")+SUMIFS(T:T,P:P,"*/01/2026")),"")</f>
        <v/>
      </c>
      <c r="L2" s="1">
        <f>IFERROR(SUMIFS(R:R,P:P,"*/01/2026")/(SUMIFS(R:R,P:P,"*/01/2026")+SUMIFS(S:S,P:P,"*/01/2026")+SUMIFS(T:T,P:P,"*/01/2026")),"")</f>
        <v/>
      </c>
      <c r="M2" s="1">
        <f>IFERROR(SUMIFS(T:T,P:P,"*/01/2026")/(SUMIFS(R:R,P:P,"*/01/2026")+SUMIFS(S:S,P:P,"*/01/2026")+SUMIFS(T:T,P:P,"*/01/2026")),"")</f>
        <v/>
      </c>
      <c r="O2" t="n">
        <v>1</v>
      </c>
      <c r="P2" t="inlineStr">
        <is>
          <t>01/01/2026</t>
        </is>
      </c>
      <c r="Q2" t="inlineStr">
        <is>
          <t>CN</t>
        </is>
      </c>
      <c r="R2" t="n">
        <v>0</v>
      </c>
      <c r="S2" t="n">
        <v>0</v>
      </c>
      <c r="T2" t="n">
        <v>2880</v>
      </c>
    </row>
    <row r="3">
      <c r="A3" t="n">
        <v>2</v>
      </c>
      <c r="B3" t="inlineStr">
        <is>
          <t>01/04/2026</t>
        </is>
      </c>
      <c r="C3" t="inlineStr">
        <is>
          <t>CD</t>
        </is>
      </c>
      <c r="D3" t="n">
        <v>579</v>
      </c>
      <c r="E3" t="n">
        <v>2301</v>
      </c>
      <c r="F3" t="n">
        <v>0</v>
      </c>
      <c r="H3" t="inlineStr">
        <is>
          <t>T2</t>
        </is>
      </c>
      <c r="I3" s="1" t="n">
        <v>0.68</v>
      </c>
      <c r="J3" s="1" t="n">
        <v>0.8423529411764706</v>
      </c>
      <c r="K3" s="1">
        <f>IFERROR(SUMIFS(S:S,P:P,"*/02/2026")/(SUMIFS(R:R,P:P,"*/02/2026")+SUMIFS(S:S,P:P,"*/02/2026")+SUMIFS(T:T,P:P,"*/02/2026")),"")</f>
        <v/>
      </c>
      <c r="L3" s="1">
        <f>IFERROR(SUMIFS(R:R,P:P,"*/02/2026")/(SUMIFS(R:R,P:P,"*/02/2026")+SUMIFS(S:S,P:P,"*/02/2026")+SUMIFS(T:T,P:P,"*/02/2026")),"")</f>
        <v/>
      </c>
      <c r="M3" s="1">
        <f>IFERROR(SUMIFS(T:T,P:P,"*/02/2026")/(SUMIFS(R:R,P:P,"*/02/2026")+SUMIFS(S:S,P:P,"*/02/2026")+SUMIFS(T:T,P:P,"*/02/2026")),"")</f>
        <v/>
      </c>
      <c r="O3" t="n">
        <v>2</v>
      </c>
      <c r="P3" t="inlineStr">
        <is>
          <t>01/01/2026</t>
        </is>
      </c>
      <c r="Q3" t="inlineStr">
        <is>
          <t>CD</t>
        </is>
      </c>
      <c r="R3" t="n">
        <v>164</v>
      </c>
      <c r="S3" t="n">
        <v>136</v>
      </c>
      <c r="T3" t="n">
        <v>2575</v>
      </c>
    </row>
    <row r="4">
      <c r="A4" t="n">
        <v>3</v>
      </c>
      <c r="B4" t="inlineStr">
        <is>
          <t>02/04/2026</t>
        </is>
      </c>
      <c r="C4" t="inlineStr">
        <is>
          <t>CN</t>
        </is>
      </c>
      <c r="D4" t="n">
        <v>1214</v>
      </c>
      <c r="E4" t="n">
        <v>1670</v>
      </c>
      <c r="F4" t="n">
        <v>0</v>
      </c>
      <c r="H4" t="inlineStr">
        <is>
          <t>T3</t>
        </is>
      </c>
      <c r="I4" s="1" t="n">
        <v>0.68</v>
      </c>
      <c r="J4" s="1" t="n">
        <v>0.8423529411764706</v>
      </c>
      <c r="K4" s="1">
        <f>IFERROR(SUMIFS(S:S,P:P,"*/03/2026")/(SUMIFS(R:R,P:P,"*/03/2026")+SUMIFS(S:S,P:P,"*/03/2026")+SUMIFS(T:T,P:P,"*/03/2026")),"")</f>
        <v/>
      </c>
      <c r="L4" s="1">
        <f>IFERROR(SUMIFS(R:R,P:P,"*/03/2026")/(SUMIFS(R:R,P:P,"*/03/2026")+SUMIFS(S:S,P:P,"*/03/2026")+SUMIFS(T:T,P:P,"*/03/2026")),"")</f>
        <v/>
      </c>
      <c r="M4" s="1">
        <f>IFERROR(SUMIFS(T:T,P:P,"*/03/2026")/(SUMIFS(R:R,P:P,"*/03/2026")+SUMIFS(S:S,P:P,"*/03/2026")+SUMIFS(T:T,P:P,"*/03/2026")),"")</f>
        <v/>
      </c>
      <c r="O4" t="n">
        <v>3</v>
      </c>
      <c r="P4" t="inlineStr">
        <is>
          <t>02/01/2026</t>
        </is>
      </c>
      <c r="Q4" t="inlineStr">
        <is>
          <t>CN</t>
        </is>
      </c>
      <c r="R4" t="n">
        <v>832</v>
      </c>
      <c r="S4" t="n">
        <v>2051</v>
      </c>
      <c r="T4" t="n">
        <v>0</v>
      </c>
    </row>
    <row r="5">
      <c r="A5" t="n">
        <v>4</v>
      </c>
      <c r="B5" t="inlineStr">
        <is>
          <t>02/04/2026</t>
        </is>
      </c>
      <c r="C5" t="inlineStr">
        <is>
          <t>CD</t>
        </is>
      </c>
      <c r="D5" t="n">
        <v>713</v>
      </c>
      <c r="E5" t="n">
        <v>2169</v>
      </c>
      <c r="F5" t="n">
        <v>0</v>
      </c>
      <c r="H5" t="inlineStr">
        <is>
          <t>T4</t>
        </is>
      </c>
      <c r="I5" s="1" t="n">
        <v>0.68</v>
      </c>
      <c r="J5" s="1" t="n">
        <v>0.8423529411764706</v>
      </c>
      <c r="K5" s="1">
        <f>IFERROR(SUMIFS(S:S,P:P,"*/04/2026")/(SUMIFS(R:R,P:P,"*/04/2026")+SUMIFS(S:S,P:P,"*/04/2026")+SUMIFS(T:T,P:P,"*/04/2026")),"")</f>
        <v/>
      </c>
      <c r="L5" s="1">
        <f>IFERROR(SUMIFS(R:R,P:P,"*/04/2026")/(SUMIFS(R:R,P:P,"*/04/2026")+SUMIFS(S:S,P:P,"*/04/2026")+SUMIFS(T:T,P:P,"*/04/2026")),"")</f>
        <v/>
      </c>
      <c r="M5" s="1">
        <f>IFERROR(SUMIFS(T:T,P:P,"*/04/2026")/(SUMIFS(R:R,P:P,"*/04/2026")+SUMIFS(S:S,P:P,"*/04/2026")+SUMIFS(T:T,P:P,"*/04/2026")),"")</f>
        <v/>
      </c>
      <c r="O5" t="n">
        <v>4</v>
      </c>
      <c r="P5" t="inlineStr">
        <is>
          <t>02/01/2026</t>
        </is>
      </c>
      <c r="Q5" t="inlineStr">
        <is>
          <t>CD</t>
        </is>
      </c>
      <c r="R5" t="n">
        <v>505</v>
      </c>
      <c r="S5" t="n">
        <v>1021</v>
      </c>
      <c r="T5" t="n">
        <v>1351</v>
      </c>
    </row>
    <row r="6">
      <c r="A6" t="n">
        <v>5</v>
      </c>
      <c r="B6" t="inlineStr">
        <is>
          <t>03/04/2026</t>
        </is>
      </c>
      <c r="C6" t="inlineStr">
        <is>
          <t>CN</t>
        </is>
      </c>
      <c r="D6" t="n">
        <v>1293</v>
      </c>
      <c r="E6" t="n">
        <v>1588</v>
      </c>
      <c r="F6" t="n">
        <v>0</v>
      </c>
      <c r="H6" t="inlineStr">
        <is>
          <t>T5</t>
        </is>
      </c>
      <c r="I6" s="1" t="n">
        <v>0.68</v>
      </c>
      <c r="J6" s="1" t="n">
        <v>0.8423529411764706</v>
      </c>
      <c r="K6" s="1">
        <f>IFERROR(SUMIFS(S:S,P:P,"*/05/2026")/(SUMIFS(R:R,P:P,"*/05/2026")+SUMIFS(S:S,P:P,"*/05/2026")+SUMIFS(T:T,P:P,"*/05/2026")),"")</f>
        <v/>
      </c>
      <c r="L6" s="1">
        <f>IFERROR(SUMIFS(R:R,P:P,"*/05/2026")/(SUMIFS(R:R,P:P,"*/05/2026")+SUMIFS(S:S,P:P,"*/05/2026")+SUMIFS(T:T,P:P,"*/05/2026")),"")</f>
        <v/>
      </c>
      <c r="M6" s="1">
        <f>IFERROR(SUMIFS(T:T,P:P,"*/05/2026")/(SUMIFS(R:R,P:P,"*/05/2026")+SUMIFS(S:S,P:P,"*/05/2026")+SUMIFS(T:T,P:P,"*/05/2026")),"")</f>
        <v/>
      </c>
      <c r="O6" t="n">
        <v>5</v>
      </c>
      <c r="P6" t="inlineStr">
        <is>
          <t>03/01/2026</t>
        </is>
      </c>
      <c r="Q6" t="inlineStr">
        <is>
          <t>CD</t>
        </is>
      </c>
      <c r="R6" t="n">
        <v>908</v>
      </c>
      <c r="S6" t="n">
        <v>3127</v>
      </c>
      <c r="T6" t="n">
        <v>647</v>
      </c>
    </row>
    <row r="7">
      <c r="A7" t="n">
        <v>6</v>
      </c>
      <c r="B7" t="inlineStr">
        <is>
          <t>03/04/2026</t>
        </is>
      </c>
      <c r="C7" t="inlineStr">
        <is>
          <t>CD</t>
        </is>
      </c>
      <c r="D7" t="n">
        <v>980</v>
      </c>
      <c r="E7" t="n">
        <v>1905</v>
      </c>
      <c r="F7" t="n">
        <v>0</v>
      </c>
      <c r="H7" t="inlineStr">
        <is>
          <t>T6</t>
        </is>
      </c>
      <c r="I7" s="1" t="n">
        <v>0.68</v>
      </c>
      <c r="J7" s="1" t="n">
        <v>0.8423529411764706</v>
      </c>
      <c r="K7" s="1">
        <f>IFERROR(SUMIFS(S:S,P:P,"*/06/2026")/(SUMIFS(R:R,P:P,"*/06/2026")+SUMIFS(S:S,P:P,"*/06/2026")+SUMIFS(T:T,P:P,"*/06/2026")),"")</f>
        <v/>
      </c>
      <c r="L7" s="1">
        <f>IFERROR(SUMIFS(R:R,P:P,"*/06/2026")/(SUMIFS(R:R,P:P,"*/06/2026")+SUMIFS(S:S,P:P,"*/06/2026")+SUMIFS(T:T,P:P,"*/06/2026")),"")</f>
        <v/>
      </c>
      <c r="M7" s="1">
        <f>IFERROR(SUMIFS(T:T,P:P,"*/06/2026")/(SUMIFS(R:R,P:P,"*/06/2026")+SUMIFS(S:S,P:P,"*/06/2026")+SUMIFS(T:T,P:P,"*/06/2026")),"")</f>
        <v/>
      </c>
      <c r="O7" t="n">
        <v>6</v>
      </c>
      <c r="P7" t="inlineStr">
        <is>
          <t>04/01/2026</t>
        </is>
      </c>
      <c r="Q7" t="inlineStr">
        <is>
          <t>CN</t>
        </is>
      </c>
      <c r="R7" t="n">
        <v>0</v>
      </c>
      <c r="S7" t="n">
        <v>0</v>
      </c>
      <c r="T7" t="n">
        <v>2880</v>
      </c>
    </row>
    <row r="8">
      <c r="A8" t="n">
        <v>7</v>
      </c>
      <c r="B8" t="inlineStr">
        <is>
          <t>04/04/2026</t>
        </is>
      </c>
      <c r="C8" t="inlineStr">
        <is>
          <t>CN</t>
        </is>
      </c>
      <c r="D8" t="n">
        <v>1176</v>
      </c>
      <c r="E8" t="n">
        <v>1703</v>
      </c>
      <c r="F8" t="n">
        <v>1</v>
      </c>
      <c r="H8" t="inlineStr">
        <is>
          <t>T7</t>
        </is>
      </c>
      <c r="I8" s="1" t="n">
        <v>0.68</v>
      </c>
      <c r="J8" s="1" t="n">
        <v>0.8423529411764706</v>
      </c>
      <c r="K8" s="1">
        <f>IFERROR(SUMIFS(S:S,P:P,"*/07/2026")/(SUMIFS(R:R,P:P,"*/07/2026")+SUMIFS(S:S,P:P,"*/07/2026")+SUMIFS(T:T,P:P,"*/07/2026")),"")</f>
        <v/>
      </c>
      <c r="L8" s="1">
        <f>IFERROR(SUMIFS(R:R,P:P,"*/07/2026")/(SUMIFS(R:R,P:P,"*/07/2026")+SUMIFS(S:S,P:P,"*/07/2026")+SUMIFS(T:T,P:P,"*/07/2026")),"")</f>
        <v/>
      </c>
      <c r="M8" s="1">
        <f>IFERROR(SUMIFS(T:T,P:P,"*/07/2026")/(SUMIFS(R:R,P:P,"*/07/2026")+SUMIFS(S:S,P:P,"*/07/2026")+SUMIFS(T:T,P:P,"*/07/2026")),"")</f>
        <v/>
      </c>
      <c r="O8" t="n">
        <v>7</v>
      </c>
      <c r="P8" t="inlineStr">
        <is>
          <t>04/01/2026</t>
        </is>
      </c>
      <c r="Q8" t="inlineStr">
        <is>
          <t>CD</t>
        </is>
      </c>
      <c r="R8" t="n">
        <v>0</v>
      </c>
      <c r="S8" t="n">
        <v>0</v>
      </c>
      <c r="T8" t="n">
        <v>2880</v>
      </c>
    </row>
    <row r="9">
      <c r="A9" t="n">
        <v>8</v>
      </c>
      <c r="B9" t="inlineStr">
        <is>
          <t>04/04/2026</t>
        </is>
      </c>
      <c r="C9" t="inlineStr">
        <is>
          <t>CD</t>
        </is>
      </c>
      <c r="D9" t="n">
        <v>740</v>
      </c>
      <c r="E9" t="n">
        <v>2140</v>
      </c>
      <c r="F9" t="n">
        <v>0</v>
      </c>
      <c r="H9" t="inlineStr">
        <is>
          <t>T8</t>
        </is>
      </c>
      <c r="I9" s="1" t="n">
        <v>0.68</v>
      </c>
      <c r="J9" s="1" t="n">
        <v>0.8423529411764706</v>
      </c>
      <c r="K9" s="1">
        <f>IFERROR(SUMIFS(S:S,P:P,"*/08/2026")/(SUMIFS(R:R,P:P,"*/08/2026")+SUMIFS(S:S,P:P,"*/08/2026")+SUMIFS(T:T,P:P,"*/08/2026")),"")</f>
        <v/>
      </c>
      <c r="L9" s="1">
        <f>IFERROR(SUMIFS(R:R,P:P,"*/08/2026")/(SUMIFS(R:R,P:P,"*/08/2026")+SUMIFS(S:S,P:P,"*/08/2026")+SUMIFS(T:T,P:P,"*/08/2026")),"")</f>
        <v/>
      </c>
      <c r="M9" s="1">
        <f>IFERROR(SUMIFS(T:T,P:P,"*/08/2026")/(SUMIFS(R:R,P:P,"*/08/2026")+SUMIFS(S:S,P:P,"*/08/2026")+SUMIFS(T:T,P:P,"*/08/2026")),"")</f>
        <v/>
      </c>
      <c r="O9" t="n">
        <v>8</v>
      </c>
      <c r="P9" t="inlineStr">
        <is>
          <t>05/01/2026</t>
        </is>
      </c>
      <c r="Q9" t="inlineStr">
        <is>
          <t>CN</t>
        </is>
      </c>
      <c r="R9" t="n">
        <v>423</v>
      </c>
      <c r="S9" t="n">
        <v>1670</v>
      </c>
      <c r="T9" t="n">
        <v>784</v>
      </c>
    </row>
    <row r="10">
      <c r="A10" t="n">
        <v>9</v>
      </c>
      <c r="B10" t="inlineStr">
        <is>
          <t>05/04/2026</t>
        </is>
      </c>
      <c r="C10" t="inlineStr">
        <is>
          <t>CN</t>
        </is>
      </c>
      <c r="D10" t="n">
        <v>1426</v>
      </c>
      <c r="E10" t="n">
        <v>1413</v>
      </c>
      <c r="F10" t="n">
        <v>41</v>
      </c>
      <c r="H10" t="inlineStr">
        <is>
          <t>T9</t>
        </is>
      </c>
      <c r="I10" s="1" t="n">
        <v>0.68</v>
      </c>
      <c r="J10" s="1" t="n">
        <v>0.8423529411764706</v>
      </c>
      <c r="K10" s="1">
        <f>IFERROR(SUMIFS(S:S,P:P,"*/09/2026")/(SUMIFS(R:R,P:P,"*/09/2026")+SUMIFS(S:S,P:P,"*/09/2026")+SUMIFS(T:T,P:P,"*/09/2026")),"")</f>
        <v/>
      </c>
      <c r="L10" s="1">
        <f>IFERROR(SUMIFS(R:R,P:P,"*/09/2026")/(SUMIFS(R:R,P:P,"*/09/2026")+SUMIFS(S:S,P:P,"*/09/2026")+SUMIFS(T:T,P:P,"*/09/2026")),"")</f>
        <v/>
      </c>
      <c r="M10" s="1">
        <f>IFERROR(SUMIFS(T:T,P:P,"*/09/2026")/(SUMIFS(R:R,P:P,"*/09/2026")+SUMIFS(S:S,P:P,"*/09/2026")+SUMIFS(T:T,P:P,"*/09/2026")),"")</f>
        <v/>
      </c>
      <c r="O10" t="n">
        <v>9</v>
      </c>
      <c r="P10" t="inlineStr">
        <is>
          <t>05/01/2026</t>
        </is>
      </c>
      <c r="Q10" t="inlineStr">
        <is>
          <t>CD</t>
        </is>
      </c>
      <c r="R10" t="n">
        <v>615</v>
      </c>
      <c r="S10" t="n">
        <v>1983</v>
      </c>
      <c r="T10" t="n">
        <v>248</v>
      </c>
    </row>
    <row r="11">
      <c r="A11" t="n">
        <v>10</v>
      </c>
      <c r="B11" t="inlineStr">
        <is>
          <t>05/04/2026</t>
        </is>
      </c>
      <c r="C11" t="inlineStr">
        <is>
          <t>CD</t>
        </is>
      </c>
      <c r="D11" t="n">
        <v>0</v>
      </c>
      <c r="E11" t="n">
        <v>85</v>
      </c>
      <c r="F11" t="n">
        <v>2793</v>
      </c>
      <c r="H11" t="inlineStr">
        <is>
          <t>T10</t>
        </is>
      </c>
      <c r="I11" s="1" t="n">
        <v>0.68</v>
      </c>
      <c r="J11" s="1" t="n">
        <v>0.8423529411764706</v>
      </c>
      <c r="K11" s="1">
        <f>IFERROR(SUMIFS(S:S,P:P,"*/10/2026")/(SUMIFS(R:R,P:P,"*/10/2026")+SUMIFS(S:S,P:P,"*/10/2026")+SUMIFS(T:T,P:P,"*/10/2026")),"")</f>
        <v/>
      </c>
      <c r="L11" s="1">
        <f>IFERROR(SUMIFS(R:R,P:P,"*/10/2026")/(SUMIFS(R:R,P:P,"*/10/2026")+SUMIFS(S:S,P:P,"*/10/2026")+SUMIFS(T:T,P:P,"*/10/2026")),"")</f>
        <v/>
      </c>
      <c r="M11" s="1">
        <f>IFERROR(SUMIFS(T:T,P:P,"*/10/2026")/(SUMIFS(R:R,P:P,"*/10/2026")+SUMIFS(S:S,P:P,"*/10/2026")+SUMIFS(T:T,P:P,"*/10/2026")),"")</f>
        <v/>
      </c>
      <c r="O11" t="n">
        <v>10</v>
      </c>
      <c r="P11" t="inlineStr">
        <is>
          <t>06/01/2026</t>
        </is>
      </c>
      <c r="Q11" t="inlineStr">
        <is>
          <t>CN</t>
        </is>
      </c>
      <c r="R11" t="n">
        <v>991</v>
      </c>
      <c r="S11" t="n">
        <v>1481</v>
      </c>
      <c r="T11" t="n">
        <v>409</v>
      </c>
    </row>
    <row r="12">
      <c r="A12" t="n">
        <v>11</v>
      </c>
      <c r="B12" t="inlineStr">
        <is>
          <t>06/04/2026</t>
        </is>
      </c>
      <c r="C12" t="inlineStr">
        <is>
          <t>CN</t>
        </is>
      </c>
      <c r="D12" t="n">
        <v>628</v>
      </c>
      <c r="E12" t="n">
        <v>1452</v>
      </c>
      <c r="F12" t="n">
        <v>800</v>
      </c>
      <c r="H12" t="inlineStr">
        <is>
          <t>T11</t>
        </is>
      </c>
      <c r="I12" s="1" t="n">
        <v>0.68</v>
      </c>
      <c r="J12" s="1" t="n">
        <v>0.8423529411764706</v>
      </c>
      <c r="K12" s="1">
        <f>IFERROR(SUMIFS(S:S,P:P,"*/11/2026")/(SUMIFS(R:R,P:P,"*/11/2026")+SUMIFS(S:S,P:P,"*/11/2026")+SUMIFS(T:T,P:P,"*/11/2026")),"")</f>
        <v/>
      </c>
      <c r="L12" s="1">
        <f>IFERROR(SUMIFS(R:R,P:P,"*/11/2026")/(SUMIFS(R:R,P:P,"*/11/2026")+SUMIFS(S:S,P:P,"*/11/2026")+SUMIFS(T:T,P:P,"*/11/2026")),"")</f>
        <v/>
      </c>
      <c r="M12" s="1">
        <f>IFERROR(SUMIFS(T:T,P:P,"*/11/2026")/(SUMIFS(R:R,P:P,"*/11/2026")+SUMIFS(S:S,P:P,"*/11/2026")+SUMIFS(T:T,P:P,"*/11/2026")),"")</f>
        <v/>
      </c>
      <c r="O12" t="n">
        <v>11</v>
      </c>
      <c r="P12" t="inlineStr">
        <is>
          <t>06/01/2026</t>
        </is>
      </c>
      <c r="Q12" t="inlineStr">
        <is>
          <t>CD</t>
        </is>
      </c>
      <c r="R12" t="n">
        <v>882</v>
      </c>
      <c r="S12" t="n">
        <v>2000</v>
      </c>
      <c r="T12" t="n">
        <v>0</v>
      </c>
    </row>
    <row r="13">
      <c r="A13" t="n">
        <v>12</v>
      </c>
      <c r="B13" t="inlineStr">
        <is>
          <t>06/04/2026</t>
        </is>
      </c>
      <c r="C13" t="inlineStr">
        <is>
          <t>CD</t>
        </is>
      </c>
      <c r="D13" t="n">
        <v>633</v>
      </c>
      <c r="E13" t="n">
        <v>2251</v>
      </c>
      <c r="F13" t="n">
        <v>0</v>
      </c>
      <c r="H13" t="inlineStr">
        <is>
          <t>T12</t>
        </is>
      </c>
      <c r="I13" s="1" t="n">
        <v>0.68</v>
      </c>
      <c r="J13" s="1" t="n">
        <v>0.8423529411764706</v>
      </c>
      <c r="K13" s="1">
        <f>IFERROR(SUMIFS(S:S,P:P,"*/12/2026")/(SUMIFS(R:R,P:P,"*/12/2026")+SUMIFS(S:S,P:P,"*/12/2026")+SUMIFS(T:T,P:P,"*/12/2026")),"")</f>
        <v/>
      </c>
      <c r="L13" s="1">
        <f>IFERROR(SUMIFS(R:R,P:P,"*/12/2026")/(SUMIFS(R:R,P:P,"*/12/2026")+SUMIFS(S:S,P:P,"*/12/2026")+SUMIFS(T:T,P:P,"*/12/2026")),"")</f>
        <v/>
      </c>
      <c r="M13" s="1">
        <f>IFERROR(SUMIFS(T:T,P:P,"*/12/2026")/(SUMIFS(R:R,P:P,"*/12/2026")+SUMIFS(S:S,P:P,"*/12/2026")+SUMIFS(T:T,P:P,"*/12/2026")),"")</f>
        <v/>
      </c>
      <c r="O13" t="n">
        <v>12</v>
      </c>
      <c r="P13" t="inlineStr">
        <is>
          <t>07/01/2026</t>
        </is>
      </c>
      <c r="Q13" t="inlineStr">
        <is>
          <t>CN</t>
        </is>
      </c>
      <c r="R13" t="n">
        <v>758</v>
      </c>
      <c r="S13" t="n">
        <v>642</v>
      </c>
      <c r="T13" t="n">
        <v>1475</v>
      </c>
    </row>
    <row r="14">
      <c r="A14" t="n">
        <v>13</v>
      </c>
      <c r="B14" t="inlineStr">
        <is>
          <t>07/04/2026</t>
        </is>
      </c>
      <c r="C14" t="inlineStr">
        <is>
          <t>CN</t>
        </is>
      </c>
      <c r="D14" t="n">
        <v>1378</v>
      </c>
      <c r="E14" t="n">
        <v>1507</v>
      </c>
      <c r="F14" t="n">
        <v>0</v>
      </c>
      <c r="H14">
        <f>IF(B2="","",TEXT(B2,"dd/mm")&amp; "-" &amp;IF(UPPER(TRIM(C2))="CN",1,IF(UPPER(TRIM(C2))="CD",2,"")))</f>
        <v/>
      </c>
      <c r="I14" s="1" t="n">
        <v>0.68</v>
      </c>
      <c r="J14" s="1" t="n">
        <v>0.8423529411764706</v>
      </c>
      <c r="K14" s="1">
        <f>IFERROR($E2/SUM($D2:$F2),"")</f>
        <v/>
      </c>
      <c r="L14" s="1">
        <f>IFERROR($D2/SUM($D2:$F2),"")</f>
        <v/>
      </c>
      <c r="M14" s="1">
        <f>IFERROR($F2/SUM($D2:$F2),"")</f>
        <v/>
      </c>
      <c r="O14" t="n">
        <v>13</v>
      </c>
      <c r="P14" t="inlineStr">
        <is>
          <t>07/01/2026</t>
        </is>
      </c>
      <c r="Q14" t="inlineStr">
        <is>
          <t>CD</t>
        </is>
      </c>
      <c r="R14" t="n">
        <v>0</v>
      </c>
      <c r="S14" t="n">
        <v>0</v>
      </c>
      <c r="T14" t="n">
        <v>2880</v>
      </c>
    </row>
    <row r="15">
      <c r="A15" t="n">
        <v>14</v>
      </c>
      <c r="B15" t="inlineStr">
        <is>
          <t>07/04/2026</t>
        </is>
      </c>
      <c r="C15" t="inlineStr">
        <is>
          <t>CD</t>
        </is>
      </c>
      <c r="D15" t="n">
        <v>866</v>
      </c>
      <c r="E15" t="n">
        <v>2017</v>
      </c>
      <c r="F15" t="n">
        <v>0</v>
      </c>
      <c r="H15">
        <f>IF(B3="","",TEXT(B3,"dd/mm") &amp; "-" &amp; IF(UPPER(TRIM(C3))="CN",1,IF(UPPER(TRIM(C3))="CD",2,"")))</f>
        <v/>
      </c>
      <c r="I15" s="1" t="n">
        <v>0.68</v>
      </c>
      <c r="J15" s="1" t="n">
        <v>0.8423529411764706</v>
      </c>
      <c r="K15" s="1">
        <f>IFERROR($E3/SUM($D3:$F3),"")</f>
        <v/>
      </c>
      <c r="L15" s="1">
        <f>IFERROR($D3/SUM($D3:$F3),"")</f>
        <v/>
      </c>
      <c r="M15" s="1">
        <f>IFERROR($F3/SUM($D3:$F3),"")</f>
        <v/>
      </c>
      <c r="O15" t="n">
        <v>14</v>
      </c>
      <c r="P15" t="inlineStr">
        <is>
          <t>08/01/2026</t>
        </is>
      </c>
      <c r="Q15" t="inlineStr">
        <is>
          <t>CN</t>
        </is>
      </c>
      <c r="R15" t="n">
        <v>524</v>
      </c>
      <c r="S15" t="n">
        <v>1542</v>
      </c>
      <c r="T15" t="n">
        <v>812</v>
      </c>
    </row>
    <row r="16">
      <c r="A16" t="n">
        <v>15</v>
      </c>
      <c r="B16" t="inlineStr">
        <is>
          <t>08/04/2026</t>
        </is>
      </c>
      <c r="C16" t="inlineStr">
        <is>
          <t>CN</t>
        </is>
      </c>
      <c r="D16" t="n">
        <v>1172</v>
      </c>
      <c r="E16" t="n">
        <v>1708</v>
      </c>
      <c r="F16" t="n">
        <v>0</v>
      </c>
      <c r="H16">
        <f>IF(B4="","",TEXT(B4,"dd/mm") &amp; "-" &amp; IF(UPPER(TRIM(C4))="CN",1,IF(UPPER(TRIM(C4))="CD",2,"")))</f>
        <v/>
      </c>
      <c r="I16" s="1" t="n">
        <v>0.68</v>
      </c>
      <c r="J16" s="1" t="n">
        <v>0.8423529411764706</v>
      </c>
      <c r="K16" s="1">
        <f>IFERROR($E4/SUM($D4:$F4),"")</f>
        <v/>
      </c>
      <c r="L16" s="1">
        <f>IFERROR($D4/SUM($D4:$F4),"")</f>
        <v/>
      </c>
      <c r="M16" s="1">
        <f>IFERROR($F4/SUM($D4:$F4),"")</f>
        <v/>
      </c>
      <c r="O16" t="n">
        <v>15</v>
      </c>
      <c r="P16" t="inlineStr">
        <is>
          <t>08/01/2026</t>
        </is>
      </c>
      <c r="Q16" t="inlineStr">
        <is>
          <t>CD</t>
        </is>
      </c>
      <c r="R16" t="n">
        <v>945</v>
      </c>
      <c r="S16" t="n">
        <v>1938</v>
      </c>
      <c r="T16" t="n">
        <v>0</v>
      </c>
    </row>
    <row r="17">
      <c r="A17" t="n">
        <v>16</v>
      </c>
      <c r="B17" t="inlineStr">
        <is>
          <t>08/04/2026</t>
        </is>
      </c>
      <c r="C17" t="inlineStr">
        <is>
          <t>CD</t>
        </is>
      </c>
      <c r="D17" t="n">
        <v>782</v>
      </c>
      <c r="E17" t="n">
        <v>2102</v>
      </c>
      <c r="F17" t="n">
        <v>0</v>
      </c>
      <c r="H17">
        <f>IF(B5="","",TEXT(B5,"dd/mm") &amp; "-" &amp; IF(UPPER(TRIM(C5))="CN",1,IF(UPPER(TRIM(C5))="CD",2,"")))</f>
        <v/>
      </c>
      <c r="I17" s="1" t="n">
        <v>0.68</v>
      </c>
      <c r="J17" s="1" t="n">
        <v>0.8423529411764706</v>
      </c>
      <c r="K17" s="1">
        <f>IFERROR($E5/SUM($D5:$F5),"")</f>
        <v/>
      </c>
      <c r="L17" s="1">
        <f>IFERROR($D5/SUM($D5:$F5),"")</f>
        <v/>
      </c>
      <c r="M17" s="1">
        <f>IFERROR($F5/SUM($D5:$F5),"")</f>
        <v/>
      </c>
      <c r="O17" t="n">
        <v>16</v>
      </c>
      <c r="P17" t="inlineStr">
        <is>
          <t>09/01/2026</t>
        </is>
      </c>
      <c r="Q17" t="inlineStr">
        <is>
          <t>CN</t>
        </is>
      </c>
      <c r="R17" t="n">
        <v>1363</v>
      </c>
      <c r="S17" t="n">
        <v>1517</v>
      </c>
      <c r="T17" t="n">
        <v>0</v>
      </c>
    </row>
    <row r="18">
      <c r="A18" t="n">
        <v>17</v>
      </c>
      <c r="B18" t="inlineStr">
        <is>
          <t>09/04/2026</t>
        </is>
      </c>
      <c r="C18" t="inlineStr">
        <is>
          <t>CN</t>
        </is>
      </c>
      <c r="D18" t="n">
        <v>1194</v>
      </c>
      <c r="E18" t="n">
        <v>1689</v>
      </c>
      <c r="F18" t="n">
        <v>0</v>
      </c>
      <c r="H18">
        <f>IF(B6="","",TEXT(B6,"dd/mm") &amp; "-" &amp; IF(UPPER(TRIM(C6))="CN",1,IF(UPPER(TRIM(C6))="CD",2,"")))</f>
        <v/>
      </c>
      <c r="I18" s="1" t="n">
        <v>0.68</v>
      </c>
      <c r="J18" s="1" t="n">
        <v>0.8423529411764706</v>
      </c>
      <c r="K18" s="1">
        <f>IFERROR($E6/SUM($D6:$F6),"")</f>
        <v/>
      </c>
      <c r="L18" s="1">
        <f>IFERROR($D6/SUM($D6:$F6),"")</f>
        <v/>
      </c>
      <c r="M18" s="1">
        <f>IFERROR($F6/SUM($D6:$F6),"")</f>
        <v/>
      </c>
      <c r="O18" t="n">
        <v>17</v>
      </c>
      <c r="P18" t="inlineStr">
        <is>
          <t>09/01/2026</t>
        </is>
      </c>
      <c r="Q18" t="inlineStr">
        <is>
          <t>CD</t>
        </is>
      </c>
      <c r="R18" t="n">
        <v>1090</v>
      </c>
      <c r="S18" t="n">
        <v>1790</v>
      </c>
      <c r="T18" t="n">
        <v>0</v>
      </c>
    </row>
    <row r="19">
      <c r="A19" t="n">
        <v>18</v>
      </c>
      <c r="B19" t="inlineStr">
        <is>
          <t>09/04/2026</t>
        </is>
      </c>
      <c r="C19" t="inlineStr">
        <is>
          <t>CD</t>
        </is>
      </c>
      <c r="D19" t="n">
        <v>777</v>
      </c>
      <c r="E19" t="n">
        <v>2106</v>
      </c>
      <c r="F19" t="n">
        <v>0</v>
      </c>
      <c r="H19">
        <f>IF(B7="","",TEXT(B7,"dd/mm") &amp; "-" &amp; IF(UPPER(TRIM(C7))="CN",1,IF(UPPER(TRIM(C7))="CD",2,"")))</f>
        <v/>
      </c>
      <c r="I19" s="1" t="n">
        <v>0.68</v>
      </c>
      <c r="J19" s="1" t="n">
        <v>0.8423529411764706</v>
      </c>
      <c r="K19" s="1">
        <f>IFERROR($E7/SUM($D7:$F7),"")</f>
        <v/>
      </c>
      <c r="L19" s="1">
        <f>IFERROR($D7/SUM($D7:$F7),"")</f>
        <v/>
      </c>
      <c r="M19" s="1">
        <f>IFERROR($F7/SUM($D7:$F7),"")</f>
        <v/>
      </c>
      <c r="O19" t="n">
        <v>18</v>
      </c>
      <c r="P19" t="inlineStr">
        <is>
          <t>10/01/2026</t>
        </is>
      </c>
      <c r="Q19" t="inlineStr">
        <is>
          <t>CN</t>
        </is>
      </c>
      <c r="R19" t="n">
        <v>1434</v>
      </c>
      <c r="S19" t="n">
        <v>1426</v>
      </c>
      <c r="T19" t="n">
        <v>16</v>
      </c>
    </row>
    <row r="20">
      <c r="A20" t="n">
        <v>19</v>
      </c>
      <c r="B20" t="inlineStr">
        <is>
          <t>10/04/2026</t>
        </is>
      </c>
      <c r="C20" t="inlineStr">
        <is>
          <t>CN</t>
        </is>
      </c>
      <c r="D20" t="n">
        <v>907</v>
      </c>
      <c r="E20" t="n">
        <v>1973</v>
      </c>
      <c r="F20" t="n">
        <v>0</v>
      </c>
      <c r="H20">
        <f>IF(B8="","",TEXT(B8,"dd/mm") &amp; "-" &amp; IF(UPPER(TRIM(C8))="CN",1,IF(UPPER(TRIM(C8))="CD",2,"")))</f>
        <v/>
      </c>
      <c r="I20" s="1" t="n">
        <v>0.68</v>
      </c>
      <c r="J20" s="1" t="n">
        <v>0.8423529411764706</v>
      </c>
      <c r="K20" s="1">
        <f>IFERROR($E8/SUM($D8:$F8),"")</f>
        <v/>
      </c>
      <c r="L20" s="1">
        <f>IFERROR($D8/SUM($D8:$F8),"")</f>
        <v/>
      </c>
      <c r="M20" s="1">
        <f>IFERROR($F8/SUM($D8:$F8),"")</f>
        <v/>
      </c>
      <c r="O20" t="n">
        <v>19</v>
      </c>
      <c r="P20" t="inlineStr">
        <is>
          <t>10/01/2026</t>
        </is>
      </c>
      <c r="Q20" t="inlineStr">
        <is>
          <t>CD</t>
        </is>
      </c>
      <c r="R20" t="n">
        <v>0</v>
      </c>
      <c r="S20" t="n">
        <v>0</v>
      </c>
      <c r="T20" t="n">
        <v>2880</v>
      </c>
    </row>
    <row r="21">
      <c r="A21" t="n">
        <v>20</v>
      </c>
      <c r="B21" t="inlineStr">
        <is>
          <t>10/04/2026</t>
        </is>
      </c>
      <c r="C21" t="inlineStr">
        <is>
          <t>CD</t>
        </is>
      </c>
      <c r="D21" t="n">
        <v>569</v>
      </c>
      <c r="E21" t="n">
        <v>2236</v>
      </c>
      <c r="F21" t="n">
        <v>75</v>
      </c>
      <c r="H21">
        <f>IF(B9="","",TEXT(B9,"dd/mm") &amp; "-" &amp; IF(UPPER(TRIM(C9))="CN",1,IF(UPPER(TRIM(C9))="CD",2,"")))</f>
        <v/>
      </c>
      <c r="I21" s="1" t="n">
        <v>0.68</v>
      </c>
      <c r="J21" s="1" t="n">
        <v>0.8423529411764706</v>
      </c>
      <c r="K21" s="1">
        <f>IFERROR($E9/SUM($D9:$F9),"")</f>
        <v/>
      </c>
      <c r="L21" s="1">
        <f>IFERROR($D9/SUM($D9:$F9),"")</f>
        <v/>
      </c>
      <c r="M21" s="1">
        <f>IFERROR($F9/SUM($D9:$F9),"")</f>
        <v/>
      </c>
      <c r="O21" t="n">
        <v>20</v>
      </c>
      <c r="P21" t="inlineStr">
        <is>
          <t>11/01/2026</t>
        </is>
      </c>
      <c r="Q21" t="inlineStr">
        <is>
          <t>CN</t>
        </is>
      </c>
      <c r="R21" t="n">
        <v>0</v>
      </c>
      <c r="S21" t="n">
        <v>0</v>
      </c>
      <c r="T21" t="n">
        <v>2880</v>
      </c>
    </row>
    <row r="22">
      <c r="A22" t="n">
        <v>21</v>
      </c>
      <c r="B22" t="inlineStr">
        <is>
          <t>11/04/2026</t>
        </is>
      </c>
      <c r="C22" t="inlineStr">
        <is>
          <t>CN</t>
        </is>
      </c>
      <c r="D22" t="n">
        <v>1087</v>
      </c>
      <c r="E22" t="n">
        <v>1556</v>
      </c>
      <c r="F22" t="n">
        <v>236</v>
      </c>
      <c r="H22">
        <f>IF(B10="","",TEXT(B10,"dd/mm") &amp; "-" &amp; IF(UPPER(TRIM(C10))="CN",1,IF(UPPER(TRIM(C10))="CD",2,"")))</f>
        <v/>
      </c>
      <c r="I22" s="1" t="n">
        <v>0.68</v>
      </c>
      <c r="J22" s="1" t="n">
        <v>0.8423529411764706</v>
      </c>
      <c r="K22" s="1">
        <f>IFERROR($E10/SUM($D10:$F10),"")</f>
        <v/>
      </c>
      <c r="L22" s="1">
        <f>IFERROR($D10/SUM($D10:$F10),"")</f>
        <v/>
      </c>
      <c r="M22" s="1">
        <f>IFERROR($F10/SUM($D10:$F10),"")</f>
        <v/>
      </c>
      <c r="O22" t="n">
        <v>21</v>
      </c>
      <c r="P22" t="inlineStr">
        <is>
          <t>11/01/2026</t>
        </is>
      </c>
      <c r="Q22" t="inlineStr">
        <is>
          <t>CD</t>
        </is>
      </c>
      <c r="R22" t="n">
        <v>0</v>
      </c>
      <c r="S22" t="n">
        <v>0</v>
      </c>
      <c r="T22" t="n">
        <v>2880</v>
      </c>
    </row>
    <row r="23">
      <c r="A23" t="n">
        <v>22</v>
      </c>
      <c r="B23" t="inlineStr">
        <is>
          <t>11/04/2026</t>
        </is>
      </c>
      <c r="C23" t="inlineStr">
        <is>
          <t>CD</t>
        </is>
      </c>
      <c r="D23" t="n">
        <v>975</v>
      </c>
      <c r="E23" t="n">
        <v>1901</v>
      </c>
      <c r="F23" t="n">
        <v>0</v>
      </c>
      <c r="H23">
        <f>IF(B11="","",TEXT(B11,"dd/mm") &amp; "-" &amp; IF(UPPER(TRIM(C11))="CN",1,IF(UPPER(TRIM(C11))="CD",2,"")))</f>
        <v/>
      </c>
      <c r="I23" s="1" t="n">
        <v>0.68</v>
      </c>
      <c r="J23" s="1" t="n">
        <v>0.8423529411764706</v>
      </c>
      <c r="K23" s="1">
        <f>IFERROR($E11/SUM($D11:$F11),"")</f>
        <v/>
      </c>
      <c r="L23" s="1">
        <f>IFERROR($D11/SUM($D11:$F11),"")</f>
        <v/>
      </c>
      <c r="M23" s="1">
        <f>IFERROR($F11/SUM($D11:$F11),"")</f>
        <v/>
      </c>
      <c r="O23" t="n">
        <v>22</v>
      </c>
      <c r="P23" t="inlineStr">
        <is>
          <t>12/01/2026</t>
        </is>
      </c>
      <c r="Q23" t="inlineStr">
        <is>
          <t>CN</t>
        </is>
      </c>
      <c r="R23" t="n">
        <v>683</v>
      </c>
      <c r="S23" t="n">
        <v>1374</v>
      </c>
      <c r="T23" t="n">
        <v>824</v>
      </c>
    </row>
    <row r="24">
      <c r="A24" t="n">
        <v>23</v>
      </c>
      <c r="B24" t="inlineStr">
        <is>
          <t>12/04/2026</t>
        </is>
      </c>
      <c r="C24" t="inlineStr">
        <is>
          <t>CN</t>
        </is>
      </c>
      <c r="D24" t="n">
        <v>1213</v>
      </c>
      <c r="E24" t="n">
        <v>1665</v>
      </c>
      <c r="F24" t="n">
        <v>0</v>
      </c>
      <c r="H24">
        <f>IF(B12="","",TEXT(B12,"dd/mm") &amp; "-" &amp; IF(UPPER(TRIM(C12))="CN",1,IF(UPPER(TRIM(C12))="CD",2,"")))</f>
        <v/>
      </c>
      <c r="I24" s="1" t="n">
        <v>0.68</v>
      </c>
      <c r="J24" s="1" t="n">
        <v>0.8423529411764706</v>
      </c>
      <c r="K24" s="1">
        <f>IFERROR($E12/SUM($D12:$F12),"")</f>
        <v/>
      </c>
      <c r="L24" s="1">
        <f>IFERROR($D12/SUM($D12:$F12),"")</f>
        <v/>
      </c>
      <c r="M24" s="1">
        <f>IFERROR($F12/SUM($D12:$F12),"")</f>
        <v/>
      </c>
      <c r="O24" t="n">
        <v>23</v>
      </c>
      <c r="P24" t="inlineStr">
        <is>
          <t>12/01/2026</t>
        </is>
      </c>
      <c r="Q24" t="inlineStr">
        <is>
          <t>CD</t>
        </is>
      </c>
      <c r="R24" t="n">
        <v>1084</v>
      </c>
      <c r="S24" t="n">
        <v>1796</v>
      </c>
      <c r="T24" t="n">
        <v>0</v>
      </c>
    </row>
    <row r="25">
      <c r="A25" t="n">
        <v>24</v>
      </c>
      <c r="B25" t="inlineStr">
        <is>
          <t>12/04/2026</t>
        </is>
      </c>
      <c r="C25" t="inlineStr">
        <is>
          <t>CD</t>
        </is>
      </c>
      <c r="D25" t="n">
        <v>2233</v>
      </c>
      <c r="E25" t="n">
        <v>94</v>
      </c>
      <c r="F25" t="n">
        <v>548</v>
      </c>
      <c r="H25">
        <f>IF(B13="","",TEXT(B13,"dd/mm") &amp; "-" &amp; IF(UPPER(TRIM(C13))="CN",1,IF(UPPER(TRIM(C13))="CD",2,"")))</f>
        <v/>
      </c>
      <c r="I25" s="1" t="n">
        <v>0.68</v>
      </c>
      <c r="J25" s="1" t="n">
        <v>0.8423529411764706</v>
      </c>
      <c r="K25" s="1">
        <f>IFERROR($E13/SUM($D13:$F13),"")</f>
        <v/>
      </c>
      <c r="L25" s="1">
        <f>IFERROR($D13/SUM($D13:$F13),"")</f>
        <v/>
      </c>
      <c r="M25" s="1">
        <f>IFERROR($F13/SUM($D13:$F13),"")</f>
        <v/>
      </c>
      <c r="O25" t="n">
        <v>24</v>
      </c>
      <c r="P25" t="inlineStr">
        <is>
          <t>13/01/2026</t>
        </is>
      </c>
      <c r="Q25" t="inlineStr">
        <is>
          <t>CN</t>
        </is>
      </c>
      <c r="R25" t="n">
        <v>1197</v>
      </c>
      <c r="S25" t="n">
        <v>1684</v>
      </c>
      <c r="T25" t="n">
        <v>0</v>
      </c>
    </row>
    <row r="26">
      <c r="A26" t="n">
        <v>25</v>
      </c>
      <c r="B26" t="inlineStr">
        <is>
          <t>13/04/2026</t>
        </is>
      </c>
      <c r="C26" t="inlineStr">
        <is>
          <t>CN</t>
        </is>
      </c>
      <c r="D26" t="n">
        <v>1210</v>
      </c>
      <c r="E26" t="n">
        <v>1471</v>
      </c>
      <c r="F26" t="n">
        <v>201</v>
      </c>
      <c r="H26">
        <f>IF(B14="","",TEXT(B14,"dd/mm") &amp; "-" &amp; IF(UPPER(TRIM(C14))="CN",1,IF(UPPER(TRIM(C14))="CD",2,"")))</f>
        <v/>
      </c>
      <c r="I26" s="1" t="n">
        <v>0.68</v>
      </c>
      <c r="J26" s="1" t="n">
        <v>0.8423529411764706</v>
      </c>
      <c r="K26" s="1">
        <f>IFERROR($E14/SUM($D14:$F14),"")</f>
        <v/>
      </c>
      <c r="L26" s="1">
        <f>IFERROR($D14/SUM($D14:$F14),"")</f>
        <v/>
      </c>
      <c r="M26" s="1">
        <f>IFERROR($F14/SUM($D14:$F14),"")</f>
        <v/>
      </c>
      <c r="O26" t="n">
        <v>25</v>
      </c>
      <c r="P26" t="inlineStr">
        <is>
          <t>13/01/2026</t>
        </is>
      </c>
      <c r="Q26" t="inlineStr">
        <is>
          <t>CD</t>
        </is>
      </c>
      <c r="R26" t="n">
        <v>932</v>
      </c>
      <c r="S26" t="n">
        <v>1946</v>
      </c>
      <c r="T26" t="n">
        <v>4</v>
      </c>
    </row>
    <row r="27">
      <c r="A27" t="n">
        <v>26</v>
      </c>
      <c r="B27" t="inlineStr">
        <is>
          <t>13/04/2026</t>
        </is>
      </c>
      <c r="C27" t="inlineStr">
        <is>
          <t>CD</t>
        </is>
      </c>
      <c r="D27" t="n">
        <v>910</v>
      </c>
      <c r="E27" t="n">
        <v>1973</v>
      </c>
      <c r="F27" t="n">
        <v>0</v>
      </c>
      <c r="H27">
        <f>IF(B15="","",TEXT(B15,"dd/mm") &amp; "-" &amp; IF(UPPER(TRIM(C15))="CN",1,IF(UPPER(TRIM(C15))="CD",2,"")))</f>
        <v/>
      </c>
      <c r="I27" s="1" t="n">
        <v>0.68</v>
      </c>
      <c r="J27" s="1" t="n">
        <v>0.8423529411764706</v>
      </c>
      <c r="K27" s="1">
        <f>IFERROR($E15/SUM($D15:$F15),"")</f>
        <v/>
      </c>
      <c r="L27" s="1">
        <f>IFERROR($D15/SUM($D15:$F15),"")</f>
        <v/>
      </c>
      <c r="M27" s="1">
        <f>IFERROR($F15/SUM($D15:$F15),"")</f>
        <v/>
      </c>
      <c r="O27" t="n">
        <v>26</v>
      </c>
      <c r="P27" t="inlineStr">
        <is>
          <t>14/01/2026</t>
        </is>
      </c>
      <c r="Q27" t="inlineStr">
        <is>
          <t>CN</t>
        </is>
      </c>
      <c r="R27" t="n">
        <v>1375</v>
      </c>
      <c r="S27" t="n">
        <v>1506</v>
      </c>
      <c r="T27" t="n">
        <v>0</v>
      </c>
    </row>
    <row r="28">
      <c r="A28" t="n">
        <v>27</v>
      </c>
      <c r="B28" t="inlineStr">
        <is>
          <t>14/04/2026</t>
        </is>
      </c>
      <c r="C28" t="inlineStr">
        <is>
          <t>CN</t>
        </is>
      </c>
      <c r="D28" t="n">
        <v>1283</v>
      </c>
      <c r="E28" t="n">
        <v>1603</v>
      </c>
      <c r="F28" t="n">
        <v>0</v>
      </c>
      <c r="H28">
        <f>IF(B16="","",TEXT(B16,"dd/mm") &amp; "-" &amp; IF(UPPER(TRIM(C16))="CN",1,IF(UPPER(TRIM(C16))="CD",2,"")))</f>
        <v/>
      </c>
      <c r="I28" s="1" t="n">
        <v>0.68</v>
      </c>
      <c r="J28" s="1" t="n">
        <v>0.8423529411764706</v>
      </c>
      <c r="K28" s="1">
        <f>IFERROR($E16/SUM($D16:$F16),"")</f>
        <v/>
      </c>
      <c r="L28" s="1">
        <f>IFERROR($D16/SUM($D16:$F16),"")</f>
        <v/>
      </c>
      <c r="M28" s="1">
        <f>IFERROR($F16/SUM($D16:$F16),"")</f>
        <v/>
      </c>
      <c r="O28" t="n">
        <v>27</v>
      </c>
      <c r="P28" t="inlineStr">
        <is>
          <t>14/01/2026</t>
        </is>
      </c>
      <c r="Q28" t="inlineStr">
        <is>
          <t>CD</t>
        </is>
      </c>
      <c r="R28" t="n">
        <v>1219</v>
      </c>
      <c r="S28" t="n">
        <v>1663</v>
      </c>
      <c r="T28" t="n">
        <v>0</v>
      </c>
    </row>
    <row r="29">
      <c r="A29" t="n">
        <v>28</v>
      </c>
      <c r="B29" t="inlineStr">
        <is>
          <t>14/04/2026</t>
        </is>
      </c>
      <c r="C29" t="inlineStr">
        <is>
          <t>CD</t>
        </is>
      </c>
      <c r="D29" t="n">
        <v>825</v>
      </c>
      <c r="E29" t="n">
        <v>2060</v>
      </c>
      <c r="F29" t="n">
        <v>0</v>
      </c>
      <c r="H29">
        <f>IF(B17="","",TEXT(B17,"dd/mm") &amp; "-" &amp; IF(UPPER(TRIM(C17))="CN",1,IF(UPPER(TRIM(C17))="CD",2,"")))</f>
        <v/>
      </c>
      <c r="I29" s="1" t="n">
        <v>0.68</v>
      </c>
      <c r="J29" s="1" t="n">
        <v>0.8423529411764706</v>
      </c>
      <c r="K29" s="1">
        <f>IFERROR($E17/SUM($D17:$F17),"")</f>
        <v/>
      </c>
      <c r="L29" s="1">
        <f>IFERROR($D17/SUM($D17:$F17),"")</f>
        <v/>
      </c>
      <c r="M29" s="1">
        <f>IFERROR($F17/SUM($D17:$F17),"")</f>
        <v/>
      </c>
      <c r="O29" t="n">
        <v>28</v>
      </c>
      <c r="P29" t="inlineStr">
        <is>
          <t>15/01/2026</t>
        </is>
      </c>
      <c r="Q29" t="inlineStr">
        <is>
          <t>CN</t>
        </is>
      </c>
      <c r="R29" t="n">
        <v>1292</v>
      </c>
      <c r="S29" t="n">
        <v>1591</v>
      </c>
      <c r="T29" t="n">
        <v>0</v>
      </c>
    </row>
    <row r="30">
      <c r="A30" t="n">
        <v>29</v>
      </c>
      <c r="B30" t="inlineStr">
        <is>
          <t>15/04/2026</t>
        </is>
      </c>
      <c r="C30" t="inlineStr">
        <is>
          <t>CN</t>
        </is>
      </c>
      <c r="D30" t="n">
        <v>1075</v>
      </c>
      <c r="E30" t="n">
        <v>1805</v>
      </c>
      <c r="F30" t="n">
        <v>0</v>
      </c>
      <c r="H30">
        <f>IF(B18="","",TEXT(B18,"dd/mm") &amp; "-" &amp; IF(UPPER(TRIM(C18))="CN",1,IF(UPPER(TRIM(C18))="CD",2,"")))</f>
        <v/>
      </c>
      <c r="I30" s="1" t="n">
        <v>0.68</v>
      </c>
      <c r="J30" s="1" t="n">
        <v>0.8423529411764706</v>
      </c>
      <c r="K30" s="1">
        <f>IFERROR($E18/SUM($D18:$F18),"")</f>
        <v/>
      </c>
      <c r="L30" s="1">
        <f>IFERROR($D18/SUM($D18:$F18),"")</f>
        <v/>
      </c>
      <c r="M30" s="1">
        <f>IFERROR($F18/SUM($D18:$F18),"")</f>
        <v/>
      </c>
      <c r="O30" t="n">
        <v>29</v>
      </c>
      <c r="P30" t="inlineStr">
        <is>
          <t>15/01/2026</t>
        </is>
      </c>
      <c r="Q30" t="inlineStr">
        <is>
          <t>CD</t>
        </is>
      </c>
      <c r="R30" t="n">
        <v>929</v>
      </c>
      <c r="S30" t="n">
        <v>1954</v>
      </c>
      <c r="T30" t="n">
        <v>0</v>
      </c>
    </row>
    <row r="31">
      <c r="A31" t="n">
        <v>30</v>
      </c>
      <c r="B31" t="inlineStr">
        <is>
          <t>15/04/2026</t>
        </is>
      </c>
      <c r="C31" t="inlineStr">
        <is>
          <t>CD</t>
        </is>
      </c>
      <c r="D31" t="n">
        <v>822</v>
      </c>
      <c r="E31" t="n">
        <v>2060</v>
      </c>
      <c r="F31" t="n">
        <v>0</v>
      </c>
      <c r="H31">
        <f>IF(B19="","",TEXT(B19,"dd/mm") &amp; "-" &amp; IF(UPPER(TRIM(C19))="CN",1,IF(UPPER(TRIM(C19))="CD",2,"")))</f>
        <v/>
      </c>
      <c r="I31" s="1" t="n">
        <v>0.68</v>
      </c>
      <c r="J31" s="1" t="n">
        <v>0.8423529411764706</v>
      </c>
      <c r="K31" s="1">
        <f>IFERROR($E19/SUM($D19:$F19),"")</f>
        <v/>
      </c>
      <c r="L31" s="1">
        <f>IFERROR($D19/SUM($D19:$F19),"")</f>
        <v/>
      </c>
      <c r="M31" s="1">
        <f>IFERROR($F19/SUM($D19:$F19),"")</f>
        <v/>
      </c>
      <c r="O31" t="n">
        <v>30</v>
      </c>
      <c r="P31" t="inlineStr">
        <is>
          <t>16/01/2026</t>
        </is>
      </c>
      <c r="Q31" t="inlineStr">
        <is>
          <t>CN</t>
        </is>
      </c>
      <c r="R31" t="n">
        <v>1165</v>
      </c>
      <c r="S31" t="n">
        <v>1718</v>
      </c>
      <c r="T31" t="n">
        <v>0</v>
      </c>
    </row>
    <row r="32">
      <c r="A32" t="n">
        <v>31</v>
      </c>
      <c r="B32" t="inlineStr">
        <is>
          <t>16/04/2026</t>
        </is>
      </c>
      <c r="C32" t="inlineStr">
        <is>
          <t>CN</t>
        </is>
      </c>
      <c r="D32" t="n">
        <v>1366</v>
      </c>
      <c r="E32" t="n">
        <v>1511</v>
      </c>
      <c r="F32" t="n">
        <v>1</v>
      </c>
      <c r="H32">
        <f>IF(B20="","",TEXT(B20,"dd/mm") &amp; "-" &amp; IF(UPPER(TRIM(C20))="CN",1,IF(UPPER(TRIM(C20))="CD",2,"")))</f>
        <v/>
      </c>
      <c r="I32" s="1" t="n">
        <v>0.68</v>
      </c>
      <c r="J32" s="1" t="n">
        <v>0.8423529411764706</v>
      </c>
      <c r="K32" s="1">
        <f>IFERROR($E20/SUM($D20:$F20),"")</f>
        <v/>
      </c>
      <c r="L32" s="1">
        <f>IFERROR($D20/SUM($D20:$F20),"")</f>
        <v/>
      </c>
      <c r="M32" s="1">
        <f>IFERROR($F20/SUM($D20:$F20),"")</f>
        <v/>
      </c>
      <c r="O32" t="n">
        <v>31</v>
      </c>
      <c r="P32" t="inlineStr">
        <is>
          <t>16/01/2026</t>
        </is>
      </c>
      <c r="Q32" t="inlineStr">
        <is>
          <t>CD</t>
        </is>
      </c>
      <c r="R32" t="n">
        <v>1184</v>
      </c>
      <c r="S32" t="n">
        <v>1700</v>
      </c>
      <c r="T32" t="n">
        <v>0</v>
      </c>
    </row>
    <row r="33">
      <c r="A33" t="n">
        <v>32</v>
      </c>
      <c r="B33" t="inlineStr">
        <is>
          <t>16/04/2026</t>
        </is>
      </c>
      <c r="C33" t="inlineStr">
        <is>
          <t>CD</t>
        </is>
      </c>
      <c r="D33" t="n">
        <v>613</v>
      </c>
      <c r="E33" t="n">
        <v>2267</v>
      </c>
      <c r="F33" t="n">
        <v>0</v>
      </c>
      <c r="H33">
        <f>IF(B21="","",TEXT(B21,"dd/mm") &amp; "-" &amp; IF(UPPER(TRIM(C21))="CN",1,IF(UPPER(TRIM(C21))="CD",2,"")))</f>
        <v/>
      </c>
      <c r="I33" s="1" t="n">
        <v>0.68</v>
      </c>
      <c r="J33" s="1" t="n">
        <v>0.8423529411764706</v>
      </c>
      <c r="K33" s="1">
        <f>IFERROR($E21/SUM($D21:$F21),"")</f>
        <v/>
      </c>
      <c r="L33" s="1">
        <f>IFERROR($D21/SUM($D21:$F21),"")</f>
        <v/>
      </c>
      <c r="M33" s="1">
        <f>IFERROR($F21/SUM($D21:$F21),"")</f>
        <v/>
      </c>
      <c r="O33" t="n">
        <v>32</v>
      </c>
      <c r="P33" t="inlineStr">
        <is>
          <t>17/01/2026</t>
        </is>
      </c>
      <c r="Q33" t="inlineStr">
        <is>
          <t>CN</t>
        </is>
      </c>
      <c r="R33" t="n">
        <v>1127</v>
      </c>
      <c r="S33" t="n">
        <v>1753</v>
      </c>
      <c r="T33" t="n">
        <v>0</v>
      </c>
    </row>
    <row r="34">
      <c r="A34" t="n">
        <v>33</v>
      </c>
      <c r="B34" t="inlineStr">
        <is>
          <t>17/04/2026</t>
        </is>
      </c>
      <c r="C34" t="inlineStr">
        <is>
          <t>CN</t>
        </is>
      </c>
      <c r="D34" t="n">
        <v>918</v>
      </c>
      <c r="E34" t="n">
        <v>1960</v>
      </c>
      <c r="F34" t="n">
        <v>0</v>
      </c>
      <c r="H34">
        <f>IF(B22="","",TEXT(B22,"dd/mm") &amp; "-" &amp; IF(UPPER(TRIM(C22))="CN",1,IF(UPPER(TRIM(C22))="CD",2,"")))</f>
        <v/>
      </c>
      <c r="I34" s="1" t="n">
        <v>0.68</v>
      </c>
      <c r="J34" s="1" t="n">
        <v>0.8423529411764706</v>
      </c>
      <c r="K34" s="1">
        <f>IFERROR($E22/SUM($D22:$F22),"")</f>
        <v/>
      </c>
      <c r="L34" s="1">
        <f>IFERROR($D22/SUM($D22:$F22),"")</f>
        <v/>
      </c>
      <c r="M34" s="1">
        <f>IFERROR($F22/SUM($D22:$F22),"")</f>
        <v/>
      </c>
      <c r="O34" t="n">
        <v>33</v>
      </c>
      <c r="P34" t="inlineStr">
        <is>
          <t>17/01/2026</t>
        </is>
      </c>
      <c r="Q34" t="inlineStr">
        <is>
          <t>CD</t>
        </is>
      </c>
      <c r="R34" t="n">
        <v>545</v>
      </c>
      <c r="S34" t="n">
        <v>2333</v>
      </c>
      <c r="T34" t="n">
        <v>0</v>
      </c>
    </row>
    <row r="35">
      <c r="A35" t="n">
        <v>34</v>
      </c>
      <c r="B35" t="inlineStr">
        <is>
          <t>17/04/2026</t>
        </is>
      </c>
      <c r="C35" t="inlineStr">
        <is>
          <t>CD</t>
        </is>
      </c>
      <c r="D35" t="n">
        <v>889</v>
      </c>
      <c r="E35" t="n">
        <v>1990</v>
      </c>
      <c r="F35" t="n">
        <v>0</v>
      </c>
      <c r="H35">
        <f>IF(B23="","",TEXT(B23,"dd/mm") &amp; "-" &amp; IF(UPPER(TRIM(C23))="CN",1,IF(UPPER(TRIM(C23))="CD",2,"")))</f>
        <v/>
      </c>
      <c r="I35" s="1" t="n">
        <v>0.68</v>
      </c>
      <c r="J35" s="1" t="n">
        <v>0.8423529411764706</v>
      </c>
      <c r="K35" s="1">
        <f>IFERROR($E23/SUM($D23:$F23),"")</f>
        <v/>
      </c>
      <c r="L35" s="1">
        <f>IFERROR($D23/SUM($D23:$F23),"")</f>
        <v/>
      </c>
      <c r="M35" s="1">
        <f>IFERROR($F23/SUM($D23:$F23),"")</f>
        <v/>
      </c>
      <c r="O35" t="n">
        <v>34</v>
      </c>
      <c r="P35" t="inlineStr">
        <is>
          <t>18/01/2026</t>
        </is>
      </c>
      <c r="Q35" t="inlineStr">
        <is>
          <t>CN</t>
        </is>
      </c>
      <c r="R35" t="n">
        <v>1452</v>
      </c>
      <c r="S35" t="n">
        <v>1424</v>
      </c>
      <c r="T35" t="n">
        <v>0</v>
      </c>
    </row>
    <row r="36">
      <c r="A36" t="n">
        <v>35</v>
      </c>
      <c r="B36" t="inlineStr">
        <is>
          <t>18/04/2026</t>
        </is>
      </c>
      <c r="C36" t="inlineStr">
        <is>
          <t>CN</t>
        </is>
      </c>
      <c r="D36" t="n">
        <v>1100</v>
      </c>
      <c r="E36" t="n">
        <v>1781</v>
      </c>
      <c r="F36" t="n">
        <v>0</v>
      </c>
      <c r="H36">
        <f>IF(B24="","",TEXT(B24,"dd/mm") &amp; "-" &amp; IF(UPPER(TRIM(C24))="CN",1,IF(UPPER(TRIM(C24))="CD",2,"")))</f>
        <v/>
      </c>
      <c r="I36" s="1" t="n">
        <v>0.68</v>
      </c>
      <c r="J36" s="1" t="n">
        <v>0.8423529411764706</v>
      </c>
      <c r="K36" s="1">
        <f>IFERROR($E24/SUM($D24:$F24),"")</f>
        <v/>
      </c>
      <c r="L36" s="1">
        <f>IFERROR($D24/SUM($D24:$F24),"")</f>
        <v/>
      </c>
      <c r="M36" s="1">
        <f>IFERROR($F24/SUM($D24:$F24),"")</f>
        <v/>
      </c>
      <c r="O36" t="n">
        <v>35</v>
      </c>
      <c r="P36" t="inlineStr">
        <is>
          <t>18/01/2026</t>
        </is>
      </c>
      <c r="Q36" t="inlineStr">
        <is>
          <t>CD</t>
        </is>
      </c>
      <c r="R36" t="n">
        <v>1571</v>
      </c>
      <c r="S36" t="n">
        <v>672</v>
      </c>
      <c r="T36" t="n">
        <v>634</v>
      </c>
    </row>
    <row r="37">
      <c r="A37" t="n">
        <v>36</v>
      </c>
      <c r="B37" t="inlineStr">
        <is>
          <t>18/04/2026</t>
        </is>
      </c>
      <c r="C37" t="inlineStr">
        <is>
          <t>CD</t>
        </is>
      </c>
      <c r="D37" t="n">
        <v>1052</v>
      </c>
      <c r="E37" t="n">
        <v>1829</v>
      </c>
      <c r="F37" t="n">
        <v>0</v>
      </c>
      <c r="H37">
        <f>IF(B25="","",TEXT(B25,"dd/mm") &amp; "-" &amp; IF(UPPER(TRIM(C25))="CN",1,IF(UPPER(TRIM(C25))="CD",2,"")))</f>
        <v/>
      </c>
      <c r="I37" s="1" t="n">
        <v>0.68</v>
      </c>
      <c r="J37" s="1" t="n">
        <v>0.8423529411764706</v>
      </c>
      <c r="K37" s="1">
        <f>IFERROR($E25/SUM($D25:$F25),"")</f>
        <v/>
      </c>
      <c r="L37" s="1">
        <f>IFERROR($D25/SUM($D25:$F25),"")</f>
        <v/>
      </c>
      <c r="M37" s="1">
        <f>IFERROR($F25/SUM($D25:$F25),"")</f>
        <v/>
      </c>
      <c r="O37" t="n">
        <v>36</v>
      </c>
      <c r="P37" t="inlineStr">
        <is>
          <t>19/01/2026</t>
        </is>
      </c>
      <c r="Q37" t="inlineStr">
        <is>
          <t>CN</t>
        </is>
      </c>
      <c r="R37" t="n">
        <v>1003</v>
      </c>
      <c r="S37" t="n">
        <v>1656</v>
      </c>
      <c r="T37" t="n">
        <v>220</v>
      </c>
    </row>
    <row r="38">
      <c r="A38" t="n">
        <v>37</v>
      </c>
      <c r="B38" t="inlineStr">
        <is>
          <t>19/04/2026</t>
        </is>
      </c>
      <c r="C38" t="inlineStr">
        <is>
          <t>CN</t>
        </is>
      </c>
      <c r="D38" t="n">
        <v>1440</v>
      </c>
      <c r="E38" t="n">
        <v>1430</v>
      </c>
      <c r="F38" t="n">
        <v>11</v>
      </c>
      <c r="H38">
        <f>IF(B26="","",TEXT(B26,"dd/mm") &amp; "-" &amp; IF(UPPER(TRIM(C26))="CN",1,IF(UPPER(TRIM(C26))="CD",2,"")))</f>
        <v/>
      </c>
      <c r="I38" s="1" t="n">
        <v>0.68</v>
      </c>
      <c r="J38" s="1" t="n">
        <v>0.8423529411764706</v>
      </c>
      <c r="K38" s="1">
        <f>IFERROR($E26/SUM($D26:$F26),"")</f>
        <v/>
      </c>
      <c r="L38" s="1">
        <f>IFERROR($D26/SUM($D26:$F26),"")</f>
        <v/>
      </c>
      <c r="M38" s="1">
        <f>IFERROR($F26/SUM($D26:$F26),"")</f>
        <v/>
      </c>
      <c r="O38" t="n">
        <v>37</v>
      </c>
      <c r="P38" t="inlineStr">
        <is>
          <t>19/01/2026</t>
        </is>
      </c>
      <c r="Q38" t="inlineStr">
        <is>
          <t>CD</t>
        </is>
      </c>
      <c r="R38" t="n">
        <v>674</v>
      </c>
      <c r="S38" t="n">
        <v>2207</v>
      </c>
      <c r="T38" t="n">
        <v>0</v>
      </c>
    </row>
    <row r="39">
      <c r="A39" t="n">
        <v>38</v>
      </c>
      <c r="B39" t="inlineStr">
        <is>
          <t>19/04/2026</t>
        </is>
      </c>
      <c r="C39" t="inlineStr">
        <is>
          <t>CD</t>
        </is>
      </c>
      <c r="D39" t="n">
        <v>693</v>
      </c>
      <c r="E39" t="n">
        <v>27</v>
      </c>
      <c r="F39" t="n">
        <v>2158</v>
      </c>
      <c r="H39">
        <f>IF(B27="","",TEXT(B27,"dd/mm") &amp; "-" &amp; IF(UPPER(TRIM(C27))="CN",1,IF(UPPER(TRIM(C27))="CD",2,"")))</f>
        <v/>
      </c>
      <c r="I39" s="1" t="n">
        <v>0.68</v>
      </c>
      <c r="J39" s="1" t="n">
        <v>0.8423529411764706</v>
      </c>
      <c r="K39" s="1">
        <f>IFERROR($E27/SUM($D27:$F27),"")</f>
        <v/>
      </c>
      <c r="L39" s="1">
        <f>IFERROR($D27/SUM($D27:$F27),"")</f>
        <v/>
      </c>
      <c r="M39" s="1">
        <f>IFERROR($F27/SUM($D27:$F27),"")</f>
        <v/>
      </c>
      <c r="O39" t="n">
        <v>38</v>
      </c>
      <c r="P39" t="inlineStr">
        <is>
          <t>20/01/2026</t>
        </is>
      </c>
      <c r="Q39" t="inlineStr">
        <is>
          <t>CN</t>
        </is>
      </c>
      <c r="R39" t="n">
        <v>1082</v>
      </c>
      <c r="S39" t="n">
        <v>1800</v>
      </c>
      <c r="T39" t="n">
        <v>0</v>
      </c>
    </row>
    <row r="40">
      <c r="A40" t="n">
        <v>39</v>
      </c>
      <c r="B40" t="inlineStr">
        <is>
          <t>20/04/2026</t>
        </is>
      </c>
      <c r="C40" t="inlineStr">
        <is>
          <t>CN</t>
        </is>
      </c>
      <c r="D40" t="n">
        <v>766</v>
      </c>
      <c r="E40" t="n">
        <v>1506</v>
      </c>
      <c r="F40" t="n">
        <v>610</v>
      </c>
      <c r="H40">
        <f>IF(B28="","",TEXT(B28,"dd/mm") &amp; "-" &amp; IF(UPPER(TRIM(C28))="CN",1,IF(UPPER(TRIM(C28))="CD",2,"")))</f>
        <v/>
      </c>
      <c r="I40" s="1" t="n">
        <v>0.68</v>
      </c>
      <c r="J40" s="1" t="n">
        <v>0.8423529411764706</v>
      </c>
      <c r="K40" s="1">
        <f>IFERROR($E28/SUM($D28:$F28),"")</f>
        <v/>
      </c>
      <c r="L40" s="1">
        <f>IFERROR($D28/SUM($D28:$F28),"")</f>
        <v/>
      </c>
      <c r="M40" s="1">
        <f>IFERROR($F28/SUM($D28:$F28),"")</f>
        <v/>
      </c>
      <c r="O40" t="n">
        <v>39</v>
      </c>
      <c r="P40" t="inlineStr">
        <is>
          <t>20/01/2026</t>
        </is>
      </c>
      <c r="Q40" t="inlineStr">
        <is>
          <t>CD</t>
        </is>
      </c>
      <c r="R40" t="n">
        <v>773</v>
      </c>
      <c r="S40" t="n">
        <v>2108</v>
      </c>
      <c r="T40" t="n">
        <v>0</v>
      </c>
    </row>
    <row r="41">
      <c r="A41" t="n">
        <v>40</v>
      </c>
      <c r="B41" t="inlineStr">
        <is>
          <t>20/04/2026</t>
        </is>
      </c>
      <c r="C41" t="inlineStr">
        <is>
          <t>CD</t>
        </is>
      </c>
      <c r="D41" t="n">
        <v>1283</v>
      </c>
      <c r="E41" t="n">
        <v>1590</v>
      </c>
      <c r="F41" t="n">
        <v>10</v>
      </c>
      <c r="H41">
        <f>IF(B29="","",TEXT(B29,"dd/mm") &amp; "-" &amp; IF(UPPER(TRIM(C29))="CN",1,IF(UPPER(TRIM(C29))="CD",2,"")))</f>
        <v/>
      </c>
      <c r="I41" s="1" t="n">
        <v>0.68</v>
      </c>
      <c r="J41" s="1" t="n">
        <v>0.8423529411764706</v>
      </c>
      <c r="K41" s="1">
        <f>IFERROR($E29/SUM($D29:$F29),"")</f>
        <v/>
      </c>
      <c r="L41" s="1">
        <f>IFERROR($D29/SUM($D29:$F29),"")</f>
        <v/>
      </c>
      <c r="M41" s="1">
        <f>IFERROR($F29/SUM($D29:$F29),"")</f>
        <v/>
      </c>
      <c r="O41" t="n">
        <v>40</v>
      </c>
      <c r="P41" t="inlineStr">
        <is>
          <t>21/01/2026</t>
        </is>
      </c>
      <c r="Q41" t="inlineStr">
        <is>
          <t>CN</t>
        </is>
      </c>
      <c r="R41" t="n">
        <v>1242</v>
      </c>
      <c r="S41" t="n">
        <v>1639</v>
      </c>
      <c r="T41" t="n">
        <v>0</v>
      </c>
    </row>
    <row r="42">
      <c r="A42" t="n">
        <v>41</v>
      </c>
      <c r="B42" t="inlineStr">
        <is>
          <t>21/04/2026</t>
        </is>
      </c>
      <c r="C42" t="inlineStr">
        <is>
          <t>CN</t>
        </is>
      </c>
      <c r="D42" t="n">
        <v>1151</v>
      </c>
      <c r="E42" t="n">
        <v>1730</v>
      </c>
      <c r="F42" t="n">
        <v>0</v>
      </c>
      <c r="H42">
        <f>IF(B30="","",TEXT(B30,"dd/mm") &amp; "-" &amp; IF(UPPER(TRIM(C30))="CN",1,IF(UPPER(TRIM(C30))="CD",2,"")))</f>
        <v/>
      </c>
      <c r="I42" s="1" t="n">
        <v>0.68</v>
      </c>
      <c r="J42" s="1" t="n">
        <v>0.8423529411764706</v>
      </c>
      <c r="K42" s="1">
        <f>IFERROR($E30/SUM($D30:$F30),"")</f>
        <v/>
      </c>
      <c r="L42" s="1">
        <f>IFERROR($D30/SUM($D30:$F30),"")</f>
        <v/>
      </c>
      <c r="M42" s="1">
        <f>IFERROR($F30/SUM($D30:$F30),"")</f>
        <v/>
      </c>
      <c r="O42" t="n">
        <v>41</v>
      </c>
      <c r="P42" t="inlineStr">
        <is>
          <t>21/01/2026</t>
        </is>
      </c>
      <c r="Q42" t="inlineStr">
        <is>
          <t>CD</t>
        </is>
      </c>
      <c r="R42" t="n">
        <v>672</v>
      </c>
      <c r="S42" t="n">
        <v>2209</v>
      </c>
      <c r="T42" t="n">
        <v>0</v>
      </c>
    </row>
    <row r="43">
      <c r="A43" t="n">
        <v>42</v>
      </c>
      <c r="B43" t="inlineStr">
        <is>
          <t>21/04/2026</t>
        </is>
      </c>
      <c r="C43" t="inlineStr">
        <is>
          <t>CD</t>
        </is>
      </c>
      <c r="D43" t="n">
        <v>844</v>
      </c>
      <c r="E43" t="n">
        <v>2036</v>
      </c>
      <c r="F43" t="n">
        <v>0</v>
      </c>
      <c r="H43">
        <f>IF(B31="","",TEXT(B31,"dd/mm") &amp; "-" &amp; IF(UPPER(TRIM(C31))="CN",1,IF(UPPER(TRIM(C31))="CD",2,"")))</f>
        <v/>
      </c>
      <c r="I43" s="1" t="n">
        <v>0.68</v>
      </c>
      <c r="J43" s="1" t="n">
        <v>0.8423529411764706</v>
      </c>
      <c r="K43" s="1">
        <f>IFERROR($E31/SUM($D31:$F31),"")</f>
        <v/>
      </c>
      <c r="L43" s="1">
        <f>IFERROR($D31/SUM($D31:$F31),"")</f>
        <v/>
      </c>
      <c r="M43" s="1">
        <f>IFERROR($F31/SUM($D31:$F31),"")</f>
        <v/>
      </c>
      <c r="O43" t="n">
        <v>42</v>
      </c>
      <c r="P43" t="inlineStr">
        <is>
          <t>22/01/2026</t>
        </is>
      </c>
      <c r="Q43" t="inlineStr">
        <is>
          <t>CN</t>
        </is>
      </c>
      <c r="R43" t="n">
        <v>1077</v>
      </c>
      <c r="S43" t="n">
        <v>1699</v>
      </c>
      <c r="T43" t="n">
        <v>102</v>
      </c>
    </row>
    <row r="44">
      <c r="A44" t="n">
        <v>43</v>
      </c>
      <c r="B44" t="inlineStr">
        <is>
          <t>22/04/2026</t>
        </is>
      </c>
      <c r="C44" t="inlineStr">
        <is>
          <t>CN</t>
        </is>
      </c>
      <c r="D44" t="n">
        <v>1325</v>
      </c>
      <c r="E44" t="n">
        <v>1557</v>
      </c>
      <c r="F44" t="n">
        <v>0</v>
      </c>
      <c r="H44">
        <f>IF(B32="","",TEXT(B32,"dd/mm") &amp; "-" &amp; IF(UPPER(TRIM(C32))="CN",1,IF(UPPER(TRIM(C32))="CD",2,"")))</f>
        <v/>
      </c>
      <c r="I44" s="1" t="n">
        <v>0.68</v>
      </c>
      <c r="J44" s="1" t="n">
        <v>0.8423529411764706</v>
      </c>
      <c r="K44" s="1">
        <f>IFERROR($E32/SUM($D32:$F32),"")</f>
        <v/>
      </c>
      <c r="L44" s="1">
        <f>IFERROR($D32/SUM($D32:$F32),"")</f>
        <v/>
      </c>
      <c r="M44" s="1">
        <f>IFERROR($F32/SUM($D32:$F32),"")</f>
        <v/>
      </c>
      <c r="O44" t="n">
        <v>43</v>
      </c>
      <c r="P44" t="inlineStr">
        <is>
          <t>22/01/2026</t>
        </is>
      </c>
      <c r="Q44" t="inlineStr">
        <is>
          <t>CD</t>
        </is>
      </c>
      <c r="R44" t="n">
        <v>545</v>
      </c>
      <c r="S44" t="n">
        <v>2335</v>
      </c>
      <c r="T44" t="n">
        <v>0</v>
      </c>
    </row>
    <row r="45">
      <c r="A45" t="n">
        <v>44</v>
      </c>
      <c r="B45" t="inlineStr">
        <is>
          <t>22/04/2026</t>
        </is>
      </c>
      <c r="C45" t="inlineStr">
        <is>
          <t>CD</t>
        </is>
      </c>
      <c r="D45" t="n">
        <v>777</v>
      </c>
      <c r="E45" t="n">
        <v>2104</v>
      </c>
      <c r="F45" t="n">
        <v>0</v>
      </c>
      <c r="H45">
        <f>IF(B33="","",TEXT(B33,"dd/mm") &amp; "-" &amp; IF(UPPER(TRIM(C33))="CN",1,IF(UPPER(TRIM(C33))="CD",2,"")))</f>
        <v/>
      </c>
      <c r="I45" s="1" t="n">
        <v>0.68</v>
      </c>
      <c r="J45" s="1" t="n">
        <v>0.8423529411764706</v>
      </c>
      <c r="K45" s="1">
        <f>IFERROR($E33/SUM($D33:$F33),"")</f>
        <v/>
      </c>
      <c r="L45" s="1">
        <f>IFERROR($D33/SUM($D33:$F33),"")</f>
        <v/>
      </c>
      <c r="M45" s="1">
        <f>IFERROR($F33/SUM($D33:$F33),"")</f>
        <v/>
      </c>
      <c r="O45" t="n">
        <v>44</v>
      </c>
      <c r="P45" t="inlineStr">
        <is>
          <t>23/01/2026</t>
        </is>
      </c>
      <c r="Q45" t="inlineStr">
        <is>
          <t>CN</t>
        </is>
      </c>
      <c r="R45" t="n">
        <v>1198</v>
      </c>
      <c r="S45" t="n">
        <v>1682</v>
      </c>
      <c r="T45" t="n">
        <v>0</v>
      </c>
    </row>
    <row r="46">
      <c r="A46" t="n">
        <v>45</v>
      </c>
      <c r="B46" t="inlineStr">
        <is>
          <t>23/04/2026</t>
        </is>
      </c>
      <c r="C46" t="inlineStr">
        <is>
          <t>CN</t>
        </is>
      </c>
      <c r="D46" t="n">
        <v>1086</v>
      </c>
      <c r="E46" t="n">
        <v>1794</v>
      </c>
      <c r="F46" t="n">
        <v>0</v>
      </c>
      <c r="H46">
        <f>IF(B34="","",TEXT(B34,"dd/mm") &amp; "-" &amp; IF(UPPER(TRIM(C34))="CN",1,IF(UPPER(TRIM(C34))="CD",2,"")))</f>
        <v/>
      </c>
      <c r="I46" s="1" t="n">
        <v>0.68</v>
      </c>
      <c r="J46" s="1" t="n">
        <v>0.8423529411764706</v>
      </c>
      <c r="K46" s="1">
        <f>IFERROR($E34/SUM($D34:$F34),"")</f>
        <v/>
      </c>
      <c r="L46" s="1">
        <f>IFERROR($D34/SUM($D34:$F34),"")</f>
        <v/>
      </c>
      <c r="M46" s="1">
        <f>IFERROR($F34/SUM($D34:$F34),"")</f>
        <v/>
      </c>
      <c r="O46" t="n">
        <v>45</v>
      </c>
      <c r="P46" t="inlineStr">
        <is>
          <t>23/01/2026</t>
        </is>
      </c>
      <c r="Q46" t="inlineStr">
        <is>
          <t>CD</t>
        </is>
      </c>
      <c r="R46" t="n">
        <v>595</v>
      </c>
      <c r="S46" t="n">
        <v>2286</v>
      </c>
      <c r="T46" t="n">
        <v>0</v>
      </c>
    </row>
    <row r="47">
      <c r="A47" t="n">
        <v>46</v>
      </c>
      <c r="B47" t="inlineStr">
        <is>
          <t>23/04/2026</t>
        </is>
      </c>
      <c r="C47" t="inlineStr">
        <is>
          <t>CD</t>
        </is>
      </c>
      <c r="D47" t="n">
        <v>728</v>
      </c>
      <c r="E47" t="n">
        <v>2155</v>
      </c>
      <c r="F47" t="n">
        <v>0</v>
      </c>
      <c r="H47">
        <f>IF(B35="","",TEXT(B35,"dd/mm") &amp; "-" &amp; IF(UPPER(TRIM(C35))="CN",1,IF(UPPER(TRIM(C35))="CD",2,"")))</f>
        <v/>
      </c>
      <c r="I47" s="1" t="n">
        <v>0.68</v>
      </c>
      <c r="J47" s="1" t="n">
        <v>0.8423529411764706</v>
      </c>
      <c r="K47" s="1">
        <f>IFERROR($E35/SUM($D35:$F35),"")</f>
        <v/>
      </c>
      <c r="L47" s="1">
        <f>IFERROR($D35/SUM($D35:$F35),"")</f>
        <v/>
      </c>
      <c r="M47" s="1">
        <f>IFERROR($F35/SUM($D35:$F35),"")</f>
        <v/>
      </c>
      <c r="O47" t="n">
        <v>46</v>
      </c>
      <c r="P47" t="inlineStr">
        <is>
          <t>24/01/2026</t>
        </is>
      </c>
      <c r="Q47" t="inlineStr">
        <is>
          <t>CN</t>
        </is>
      </c>
      <c r="R47" t="n">
        <v>1238</v>
      </c>
      <c r="S47" t="n">
        <v>1642</v>
      </c>
      <c r="T47" t="n">
        <v>0</v>
      </c>
    </row>
    <row r="48">
      <c r="A48" t="n">
        <v>47</v>
      </c>
      <c r="B48" t="inlineStr">
        <is>
          <t>24/04/2026</t>
        </is>
      </c>
      <c r="C48" t="inlineStr">
        <is>
          <t>CN</t>
        </is>
      </c>
      <c r="D48" t="n">
        <v>906</v>
      </c>
      <c r="E48" t="n">
        <v>1977</v>
      </c>
      <c r="F48" t="n">
        <v>0</v>
      </c>
      <c r="H48">
        <f>IF(B36="","",TEXT(B36,"dd/mm") &amp; "-" &amp; IF(UPPER(TRIM(C36))="CN",1,IF(UPPER(TRIM(C36))="CD",2,"")))</f>
        <v/>
      </c>
      <c r="I48" s="1" t="n">
        <v>0.68</v>
      </c>
      <c r="J48" s="1" t="n">
        <v>0.8423529411764706</v>
      </c>
      <c r="K48" s="1">
        <f>IFERROR($E36/SUM($D36:$F36),"")</f>
        <v/>
      </c>
      <c r="L48" s="1">
        <f>IFERROR($D36/SUM($D36:$F36),"")</f>
        <v/>
      </c>
      <c r="M48" s="1">
        <f>IFERROR($F36/SUM($D36:$F36),"")</f>
        <v/>
      </c>
      <c r="O48" t="n">
        <v>47</v>
      </c>
      <c r="P48" t="inlineStr">
        <is>
          <t>24/01/2026</t>
        </is>
      </c>
      <c r="Q48" t="inlineStr">
        <is>
          <t>CD</t>
        </is>
      </c>
      <c r="R48" t="n">
        <v>857</v>
      </c>
      <c r="S48" t="n">
        <v>2022</v>
      </c>
      <c r="T48" t="n">
        <v>0</v>
      </c>
    </row>
    <row r="49">
      <c r="A49" t="n">
        <v>48</v>
      </c>
      <c r="B49" t="inlineStr">
        <is>
          <t>24/04/2026</t>
        </is>
      </c>
      <c r="C49" t="inlineStr">
        <is>
          <t>CD</t>
        </is>
      </c>
      <c r="D49" t="n">
        <v>820</v>
      </c>
      <c r="E49" t="n">
        <v>2061</v>
      </c>
      <c r="F49" t="n">
        <v>0</v>
      </c>
      <c r="H49">
        <f>IF(B37="","",TEXT(B37,"dd/mm") &amp; "-" &amp; IF(UPPER(TRIM(C37))="CN",1,IF(UPPER(TRIM(C37))="CD",2,"")))</f>
        <v/>
      </c>
      <c r="I49" s="1" t="n">
        <v>0.68</v>
      </c>
      <c r="J49" s="1" t="n">
        <v>0.8423529411764706</v>
      </c>
      <c r="K49" s="1">
        <f>IFERROR($E37/SUM($D37:$F37),"")</f>
        <v/>
      </c>
      <c r="L49" s="1">
        <f>IFERROR($D37/SUM($D37:$F37),"")</f>
        <v/>
      </c>
      <c r="M49" s="1">
        <f>IFERROR($F37/SUM($D37:$F37),"")</f>
        <v/>
      </c>
      <c r="O49" t="n">
        <v>48</v>
      </c>
      <c r="P49" t="inlineStr">
        <is>
          <t>25/01/2026</t>
        </is>
      </c>
      <c r="Q49" t="inlineStr">
        <is>
          <t>CN</t>
        </is>
      </c>
      <c r="R49" t="n">
        <v>1204</v>
      </c>
      <c r="S49" t="n">
        <v>1671</v>
      </c>
      <c r="T49" t="n">
        <v>3</v>
      </c>
    </row>
    <row r="50">
      <c r="A50" t="n">
        <v>49</v>
      </c>
      <c r="B50" t="inlineStr">
        <is>
          <t>25/04/2026</t>
        </is>
      </c>
      <c r="C50" t="inlineStr">
        <is>
          <t>CN</t>
        </is>
      </c>
      <c r="D50" t="n">
        <v>1314</v>
      </c>
      <c r="E50" t="n">
        <v>1566</v>
      </c>
      <c r="F50" t="n">
        <v>0</v>
      </c>
      <c r="H50">
        <f>IF(B38="","",TEXT(B38,"dd/mm") &amp; "-" &amp; IF(UPPER(TRIM(C38))="CN",1,IF(UPPER(TRIM(C38))="CD",2,"")))</f>
        <v/>
      </c>
      <c r="I50" s="1" t="n">
        <v>0.68</v>
      </c>
      <c r="J50" s="1" t="n">
        <v>0.8423529411764706</v>
      </c>
      <c r="K50" s="1">
        <f>IFERROR($E38/SUM($D38:$F38),"")</f>
        <v/>
      </c>
      <c r="L50" s="1">
        <f>IFERROR($D38/SUM($D38:$F38),"")</f>
        <v/>
      </c>
      <c r="M50" s="1">
        <f>IFERROR($F38/SUM($D38:$F38),"")</f>
        <v/>
      </c>
      <c r="O50" t="n">
        <v>49</v>
      </c>
      <c r="P50" t="inlineStr">
        <is>
          <t>25/01/2026</t>
        </is>
      </c>
      <c r="Q50" t="inlineStr">
        <is>
          <t>CD</t>
        </is>
      </c>
      <c r="R50" t="n">
        <v>1444</v>
      </c>
      <c r="S50" t="n">
        <v>713</v>
      </c>
      <c r="T50" t="n">
        <v>720</v>
      </c>
    </row>
    <row r="51">
      <c r="A51" t="n">
        <v>50</v>
      </c>
      <c r="B51" t="inlineStr">
        <is>
          <t>25/04/2026</t>
        </is>
      </c>
      <c r="C51" t="inlineStr">
        <is>
          <t>CD</t>
        </is>
      </c>
      <c r="D51" t="n">
        <v>501</v>
      </c>
      <c r="E51" t="n">
        <v>1382</v>
      </c>
      <c r="F51" t="n">
        <v>998</v>
      </c>
      <c r="H51">
        <f>IF(B39="","",TEXT(B39,"dd/mm") &amp; "-" &amp; IF(UPPER(TRIM(C39))="CN",1,IF(UPPER(TRIM(C39))="CD",2,"")))</f>
        <v/>
      </c>
      <c r="I51" s="1" t="n">
        <v>0.68</v>
      </c>
      <c r="J51" s="1" t="n">
        <v>0.8423529411764706</v>
      </c>
      <c r="K51" s="1">
        <f>IFERROR($E39/SUM($D39:$F39),"")</f>
        <v/>
      </c>
      <c r="L51" s="1">
        <f>IFERROR($D39/SUM($D39:$F39),"")</f>
        <v/>
      </c>
      <c r="M51" s="1">
        <f>IFERROR($F39/SUM($D39:$F39),"")</f>
        <v/>
      </c>
      <c r="O51" t="n">
        <v>50</v>
      </c>
      <c r="P51" t="inlineStr">
        <is>
          <t>26/01/2026</t>
        </is>
      </c>
      <c r="Q51" t="inlineStr">
        <is>
          <t>CN</t>
        </is>
      </c>
      <c r="R51" t="n">
        <v>1063</v>
      </c>
      <c r="S51" t="n">
        <v>1614</v>
      </c>
      <c r="T51" t="n">
        <v>203</v>
      </c>
    </row>
    <row r="52">
      <c r="A52" t="n">
        <v>51</v>
      </c>
      <c r="B52" t="inlineStr">
        <is>
          <t>26/04/2026</t>
        </is>
      </c>
      <c r="C52" t="inlineStr">
        <is>
          <t>CN</t>
        </is>
      </c>
      <c r="D52" t="n">
        <v>0</v>
      </c>
      <c r="E52" t="n">
        <v>0</v>
      </c>
      <c r="F52" t="n">
        <v>2880</v>
      </c>
      <c r="H52">
        <f>IF(B40="","",TEXT(B40,"dd/mm") &amp; "-" &amp; IF(UPPER(TRIM(C40))="CN",1,IF(UPPER(TRIM(C40))="CD",2,"")))</f>
        <v/>
      </c>
      <c r="I52" s="1" t="n">
        <v>0.68</v>
      </c>
      <c r="J52" s="1" t="n">
        <v>0.8423529411764706</v>
      </c>
      <c r="K52" s="1">
        <f>IFERROR($E40/SUM($D40:$F40),"")</f>
        <v/>
      </c>
      <c r="L52" s="1">
        <f>IFERROR($D40/SUM($D40:$F40),"")</f>
        <v/>
      </c>
      <c r="M52" s="1">
        <f>IFERROR($F40/SUM($D40:$F40),"")</f>
        <v/>
      </c>
      <c r="O52" t="n">
        <v>51</v>
      </c>
      <c r="P52" t="inlineStr">
        <is>
          <t>26/01/2026</t>
        </is>
      </c>
      <c r="Q52" t="inlineStr">
        <is>
          <t>CD</t>
        </is>
      </c>
      <c r="R52" t="n">
        <v>502</v>
      </c>
      <c r="S52" t="n">
        <v>2380</v>
      </c>
      <c r="T52" t="n">
        <v>0</v>
      </c>
    </row>
    <row r="53">
      <c r="A53" t="n">
        <v>52</v>
      </c>
      <c r="B53" t="inlineStr">
        <is>
          <t>26/04/2026</t>
        </is>
      </c>
      <c r="C53" t="inlineStr">
        <is>
          <t>CD</t>
        </is>
      </c>
      <c r="D53" t="n">
        <v>0</v>
      </c>
      <c r="E53" t="n">
        <v>0</v>
      </c>
      <c r="F53" t="n">
        <v>2880</v>
      </c>
      <c r="H53">
        <f>IF(B41="","",TEXT(B41,"dd/mm") &amp; "-" &amp; IF(UPPER(TRIM(C41))="CN",1,IF(UPPER(TRIM(C41))="CD",2,"")))</f>
        <v/>
      </c>
      <c r="I53" s="1" t="n">
        <v>0.68</v>
      </c>
      <c r="J53" s="1" t="n">
        <v>0.8423529411764706</v>
      </c>
      <c r="K53" s="1">
        <f>IFERROR($E41/SUM($D41:$F41),"")</f>
        <v/>
      </c>
      <c r="L53" s="1">
        <f>IFERROR($D41/SUM($D41:$F41),"")</f>
        <v/>
      </c>
      <c r="M53" s="1">
        <f>IFERROR($F41/SUM($D41:$F41),"")</f>
        <v/>
      </c>
      <c r="O53" t="n">
        <v>52</v>
      </c>
      <c r="P53" t="inlineStr">
        <is>
          <t>27/01/2026</t>
        </is>
      </c>
      <c r="Q53" t="inlineStr">
        <is>
          <t>CN</t>
        </is>
      </c>
      <c r="R53" t="n">
        <v>885</v>
      </c>
      <c r="S53" t="n">
        <v>1998</v>
      </c>
      <c r="T53" t="n">
        <v>0</v>
      </c>
    </row>
    <row r="54">
      <c r="A54" t="n">
        <v>53</v>
      </c>
      <c r="B54" t="inlineStr">
        <is>
          <t>27/04/2026</t>
        </is>
      </c>
      <c r="C54" t="inlineStr">
        <is>
          <t>CN</t>
        </is>
      </c>
      <c r="D54" t="n">
        <v>675</v>
      </c>
      <c r="E54" t="n">
        <v>1399</v>
      </c>
      <c r="F54" t="n">
        <v>807</v>
      </c>
      <c r="H54">
        <f>IF(B42="","",TEXT(B42,"dd/mm") &amp; "-" &amp; IF(UPPER(TRIM(C42))="CN",1,IF(UPPER(TRIM(C42))="CD",2,"")))</f>
        <v/>
      </c>
      <c r="I54" s="1" t="n">
        <v>0.68</v>
      </c>
      <c r="J54" s="1" t="n">
        <v>0.8423529411764706</v>
      </c>
      <c r="K54" s="1">
        <f>IFERROR($E42/SUM($D42:$F42),"")</f>
        <v/>
      </c>
      <c r="L54" s="1">
        <f>IFERROR($D42/SUM($D42:$F42),"")</f>
        <v/>
      </c>
      <c r="M54" s="1">
        <f>IFERROR($F42/SUM($D42:$F42),"")</f>
        <v/>
      </c>
      <c r="O54" t="n">
        <v>53</v>
      </c>
      <c r="P54" t="inlineStr">
        <is>
          <t>27/01/2026</t>
        </is>
      </c>
      <c r="Q54" t="inlineStr">
        <is>
          <t>CD</t>
        </is>
      </c>
      <c r="R54" t="n">
        <v>628</v>
      </c>
      <c r="S54" t="n">
        <v>2253</v>
      </c>
      <c r="T54" t="n">
        <v>0</v>
      </c>
    </row>
    <row r="55">
      <c r="A55" t="n">
        <v>54</v>
      </c>
      <c r="B55" t="inlineStr">
        <is>
          <t>27/04/2026</t>
        </is>
      </c>
      <c r="C55" t="inlineStr">
        <is>
          <t>CD</t>
        </is>
      </c>
      <c r="D55" t="n">
        <v>816</v>
      </c>
      <c r="E55" t="n">
        <v>2069</v>
      </c>
      <c r="F55" t="n">
        <v>0</v>
      </c>
      <c r="H55">
        <f>IF(B43="","",TEXT(B43,"dd/mm") &amp; "-" &amp; IF(UPPER(TRIM(C43))="CN",1,IF(UPPER(TRIM(C43))="CD",2,"")))</f>
        <v/>
      </c>
      <c r="I55" s="1" t="n">
        <v>0.68</v>
      </c>
      <c r="J55" s="1" t="n">
        <v>0.8423529411764706</v>
      </c>
      <c r="K55" s="1">
        <f>IFERROR($E43/SUM($D43:$F43),"")</f>
        <v/>
      </c>
      <c r="L55" s="1">
        <f>IFERROR($D43/SUM($D43:$F43),"")</f>
        <v/>
      </c>
      <c r="M55" s="1">
        <f>IFERROR($F43/SUM($D43:$F43),"")</f>
        <v/>
      </c>
      <c r="O55" t="n">
        <v>54</v>
      </c>
      <c r="P55" t="inlineStr">
        <is>
          <t>28/01/2026</t>
        </is>
      </c>
      <c r="Q55" t="inlineStr">
        <is>
          <t>CN</t>
        </is>
      </c>
      <c r="R55" t="n">
        <v>1101</v>
      </c>
      <c r="S55" t="n">
        <v>1780</v>
      </c>
      <c r="T55" t="n">
        <v>0</v>
      </c>
    </row>
    <row r="56">
      <c r="H56">
        <f>IF(B44="","",TEXT(B44,"dd/mm") &amp; "-" &amp; IF(UPPER(TRIM(C44))="CN",1,IF(UPPER(TRIM(C44))="CD",2,"")))</f>
        <v/>
      </c>
      <c r="I56" s="1" t="n">
        <v>0.68</v>
      </c>
      <c r="J56" s="1" t="n">
        <v>0.8423529411764706</v>
      </c>
      <c r="K56" s="1">
        <f>IFERROR($E44/SUM($D44:$F44),"")</f>
        <v/>
      </c>
      <c r="L56" s="1">
        <f>IFERROR($D44/SUM($D44:$F44),"")</f>
        <v/>
      </c>
      <c r="M56" s="1">
        <f>IFERROR($F44/SUM($D44:$F44),"")</f>
        <v/>
      </c>
      <c r="O56" t="n">
        <v>55</v>
      </c>
      <c r="P56" t="inlineStr">
        <is>
          <t>28/01/2026</t>
        </is>
      </c>
      <c r="Q56" t="inlineStr">
        <is>
          <t>CD</t>
        </is>
      </c>
      <c r="R56" t="n">
        <v>656</v>
      </c>
      <c r="S56" t="n">
        <v>2225</v>
      </c>
      <c r="T56" t="n">
        <v>0</v>
      </c>
    </row>
    <row r="57">
      <c r="H57">
        <f>IF(B45="","",TEXT(B45,"dd/mm") &amp; "-" &amp; IF(UPPER(TRIM(C45))="CN",1,IF(UPPER(TRIM(C45))="CD",2,"")))</f>
        <v/>
      </c>
      <c r="I57" s="1" t="n">
        <v>0.68</v>
      </c>
      <c r="J57" s="1" t="n">
        <v>0.8423529411764706</v>
      </c>
      <c r="K57" s="1">
        <f>IFERROR($E45/SUM($D45:$F45),"")</f>
        <v/>
      </c>
      <c r="L57" s="1">
        <f>IFERROR($D45/SUM($D45:$F45),"")</f>
        <v/>
      </c>
      <c r="M57" s="1">
        <f>IFERROR($F45/SUM($D45:$F45),"")</f>
        <v/>
      </c>
      <c r="O57" t="n">
        <v>56</v>
      </c>
      <c r="P57" t="inlineStr">
        <is>
          <t>29/01/2026</t>
        </is>
      </c>
      <c r="Q57" t="inlineStr">
        <is>
          <t>CN</t>
        </is>
      </c>
      <c r="R57" t="n">
        <v>1202</v>
      </c>
      <c r="S57" t="n">
        <v>1677</v>
      </c>
      <c r="T57" t="n">
        <v>0</v>
      </c>
    </row>
    <row r="58">
      <c r="H58">
        <f>IF(B46="","",TEXT(B46,"dd/mm") &amp; "-" &amp; IF(UPPER(TRIM(C46))="CN",1,IF(UPPER(TRIM(C46))="CD",2,"")))</f>
        <v/>
      </c>
      <c r="I58" s="1" t="n">
        <v>0.68</v>
      </c>
      <c r="J58" s="1" t="n">
        <v>0.8423529411764706</v>
      </c>
      <c r="K58" s="1">
        <f>IFERROR($E46/SUM($D46:$F46),"")</f>
        <v/>
      </c>
      <c r="L58" s="1">
        <f>IFERROR($D46/SUM($D46:$F46),"")</f>
        <v/>
      </c>
      <c r="M58" s="1">
        <f>IFERROR($F46/SUM($D46:$F46),"")</f>
        <v/>
      </c>
      <c r="O58" t="n">
        <v>57</v>
      </c>
      <c r="P58" t="inlineStr">
        <is>
          <t>29/01/2026</t>
        </is>
      </c>
      <c r="Q58" t="inlineStr">
        <is>
          <t>CD</t>
        </is>
      </c>
      <c r="R58" t="n">
        <v>853</v>
      </c>
      <c r="S58" t="n">
        <v>2029</v>
      </c>
      <c r="T58" t="n">
        <v>0</v>
      </c>
    </row>
    <row r="59">
      <c r="H59">
        <f>IF(B47="","",TEXT(B47,"dd/mm") &amp; "-" &amp; IF(UPPER(TRIM(C47))="CN",1,IF(UPPER(TRIM(C47))="CD",2,"")))</f>
        <v/>
      </c>
      <c r="I59" s="1" t="n">
        <v>0.68</v>
      </c>
      <c r="J59" s="1" t="n">
        <v>0.8423529411764706</v>
      </c>
      <c r="K59" s="1">
        <f>IFERROR($E47/SUM($D47:$F47),"")</f>
        <v/>
      </c>
      <c r="L59" s="1">
        <f>IFERROR($D47/SUM($D47:$F47),"")</f>
        <v/>
      </c>
      <c r="M59" s="1">
        <f>IFERROR($F47/SUM($D47:$F47),"")</f>
        <v/>
      </c>
      <c r="O59" t="n">
        <v>58</v>
      </c>
      <c r="P59" t="inlineStr">
        <is>
          <t>30/01/2026</t>
        </is>
      </c>
      <c r="Q59" t="inlineStr">
        <is>
          <t>CN</t>
        </is>
      </c>
      <c r="R59" t="n">
        <v>1043</v>
      </c>
      <c r="S59" t="n">
        <v>1838</v>
      </c>
      <c r="T59" t="n">
        <v>0</v>
      </c>
    </row>
    <row r="60">
      <c r="H60">
        <f>IF(B48="","",TEXT(B48,"dd/mm") &amp; "-" &amp; IF(UPPER(TRIM(C48))="CN",1,IF(UPPER(TRIM(C48))="CD",2,"")))</f>
        <v/>
      </c>
      <c r="I60" s="1" t="n">
        <v>0.68</v>
      </c>
      <c r="J60" s="1" t="n">
        <v>0.8423529411764706</v>
      </c>
      <c r="K60" s="1">
        <f>IFERROR($E48/SUM($D48:$F48),"")</f>
        <v/>
      </c>
      <c r="L60" s="1">
        <f>IFERROR($D48/SUM($D48:$F48),"")</f>
        <v/>
      </c>
      <c r="M60" s="1">
        <f>IFERROR($F48/SUM($D48:$F48),"")</f>
        <v/>
      </c>
      <c r="O60" t="n">
        <v>59</v>
      </c>
      <c r="P60" t="inlineStr">
        <is>
          <t>30/01/2026</t>
        </is>
      </c>
      <c r="Q60" t="inlineStr">
        <is>
          <t>CD</t>
        </is>
      </c>
      <c r="R60" t="n">
        <v>702</v>
      </c>
      <c r="S60" t="n">
        <v>2178</v>
      </c>
      <c r="T60" t="n">
        <v>0</v>
      </c>
    </row>
    <row r="61">
      <c r="H61">
        <f>IF(B49="","",TEXT(B49,"dd/mm") &amp; "-" &amp; IF(UPPER(TRIM(C49))="CN",1,IF(UPPER(TRIM(C49))="CD",2,"")))</f>
        <v/>
      </c>
      <c r="I61" s="1" t="n">
        <v>0.68</v>
      </c>
      <c r="J61" s="1" t="n">
        <v>0.8423529411764706</v>
      </c>
      <c r="K61" s="1">
        <f>IFERROR($E49/SUM($D49:$F49),"")</f>
        <v/>
      </c>
      <c r="L61" s="1">
        <f>IFERROR($D49/SUM($D49:$F49),"")</f>
        <v/>
      </c>
      <c r="M61" s="1">
        <f>IFERROR($F49/SUM($D49:$F49),"")</f>
        <v/>
      </c>
      <c r="O61" t="n">
        <v>60</v>
      </c>
      <c r="P61" t="inlineStr">
        <is>
          <t>31/01/2026</t>
        </is>
      </c>
      <c r="Q61" t="inlineStr">
        <is>
          <t>CN</t>
        </is>
      </c>
      <c r="R61" t="n">
        <v>1299</v>
      </c>
      <c r="S61" t="n">
        <v>1582</v>
      </c>
      <c r="T61" t="n">
        <v>0</v>
      </c>
    </row>
    <row r="62">
      <c r="H62">
        <f>IF(B50="","",TEXT(B50,"dd/mm") &amp; "-" &amp; IF(UPPER(TRIM(C50))="CN",1,IF(UPPER(TRIM(C50))="CD",2,"")))</f>
        <v/>
      </c>
      <c r="I62" s="1" t="n">
        <v>0.68</v>
      </c>
      <c r="J62" s="1" t="n">
        <v>0.8423529411764706</v>
      </c>
      <c r="K62" s="1">
        <f>IFERROR($E50/SUM($D50:$F50),"")</f>
        <v/>
      </c>
      <c r="L62" s="1">
        <f>IFERROR($D50/SUM($D50:$F50),"")</f>
        <v/>
      </c>
      <c r="M62" s="1">
        <f>IFERROR($F50/SUM($D50:$F50),"")</f>
        <v/>
      </c>
      <c r="O62" t="n">
        <v>61</v>
      </c>
      <c r="P62" t="inlineStr">
        <is>
          <t>31/01/2026</t>
        </is>
      </c>
      <c r="Q62" t="inlineStr">
        <is>
          <t>CD</t>
        </is>
      </c>
      <c r="R62" t="n">
        <v>298</v>
      </c>
      <c r="S62" t="n">
        <v>1601</v>
      </c>
      <c r="T62" t="n">
        <v>978</v>
      </c>
    </row>
    <row r="63">
      <c r="H63">
        <f>IF(B51="","",TEXT(B51,"dd/mm") &amp; "-" &amp; IF(UPPER(TRIM(C51))="CN",1,IF(UPPER(TRIM(C51))="CD",2,"")))</f>
        <v/>
      </c>
      <c r="I63" s="1" t="n">
        <v>0.68</v>
      </c>
      <c r="J63" s="1" t="n">
        <v>0.8423529411764706</v>
      </c>
      <c r="K63" s="1">
        <f>IFERROR($E51/SUM($D51:$F51),"")</f>
        <v/>
      </c>
      <c r="L63" s="1">
        <f>IFERROR($D51/SUM($D51:$F51),"")</f>
        <v/>
      </c>
      <c r="M63" s="1">
        <f>IFERROR($F51/SUM($D51:$F51),"")</f>
        <v/>
      </c>
      <c r="O63" t="n">
        <v>62</v>
      </c>
      <c r="P63" t="inlineStr">
        <is>
          <t>01/02/2026</t>
        </is>
      </c>
      <c r="Q63" t="inlineStr">
        <is>
          <t>CN</t>
        </is>
      </c>
      <c r="R63" t="n">
        <v>0</v>
      </c>
      <c r="S63" t="n">
        <v>0</v>
      </c>
      <c r="T63" t="n">
        <v>2880</v>
      </c>
    </row>
    <row r="64">
      <c r="H64">
        <f>IF(B52="","",TEXT(B52,"dd/mm") &amp; "-" &amp; IF(UPPER(TRIM(C52))="CN",1,IF(UPPER(TRIM(C52))="CD",2,"")))</f>
        <v/>
      </c>
      <c r="I64" s="1" t="n">
        <v>0.68</v>
      </c>
      <c r="J64" s="1" t="n">
        <v>0.8423529411764706</v>
      </c>
      <c r="K64" s="1">
        <f>IFERROR($E52/SUM($D52:$F52),"")</f>
        <v/>
      </c>
      <c r="L64" s="1">
        <f>IFERROR($D52/SUM($D52:$F52),"")</f>
        <v/>
      </c>
      <c r="M64" s="1">
        <f>IFERROR($F52/SUM($D52:$F52),"")</f>
        <v/>
      </c>
      <c r="O64" t="n">
        <v>63</v>
      </c>
      <c r="P64" t="inlineStr">
        <is>
          <t>01/02/2026</t>
        </is>
      </c>
      <c r="Q64" t="inlineStr">
        <is>
          <t>CD</t>
        </is>
      </c>
      <c r="R64" t="n">
        <v>0</v>
      </c>
      <c r="S64" t="n">
        <v>0</v>
      </c>
      <c r="T64" t="n">
        <v>2880</v>
      </c>
    </row>
    <row r="65">
      <c r="H65">
        <f>IF(B53="","",TEXT(B53,"dd/mm") &amp; "-" &amp; IF(UPPER(TRIM(C53))="CN",1,IF(UPPER(TRIM(C53))="CD",2,"")))</f>
        <v/>
      </c>
      <c r="I65" s="1" t="n">
        <v>0.68</v>
      </c>
      <c r="J65" s="1" t="n">
        <v>0.8423529411764706</v>
      </c>
      <c r="K65" s="1">
        <f>IFERROR($E53/SUM($D53:$F53),"")</f>
        <v/>
      </c>
      <c r="L65" s="1">
        <f>IFERROR($D53/SUM($D53:$F53),"")</f>
        <v/>
      </c>
      <c r="M65" s="1">
        <f>IFERROR($F53/SUM($D53:$F53),"")</f>
        <v/>
      </c>
      <c r="O65" t="n">
        <v>64</v>
      </c>
      <c r="P65" t="inlineStr">
        <is>
          <t>02/02/2026</t>
        </is>
      </c>
      <c r="Q65" t="inlineStr">
        <is>
          <t>CN</t>
        </is>
      </c>
      <c r="R65" t="n">
        <v>564</v>
      </c>
      <c r="S65" t="n">
        <v>1503</v>
      </c>
      <c r="T65" t="n">
        <v>811</v>
      </c>
    </row>
    <row r="66">
      <c r="H66">
        <f>IF(B54="","",TEXT(B54,"dd/mm") &amp; "-" &amp; IF(UPPER(TRIM(C54))="CN",1,IF(UPPER(TRIM(C54))="CD",2,"")))</f>
        <v/>
      </c>
      <c r="I66" s="1" t="n">
        <v>0.68</v>
      </c>
      <c r="J66" s="1" t="n">
        <v>0.8423529411764706</v>
      </c>
      <c r="K66" s="1">
        <f>IFERROR($E54/SUM($D54:$F54),"")</f>
        <v/>
      </c>
      <c r="L66" s="1">
        <f>IFERROR($D54/SUM($D54:$F54),"")</f>
        <v/>
      </c>
      <c r="M66" s="1">
        <f>IFERROR($F54/SUM($D54:$F54),"")</f>
        <v/>
      </c>
      <c r="O66" t="n">
        <v>65</v>
      </c>
      <c r="P66" t="inlineStr">
        <is>
          <t>02/02/2026</t>
        </is>
      </c>
      <c r="Q66" t="inlineStr">
        <is>
          <t>CD</t>
        </is>
      </c>
      <c r="R66" t="n">
        <v>791</v>
      </c>
      <c r="S66" t="n">
        <v>2090</v>
      </c>
      <c r="T66" t="n">
        <v>0</v>
      </c>
    </row>
    <row r="67">
      <c r="H67">
        <f>IF(B55="","",TEXT(B55,"dd/mm") &amp; "-" &amp; IF(UPPER(TRIM(C55))="CN",1,IF(UPPER(TRIM(C55))="CD",2,"")))</f>
        <v/>
      </c>
      <c r="I67" s="1" t="n">
        <v>0.68</v>
      </c>
      <c r="J67" s="1" t="n">
        <v>0.8423529411764706</v>
      </c>
      <c r="K67" s="1">
        <f>IFERROR($E55/SUM($D55:$F55),"")</f>
        <v/>
      </c>
      <c r="L67" s="1">
        <f>IFERROR($D55/SUM($D55:$F55),"")</f>
        <v/>
      </c>
      <c r="M67" s="1">
        <f>IFERROR($F55/SUM($D55:$F55),"")</f>
        <v/>
      </c>
      <c r="O67" t="n">
        <v>66</v>
      </c>
      <c r="P67" t="inlineStr">
        <is>
          <t>03/02/2026</t>
        </is>
      </c>
      <c r="Q67" t="inlineStr">
        <is>
          <t>CN</t>
        </is>
      </c>
      <c r="R67" t="n">
        <v>1362</v>
      </c>
      <c r="S67" t="n">
        <v>1522</v>
      </c>
      <c r="T67" t="n">
        <v>0</v>
      </c>
    </row>
    <row r="68">
      <c r="H68">
        <f>IF(B56="","",TEXT(B56,"dd/mm") &amp; "-" &amp; IF(UPPER(TRIM(C56))="CN",1,IF(UPPER(TRIM(C56))="CD",2,"")))</f>
        <v/>
      </c>
      <c r="I68" s="1" t="n"/>
      <c r="J68" s="1" t="n"/>
      <c r="K68" s="1">
        <f>IFERROR($E56/SUM($D56:$F56),"")</f>
        <v/>
      </c>
      <c r="L68" s="1">
        <f>IFERROR($D56/SUM($D56:$F56),"")</f>
        <v/>
      </c>
      <c r="M68" s="1">
        <f>IFERROR($F56/SUM($D56:$F56),"")</f>
        <v/>
      </c>
      <c r="O68" t="n">
        <v>67</v>
      </c>
      <c r="P68" t="inlineStr">
        <is>
          <t>03/02/2026</t>
        </is>
      </c>
      <c r="Q68" t="inlineStr">
        <is>
          <t>CD</t>
        </is>
      </c>
      <c r="R68" t="n">
        <v>614</v>
      </c>
      <c r="S68" t="n">
        <v>2267</v>
      </c>
      <c r="T68" t="n">
        <v>0</v>
      </c>
    </row>
    <row r="69">
      <c r="H69">
        <f>IF(B57="","",TEXT(B57,"dd/mm") &amp; "-" &amp; IF(UPPER(TRIM(C57))="CN",1,IF(UPPER(TRIM(C57))="CD",2,"")))</f>
        <v/>
      </c>
      <c r="I69" s="1" t="n"/>
      <c r="J69" s="1" t="n"/>
      <c r="K69" s="1">
        <f>IFERROR($E57/SUM($D57:$F57),"")</f>
        <v/>
      </c>
      <c r="L69" s="1">
        <f>IFERROR($D57/SUM($D57:$F57),"")</f>
        <v/>
      </c>
      <c r="M69" s="1">
        <f>IFERROR($F57/SUM($D57:$F57),"")</f>
        <v/>
      </c>
      <c r="O69" t="n">
        <v>68</v>
      </c>
      <c r="P69" t="inlineStr">
        <is>
          <t>04/02/2026</t>
        </is>
      </c>
      <c r="Q69" t="inlineStr">
        <is>
          <t>CN</t>
        </is>
      </c>
      <c r="R69" t="n">
        <v>1193</v>
      </c>
      <c r="S69" t="n">
        <v>1689</v>
      </c>
      <c r="T69" t="n">
        <v>0</v>
      </c>
    </row>
    <row r="70">
      <c r="H70">
        <f>IF(B58="","",TEXT(B58,"dd/mm") &amp; "-" &amp; IF(UPPER(TRIM(C58))="CN",1,IF(UPPER(TRIM(C58))="CD",2,"")))</f>
        <v/>
      </c>
      <c r="I70" s="1" t="n"/>
      <c r="J70" s="1" t="n"/>
      <c r="K70" s="1">
        <f>IFERROR($E58/SUM($D58:$F58),"")</f>
        <v/>
      </c>
      <c r="L70" s="1">
        <f>IFERROR($D58/SUM($D58:$F58),"")</f>
        <v/>
      </c>
      <c r="M70" s="1">
        <f>IFERROR($F58/SUM($D58:$F58),"")</f>
        <v/>
      </c>
      <c r="O70" t="n">
        <v>69</v>
      </c>
      <c r="P70" t="inlineStr">
        <is>
          <t>04/02/2026</t>
        </is>
      </c>
      <c r="Q70" t="inlineStr">
        <is>
          <t>CD</t>
        </is>
      </c>
      <c r="R70" t="n">
        <v>724</v>
      </c>
      <c r="S70" t="n">
        <v>2159</v>
      </c>
      <c r="T70" t="n">
        <v>0</v>
      </c>
    </row>
    <row r="71">
      <c r="H71">
        <f>IF(B59="","",TEXT(B59,"dd/mm") &amp; "-" &amp; IF(UPPER(TRIM(C59))="CN",1,IF(UPPER(TRIM(C59))="CD",2,"")))</f>
        <v/>
      </c>
      <c r="I71" s="1" t="n"/>
      <c r="J71" s="1" t="n"/>
      <c r="K71" s="1">
        <f>IFERROR($E59/SUM($D59:$F59),"")</f>
        <v/>
      </c>
      <c r="L71" s="1">
        <f>IFERROR($D59/SUM($D59:$F59),"")</f>
        <v/>
      </c>
      <c r="M71" s="1">
        <f>IFERROR($F59/SUM($D59:$F59),"")</f>
        <v/>
      </c>
      <c r="O71" t="n">
        <v>70</v>
      </c>
      <c r="P71" t="inlineStr">
        <is>
          <t>05/02/2026</t>
        </is>
      </c>
      <c r="Q71" t="inlineStr">
        <is>
          <t>CN</t>
        </is>
      </c>
      <c r="R71" t="n">
        <v>1249</v>
      </c>
      <c r="S71" t="n">
        <v>1630</v>
      </c>
      <c r="T71" t="n">
        <v>0</v>
      </c>
    </row>
    <row r="72">
      <c r="H72">
        <f>IF(B60="","",TEXT(B60,"dd/mm") &amp; "-" &amp; IF(UPPER(TRIM(C60))="CN",1,IF(UPPER(TRIM(C60))="CD",2,"")))</f>
        <v/>
      </c>
      <c r="I72" s="1" t="n"/>
      <c r="J72" s="1" t="n"/>
      <c r="K72" s="1">
        <f>IFERROR($E60/SUM($D60:$F60),"")</f>
        <v/>
      </c>
      <c r="L72" s="1">
        <f>IFERROR($D60/SUM($D60:$F60),"")</f>
        <v/>
      </c>
      <c r="M72" s="1">
        <f>IFERROR($F60/SUM($D60:$F60),"")</f>
        <v/>
      </c>
      <c r="O72" t="n">
        <v>71</v>
      </c>
      <c r="P72" t="inlineStr">
        <is>
          <t>05/02/2026</t>
        </is>
      </c>
      <c r="Q72" t="inlineStr">
        <is>
          <t>CD</t>
        </is>
      </c>
      <c r="R72" t="n">
        <v>487</v>
      </c>
      <c r="S72" t="n">
        <v>2395</v>
      </c>
      <c r="T72" t="n">
        <v>0</v>
      </c>
    </row>
    <row r="73">
      <c r="H73">
        <f>IF(B61="","",TEXT(B61,"dd/mm") &amp; "-" &amp; IF(UPPER(TRIM(C61))="CN",1,IF(UPPER(TRIM(C61))="CD",2,"")))</f>
        <v/>
      </c>
      <c r="I73" s="1" t="n"/>
      <c r="J73" s="1" t="n"/>
      <c r="K73" s="1">
        <f>IFERROR($E61/SUM($D61:$F61),"")</f>
        <v/>
      </c>
      <c r="L73" s="1">
        <f>IFERROR($D61/SUM($D61:$F61),"")</f>
        <v/>
      </c>
      <c r="M73" s="1">
        <f>IFERROR($F61/SUM($D61:$F61),"")</f>
        <v/>
      </c>
      <c r="O73" t="n">
        <v>72</v>
      </c>
      <c r="P73" t="inlineStr">
        <is>
          <t>06/02/2026</t>
        </is>
      </c>
      <c r="Q73" t="inlineStr">
        <is>
          <t>CN</t>
        </is>
      </c>
      <c r="R73" t="n">
        <v>1190</v>
      </c>
      <c r="S73" t="n">
        <v>1691</v>
      </c>
      <c r="T73" t="n">
        <v>0</v>
      </c>
    </row>
    <row r="74">
      <c r="H74">
        <f>IF(B62="","",TEXT(B62,"dd/mm") &amp; "-" &amp; IF(UPPER(TRIM(C62))="CN",1,IF(UPPER(TRIM(C62))="CD",2,"")))</f>
        <v/>
      </c>
      <c r="I74" s="1" t="n"/>
      <c r="J74" s="1" t="n"/>
      <c r="K74" s="1">
        <f>IFERROR($E62/SUM($D62:$F62),"")</f>
        <v/>
      </c>
      <c r="L74" s="1">
        <f>IFERROR($D62/SUM($D62:$F62),"")</f>
        <v/>
      </c>
      <c r="M74" s="1">
        <f>IFERROR($F62/SUM($D62:$F62),"")</f>
        <v/>
      </c>
      <c r="O74" t="n">
        <v>73</v>
      </c>
      <c r="P74" t="inlineStr">
        <is>
          <t>06/02/2026</t>
        </is>
      </c>
      <c r="Q74" t="inlineStr">
        <is>
          <t>CD</t>
        </is>
      </c>
      <c r="R74" t="n">
        <v>696</v>
      </c>
      <c r="S74" t="n">
        <v>2186</v>
      </c>
      <c r="T74" t="n">
        <v>0</v>
      </c>
    </row>
    <row r="75">
      <c r="H75">
        <f>IF(B63="","",TEXT(B63,"dd/mm") &amp; "-" &amp; IF(UPPER(TRIM(C63))="CN",1,IF(UPPER(TRIM(C63))="CD",2,"")))</f>
        <v/>
      </c>
      <c r="I75" s="1" t="n"/>
      <c r="J75" s="1" t="n"/>
      <c r="K75" s="1">
        <f>IFERROR($E63/SUM($D63:$F63),"")</f>
        <v/>
      </c>
      <c r="L75" s="1">
        <f>IFERROR($D63/SUM($D63:$F63),"")</f>
        <v/>
      </c>
      <c r="M75" s="1">
        <f>IFERROR($F63/SUM($D63:$F63),"")</f>
        <v/>
      </c>
      <c r="O75" t="n">
        <v>74</v>
      </c>
      <c r="P75" t="inlineStr">
        <is>
          <t>07/02/2026</t>
        </is>
      </c>
      <c r="Q75" t="inlineStr">
        <is>
          <t>CN</t>
        </is>
      </c>
      <c r="R75" t="n">
        <v>1199</v>
      </c>
      <c r="S75" t="n">
        <v>1681</v>
      </c>
      <c r="T75" t="n">
        <v>0</v>
      </c>
    </row>
    <row r="76">
      <c r="I76" s="1" t="n"/>
      <c r="J76" s="1" t="n"/>
      <c r="K76" s="1" t="n"/>
      <c r="L76" s="1" t="n"/>
      <c r="M76" s="1" t="n"/>
      <c r="O76" t="n">
        <v>75</v>
      </c>
      <c r="P76" t="inlineStr">
        <is>
          <t>07/02/2026</t>
        </is>
      </c>
      <c r="Q76" t="inlineStr">
        <is>
          <t>CD</t>
        </is>
      </c>
      <c r="R76" t="n">
        <v>995</v>
      </c>
      <c r="S76" t="n">
        <v>1888</v>
      </c>
      <c r="T76" t="n">
        <v>0</v>
      </c>
    </row>
    <row r="77">
      <c r="I77" s="1" t="n"/>
      <c r="J77" s="1" t="n"/>
      <c r="K77" s="1" t="n"/>
      <c r="L77" s="1" t="n"/>
      <c r="M77" s="1" t="n"/>
      <c r="O77" t="n">
        <v>76</v>
      </c>
      <c r="P77" t="inlineStr">
        <is>
          <t>08/02/2026</t>
        </is>
      </c>
      <c r="Q77" t="inlineStr">
        <is>
          <t>CN</t>
        </is>
      </c>
      <c r="R77" t="n">
        <v>1099</v>
      </c>
      <c r="S77" t="n">
        <v>1779</v>
      </c>
      <c r="T77" t="n">
        <v>0</v>
      </c>
    </row>
    <row r="78">
      <c r="I78" s="1" t="n"/>
      <c r="J78" s="1" t="n"/>
      <c r="K78" s="1" t="n"/>
      <c r="L78" s="1" t="n"/>
      <c r="M78" s="1" t="n"/>
      <c r="O78" t="n">
        <v>77</v>
      </c>
      <c r="P78" t="inlineStr">
        <is>
          <t>08/02/2026</t>
        </is>
      </c>
      <c r="Q78" t="inlineStr">
        <is>
          <t>CD</t>
        </is>
      </c>
      <c r="R78" t="n">
        <v>2575</v>
      </c>
      <c r="S78" t="n">
        <v>302</v>
      </c>
      <c r="T78" t="n">
        <v>0</v>
      </c>
    </row>
    <row r="79">
      <c r="I79" s="1" t="n"/>
      <c r="J79" s="1" t="n"/>
      <c r="K79" s="1" t="n"/>
      <c r="L79" s="1" t="n"/>
      <c r="M79" s="1" t="n"/>
      <c r="O79" t="n">
        <v>78</v>
      </c>
      <c r="P79" t="inlineStr">
        <is>
          <t>09/02/2026</t>
        </is>
      </c>
      <c r="Q79" t="inlineStr">
        <is>
          <t>CN</t>
        </is>
      </c>
      <c r="R79" t="n">
        <v>1271</v>
      </c>
      <c r="S79" t="n">
        <v>1611</v>
      </c>
      <c r="T79" t="n">
        <v>0</v>
      </c>
    </row>
    <row r="80">
      <c r="I80" s="1" t="n"/>
      <c r="J80" s="1" t="n"/>
      <c r="K80" s="1" t="n"/>
      <c r="L80" s="1" t="n"/>
      <c r="M80" s="1" t="n"/>
      <c r="O80" t="n">
        <v>79</v>
      </c>
      <c r="P80" t="inlineStr">
        <is>
          <t>09/02/2026</t>
        </is>
      </c>
      <c r="Q80" t="inlineStr">
        <is>
          <t>CD</t>
        </is>
      </c>
      <c r="R80" t="n">
        <v>835</v>
      </c>
      <c r="S80" t="n">
        <v>2047</v>
      </c>
      <c r="T80" t="n">
        <v>0</v>
      </c>
    </row>
    <row r="81">
      <c r="I81" s="1" t="n"/>
      <c r="J81" s="1" t="n"/>
      <c r="K81" s="1" t="n"/>
      <c r="L81" s="1" t="n"/>
      <c r="M81" s="1" t="n"/>
      <c r="O81" t="n">
        <v>80</v>
      </c>
      <c r="P81" t="inlineStr">
        <is>
          <t>10/02/2026</t>
        </is>
      </c>
      <c r="Q81" t="inlineStr">
        <is>
          <t>CN</t>
        </is>
      </c>
      <c r="R81" t="n">
        <v>1523</v>
      </c>
      <c r="S81" t="n">
        <v>1356</v>
      </c>
      <c r="T81" t="n">
        <v>0</v>
      </c>
    </row>
    <row r="82">
      <c r="I82" s="1" t="n"/>
      <c r="J82" s="1" t="n"/>
      <c r="K82" s="1" t="n"/>
      <c r="L82" s="1" t="n"/>
      <c r="M82" s="1" t="n"/>
      <c r="O82" t="n">
        <v>81</v>
      </c>
      <c r="P82" t="inlineStr">
        <is>
          <t>10/02/2026</t>
        </is>
      </c>
      <c r="Q82" t="inlineStr">
        <is>
          <t>CD</t>
        </is>
      </c>
      <c r="R82" t="n">
        <v>1124</v>
      </c>
      <c r="S82" t="n">
        <v>1757</v>
      </c>
      <c r="T82" t="n">
        <v>0</v>
      </c>
    </row>
    <row r="83">
      <c r="I83" s="1" t="n"/>
      <c r="J83" s="1" t="n"/>
      <c r="K83" s="1" t="n"/>
      <c r="L83" s="1" t="n"/>
      <c r="M83" s="1" t="n"/>
      <c r="O83" t="n">
        <v>82</v>
      </c>
      <c r="P83" t="inlineStr">
        <is>
          <t>11/02/2026</t>
        </is>
      </c>
      <c r="Q83" t="inlineStr">
        <is>
          <t>CN</t>
        </is>
      </c>
      <c r="R83" t="n">
        <v>1598</v>
      </c>
      <c r="S83" t="n">
        <v>1284</v>
      </c>
      <c r="T83" t="n">
        <v>0</v>
      </c>
    </row>
    <row r="84">
      <c r="I84" s="1" t="n"/>
      <c r="J84" s="1" t="n"/>
      <c r="K84" s="1" t="n"/>
      <c r="L84" s="1" t="n"/>
      <c r="M84" s="1" t="n"/>
      <c r="O84" t="n">
        <v>83</v>
      </c>
      <c r="P84" t="inlineStr">
        <is>
          <t>11/02/2026</t>
        </is>
      </c>
      <c r="Q84" t="inlineStr">
        <is>
          <t>CD</t>
        </is>
      </c>
      <c r="R84" t="n">
        <v>1147</v>
      </c>
      <c r="S84" t="n">
        <v>1733</v>
      </c>
      <c r="T84" t="n">
        <v>0</v>
      </c>
    </row>
    <row r="85">
      <c r="I85" s="1" t="n"/>
      <c r="J85" s="1" t="n"/>
      <c r="K85" s="1" t="n"/>
      <c r="L85" s="1" t="n"/>
      <c r="M85" s="1" t="n"/>
      <c r="O85" t="n">
        <v>84</v>
      </c>
      <c r="P85" t="inlineStr">
        <is>
          <t>12/02/2026</t>
        </is>
      </c>
      <c r="Q85" t="inlineStr">
        <is>
          <t>CN</t>
        </is>
      </c>
      <c r="R85" t="n">
        <v>1177</v>
      </c>
      <c r="S85" t="n">
        <v>1703</v>
      </c>
      <c r="T85" t="n">
        <v>0</v>
      </c>
    </row>
    <row r="86">
      <c r="I86" s="1" t="n"/>
      <c r="J86" s="1" t="n"/>
      <c r="K86" s="1" t="n"/>
      <c r="L86" s="1" t="n"/>
      <c r="M86" s="1" t="n"/>
      <c r="O86" t="n">
        <v>85</v>
      </c>
      <c r="P86" t="inlineStr">
        <is>
          <t>12/02/2026</t>
        </is>
      </c>
      <c r="Q86" t="inlineStr">
        <is>
          <t>CD</t>
        </is>
      </c>
      <c r="R86" t="n">
        <v>904</v>
      </c>
      <c r="S86" t="n">
        <v>1974</v>
      </c>
      <c r="T86" t="n">
        <v>4</v>
      </c>
    </row>
    <row r="87">
      <c r="I87" s="1" t="n"/>
      <c r="J87" s="1" t="n"/>
      <c r="K87" s="1" t="n"/>
      <c r="L87" s="1" t="n"/>
      <c r="M87" s="1" t="n"/>
      <c r="O87" t="n">
        <v>86</v>
      </c>
      <c r="P87" t="inlineStr">
        <is>
          <t>13/02/2026</t>
        </is>
      </c>
      <c r="Q87" t="inlineStr">
        <is>
          <t>CN</t>
        </is>
      </c>
      <c r="R87" t="n">
        <v>1313</v>
      </c>
      <c r="S87" t="n">
        <v>1567</v>
      </c>
      <c r="T87" t="n">
        <v>0</v>
      </c>
    </row>
    <row r="88">
      <c r="I88" s="1" t="n"/>
      <c r="J88" s="1" t="n"/>
      <c r="K88" s="1" t="n"/>
      <c r="L88" s="1" t="n"/>
      <c r="M88" s="1" t="n"/>
      <c r="O88" t="n">
        <v>87</v>
      </c>
      <c r="P88" t="inlineStr">
        <is>
          <t>13/02/2026</t>
        </is>
      </c>
      <c r="Q88" t="inlineStr">
        <is>
          <t>CD</t>
        </is>
      </c>
      <c r="R88" t="n">
        <v>565</v>
      </c>
      <c r="S88" t="n">
        <v>1259</v>
      </c>
      <c r="T88" t="n">
        <v>1052</v>
      </c>
    </row>
    <row r="89">
      <c r="I89" s="1" t="n"/>
      <c r="J89" s="1" t="n"/>
      <c r="K89" s="1" t="n"/>
      <c r="L89" s="1" t="n"/>
      <c r="M89" s="1" t="n"/>
      <c r="O89" t="n">
        <v>88</v>
      </c>
      <c r="P89" t="inlineStr">
        <is>
          <t>14/02/2026</t>
        </is>
      </c>
      <c r="Q89" t="inlineStr">
        <is>
          <t>CN</t>
        </is>
      </c>
      <c r="R89" t="n">
        <v>0</v>
      </c>
      <c r="S89" t="n">
        <v>0</v>
      </c>
      <c r="T89" t="n">
        <v>2880</v>
      </c>
    </row>
    <row r="90">
      <c r="I90" s="1" t="n"/>
      <c r="J90" s="1" t="n"/>
      <c r="K90" s="1" t="n"/>
      <c r="L90" s="1" t="n"/>
      <c r="M90" s="1" t="n"/>
      <c r="O90" t="n">
        <v>89</v>
      </c>
      <c r="P90" t="inlineStr">
        <is>
          <t>14/02/2026</t>
        </is>
      </c>
      <c r="Q90" t="inlineStr">
        <is>
          <t>CD</t>
        </is>
      </c>
      <c r="R90" t="n">
        <v>0</v>
      </c>
      <c r="S90" t="n">
        <v>0</v>
      </c>
      <c r="T90" t="n">
        <v>2880</v>
      </c>
    </row>
    <row r="91">
      <c r="I91" s="1" t="n"/>
      <c r="J91" s="1" t="n"/>
      <c r="K91" s="1" t="n"/>
      <c r="L91" s="1" t="n"/>
      <c r="M91" s="1" t="n"/>
      <c r="O91" t="n">
        <v>90</v>
      </c>
      <c r="P91" t="inlineStr">
        <is>
          <t>15/02/2026</t>
        </is>
      </c>
      <c r="Q91" t="inlineStr">
        <is>
          <t>CN</t>
        </is>
      </c>
      <c r="R91" t="n">
        <v>0</v>
      </c>
      <c r="S91" t="n">
        <v>0</v>
      </c>
      <c r="T91" t="n">
        <v>2880</v>
      </c>
    </row>
    <row r="92">
      <c r="I92" s="1" t="n"/>
      <c r="J92" s="1" t="n"/>
      <c r="K92" s="1" t="n"/>
      <c r="L92" s="1" t="n"/>
      <c r="M92" s="1" t="n"/>
      <c r="O92" t="n">
        <v>91</v>
      </c>
      <c r="P92" t="inlineStr">
        <is>
          <t>15/02/2026</t>
        </is>
      </c>
      <c r="Q92" t="inlineStr">
        <is>
          <t>CD</t>
        </is>
      </c>
      <c r="R92" t="n">
        <v>0</v>
      </c>
      <c r="S92" t="n">
        <v>0</v>
      </c>
      <c r="T92" t="n">
        <v>2880</v>
      </c>
    </row>
    <row r="93">
      <c r="I93" s="1" t="n"/>
      <c r="J93" s="1" t="n"/>
      <c r="K93" s="1" t="n"/>
      <c r="L93" s="1" t="n"/>
      <c r="M93" s="1" t="n"/>
      <c r="O93" t="n">
        <v>92</v>
      </c>
      <c r="P93" t="inlineStr">
        <is>
          <t>16/02/2026</t>
        </is>
      </c>
      <c r="Q93" t="inlineStr">
        <is>
          <t>CN</t>
        </is>
      </c>
      <c r="R93" t="n">
        <v>0</v>
      </c>
      <c r="S93" t="n">
        <v>0</v>
      </c>
      <c r="T93" t="n">
        <v>2880</v>
      </c>
    </row>
    <row r="94">
      <c r="I94" s="1" t="n"/>
      <c r="J94" s="1" t="n"/>
      <c r="K94" s="1" t="n"/>
      <c r="L94" s="1" t="n"/>
      <c r="M94" s="1" t="n"/>
      <c r="O94" t="n">
        <v>93</v>
      </c>
      <c r="P94" t="inlineStr">
        <is>
          <t>16/02/2026</t>
        </is>
      </c>
      <c r="Q94" t="inlineStr">
        <is>
          <t>CD</t>
        </is>
      </c>
      <c r="R94" t="n">
        <v>0</v>
      </c>
      <c r="S94" t="n">
        <v>0</v>
      </c>
      <c r="T94" t="n">
        <v>2880</v>
      </c>
    </row>
    <row r="95">
      <c r="I95" s="1" t="n"/>
      <c r="J95" s="1" t="n"/>
      <c r="K95" s="1" t="n"/>
      <c r="L95" s="1" t="n"/>
      <c r="M95" s="1" t="n"/>
      <c r="O95" t="n">
        <v>94</v>
      </c>
      <c r="P95" t="inlineStr">
        <is>
          <t>17/02/2026</t>
        </is>
      </c>
      <c r="Q95" t="inlineStr">
        <is>
          <t>CN</t>
        </is>
      </c>
      <c r="R95" t="n">
        <v>0</v>
      </c>
      <c r="S95" t="n">
        <v>0</v>
      </c>
      <c r="T95" t="n">
        <v>2880</v>
      </c>
    </row>
    <row r="96">
      <c r="I96" s="1" t="n"/>
      <c r="J96" s="1" t="n"/>
      <c r="K96" s="1" t="n"/>
      <c r="L96" s="1" t="n"/>
      <c r="M96" s="1" t="n"/>
      <c r="O96" t="n">
        <v>95</v>
      </c>
      <c r="P96" t="inlineStr">
        <is>
          <t>17/02/2026</t>
        </is>
      </c>
      <c r="Q96" t="inlineStr">
        <is>
          <t>CD</t>
        </is>
      </c>
      <c r="R96" t="n">
        <v>0</v>
      </c>
      <c r="S96" t="n">
        <v>0</v>
      </c>
      <c r="T96" t="n">
        <v>2880</v>
      </c>
    </row>
    <row r="97">
      <c r="I97" s="1" t="n"/>
      <c r="J97" s="1" t="n"/>
      <c r="K97" s="1" t="n"/>
      <c r="L97" s="1" t="n"/>
      <c r="M97" s="1" t="n"/>
      <c r="O97" t="n">
        <v>96</v>
      </c>
      <c r="P97" t="inlineStr">
        <is>
          <t>18/02/2026</t>
        </is>
      </c>
      <c r="Q97" t="inlineStr">
        <is>
          <t>CN</t>
        </is>
      </c>
      <c r="R97" t="n">
        <v>0</v>
      </c>
      <c r="S97" t="n">
        <v>0</v>
      </c>
      <c r="T97" t="n">
        <v>2880</v>
      </c>
    </row>
    <row r="98">
      <c r="I98" s="1" t="n"/>
      <c r="J98" s="1" t="n"/>
      <c r="K98" s="1" t="n"/>
      <c r="L98" s="1" t="n"/>
      <c r="M98" s="1" t="n"/>
      <c r="O98" t="n">
        <v>97</v>
      </c>
      <c r="P98" t="inlineStr">
        <is>
          <t>18/02/2026</t>
        </is>
      </c>
      <c r="Q98" t="inlineStr">
        <is>
          <t>CD</t>
        </is>
      </c>
      <c r="R98" t="n">
        <v>0</v>
      </c>
      <c r="S98" t="n">
        <v>0</v>
      </c>
      <c r="T98" t="n">
        <v>2880</v>
      </c>
    </row>
    <row r="99">
      <c r="I99" s="1" t="n"/>
      <c r="J99" s="1" t="n"/>
      <c r="K99" s="1" t="n"/>
      <c r="L99" s="1" t="n"/>
      <c r="M99" s="1" t="n"/>
      <c r="O99" t="n">
        <v>98</v>
      </c>
      <c r="P99" t="inlineStr">
        <is>
          <t>19/02/2026</t>
        </is>
      </c>
      <c r="Q99" t="inlineStr">
        <is>
          <t>CN</t>
        </is>
      </c>
      <c r="R99" t="n">
        <v>0</v>
      </c>
      <c r="S99" t="n">
        <v>0</v>
      </c>
      <c r="T99" t="n">
        <v>2880</v>
      </c>
    </row>
    <row r="100">
      <c r="I100" s="1" t="n"/>
      <c r="J100" s="1" t="n"/>
      <c r="K100" s="1" t="n"/>
      <c r="L100" s="1" t="n"/>
      <c r="M100" s="1" t="n"/>
      <c r="O100" t="n">
        <v>99</v>
      </c>
      <c r="P100" t="inlineStr">
        <is>
          <t>19/02/2026</t>
        </is>
      </c>
      <c r="Q100" t="inlineStr">
        <is>
          <t>CD</t>
        </is>
      </c>
      <c r="R100" t="n">
        <v>0</v>
      </c>
      <c r="S100" t="n">
        <v>0</v>
      </c>
      <c r="T100" t="n">
        <v>2880</v>
      </c>
    </row>
    <row r="101">
      <c r="I101" s="1" t="n"/>
      <c r="J101" s="1" t="n"/>
      <c r="K101" s="1" t="n"/>
      <c r="L101" s="1" t="n"/>
      <c r="M101" s="1" t="n"/>
      <c r="O101" t="n">
        <v>100</v>
      </c>
      <c r="P101" t="inlineStr">
        <is>
          <t>20/02/2026</t>
        </is>
      </c>
      <c r="Q101" t="inlineStr">
        <is>
          <t>CN</t>
        </is>
      </c>
      <c r="R101" t="n">
        <v>0</v>
      </c>
      <c r="S101" t="n">
        <v>0</v>
      </c>
      <c r="T101" t="n">
        <v>2880</v>
      </c>
    </row>
    <row r="102">
      <c r="O102" t="n">
        <v>101</v>
      </c>
      <c r="P102" t="inlineStr">
        <is>
          <t>20/02/2026</t>
        </is>
      </c>
      <c r="Q102" t="inlineStr">
        <is>
          <t>CD</t>
        </is>
      </c>
      <c r="R102" t="n">
        <v>0</v>
      </c>
      <c r="S102" t="n">
        <v>0</v>
      </c>
      <c r="T102" t="n">
        <v>2880</v>
      </c>
    </row>
    <row r="103">
      <c r="O103" t="n">
        <v>102</v>
      </c>
      <c r="P103" t="inlineStr">
        <is>
          <t>21/02/2026</t>
        </is>
      </c>
      <c r="Q103" t="inlineStr">
        <is>
          <t>CN</t>
        </is>
      </c>
      <c r="R103" t="n">
        <v>0</v>
      </c>
      <c r="S103" t="n">
        <v>0</v>
      </c>
      <c r="T103" t="n">
        <v>2880</v>
      </c>
    </row>
    <row r="104">
      <c r="O104" t="n">
        <v>103</v>
      </c>
      <c r="P104" t="inlineStr">
        <is>
          <t>21/02/2026</t>
        </is>
      </c>
      <c r="Q104" t="inlineStr">
        <is>
          <t>CD</t>
        </is>
      </c>
      <c r="R104" t="n">
        <v>0</v>
      </c>
      <c r="S104" t="n">
        <v>0</v>
      </c>
      <c r="T104" t="n">
        <v>2880</v>
      </c>
    </row>
    <row r="105">
      <c r="O105" t="n">
        <v>104</v>
      </c>
      <c r="P105" t="inlineStr">
        <is>
          <t>22/02/2026</t>
        </is>
      </c>
      <c r="Q105" t="inlineStr">
        <is>
          <t>CN</t>
        </is>
      </c>
      <c r="R105" t="n">
        <v>0</v>
      </c>
      <c r="S105" t="n">
        <v>0</v>
      </c>
      <c r="T105" t="n">
        <v>2880</v>
      </c>
    </row>
    <row r="106">
      <c r="O106" t="n">
        <v>105</v>
      </c>
      <c r="P106" t="inlineStr">
        <is>
          <t>22/02/2026</t>
        </is>
      </c>
      <c r="Q106" t="inlineStr">
        <is>
          <t>CD</t>
        </is>
      </c>
      <c r="R106" t="n">
        <v>0</v>
      </c>
      <c r="S106" t="n">
        <v>0</v>
      </c>
      <c r="T106" t="n">
        <v>2880</v>
      </c>
    </row>
    <row r="107">
      <c r="O107" t="n">
        <v>106</v>
      </c>
      <c r="P107" t="inlineStr">
        <is>
          <t>23/02/2026</t>
        </is>
      </c>
      <c r="Q107" t="inlineStr">
        <is>
          <t>CN</t>
        </is>
      </c>
      <c r="R107" t="n">
        <v>554</v>
      </c>
      <c r="S107" t="n">
        <v>1497</v>
      </c>
      <c r="T107" t="n">
        <v>826</v>
      </c>
    </row>
    <row r="108">
      <c r="O108" t="n">
        <v>107</v>
      </c>
      <c r="P108" t="inlineStr">
        <is>
          <t>23/02/2026</t>
        </is>
      </c>
      <c r="Q108" t="inlineStr">
        <is>
          <t>CD</t>
        </is>
      </c>
      <c r="R108" t="n">
        <v>880</v>
      </c>
      <c r="S108" t="n">
        <v>2001</v>
      </c>
      <c r="T108" t="n">
        <v>0</v>
      </c>
    </row>
    <row r="109">
      <c r="O109" t="n">
        <v>108</v>
      </c>
      <c r="P109" t="inlineStr">
        <is>
          <t>24/02/2026</t>
        </is>
      </c>
      <c r="Q109" t="inlineStr">
        <is>
          <t>CN</t>
        </is>
      </c>
      <c r="R109" t="n">
        <v>1240</v>
      </c>
      <c r="S109" t="n">
        <v>1641</v>
      </c>
      <c r="T109" t="n">
        <v>0</v>
      </c>
    </row>
    <row r="110">
      <c r="O110" t="n">
        <v>109</v>
      </c>
      <c r="P110" t="inlineStr">
        <is>
          <t>24/02/2026</t>
        </is>
      </c>
      <c r="Q110" t="inlineStr">
        <is>
          <t>CD</t>
        </is>
      </c>
      <c r="R110" t="n">
        <v>768</v>
      </c>
      <c r="S110" t="n">
        <v>2115</v>
      </c>
      <c r="T110" t="n">
        <v>0</v>
      </c>
    </row>
    <row r="111">
      <c r="O111" t="n">
        <v>110</v>
      </c>
      <c r="P111" t="inlineStr">
        <is>
          <t>25/02/2026</t>
        </is>
      </c>
      <c r="Q111" t="inlineStr">
        <is>
          <t>CN</t>
        </is>
      </c>
      <c r="R111" t="n">
        <v>923</v>
      </c>
      <c r="S111" t="n">
        <v>1956</v>
      </c>
      <c r="T111" t="n">
        <v>0</v>
      </c>
    </row>
    <row r="112">
      <c r="O112" t="n">
        <v>111</v>
      </c>
      <c r="P112" t="inlineStr">
        <is>
          <t>25/02/2026</t>
        </is>
      </c>
      <c r="Q112" t="inlineStr">
        <is>
          <t>CD</t>
        </is>
      </c>
      <c r="R112" t="n">
        <v>544</v>
      </c>
      <c r="S112" t="n">
        <v>2337</v>
      </c>
      <c r="T112" t="n">
        <v>0</v>
      </c>
    </row>
    <row r="113">
      <c r="O113" t="n">
        <v>112</v>
      </c>
      <c r="P113" t="inlineStr">
        <is>
          <t>26/02/2026</t>
        </is>
      </c>
      <c r="Q113" t="inlineStr">
        <is>
          <t>CN</t>
        </is>
      </c>
      <c r="R113" t="n">
        <v>1145</v>
      </c>
      <c r="S113" t="n">
        <v>1732</v>
      </c>
      <c r="T113" t="n">
        <v>0</v>
      </c>
    </row>
    <row r="114">
      <c r="O114" t="n">
        <v>113</v>
      </c>
      <c r="P114" t="inlineStr">
        <is>
          <t>26/02/2026</t>
        </is>
      </c>
      <c r="Q114" t="inlineStr">
        <is>
          <t>CD</t>
        </is>
      </c>
      <c r="R114" t="n">
        <v>324</v>
      </c>
      <c r="S114" t="n">
        <v>2556</v>
      </c>
      <c r="T114" t="n">
        <v>0</v>
      </c>
    </row>
    <row r="115">
      <c r="O115" t="n">
        <v>114</v>
      </c>
      <c r="P115" t="inlineStr">
        <is>
          <t>27/02/2026</t>
        </is>
      </c>
      <c r="Q115" t="inlineStr">
        <is>
          <t>CN</t>
        </is>
      </c>
      <c r="R115" t="n">
        <v>715</v>
      </c>
      <c r="S115" t="n">
        <v>2165</v>
      </c>
      <c r="T115" t="n">
        <v>0</v>
      </c>
    </row>
    <row r="116">
      <c r="O116" t="n">
        <v>115</v>
      </c>
      <c r="P116" t="inlineStr">
        <is>
          <t>27/02/2026</t>
        </is>
      </c>
      <c r="Q116" t="inlineStr">
        <is>
          <t>CD</t>
        </is>
      </c>
      <c r="R116" t="n">
        <v>725</v>
      </c>
      <c r="S116" t="n">
        <v>2154</v>
      </c>
      <c r="T116" t="n">
        <v>0</v>
      </c>
    </row>
    <row r="117">
      <c r="O117" t="n">
        <v>116</v>
      </c>
      <c r="P117" t="inlineStr">
        <is>
          <t>28/02/2026</t>
        </is>
      </c>
      <c r="Q117" t="inlineStr">
        <is>
          <t>CN</t>
        </is>
      </c>
      <c r="R117" t="n">
        <v>1266</v>
      </c>
      <c r="S117" t="n">
        <v>1615</v>
      </c>
      <c r="T117" t="n">
        <v>0</v>
      </c>
    </row>
    <row r="118">
      <c r="O118" t="n">
        <v>117</v>
      </c>
      <c r="P118" t="inlineStr">
        <is>
          <t>28/02/2026</t>
        </is>
      </c>
      <c r="Q118" t="inlineStr">
        <is>
          <t>CD</t>
        </is>
      </c>
      <c r="R118" t="n">
        <v>751</v>
      </c>
      <c r="S118" t="n">
        <v>1376</v>
      </c>
      <c r="T118" t="n">
        <v>754</v>
      </c>
    </row>
    <row r="119">
      <c r="O119" t="n">
        <v>118</v>
      </c>
      <c r="P119" t="inlineStr">
        <is>
          <t>01/03/2026</t>
        </is>
      </c>
      <c r="Q119" t="inlineStr">
        <is>
          <t>CN</t>
        </is>
      </c>
      <c r="R119" t="n">
        <v>332</v>
      </c>
      <c r="S119" t="n">
        <v>0</v>
      </c>
      <c r="T119" t="n">
        <v>2287</v>
      </c>
    </row>
    <row r="120">
      <c r="O120" t="n">
        <v>119</v>
      </c>
      <c r="P120" t="inlineStr">
        <is>
          <t>01/03/2026</t>
        </is>
      </c>
      <c r="Q120" t="inlineStr">
        <is>
          <t>CD</t>
        </is>
      </c>
      <c r="R120" t="n">
        <v>0</v>
      </c>
      <c r="S120" t="n">
        <v>0</v>
      </c>
      <c r="T120" t="n">
        <v>2880</v>
      </c>
    </row>
    <row r="121">
      <c r="O121" t="n">
        <v>120</v>
      </c>
      <c r="P121" t="inlineStr">
        <is>
          <t>02/03/2026</t>
        </is>
      </c>
      <c r="Q121" t="inlineStr">
        <is>
          <t>CN</t>
        </is>
      </c>
      <c r="R121" t="n">
        <v>646</v>
      </c>
      <c r="S121" t="n">
        <v>1420</v>
      </c>
      <c r="T121" t="n">
        <v>812</v>
      </c>
    </row>
    <row r="122">
      <c r="O122" t="n">
        <v>121</v>
      </c>
      <c r="P122" t="inlineStr">
        <is>
          <t>02/03/2026</t>
        </is>
      </c>
      <c r="Q122" t="inlineStr">
        <is>
          <t>CD</t>
        </is>
      </c>
      <c r="R122" t="n">
        <v>582</v>
      </c>
      <c r="S122" t="n">
        <v>2300</v>
      </c>
      <c r="T122" t="n">
        <v>0</v>
      </c>
    </row>
    <row r="123">
      <c r="O123" t="n">
        <v>122</v>
      </c>
      <c r="P123" t="inlineStr">
        <is>
          <t>03/03/2026</t>
        </is>
      </c>
      <c r="Q123" t="inlineStr">
        <is>
          <t>CN</t>
        </is>
      </c>
      <c r="R123" t="n">
        <v>1212</v>
      </c>
      <c r="S123" t="n">
        <v>1668</v>
      </c>
      <c r="T123" t="n">
        <v>0</v>
      </c>
    </row>
    <row r="124">
      <c r="O124" t="n">
        <v>123</v>
      </c>
      <c r="P124" t="inlineStr">
        <is>
          <t>03/03/2026</t>
        </is>
      </c>
      <c r="Q124" t="inlineStr">
        <is>
          <t>CD</t>
        </is>
      </c>
      <c r="R124" t="n">
        <v>704</v>
      </c>
      <c r="S124" t="n">
        <v>2177</v>
      </c>
      <c r="T124" t="n">
        <v>0</v>
      </c>
    </row>
    <row r="125">
      <c r="O125" t="n">
        <v>124</v>
      </c>
      <c r="P125" t="inlineStr">
        <is>
          <t>04/03/2026</t>
        </is>
      </c>
      <c r="Q125" t="inlineStr">
        <is>
          <t>CN</t>
        </is>
      </c>
      <c r="R125" t="n">
        <v>1319</v>
      </c>
      <c r="S125" t="n">
        <v>1561</v>
      </c>
      <c r="T125" t="n">
        <v>0</v>
      </c>
    </row>
    <row r="126">
      <c r="O126" t="n">
        <v>125</v>
      </c>
      <c r="P126" t="inlineStr">
        <is>
          <t>04/03/2026</t>
        </is>
      </c>
      <c r="Q126" t="inlineStr">
        <is>
          <t>CD</t>
        </is>
      </c>
      <c r="R126" t="n">
        <v>366</v>
      </c>
      <c r="S126" t="n">
        <v>2515</v>
      </c>
      <c r="T126" t="n">
        <v>0</v>
      </c>
    </row>
    <row r="127">
      <c r="O127" t="n">
        <v>126</v>
      </c>
      <c r="P127" t="inlineStr">
        <is>
          <t>05/03/2026</t>
        </is>
      </c>
      <c r="Q127" t="inlineStr">
        <is>
          <t>CN</t>
        </is>
      </c>
      <c r="R127" t="n">
        <v>1174</v>
      </c>
      <c r="S127" t="n">
        <v>1706</v>
      </c>
      <c r="T127" t="n">
        <v>0</v>
      </c>
    </row>
    <row r="128">
      <c r="O128" t="n">
        <v>127</v>
      </c>
      <c r="P128" t="inlineStr">
        <is>
          <t>05/03/2026</t>
        </is>
      </c>
      <c r="Q128" t="inlineStr">
        <is>
          <t>CD</t>
        </is>
      </c>
      <c r="R128" t="n">
        <v>485</v>
      </c>
      <c r="S128" t="n">
        <v>2396</v>
      </c>
      <c r="T128" t="n">
        <v>0</v>
      </c>
    </row>
    <row r="129">
      <c r="O129" t="n">
        <v>128</v>
      </c>
      <c r="P129" t="inlineStr">
        <is>
          <t>06/03/2026</t>
        </is>
      </c>
      <c r="Q129" t="inlineStr">
        <is>
          <t>CN</t>
        </is>
      </c>
      <c r="R129" t="n">
        <v>1144</v>
      </c>
      <c r="S129" t="n">
        <v>1737</v>
      </c>
      <c r="T129" t="n">
        <v>0</v>
      </c>
    </row>
    <row r="130">
      <c r="O130" t="n">
        <v>129</v>
      </c>
      <c r="P130" t="inlineStr">
        <is>
          <t>06/03/2026</t>
        </is>
      </c>
      <c r="Q130" t="inlineStr">
        <is>
          <t>CD</t>
        </is>
      </c>
      <c r="R130" t="n">
        <v>383</v>
      </c>
      <c r="S130" t="n">
        <v>2496</v>
      </c>
      <c r="T130" t="n">
        <v>0</v>
      </c>
    </row>
    <row r="131">
      <c r="O131" t="n">
        <v>130</v>
      </c>
      <c r="P131" t="inlineStr">
        <is>
          <t>07/03/2026</t>
        </is>
      </c>
      <c r="Q131" t="inlineStr">
        <is>
          <t>CN</t>
        </is>
      </c>
      <c r="R131" t="n">
        <v>1204</v>
      </c>
      <c r="S131" t="n">
        <v>1677</v>
      </c>
      <c r="T131" t="n">
        <v>0</v>
      </c>
    </row>
    <row r="132">
      <c r="O132" t="n">
        <v>131</v>
      </c>
      <c r="P132" t="inlineStr">
        <is>
          <t>07/03/2026</t>
        </is>
      </c>
      <c r="Q132" t="inlineStr">
        <is>
          <t>CD</t>
        </is>
      </c>
      <c r="R132" t="n">
        <v>855</v>
      </c>
      <c r="S132" t="n">
        <v>2024</v>
      </c>
      <c r="T132" t="n">
        <v>0</v>
      </c>
    </row>
    <row r="133">
      <c r="O133" t="n">
        <v>132</v>
      </c>
      <c r="P133" t="inlineStr">
        <is>
          <t>08/03/2026</t>
        </is>
      </c>
      <c r="Q133" t="inlineStr">
        <is>
          <t>CN</t>
        </is>
      </c>
      <c r="R133" t="n">
        <v>1213</v>
      </c>
      <c r="S133" t="n">
        <v>1667</v>
      </c>
      <c r="T133" t="n">
        <v>0</v>
      </c>
    </row>
    <row r="134">
      <c r="O134" t="n">
        <v>133</v>
      </c>
      <c r="P134" t="inlineStr">
        <is>
          <t>08/03/2026</t>
        </is>
      </c>
      <c r="Q134" t="inlineStr">
        <is>
          <t>CD</t>
        </is>
      </c>
      <c r="R134" t="n">
        <v>1875</v>
      </c>
      <c r="S134" t="n">
        <v>293</v>
      </c>
      <c r="T134" t="n">
        <v>708</v>
      </c>
    </row>
    <row r="135">
      <c r="O135" t="n">
        <v>134</v>
      </c>
      <c r="P135" t="inlineStr">
        <is>
          <t>09/03/2026</t>
        </is>
      </c>
      <c r="Q135" t="inlineStr">
        <is>
          <t>CN</t>
        </is>
      </c>
      <c r="R135" t="n">
        <v>1112</v>
      </c>
      <c r="S135" t="n">
        <v>1562</v>
      </c>
      <c r="T135" t="n">
        <v>206</v>
      </c>
    </row>
    <row r="136">
      <c r="O136" t="n">
        <v>135</v>
      </c>
      <c r="P136" t="inlineStr">
        <is>
          <t>09/03/2026</t>
        </is>
      </c>
      <c r="Q136" t="inlineStr">
        <is>
          <t>CD</t>
        </is>
      </c>
      <c r="R136" t="n">
        <v>594</v>
      </c>
      <c r="S136" t="n">
        <v>2287</v>
      </c>
      <c r="T136" t="n">
        <v>0</v>
      </c>
    </row>
    <row r="137">
      <c r="O137" t="n">
        <v>136</v>
      </c>
      <c r="P137" t="inlineStr">
        <is>
          <t>10/03/2026</t>
        </is>
      </c>
      <c r="Q137" t="inlineStr">
        <is>
          <t>CN</t>
        </is>
      </c>
      <c r="R137" t="n">
        <v>964</v>
      </c>
      <c r="S137" t="n">
        <v>1917</v>
      </c>
      <c r="T137" t="n">
        <v>0</v>
      </c>
    </row>
    <row r="138">
      <c r="O138" t="n">
        <v>137</v>
      </c>
      <c r="P138" t="inlineStr">
        <is>
          <t>10/03/2026</t>
        </is>
      </c>
      <c r="Q138" t="inlineStr">
        <is>
          <t>CD</t>
        </is>
      </c>
      <c r="R138" t="n">
        <v>654</v>
      </c>
      <c r="S138" t="n">
        <v>2227</v>
      </c>
      <c r="T138" t="n">
        <v>0</v>
      </c>
    </row>
    <row r="139">
      <c r="O139" t="n">
        <v>138</v>
      </c>
      <c r="P139" t="inlineStr">
        <is>
          <t>11/03/2026</t>
        </is>
      </c>
      <c r="Q139" t="inlineStr">
        <is>
          <t>CN</t>
        </is>
      </c>
      <c r="R139" t="n">
        <v>1263</v>
      </c>
      <c r="S139" t="n">
        <v>1620</v>
      </c>
      <c r="T139" t="n">
        <v>0</v>
      </c>
    </row>
    <row r="140">
      <c r="O140" t="n">
        <v>139</v>
      </c>
      <c r="P140" t="inlineStr">
        <is>
          <t>11/03/2026</t>
        </is>
      </c>
      <c r="Q140" t="inlineStr">
        <is>
          <t>CD</t>
        </is>
      </c>
      <c r="R140" t="n">
        <v>940</v>
      </c>
      <c r="S140" t="n">
        <v>1943</v>
      </c>
      <c r="T140" t="n">
        <v>0</v>
      </c>
    </row>
    <row r="141">
      <c r="O141" t="n">
        <v>140</v>
      </c>
      <c r="P141" t="inlineStr">
        <is>
          <t>12/03/2026</t>
        </is>
      </c>
      <c r="Q141" t="inlineStr">
        <is>
          <t>CN</t>
        </is>
      </c>
      <c r="R141" t="n">
        <v>1340</v>
      </c>
      <c r="S141" t="n">
        <v>1541</v>
      </c>
      <c r="T141" t="n">
        <v>0</v>
      </c>
    </row>
    <row r="142">
      <c r="O142" t="n">
        <v>141</v>
      </c>
      <c r="P142" t="inlineStr">
        <is>
          <t>12/03/2026</t>
        </is>
      </c>
      <c r="Q142" t="inlineStr">
        <is>
          <t>CD</t>
        </is>
      </c>
      <c r="R142" t="n">
        <v>815</v>
      </c>
      <c r="S142" t="n">
        <v>2065</v>
      </c>
      <c r="T142" t="n">
        <v>0</v>
      </c>
    </row>
    <row r="143">
      <c r="O143" t="n">
        <v>142</v>
      </c>
      <c r="P143" t="inlineStr">
        <is>
          <t>13/03/2026</t>
        </is>
      </c>
      <c r="Q143" t="inlineStr">
        <is>
          <t>CN</t>
        </is>
      </c>
      <c r="R143" t="n">
        <v>1323</v>
      </c>
      <c r="S143" t="n">
        <v>1560</v>
      </c>
      <c r="T143" t="n">
        <v>0</v>
      </c>
    </row>
    <row r="144">
      <c r="O144" t="n">
        <v>143</v>
      </c>
      <c r="P144" t="inlineStr">
        <is>
          <t>13/03/2026</t>
        </is>
      </c>
      <c r="Q144" t="inlineStr">
        <is>
          <t>CD</t>
        </is>
      </c>
      <c r="R144" t="n">
        <v>910</v>
      </c>
      <c r="S144" t="n">
        <v>1973</v>
      </c>
      <c r="T144" t="n">
        <v>0</v>
      </c>
    </row>
    <row r="145">
      <c r="O145" t="n">
        <v>144</v>
      </c>
      <c r="P145" t="inlineStr">
        <is>
          <t>14/03/2026</t>
        </is>
      </c>
      <c r="Q145" t="inlineStr">
        <is>
          <t>CN</t>
        </is>
      </c>
      <c r="R145" t="n">
        <v>1028</v>
      </c>
      <c r="S145" t="n">
        <v>1851</v>
      </c>
      <c r="T145" t="n">
        <v>0</v>
      </c>
    </row>
    <row r="146">
      <c r="O146" t="n">
        <v>145</v>
      </c>
      <c r="P146" t="inlineStr">
        <is>
          <t>14/03/2026</t>
        </is>
      </c>
      <c r="Q146" t="inlineStr">
        <is>
          <t>CD</t>
        </is>
      </c>
      <c r="R146" t="n">
        <v>301</v>
      </c>
      <c r="S146" t="n">
        <v>1607</v>
      </c>
      <c r="T146" t="n">
        <v>970</v>
      </c>
    </row>
    <row r="147">
      <c r="O147" t="n">
        <v>146</v>
      </c>
      <c r="P147" t="inlineStr">
        <is>
          <t>15/03/2026</t>
        </is>
      </c>
      <c r="Q147" t="inlineStr">
        <is>
          <t>CN</t>
        </is>
      </c>
      <c r="R147" t="n">
        <v>0</v>
      </c>
      <c r="S147" t="n">
        <v>0</v>
      </c>
      <c r="T147" t="n">
        <v>2880</v>
      </c>
    </row>
    <row r="148">
      <c r="O148" t="n">
        <v>147</v>
      </c>
      <c r="P148" t="inlineStr">
        <is>
          <t>15/03/2026</t>
        </is>
      </c>
      <c r="Q148" t="inlineStr">
        <is>
          <t>CD</t>
        </is>
      </c>
      <c r="R148" t="n">
        <v>0</v>
      </c>
      <c r="S148" t="n">
        <v>0</v>
      </c>
      <c r="T148" t="n">
        <v>2880</v>
      </c>
    </row>
    <row r="149">
      <c r="O149" t="n">
        <v>148</v>
      </c>
      <c r="P149" t="inlineStr">
        <is>
          <t>16/03/2026</t>
        </is>
      </c>
      <c r="Q149" t="inlineStr">
        <is>
          <t>CN</t>
        </is>
      </c>
      <c r="R149" t="n">
        <v>484</v>
      </c>
      <c r="S149" t="n">
        <v>1582</v>
      </c>
      <c r="T149" t="n">
        <v>812</v>
      </c>
    </row>
    <row r="150">
      <c r="O150" t="n">
        <v>149</v>
      </c>
      <c r="P150" t="inlineStr">
        <is>
          <t>16/03/2026</t>
        </is>
      </c>
      <c r="Q150" t="inlineStr">
        <is>
          <t>CD</t>
        </is>
      </c>
      <c r="R150" t="n">
        <v>703</v>
      </c>
      <c r="S150" t="n">
        <v>2178</v>
      </c>
      <c r="T150" t="n">
        <v>0</v>
      </c>
    </row>
    <row r="151">
      <c r="O151" t="n">
        <v>150</v>
      </c>
      <c r="P151" t="inlineStr">
        <is>
          <t>17/03/2026</t>
        </is>
      </c>
      <c r="Q151" t="inlineStr">
        <is>
          <t>CN</t>
        </is>
      </c>
      <c r="R151" t="n">
        <v>926</v>
      </c>
      <c r="S151" t="n">
        <v>1955</v>
      </c>
      <c r="T151" t="n">
        <v>0</v>
      </c>
    </row>
    <row r="152">
      <c r="O152" t="n">
        <v>151</v>
      </c>
      <c r="P152" t="inlineStr">
        <is>
          <t>17/03/2026</t>
        </is>
      </c>
      <c r="Q152" t="inlineStr">
        <is>
          <t>CD</t>
        </is>
      </c>
      <c r="R152" t="n">
        <v>405</v>
      </c>
      <c r="S152" t="n">
        <v>2474</v>
      </c>
      <c r="T152" t="n">
        <v>0</v>
      </c>
    </row>
    <row r="153">
      <c r="O153" t="n">
        <v>152</v>
      </c>
      <c r="P153" t="inlineStr">
        <is>
          <t>18/03/2026</t>
        </is>
      </c>
      <c r="Q153" t="inlineStr">
        <is>
          <t>CN</t>
        </is>
      </c>
      <c r="R153" t="n">
        <v>1135</v>
      </c>
      <c r="S153" t="n">
        <v>1746</v>
      </c>
      <c r="T153" t="n">
        <v>0</v>
      </c>
    </row>
    <row r="154">
      <c r="O154" t="n">
        <v>153</v>
      </c>
      <c r="P154" t="inlineStr">
        <is>
          <t>18/03/2026</t>
        </is>
      </c>
      <c r="Q154" t="inlineStr">
        <is>
          <t>CD</t>
        </is>
      </c>
      <c r="R154" t="n">
        <v>823</v>
      </c>
      <c r="S154" t="n">
        <v>2058</v>
      </c>
      <c r="T154" t="n">
        <v>0</v>
      </c>
    </row>
    <row r="155">
      <c r="O155" t="n">
        <v>154</v>
      </c>
      <c r="P155" t="inlineStr">
        <is>
          <t>19/03/2026</t>
        </is>
      </c>
      <c r="Q155" t="inlineStr">
        <is>
          <t>CN</t>
        </is>
      </c>
      <c r="R155" t="n">
        <v>1258</v>
      </c>
      <c r="S155" t="n">
        <v>1623</v>
      </c>
      <c r="T155" t="n">
        <v>0</v>
      </c>
    </row>
    <row r="156">
      <c r="O156" t="n">
        <v>155</v>
      </c>
      <c r="P156" t="inlineStr">
        <is>
          <t>19/03/2026</t>
        </is>
      </c>
      <c r="Q156" t="inlineStr">
        <is>
          <t>CD</t>
        </is>
      </c>
      <c r="R156" t="n">
        <v>878</v>
      </c>
      <c r="S156" t="n">
        <v>2005</v>
      </c>
      <c r="T156" t="n">
        <v>0</v>
      </c>
    </row>
    <row r="157">
      <c r="O157" t="n">
        <v>156</v>
      </c>
      <c r="P157" t="inlineStr">
        <is>
          <t>20/03/2026</t>
        </is>
      </c>
      <c r="Q157" t="inlineStr">
        <is>
          <t>CN</t>
        </is>
      </c>
      <c r="R157" t="n">
        <v>1225</v>
      </c>
      <c r="S157" t="n">
        <v>1656</v>
      </c>
      <c r="T157" t="n">
        <v>0</v>
      </c>
    </row>
    <row r="158">
      <c r="O158" t="n">
        <v>157</v>
      </c>
      <c r="P158" t="inlineStr">
        <is>
          <t>20/03/2026</t>
        </is>
      </c>
      <c r="Q158" t="inlineStr">
        <is>
          <t>CD</t>
        </is>
      </c>
      <c r="R158" t="n">
        <v>657</v>
      </c>
      <c r="S158" t="n">
        <v>2225</v>
      </c>
      <c r="T158" t="n">
        <v>0</v>
      </c>
    </row>
    <row r="159">
      <c r="O159" t="n">
        <v>158</v>
      </c>
      <c r="P159" t="inlineStr">
        <is>
          <t>21/03/2026</t>
        </is>
      </c>
      <c r="Q159" t="inlineStr">
        <is>
          <t>CN</t>
        </is>
      </c>
      <c r="R159" t="n">
        <v>1223</v>
      </c>
      <c r="S159" t="n">
        <v>1658</v>
      </c>
      <c r="T159" t="n">
        <v>0</v>
      </c>
    </row>
    <row r="160">
      <c r="O160" t="n">
        <v>159</v>
      </c>
      <c r="P160" t="inlineStr">
        <is>
          <t>21/03/2026</t>
        </is>
      </c>
      <c r="Q160" t="inlineStr">
        <is>
          <t>CD</t>
        </is>
      </c>
      <c r="R160" t="n">
        <v>1113</v>
      </c>
      <c r="S160" t="n">
        <v>1767</v>
      </c>
      <c r="T160" t="n">
        <v>0</v>
      </c>
    </row>
    <row r="161">
      <c r="O161" t="n">
        <v>160</v>
      </c>
      <c r="P161" t="inlineStr">
        <is>
          <t>22/03/2026</t>
        </is>
      </c>
      <c r="Q161" t="inlineStr">
        <is>
          <t>CN</t>
        </is>
      </c>
      <c r="R161" t="n">
        <v>1171</v>
      </c>
      <c r="S161" t="n">
        <v>1693</v>
      </c>
      <c r="T161" t="n">
        <v>14</v>
      </c>
    </row>
    <row r="162">
      <c r="O162" t="n">
        <v>161</v>
      </c>
      <c r="P162" t="inlineStr">
        <is>
          <t>22/03/2026</t>
        </is>
      </c>
      <c r="Q162" t="inlineStr">
        <is>
          <t>CD</t>
        </is>
      </c>
      <c r="R162" t="n">
        <v>1354</v>
      </c>
      <c r="S162" t="n">
        <v>84</v>
      </c>
      <c r="T162" t="n">
        <v>1440</v>
      </c>
    </row>
    <row r="163">
      <c r="O163" t="n">
        <v>162</v>
      </c>
      <c r="P163" t="inlineStr">
        <is>
          <t>23/03/2026</t>
        </is>
      </c>
      <c r="Q163" t="inlineStr">
        <is>
          <t>CN</t>
        </is>
      </c>
      <c r="R163" t="n">
        <v>1060</v>
      </c>
      <c r="S163" t="n">
        <v>1416</v>
      </c>
      <c r="T163" t="n">
        <v>404</v>
      </c>
    </row>
    <row r="164">
      <c r="O164" t="n">
        <v>163</v>
      </c>
      <c r="P164" t="inlineStr">
        <is>
          <t>23/03/2026</t>
        </is>
      </c>
      <c r="Q164" t="inlineStr">
        <is>
          <t>CD</t>
        </is>
      </c>
      <c r="R164" t="n">
        <v>550</v>
      </c>
      <c r="S164" t="n">
        <v>2330</v>
      </c>
      <c r="T164" t="n">
        <v>0</v>
      </c>
    </row>
    <row r="165">
      <c r="O165" t="n">
        <v>164</v>
      </c>
      <c r="P165" t="inlineStr">
        <is>
          <t>24/03/2026</t>
        </is>
      </c>
      <c r="Q165" t="inlineStr">
        <is>
          <t>CN</t>
        </is>
      </c>
      <c r="R165" t="n">
        <v>1140</v>
      </c>
      <c r="S165" t="n">
        <v>1741</v>
      </c>
      <c r="T165" t="n">
        <v>0</v>
      </c>
    </row>
    <row r="166">
      <c r="O166" t="n">
        <v>165</v>
      </c>
      <c r="P166" t="inlineStr">
        <is>
          <t>24/03/2026</t>
        </is>
      </c>
      <c r="Q166" t="inlineStr">
        <is>
          <t>CD</t>
        </is>
      </c>
      <c r="R166" t="n">
        <v>688</v>
      </c>
      <c r="S166" t="n">
        <v>2192</v>
      </c>
      <c r="T166" t="n">
        <v>0</v>
      </c>
    </row>
    <row r="167">
      <c r="O167" t="n">
        <v>166</v>
      </c>
      <c r="P167" t="inlineStr">
        <is>
          <t>25/03/2026</t>
        </is>
      </c>
      <c r="Q167" t="inlineStr">
        <is>
          <t>CN</t>
        </is>
      </c>
      <c r="R167" t="n">
        <v>1126</v>
      </c>
      <c r="S167" t="n">
        <v>1753</v>
      </c>
      <c r="T167" t="n">
        <v>0</v>
      </c>
    </row>
    <row r="168">
      <c r="O168" t="n">
        <v>167</v>
      </c>
      <c r="P168" t="inlineStr">
        <is>
          <t>25/03/2026</t>
        </is>
      </c>
      <c r="Q168" t="inlineStr">
        <is>
          <t>CD</t>
        </is>
      </c>
      <c r="R168" t="n">
        <v>448</v>
      </c>
      <c r="S168" t="n">
        <v>2430</v>
      </c>
      <c r="T168" t="n">
        <v>1</v>
      </c>
    </row>
    <row r="169">
      <c r="O169" t="n">
        <v>168</v>
      </c>
      <c r="P169" t="inlineStr">
        <is>
          <t>26/03/2026</t>
        </is>
      </c>
      <c r="Q169" t="inlineStr">
        <is>
          <t>CN</t>
        </is>
      </c>
      <c r="R169" t="n">
        <v>1046</v>
      </c>
      <c r="S169" t="n">
        <v>1835</v>
      </c>
      <c r="T169" t="n">
        <v>0</v>
      </c>
    </row>
    <row r="170">
      <c r="O170" t="n">
        <v>169</v>
      </c>
      <c r="P170" t="inlineStr">
        <is>
          <t>26/03/2026</t>
        </is>
      </c>
      <c r="Q170" t="inlineStr">
        <is>
          <t>CD</t>
        </is>
      </c>
      <c r="R170" t="n">
        <v>485</v>
      </c>
      <c r="S170" t="n">
        <v>2396</v>
      </c>
      <c r="T170" t="n">
        <v>0</v>
      </c>
    </row>
    <row r="171">
      <c r="O171" t="n">
        <v>170</v>
      </c>
      <c r="P171" t="inlineStr">
        <is>
          <t>27/03/2026</t>
        </is>
      </c>
      <c r="Q171" t="inlineStr">
        <is>
          <t>CN</t>
        </is>
      </c>
      <c r="R171" t="n">
        <v>1004</v>
      </c>
      <c r="S171" t="n">
        <v>1877</v>
      </c>
      <c r="T171" t="n">
        <v>0</v>
      </c>
    </row>
    <row r="172">
      <c r="O172" t="n">
        <v>171</v>
      </c>
      <c r="P172" t="inlineStr">
        <is>
          <t>27/03/2026</t>
        </is>
      </c>
      <c r="Q172" t="inlineStr">
        <is>
          <t>CD</t>
        </is>
      </c>
      <c r="R172" t="n">
        <v>524</v>
      </c>
      <c r="S172" t="n">
        <v>2355</v>
      </c>
      <c r="T172" t="n">
        <v>0</v>
      </c>
    </row>
    <row r="173">
      <c r="O173" t="n">
        <v>172</v>
      </c>
      <c r="P173" t="inlineStr">
        <is>
          <t>28/03/2026</t>
        </is>
      </c>
      <c r="Q173" t="inlineStr">
        <is>
          <t>CN</t>
        </is>
      </c>
      <c r="R173" t="n">
        <v>1056</v>
      </c>
      <c r="S173" t="n">
        <v>1824</v>
      </c>
      <c r="T173" t="n">
        <v>0</v>
      </c>
    </row>
    <row r="174">
      <c r="O174" t="n">
        <v>173</v>
      </c>
      <c r="P174" t="inlineStr">
        <is>
          <t>28/03/2026</t>
        </is>
      </c>
      <c r="Q174" t="inlineStr">
        <is>
          <t>CD</t>
        </is>
      </c>
      <c r="R174" t="n">
        <v>825</v>
      </c>
      <c r="S174" t="n">
        <v>2055</v>
      </c>
      <c r="T174" t="n">
        <v>0</v>
      </c>
    </row>
    <row r="175">
      <c r="O175" t="n">
        <v>174</v>
      </c>
      <c r="P175" t="inlineStr">
        <is>
          <t>29/03/2026</t>
        </is>
      </c>
      <c r="Q175" t="inlineStr">
        <is>
          <t>CN</t>
        </is>
      </c>
      <c r="R175" t="n">
        <v>1245</v>
      </c>
      <c r="S175" t="n">
        <v>1634</v>
      </c>
      <c r="T175" t="n">
        <v>0</v>
      </c>
    </row>
    <row r="176">
      <c r="O176" t="n">
        <v>175</v>
      </c>
      <c r="P176" t="inlineStr">
        <is>
          <t>29/03/2026</t>
        </is>
      </c>
      <c r="Q176" t="inlineStr">
        <is>
          <t>CD</t>
        </is>
      </c>
      <c r="R176" t="n">
        <v>2633</v>
      </c>
      <c r="S176" t="n">
        <v>243</v>
      </c>
      <c r="T176" t="n">
        <v>0</v>
      </c>
    </row>
    <row r="177">
      <c r="O177" t="n">
        <v>176</v>
      </c>
      <c r="P177" t="inlineStr">
        <is>
          <t>30/03/2026</t>
        </is>
      </c>
      <c r="Q177" t="inlineStr">
        <is>
          <t>CN</t>
        </is>
      </c>
      <c r="R177" t="n">
        <v>1254</v>
      </c>
      <c r="S177" t="n">
        <v>1627</v>
      </c>
      <c r="T177" t="n">
        <v>0</v>
      </c>
    </row>
    <row r="178">
      <c r="O178" t="n">
        <v>177</v>
      </c>
      <c r="P178" t="inlineStr">
        <is>
          <t>30/03/2026</t>
        </is>
      </c>
      <c r="Q178" t="inlineStr">
        <is>
          <t>CD</t>
        </is>
      </c>
      <c r="R178" t="n">
        <v>417</v>
      </c>
      <c r="S178" t="n">
        <v>2465</v>
      </c>
      <c r="T178" t="n">
        <v>0</v>
      </c>
    </row>
    <row r="179">
      <c r="O179" t="n">
        <v>178</v>
      </c>
      <c r="P179" t="inlineStr">
        <is>
          <t>31/03/2026</t>
        </is>
      </c>
      <c r="Q179" t="inlineStr">
        <is>
          <t>CN</t>
        </is>
      </c>
      <c r="R179" t="n">
        <v>1013</v>
      </c>
      <c r="S179" t="n">
        <v>1866</v>
      </c>
      <c r="T179" t="n">
        <v>0</v>
      </c>
    </row>
    <row r="180">
      <c r="O180" t="n">
        <v>179</v>
      </c>
      <c r="P180" t="inlineStr">
        <is>
          <t>31/03/2026</t>
        </is>
      </c>
      <c r="Q180" t="inlineStr">
        <is>
          <t>CD</t>
        </is>
      </c>
      <c r="R180" t="n">
        <v>657</v>
      </c>
      <c r="S180" t="n">
        <v>2224</v>
      </c>
      <c r="T180" t="n">
        <v>0</v>
      </c>
    </row>
    <row r="181">
      <c r="O181" t="n">
        <v>180</v>
      </c>
      <c r="P181" t="inlineStr">
        <is>
          <t>01/04/2026</t>
        </is>
      </c>
      <c r="Q181" t="inlineStr">
        <is>
          <t>CN</t>
        </is>
      </c>
      <c r="R181" t="n">
        <v>1261</v>
      </c>
      <c r="S181" t="n">
        <v>1622</v>
      </c>
      <c r="T181" t="n">
        <v>0</v>
      </c>
    </row>
    <row r="182">
      <c r="O182" t="n">
        <v>181</v>
      </c>
      <c r="P182" t="inlineStr">
        <is>
          <t>01/04/2026</t>
        </is>
      </c>
      <c r="Q182" t="inlineStr">
        <is>
          <t>CD</t>
        </is>
      </c>
      <c r="R182" t="n">
        <v>579</v>
      </c>
      <c r="S182" t="n">
        <v>2301</v>
      </c>
      <c r="T182" t="n">
        <v>0</v>
      </c>
    </row>
    <row r="183">
      <c r="O183" t="n">
        <v>182</v>
      </c>
      <c r="P183" t="inlineStr">
        <is>
          <t>02/04/2026</t>
        </is>
      </c>
      <c r="Q183" t="inlineStr">
        <is>
          <t>CN</t>
        </is>
      </c>
      <c r="R183" t="n">
        <v>1214</v>
      </c>
      <c r="S183" t="n">
        <v>1670</v>
      </c>
      <c r="T183" t="n">
        <v>0</v>
      </c>
    </row>
    <row r="184">
      <c r="O184" t="n">
        <v>183</v>
      </c>
      <c r="P184" t="inlineStr">
        <is>
          <t>02/04/2026</t>
        </is>
      </c>
      <c r="Q184" t="inlineStr">
        <is>
          <t>CD</t>
        </is>
      </c>
      <c r="R184" t="n">
        <v>713</v>
      </c>
      <c r="S184" t="n">
        <v>2169</v>
      </c>
      <c r="T184" t="n">
        <v>0</v>
      </c>
    </row>
    <row r="185">
      <c r="O185" t="n">
        <v>184</v>
      </c>
      <c r="P185" t="inlineStr">
        <is>
          <t>03/04/2026</t>
        </is>
      </c>
      <c r="Q185" t="inlineStr">
        <is>
          <t>CN</t>
        </is>
      </c>
      <c r="R185" t="n">
        <v>1293</v>
      </c>
      <c r="S185" t="n">
        <v>1588</v>
      </c>
      <c r="T185" t="n">
        <v>0</v>
      </c>
    </row>
    <row r="186">
      <c r="O186" t="n">
        <v>185</v>
      </c>
      <c r="P186" t="inlineStr">
        <is>
          <t>03/04/2026</t>
        </is>
      </c>
      <c r="Q186" t="inlineStr">
        <is>
          <t>CD</t>
        </is>
      </c>
      <c r="R186" t="n">
        <v>980</v>
      </c>
      <c r="S186" t="n">
        <v>1905</v>
      </c>
      <c r="T186" t="n">
        <v>0</v>
      </c>
    </row>
    <row r="187">
      <c r="O187" t="n">
        <v>186</v>
      </c>
      <c r="P187" t="inlineStr">
        <is>
          <t>04/04/2026</t>
        </is>
      </c>
      <c r="Q187" t="inlineStr">
        <is>
          <t>CN</t>
        </is>
      </c>
      <c r="R187" t="n">
        <v>1176</v>
      </c>
      <c r="S187" t="n">
        <v>1703</v>
      </c>
      <c r="T187" t="n">
        <v>1</v>
      </c>
    </row>
    <row r="188">
      <c r="O188" t="n">
        <v>187</v>
      </c>
      <c r="P188" t="inlineStr">
        <is>
          <t>04/04/2026</t>
        </is>
      </c>
      <c r="Q188" t="inlineStr">
        <is>
          <t>CD</t>
        </is>
      </c>
      <c r="R188" t="n">
        <v>740</v>
      </c>
      <c r="S188" t="n">
        <v>2140</v>
      </c>
      <c r="T188" t="n">
        <v>0</v>
      </c>
    </row>
    <row r="189">
      <c r="O189" t="n">
        <v>188</v>
      </c>
      <c r="P189" t="inlineStr">
        <is>
          <t>05/04/2026</t>
        </is>
      </c>
      <c r="Q189" t="inlineStr">
        <is>
          <t>CN</t>
        </is>
      </c>
      <c r="R189" t="n">
        <v>1426</v>
      </c>
      <c r="S189" t="n">
        <v>1413</v>
      </c>
      <c r="T189" t="n">
        <v>41</v>
      </c>
    </row>
    <row r="190">
      <c r="O190" t="n">
        <v>189</v>
      </c>
      <c r="P190" t="inlineStr">
        <is>
          <t>05/04/2026</t>
        </is>
      </c>
      <c r="Q190" t="inlineStr">
        <is>
          <t>CD</t>
        </is>
      </c>
      <c r="R190" t="n">
        <v>0</v>
      </c>
      <c r="S190" t="n">
        <v>85</v>
      </c>
      <c r="T190" t="n">
        <v>2793</v>
      </c>
    </row>
    <row r="191">
      <c r="O191" t="n">
        <v>190</v>
      </c>
      <c r="P191" t="inlineStr">
        <is>
          <t>06/04/2026</t>
        </is>
      </c>
      <c r="Q191" t="inlineStr">
        <is>
          <t>CN</t>
        </is>
      </c>
      <c r="R191" t="n">
        <v>628</v>
      </c>
      <c r="S191" t="n">
        <v>1452</v>
      </c>
      <c r="T191" t="n">
        <v>800</v>
      </c>
    </row>
    <row r="192">
      <c r="O192" t="n">
        <v>191</v>
      </c>
      <c r="P192" t="inlineStr">
        <is>
          <t>06/04/2026</t>
        </is>
      </c>
      <c r="Q192" t="inlineStr">
        <is>
          <t>CD</t>
        </is>
      </c>
      <c r="R192" t="n">
        <v>633</v>
      </c>
      <c r="S192" t="n">
        <v>2251</v>
      </c>
      <c r="T192" t="n">
        <v>0</v>
      </c>
    </row>
    <row r="193">
      <c r="O193" t="n">
        <v>192</v>
      </c>
      <c r="P193" t="inlineStr">
        <is>
          <t>07/04/2026</t>
        </is>
      </c>
      <c r="Q193" t="inlineStr">
        <is>
          <t>CN</t>
        </is>
      </c>
      <c r="R193" t="n">
        <v>1378</v>
      </c>
      <c r="S193" t="n">
        <v>1507</v>
      </c>
      <c r="T193" t="n">
        <v>0</v>
      </c>
    </row>
    <row r="194">
      <c r="O194" t="n">
        <v>193</v>
      </c>
      <c r="P194" t="inlineStr">
        <is>
          <t>07/04/2026</t>
        </is>
      </c>
      <c r="Q194" t="inlineStr">
        <is>
          <t>CD</t>
        </is>
      </c>
      <c r="R194" t="n">
        <v>866</v>
      </c>
      <c r="S194" t="n">
        <v>2017</v>
      </c>
      <c r="T194" t="n">
        <v>0</v>
      </c>
    </row>
    <row r="195">
      <c r="O195" t="n">
        <v>194</v>
      </c>
      <c r="P195" t="inlineStr">
        <is>
          <t>08/04/2026</t>
        </is>
      </c>
      <c r="Q195" t="inlineStr">
        <is>
          <t>CN</t>
        </is>
      </c>
      <c r="R195" t="n">
        <v>1172</v>
      </c>
      <c r="S195" t="n">
        <v>1708</v>
      </c>
      <c r="T195" t="n">
        <v>0</v>
      </c>
    </row>
    <row r="196">
      <c r="O196" t="n">
        <v>195</v>
      </c>
      <c r="P196" t="inlineStr">
        <is>
          <t>08/04/2026</t>
        </is>
      </c>
      <c r="Q196" t="inlineStr">
        <is>
          <t>CD</t>
        </is>
      </c>
      <c r="R196" t="n">
        <v>782</v>
      </c>
      <c r="S196" t="n">
        <v>2102</v>
      </c>
      <c r="T196" t="n">
        <v>0</v>
      </c>
    </row>
    <row r="197">
      <c r="O197" t="n">
        <v>196</v>
      </c>
      <c r="P197" t="inlineStr">
        <is>
          <t>09/04/2026</t>
        </is>
      </c>
      <c r="Q197" t="inlineStr">
        <is>
          <t>CN</t>
        </is>
      </c>
      <c r="R197" t="n">
        <v>1194</v>
      </c>
      <c r="S197" t="n">
        <v>1689</v>
      </c>
      <c r="T197" t="n">
        <v>0</v>
      </c>
    </row>
    <row r="198">
      <c r="O198" t="n">
        <v>197</v>
      </c>
      <c r="P198" t="inlineStr">
        <is>
          <t>09/04/2026</t>
        </is>
      </c>
      <c r="Q198" t="inlineStr">
        <is>
          <t>CD</t>
        </is>
      </c>
      <c r="R198" t="n">
        <v>777</v>
      </c>
      <c r="S198" t="n">
        <v>2106</v>
      </c>
      <c r="T198" t="n">
        <v>0</v>
      </c>
    </row>
    <row r="199">
      <c r="O199" t="n">
        <v>198</v>
      </c>
      <c r="P199" t="inlineStr">
        <is>
          <t>10/04/2026</t>
        </is>
      </c>
      <c r="Q199" t="inlineStr">
        <is>
          <t>CN</t>
        </is>
      </c>
      <c r="R199" t="n">
        <v>907</v>
      </c>
      <c r="S199" t="n">
        <v>1973</v>
      </c>
      <c r="T199" t="n">
        <v>0</v>
      </c>
    </row>
    <row r="200">
      <c r="O200" t="n">
        <v>199</v>
      </c>
      <c r="P200" t="inlineStr">
        <is>
          <t>10/04/2026</t>
        </is>
      </c>
      <c r="Q200" t="inlineStr">
        <is>
          <t>CD</t>
        </is>
      </c>
      <c r="R200" t="n">
        <v>569</v>
      </c>
      <c r="S200" t="n">
        <v>2236</v>
      </c>
      <c r="T200" t="n">
        <v>75</v>
      </c>
    </row>
    <row r="201">
      <c r="O201" t="n">
        <v>200</v>
      </c>
      <c r="P201" t="inlineStr">
        <is>
          <t>11/04/2026</t>
        </is>
      </c>
      <c r="Q201" t="inlineStr">
        <is>
          <t>CN</t>
        </is>
      </c>
      <c r="R201" t="n">
        <v>1087</v>
      </c>
      <c r="S201" t="n">
        <v>1556</v>
      </c>
      <c r="T201" t="n">
        <v>236</v>
      </c>
    </row>
    <row r="202">
      <c r="O202" t="n">
        <v>201</v>
      </c>
      <c r="P202" t="inlineStr">
        <is>
          <t>11/04/2026</t>
        </is>
      </c>
      <c r="Q202" t="inlineStr">
        <is>
          <t>CD</t>
        </is>
      </c>
      <c r="R202" t="n">
        <v>975</v>
      </c>
      <c r="S202" t="n">
        <v>1901</v>
      </c>
      <c r="T202" t="n">
        <v>0</v>
      </c>
    </row>
    <row r="203">
      <c r="O203" t="n">
        <v>202</v>
      </c>
      <c r="P203" t="inlineStr">
        <is>
          <t>12/04/2026</t>
        </is>
      </c>
      <c r="Q203" t="inlineStr">
        <is>
          <t>CN</t>
        </is>
      </c>
      <c r="R203" t="n">
        <v>1213</v>
      </c>
      <c r="S203" t="n">
        <v>1665</v>
      </c>
      <c r="T203" t="n">
        <v>0</v>
      </c>
    </row>
    <row r="204">
      <c r="O204" t="n">
        <v>203</v>
      </c>
      <c r="P204" t="inlineStr">
        <is>
          <t>12/04/2026</t>
        </is>
      </c>
      <c r="Q204" t="inlineStr">
        <is>
          <t>CD</t>
        </is>
      </c>
      <c r="R204" t="n">
        <v>2233</v>
      </c>
      <c r="S204" t="n">
        <v>94</v>
      </c>
      <c r="T204" t="n">
        <v>548</v>
      </c>
    </row>
    <row r="205">
      <c r="O205" t="n">
        <v>204</v>
      </c>
      <c r="P205" t="inlineStr">
        <is>
          <t>13/04/2026</t>
        </is>
      </c>
      <c r="Q205" t="inlineStr">
        <is>
          <t>CN</t>
        </is>
      </c>
      <c r="R205" t="n">
        <v>1210</v>
      </c>
      <c r="S205" t="n">
        <v>1471</v>
      </c>
      <c r="T205" t="n">
        <v>201</v>
      </c>
    </row>
    <row r="206">
      <c r="O206" t="n">
        <v>205</v>
      </c>
      <c r="P206" t="inlineStr">
        <is>
          <t>13/04/2026</t>
        </is>
      </c>
      <c r="Q206" t="inlineStr">
        <is>
          <t>CD</t>
        </is>
      </c>
      <c r="R206" t="n">
        <v>910</v>
      </c>
      <c r="S206" t="n">
        <v>1973</v>
      </c>
      <c r="T206" t="n">
        <v>0</v>
      </c>
    </row>
    <row r="207">
      <c r="O207" t="n">
        <v>206</v>
      </c>
      <c r="P207" t="inlineStr">
        <is>
          <t>14/04/2026</t>
        </is>
      </c>
      <c r="Q207" t="inlineStr">
        <is>
          <t>CN</t>
        </is>
      </c>
      <c r="R207" t="n">
        <v>1283</v>
      </c>
      <c r="S207" t="n">
        <v>1603</v>
      </c>
      <c r="T207" t="n">
        <v>0</v>
      </c>
    </row>
    <row r="208">
      <c r="O208" t="n">
        <v>207</v>
      </c>
      <c r="P208" t="inlineStr">
        <is>
          <t>14/04/2026</t>
        </is>
      </c>
      <c r="Q208" t="inlineStr">
        <is>
          <t>CD</t>
        </is>
      </c>
      <c r="R208" t="n">
        <v>825</v>
      </c>
      <c r="S208" t="n">
        <v>2060</v>
      </c>
      <c r="T208" t="n">
        <v>0</v>
      </c>
    </row>
    <row r="209">
      <c r="O209" t="n">
        <v>208</v>
      </c>
      <c r="P209" t="inlineStr">
        <is>
          <t>15/04/2026</t>
        </is>
      </c>
      <c r="Q209" t="inlineStr">
        <is>
          <t>CN</t>
        </is>
      </c>
      <c r="R209" t="n">
        <v>1075</v>
      </c>
      <c r="S209" t="n">
        <v>1805</v>
      </c>
      <c r="T209" t="n">
        <v>0</v>
      </c>
    </row>
    <row r="210">
      <c r="O210" t="n">
        <v>209</v>
      </c>
      <c r="P210" t="inlineStr">
        <is>
          <t>15/04/2026</t>
        </is>
      </c>
      <c r="Q210" t="inlineStr">
        <is>
          <t>CD</t>
        </is>
      </c>
      <c r="R210" t="n">
        <v>822</v>
      </c>
      <c r="S210" t="n">
        <v>2060</v>
      </c>
      <c r="T210" t="n">
        <v>0</v>
      </c>
    </row>
    <row r="211">
      <c r="O211" t="n">
        <v>210</v>
      </c>
      <c r="P211" t="inlineStr">
        <is>
          <t>16/04/2026</t>
        </is>
      </c>
      <c r="Q211" t="inlineStr">
        <is>
          <t>CN</t>
        </is>
      </c>
      <c r="R211" t="n">
        <v>1366</v>
      </c>
      <c r="S211" t="n">
        <v>1511</v>
      </c>
      <c r="T211" t="n">
        <v>1</v>
      </c>
    </row>
    <row r="212">
      <c r="O212" t="n">
        <v>211</v>
      </c>
      <c r="P212" t="inlineStr">
        <is>
          <t>16/04/2026</t>
        </is>
      </c>
      <c r="Q212" t="inlineStr">
        <is>
          <t>CD</t>
        </is>
      </c>
      <c r="R212" t="n">
        <v>613</v>
      </c>
      <c r="S212" t="n">
        <v>2267</v>
      </c>
      <c r="T212" t="n">
        <v>0</v>
      </c>
    </row>
    <row r="213">
      <c r="O213" t="n">
        <v>212</v>
      </c>
      <c r="P213" t="inlineStr">
        <is>
          <t>17/04/2026</t>
        </is>
      </c>
      <c r="Q213" t="inlineStr">
        <is>
          <t>CN</t>
        </is>
      </c>
      <c r="R213" t="n">
        <v>918</v>
      </c>
      <c r="S213" t="n">
        <v>1960</v>
      </c>
      <c r="T213" t="n">
        <v>0</v>
      </c>
    </row>
    <row r="214">
      <c r="O214" t="n">
        <v>213</v>
      </c>
      <c r="P214" t="inlineStr">
        <is>
          <t>17/04/2026</t>
        </is>
      </c>
      <c r="Q214" t="inlineStr">
        <is>
          <t>CD</t>
        </is>
      </c>
      <c r="R214" t="n">
        <v>889</v>
      </c>
      <c r="S214" t="n">
        <v>1990</v>
      </c>
      <c r="T214" t="n">
        <v>0</v>
      </c>
    </row>
    <row r="215">
      <c r="O215" t="n">
        <v>214</v>
      </c>
      <c r="P215" t="inlineStr">
        <is>
          <t>18/04/2026</t>
        </is>
      </c>
      <c r="Q215" t="inlineStr">
        <is>
          <t>CN</t>
        </is>
      </c>
      <c r="R215" t="n">
        <v>1100</v>
      </c>
      <c r="S215" t="n">
        <v>1781</v>
      </c>
      <c r="T215" t="n">
        <v>0</v>
      </c>
    </row>
    <row r="216">
      <c r="O216" t="n">
        <v>215</v>
      </c>
      <c r="P216" t="inlineStr">
        <is>
          <t>18/04/2026</t>
        </is>
      </c>
      <c r="Q216" t="inlineStr">
        <is>
          <t>CD</t>
        </is>
      </c>
      <c r="R216" t="n">
        <v>1052</v>
      </c>
      <c r="S216" t="n">
        <v>1829</v>
      </c>
      <c r="T216" t="n">
        <v>0</v>
      </c>
    </row>
    <row r="217">
      <c r="O217" t="n">
        <v>216</v>
      </c>
      <c r="P217" t="inlineStr">
        <is>
          <t>19/04/2026</t>
        </is>
      </c>
      <c r="Q217" t="inlineStr">
        <is>
          <t>CN</t>
        </is>
      </c>
      <c r="R217" t="n">
        <v>1440</v>
      </c>
      <c r="S217" t="n">
        <v>1430</v>
      </c>
      <c r="T217" t="n">
        <v>11</v>
      </c>
    </row>
    <row r="218">
      <c r="O218" t="n">
        <v>217</v>
      </c>
      <c r="P218" t="inlineStr">
        <is>
          <t>19/04/2026</t>
        </is>
      </c>
      <c r="Q218" t="inlineStr">
        <is>
          <t>CD</t>
        </is>
      </c>
      <c r="R218" t="n">
        <v>693</v>
      </c>
      <c r="S218" t="n">
        <v>27</v>
      </c>
      <c r="T218" t="n">
        <v>2158</v>
      </c>
    </row>
    <row r="219">
      <c r="O219" t="n">
        <v>218</v>
      </c>
      <c r="P219" t="inlineStr">
        <is>
          <t>20/04/2026</t>
        </is>
      </c>
      <c r="Q219" t="inlineStr">
        <is>
          <t>CN</t>
        </is>
      </c>
      <c r="R219" t="n">
        <v>766</v>
      </c>
      <c r="S219" t="n">
        <v>1506</v>
      </c>
      <c r="T219" t="n">
        <v>610</v>
      </c>
    </row>
    <row r="220">
      <c r="O220" t="n">
        <v>219</v>
      </c>
      <c r="P220" t="inlineStr">
        <is>
          <t>20/04/2026</t>
        </is>
      </c>
      <c r="Q220" t="inlineStr">
        <is>
          <t>CD</t>
        </is>
      </c>
      <c r="R220" t="n">
        <v>1283</v>
      </c>
      <c r="S220" t="n">
        <v>1590</v>
      </c>
      <c r="T220" t="n">
        <v>10</v>
      </c>
    </row>
    <row r="221">
      <c r="O221" t="n">
        <v>220</v>
      </c>
      <c r="P221" t="inlineStr">
        <is>
          <t>21/04/2026</t>
        </is>
      </c>
      <c r="Q221" t="inlineStr">
        <is>
          <t>CN</t>
        </is>
      </c>
      <c r="R221" t="n">
        <v>1151</v>
      </c>
      <c r="S221" t="n">
        <v>1730</v>
      </c>
      <c r="T221" t="n">
        <v>0</v>
      </c>
    </row>
    <row r="222">
      <c r="O222" t="n">
        <v>221</v>
      </c>
      <c r="P222" t="inlineStr">
        <is>
          <t>21/04/2026</t>
        </is>
      </c>
      <c r="Q222" t="inlineStr">
        <is>
          <t>CD</t>
        </is>
      </c>
      <c r="R222" t="n">
        <v>844</v>
      </c>
      <c r="S222" t="n">
        <v>2036</v>
      </c>
      <c r="T222" t="n">
        <v>0</v>
      </c>
    </row>
    <row r="223">
      <c r="O223" t="n">
        <v>222</v>
      </c>
      <c r="P223" t="inlineStr">
        <is>
          <t>22/04/2026</t>
        </is>
      </c>
      <c r="Q223" t="inlineStr">
        <is>
          <t>CN</t>
        </is>
      </c>
      <c r="R223" t="n">
        <v>1325</v>
      </c>
      <c r="S223" t="n">
        <v>1557</v>
      </c>
      <c r="T223" t="n">
        <v>0</v>
      </c>
    </row>
    <row r="224">
      <c r="O224" t="n">
        <v>223</v>
      </c>
      <c r="P224" t="inlineStr">
        <is>
          <t>22/04/2026</t>
        </is>
      </c>
      <c r="Q224" t="inlineStr">
        <is>
          <t>CD</t>
        </is>
      </c>
      <c r="R224" t="n">
        <v>777</v>
      </c>
      <c r="S224" t="n">
        <v>2104</v>
      </c>
      <c r="T224" t="n">
        <v>0</v>
      </c>
    </row>
    <row r="225">
      <c r="O225" t="n">
        <v>224</v>
      </c>
      <c r="P225" t="inlineStr">
        <is>
          <t>23/04/2026</t>
        </is>
      </c>
      <c r="Q225" t="inlineStr">
        <is>
          <t>CN</t>
        </is>
      </c>
      <c r="R225" t="n">
        <v>1086</v>
      </c>
      <c r="S225" t="n">
        <v>1794</v>
      </c>
      <c r="T225" t="n">
        <v>0</v>
      </c>
    </row>
    <row r="226">
      <c r="O226" t="n">
        <v>225</v>
      </c>
      <c r="P226" t="inlineStr">
        <is>
          <t>23/04/2026</t>
        </is>
      </c>
      <c r="Q226" t="inlineStr">
        <is>
          <t>CD</t>
        </is>
      </c>
      <c r="R226" t="n">
        <v>728</v>
      </c>
      <c r="S226" t="n">
        <v>2155</v>
      </c>
      <c r="T226" t="n">
        <v>0</v>
      </c>
    </row>
    <row r="227">
      <c r="O227" t="n">
        <v>226</v>
      </c>
      <c r="P227" t="inlineStr">
        <is>
          <t>24/04/2026</t>
        </is>
      </c>
      <c r="Q227" t="inlineStr">
        <is>
          <t>CN</t>
        </is>
      </c>
      <c r="R227" t="n">
        <v>906</v>
      </c>
      <c r="S227" t="n">
        <v>1977</v>
      </c>
      <c r="T227" t="n">
        <v>0</v>
      </c>
    </row>
    <row r="228">
      <c r="O228" t="n">
        <v>227</v>
      </c>
      <c r="P228" t="inlineStr">
        <is>
          <t>24/04/2026</t>
        </is>
      </c>
      <c r="Q228" t="inlineStr">
        <is>
          <t>CD</t>
        </is>
      </c>
      <c r="R228" t="n">
        <v>820</v>
      </c>
      <c r="S228" t="n">
        <v>2061</v>
      </c>
      <c r="T228" t="n">
        <v>0</v>
      </c>
    </row>
    <row r="229">
      <c r="O229" t="n">
        <v>228</v>
      </c>
      <c r="P229" t="inlineStr">
        <is>
          <t>25/04/2026</t>
        </is>
      </c>
      <c r="Q229" t="inlineStr">
        <is>
          <t>CN</t>
        </is>
      </c>
      <c r="R229" t="n">
        <v>1314</v>
      </c>
      <c r="S229" t="n">
        <v>1566</v>
      </c>
      <c r="T229" t="n">
        <v>0</v>
      </c>
    </row>
    <row r="230">
      <c r="O230" t="n">
        <v>229</v>
      </c>
      <c r="P230" t="inlineStr">
        <is>
          <t>25/04/2026</t>
        </is>
      </c>
      <c r="Q230" t="inlineStr">
        <is>
          <t>CD</t>
        </is>
      </c>
      <c r="R230" t="n">
        <v>501</v>
      </c>
      <c r="S230" t="n">
        <v>1382</v>
      </c>
      <c r="T230" t="n">
        <v>998</v>
      </c>
    </row>
    <row r="231">
      <c r="O231" t="n">
        <v>230</v>
      </c>
      <c r="P231" t="inlineStr">
        <is>
          <t>26/04/2026</t>
        </is>
      </c>
      <c r="Q231" t="inlineStr">
        <is>
          <t>CN</t>
        </is>
      </c>
      <c r="R231" t="n">
        <v>0</v>
      </c>
      <c r="S231" t="n">
        <v>0</v>
      </c>
      <c r="T231" t="n">
        <v>2880</v>
      </c>
    </row>
    <row r="232">
      <c r="O232" t="n">
        <v>231</v>
      </c>
      <c r="P232" t="inlineStr">
        <is>
          <t>26/04/2026</t>
        </is>
      </c>
      <c r="Q232" t="inlineStr">
        <is>
          <t>CD</t>
        </is>
      </c>
      <c r="R232" t="n">
        <v>0</v>
      </c>
      <c r="S232" t="n">
        <v>0</v>
      </c>
      <c r="T232" t="n">
        <v>2880</v>
      </c>
    </row>
    <row r="233">
      <c r="O233" t="n">
        <v>232</v>
      </c>
      <c r="P233" t="inlineStr">
        <is>
          <t>27/04/2026</t>
        </is>
      </c>
      <c r="Q233" t="inlineStr">
        <is>
          <t>CN</t>
        </is>
      </c>
      <c r="R233" t="n">
        <v>675</v>
      </c>
      <c r="S233" t="n">
        <v>1399</v>
      </c>
      <c r="T233" t="n">
        <v>807</v>
      </c>
    </row>
    <row r="234">
      <c r="O234" t="n">
        <v>233</v>
      </c>
      <c r="P234" t="inlineStr">
        <is>
          <t>27/04/2026</t>
        </is>
      </c>
      <c r="Q234" t="inlineStr">
        <is>
          <t>CD</t>
        </is>
      </c>
      <c r="R234" t="n">
        <v>816</v>
      </c>
      <c r="S234" t="n">
        <v>2069</v>
      </c>
      <c r="T234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T234"/>
  <sheetViews>
    <sheetView topLeftCell="G1" zoomScale="115" zoomScaleNormal="115" workbookViewId="0">
      <selection activeCell="I2" sqref="I2:J75"/>
    </sheetView>
  </sheetViews>
  <sheetFormatPr baseColWidth="8" defaultRowHeight="14.75"/>
  <cols>
    <col width="3.453125" bestFit="1" customWidth="1" min="1" max="1"/>
    <col width="11.86328125" bestFit="1" customWidth="1" min="2" max="2"/>
    <col width="11" bestFit="1" customWidth="1" min="3" max="3"/>
    <col width="34.08984375" bestFit="1" customWidth="1" min="4" max="4"/>
    <col width="30.54296875" bestFit="1" customWidth="1" min="5" max="5"/>
    <col width="22.6796875" bestFit="1" customWidth="1" min="6" max="6"/>
    <col width="12" bestFit="1" customWidth="1" min="9" max="10"/>
    <col width="8.31640625" bestFit="1" customWidth="1" min="11" max="11"/>
    <col width="11.54296875" bestFit="1" customWidth="1" min="12" max="12"/>
    <col width="10" bestFit="1" customWidth="1" min="13" max="13"/>
  </cols>
  <sheetData>
    <row r="1" customFormat="1" s="2">
      <c r="A1" s="3" t="inlineStr">
        <is>
          <t>ID</t>
        </is>
      </c>
      <c r="B1" s="3" t="inlineStr">
        <is>
          <t>Ngày tháng</t>
        </is>
      </c>
      <c r="C1" s="3" t="inlineStr">
        <is>
          <t>Ca làm việc</t>
        </is>
      </c>
      <c r="D1" s="3" t="inlineStr">
        <is>
          <t>Thời gian hoạt động không tải (phút)</t>
        </is>
      </c>
      <c r="E1" s="3" t="inlineStr">
        <is>
          <t>Thời gian hoạt động có tải (phút)</t>
        </is>
      </c>
      <c r="F1" s="3" t="inlineStr">
        <is>
          <t>Thời gian tắt máy (phút)</t>
        </is>
      </c>
      <c r="H1" s="3" t="inlineStr">
        <is>
          <t>Ngày - Ca</t>
        </is>
      </c>
      <c r="I1" s="3" t="inlineStr">
        <is>
          <t>Mục Tiêu C1</t>
        </is>
      </c>
      <c r="J1" s="3" t="inlineStr">
        <is>
          <t>Mục Tiêu C2</t>
        </is>
      </c>
      <c r="K1" s="3" t="inlineStr">
        <is>
          <t>% Có Tải</t>
        </is>
      </c>
      <c r="L1" s="3" t="inlineStr">
        <is>
          <t>% Không Tải</t>
        </is>
      </c>
      <c r="M1" s="3" t="inlineStr">
        <is>
          <t>% Tắt Máy</t>
        </is>
      </c>
    </row>
    <row r="2">
      <c r="A2" t="n">
        <v>1</v>
      </c>
      <c r="B2" t="inlineStr">
        <is>
          <t>01/04/2026</t>
        </is>
      </c>
      <c r="C2" t="inlineStr">
        <is>
          <t>CN</t>
        </is>
      </c>
      <c r="D2" t="n">
        <v>900</v>
      </c>
      <c r="E2" t="n">
        <v>540</v>
      </c>
      <c r="F2" t="n">
        <v>1</v>
      </c>
      <c r="H2" t="inlineStr">
        <is>
          <t>T1</t>
        </is>
      </c>
      <c r="I2" s="1" t="n">
        <v>0.5</v>
      </c>
      <c r="J2" s="1" t="n">
        <v>0.5882352941176471</v>
      </c>
      <c r="K2" s="1">
        <f>IFERROR(SUMIFS(S:S,P:P,"*/01/2026")/(SUMIFS(R:R,P:P,"*/01/2026")+SUMIFS(S:S,P:P,"*/01/2026")+SUMIFS(T:T,P:P,"*/01/2026")),"")</f>
        <v/>
      </c>
      <c r="L2" s="1">
        <f>IFERROR(SUMIFS(R:R,P:P,"*/01/2026")/(SUMIFS(R:R,P:P,"*/01/2026")+SUMIFS(S:S,P:P,"*/01/2026")+SUMIFS(T:T,P:P,"*/01/2026")),"")</f>
        <v/>
      </c>
      <c r="M2" s="1">
        <f>IFERROR(SUMIFS(T:T,P:P,"*/01/2026")/(SUMIFS(R:R,P:P,"*/01/2026")+SUMIFS(S:S,P:P,"*/01/2026")+SUMIFS(T:T,P:P,"*/01/2026")),"")</f>
        <v/>
      </c>
      <c r="O2" t="n">
        <v>1</v>
      </c>
      <c r="P2" t="inlineStr">
        <is>
          <t>01/01/2026</t>
        </is>
      </c>
      <c r="Q2" t="inlineStr">
        <is>
          <t>CN</t>
        </is>
      </c>
      <c r="R2" t="n">
        <v>0</v>
      </c>
      <c r="S2" t="n">
        <v>0</v>
      </c>
      <c r="T2" t="n">
        <v>720</v>
      </c>
    </row>
    <row r="3">
      <c r="A3" t="n">
        <v>2</v>
      </c>
      <c r="B3" t="inlineStr">
        <is>
          <t>01/04/2026</t>
        </is>
      </c>
      <c r="C3" t="inlineStr">
        <is>
          <t>CD</t>
        </is>
      </c>
      <c r="D3" t="n">
        <v>522</v>
      </c>
      <c r="E3" t="n">
        <v>918</v>
      </c>
      <c r="F3" t="n">
        <v>1</v>
      </c>
      <c r="H3" t="inlineStr">
        <is>
          <t>T2</t>
        </is>
      </c>
      <c r="I3" s="1" t="n">
        <v>0.5</v>
      </c>
      <c r="J3" s="1" t="n">
        <v>0.5882352941176471</v>
      </c>
      <c r="K3" s="1">
        <f>IFERROR(SUMIFS(S:S,P:P,"*/02/2026")/(SUMIFS(R:R,P:P,"*/02/2026")+SUMIFS(S:S,P:P,"*/02/2026")+SUMIFS(T:T,P:P,"*/02/2026")),"")</f>
        <v/>
      </c>
      <c r="L3" s="1">
        <f>IFERROR(SUMIFS(R:R,P:P,"*/02/2026")/(SUMIFS(R:R,P:P,"*/02/2026")+SUMIFS(S:S,P:P,"*/02/2026")+SUMIFS(T:T,P:P,"*/02/2026")),"")</f>
        <v/>
      </c>
      <c r="M3" s="1">
        <f>IFERROR(SUMIFS(T:T,P:P,"*/02/2026")/(SUMIFS(R:R,P:P,"*/02/2026")+SUMIFS(S:S,P:P,"*/02/2026")+SUMIFS(T:T,P:P,"*/02/2026")),"")</f>
        <v/>
      </c>
      <c r="O3" t="n">
        <v>2</v>
      </c>
      <c r="P3" t="inlineStr">
        <is>
          <t>01/01/2026</t>
        </is>
      </c>
      <c r="Q3" t="inlineStr">
        <is>
          <t>CD</t>
        </is>
      </c>
      <c r="R3" t="n">
        <v>80</v>
      </c>
      <c r="S3" t="n">
        <v>41</v>
      </c>
      <c r="T3" t="n">
        <v>658</v>
      </c>
    </row>
    <row r="4">
      <c r="A4" t="n">
        <v>3</v>
      </c>
      <c r="B4" t="inlineStr">
        <is>
          <t>02/04/2026</t>
        </is>
      </c>
      <c r="C4" t="inlineStr">
        <is>
          <t>CN</t>
        </is>
      </c>
      <c r="D4" t="n">
        <v>670</v>
      </c>
      <c r="E4" t="n">
        <v>769</v>
      </c>
      <c r="F4" t="n">
        <v>1</v>
      </c>
      <c r="H4" t="inlineStr">
        <is>
          <t>T3</t>
        </is>
      </c>
      <c r="I4" s="1" t="n">
        <v>0.5</v>
      </c>
      <c r="J4" s="1" t="n">
        <v>0.5882352941176471</v>
      </c>
      <c r="K4" s="1">
        <f>IFERROR(SUMIFS(S:S,P:P,"*/03/2026")/(SUMIFS(R:R,P:P,"*/03/2026")+SUMIFS(S:S,P:P,"*/03/2026")+SUMIFS(T:T,P:P,"*/03/2026")),"")</f>
        <v/>
      </c>
      <c r="L4" s="1">
        <f>IFERROR(SUMIFS(R:R,P:P,"*/03/2026")/(SUMIFS(R:R,P:P,"*/03/2026")+SUMIFS(S:S,P:P,"*/03/2026")+SUMIFS(T:T,P:P,"*/03/2026")),"")</f>
        <v/>
      </c>
      <c r="M4" s="1">
        <f>IFERROR(SUMIFS(T:T,P:P,"*/03/2026")/(SUMIFS(R:R,P:P,"*/03/2026")+SUMIFS(S:S,P:P,"*/03/2026")+SUMIFS(T:T,P:P,"*/03/2026")),"")</f>
        <v/>
      </c>
      <c r="O4" t="n">
        <v>3</v>
      </c>
      <c r="P4" t="inlineStr">
        <is>
          <t>02/01/2026</t>
        </is>
      </c>
      <c r="Q4" t="inlineStr">
        <is>
          <t>CN</t>
        </is>
      </c>
      <c r="R4" t="n">
        <v>486</v>
      </c>
      <c r="S4" t="n">
        <v>954</v>
      </c>
      <c r="T4" t="n">
        <v>1</v>
      </c>
    </row>
    <row r="5">
      <c r="A5" t="n">
        <v>4</v>
      </c>
      <c r="B5" t="inlineStr">
        <is>
          <t>02/04/2026</t>
        </is>
      </c>
      <c r="C5" t="inlineStr">
        <is>
          <t>CD</t>
        </is>
      </c>
      <c r="D5" t="n">
        <v>550</v>
      </c>
      <c r="E5" t="n">
        <v>889</v>
      </c>
      <c r="F5" t="n">
        <v>1</v>
      </c>
      <c r="H5" t="inlineStr">
        <is>
          <t>T4</t>
        </is>
      </c>
      <c r="I5" s="1" t="n">
        <v>0.5</v>
      </c>
      <c r="J5" s="1" t="n">
        <v>0.5882352941176471</v>
      </c>
      <c r="K5" s="1">
        <f>IFERROR(SUMIFS(S:S,P:P,"*/04/2026")/(SUMIFS(R:R,P:P,"*/04/2026")+SUMIFS(S:S,P:P,"*/04/2026")+SUMIFS(T:T,P:P,"*/04/2026")),"")</f>
        <v/>
      </c>
      <c r="L5" s="1">
        <f>IFERROR(SUMIFS(R:R,P:P,"*/04/2026")/(SUMIFS(R:R,P:P,"*/04/2026")+SUMIFS(S:S,P:P,"*/04/2026")+SUMIFS(T:T,P:P,"*/04/2026")),"")</f>
        <v/>
      </c>
      <c r="M5" s="1">
        <f>IFERROR(SUMIFS(T:T,P:P,"*/04/2026")/(SUMIFS(R:R,P:P,"*/04/2026")+SUMIFS(S:S,P:P,"*/04/2026")+SUMIFS(T:T,P:P,"*/04/2026")),"")</f>
        <v/>
      </c>
      <c r="O5" t="n">
        <v>4</v>
      </c>
      <c r="P5" t="inlineStr">
        <is>
          <t>02/01/2026</t>
        </is>
      </c>
      <c r="Q5" t="inlineStr">
        <is>
          <t>CD</t>
        </is>
      </c>
      <c r="R5" t="n">
        <v>986</v>
      </c>
      <c r="S5" t="n">
        <v>453</v>
      </c>
      <c r="T5" t="n">
        <v>1</v>
      </c>
    </row>
    <row r="6">
      <c r="A6" t="n">
        <v>5</v>
      </c>
      <c r="B6" t="inlineStr">
        <is>
          <t>03/04/2026</t>
        </is>
      </c>
      <c r="C6" t="inlineStr">
        <is>
          <t>CN</t>
        </is>
      </c>
      <c r="D6" t="n">
        <v>689</v>
      </c>
      <c r="E6" t="n">
        <v>750</v>
      </c>
      <c r="F6" t="n">
        <v>1</v>
      </c>
      <c r="H6" t="inlineStr">
        <is>
          <t>T5</t>
        </is>
      </c>
      <c r="I6" s="1" t="n">
        <v>0.5</v>
      </c>
      <c r="J6" s="1" t="n">
        <v>0.5882352941176471</v>
      </c>
      <c r="K6" s="1">
        <f>IFERROR(SUMIFS(S:S,P:P,"*/05/2026")/(SUMIFS(R:R,P:P,"*/05/2026")+SUMIFS(S:S,P:P,"*/05/2026")+SUMIFS(T:T,P:P,"*/05/2026")),"")</f>
        <v/>
      </c>
      <c r="L6" s="1">
        <f>IFERROR(SUMIFS(R:R,P:P,"*/05/2026")/(SUMIFS(R:R,P:P,"*/05/2026")+SUMIFS(S:S,P:P,"*/05/2026")+SUMIFS(T:T,P:P,"*/05/2026")),"")</f>
        <v/>
      </c>
      <c r="M6" s="1">
        <f>IFERROR(SUMIFS(T:T,P:P,"*/05/2026")/(SUMIFS(R:R,P:P,"*/05/2026")+SUMIFS(S:S,P:P,"*/05/2026")+SUMIFS(T:T,P:P,"*/05/2026")),"")</f>
        <v/>
      </c>
      <c r="O6" t="n">
        <v>5</v>
      </c>
      <c r="P6" t="inlineStr">
        <is>
          <t>03/01/2026</t>
        </is>
      </c>
      <c r="Q6" t="inlineStr">
        <is>
          <t>CD</t>
        </is>
      </c>
      <c r="R6" t="n">
        <v>620</v>
      </c>
      <c r="S6" t="n">
        <v>1400</v>
      </c>
      <c r="T6" t="n">
        <v>160</v>
      </c>
    </row>
    <row r="7">
      <c r="A7" t="n">
        <v>6</v>
      </c>
      <c r="B7" t="inlineStr">
        <is>
          <t>03/04/2026</t>
        </is>
      </c>
      <c r="C7" t="inlineStr">
        <is>
          <t>CD</t>
        </is>
      </c>
      <c r="D7" t="n">
        <v>266</v>
      </c>
      <c r="E7" t="n">
        <v>852</v>
      </c>
      <c r="F7" t="n">
        <v>157</v>
      </c>
      <c r="H7" t="inlineStr">
        <is>
          <t>T6</t>
        </is>
      </c>
      <c r="I7" s="1" t="n">
        <v>0.5</v>
      </c>
      <c r="J7" s="1" t="n">
        <v>0.5882352941176471</v>
      </c>
      <c r="K7" s="1">
        <f>IFERROR(SUMIFS(S:S,P:P,"*/06/2026")/(SUMIFS(R:R,P:P,"*/06/2026")+SUMIFS(S:S,P:P,"*/06/2026")+SUMIFS(T:T,P:P,"*/06/2026")),"")</f>
        <v/>
      </c>
      <c r="L7" s="1">
        <f>IFERROR(SUMIFS(R:R,P:P,"*/06/2026")/(SUMIFS(R:R,P:P,"*/06/2026")+SUMIFS(S:S,P:P,"*/06/2026")+SUMIFS(T:T,P:P,"*/06/2026")),"")</f>
        <v/>
      </c>
      <c r="M7" s="1">
        <f>IFERROR(SUMIFS(T:T,P:P,"*/06/2026")/(SUMIFS(R:R,P:P,"*/06/2026")+SUMIFS(S:S,P:P,"*/06/2026")+SUMIFS(T:T,P:P,"*/06/2026")),"")</f>
        <v/>
      </c>
      <c r="O7" t="n">
        <v>6</v>
      </c>
      <c r="P7" t="inlineStr">
        <is>
          <t>04/01/2026</t>
        </is>
      </c>
      <c r="Q7" t="inlineStr">
        <is>
          <t>CN</t>
        </is>
      </c>
      <c r="R7" t="n">
        <v>0</v>
      </c>
      <c r="S7" t="n">
        <v>0</v>
      </c>
      <c r="T7" t="n">
        <v>720</v>
      </c>
    </row>
    <row r="8">
      <c r="A8" t="n">
        <v>7</v>
      </c>
      <c r="B8" t="inlineStr">
        <is>
          <t>04/04/2026</t>
        </is>
      </c>
      <c r="C8" t="inlineStr">
        <is>
          <t>CN</t>
        </is>
      </c>
      <c r="D8" t="n">
        <v>0</v>
      </c>
      <c r="E8" t="n">
        <v>0</v>
      </c>
      <c r="F8" t="n">
        <v>720</v>
      </c>
      <c r="H8" t="inlineStr">
        <is>
          <t>T7</t>
        </is>
      </c>
      <c r="I8" s="1" t="n">
        <v>0.5</v>
      </c>
      <c r="J8" s="1" t="n">
        <v>0.5882352941176471</v>
      </c>
      <c r="K8" s="1">
        <f>IFERROR(SUMIFS(S:S,P:P,"*/07/2026")/(SUMIFS(R:R,P:P,"*/07/2026")+SUMIFS(S:S,P:P,"*/07/2026")+SUMIFS(T:T,P:P,"*/07/2026")),"")</f>
        <v/>
      </c>
      <c r="L8" s="1">
        <f>IFERROR(SUMIFS(R:R,P:P,"*/07/2026")/(SUMIFS(R:R,P:P,"*/07/2026")+SUMIFS(S:S,P:P,"*/07/2026")+SUMIFS(T:T,P:P,"*/07/2026")),"")</f>
        <v/>
      </c>
      <c r="M8" s="1">
        <f>IFERROR(SUMIFS(T:T,P:P,"*/07/2026")/(SUMIFS(R:R,P:P,"*/07/2026")+SUMIFS(S:S,P:P,"*/07/2026")+SUMIFS(T:T,P:P,"*/07/2026")),"")</f>
        <v/>
      </c>
      <c r="O8" t="n">
        <v>7</v>
      </c>
      <c r="P8" t="inlineStr">
        <is>
          <t>04/01/2026</t>
        </is>
      </c>
      <c r="Q8" t="inlineStr">
        <is>
          <t>CD</t>
        </is>
      </c>
      <c r="R8" t="n">
        <v>0</v>
      </c>
      <c r="S8" t="n">
        <v>0</v>
      </c>
      <c r="T8" t="n">
        <v>720</v>
      </c>
    </row>
    <row r="9">
      <c r="A9" t="n">
        <v>8</v>
      </c>
      <c r="B9" t="inlineStr">
        <is>
          <t>04/04/2026</t>
        </is>
      </c>
      <c r="C9" t="inlineStr">
        <is>
          <t>CD</t>
        </is>
      </c>
      <c r="D9" t="n">
        <v>0</v>
      </c>
      <c r="E9" t="n">
        <v>0</v>
      </c>
      <c r="F9" t="n">
        <v>720</v>
      </c>
      <c r="H9" t="inlineStr">
        <is>
          <t>T8</t>
        </is>
      </c>
      <c r="I9" s="1" t="n">
        <v>0.5</v>
      </c>
      <c r="J9" s="1" t="n">
        <v>0.5882352941176471</v>
      </c>
      <c r="K9" s="1">
        <f>IFERROR(SUMIFS(S:S,P:P,"*/08/2026")/(SUMIFS(R:R,P:P,"*/08/2026")+SUMIFS(S:S,P:P,"*/08/2026")+SUMIFS(T:T,P:P,"*/08/2026")),"")</f>
        <v/>
      </c>
      <c r="L9" s="1">
        <f>IFERROR(SUMIFS(R:R,P:P,"*/08/2026")/(SUMIFS(R:R,P:P,"*/08/2026")+SUMIFS(S:S,P:P,"*/08/2026")+SUMIFS(T:T,P:P,"*/08/2026")),"")</f>
        <v/>
      </c>
      <c r="M9" s="1">
        <f>IFERROR(SUMIFS(T:T,P:P,"*/08/2026")/(SUMIFS(R:R,P:P,"*/08/2026")+SUMIFS(S:S,P:P,"*/08/2026")+SUMIFS(T:T,P:P,"*/08/2026")),"")</f>
        <v/>
      </c>
      <c r="O9" t="n">
        <v>8</v>
      </c>
      <c r="P9" t="inlineStr">
        <is>
          <t>05/01/2026</t>
        </is>
      </c>
      <c r="Q9" t="inlineStr">
        <is>
          <t>CN</t>
        </is>
      </c>
      <c r="R9" t="n">
        <v>181</v>
      </c>
      <c r="S9" t="n">
        <v>854</v>
      </c>
      <c r="T9" t="n">
        <v>202</v>
      </c>
    </row>
    <row r="10">
      <c r="A10" t="n">
        <v>9</v>
      </c>
      <c r="B10" t="inlineStr">
        <is>
          <t>05/04/2026</t>
        </is>
      </c>
      <c r="C10" t="inlineStr">
        <is>
          <t>CN</t>
        </is>
      </c>
      <c r="D10" t="n">
        <v>0</v>
      </c>
      <c r="E10" t="n">
        <v>0</v>
      </c>
      <c r="F10" t="n">
        <v>720</v>
      </c>
      <c r="H10" t="inlineStr">
        <is>
          <t>T9</t>
        </is>
      </c>
      <c r="I10" s="1" t="n">
        <v>0.5</v>
      </c>
      <c r="J10" s="1" t="n">
        <v>0.5882352941176471</v>
      </c>
      <c r="K10" s="1">
        <f>IFERROR(SUMIFS(S:S,P:P,"*/09/2026")/(SUMIFS(R:R,P:P,"*/09/2026")+SUMIFS(S:S,P:P,"*/09/2026")+SUMIFS(T:T,P:P,"*/09/2026")),"")</f>
        <v/>
      </c>
      <c r="L10" s="1">
        <f>IFERROR(SUMIFS(R:R,P:P,"*/09/2026")/(SUMIFS(R:R,P:P,"*/09/2026")+SUMIFS(S:S,P:P,"*/09/2026")+SUMIFS(T:T,P:P,"*/09/2026")),"")</f>
        <v/>
      </c>
      <c r="M10" s="1">
        <f>IFERROR(SUMIFS(T:T,P:P,"*/09/2026")/(SUMIFS(R:R,P:P,"*/09/2026")+SUMIFS(S:S,P:P,"*/09/2026")+SUMIFS(T:T,P:P,"*/09/2026")),"")</f>
        <v/>
      </c>
      <c r="O10" t="n">
        <v>9</v>
      </c>
      <c r="P10" t="inlineStr">
        <is>
          <t>05/01/2026</t>
        </is>
      </c>
      <c r="Q10" t="inlineStr">
        <is>
          <t>CD</t>
        </is>
      </c>
      <c r="R10" t="n">
        <v>597</v>
      </c>
      <c r="S10" t="n">
        <v>826</v>
      </c>
      <c r="T10" t="n">
        <v>1</v>
      </c>
    </row>
    <row r="11">
      <c r="A11" t="n">
        <v>10</v>
      </c>
      <c r="B11" t="inlineStr">
        <is>
          <t>05/04/2026</t>
        </is>
      </c>
      <c r="C11" t="inlineStr">
        <is>
          <t>CD</t>
        </is>
      </c>
      <c r="D11" t="n">
        <v>0</v>
      </c>
      <c r="E11" t="n">
        <v>0</v>
      </c>
      <c r="F11" t="n">
        <v>720</v>
      </c>
      <c r="H11" t="inlineStr">
        <is>
          <t>T10</t>
        </is>
      </c>
      <c r="I11" s="1" t="n">
        <v>0.5</v>
      </c>
      <c r="J11" s="1" t="n">
        <v>0.5882352941176471</v>
      </c>
      <c r="K11" s="1">
        <f>IFERROR(SUMIFS(S:S,P:P,"*/10/2026")/(SUMIFS(R:R,P:P,"*/10/2026")+SUMIFS(S:S,P:P,"*/10/2026")+SUMIFS(T:T,P:P,"*/10/2026")),"")</f>
        <v/>
      </c>
      <c r="L11" s="1">
        <f>IFERROR(SUMIFS(R:R,P:P,"*/10/2026")/(SUMIFS(R:R,P:P,"*/10/2026")+SUMIFS(S:S,P:P,"*/10/2026")+SUMIFS(T:T,P:P,"*/10/2026")),"")</f>
        <v/>
      </c>
      <c r="M11" s="1">
        <f>IFERROR(SUMIFS(T:T,P:P,"*/10/2026")/(SUMIFS(R:R,P:P,"*/10/2026")+SUMIFS(S:S,P:P,"*/10/2026")+SUMIFS(T:T,P:P,"*/10/2026")),"")</f>
        <v/>
      </c>
      <c r="O11" t="n">
        <v>10</v>
      </c>
      <c r="P11" t="inlineStr">
        <is>
          <t>06/01/2026</t>
        </is>
      </c>
      <c r="Q11" t="inlineStr">
        <is>
          <t>CN</t>
        </is>
      </c>
      <c r="R11" t="n">
        <v>858</v>
      </c>
      <c r="S11" t="n">
        <v>581</v>
      </c>
      <c r="T11" t="n">
        <v>1</v>
      </c>
    </row>
    <row r="12">
      <c r="A12" t="n">
        <v>11</v>
      </c>
      <c r="B12" t="inlineStr">
        <is>
          <t>06/04/2026</t>
        </is>
      </c>
      <c r="C12" t="inlineStr">
        <is>
          <t>CN</t>
        </is>
      </c>
      <c r="D12" t="n">
        <v>339</v>
      </c>
      <c r="E12" t="n">
        <v>670</v>
      </c>
      <c r="F12" t="n">
        <v>225</v>
      </c>
      <c r="H12" t="inlineStr">
        <is>
          <t>T11</t>
        </is>
      </c>
      <c r="I12" s="1" t="n">
        <v>0.5</v>
      </c>
      <c r="J12" s="1" t="n">
        <v>0.5882352941176471</v>
      </c>
      <c r="K12" s="1">
        <f>IFERROR(SUMIFS(S:S,P:P,"*/11/2026")/(SUMIFS(R:R,P:P,"*/11/2026")+SUMIFS(S:S,P:P,"*/11/2026")+SUMIFS(T:T,P:P,"*/11/2026")),"")</f>
        <v/>
      </c>
      <c r="L12" s="1">
        <f>IFERROR(SUMIFS(R:R,P:P,"*/11/2026")/(SUMIFS(R:R,P:P,"*/11/2026")+SUMIFS(S:S,P:P,"*/11/2026")+SUMIFS(T:T,P:P,"*/11/2026")),"")</f>
        <v/>
      </c>
      <c r="M12" s="1">
        <f>IFERROR(SUMIFS(T:T,P:P,"*/11/2026")/(SUMIFS(R:R,P:P,"*/11/2026")+SUMIFS(S:S,P:P,"*/11/2026")+SUMIFS(T:T,P:P,"*/11/2026")),"")</f>
        <v/>
      </c>
      <c r="O12" t="n">
        <v>11</v>
      </c>
      <c r="P12" t="inlineStr">
        <is>
          <t>06/01/2026</t>
        </is>
      </c>
      <c r="Q12" t="inlineStr">
        <is>
          <t>CD</t>
        </is>
      </c>
      <c r="R12" t="n">
        <v>659</v>
      </c>
      <c r="S12" t="n">
        <v>779</v>
      </c>
      <c r="T12" t="n">
        <v>1</v>
      </c>
    </row>
    <row r="13">
      <c r="A13" t="n">
        <v>12</v>
      </c>
      <c r="B13" t="inlineStr">
        <is>
          <t>06/04/2026</t>
        </is>
      </c>
      <c r="C13" t="inlineStr">
        <is>
          <t>CD</t>
        </is>
      </c>
      <c r="D13" t="n">
        <v>790</v>
      </c>
      <c r="E13" t="n">
        <v>650</v>
      </c>
      <c r="F13" t="n">
        <v>1</v>
      </c>
      <c r="H13" t="inlineStr">
        <is>
          <t>T12</t>
        </is>
      </c>
      <c r="I13" s="1" t="n">
        <v>0.5</v>
      </c>
      <c r="J13" s="1" t="n">
        <v>0.5882352941176471</v>
      </c>
      <c r="K13" s="1">
        <f>IFERROR(SUMIFS(S:S,P:P,"*/12/2026")/(SUMIFS(R:R,P:P,"*/12/2026")+SUMIFS(S:S,P:P,"*/12/2026")+SUMIFS(T:T,P:P,"*/12/2026")),"")</f>
        <v/>
      </c>
      <c r="L13" s="1">
        <f>IFERROR(SUMIFS(R:R,P:P,"*/12/2026")/(SUMIFS(R:R,P:P,"*/12/2026")+SUMIFS(S:S,P:P,"*/12/2026")+SUMIFS(T:T,P:P,"*/12/2026")),"")</f>
        <v/>
      </c>
      <c r="M13" s="1">
        <f>IFERROR(SUMIFS(T:T,P:P,"*/12/2026")/(SUMIFS(R:R,P:P,"*/12/2026")+SUMIFS(S:S,P:P,"*/12/2026")+SUMIFS(T:T,P:P,"*/12/2026")),"")</f>
        <v/>
      </c>
      <c r="O13" t="n">
        <v>12</v>
      </c>
      <c r="P13" t="inlineStr">
        <is>
          <t>07/01/2026</t>
        </is>
      </c>
      <c r="Q13" t="inlineStr">
        <is>
          <t>CN</t>
        </is>
      </c>
      <c r="R13" t="n">
        <v>529</v>
      </c>
      <c r="S13" t="n">
        <v>147</v>
      </c>
      <c r="T13" t="n">
        <v>381</v>
      </c>
    </row>
    <row r="14">
      <c r="A14" t="n">
        <v>13</v>
      </c>
      <c r="B14" t="inlineStr">
        <is>
          <t>07/04/2026</t>
        </is>
      </c>
      <c r="C14" t="inlineStr">
        <is>
          <t>CN</t>
        </is>
      </c>
      <c r="D14" t="n">
        <v>776</v>
      </c>
      <c r="E14" t="n">
        <v>495</v>
      </c>
      <c r="F14" t="n">
        <v>169</v>
      </c>
      <c r="H14">
        <f>IF(B2="","",TEXT(B2,"dd/mm")&amp; "-" &amp;IF(UPPER(TRIM(C2))="CN",1,IF(UPPER(TRIM(C2))="CD",2,"")))</f>
        <v/>
      </c>
      <c r="I14" s="1" t="n">
        <v>0.5</v>
      </c>
      <c r="J14" s="1" t="n">
        <v>0.5882352941176471</v>
      </c>
      <c r="K14" s="1">
        <f>IFERROR($E2/SUM($D2:$F2),"")</f>
        <v/>
      </c>
      <c r="L14" s="1">
        <f>IFERROR($D2/SUM($D2:$F2),"")</f>
        <v/>
      </c>
      <c r="M14" s="1">
        <f>IFERROR($F2/SUM($D2:$F2),"")</f>
        <v/>
      </c>
      <c r="O14" t="n">
        <v>13</v>
      </c>
      <c r="P14" t="inlineStr">
        <is>
          <t>07/01/2026</t>
        </is>
      </c>
      <c r="Q14" t="inlineStr">
        <is>
          <t>CD</t>
        </is>
      </c>
      <c r="R14" t="n">
        <v>0</v>
      </c>
      <c r="S14" t="n">
        <v>0</v>
      </c>
      <c r="T14" t="n">
        <v>720</v>
      </c>
    </row>
    <row r="15">
      <c r="A15" t="n">
        <v>14</v>
      </c>
      <c r="B15" t="inlineStr">
        <is>
          <t>07/04/2026</t>
        </is>
      </c>
      <c r="C15" t="inlineStr">
        <is>
          <t>CD</t>
        </is>
      </c>
      <c r="D15" t="n">
        <v>765</v>
      </c>
      <c r="E15" t="n">
        <v>675</v>
      </c>
      <c r="F15" t="n">
        <v>1</v>
      </c>
      <c r="H15">
        <f>IF(B3="","",TEXT(B3,"dd/mm") &amp; "-" &amp; IF(UPPER(TRIM(C3))="CN",1,IF(UPPER(TRIM(C3))="CD",2,"")))</f>
        <v/>
      </c>
      <c r="I15" s="1" t="n">
        <v>0.5</v>
      </c>
      <c r="J15" s="1" t="n">
        <v>0.5882352941176471</v>
      </c>
      <c r="K15" s="1">
        <f>IFERROR($E3/SUM($D3:$F3),"")</f>
        <v/>
      </c>
      <c r="L15" s="1">
        <f>IFERROR($D3/SUM($D3:$F3),"")</f>
        <v/>
      </c>
      <c r="M15" s="1">
        <f>IFERROR($F3/SUM($D3:$F3),"")</f>
        <v/>
      </c>
      <c r="O15" t="n">
        <v>14</v>
      </c>
      <c r="P15" t="inlineStr">
        <is>
          <t>08/01/2026</t>
        </is>
      </c>
      <c r="Q15" t="inlineStr">
        <is>
          <t>CN</t>
        </is>
      </c>
      <c r="R15" t="n">
        <v>370</v>
      </c>
      <c r="S15" t="n">
        <v>653</v>
      </c>
      <c r="T15" t="n">
        <v>208</v>
      </c>
    </row>
    <row r="16">
      <c r="A16" t="n">
        <v>15</v>
      </c>
      <c r="B16" t="inlineStr">
        <is>
          <t>08/04/2026</t>
        </is>
      </c>
      <c r="C16" t="inlineStr">
        <is>
          <t>CN</t>
        </is>
      </c>
      <c r="D16" t="n">
        <v>736</v>
      </c>
      <c r="E16" t="n">
        <v>702</v>
      </c>
      <c r="F16" t="n">
        <v>1</v>
      </c>
      <c r="H16">
        <f>IF(B4="","",TEXT(B4,"dd/mm") &amp; "-" &amp; IF(UPPER(TRIM(C4))="CN",1,IF(UPPER(TRIM(C4))="CD",2,"")))</f>
        <v/>
      </c>
      <c r="I16" s="1" t="n">
        <v>0.5</v>
      </c>
      <c r="J16" s="1" t="n">
        <v>0.5882352941176471</v>
      </c>
      <c r="K16" s="1">
        <f>IFERROR($E4/SUM($D4:$F4),"")</f>
        <v/>
      </c>
      <c r="L16" s="1">
        <f>IFERROR($D4/SUM($D4:$F4),"")</f>
        <v/>
      </c>
      <c r="M16" s="1">
        <f>IFERROR($F4/SUM($D4:$F4),"")</f>
        <v/>
      </c>
      <c r="O16" t="n">
        <v>15</v>
      </c>
      <c r="P16" t="inlineStr">
        <is>
          <t>08/01/2026</t>
        </is>
      </c>
      <c r="Q16" t="inlineStr">
        <is>
          <t>CD</t>
        </is>
      </c>
      <c r="R16" t="n">
        <v>634</v>
      </c>
      <c r="S16" t="n">
        <v>805</v>
      </c>
      <c r="T16" t="n">
        <v>1</v>
      </c>
    </row>
    <row r="17">
      <c r="A17" t="n">
        <v>16</v>
      </c>
      <c r="B17" t="inlineStr">
        <is>
          <t>08/04/2026</t>
        </is>
      </c>
      <c r="C17" t="inlineStr">
        <is>
          <t>CD</t>
        </is>
      </c>
      <c r="D17" t="n">
        <v>672</v>
      </c>
      <c r="E17" t="n">
        <v>767</v>
      </c>
      <c r="F17" t="n">
        <v>1</v>
      </c>
      <c r="H17">
        <f>IF(B5="","",TEXT(B5,"dd/mm") &amp; "-" &amp; IF(UPPER(TRIM(C5))="CN",1,IF(UPPER(TRIM(C5))="CD",2,"")))</f>
        <v/>
      </c>
      <c r="I17" s="1" t="n">
        <v>0.5</v>
      </c>
      <c r="J17" s="1" t="n">
        <v>0.5882352941176471</v>
      </c>
      <c r="K17" s="1">
        <f>IFERROR($E5/SUM($D5:$F5),"")</f>
        <v/>
      </c>
      <c r="L17" s="1">
        <f>IFERROR($D5/SUM($D5:$F5),"")</f>
        <v/>
      </c>
      <c r="M17" s="1">
        <f>IFERROR($F5/SUM($D5:$F5),"")</f>
        <v/>
      </c>
      <c r="O17" t="n">
        <v>16</v>
      </c>
      <c r="P17" t="inlineStr">
        <is>
          <t>09/01/2026</t>
        </is>
      </c>
      <c r="Q17" t="inlineStr">
        <is>
          <t>CN</t>
        </is>
      </c>
      <c r="R17" t="n">
        <v>836</v>
      </c>
      <c r="S17" t="n">
        <v>602</v>
      </c>
      <c r="T17" t="n">
        <v>1</v>
      </c>
    </row>
    <row r="18">
      <c r="A18" t="n">
        <v>17</v>
      </c>
      <c r="B18" t="inlineStr">
        <is>
          <t>09/04/2026</t>
        </is>
      </c>
      <c r="C18" t="inlineStr">
        <is>
          <t>CN</t>
        </is>
      </c>
      <c r="D18" t="n">
        <v>686</v>
      </c>
      <c r="E18" t="n">
        <v>753</v>
      </c>
      <c r="F18" t="n">
        <v>1</v>
      </c>
      <c r="H18">
        <f>IF(B6="","",TEXT(B6,"dd/mm") &amp; "-" &amp; IF(UPPER(TRIM(C6))="CN",1,IF(UPPER(TRIM(C6))="CD",2,"")))</f>
        <v/>
      </c>
      <c r="I18" s="1" t="n">
        <v>0.5</v>
      </c>
      <c r="J18" s="1" t="n">
        <v>0.5882352941176471</v>
      </c>
      <c r="K18" s="1">
        <f>IFERROR($E6/SUM($D6:$F6),"")</f>
        <v/>
      </c>
      <c r="L18" s="1">
        <f>IFERROR($D6/SUM($D6:$F6),"")</f>
        <v/>
      </c>
      <c r="M18" s="1">
        <f>IFERROR($F6/SUM($D6:$F6),"")</f>
        <v/>
      </c>
      <c r="O18" t="n">
        <v>17</v>
      </c>
      <c r="P18" t="inlineStr">
        <is>
          <t>09/01/2026</t>
        </is>
      </c>
      <c r="Q18" t="inlineStr">
        <is>
          <t>CD</t>
        </is>
      </c>
      <c r="R18" t="n">
        <v>625</v>
      </c>
      <c r="S18" t="n">
        <v>815</v>
      </c>
      <c r="T18" t="n">
        <v>1</v>
      </c>
    </row>
    <row r="19">
      <c r="A19" t="n">
        <v>18</v>
      </c>
      <c r="B19" t="inlineStr">
        <is>
          <t>09/04/2026</t>
        </is>
      </c>
      <c r="C19" t="inlineStr">
        <is>
          <t>CD</t>
        </is>
      </c>
      <c r="D19" t="n">
        <v>559</v>
      </c>
      <c r="E19" t="n">
        <v>880</v>
      </c>
      <c r="F19" t="n">
        <v>1</v>
      </c>
      <c r="H19">
        <f>IF(B7="","",TEXT(B7,"dd/mm") &amp; "-" &amp; IF(UPPER(TRIM(C7))="CN",1,IF(UPPER(TRIM(C7))="CD",2,"")))</f>
        <v/>
      </c>
      <c r="I19" s="1" t="n">
        <v>0.5</v>
      </c>
      <c r="J19" s="1" t="n">
        <v>0.5882352941176471</v>
      </c>
      <c r="K19" s="1">
        <f>IFERROR($E7/SUM($D7:$F7),"")</f>
        <v/>
      </c>
      <c r="L19" s="1">
        <f>IFERROR($D7/SUM($D7:$F7),"")</f>
        <v/>
      </c>
      <c r="M19" s="1">
        <f>IFERROR($F7/SUM($D7:$F7),"")</f>
        <v/>
      </c>
      <c r="O19" t="n">
        <v>18</v>
      </c>
      <c r="P19" t="inlineStr">
        <is>
          <t>10/01/2026</t>
        </is>
      </c>
      <c r="Q19" t="inlineStr">
        <is>
          <t>CN</t>
        </is>
      </c>
      <c r="R19" t="n">
        <v>804</v>
      </c>
      <c r="S19" t="n">
        <v>632</v>
      </c>
      <c r="T19" t="n">
        <v>1</v>
      </c>
    </row>
    <row r="20">
      <c r="A20" t="n">
        <v>19</v>
      </c>
      <c r="B20" t="inlineStr">
        <is>
          <t>10/04/2026</t>
        </is>
      </c>
      <c r="C20" t="inlineStr">
        <is>
          <t>CN</t>
        </is>
      </c>
      <c r="D20" t="n">
        <v>703</v>
      </c>
      <c r="E20" t="n">
        <v>736</v>
      </c>
      <c r="F20" t="n">
        <v>1</v>
      </c>
      <c r="H20">
        <f>IF(B8="","",TEXT(B8,"dd/mm") &amp; "-" &amp; IF(UPPER(TRIM(C8))="CN",1,IF(UPPER(TRIM(C8))="CD",2,"")))</f>
        <v/>
      </c>
      <c r="I20" s="1" t="n">
        <v>0.5</v>
      </c>
      <c r="J20" s="1" t="n">
        <v>0.5882352941176471</v>
      </c>
      <c r="K20" s="1">
        <f>IFERROR($E8/SUM($D8:$F8),"")</f>
        <v/>
      </c>
      <c r="L20" s="1">
        <f>IFERROR($D8/SUM($D8:$F8),"")</f>
        <v/>
      </c>
      <c r="M20" s="1">
        <f>IFERROR($F8/SUM($D8:$F8),"")</f>
        <v/>
      </c>
      <c r="O20" t="n">
        <v>19</v>
      </c>
      <c r="P20" t="inlineStr">
        <is>
          <t>10/01/2026</t>
        </is>
      </c>
      <c r="Q20" t="inlineStr">
        <is>
          <t>CD</t>
        </is>
      </c>
      <c r="R20" t="n">
        <v>0</v>
      </c>
      <c r="S20" t="n">
        <v>0</v>
      </c>
      <c r="T20" t="n">
        <v>720</v>
      </c>
    </row>
    <row r="21">
      <c r="A21" t="n">
        <v>20</v>
      </c>
      <c r="B21" t="inlineStr">
        <is>
          <t>10/04/2026</t>
        </is>
      </c>
      <c r="C21" t="inlineStr">
        <is>
          <t>CD</t>
        </is>
      </c>
      <c r="D21" t="n">
        <v>455</v>
      </c>
      <c r="E21" t="n">
        <v>666</v>
      </c>
      <c r="F21" t="n">
        <v>155</v>
      </c>
      <c r="H21">
        <f>IF(B9="","",TEXT(B9,"dd/mm") &amp; "-" &amp; IF(UPPER(TRIM(C9))="CN",1,IF(UPPER(TRIM(C9))="CD",2,"")))</f>
        <v/>
      </c>
      <c r="I21" s="1" t="n">
        <v>0.5</v>
      </c>
      <c r="J21" s="1" t="n">
        <v>0.5882352941176471</v>
      </c>
      <c r="K21" s="1">
        <f>IFERROR($E9/SUM($D9:$F9),"")</f>
        <v/>
      </c>
      <c r="L21" s="1">
        <f>IFERROR($D9/SUM($D9:$F9),"")</f>
        <v/>
      </c>
      <c r="M21" s="1">
        <f>IFERROR($F9/SUM($D9:$F9),"")</f>
        <v/>
      </c>
      <c r="O21" t="n">
        <v>20</v>
      </c>
      <c r="P21" t="inlineStr">
        <is>
          <t>11/01/2026</t>
        </is>
      </c>
      <c r="Q21" t="inlineStr">
        <is>
          <t>CN</t>
        </is>
      </c>
      <c r="R21" t="n">
        <v>0</v>
      </c>
      <c r="S21" t="n">
        <v>0</v>
      </c>
      <c r="T21" t="n">
        <v>720</v>
      </c>
    </row>
    <row r="22">
      <c r="A22" t="n">
        <v>21</v>
      </c>
      <c r="B22" t="inlineStr">
        <is>
          <t>11/04/2026</t>
        </is>
      </c>
      <c r="C22" t="inlineStr">
        <is>
          <t>CN</t>
        </is>
      </c>
      <c r="D22" t="n">
        <v>0</v>
      </c>
      <c r="E22" t="n">
        <v>0</v>
      </c>
      <c r="F22" t="n">
        <v>720</v>
      </c>
      <c r="H22">
        <f>IF(B10="","",TEXT(B10,"dd/mm") &amp; "-" &amp; IF(UPPER(TRIM(C10))="CN",1,IF(UPPER(TRIM(C10))="CD",2,"")))</f>
        <v/>
      </c>
      <c r="I22" s="1" t="n">
        <v>0.5</v>
      </c>
      <c r="J22" s="1" t="n">
        <v>0.5882352941176471</v>
      </c>
      <c r="K22" s="1">
        <f>IFERROR($E10/SUM($D10:$F10),"")</f>
        <v/>
      </c>
      <c r="L22" s="1">
        <f>IFERROR($D10/SUM($D10:$F10),"")</f>
        <v/>
      </c>
      <c r="M22" s="1">
        <f>IFERROR($F10/SUM($D10:$F10),"")</f>
        <v/>
      </c>
      <c r="O22" t="n">
        <v>21</v>
      </c>
      <c r="P22" t="inlineStr">
        <is>
          <t>11/01/2026</t>
        </is>
      </c>
      <c r="Q22" t="inlineStr">
        <is>
          <t>CD</t>
        </is>
      </c>
      <c r="R22" t="n">
        <v>0</v>
      </c>
      <c r="S22" t="n">
        <v>0</v>
      </c>
      <c r="T22" t="n">
        <v>720</v>
      </c>
    </row>
    <row r="23">
      <c r="A23" t="n">
        <v>22</v>
      </c>
      <c r="B23" t="inlineStr">
        <is>
          <t>11/04/2026</t>
        </is>
      </c>
      <c r="C23" t="inlineStr">
        <is>
          <t>CD</t>
        </is>
      </c>
      <c r="D23" t="n">
        <v>0</v>
      </c>
      <c r="E23" t="n">
        <v>0</v>
      </c>
      <c r="F23" t="n">
        <v>720</v>
      </c>
      <c r="H23">
        <f>IF(B11="","",TEXT(B11,"dd/mm") &amp; "-" &amp; IF(UPPER(TRIM(C11))="CN",1,IF(UPPER(TRIM(C11))="CD",2,"")))</f>
        <v/>
      </c>
      <c r="I23" s="1" t="n">
        <v>0.5</v>
      </c>
      <c r="J23" s="1" t="n">
        <v>0.5882352941176471</v>
      </c>
      <c r="K23" s="1">
        <f>IFERROR($E11/SUM($D11:$F11),"")</f>
        <v/>
      </c>
      <c r="L23" s="1">
        <f>IFERROR($D11/SUM($D11:$F11),"")</f>
        <v/>
      </c>
      <c r="M23" s="1">
        <f>IFERROR($F11/SUM($D11:$F11),"")</f>
        <v/>
      </c>
      <c r="O23" t="n">
        <v>22</v>
      </c>
      <c r="P23" t="inlineStr">
        <is>
          <t>12/01/2026</t>
        </is>
      </c>
      <c r="Q23" t="inlineStr">
        <is>
          <t>CN</t>
        </is>
      </c>
      <c r="R23" t="n">
        <v>303</v>
      </c>
      <c r="S23" t="n">
        <v>719</v>
      </c>
      <c r="T23" t="n">
        <v>208</v>
      </c>
    </row>
    <row r="24">
      <c r="A24" t="n">
        <v>23</v>
      </c>
      <c r="B24" t="inlineStr">
        <is>
          <t>12/04/2026</t>
        </is>
      </c>
      <c r="C24" t="inlineStr">
        <is>
          <t>CN</t>
        </is>
      </c>
      <c r="D24" t="n">
        <v>0</v>
      </c>
      <c r="E24" t="n">
        <v>0</v>
      </c>
      <c r="F24" t="n">
        <v>720</v>
      </c>
      <c r="H24">
        <f>IF(B12="","",TEXT(B12,"dd/mm") &amp; "-" &amp; IF(UPPER(TRIM(C12))="CN",1,IF(UPPER(TRIM(C12))="CD",2,"")))</f>
        <v/>
      </c>
      <c r="I24" s="1" t="n">
        <v>0.5</v>
      </c>
      <c r="J24" s="1" t="n">
        <v>0.5882352941176471</v>
      </c>
      <c r="K24" s="1">
        <f>IFERROR($E12/SUM($D12:$F12),"")</f>
        <v/>
      </c>
      <c r="L24" s="1">
        <f>IFERROR($D12/SUM($D12:$F12),"")</f>
        <v/>
      </c>
      <c r="M24" s="1">
        <f>IFERROR($F12/SUM($D12:$F12),"")</f>
        <v/>
      </c>
      <c r="O24" t="n">
        <v>23</v>
      </c>
      <c r="P24" t="inlineStr">
        <is>
          <t>12/01/2026</t>
        </is>
      </c>
      <c r="Q24" t="inlineStr">
        <is>
          <t>CD</t>
        </is>
      </c>
      <c r="R24" t="n">
        <v>469</v>
      </c>
      <c r="S24" t="n">
        <v>970</v>
      </c>
      <c r="T24" t="n">
        <v>1</v>
      </c>
    </row>
    <row r="25">
      <c r="A25" t="n">
        <v>24</v>
      </c>
      <c r="B25" t="inlineStr">
        <is>
          <t>12/04/2026</t>
        </is>
      </c>
      <c r="C25" t="inlineStr">
        <is>
          <t>CD</t>
        </is>
      </c>
      <c r="D25" t="n">
        <v>0</v>
      </c>
      <c r="E25" t="n">
        <v>0</v>
      </c>
      <c r="F25" t="n">
        <v>720</v>
      </c>
      <c r="H25">
        <f>IF(B13="","",TEXT(B13,"dd/mm") &amp; "-" &amp; IF(UPPER(TRIM(C13))="CN",1,IF(UPPER(TRIM(C13))="CD",2,"")))</f>
        <v/>
      </c>
      <c r="I25" s="1" t="n">
        <v>0.5</v>
      </c>
      <c r="J25" s="1" t="n">
        <v>0.5882352941176471</v>
      </c>
      <c r="K25" s="1">
        <f>IFERROR($E13/SUM($D13:$F13),"")</f>
        <v/>
      </c>
      <c r="L25" s="1">
        <f>IFERROR($D13/SUM($D13:$F13),"")</f>
        <v/>
      </c>
      <c r="M25" s="1">
        <f>IFERROR($F13/SUM($D13:$F13),"")</f>
        <v/>
      </c>
      <c r="O25" t="n">
        <v>24</v>
      </c>
      <c r="P25" t="inlineStr">
        <is>
          <t>13/01/2026</t>
        </is>
      </c>
      <c r="Q25" t="inlineStr">
        <is>
          <t>CN</t>
        </is>
      </c>
      <c r="R25" t="n">
        <v>716</v>
      </c>
      <c r="S25" t="n">
        <v>722</v>
      </c>
      <c r="T25" t="n">
        <v>1</v>
      </c>
    </row>
    <row r="26">
      <c r="A26" t="n">
        <v>25</v>
      </c>
      <c r="B26" t="inlineStr">
        <is>
          <t>13/04/2026</t>
        </is>
      </c>
      <c r="C26" t="inlineStr">
        <is>
          <t>CN</t>
        </is>
      </c>
      <c r="D26" t="n">
        <v>497</v>
      </c>
      <c r="E26" t="n">
        <v>533</v>
      </c>
      <c r="F26" t="n">
        <v>205</v>
      </c>
      <c r="H26">
        <f>IF(B14="","",TEXT(B14,"dd/mm") &amp; "-" &amp; IF(UPPER(TRIM(C14))="CN",1,IF(UPPER(TRIM(C14))="CD",2,"")))</f>
        <v/>
      </c>
      <c r="I26" s="1" t="n">
        <v>0.5</v>
      </c>
      <c r="J26" s="1" t="n">
        <v>0.5882352941176471</v>
      </c>
      <c r="K26" s="1">
        <f>IFERROR($E14/SUM($D14:$F14),"")</f>
        <v/>
      </c>
      <c r="L26" s="1">
        <f>IFERROR($D14/SUM($D14:$F14),"")</f>
        <v/>
      </c>
      <c r="M26" s="1">
        <f>IFERROR($F14/SUM($D14:$F14),"")</f>
        <v/>
      </c>
      <c r="O26" t="n">
        <v>25</v>
      </c>
      <c r="P26" t="inlineStr">
        <is>
          <t>13/01/2026</t>
        </is>
      </c>
      <c r="Q26" t="inlineStr">
        <is>
          <t>CD</t>
        </is>
      </c>
      <c r="R26" t="n">
        <v>675</v>
      </c>
      <c r="S26" t="n">
        <v>764</v>
      </c>
      <c r="T26" t="n">
        <v>1</v>
      </c>
    </row>
    <row r="27">
      <c r="A27" t="n">
        <v>26</v>
      </c>
      <c r="B27" t="inlineStr">
        <is>
          <t>13/04/2026</t>
        </is>
      </c>
      <c r="C27" t="inlineStr">
        <is>
          <t>CD</t>
        </is>
      </c>
      <c r="D27" t="n">
        <v>513</v>
      </c>
      <c r="E27" t="n">
        <v>926</v>
      </c>
      <c r="F27" t="n">
        <v>1</v>
      </c>
      <c r="H27">
        <f>IF(B15="","",TEXT(B15,"dd/mm") &amp; "-" &amp; IF(UPPER(TRIM(C15))="CN",1,IF(UPPER(TRIM(C15))="CD",2,"")))</f>
        <v/>
      </c>
      <c r="I27" s="1" t="n">
        <v>0.5</v>
      </c>
      <c r="J27" s="1" t="n">
        <v>0.5882352941176471</v>
      </c>
      <c r="K27" s="1">
        <f>IFERROR($E15/SUM($D15:$F15),"")</f>
        <v/>
      </c>
      <c r="L27" s="1">
        <f>IFERROR($D15/SUM($D15:$F15),"")</f>
        <v/>
      </c>
      <c r="M27" s="1">
        <f>IFERROR($F15/SUM($D15:$F15),"")</f>
        <v/>
      </c>
      <c r="O27" t="n">
        <v>26</v>
      </c>
      <c r="P27" t="inlineStr">
        <is>
          <t>14/01/2026</t>
        </is>
      </c>
      <c r="Q27" t="inlineStr">
        <is>
          <t>CN</t>
        </is>
      </c>
      <c r="R27" t="n">
        <v>743</v>
      </c>
      <c r="S27" t="n">
        <v>695</v>
      </c>
      <c r="T27" t="n">
        <v>1</v>
      </c>
    </row>
    <row r="28">
      <c r="A28" t="n">
        <v>27</v>
      </c>
      <c r="B28" t="inlineStr">
        <is>
          <t>14/04/2026</t>
        </is>
      </c>
      <c r="C28" t="inlineStr">
        <is>
          <t>CN</t>
        </is>
      </c>
      <c r="D28" t="n">
        <v>804</v>
      </c>
      <c r="E28" t="n">
        <v>636</v>
      </c>
      <c r="F28" t="n">
        <v>1</v>
      </c>
      <c r="H28">
        <f>IF(B16="","",TEXT(B16,"dd/mm") &amp; "-" &amp; IF(UPPER(TRIM(C16))="CN",1,IF(UPPER(TRIM(C16))="CD",2,"")))</f>
        <v/>
      </c>
      <c r="I28" s="1" t="n">
        <v>0.5</v>
      </c>
      <c r="J28" s="1" t="n">
        <v>0.5882352941176471</v>
      </c>
      <c r="K28" s="1">
        <f>IFERROR($E16/SUM($D16:$F16),"")</f>
        <v/>
      </c>
      <c r="L28" s="1">
        <f>IFERROR($D16/SUM($D16:$F16),"")</f>
        <v/>
      </c>
      <c r="M28" s="1">
        <f>IFERROR($F16/SUM($D16:$F16),"")</f>
        <v/>
      </c>
      <c r="O28" t="n">
        <v>27</v>
      </c>
      <c r="P28" t="inlineStr">
        <is>
          <t>14/01/2026</t>
        </is>
      </c>
      <c r="Q28" t="inlineStr">
        <is>
          <t>CD</t>
        </is>
      </c>
      <c r="R28" t="n">
        <v>548</v>
      </c>
      <c r="S28" t="n">
        <v>892</v>
      </c>
      <c r="T28" t="n">
        <v>1</v>
      </c>
    </row>
    <row r="29">
      <c r="A29" t="n">
        <v>28</v>
      </c>
      <c r="B29" t="inlineStr">
        <is>
          <t>14/04/2026</t>
        </is>
      </c>
      <c r="C29" t="inlineStr">
        <is>
          <t>CD</t>
        </is>
      </c>
      <c r="D29" t="n">
        <v>422</v>
      </c>
      <c r="E29" t="n">
        <v>1018</v>
      </c>
      <c r="F29" t="n">
        <v>1</v>
      </c>
      <c r="H29">
        <f>IF(B17="","",TEXT(B17,"dd/mm") &amp; "-" &amp; IF(UPPER(TRIM(C17))="CN",1,IF(UPPER(TRIM(C17))="CD",2,"")))</f>
        <v/>
      </c>
      <c r="I29" s="1" t="n">
        <v>0.5</v>
      </c>
      <c r="J29" s="1" t="n">
        <v>0.5882352941176471</v>
      </c>
      <c r="K29" s="1">
        <f>IFERROR($E17/SUM($D17:$F17),"")</f>
        <v/>
      </c>
      <c r="L29" s="1">
        <f>IFERROR($D17/SUM($D17:$F17),"")</f>
        <v/>
      </c>
      <c r="M29" s="1">
        <f>IFERROR($F17/SUM($D17:$F17),"")</f>
        <v/>
      </c>
      <c r="O29" t="n">
        <v>28</v>
      </c>
      <c r="P29" t="inlineStr">
        <is>
          <t>15/01/2026</t>
        </is>
      </c>
      <c r="Q29" t="inlineStr">
        <is>
          <t>CN</t>
        </is>
      </c>
      <c r="R29" t="n">
        <v>719</v>
      </c>
      <c r="S29" t="n">
        <v>720</v>
      </c>
      <c r="T29" t="n">
        <v>1</v>
      </c>
    </row>
    <row r="30">
      <c r="A30" t="n">
        <v>29</v>
      </c>
      <c r="B30" t="inlineStr">
        <is>
          <t>15/04/2026</t>
        </is>
      </c>
      <c r="C30" t="inlineStr">
        <is>
          <t>CN</t>
        </is>
      </c>
      <c r="D30" t="n">
        <v>767</v>
      </c>
      <c r="E30" t="n">
        <v>671</v>
      </c>
      <c r="F30" t="n">
        <v>1</v>
      </c>
      <c r="H30">
        <f>IF(B18="","",TEXT(B18,"dd/mm") &amp; "-" &amp; IF(UPPER(TRIM(C18))="CN",1,IF(UPPER(TRIM(C18))="CD",2,"")))</f>
        <v/>
      </c>
      <c r="I30" s="1" t="n">
        <v>0.5</v>
      </c>
      <c r="J30" s="1" t="n">
        <v>0.5882352941176471</v>
      </c>
      <c r="K30" s="1">
        <f>IFERROR($E18/SUM($D18:$F18),"")</f>
        <v/>
      </c>
      <c r="L30" s="1">
        <f>IFERROR($D18/SUM($D18:$F18),"")</f>
        <v/>
      </c>
      <c r="M30" s="1">
        <f>IFERROR($F18/SUM($D18:$F18),"")</f>
        <v/>
      </c>
      <c r="O30" t="n">
        <v>29</v>
      </c>
      <c r="P30" t="inlineStr">
        <is>
          <t>15/01/2026</t>
        </is>
      </c>
      <c r="Q30" t="inlineStr">
        <is>
          <t>CD</t>
        </is>
      </c>
      <c r="R30" t="n">
        <v>581</v>
      </c>
      <c r="S30" t="n">
        <v>858</v>
      </c>
      <c r="T30" t="n">
        <v>1</v>
      </c>
    </row>
    <row r="31">
      <c r="A31" t="n">
        <v>30</v>
      </c>
      <c r="B31" t="inlineStr">
        <is>
          <t>15/04/2026</t>
        </is>
      </c>
      <c r="C31" t="inlineStr">
        <is>
          <t>CD</t>
        </is>
      </c>
      <c r="D31" t="n">
        <v>544</v>
      </c>
      <c r="E31" t="n">
        <v>895</v>
      </c>
      <c r="F31" t="n">
        <v>1</v>
      </c>
      <c r="H31">
        <f>IF(B19="","",TEXT(B19,"dd/mm") &amp; "-" &amp; IF(UPPER(TRIM(C19))="CN",1,IF(UPPER(TRIM(C19))="CD",2,"")))</f>
        <v/>
      </c>
      <c r="I31" s="1" t="n">
        <v>0.5</v>
      </c>
      <c r="J31" s="1" t="n">
        <v>0.5882352941176471</v>
      </c>
      <c r="K31" s="1">
        <f>IFERROR($E19/SUM($D19:$F19),"")</f>
        <v/>
      </c>
      <c r="L31" s="1">
        <f>IFERROR($D19/SUM($D19:$F19),"")</f>
        <v/>
      </c>
      <c r="M31" s="1">
        <f>IFERROR($F19/SUM($D19:$F19),"")</f>
        <v/>
      </c>
      <c r="O31" t="n">
        <v>30</v>
      </c>
      <c r="P31" t="inlineStr">
        <is>
          <t>16/01/2026</t>
        </is>
      </c>
      <c r="Q31" t="inlineStr">
        <is>
          <t>CN</t>
        </is>
      </c>
      <c r="R31" t="n">
        <v>738</v>
      </c>
      <c r="S31" t="n">
        <v>701</v>
      </c>
      <c r="T31" t="n">
        <v>1</v>
      </c>
    </row>
    <row r="32">
      <c r="A32" t="n">
        <v>31</v>
      </c>
      <c r="B32" t="inlineStr">
        <is>
          <t>16/04/2026</t>
        </is>
      </c>
      <c r="C32" t="inlineStr">
        <is>
          <t>CN</t>
        </is>
      </c>
      <c r="D32" t="n">
        <v>828</v>
      </c>
      <c r="E32" t="n">
        <v>610</v>
      </c>
      <c r="F32" t="n">
        <v>1</v>
      </c>
      <c r="H32">
        <f>IF(B20="","",TEXT(B20,"dd/mm") &amp; "-" &amp; IF(UPPER(TRIM(C20))="CN",1,IF(UPPER(TRIM(C20))="CD",2,"")))</f>
        <v/>
      </c>
      <c r="I32" s="1" t="n">
        <v>0.5</v>
      </c>
      <c r="J32" s="1" t="n">
        <v>0.5882352941176471</v>
      </c>
      <c r="K32" s="1">
        <f>IFERROR($E20/SUM($D20:$F20),"")</f>
        <v/>
      </c>
      <c r="L32" s="1">
        <f>IFERROR($D20/SUM($D20:$F20),"")</f>
        <v/>
      </c>
      <c r="M32" s="1">
        <f>IFERROR($F20/SUM($D20:$F20),"")</f>
        <v/>
      </c>
      <c r="O32" t="n">
        <v>31</v>
      </c>
      <c r="P32" t="inlineStr">
        <is>
          <t>16/01/2026</t>
        </is>
      </c>
      <c r="Q32" t="inlineStr">
        <is>
          <t>CD</t>
        </is>
      </c>
      <c r="R32" t="n">
        <v>611</v>
      </c>
      <c r="S32" t="n">
        <v>828</v>
      </c>
      <c r="T32" t="n">
        <v>1</v>
      </c>
    </row>
    <row r="33">
      <c r="A33" t="n">
        <v>32</v>
      </c>
      <c r="B33" t="inlineStr">
        <is>
          <t>16/04/2026</t>
        </is>
      </c>
      <c r="C33" t="inlineStr">
        <is>
          <t>CD</t>
        </is>
      </c>
      <c r="D33" t="n">
        <v>455</v>
      </c>
      <c r="E33" t="n">
        <v>984</v>
      </c>
      <c r="F33" t="n">
        <v>1</v>
      </c>
      <c r="H33">
        <f>IF(B21="","",TEXT(B21,"dd/mm") &amp; "-" &amp; IF(UPPER(TRIM(C21))="CN",1,IF(UPPER(TRIM(C21))="CD",2,"")))</f>
        <v/>
      </c>
      <c r="I33" s="1" t="n">
        <v>0.5</v>
      </c>
      <c r="J33" s="1" t="n">
        <v>0.5882352941176471</v>
      </c>
      <c r="K33" s="1">
        <f>IFERROR($E21/SUM($D21:$F21),"")</f>
        <v/>
      </c>
      <c r="L33" s="1">
        <f>IFERROR($D21/SUM($D21:$F21),"")</f>
        <v/>
      </c>
      <c r="M33" s="1">
        <f>IFERROR($F21/SUM($D21:$F21),"")</f>
        <v/>
      </c>
      <c r="O33" t="n">
        <v>32</v>
      </c>
      <c r="P33" t="inlineStr">
        <is>
          <t>17/01/2026</t>
        </is>
      </c>
      <c r="Q33" t="inlineStr">
        <is>
          <t>CN</t>
        </is>
      </c>
      <c r="R33" t="n">
        <v>774</v>
      </c>
      <c r="S33" t="n">
        <v>665</v>
      </c>
      <c r="T33" t="n">
        <v>1</v>
      </c>
    </row>
    <row r="34">
      <c r="A34" t="n">
        <v>33</v>
      </c>
      <c r="B34" t="inlineStr">
        <is>
          <t>17/04/2026</t>
        </is>
      </c>
      <c r="C34" t="inlineStr">
        <is>
          <t>CN</t>
        </is>
      </c>
      <c r="D34" t="n">
        <v>709</v>
      </c>
      <c r="E34" t="n">
        <v>731</v>
      </c>
      <c r="F34" t="n">
        <v>1</v>
      </c>
      <c r="H34">
        <f>IF(B22="","",TEXT(B22,"dd/mm") &amp; "-" &amp; IF(UPPER(TRIM(C22))="CN",1,IF(UPPER(TRIM(C22))="CD",2,"")))</f>
        <v/>
      </c>
      <c r="I34" s="1" t="n">
        <v>0.5</v>
      </c>
      <c r="J34" s="1" t="n">
        <v>0.5882352941176471</v>
      </c>
      <c r="K34" s="1">
        <f>IFERROR($E22/SUM($D22:$F22),"")</f>
        <v/>
      </c>
      <c r="L34" s="1">
        <f>IFERROR($D22/SUM($D22:$F22),"")</f>
        <v/>
      </c>
      <c r="M34" s="1">
        <f>IFERROR($F22/SUM($D22:$F22),"")</f>
        <v/>
      </c>
      <c r="O34" t="n">
        <v>33</v>
      </c>
      <c r="P34" t="inlineStr">
        <is>
          <t>17/01/2026</t>
        </is>
      </c>
      <c r="Q34" t="inlineStr">
        <is>
          <t>CD</t>
        </is>
      </c>
      <c r="R34" t="n">
        <v>206</v>
      </c>
      <c r="S34" t="n">
        <v>747</v>
      </c>
      <c r="T34" t="n">
        <v>242</v>
      </c>
    </row>
    <row r="35">
      <c r="A35" t="n">
        <v>34</v>
      </c>
      <c r="B35" t="inlineStr">
        <is>
          <t>17/04/2026</t>
        </is>
      </c>
      <c r="C35" t="inlineStr">
        <is>
          <t>CD</t>
        </is>
      </c>
      <c r="D35" t="n">
        <v>352</v>
      </c>
      <c r="E35" t="n">
        <v>761</v>
      </c>
      <c r="F35" t="n">
        <v>164</v>
      </c>
      <c r="H35">
        <f>IF(B23="","",TEXT(B23,"dd/mm") &amp; "-" &amp; IF(UPPER(TRIM(C23))="CN",1,IF(UPPER(TRIM(C23))="CD",2,"")))</f>
        <v/>
      </c>
      <c r="I35" s="1" t="n">
        <v>0.5</v>
      </c>
      <c r="J35" s="1" t="n">
        <v>0.5882352941176471</v>
      </c>
      <c r="K35" s="1">
        <f>IFERROR($E23/SUM($D23:$F23),"")</f>
        <v/>
      </c>
      <c r="L35" s="1">
        <f>IFERROR($D23/SUM($D23:$F23),"")</f>
        <v/>
      </c>
      <c r="M35" s="1">
        <f>IFERROR($F23/SUM($D23:$F23),"")</f>
        <v/>
      </c>
      <c r="O35" t="n">
        <v>34</v>
      </c>
      <c r="P35" t="inlineStr">
        <is>
          <t>18/01/2026</t>
        </is>
      </c>
      <c r="Q35" t="inlineStr">
        <is>
          <t>CN</t>
        </is>
      </c>
      <c r="R35" t="n">
        <v>0</v>
      </c>
      <c r="S35" t="n">
        <v>0</v>
      </c>
      <c r="T35" t="n">
        <v>720</v>
      </c>
    </row>
    <row r="36">
      <c r="A36" t="n">
        <v>35</v>
      </c>
      <c r="B36" t="inlineStr">
        <is>
          <t>18/04/2026</t>
        </is>
      </c>
      <c r="C36" t="inlineStr">
        <is>
          <t>CN</t>
        </is>
      </c>
      <c r="D36" t="n">
        <v>0</v>
      </c>
      <c r="E36" t="n">
        <v>0</v>
      </c>
      <c r="F36" t="n">
        <v>720</v>
      </c>
      <c r="H36">
        <f>IF(B24="","",TEXT(B24,"dd/mm") &amp; "-" &amp; IF(UPPER(TRIM(C24))="CN",1,IF(UPPER(TRIM(C24))="CD",2,"")))</f>
        <v/>
      </c>
      <c r="I36" s="1" t="n">
        <v>0.5</v>
      </c>
      <c r="J36" s="1" t="n">
        <v>0.5882352941176471</v>
      </c>
      <c r="K36" s="1">
        <f>IFERROR($E24/SUM($D24:$F24),"")</f>
        <v/>
      </c>
      <c r="L36" s="1">
        <f>IFERROR($D24/SUM($D24:$F24),"")</f>
        <v/>
      </c>
      <c r="M36" s="1">
        <f>IFERROR($F24/SUM($D24:$F24),"")</f>
        <v/>
      </c>
      <c r="O36" t="n">
        <v>35</v>
      </c>
      <c r="P36" t="inlineStr">
        <is>
          <t>18/01/2026</t>
        </is>
      </c>
      <c r="Q36" t="inlineStr">
        <is>
          <t>CD</t>
        </is>
      </c>
      <c r="R36" t="n">
        <v>0</v>
      </c>
      <c r="S36" t="n">
        <v>0</v>
      </c>
      <c r="T36" t="n">
        <v>720</v>
      </c>
    </row>
    <row r="37">
      <c r="A37" t="n">
        <v>36</v>
      </c>
      <c r="B37" t="inlineStr">
        <is>
          <t>18/04/2026</t>
        </is>
      </c>
      <c r="C37" t="inlineStr">
        <is>
          <t>CD</t>
        </is>
      </c>
      <c r="D37" t="n">
        <v>0</v>
      </c>
      <c r="E37" t="n">
        <v>0</v>
      </c>
      <c r="F37" t="n">
        <v>720</v>
      </c>
      <c r="H37">
        <f>IF(B25="","",TEXT(B25,"dd/mm") &amp; "-" &amp; IF(UPPER(TRIM(C25))="CN",1,IF(UPPER(TRIM(C25))="CD",2,"")))</f>
        <v/>
      </c>
      <c r="I37" s="1" t="n">
        <v>0.5</v>
      </c>
      <c r="J37" s="1" t="n">
        <v>0.5882352941176471</v>
      </c>
      <c r="K37" s="1">
        <f>IFERROR($E25/SUM($D25:$F25),"")</f>
        <v/>
      </c>
      <c r="L37" s="1">
        <f>IFERROR($D25/SUM($D25:$F25),"")</f>
        <v/>
      </c>
      <c r="M37" s="1">
        <f>IFERROR($F25/SUM($D25:$F25),"")</f>
        <v/>
      </c>
      <c r="O37" t="n">
        <v>36</v>
      </c>
      <c r="P37" t="inlineStr">
        <is>
          <t>19/01/2026</t>
        </is>
      </c>
      <c r="Q37" t="inlineStr">
        <is>
          <t>CN</t>
        </is>
      </c>
      <c r="R37" t="n">
        <v>300</v>
      </c>
      <c r="S37" t="n">
        <v>720</v>
      </c>
      <c r="T37" t="n">
        <v>211</v>
      </c>
    </row>
    <row r="38">
      <c r="A38" t="n">
        <v>37</v>
      </c>
      <c r="B38" t="inlineStr">
        <is>
          <t>19/04/2026</t>
        </is>
      </c>
      <c r="C38" t="inlineStr">
        <is>
          <t>CN</t>
        </is>
      </c>
      <c r="D38" t="n">
        <v>0</v>
      </c>
      <c r="E38" t="n">
        <v>0</v>
      </c>
      <c r="F38" t="n">
        <v>720</v>
      </c>
      <c r="H38">
        <f>IF(B26="","",TEXT(B26,"dd/mm") &amp; "-" &amp; IF(UPPER(TRIM(C26))="CN",1,IF(UPPER(TRIM(C26))="CD",2,"")))</f>
        <v/>
      </c>
      <c r="I38" s="1" t="n">
        <v>0.5</v>
      </c>
      <c r="J38" s="1" t="n">
        <v>0.5882352941176471</v>
      </c>
      <c r="K38" s="1">
        <f>IFERROR($E26/SUM($D26:$F26),"")</f>
        <v/>
      </c>
      <c r="L38" s="1">
        <f>IFERROR($D26/SUM($D26:$F26),"")</f>
        <v/>
      </c>
      <c r="M38" s="1">
        <f>IFERROR($F26/SUM($D26:$F26),"")</f>
        <v/>
      </c>
      <c r="O38" t="n">
        <v>37</v>
      </c>
      <c r="P38" t="inlineStr">
        <is>
          <t>19/01/2026</t>
        </is>
      </c>
      <c r="Q38" t="inlineStr">
        <is>
          <t>CD</t>
        </is>
      </c>
      <c r="R38" t="n">
        <v>569</v>
      </c>
      <c r="S38" t="n">
        <v>870</v>
      </c>
      <c r="T38" t="n">
        <v>1</v>
      </c>
    </row>
    <row r="39">
      <c r="A39" t="n">
        <v>38</v>
      </c>
      <c r="B39" t="inlineStr">
        <is>
          <t>19/04/2026</t>
        </is>
      </c>
      <c r="C39" t="inlineStr">
        <is>
          <t>CD</t>
        </is>
      </c>
      <c r="D39" t="n">
        <v>0</v>
      </c>
      <c r="E39" t="n">
        <v>0</v>
      </c>
      <c r="F39" t="n">
        <v>720</v>
      </c>
      <c r="H39">
        <f>IF(B27="","",TEXT(B27,"dd/mm") &amp; "-" &amp; IF(UPPER(TRIM(C27))="CN",1,IF(UPPER(TRIM(C27))="CD",2,"")))</f>
        <v/>
      </c>
      <c r="I39" s="1" t="n">
        <v>0.5</v>
      </c>
      <c r="J39" s="1" t="n">
        <v>0.5882352941176471</v>
      </c>
      <c r="K39" s="1">
        <f>IFERROR($E27/SUM($D27:$F27),"")</f>
        <v/>
      </c>
      <c r="L39" s="1">
        <f>IFERROR($D27/SUM($D27:$F27),"")</f>
        <v/>
      </c>
      <c r="M39" s="1">
        <f>IFERROR($F27/SUM($D27:$F27),"")</f>
        <v/>
      </c>
      <c r="O39" t="n">
        <v>38</v>
      </c>
      <c r="P39" t="inlineStr">
        <is>
          <t>20/01/2026</t>
        </is>
      </c>
      <c r="Q39" t="inlineStr">
        <is>
          <t>CN</t>
        </is>
      </c>
      <c r="R39" t="n">
        <v>660</v>
      </c>
      <c r="S39" t="n">
        <v>779</v>
      </c>
      <c r="T39" t="n">
        <v>1</v>
      </c>
    </row>
    <row r="40">
      <c r="A40" t="n">
        <v>39</v>
      </c>
      <c r="B40" t="inlineStr">
        <is>
          <t>20/04/2026</t>
        </is>
      </c>
      <c r="C40" t="inlineStr">
        <is>
          <t>CN</t>
        </is>
      </c>
      <c r="D40" t="n">
        <v>253</v>
      </c>
      <c r="E40" t="n">
        <v>778</v>
      </c>
      <c r="F40" t="n">
        <v>205</v>
      </c>
      <c r="H40">
        <f>IF(B28="","",TEXT(B28,"dd/mm") &amp; "-" &amp; IF(UPPER(TRIM(C28))="CN",1,IF(UPPER(TRIM(C28))="CD",2,"")))</f>
        <v/>
      </c>
      <c r="I40" s="1" t="n">
        <v>0.5</v>
      </c>
      <c r="J40" s="1" t="n">
        <v>0.5882352941176471</v>
      </c>
      <c r="K40" s="1">
        <f>IFERROR($E28/SUM($D28:$F28),"")</f>
        <v/>
      </c>
      <c r="L40" s="1">
        <f>IFERROR($D28/SUM($D28:$F28),"")</f>
        <v/>
      </c>
      <c r="M40" s="1">
        <f>IFERROR($F28/SUM($D28:$F28),"")</f>
        <v/>
      </c>
      <c r="O40" t="n">
        <v>39</v>
      </c>
      <c r="P40" t="inlineStr">
        <is>
          <t>20/01/2026</t>
        </is>
      </c>
      <c r="Q40" t="inlineStr">
        <is>
          <t>CD</t>
        </is>
      </c>
      <c r="R40" t="n">
        <v>585</v>
      </c>
      <c r="S40" t="n">
        <v>854</v>
      </c>
      <c r="T40" t="n">
        <v>1</v>
      </c>
    </row>
    <row r="41">
      <c r="A41" t="n">
        <v>40</v>
      </c>
      <c r="B41" t="inlineStr">
        <is>
          <t>20/04/2026</t>
        </is>
      </c>
      <c r="C41" t="inlineStr">
        <is>
          <t>CD</t>
        </is>
      </c>
      <c r="D41" t="n">
        <v>821</v>
      </c>
      <c r="E41" t="n">
        <v>617</v>
      </c>
      <c r="F41" t="n">
        <v>1</v>
      </c>
      <c r="H41">
        <f>IF(B29="","",TEXT(B29,"dd/mm") &amp; "-" &amp; IF(UPPER(TRIM(C29))="CN",1,IF(UPPER(TRIM(C29))="CD",2,"")))</f>
        <v/>
      </c>
      <c r="I41" s="1" t="n">
        <v>0.5</v>
      </c>
      <c r="J41" s="1" t="n">
        <v>0.5882352941176471</v>
      </c>
      <c r="K41" s="1">
        <f>IFERROR($E29/SUM($D29:$F29),"")</f>
        <v/>
      </c>
      <c r="L41" s="1">
        <f>IFERROR($D29/SUM($D29:$F29),"")</f>
        <v/>
      </c>
      <c r="M41" s="1">
        <f>IFERROR($F29/SUM($D29:$F29),"")</f>
        <v/>
      </c>
      <c r="O41" t="n">
        <v>40</v>
      </c>
      <c r="P41" t="inlineStr">
        <is>
          <t>21/01/2026</t>
        </is>
      </c>
      <c r="Q41" t="inlineStr">
        <is>
          <t>CN</t>
        </is>
      </c>
      <c r="R41" t="n">
        <v>691</v>
      </c>
      <c r="S41" t="n">
        <v>748</v>
      </c>
      <c r="T41" t="n">
        <v>1</v>
      </c>
    </row>
    <row r="42">
      <c r="A42" t="n">
        <v>41</v>
      </c>
      <c r="B42" t="inlineStr">
        <is>
          <t>21/04/2026</t>
        </is>
      </c>
      <c r="C42" t="inlineStr">
        <is>
          <t>CN</t>
        </is>
      </c>
      <c r="D42" t="n">
        <v>741</v>
      </c>
      <c r="E42" t="n">
        <v>697</v>
      </c>
      <c r="F42" t="n">
        <v>1</v>
      </c>
      <c r="H42">
        <f>IF(B30="","",TEXT(B30,"dd/mm") &amp; "-" &amp; IF(UPPER(TRIM(C30))="CN",1,IF(UPPER(TRIM(C30))="CD",2,"")))</f>
        <v/>
      </c>
      <c r="I42" s="1" t="n">
        <v>0.5</v>
      </c>
      <c r="J42" s="1" t="n">
        <v>0.5882352941176471</v>
      </c>
      <c r="K42" s="1">
        <f>IFERROR($E30/SUM($D30:$F30),"")</f>
        <v/>
      </c>
      <c r="L42" s="1">
        <f>IFERROR($D30/SUM($D30:$F30),"")</f>
        <v/>
      </c>
      <c r="M42" s="1">
        <f>IFERROR($F30/SUM($D30:$F30),"")</f>
        <v/>
      </c>
      <c r="O42" t="n">
        <v>41</v>
      </c>
      <c r="P42" t="inlineStr">
        <is>
          <t>21/01/2026</t>
        </is>
      </c>
      <c r="Q42" t="inlineStr">
        <is>
          <t>CD</t>
        </is>
      </c>
      <c r="R42" t="n">
        <v>635</v>
      </c>
      <c r="S42" t="n">
        <v>803</v>
      </c>
      <c r="T42" t="n">
        <v>1</v>
      </c>
    </row>
    <row r="43">
      <c r="A43" t="n">
        <v>42</v>
      </c>
      <c r="B43" t="inlineStr">
        <is>
          <t>21/04/2026</t>
        </is>
      </c>
      <c r="C43" t="inlineStr">
        <is>
          <t>CD</t>
        </is>
      </c>
      <c r="D43" t="n">
        <v>789</v>
      </c>
      <c r="E43" t="n">
        <v>651</v>
      </c>
      <c r="F43" t="n">
        <v>1</v>
      </c>
      <c r="H43">
        <f>IF(B31="","",TEXT(B31,"dd/mm") &amp; "-" &amp; IF(UPPER(TRIM(C31))="CN",1,IF(UPPER(TRIM(C31))="CD",2,"")))</f>
        <v/>
      </c>
      <c r="I43" s="1" t="n">
        <v>0.5</v>
      </c>
      <c r="J43" s="1" t="n">
        <v>0.5882352941176471</v>
      </c>
      <c r="K43" s="1">
        <f>IFERROR($E31/SUM($D31:$F31),"")</f>
        <v/>
      </c>
      <c r="L43" s="1">
        <f>IFERROR($D31/SUM($D31:$F31),"")</f>
        <v/>
      </c>
      <c r="M43" s="1">
        <f>IFERROR($F31/SUM($D31:$F31),"")</f>
        <v/>
      </c>
      <c r="O43" t="n">
        <v>42</v>
      </c>
      <c r="P43" t="inlineStr">
        <is>
          <t>22/01/2026</t>
        </is>
      </c>
      <c r="Q43" t="inlineStr">
        <is>
          <t>CN</t>
        </is>
      </c>
      <c r="R43" t="n">
        <v>791</v>
      </c>
      <c r="S43" t="n">
        <v>649</v>
      </c>
      <c r="T43" t="n">
        <v>1</v>
      </c>
    </row>
    <row r="44">
      <c r="A44" t="n">
        <v>43</v>
      </c>
      <c r="B44" t="inlineStr">
        <is>
          <t>22/04/2026</t>
        </is>
      </c>
      <c r="C44" t="inlineStr">
        <is>
          <t>CN</t>
        </is>
      </c>
      <c r="D44" t="n">
        <v>731</v>
      </c>
      <c r="E44" t="n">
        <v>708</v>
      </c>
      <c r="F44" t="n">
        <v>1</v>
      </c>
      <c r="H44">
        <f>IF(B32="","",TEXT(B32,"dd/mm") &amp; "-" &amp; IF(UPPER(TRIM(C32))="CN",1,IF(UPPER(TRIM(C32))="CD",2,"")))</f>
        <v/>
      </c>
      <c r="I44" s="1" t="n">
        <v>0.5</v>
      </c>
      <c r="J44" s="1" t="n">
        <v>0.5882352941176471</v>
      </c>
      <c r="K44" s="1">
        <f>IFERROR($E32/SUM($D32:$F32),"")</f>
        <v/>
      </c>
      <c r="L44" s="1">
        <f>IFERROR($D32/SUM($D32:$F32),"")</f>
        <v/>
      </c>
      <c r="M44" s="1">
        <f>IFERROR($F32/SUM($D32:$F32),"")</f>
        <v/>
      </c>
      <c r="O44" t="n">
        <v>43</v>
      </c>
      <c r="P44" t="inlineStr">
        <is>
          <t>22/01/2026</t>
        </is>
      </c>
      <c r="Q44" t="inlineStr">
        <is>
          <t>CD</t>
        </is>
      </c>
      <c r="R44" t="n">
        <v>613</v>
      </c>
      <c r="S44" t="n">
        <v>827</v>
      </c>
      <c r="T44" t="n">
        <v>1</v>
      </c>
    </row>
    <row r="45">
      <c r="A45" t="n">
        <v>44</v>
      </c>
      <c r="B45" t="inlineStr">
        <is>
          <t>22/04/2026</t>
        </is>
      </c>
      <c r="C45" t="inlineStr">
        <is>
          <t>CD</t>
        </is>
      </c>
      <c r="D45" t="n">
        <v>612</v>
      </c>
      <c r="E45" t="n">
        <v>828</v>
      </c>
      <c r="F45" t="n">
        <v>1</v>
      </c>
      <c r="H45">
        <f>IF(B33="","",TEXT(B33,"dd/mm") &amp; "-" &amp; IF(UPPER(TRIM(C33))="CN",1,IF(UPPER(TRIM(C33))="CD",2,"")))</f>
        <v/>
      </c>
      <c r="I45" s="1" t="n">
        <v>0.5</v>
      </c>
      <c r="J45" s="1" t="n">
        <v>0.5882352941176471</v>
      </c>
      <c r="K45" s="1">
        <f>IFERROR($E33/SUM($D33:$F33),"")</f>
        <v/>
      </c>
      <c r="L45" s="1">
        <f>IFERROR($D33/SUM($D33:$F33),"")</f>
        <v/>
      </c>
      <c r="M45" s="1">
        <f>IFERROR($F33/SUM($D33:$F33),"")</f>
        <v/>
      </c>
      <c r="O45" t="n">
        <v>44</v>
      </c>
      <c r="P45" t="inlineStr">
        <is>
          <t>23/01/2026</t>
        </is>
      </c>
      <c r="Q45" t="inlineStr">
        <is>
          <t>CN</t>
        </is>
      </c>
      <c r="R45" t="n">
        <v>630</v>
      </c>
      <c r="S45" t="n">
        <v>810</v>
      </c>
      <c r="T45" t="n">
        <v>1</v>
      </c>
    </row>
    <row r="46">
      <c r="A46" t="n">
        <v>45</v>
      </c>
      <c r="B46" t="inlineStr">
        <is>
          <t>23/04/2026</t>
        </is>
      </c>
      <c r="C46" t="inlineStr">
        <is>
          <t>CN</t>
        </is>
      </c>
      <c r="D46" t="n">
        <v>638</v>
      </c>
      <c r="E46" t="n">
        <v>801</v>
      </c>
      <c r="F46" t="n">
        <v>1</v>
      </c>
      <c r="H46">
        <f>IF(B34="","",TEXT(B34,"dd/mm") &amp; "-" &amp; IF(UPPER(TRIM(C34))="CN",1,IF(UPPER(TRIM(C34))="CD",2,"")))</f>
        <v/>
      </c>
      <c r="I46" s="1" t="n">
        <v>0.5</v>
      </c>
      <c r="J46" s="1" t="n">
        <v>0.5882352941176471</v>
      </c>
      <c r="K46" s="1">
        <f>IFERROR($E34/SUM($D34:$F34),"")</f>
        <v/>
      </c>
      <c r="L46" s="1">
        <f>IFERROR($D34/SUM($D34:$F34),"")</f>
        <v/>
      </c>
      <c r="M46" s="1">
        <f>IFERROR($F34/SUM($D34:$F34),"")</f>
        <v/>
      </c>
      <c r="O46" t="n">
        <v>45</v>
      </c>
      <c r="P46" t="inlineStr">
        <is>
          <t>23/01/2026</t>
        </is>
      </c>
      <c r="Q46" t="inlineStr">
        <is>
          <t>CD</t>
        </is>
      </c>
      <c r="R46" t="n">
        <v>505</v>
      </c>
      <c r="S46" t="n">
        <v>933</v>
      </c>
      <c r="T46" t="n">
        <v>1</v>
      </c>
    </row>
    <row r="47">
      <c r="A47" t="n">
        <v>46</v>
      </c>
      <c r="B47" t="inlineStr">
        <is>
          <t>23/04/2026</t>
        </is>
      </c>
      <c r="C47" t="inlineStr">
        <is>
          <t>CD</t>
        </is>
      </c>
      <c r="D47" t="n">
        <v>727</v>
      </c>
      <c r="E47" t="n">
        <v>713</v>
      </c>
      <c r="F47" t="n">
        <v>1</v>
      </c>
      <c r="H47">
        <f>IF(B35="","",TEXT(B35,"dd/mm") &amp; "-" &amp; IF(UPPER(TRIM(C35))="CN",1,IF(UPPER(TRIM(C35))="CD",2,"")))</f>
        <v/>
      </c>
      <c r="I47" s="1" t="n">
        <v>0.5</v>
      </c>
      <c r="J47" s="1" t="n">
        <v>0.5882352941176471</v>
      </c>
      <c r="K47" s="1">
        <f>IFERROR($E35/SUM($D35:$F35),"")</f>
        <v/>
      </c>
      <c r="L47" s="1">
        <f>IFERROR($D35/SUM($D35:$F35),"")</f>
        <v/>
      </c>
      <c r="M47" s="1">
        <f>IFERROR($F35/SUM($D35:$F35),"")</f>
        <v/>
      </c>
      <c r="O47" t="n">
        <v>46</v>
      </c>
      <c r="P47" t="inlineStr">
        <is>
          <t>24/01/2026</t>
        </is>
      </c>
      <c r="Q47" t="inlineStr">
        <is>
          <t>CN</t>
        </is>
      </c>
      <c r="R47" t="n">
        <v>753</v>
      </c>
      <c r="S47" t="n">
        <v>685</v>
      </c>
      <c r="T47" t="n">
        <v>1</v>
      </c>
    </row>
    <row r="48">
      <c r="A48" t="n">
        <v>47</v>
      </c>
      <c r="B48" t="inlineStr">
        <is>
          <t>24/04/2026</t>
        </is>
      </c>
      <c r="C48" t="inlineStr">
        <is>
          <t>CN</t>
        </is>
      </c>
      <c r="D48" t="n">
        <v>751</v>
      </c>
      <c r="E48" t="n">
        <v>688</v>
      </c>
      <c r="F48" t="n">
        <v>1</v>
      </c>
      <c r="H48">
        <f>IF(B36="","",TEXT(B36,"dd/mm") &amp; "-" &amp; IF(UPPER(TRIM(C36))="CN",1,IF(UPPER(TRIM(C36))="CD",2,"")))</f>
        <v/>
      </c>
      <c r="I48" s="1" t="n">
        <v>0.5</v>
      </c>
      <c r="J48" s="1" t="n">
        <v>0.5882352941176471</v>
      </c>
      <c r="K48" s="1">
        <f>IFERROR($E36/SUM($D36:$F36),"")</f>
        <v/>
      </c>
      <c r="L48" s="1">
        <f>IFERROR($D36/SUM($D36:$F36),"")</f>
        <v/>
      </c>
      <c r="M48" s="1">
        <f>IFERROR($F36/SUM($D36:$F36),"")</f>
        <v/>
      </c>
      <c r="O48" t="n">
        <v>47</v>
      </c>
      <c r="P48" t="inlineStr">
        <is>
          <t>24/01/2026</t>
        </is>
      </c>
      <c r="Q48" t="inlineStr">
        <is>
          <t>CD</t>
        </is>
      </c>
      <c r="R48" t="n">
        <v>238</v>
      </c>
      <c r="S48" t="n">
        <v>712</v>
      </c>
      <c r="T48" t="n">
        <v>245</v>
      </c>
    </row>
    <row r="49">
      <c r="A49" t="n">
        <v>48</v>
      </c>
      <c r="B49" t="inlineStr">
        <is>
          <t>24/04/2026</t>
        </is>
      </c>
      <c r="C49" t="inlineStr">
        <is>
          <t>CD</t>
        </is>
      </c>
      <c r="D49" t="n">
        <v>385</v>
      </c>
      <c r="E49" t="n">
        <v>744</v>
      </c>
      <c r="F49" t="n">
        <v>155</v>
      </c>
      <c r="H49">
        <f>IF(B37="","",TEXT(B37,"dd/mm") &amp; "-" &amp; IF(UPPER(TRIM(C37))="CN",1,IF(UPPER(TRIM(C37))="CD",2,"")))</f>
        <v/>
      </c>
      <c r="I49" s="1" t="n">
        <v>0.5</v>
      </c>
      <c r="J49" s="1" t="n">
        <v>0.5882352941176471</v>
      </c>
      <c r="K49" s="1">
        <f>IFERROR($E37/SUM($D37:$F37),"")</f>
        <v/>
      </c>
      <c r="L49" s="1">
        <f>IFERROR($D37/SUM($D37:$F37),"")</f>
        <v/>
      </c>
      <c r="M49" s="1">
        <f>IFERROR($F37/SUM($D37:$F37),"")</f>
        <v/>
      </c>
      <c r="O49" t="n">
        <v>48</v>
      </c>
      <c r="P49" t="inlineStr">
        <is>
          <t>25/01/2026</t>
        </is>
      </c>
      <c r="Q49" t="inlineStr">
        <is>
          <t>CN</t>
        </is>
      </c>
      <c r="R49" t="n">
        <v>0</v>
      </c>
      <c r="S49" t="n">
        <v>0</v>
      </c>
      <c r="T49" t="n">
        <v>720</v>
      </c>
    </row>
    <row r="50">
      <c r="A50" t="n">
        <v>49</v>
      </c>
      <c r="B50" t="inlineStr">
        <is>
          <t>25/04/2026</t>
        </is>
      </c>
      <c r="C50" t="inlineStr">
        <is>
          <t>CN</t>
        </is>
      </c>
      <c r="D50" t="n">
        <v>0</v>
      </c>
      <c r="E50" t="n">
        <v>0</v>
      </c>
      <c r="F50" t="n">
        <v>720</v>
      </c>
      <c r="H50">
        <f>IF(B38="","",TEXT(B38,"dd/mm") &amp; "-" &amp; IF(UPPER(TRIM(C38))="CN",1,IF(UPPER(TRIM(C38))="CD",2,"")))</f>
        <v/>
      </c>
      <c r="I50" s="1" t="n">
        <v>0.5</v>
      </c>
      <c r="J50" s="1" t="n">
        <v>0.5882352941176471</v>
      </c>
      <c r="K50" s="1">
        <f>IFERROR($E38/SUM($D38:$F38),"")</f>
        <v/>
      </c>
      <c r="L50" s="1">
        <f>IFERROR($D38/SUM($D38:$F38),"")</f>
        <v/>
      </c>
      <c r="M50" s="1">
        <f>IFERROR($F38/SUM($D38:$F38),"")</f>
        <v/>
      </c>
      <c r="O50" t="n">
        <v>49</v>
      </c>
      <c r="P50" t="inlineStr">
        <is>
          <t>25/01/2026</t>
        </is>
      </c>
      <c r="Q50" t="inlineStr">
        <is>
          <t>CD</t>
        </is>
      </c>
      <c r="R50" t="n">
        <v>0</v>
      </c>
      <c r="S50" t="n">
        <v>0</v>
      </c>
      <c r="T50" t="n">
        <v>720</v>
      </c>
    </row>
    <row r="51">
      <c r="A51" t="n">
        <v>50</v>
      </c>
      <c r="B51" t="inlineStr">
        <is>
          <t>25/04/2026</t>
        </is>
      </c>
      <c r="C51" t="inlineStr">
        <is>
          <t>CD</t>
        </is>
      </c>
      <c r="D51" t="n">
        <v>0</v>
      </c>
      <c r="E51" t="n">
        <v>0</v>
      </c>
      <c r="F51" t="n">
        <v>720</v>
      </c>
      <c r="H51">
        <f>IF(B39="","",TEXT(B39,"dd/mm") &amp; "-" &amp; IF(UPPER(TRIM(C39))="CN",1,IF(UPPER(TRIM(C39))="CD",2,"")))</f>
        <v/>
      </c>
      <c r="I51" s="1" t="n">
        <v>0.5</v>
      </c>
      <c r="J51" s="1" t="n">
        <v>0.5882352941176471</v>
      </c>
      <c r="K51" s="1">
        <f>IFERROR($E39/SUM($D39:$F39),"")</f>
        <v/>
      </c>
      <c r="L51" s="1">
        <f>IFERROR($D39/SUM($D39:$F39),"")</f>
        <v/>
      </c>
      <c r="M51" s="1">
        <f>IFERROR($F39/SUM($D39:$F39),"")</f>
        <v/>
      </c>
      <c r="O51" t="n">
        <v>50</v>
      </c>
      <c r="P51" t="inlineStr">
        <is>
          <t>26/01/2026</t>
        </is>
      </c>
      <c r="Q51" t="inlineStr">
        <is>
          <t>CN</t>
        </is>
      </c>
      <c r="R51" t="n">
        <v>259</v>
      </c>
      <c r="S51" t="n">
        <v>759</v>
      </c>
      <c r="T51" t="n">
        <v>211</v>
      </c>
    </row>
    <row r="52">
      <c r="A52" t="n">
        <v>51</v>
      </c>
      <c r="B52" t="inlineStr">
        <is>
          <t>26/04/2026</t>
        </is>
      </c>
      <c r="C52" t="inlineStr">
        <is>
          <t>CN</t>
        </is>
      </c>
      <c r="D52" t="n">
        <v>0</v>
      </c>
      <c r="E52" t="n">
        <v>0</v>
      </c>
      <c r="F52" t="n">
        <v>720</v>
      </c>
      <c r="H52">
        <f>IF(B40="","",TEXT(B40,"dd/mm") &amp; "-" &amp; IF(UPPER(TRIM(C40))="CN",1,IF(UPPER(TRIM(C40))="CD",2,"")))</f>
        <v/>
      </c>
      <c r="I52" s="1" t="n">
        <v>0.5</v>
      </c>
      <c r="J52" s="1" t="n">
        <v>0.5882352941176471</v>
      </c>
      <c r="K52" s="1">
        <f>IFERROR($E40/SUM($D40:$F40),"")</f>
        <v/>
      </c>
      <c r="L52" s="1">
        <f>IFERROR($D40/SUM($D40:$F40),"")</f>
        <v/>
      </c>
      <c r="M52" s="1">
        <f>IFERROR($F40/SUM($D40:$F40),"")</f>
        <v/>
      </c>
      <c r="O52" t="n">
        <v>51</v>
      </c>
      <c r="P52" t="inlineStr">
        <is>
          <t>26/01/2026</t>
        </is>
      </c>
      <c r="Q52" t="inlineStr">
        <is>
          <t>CD</t>
        </is>
      </c>
      <c r="R52" t="n">
        <v>452</v>
      </c>
      <c r="S52" t="n">
        <v>988</v>
      </c>
      <c r="T52" t="n">
        <v>1</v>
      </c>
    </row>
    <row r="53">
      <c r="A53" t="n">
        <v>52</v>
      </c>
      <c r="B53" t="inlineStr">
        <is>
          <t>26/04/2026</t>
        </is>
      </c>
      <c r="C53" t="inlineStr">
        <is>
          <t>CD</t>
        </is>
      </c>
      <c r="D53" t="n">
        <v>0</v>
      </c>
      <c r="E53" t="n">
        <v>0</v>
      </c>
      <c r="F53" t="n">
        <v>720</v>
      </c>
      <c r="H53">
        <f>IF(B41="","",TEXT(B41,"dd/mm") &amp; "-" &amp; IF(UPPER(TRIM(C41))="CN",1,IF(UPPER(TRIM(C41))="CD",2,"")))</f>
        <v/>
      </c>
      <c r="I53" s="1" t="n">
        <v>0.5</v>
      </c>
      <c r="J53" s="1" t="n">
        <v>0.5882352941176471</v>
      </c>
      <c r="K53" s="1">
        <f>IFERROR($E41/SUM($D41:$F41),"")</f>
        <v/>
      </c>
      <c r="L53" s="1">
        <f>IFERROR($D41/SUM($D41:$F41),"")</f>
        <v/>
      </c>
      <c r="M53" s="1">
        <f>IFERROR($F41/SUM($D41:$F41),"")</f>
        <v/>
      </c>
      <c r="O53" t="n">
        <v>52</v>
      </c>
      <c r="P53" t="inlineStr">
        <is>
          <t>27/01/2026</t>
        </is>
      </c>
      <c r="Q53" t="inlineStr">
        <is>
          <t>CN</t>
        </is>
      </c>
      <c r="R53" t="n">
        <v>759</v>
      </c>
      <c r="S53" t="n">
        <v>681</v>
      </c>
      <c r="T53" t="n">
        <v>1</v>
      </c>
    </row>
    <row r="54">
      <c r="A54" t="n">
        <v>53</v>
      </c>
      <c r="B54" t="inlineStr">
        <is>
          <t>27/04/2026</t>
        </is>
      </c>
      <c r="C54" t="inlineStr">
        <is>
          <t>CN</t>
        </is>
      </c>
      <c r="D54" t="n">
        <v>310</v>
      </c>
      <c r="E54" t="n">
        <v>723</v>
      </c>
      <c r="F54" t="n">
        <v>204</v>
      </c>
      <c r="H54">
        <f>IF(B42="","",TEXT(B42,"dd/mm") &amp; "-" &amp; IF(UPPER(TRIM(C42))="CN",1,IF(UPPER(TRIM(C42))="CD",2,"")))</f>
        <v/>
      </c>
      <c r="I54" s="1" t="n">
        <v>0.5</v>
      </c>
      <c r="J54" s="1" t="n">
        <v>0.5882352941176471</v>
      </c>
      <c r="K54" s="1">
        <f>IFERROR($E42/SUM($D42:$F42),"")</f>
        <v/>
      </c>
      <c r="L54" s="1">
        <f>IFERROR($D42/SUM($D42:$F42),"")</f>
        <v/>
      </c>
      <c r="M54" s="1">
        <f>IFERROR($F42/SUM($D42:$F42),"")</f>
        <v/>
      </c>
      <c r="O54" t="n">
        <v>53</v>
      </c>
      <c r="P54" t="inlineStr">
        <is>
          <t>27/01/2026</t>
        </is>
      </c>
      <c r="Q54" t="inlineStr">
        <is>
          <t>CD</t>
        </is>
      </c>
      <c r="R54" t="n">
        <v>538</v>
      </c>
      <c r="S54" t="n">
        <v>901</v>
      </c>
      <c r="T54" t="n">
        <v>1</v>
      </c>
    </row>
    <row r="55">
      <c r="A55" t="n">
        <v>54</v>
      </c>
      <c r="B55" t="inlineStr">
        <is>
          <t>27/04/2026</t>
        </is>
      </c>
      <c r="C55" t="inlineStr">
        <is>
          <t>CD</t>
        </is>
      </c>
      <c r="D55" t="n">
        <v>498</v>
      </c>
      <c r="E55" t="n">
        <v>941</v>
      </c>
      <c r="F55" t="n">
        <v>1</v>
      </c>
      <c r="H55">
        <f>IF(B43="","",TEXT(B43,"dd/mm") &amp; "-" &amp; IF(UPPER(TRIM(C43))="CN",1,IF(UPPER(TRIM(C43))="CD",2,"")))</f>
        <v/>
      </c>
      <c r="I55" s="1" t="n">
        <v>0.5</v>
      </c>
      <c r="J55" s="1" t="n">
        <v>0.5882352941176471</v>
      </c>
      <c r="K55" s="1">
        <f>IFERROR($E43/SUM($D43:$F43),"")</f>
        <v/>
      </c>
      <c r="L55" s="1">
        <f>IFERROR($D43/SUM($D43:$F43),"")</f>
        <v/>
      </c>
      <c r="M55" s="1">
        <f>IFERROR($F43/SUM($D43:$F43),"")</f>
        <v/>
      </c>
      <c r="O55" t="n">
        <v>54</v>
      </c>
      <c r="P55" t="inlineStr">
        <is>
          <t>28/01/2026</t>
        </is>
      </c>
      <c r="Q55" t="inlineStr">
        <is>
          <t>CN</t>
        </is>
      </c>
      <c r="R55" t="n">
        <v>656</v>
      </c>
      <c r="S55" t="n">
        <v>784</v>
      </c>
      <c r="T55" t="n">
        <v>1</v>
      </c>
    </row>
    <row r="56">
      <c r="H56">
        <f>IF(B44="","",TEXT(B44,"dd/mm") &amp; "-" &amp; IF(UPPER(TRIM(C44))="CN",1,IF(UPPER(TRIM(C44))="CD",2,"")))</f>
        <v/>
      </c>
      <c r="I56" s="1" t="n">
        <v>0.5</v>
      </c>
      <c r="J56" s="1" t="n">
        <v>0.5882352941176471</v>
      </c>
      <c r="K56" s="1">
        <f>IFERROR($E44/SUM($D44:$F44),"")</f>
        <v/>
      </c>
      <c r="L56" s="1">
        <f>IFERROR($D44/SUM($D44:$F44),"")</f>
        <v/>
      </c>
      <c r="M56" s="1">
        <f>IFERROR($F44/SUM($D44:$F44),"")</f>
        <v/>
      </c>
      <c r="O56" t="n">
        <v>55</v>
      </c>
      <c r="P56" t="inlineStr">
        <is>
          <t>28/01/2026</t>
        </is>
      </c>
      <c r="Q56" t="inlineStr">
        <is>
          <t>CD</t>
        </is>
      </c>
      <c r="R56" t="n">
        <v>645</v>
      </c>
      <c r="S56" t="n">
        <v>794</v>
      </c>
      <c r="T56" t="n">
        <v>1</v>
      </c>
    </row>
    <row r="57">
      <c r="H57">
        <f>IF(B45="","",TEXT(B45,"dd/mm") &amp; "-" &amp; IF(UPPER(TRIM(C45))="CN",1,IF(UPPER(TRIM(C45))="CD",2,"")))</f>
        <v/>
      </c>
      <c r="I57" s="1" t="n">
        <v>0.5</v>
      </c>
      <c r="J57" s="1" t="n">
        <v>0.5882352941176471</v>
      </c>
      <c r="K57" s="1">
        <f>IFERROR($E45/SUM($D45:$F45),"")</f>
        <v/>
      </c>
      <c r="L57" s="1">
        <f>IFERROR($D45/SUM($D45:$F45),"")</f>
        <v/>
      </c>
      <c r="M57" s="1">
        <f>IFERROR($F45/SUM($D45:$F45),"")</f>
        <v/>
      </c>
      <c r="O57" t="n">
        <v>56</v>
      </c>
      <c r="P57" t="inlineStr">
        <is>
          <t>29/01/2026</t>
        </is>
      </c>
      <c r="Q57" t="inlineStr">
        <is>
          <t>CN</t>
        </is>
      </c>
      <c r="R57" t="n">
        <v>774</v>
      </c>
      <c r="S57" t="n">
        <v>666</v>
      </c>
      <c r="T57" t="n">
        <v>1</v>
      </c>
    </row>
    <row r="58">
      <c r="H58">
        <f>IF(B46="","",TEXT(B46,"dd/mm") &amp; "-" &amp; IF(UPPER(TRIM(C46))="CN",1,IF(UPPER(TRIM(C46))="CD",2,"")))</f>
        <v/>
      </c>
      <c r="I58" s="1" t="n">
        <v>0.5</v>
      </c>
      <c r="J58" s="1" t="n">
        <v>0.5882352941176471</v>
      </c>
      <c r="K58" s="1">
        <f>IFERROR($E46/SUM($D46:$F46),"")</f>
        <v/>
      </c>
      <c r="L58" s="1">
        <f>IFERROR($D46/SUM($D46:$F46),"")</f>
        <v/>
      </c>
      <c r="M58" s="1">
        <f>IFERROR($F46/SUM($D46:$F46),"")</f>
        <v/>
      </c>
      <c r="O58" t="n">
        <v>57</v>
      </c>
      <c r="P58" t="inlineStr">
        <is>
          <t>29/01/2026</t>
        </is>
      </c>
      <c r="Q58" t="inlineStr">
        <is>
          <t>CD</t>
        </is>
      </c>
      <c r="R58" t="n">
        <v>486</v>
      </c>
      <c r="S58" t="n">
        <v>952</v>
      </c>
      <c r="T58" t="n">
        <v>1</v>
      </c>
    </row>
    <row r="59">
      <c r="H59">
        <f>IF(B47="","",TEXT(B47,"dd/mm") &amp; "-" &amp; IF(UPPER(TRIM(C47))="CN",1,IF(UPPER(TRIM(C47))="CD",2,"")))</f>
        <v/>
      </c>
      <c r="I59" s="1" t="n">
        <v>0.5</v>
      </c>
      <c r="J59" s="1" t="n">
        <v>0.5882352941176471</v>
      </c>
      <c r="K59" s="1">
        <f>IFERROR($E47/SUM($D47:$F47),"")</f>
        <v/>
      </c>
      <c r="L59" s="1">
        <f>IFERROR($D47/SUM($D47:$F47),"")</f>
        <v/>
      </c>
      <c r="M59" s="1">
        <f>IFERROR($F47/SUM($D47:$F47),"")</f>
        <v/>
      </c>
      <c r="O59" t="n">
        <v>58</v>
      </c>
      <c r="P59" t="inlineStr">
        <is>
          <t>30/01/2026</t>
        </is>
      </c>
      <c r="Q59" t="inlineStr">
        <is>
          <t>CN</t>
        </is>
      </c>
      <c r="R59" t="n">
        <v>735</v>
      </c>
      <c r="S59" t="n">
        <v>705</v>
      </c>
      <c r="T59" t="n">
        <v>1</v>
      </c>
    </row>
    <row r="60">
      <c r="H60">
        <f>IF(B48="","",TEXT(B48,"dd/mm") &amp; "-" &amp; IF(UPPER(TRIM(C48))="CN",1,IF(UPPER(TRIM(C48))="CD",2,"")))</f>
        <v/>
      </c>
      <c r="I60" s="1" t="n">
        <v>0.5</v>
      </c>
      <c r="J60" s="1" t="n">
        <v>0.5882352941176471</v>
      </c>
      <c r="K60" s="1">
        <f>IFERROR($E48/SUM($D48:$F48),"")</f>
        <v/>
      </c>
      <c r="L60" s="1">
        <f>IFERROR($D48/SUM($D48:$F48),"")</f>
        <v/>
      </c>
      <c r="M60" s="1">
        <f>IFERROR($F48/SUM($D48:$F48),"")</f>
        <v/>
      </c>
      <c r="O60" t="n">
        <v>59</v>
      </c>
      <c r="P60" t="inlineStr">
        <is>
          <t>30/01/2026</t>
        </is>
      </c>
      <c r="Q60" t="inlineStr">
        <is>
          <t>CD</t>
        </is>
      </c>
      <c r="R60" t="n">
        <v>620</v>
      </c>
      <c r="S60" t="n">
        <v>818</v>
      </c>
      <c r="T60" t="n">
        <v>1</v>
      </c>
    </row>
    <row r="61">
      <c r="H61">
        <f>IF(B49="","",TEXT(B49,"dd/mm") &amp; "-" &amp; IF(UPPER(TRIM(C49))="CN",1,IF(UPPER(TRIM(C49))="CD",2,"")))</f>
        <v/>
      </c>
      <c r="I61" s="1" t="n">
        <v>0.5</v>
      </c>
      <c r="J61" s="1" t="n">
        <v>0.5882352941176471</v>
      </c>
      <c r="K61" s="1">
        <f>IFERROR($E49/SUM($D49:$F49),"")</f>
        <v/>
      </c>
      <c r="L61" s="1">
        <f>IFERROR($D49/SUM($D49:$F49),"")</f>
        <v/>
      </c>
      <c r="M61" s="1">
        <f>IFERROR($F49/SUM($D49:$F49),"")</f>
        <v/>
      </c>
      <c r="O61" t="n">
        <v>60</v>
      </c>
      <c r="P61" t="inlineStr">
        <is>
          <t>31/01/2026</t>
        </is>
      </c>
      <c r="Q61" t="inlineStr">
        <is>
          <t>CN</t>
        </is>
      </c>
      <c r="R61" t="n">
        <v>807</v>
      </c>
      <c r="S61" t="n">
        <v>632</v>
      </c>
      <c r="T61" t="n">
        <v>1</v>
      </c>
    </row>
    <row r="62">
      <c r="H62">
        <f>IF(B50="","",TEXT(B50,"dd/mm") &amp; "-" &amp; IF(UPPER(TRIM(C50))="CN",1,IF(UPPER(TRIM(C50))="CD",2,"")))</f>
        <v/>
      </c>
      <c r="I62" s="1" t="n">
        <v>0.5</v>
      </c>
      <c r="J62" s="1" t="n">
        <v>0.5882352941176471</v>
      </c>
      <c r="K62" s="1">
        <f>IFERROR($E50/SUM($D50:$F50),"")</f>
        <v/>
      </c>
      <c r="L62" s="1">
        <f>IFERROR($D50/SUM($D50:$F50),"")</f>
        <v/>
      </c>
      <c r="M62" s="1">
        <f>IFERROR($F50/SUM($D50:$F50),"")</f>
        <v/>
      </c>
      <c r="O62" t="n">
        <v>61</v>
      </c>
      <c r="P62" t="inlineStr">
        <is>
          <t>31/01/2026</t>
        </is>
      </c>
      <c r="Q62" t="inlineStr">
        <is>
          <t>CD</t>
        </is>
      </c>
      <c r="R62" t="n">
        <v>277</v>
      </c>
      <c r="S62" t="n">
        <v>671</v>
      </c>
      <c r="T62" t="n">
        <v>245</v>
      </c>
    </row>
    <row r="63">
      <c r="H63">
        <f>IF(B51="","",TEXT(B51,"dd/mm") &amp; "-" &amp; IF(UPPER(TRIM(C51))="CN",1,IF(UPPER(TRIM(C51))="CD",2,"")))</f>
        <v/>
      </c>
      <c r="I63" s="1" t="n">
        <v>0.5</v>
      </c>
      <c r="J63" s="1" t="n">
        <v>0.5882352941176471</v>
      </c>
      <c r="K63" s="1">
        <f>IFERROR($E51/SUM($D51:$F51),"")</f>
        <v/>
      </c>
      <c r="L63" s="1">
        <f>IFERROR($D51/SUM($D51:$F51),"")</f>
        <v/>
      </c>
      <c r="M63" s="1">
        <f>IFERROR($F51/SUM($D51:$F51),"")</f>
        <v/>
      </c>
      <c r="O63" t="n">
        <v>62</v>
      </c>
      <c r="P63" t="inlineStr">
        <is>
          <t>01/02/2026</t>
        </is>
      </c>
      <c r="Q63" t="inlineStr">
        <is>
          <t>CN</t>
        </is>
      </c>
      <c r="R63" t="n">
        <v>0</v>
      </c>
      <c r="S63" t="n">
        <v>0</v>
      </c>
      <c r="T63" t="n">
        <v>720</v>
      </c>
    </row>
    <row r="64">
      <c r="H64">
        <f>IF(B52="","",TEXT(B52,"dd/mm") &amp; "-" &amp; IF(UPPER(TRIM(C52))="CN",1,IF(UPPER(TRIM(C52))="CD",2,"")))</f>
        <v/>
      </c>
      <c r="I64" s="1" t="n">
        <v>0.5</v>
      </c>
      <c r="J64" s="1" t="n">
        <v>0.5882352941176471</v>
      </c>
      <c r="K64" s="1">
        <f>IFERROR($E52/SUM($D52:$F52),"")</f>
        <v/>
      </c>
      <c r="L64" s="1">
        <f>IFERROR($D52/SUM($D52:$F52),"")</f>
        <v/>
      </c>
      <c r="M64" s="1">
        <f>IFERROR($F52/SUM($D52:$F52),"")</f>
        <v/>
      </c>
      <c r="O64" t="n">
        <v>63</v>
      </c>
      <c r="P64" t="inlineStr">
        <is>
          <t>01/02/2026</t>
        </is>
      </c>
      <c r="Q64" t="inlineStr">
        <is>
          <t>CD</t>
        </is>
      </c>
      <c r="R64" t="n">
        <v>0</v>
      </c>
      <c r="S64" t="n">
        <v>0</v>
      </c>
      <c r="T64" t="n">
        <v>720</v>
      </c>
    </row>
    <row r="65">
      <c r="H65">
        <f>IF(B53="","",TEXT(B53,"dd/mm") &amp; "-" &amp; IF(UPPER(TRIM(C53))="CN",1,IF(UPPER(TRIM(C53))="CD",2,"")))</f>
        <v/>
      </c>
      <c r="I65" s="1" t="n">
        <v>0.5</v>
      </c>
      <c r="J65" s="1" t="n">
        <v>0.5882352941176471</v>
      </c>
      <c r="K65" s="1">
        <f>IFERROR($E53/SUM($D53:$F53),"")</f>
        <v/>
      </c>
      <c r="L65" s="1">
        <f>IFERROR($D53/SUM($D53:$F53),"")</f>
        <v/>
      </c>
      <c r="M65" s="1">
        <f>IFERROR($F53/SUM($D53:$F53),"")</f>
        <v/>
      </c>
      <c r="O65" t="n">
        <v>64</v>
      </c>
      <c r="P65" t="inlineStr">
        <is>
          <t>02/02/2026</t>
        </is>
      </c>
      <c r="Q65" t="inlineStr">
        <is>
          <t>CN</t>
        </is>
      </c>
      <c r="R65" t="n">
        <v>219</v>
      </c>
      <c r="S65" t="n">
        <v>807</v>
      </c>
      <c r="T65" t="n">
        <v>207</v>
      </c>
    </row>
    <row r="66">
      <c r="H66">
        <f>IF(B54="","",TEXT(B54,"dd/mm") &amp; "-" &amp; IF(UPPER(TRIM(C54))="CN",1,IF(UPPER(TRIM(C54))="CD",2,"")))</f>
        <v/>
      </c>
      <c r="I66" s="1" t="n">
        <v>0.5</v>
      </c>
      <c r="J66" s="1" t="n">
        <v>0.5882352941176471</v>
      </c>
      <c r="K66" s="1">
        <f>IFERROR($E54/SUM($D54:$F54),"")</f>
        <v/>
      </c>
      <c r="L66" s="1">
        <f>IFERROR($D54/SUM($D54:$F54),"")</f>
        <v/>
      </c>
      <c r="M66" s="1">
        <f>IFERROR($F54/SUM($D54:$F54),"")</f>
        <v/>
      </c>
      <c r="O66" t="n">
        <v>65</v>
      </c>
      <c r="P66" t="inlineStr">
        <is>
          <t>02/02/2026</t>
        </is>
      </c>
      <c r="Q66" t="inlineStr">
        <is>
          <t>CD</t>
        </is>
      </c>
      <c r="R66" t="n">
        <v>609</v>
      </c>
      <c r="S66" t="n">
        <v>831</v>
      </c>
      <c r="T66" t="n">
        <v>1</v>
      </c>
    </row>
    <row r="67">
      <c r="H67">
        <f>IF(B55="","",TEXT(B55,"dd/mm") &amp; "-" &amp; IF(UPPER(TRIM(C55))="CN",1,IF(UPPER(TRIM(C55))="CD",2,"")))</f>
        <v/>
      </c>
      <c r="I67" s="1" t="n">
        <v>0.5</v>
      </c>
      <c r="J67" s="1" t="n">
        <v>0.5882352941176471</v>
      </c>
      <c r="K67" s="1">
        <f>IFERROR($E55/SUM($D55:$F55),"")</f>
        <v/>
      </c>
      <c r="L67" s="1">
        <f>IFERROR($D55/SUM($D55:$F55),"")</f>
        <v/>
      </c>
      <c r="M67" s="1">
        <f>IFERROR($F55/SUM($D55:$F55),"")</f>
        <v/>
      </c>
      <c r="O67" t="n">
        <v>66</v>
      </c>
      <c r="P67" t="inlineStr">
        <is>
          <t>03/02/2026</t>
        </is>
      </c>
      <c r="Q67" t="inlineStr">
        <is>
          <t>CN</t>
        </is>
      </c>
      <c r="R67" t="n">
        <v>815</v>
      </c>
      <c r="S67" t="n">
        <v>625</v>
      </c>
      <c r="T67" t="n">
        <v>1</v>
      </c>
    </row>
    <row r="68">
      <c r="H68">
        <f>IF(B56="","",TEXT(B56,"dd/mm") &amp; "-" &amp; IF(UPPER(TRIM(C56))="CN",1,IF(UPPER(TRIM(C56))="CD",2,"")))</f>
        <v/>
      </c>
      <c r="I68" s="1" t="n"/>
      <c r="J68" s="1" t="n"/>
      <c r="K68" s="1">
        <f>IFERROR($E56/SUM($D56:$F56),"")</f>
        <v/>
      </c>
      <c r="L68" s="1">
        <f>IFERROR($D56/SUM($D56:$F56),"")</f>
        <v/>
      </c>
      <c r="M68" s="1">
        <f>IFERROR($F56/SUM($D56:$F56),"")</f>
        <v/>
      </c>
      <c r="O68" t="n">
        <v>67</v>
      </c>
      <c r="P68" t="inlineStr">
        <is>
          <t>03/02/2026</t>
        </is>
      </c>
      <c r="Q68" t="inlineStr">
        <is>
          <t>CD</t>
        </is>
      </c>
      <c r="R68" t="n">
        <v>500</v>
      </c>
      <c r="S68" t="n">
        <v>940</v>
      </c>
      <c r="T68" t="n">
        <v>1</v>
      </c>
    </row>
    <row r="69">
      <c r="H69">
        <f>IF(B57="","",TEXT(B57,"dd/mm") &amp; "-" &amp; IF(UPPER(TRIM(C57))="CN",1,IF(UPPER(TRIM(C57))="CD",2,"")))</f>
        <v/>
      </c>
      <c r="I69" s="1" t="n"/>
      <c r="J69" s="1" t="n"/>
      <c r="K69" s="1">
        <f>IFERROR($E57/SUM($D57:$F57),"")</f>
        <v/>
      </c>
      <c r="L69" s="1">
        <f>IFERROR($D57/SUM($D57:$F57),"")</f>
        <v/>
      </c>
      <c r="M69" s="1">
        <f>IFERROR($F57/SUM($D57:$F57),"")</f>
        <v/>
      </c>
      <c r="O69" t="n">
        <v>68</v>
      </c>
      <c r="P69" t="inlineStr">
        <is>
          <t>04/02/2026</t>
        </is>
      </c>
      <c r="Q69" t="inlineStr">
        <is>
          <t>CN</t>
        </is>
      </c>
      <c r="R69" t="n">
        <v>548</v>
      </c>
      <c r="S69" t="n">
        <v>891</v>
      </c>
      <c r="T69" t="n">
        <v>1</v>
      </c>
    </row>
    <row r="70">
      <c r="H70">
        <f>IF(B58="","",TEXT(B58,"dd/mm") &amp; "-" &amp; IF(UPPER(TRIM(C58))="CN",1,IF(UPPER(TRIM(C58))="CD",2,"")))</f>
        <v/>
      </c>
      <c r="I70" s="1" t="n"/>
      <c r="J70" s="1" t="n"/>
      <c r="K70" s="1">
        <f>IFERROR($E58/SUM($D58:$F58),"")</f>
        <v/>
      </c>
      <c r="L70" s="1">
        <f>IFERROR($D58/SUM($D58:$F58),"")</f>
        <v/>
      </c>
      <c r="M70" s="1">
        <f>IFERROR($F58/SUM($D58:$F58),"")</f>
        <v/>
      </c>
      <c r="O70" t="n">
        <v>69</v>
      </c>
      <c r="P70" t="inlineStr">
        <is>
          <t>04/02/2026</t>
        </is>
      </c>
      <c r="Q70" t="inlineStr">
        <is>
          <t>CD</t>
        </is>
      </c>
      <c r="R70" t="n">
        <v>531</v>
      </c>
      <c r="S70" t="n">
        <v>907</v>
      </c>
      <c r="T70" t="n">
        <v>1</v>
      </c>
    </row>
    <row r="71">
      <c r="H71">
        <f>IF(B59="","",TEXT(B59,"dd/mm") &amp; "-" &amp; IF(UPPER(TRIM(C59))="CN",1,IF(UPPER(TRIM(C59))="CD",2,"")))</f>
        <v/>
      </c>
      <c r="I71" s="1" t="n"/>
      <c r="J71" s="1" t="n"/>
      <c r="K71" s="1">
        <f>IFERROR($E59/SUM($D59:$F59),"")</f>
        <v/>
      </c>
      <c r="L71" s="1">
        <f>IFERROR($D59/SUM($D59:$F59),"")</f>
        <v/>
      </c>
      <c r="M71" s="1">
        <f>IFERROR($F59/SUM($D59:$F59),"")</f>
        <v/>
      </c>
      <c r="O71" t="n">
        <v>70</v>
      </c>
      <c r="P71" t="inlineStr">
        <is>
          <t>05/02/2026</t>
        </is>
      </c>
      <c r="Q71" t="inlineStr">
        <is>
          <t>CN</t>
        </is>
      </c>
      <c r="R71" t="n">
        <v>706</v>
      </c>
      <c r="S71" t="n">
        <v>733</v>
      </c>
      <c r="T71" t="n">
        <v>1</v>
      </c>
    </row>
    <row r="72">
      <c r="H72">
        <f>IF(B60="","",TEXT(B60,"dd/mm") &amp; "-" &amp; IF(UPPER(TRIM(C60))="CN",1,IF(UPPER(TRIM(C60))="CD",2,"")))</f>
        <v/>
      </c>
      <c r="I72" s="1" t="n"/>
      <c r="J72" s="1" t="n"/>
      <c r="K72" s="1">
        <f>IFERROR($E60/SUM($D60:$F60),"")</f>
        <v/>
      </c>
      <c r="L72" s="1">
        <f>IFERROR($D60/SUM($D60:$F60),"")</f>
        <v/>
      </c>
      <c r="M72" s="1">
        <f>IFERROR($F60/SUM($D60:$F60),"")</f>
        <v/>
      </c>
      <c r="O72" t="n">
        <v>71</v>
      </c>
      <c r="P72" t="inlineStr">
        <is>
          <t>05/02/2026</t>
        </is>
      </c>
      <c r="Q72" t="inlineStr">
        <is>
          <t>CD</t>
        </is>
      </c>
      <c r="R72" t="n">
        <v>563</v>
      </c>
      <c r="S72" t="n">
        <v>876</v>
      </c>
      <c r="T72" t="n">
        <v>1</v>
      </c>
    </row>
    <row r="73">
      <c r="H73">
        <f>IF(B61="","",TEXT(B61,"dd/mm") &amp; "-" &amp; IF(UPPER(TRIM(C61))="CN",1,IF(UPPER(TRIM(C61))="CD",2,"")))</f>
        <v/>
      </c>
      <c r="I73" s="1" t="n"/>
      <c r="J73" s="1" t="n"/>
      <c r="K73" s="1">
        <f>IFERROR($E61/SUM($D61:$F61),"")</f>
        <v/>
      </c>
      <c r="L73" s="1">
        <f>IFERROR($D61/SUM($D61:$F61),"")</f>
        <v/>
      </c>
      <c r="M73" s="1">
        <f>IFERROR($F61/SUM($D61:$F61),"")</f>
        <v/>
      </c>
      <c r="O73" t="n">
        <v>72</v>
      </c>
      <c r="P73" t="inlineStr">
        <is>
          <t>06/02/2026</t>
        </is>
      </c>
      <c r="Q73" t="inlineStr">
        <is>
          <t>CN</t>
        </is>
      </c>
      <c r="R73" t="n">
        <v>737</v>
      </c>
      <c r="S73" t="n">
        <v>703</v>
      </c>
      <c r="T73" t="n">
        <v>1</v>
      </c>
    </row>
    <row r="74">
      <c r="H74">
        <f>IF(B62="","",TEXT(B62,"dd/mm") &amp; "-" &amp; IF(UPPER(TRIM(C62))="CN",1,IF(UPPER(TRIM(C62))="CD",2,"")))</f>
        <v/>
      </c>
      <c r="I74" s="1" t="n"/>
      <c r="J74" s="1" t="n"/>
      <c r="K74" s="1">
        <f>IFERROR($E62/SUM($D62:$F62),"")</f>
        <v/>
      </c>
      <c r="L74" s="1">
        <f>IFERROR($D62/SUM($D62:$F62),"")</f>
        <v/>
      </c>
      <c r="M74" s="1">
        <f>IFERROR($F62/SUM($D62:$F62),"")</f>
        <v/>
      </c>
      <c r="O74" t="n">
        <v>73</v>
      </c>
      <c r="P74" t="inlineStr">
        <is>
          <t>06/02/2026</t>
        </is>
      </c>
      <c r="Q74" t="inlineStr">
        <is>
          <t>CD</t>
        </is>
      </c>
      <c r="R74" t="n">
        <v>636</v>
      </c>
      <c r="S74" t="n">
        <v>804</v>
      </c>
      <c r="T74" t="n">
        <v>1</v>
      </c>
    </row>
    <row r="75">
      <c r="H75">
        <f>IF(B63="","",TEXT(B63,"dd/mm") &amp; "-" &amp; IF(UPPER(TRIM(C63))="CN",1,IF(UPPER(TRIM(C63))="CD",2,"")))</f>
        <v/>
      </c>
      <c r="I75" s="1" t="n"/>
      <c r="J75" s="1" t="n"/>
      <c r="K75" s="1">
        <f>IFERROR($E63/SUM($D63:$F63),"")</f>
        <v/>
      </c>
      <c r="L75" s="1">
        <f>IFERROR($D63/SUM($D63:$F63),"")</f>
        <v/>
      </c>
      <c r="M75" s="1">
        <f>IFERROR($F63/SUM($D63:$F63),"")</f>
        <v/>
      </c>
      <c r="O75" t="n">
        <v>74</v>
      </c>
      <c r="P75" t="inlineStr">
        <is>
          <t>07/02/2026</t>
        </is>
      </c>
      <c r="Q75" t="inlineStr">
        <is>
          <t>CN</t>
        </is>
      </c>
      <c r="R75" t="n">
        <v>785</v>
      </c>
      <c r="S75" t="n">
        <v>653</v>
      </c>
      <c r="T75" t="n">
        <v>1</v>
      </c>
    </row>
    <row r="76">
      <c r="I76" s="1" t="n"/>
      <c r="J76" s="1" t="n"/>
      <c r="K76" s="1" t="n"/>
      <c r="L76" s="1" t="n"/>
      <c r="M76" s="1" t="n"/>
      <c r="O76" t="n">
        <v>75</v>
      </c>
      <c r="P76" t="inlineStr">
        <is>
          <t>07/02/2026</t>
        </is>
      </c>
      <c r="Q76" t="inlineStr">
        <is>
          <t>CD</t>
        </is>
      </c>
      <c r="R76" t="n">
        <v>295</v>
      </c>
      <c r="S76" t="n">
        <v>648</v>
      </c>
      <c r="T76" t="n">
        <v>246</v>
      </c>
    </row>
    <row r="77">
      <c r="I77" s="1" t="n"/>
      <c r="J77" s="1" t="n"/>
      <c r="K77" s="1" t="n"/>
      <c r="L77" s="1" t="n"/>
      <c r="M77" s="1" t="n"/>
      <c r="O77" t="n">
        <v>76</v>
      </c>
      <c r="P77" t="inlineStr">
        <is>
          <t>08/02/2026</t>
        </is>
      </c>
      <c r="Q77" t="inlineStr">
        <is>
          <t>CN</t>
        </is>
      </c>
      <c r="R77" t="n">
        <v>0</v>
      </c>
      <c r="S77" t="n">
        <v>0</v>
      </c>
      <c r="T77" t="n">
        <v>720</v>
      </c>
    </row>
    <row r="78">
      <c r="I78" s="1" t="n"/>
      <c r="J78" s="1" t="n"/>
      <c r="K78" s="1" t="n"/>
      <c r="L78" s="1" t="n"/>
      <c r="M78" s="1" t="n"/>
      <c r="O78" t="n">
        <v>77</v>
      </c>
      <c r="P78" t="inlineStr">
        <is>
          <t>08/02/2026</t>
        </is>
      </c>
      <c r="Q78" t="inlineStr">
        <is>
          <t>CD</t>
        </is>
      </c>
      <c r="R78" t="n">
        <v>0</v>
      </c>
      <c r="S78" t="n">
        <v>0</v>
      </c>
      <c r="T78" t="n">
        <v>720</v>
      </c>
    </row>
    <row r="79">
      <c r="I79" s="1" t="n"/>
      <c r="J79" s="1" t="n"/>
      <c r="K79" s="1" t="n"/>
      <c r="L79" s="1" t="n"/>
      <c r="M79" s="1" t="n"/>
      <c r="O79" t="n">
        <v>78</v>
      </c>
      <c r="P79" t="inlineStr">
        <is>
          <t>09/02/2026</t>
        </is>
      </c>
      <c r="Q79" t="inlineStr">
        <is>
          <t>CN</t>
        </is>
      </c>
      <c r="R79" t="n">
        <v>209</v>
      </c>
      <c r="S79" t="n">
        <v>817</v>
      </c>
      <c r="T79" t="n">
        <v>207</v>
      </c>
    </row>
    <row r="80">
      <c r="I80" s="1" t="n"/>
      <c r="J80" s="1" t="n"/>
      <c r="K80" s="1" t="n"/>
      <c r="L80" s="1" t="n"/>
      <c r="M80" s="1" t="n"/>
      <c r="O80" t="n">
        <v>79</v>
      </c>
      <c r="P80" t="inlineStr">
        <is>
          <t>09/02/2026</t>
        </is>
      </c>
      <c r="Q80" t="inlineStr">
        <is>
          <t>CD</t>
        </is>
      </c>
      <c r="R80" t="n">
        <v>457</v>
      </c>
      <c r="S80" t="n">
        <v>982</v>
      </c>
      <c r="T80" t="n">
        <v>1</v>
      </c>
    </row>
    <row r="81">
      <c r="I81" s="1" t="n"/>
      <c r="J81" s="1" t="n"/>
      <c r="K81" s="1" t="n"/>
      <c r="L81" s="1" t="n"/>
      <c r="M81" s="1" t="n"/>
      <c r="O81" t="n">
        <v>80</v>
      </c>
      <c r="P81" t="inlineStr">
        <is>
          <t>10/02/2026</t>
        </is>
      </c>
      <c r="Q81" t="inlineStr">
        <is>
          <t>CN</t>
        </is>
      </c>
      <c r="R81" t="n">
        <v>642</v>
      </c>
      <c r="S81" t="n">
        <v>797</v>
      </c>
      <c r="T81" t="n">
        <v>1</v>
      </c>
    </row>
    <row r="82">
      <c r="I82" s="1" t="n"/>
      <c r="J82" s="1" t="n"/>
      <c r="K82" s="1" t="n"/>
      <c r="L82" s="1" t="n"/>
      <c r="M82" s="1" t="n"/>
      <c r="O82" t="n">
        <v>81</v>
      </c>
      <c r="P82" t="inlineStr">
        <is>
          <t>10/02/2026</t>
        </is>
      </c>
      <c r="Q82" t="inlineStr">
        <is>
          <t>CD</t>
        </is>
      </c>
      <c r="R82" t="n">
        <v>564</v>
      </c>
      <c r="S82" t="n">
        <v>876</v>
      </c>
      <c r="T82" t="n">
        <v>1</v>
      </c>
    </row>
    <row r="83">
      <c r="I83" s="1" t="n"/>
      <c r="J83" s="1" t="n"/>
      <c r="K83" s="1" t="n"/>
      <c r="L83" s="1" t="n"/>
      <c r="M83" s="1" t="n"/>
      <c r="O83" t="n">
        <v>82</v>
      </c>
      <c r="P83" t="inlineStr">
        <is>
          <t>11/02/2026</t>
        </is>
      </c>
      <c r="Q83" t="inlineStr">
        <is>
          <t>CN</t>
        </is>
      </c>
      <c r="R83" t="n">
        <v>715</v>
      </c>
      <c r="S83" t="n">
        <v>724</v>
      </c>
      <c r="T83" t="n">
        <v>1</v>
      </c>
    </row>
    <row r="84">
      <c r="I84" s="1" t="n"/>
      <c r="J84" s="1" t="n"/>
      <c r="K84" s="1" t="n"/>
      <c r="L84" s="1" t="n"/>
      <c r="M84" s="1" t="n"/>
      <c r="O84" t="n">
        <v>83</v>
      </c>
      <c r="P84" t="inlineStr">
        <is>
          <t>11/02/2026</t>
        </is>
      </c>
      <c r="Q84" t="inlineStr">
        <is>
          <t>CD</t>
        </is>
      </c>
      <c r="R84" t="n">
        <v>589</v>
      </c>
      <c r="S84" t="n">
        <v>851</v>
      </c>
      <c r="T84" t="n">
        <v>1</v>
      </c>
    </row>
    <row r="85">
      <c r="I85" s="1" t="n"/>
      <c r="J85" s="1" t="n"/>
      <c r="K85" s="1" t="n"/>
      <c r="L85" s="1" t="n"/>
      <c r="M85" s="1" t="n"/>
      <c r="O85" t="n">
        <v>84</v>
      </c>
      <c r="P85" t="inlineStr">
        <is>
          <t>12/02/2026</t>
        </is>
      </c>
      <c r="Q85" t="inlineStr">
        <is>
          <t>CN</t>
        </is>
      </c>
      <c r="R85" t="n">
        <v>662</v>
      </c>
      <c r="S85" t="n">
        <v>776</v>
      </c>
      <c r="T85" t="n">
        <v>1</v>
      </c>
    </row>
    <row r="86">
      <c r="I86" s="1" t="n"/>
      <c r="J86" s="1" t="n"/>
      <c r="K86" s="1" t="n"/>
      <c r="L86" s="1" t="n"/>
      <c r="M86" s="1" t="n"/>
      <c r="O86" t="n">
        <v>85</v>
      </c>
      <c r="P86" t="inlineStr">
        <is>
          <t>12/02/2026</t>
        </is>
      </c>
      <c r="Q86" t="inlineStr">
        <is>
          <t>CD</t>
        </is>
      </c>
      <c r="R86" t="n">
        <v>647</v>
      </c>
      <c r="S86" t="n">
        <v>792</v>
      </c>
      <c r="T86" t="n">
        <v>1</v>
      </c>
    </row>
    <row r="87">
      <c r="I87" s="1" t="n"/>
      <c r="J87" s="1" t="n"/>
      <c r="K87" s="1" t="n"/>
      <c r="L87" s="1" t="n"/>
      <c r="M87" s="1" t="n"/>
      <c r="O87" t="n">
        <v>86</v>
      </c>
      <c r="P87" t="inlineStr">
        <is>
          <t>13/02/2026</t>
        </is>
      </c>
      <c r="Q87" t="inlineStr">
        <is>
          <t>CN</t>
        </is>
      </c>
      <c r="R87" t="n">
        <v>1004</v>
      </c>
      <c r="S87" t="n">
        <v>436</v>
      </c>
      <c r="T87" t="n">
        <v>0</v>
      </c>
    </row>
    <row r="88">
      <c r="I88" s="1" t="n"/>
      <c r="J88" s="1" t="n"/>
      <c r="K88" s="1" t="n"/>
      <c r="L88" s="1" t="n"/>
      <c r="M88" s="1" t="n"/>
      <c r="O88" t="n">
        <v>87</v>
      </c>
      <c r="P88" t="inlineStr">
        <is>
          <t>13/02/2026</t>
        </is>
      </c>
      <c r="Q88" t="inlineStr">
        <is>
          <t>CD</t>
        </is>
      </c>
      <c r="R88" t="n">
        <v>474</v>
      </c>
      <c r="S88" t="n">
        <v>294</v>
      </c>
      <c r="T88" t="n">
        <v>330</v>
      </c>
    </row>
    <row r="89">
      <c r="I89" s="1" t="n"/>
      <c r="J89" s="1" t="n"/>
      <c r="K89" s="1" t="n"/>
      <c r="L89" s="1" t="n"/>
      <c r="M89" s="1" t="n"/>
      <c r="O89" t="n">
        <v>88</v>
      </c>
      <c r="P89" t="inlineStr">
        <is>
          <t>14/02/2026</t>
        </is>
      </c>
      <c r="Q89" t="inlineStr">
        <is>
          <t>CN</t>
        </is>
      </c>
      <c r="R89" t="n">
        <v>0</v>
      </c>
      <c r="S89" t="n">
        <v>0</v>
      </c>
      <c r="T89" t="n">
        <v>720</v>
      </c>
    </row>
    <row r="90">
      <c r="I90" s="1" t="n"/>
      <c r="J90" s="1" t="n"/>
      <c r="K90" s="1" t="n"/>
      <c r="L90" s="1" t="n"/>
      <c r="M90" s="1" t="n"/>
      <c r="O90" t="n">
        <v>89</v>
      </c>
      <c r="P90" t="inlineStr">
        <is>
          <t>14/02/2026</t>
        </is>
      </c>
      <c r="Q90" t="inlineStr">
        <is>
          <t>CD</t>
        </is>
      </c>
      <c r="R90" t="n">
        <v>0</v>
      </c>
      <c r="S90" t="n">
        <v>0</v>
      </c>
      <c r="T90" t="n">
        <v>720</v>
      </c>
    </row>
    <row r="91">
      <c r="I91" s="1" t="n"/>
      <c r="J91" s="1" t="n"/>
      <c r="K91" s="1" t="n"/>
      <c r="L91" s="1" t="n"/>
      <c r="M91" s="1" t="n"/>
      <c r="O91" t="n">
        <v>90</v>
      </c>
      <c r="P91" t="inlineStr">
        <is>
          <t>15/02/2026</t>
        </is>
      </c>
      <c r="Q91" t="inlineStr">
        <is>
          <t>CN</t>
        </is>
      </c>
      <c r="R91" t="n">
        <v>0</v>
      </c>
      <c r="S91" t="n">
        <v>0</v>
      </c>
      <c r="T91" t="n">
        <v>720</v>
      </c>
    </row>
    <row r="92">
      <c r="I92" s="1" t="n"/>
      <c r="J92" s="1" t="n"/>
      <c r="K92" s="1" t="n"/>
      <c r="L92" s="1" t="n"/>
      <c r="M92" s="1" t="n"/>
      <c r="O92" t="n">
        <v>91</v>
      </c>
      <c r="P92" t="inlineStr">
        <is>
          <t>15/02/2026</t>
        </is>
      </c>
      <c r="Q92" t="inlineStr">
        <is>
          <t>CD</t>
        </is>
      </c>
      <c r="R92" t="n">
        <v>0</v>
      </c>
      <c r="S92" t="n">
        <v>0</v>
      </c>
      <c r="T92" t="n">
        <v>720</v>
      </c>
    </row>
    <row r="93">
      <c r="I93" s="1" t="n"/>
      <c r="J93" s="1" t="n"/>
      <c r="K93" s="1" t="n"/>
      <c r="L93" s="1" t="n"/>
      <c r="M93" s="1" t="n"/>
      <c r="O93" t="n">
        <v>92</v>
      </c>
      <c r="P93" t="inlineStr">
        <is>
          <t>16/02/2026</t>
        </is>
      </c>
      <c r="Q93" t="inlineStr">
        <is>
          <t>CN</t>
        </is>
      </c>
      <c r="R93" t="n">
        <v>0</v>
      </c>
      <c r="S93" t="n">
        <v>0</v>
      </c>
      <c r="T93" t="n">
        <v>720</v>
      </c>
    </row>
    <row r="94">
      <c r="I94" s="1" t="n"/>
      <c r="J94" s="1" t="n"/>
      <c r="K94" s="1" t="n"/>
      <c r="L94" s="1" t="n"/>
      <c r="M94" s="1" t="n"/>
      <c r="O94" t="n">
        <v>93</v>
      </c>
      <c r="P94" t="inlineStr">
        <is>
          <t>16/02/2026</t>
        </is>
      </c>
      <c r="Q94" t="inlineStr">
        <is>
          <t>CD</t>
        </is>
      </c>
      <c r="R94" t="n">
        <v>0</v>
      </c>
      <c r="S94" t="n">
        <v>0</v>
      </c>
      <c r="T94" t="n">
        <v>720</v>
      </c>
    </row>
    <row r="95">
      <c r="I95" s="1" t="n"/>
      <c r="J95" s="1" t="n"/>
      <c r="K95" s="1" t="n"/>
      <c r="L95" s="1" t="n"/>
      <c r="M95" s="1" t="n"/>
      <c r="O95" t="n">
        <v>94</v>
      </c>
      <c r="P95" t="inlineStr">
        <is>
          <t>17/02/2026</t>
        </is>
      </c>
      <c r="Q95" t="inlineStr">
        <is>
          <t>CN</t>
        </is>
      </c>
      <c r="R95" t="n">
        <v>0</v>
      </c>
      <c r="S95" t="n">
        <v>0</v>
      </c>
      <c r="T95" t="n">
        <v>720</v>
      </c>
    </row>
    <row r="96">
      <c r="I96" s="1" t="n"/>
      <c r="J96" s="1" t="n"/>
      <c r="K96" s="1" t="n"/>
      <c r="L96" s="1" t="n"/>
      <c r="M96" s="1" t="n"/>
      <c r="O96" t="n">
        <v>95</v>
      </c>
      <c r="P96" t="inlineStr">
        <is>
          <t>17/02/2026</t>
        </is>
      </c>
      <c r="Q96" t="inlineStr">
        <is>
          <t>CD</t>
        </is>
      </c>
      <c r="R96" t="n">
        <v>0</v>
      </c>
      <c r="S96" t="n">
        <v>0</v>
      </c>
      <c r="T96" t="n">
        <v>720</v>
      </c>
    </row>
    <row r="97">
      <c r="I97" s="1" t="n"/>
      <c r="J97" s="1" t="n"/>
      <c r="K97" s="1" t="n"/>
      <c r="L97" s="1" t="n"/>
      <c r="M97" s="1" t="n"/>
      <c r="O97" t="n">
        <v>96</v>
      </c>
      <c r="P97" t="inlineStr">
        <is>
          <t>18/02/2026</t>
        </is>
      </c>
      <c r="Q97" t="inlineStr">
        <is>
          <t>CN</t>
        </is>
      </c>
      <c r="R97" t="n">
        <v>0</v>
      </c>
      <c r="S97" t="n">
        <v>0</v>
      </c>
      <c r="T97" t="n">
        <v>720</v>
      </c>
    </row>
    <row r="98">
      <c r="I98" s="1" t="n"/>
      <c r="J98" s="1" t="n"/>
      <c r="K98" s="1" t="n"/>
      <c r="L98" s="1" t="n"/>
      <c r="M98" s="1" t="n"/>
      <c r="O98" t="n">
        <v>97</v>
      </c>
      <c r="P98" t="inlineStr">
        <is>
          <t>18/02/2026</t>
        </is>
      </c>
      <c r="Q98" t="inlineStr">
        <is>
          <t>CD</t>
        </is>
      </c>
      <c r="R98" t="n">
        <v>0</v>
      </c>
      <c r="S98" t="n">
        <v>0</v>
      </c>
      <c r="T98" t="n">
        <v>720</v>
      </c>
    </row>
    <row r="99">
      <c r="I99" s="1" t="n"/>
      <c r="J99" s="1" t="n"/>
      <c r="K99" s="1" t="n"/>
      <c r="L99" s="1" t="n"/>
      <c r="M99" s="1" t="n"/>
      <c r="O99" t="n">
        <v>98</v>
      </c>
      <c r="P99" t="inlineStr">
        <is>
          <t>19/02/2026</t>
        </is>
      </c>
      <c r="Q99" t="inlineStr">
        <is>
          <t>CN</t>
        </is>
      </c>
      <c r="R99" t="n">
        <v>0</v>
      </c>
      <c r="S99" t="n">
        <v>0</v>
      </c>
      <c r="T99" t="n">
        <v>720</v>
      </c>
    </row>
    <row r="100">
      <c r="I100" s="1" t="n"/>
      <c r="J100" s="1" t="n"/>
      <c r="K100" s="1" t="n"/>
      <c r="L100" s="1" t="n"/>
      <c r="M100" s="1" t="n"/>
      <c r="O100" t="n">
        <v>99</v>
      </c>
      <c r="P100" t="inlineStr">
        <is>
          <t>19/02/2026</t>
        </is>
      </c>
      <c r="Q100" t="inlineStr">
        <is>
          <t>CD</t>
        </is>
      </c>
      <c r="R100" t="n">
        <v>0</v>
      </c>
      <c r="S100" t="n">
        <v>0</v>
      </c>
      <c r="T100" t="n">
        <v>720</v>
      </c>
    </row>
    <row r="101">
      <c r="I101" s="1" t="n"/>
      <c r="J101" s="1" t="n"/>
      <c r="K101" s="1" t="n"/>
      <c r="L101" s="1" t="n"/>
      <c r="M101" s="1" t="n"/>
      <c r="O101" t="n">
        <v>100</v>
      </c>
      <c r="P101" t="inlineStr">
        <is>
          <t>20/02/2026</t>
        </is>
      </c>
      <c r="Q101" t="inlineStr">
        <is>
          <t>CN</t>
        </is>
      </c>
      <c r="R101" t="n">
        <v>0</v>
      </c>
      <c r="S101" t="n">
        <v>0</v>
      </c>
      <c r="T101" t="n">
        <v>720</v>
      </c>
    </row>
    <row r="102">
      <c r="O102" t="n">
        <v>101</v>
      </c>
      <c r="P102" t="inlineStr">
        <is>
          <t>20/02/2026</t>
        </is>
      </c>
      <c r="Q102" t="inlineStr">
        <is>
          <t>CD</t>
        </is>
      </c>
      <c r="R102" t="n">
        <v>0</v>
      </c>
      <c r="S102" t="n">
        <v>0</v>
      </c>
      <c r="T102" t="n">
        <v>720</v>
      </c>
    </row>
    <row r="103">
      <c r="O103" t="n">
        <v>102</v>
      </c>
      <c r="P103" t="inlineStr">
        <is>
          <t>21/02/2026</t>
        </is>
      </c>
      <c r="Q103" t="inlineStr">
        <is>
          <t>CN</t>
        </is>
      </c>
      <c r="R103" t="n">
        <v>0</v>
      </c>
      <c r="S103" t="n">
        <v>0</v>
      </c>
      <c r="T103" t="n">
        <v>720</v>
      </c>
    </row>
    <row r="104">
      <c r="O104" t="n">
        <v>103</v>
      </c>
      <c r="P104" t="inlineStr">
        <is>
          <t>21/02/2026</t>
        </is>
      </c>
      <c r="Q104" t="inlineStr">
        <is>
          <t>CD</t>
        </is>
      </c>
      <c r="R104" t="n">
        <v>0</v>
      </c>
      <c r="S104" t="n">
        <v>0</v>
      </c>
      <c r="T104" t="n">
        <v>720</v>
      </c>
    </row>
    <row r="105">
      <c r="O105" t="n">
        <v>104</v>
      </c>
      <c r="P105" t="inlineStr">
        <is>
          <t>22/02/2026</t>
        </is>
      </c>
      <c r="Q105" t="inlineStr">
        <is>
          <t>CN</t>
        </is>
      </c>
      <c r="R105" t="n">
        <v>0</v>
      </c>
      <c r="S105" t="n">
        <v>0</v>
      </c>
      <c r="T105" t="n">
        <v>720</v>
      </c>
    </row>
    <row r="106">
      <c r="O106" t="n">
        <v>105</v>
      </c>
      <c r="P106" t="inlineStr">
        <is>
          <t>22/02/2026</t>
        </is>
      </c>
      <c r="Q106" t="inlineStr">
        <is>
          <t>CD</t>
        </is>
      </c>
      <c r="R106" t="n">
        <v>0</v>
      </c>
      <c r="S106" t="n">
        <v>0</v>
      </c>
      <c r="T106" t="n">
        <v>720</v>
      </c>
    </row>
    <row r="107">
      <c r="O107" t="n">
        <v>106</v>
      </c>
      <c r="P107" t="inlineStr">
        <is>
          <t>23/02/2026</t>
        </is>
      </c>
      <c r="Q107" t="inlineStr">
        <is>
          <t>CN</t>
        </is>
      </c>
      <c r="R107" t="n">
        <v>362</v>
      </c>
      <c r="S107" t="n">
        <v>650</v>
      </c>
      <c r="T107" t="n">
        <v>214</v>
      </c>
    </row>
    <row r="108">
      <c r="O108" t="n">
        <v>107</v>
      </c>
      <c r="P108" t="inlineStr">
        <is>
          <t>23/02/2026</t>
        </is>
      </c>
      <c r="Q108" t="inlineStr">
        <is>
          <t>CD</t>
        </is>
      </c>
      <c r="R108" t="n">
        <v>740</v>
      </c>
      <c r="S108" t="n">
        <v>699</v>
      </c>
      <c r="T108" t="n">
        <v>1</v>
      </c>
    </row>
    <row r="109">
      <c r="O109" t="n">
        <v>108</v>
      </c>
      <c r="P109" t="inlineStr">
        <is>
          <t>24/02/2026</t>
        </is>
      </c>
      <c r="Q109" t="inlineStr">
        <is>
          <t>CN</t>
        </is>
      </c>
      <c r="R109" t="n">
        <v>750</v>
      </c>
      <c r="S109" t="n">
        <v>689</v>
      </c>
      <c r="T109" t="n">
        <v>1</v>
      </c>
    </row>
    <row r="110">
      <c r="O110" t="n">
        <v>109</v>
      </c>
      <c r="P110" t="inlineStr">
        <is>
          <t>24/02/2026</t>
        </is>
      </c>
      <c r="Q110" t="inlineStr">
        <is>
          <t>CD</t>
        </is>
      </c>
      <c r="R110" t="n">
        <v>489</v>
      </c>
      <c r="S110" t="n">
        <v>950</v>
      </c>
      <c r="T110" t="n">
        <v>1</v>
      </c>
    </row>
    <row r="111">
      <c r="O111" t="n">
        <v>110</v>
      </c>
      <c r="P111" t="inlineStr">
        <is>
          <t>25/02/2026</t>
        </is>
      </c>
      <c r="Q111" t="inlineStr">
        <is>
          <t>CN</t>
        </is>
      </c>
      <c r="R111" t="n">
        <v>652</v>
      </c>
      <c r="S111" t="n">
        <v>788</v>
      </c>
      <c r="T111" t="n">
        <v>1</v>
      </c>
    </row>
    <row r="112">
      <c r="O112" t="n">
        <v>111</v>
      </c>
      <c r="P112" t="inlineStr">
        <is>
          <t>25/02/2026</t>
        </is>
      </c>
      <c r="Q112" t="inlineStr">
        <is>
          <t>CD</t>
        </is>
      </c>
      <c r="R112" t="n">
        <v>473</v>
      </c>
      <c r="S112" t="n">
        <v>966</v>
      </c>
      <c r="T112" t="n">
        <v>1</v>
      </c>
    </row>
    <row r="113">
      <c r="O113" t="n">
        <v>112</v>
      </c>
      <c r="P113" t="inlineStr">
        <is>
          <t>26/02/2026</t>
        </is>
      </c>
      <c r="Q113" t="inlineStr">
        <is>
          <t>CN</t>
        </is>
      </c>
      <c r="R113" t="n">
        <v>679</v>
      </c>
      <c r="S113" t="n">
        <v>757</v>
      </c>
      <c r="T113" t="n">
        <v>1</v>
      </c>
    </row>
    <row r="114">
      <c r="O114" t="n">
        <v>113</v>
      </c>
      <c r="P114" t="inlineStr">
        <is>
          <t>26/02/2026</t>
        </is>
      </c>
      <c r="Q114" t="inlineStr">
        <is>
          <t>CD</t>
        </is>
      </c>
      <c r="R114" t="n">
        <v>533</v>
      </c>
      <c r="S114" t="n">
        <v>906</v>
      </c>
      <c r="T114" t="n">
        <v>1</v>
      </c>
    </row>
    <row r="115">
      <c r="O115" t="n">
        <v>114</v>
      </c>
      <c r="P115" t="inlineStr">
        <is>
          <t>27/02/2026</t>
        </is>
      </c>
      <c r="Q115" t="inlineStr">
        <is>
          <t>CN</t>
        </is>
      </c>
      <c r="R115" t="n">
        <v>666</v>
      </c>
      <c r="S115" t="n">
        <v>773</v>
      </c>
      <c r="T115" t="n">
        <v>1</v>
      </c>
    </row>
    <row r="116">
      <c r="O116" t="n">
        <v>115</v>
      </c>
      <c r="P116" t="inlineStr">
        <is>
          <t>27/02/2026</t>
        </is>
      </c>
      <c r="Q116" t="inlineStr">
        <is>
          <t>CD</t>
        </is>
      </c>
      <c r="R116" t="n">
        <v>474</v>
      </c>
      <c r="S116" t="n">
        <v>965</v>
      </c>
      <c r="T116" t="n">
        <v>1</v>
      </c>
    </row>
    <row r="117">
      <c r="O117" t="n">
        <v>116</v>
      </c>
      <c r="P117" t="inlineStr">
        <is>
          <t>28/02/2026</t>
        </is>
      </c>
      <c r="Q117" t="inlineStr">
        <is>
          <t>CN</t>
        </is>
      </c>
      <c r="R117" t="n">
        <v>592</v>
      </c>
      <c r="S117" t="n">
        <v>847</v>
      </c>
      <c r="T117" t="n">
        <v>1</v>
      </c>
    </row>
    <row r="118">
      <c r="O118" t="n">
        <v>117</v>
      </c>
      <c r="P118" t="inlineStr">
        <is>
          <t>28/02/2026</t>
        </is>
      </c>
      <c r="Q118" t="inlineStr">
        <is>
          <t>CD</t>
        </is>
      </c>
      <c r="R118" t="n">
        <v>278</v>
      </c>
      <c r="S118" t="n">
        <v>670</v>
      </c>
      <c r="T118" t="n">
        <v>246</v>
      </c>
    </row>
    <row r="119">
      <c r="O119" t="n">
        <v>118</v>
      </c>
      <c r="P119" t="inlineStr">
        <is>
          <t>01/03/2026</t>
        </is>
      </c>
      <c r="Q119" t="inlineStr">
        <is>
          <t>CN</t>
        </is>
      </c>
      <c r="R119" t="n">
        <v>0</v>
      </c>
      <c r="S119" t="n">
        <v>0</v>
      </c>
      <c r="T119" t="n">
        <v>655</v>
      </c>
    </row>
    <row r="120">
      <c r="O120" t="n">
        <v>119</v>
      </c>
      <c r="P120" t="inlineStr">
        <is>
          <t>01/03/2026</t>
        </is>
      </c>
      <c r="Q120" t="inlineStr">
        <is>
          <t>CD</t>
        </is>
      </c>
      <c r="R120" t="n">
        <v>0</v>
      </c>
      <c r="S120" t="n">
        <v>0</v>
      </c>
      <c r="T120" t="n">
        <v>720</v>
      </c>
    </row>
    <row r="121">
      <c r="O121" t="n">
        <v>120</v>
      </c>
      <c r="P121" t="inlineStr">
        <is>
          <t>02/03/2026</t>
        </is>
      </c>
      <c r="Q121" t="inlineStr">
        <is>
          <t>CN</t>
        </is>
      </c>
      <c r="R121" t="n">
        <v>218</v>
      </c>
      <c r="S121" t="n">
        <v>808</v>
      </c>
      <c r="T121" t="n">
        <v>208</v>
      </c>
    </row>
    <row r="122">
      <c r="O122" t="n">
        <v>121</v>
      </c>
      <c r="P122" t="inlineStr">
        <is>
          <t>02/03/2026</t>
        </is>
      </c>
      <c r="Q122" t="inlineStr">
        <is>
          <t>CD</t>
        </is>
      </c>
      <c r="R122" t="n">
        <v>571</v>
      </c>
      <c r="S122" t="n">
        <v>867</v>
      </c>
      <c r="T122" t="n">
        <v>1</v>
      </c>
    </row>
    <row r="123">
      <c r="O123" t="n">
        <v>122</v>
      </c>
      <c r="P123" t="inlineStr">
        <is>
          <t>03/03/2026</t>
        </is>
      </c>
      <c r="Q123" t="inlineStr">
        <is>
          <t>CN</t>
        </is>
      </c>
      <c r="R123" t="n">
        <v>605</v>
      </c>
      <c r="S123" t="n">
        <v>834</v>
      </c>
      <c r="T123" t="n">
        <v>1</v>
      </c>
    </row>
    <row r="124">
      <c r="O124" t="n">
        <v>123</v>
      </c>
      <c r="P124" t="inlineStr">
        <is>
          <t>03/03/2026</t>
        </is>
      </c>
      <c r="Q124" t="inlineStr">
        <is>
          <t>CD</t>
        </is>
      </c>
      <c r="R124" t="n">
        <v>651</v>
      </c>
      <c r="S124" t="n">
        <v>788</v>
      </c>
      <c r="T124" t="n">
        <v>1</v>
      </c>
    </row>
    <row r="125">
      <c r="O125" t="n">
        <v>124</v>
      </c>
      <c r="P125" t="inlineStr">
        <is>
          <t>04/03/2026</t>
        </is>
      </c>
      <c r="Q125" t="inlineStr">
        <is>
          <t>CN</t>
        </is>
      </c>
      <c r="R125" t="n">
        <v>620</v>
      </c>
      <c r="S125" t="n">
        <v>818</v>
      </c>
      <c r="T125" t="n">
        <v>1</v>
      </c>
    </row>
    <row r="126">
      <c r="O126" t="n">
        <v>125</v>
      </c>
      <c r="P126" t="inlineStr">
        <is>
          <t>04/03/2026</t>
        </is>
      </c>
      <c r="Q126" t="inlineStr">
        <is>
          <t>CD</t>
        </is>
      </c>
      <c r="R126" t="n">
        <v>535</v>
      </c>
      <c r="S126" t="n">
        <v>903</v>
      </c>
      <c r="T126" t="n">
        <v>1</v>
      </c>
    </row>
    <row r="127">
      <c r="O127" t="n">
        <v>126</v>
      </c>
      <c r="P127" t="inlineStr">
        <is>
          <t>05/03/2026</t>
        </is>
      </c>
      <c r="Q127" t="inlineStr">
        <is>
          <t>CN</t>
        </is>
      </c>
      <c r="R127" t="n">
        <v>599</v>
      </c>
      <c r="S127" t="n">
        <v>839</v>
      </c>
      <c r="T127" t="n">
        <v>1</v>
      </c>
    </row>
    <row r="128">
      <c r="O128" t="n">
        <v>127</v>
      </c>
      <c r="P128" t="inlineStr">
        <is>
          <t>05/03/2026</t>
        </is>
      </c>
      <c r="Q128" t="inlineStr">
        <is>
          <t>CD</t>
        </is>
      </c>
      <c r="R128" t="n">
        <v>159</v>
      </c>
      <c r="S128" t="n">
        <v>9</v>
      </c>
      <c r="T128" t="n">
        <v>635</v>
      </c>
    </row>
    <row r="129">
      <c r="O129" t="n">
        <v>128</v>
      </c>
      <c r="P129" t="inlineStr">
        <is>
          <t>06/03/2026</t>
        </is>
      </c>
      <c r="Q129" t="inlineStr">
        <is>
          <t>CN</t>
        </is>
      </c>
      <c r="R129" t="n">
        <v>214</v>
      </c>
      <c r="S129" t="n">
        <v>782</v>
      </c>
      <c r="T129" t="n">
        <v>221</v>
      </c>
    </row>
    <row r="130">
      <c r="O130" t="n">
        <v>129</v>
      </c>
      <c r="P130" t="inlineStr">
        <is>
          <t>06/03/2026</t>
        </is>
      </c>
      <c r="Q130" t="inlineStr">
        <is>
          <t>CD</t>
        </is>
      </c>
      <c r="R130" t="n">
        <v>324</v>
      </c>
      <c r="S130" t="n">
        <v>3</v>
      </c>
      <c r="T130" t="n">
        <v>709</v>
      </c>
    </row>
    <row r="131">
      <c r="O131" t="n">
        <v>130</v>
      </c>
      <c r="P131" t="inlineStr">
        <is>
          <t>07/03/2026</t>
        </is>
      </c>
      <c r="Q131" t="inlineStr">
        <is>
          <t>CN</t>
        </is>
      </c>
      <c r="R131" t="n">
        <v>0</v>
      </c>
      <c r="S131" t="n">
        <v>0</v>
      </c>
      <c r="T131" t="n">
        <v>720</v>
      </c>
    </row>
    <row r="132">
      <c r="O132" t="n">
        <v>131</v>
      </c>
      <c r="P132" t="inlineStr">
        <is>
          <t>07/03/2026</t>
        </is>
      </c>
      <c r="Q132" t="inlineStr">
        <is>
          <t>CD</t>
        </is>
      </c>
      <c r="R132" t="n">
        <v>0</v>
      </c>
      <c r="S132" t="n">
        <v>0</v>
      </c>
      <c r="T132" t="n">
        <v>720</v>
      </c>
    </row>
    <row r="133">
      <c r="O133" t="n">
        <v>132</v>
      </c>
      <c r="P133" t="inlineStr">
        <is>
          <t>08/03/2026</t>
        </is>
      </c>
      <c r="Q133" t="inlineStr">
        <is>
          <t>CN</t>
        </is>
      </c>
      <c r="R133" t="n">
        <v>0</v>
      </c>
      <c r="S133" t="n">
        <v>0</v>
      </c>
      <c r="T133" t="n">
        <v>720</v>
      </c>
    </row>
    <row r="134">
      <c r="O134" t="n">
        <v>133</v>
      </c>
      <c r="P134" t="inlineStr">
        <is>
          <t>08/03/2026</t>
        </is>
      </c>
      <c r="Q134" t="inlineStr">
        <is>
          <t>CD</t>
        </is>
      </c>
      <c r="R134" t="n">
        <v>0</v>
      </c>
      <c r="S134" t="n">
        <v>0</v>
      </c>
      <c r="T134" t="n">
        <v>720</v>
      </c>
    </row>
    <row r="135">
      <c r="O135" t="n">
        <v>134</v>
      </c>
      <c r="P135" t="inlineStr">
        <is>
          <t>09/03/2026</t>
        </is>
      </c>
      <c r="Q135" t="inlineStr">
        <is>
          <t>CN</t>
        </is>
      </c>
      <c r="R135" t="n">
        <v>331</v>
      </c>
      <c r="S135" t="n">
        <v>696</v>
      </c>
      <c r="T135" t="n">
        <v>207</v>
      </c>
    </row>
    <row r="136">
      <c r="O136" t="n">
        <v>135</v>
      </c>
      <c r="P136" t="inlineStr">
        <is>
          <t>09/03/2026</t>
        </is>
      </c>
      <c r="Q136" t="inlineStr">
        <is>
          <t>CD</t>
        </is>
      </c>
      <c r="R136" t="n">
        <v>670</v>
      </c>
      <c r="S136" t="n">
        <v>769</v>
      </c>
      <c r="T136" t="n">
        <v>1</v>
      </c>
    </row>
    <row r="137">
      <c r="O137" t="n">
        <v>136</v>
      </c>
      <c r="P137" t="inlineStr">
        <is>
          <t>10/03/2026</t>
        </is>
      </c>
      <c r="Q137" t="inlineStr">
        <is>
          <t>CN</t>
        </is>
      </c>
      <c r="R137" t="n">
        <v>647</v>
      </c>
      <c r="S137" t="n">
        <v>791</v>
      </c>
      <c r="T137" t="n">
        <v>1</v>
      </c>
    </row>
    <row r="138">
      <c r="O138" t="n">
        <v>137</v>
      </c>
      <c r="P138" t="inlineStr">
        <is>
          <t>10/03/2026</t>
        </is>
      </c>
      <c r="Q138" t="inlineStr">
        <is>
          <t>CD</t>
        </is>
      </c>
      <c r="R138" t="n">
        <v>628</v>
      </c>
      <c r="S138" t="n">
        <v>812</v>
      </c>
      <c r="T138" t="n">
        <v>1</v>
      </c>
    </row>
    <row r="139">
      <c r="O139" t="n">
        <v>138</v>
      </c>
      <c r="P139" t="inlineStr">
        <is>
          <t>11/03/2026</t>
        </is>
      </c>
      <c r="Q139" t="inlineStr">
        <is>
          <t>CN</t>
        </is>
      </c>
      <c r="R139" t="n">
        <v>717</v>
      </c>
      <c r="S139" t="n">
        <v>722</v>
      </c>
      <c r="T139" t="n">
        <v>1</v>
      </c>
    </row>
    <row r="140">
      <c r="O140" t="n">
        <v>139</v>
      </c>
      <c r="P140" t="inlineStr">
        <is>
          <t>11/03/2026</t>
        </is>
      </c>
      <c r="Q140" t="inlineStr">
        <is>
          <t>CD</t>
        </is>
      </c>
      <c r="R140" t="n">
        <v>447</v>
      </c>
      <c r="S140" t="n">
        <v>991</v>
      </c>
      <c r="T140" t="n">
        <v>1</v>
      </c>
    </row>
    <row r="141">
      <c r="O141" t="n">
        <v>140</v>
      </c>
      <c r="P141" t="inlineStr">
        <is>
          <t>12/03/2026</t>
        </is>
      </c>
      <c r="Q141" t="inlineStr">
        <is>
          <t>CN</t>
        </is>
      </c>
      <c r="R141" t="n">
        <v>481</v>
      </c>
      <c r="S141" t="n">
        <v>8</v>
      </c>
      <c r="T141" t="n">
        <v>474</v>
      </c>
    </row>
    <row r="142">
      <c r="O142" t="n">
        <v>141</v>
      </c>
      <c r="P142" t="inlineStr">
        <is>
          <t>12/03/2026</t>
        </is>
      </c>
      <c r="Q142" t="inlineStr">
        <is>
          <t>CD</t>
        </is>
      </c>
      <c r="R142" t="n">
        <v>599</v>
      </c>
      <c r="S142" t="n">
        <v>825</v>
      </c>
      <c r="T142" t="n">
        <v>3</v>
      </c>
    </row>
    <row r="143">
      <c r="O143" t="n">
        <v>142</v>
      </c>
      <c r="P143" t="inlineStr">
        <is>
          <t>13/03/2026</t>
        </is>
      </c>
      <c r="Q143" t="inlineStr">
        <is>
          <t>CN</t>
        </is>
      </c>
      <c r="R143" t="n">
        <v>1440</v>
      </c>
      <c r="S143" t="n">
        <v>0</v>
      </c>
      <c r="T143" t="n">
        <v>0</v>
      </c>
    </row>
    <row r="144">
      <c r="O144" t="n">
        <v>143</v>
      </c>
      <c r="P144" t="inlineStr">
        <is>
          <t>13/03/2026</t>
        </is>
      </c>
      <c r="Q144" t="inlineStr">
        <is>
          <t>CD</t>
        </is>
      </c>
      <c r="R144" t="n">
        <v>400</v>
      </c>
      <c r="S144" t="n">
        <v>884</v>
      </c>
      <c r="T144" t="n">
        <v>155</v>
      </c>
    </row>
    <row r="145">
      <c r="O145" t="n">
        <v>144</v>
      </c>
      <c r="P145" t="inlineStr">
        <is>
          <t>14/03/2026</t>
        </is>
      </c>
      <c r="Q145" t="inlineStr">
        <is>
          <t>CN</t>
        </is>
      </c>
      <c r="R145" t="n">
        <v>326</v>
      </c>
      <c r="S145" t="n">
        <v>0</v>
      </c>
      <c r="T145" t="n">
        <v>720</v>
      </c>
    </row>
    <row r="146">
      <c r="O146" t="n">
        <v>145</v>
      </c>
      <c r="P146" t="inlineStr">
        <is>
          <t>14/03/2026</t>
        </is>
      </c>
      <c r="Q146" t="inlineStr">
        <is>
          <t>CD</t>
        </is>
      </c>
      <c r="R146" t="n">
        <v>0</v>
      </c>
      <c r="S146" t="n">
        <v>0</v>
      </c>
      <c r="T146" t="n">
        <v>720</v>
      </c>
    </row>
    <row r="147">
      <c r="O147" t="n">
        <v>146</v>
      </c>
      <c r="P147" t="inlineStr">
        <is>
          <t>15/03/2026</t>
        </is>
      </c>
      <c r="Q147" t="inlineStr">
        <is>
          <t>CN</t>
        </is>
      </c>
      <c r="R147" t="n">
        <v>0</v>
      </c>
      <c r="S147" t="n">
        <v>0</v>
      </c>
      <c r="T147" t="n">
        <v>720</v>
      </c>
    </row>
    <row r="148">
      <c r="O148" t="n">
        <v>147</v>
      </c>
      <c r="P148" t="inlineStr">
        <is>
          <t>15/03/2026</t>
        </is>
      </c>
      <c r="Q148" t="inlineStr">
        <is>
          <t>CD</t>
        </is>
      </c>
      <c r="R148" t="n">
        <v>0</v>
      </c>
      <c r="S148" t="n">
        <v>0</v>
      </c>
      <c r="T148" t="n">
        <v>720</v>
      </c>
    </row>
    <row r="149">
      <c r="O149" t="n">
        <v>148</v>
      </c>
      <c r="P149" t="inlineStr">
        <is>
          <t>16/03/2026</t>
        </is>
      </c>
      <c r="Q149" t="inlineStr">
        <is>
          <t>CN</t>
        </is>
      </c>
      <c r="R149" t="n">
        <v>384</v>
      </c>
      <c r="S149" t="n">
        <v>639</v>
      </c>
      <c r="T149" t="n">
        <v>208</v>
      </c>
    </row>
    <row r="150">
      <c r="O150" t="n">
        <v>149</v>
      </c>
      <c r="P150" t="inlineStr">
        <is>
          <t>16/03/2026</t>
        </is>
      </c>
      <c r="Q150" t="inlineStr">
        <is>
          <t>CD</t>
        </is>
      </c>
      <c r="R150" t="n">
        <v>679</v>
      </c>
      <c r="S150" t="n">
        <v>759</v>
      </c>
      <c r="T150" t="n">
        <v>1</v>
      </c>
    </row>
    <row r="151">
      <c r="O151" t="n">
        <v>150</v>
      </c>
      <c r="P151" t="inlineStr">
        <is>
          <t>17/03/2026</t>
        </is>
      </c>
      <c r="Q151" t="inlineStr">
        <is>
          <t>CN</t>
        </is>
      </c>
      <c r="R151" t="n">
        <v>478</v>
      </c>
      <c r="S151" t="n">
        <v>18</v>
      </c>
      <c r="T151" t="n">
        <v>471</v>
      </c>
    </row>
    <row r="152">
      <c r="O152" t="n">
        <v>151</v>
      </c>
      <c r="P152" t="inlineStr">
        <is>
          <t>17/03/2026</t>
        </is>
      </c>
      <c r="Q152" t="inlineStr">
        <is>
          <t>CD</t>
        </is>
      </c>
      <c r="R152" t="n">
        <v>708</v>
      </c>
      <c r="S152" t="n">
        <v>730</v>
      </c>
      <c r="T152" t="n">
        <v>1</v>
      </c>
    </row>
    <row r="153">
      <c r="O153" t="n">
        <v>152</v>
      </c>
      <c r="P153" t="inlineStr">
        <is>
          <t>18/03/2026</t>
        </is>
      </c>
      <c r="Q153" t="inlineStr">
        <is>
          <t>CN</t>
        </is>
      </c>
      <c r="R153" t="n">
        <v>514</v>
      </c>
      <c r="S153" t="n">
        <v>0</v>
      </c>
      <c r="T153" t="n">
        <v>462</v>
      </c>
    </row>
    <row r="154">
      <c r="O154" t="n">
        <v>153</v>
      </c>
      <c r="P154" t="inlineStr">
        <is>
          <t>18/03/2026</t>
        </is>
      </c>
      <c r="Q154" t="inlineStr">
        <is>
          <t>CD</t>
        </is>
      </c>
      <c r="R154" t="n">
        <v>564</v>
      </c>
      <c r="S154" t="n">
        <v>874</v>
      </c>
      <c r="T154" t="n">
        <v>1</v>
      </c>
    </row>
    <row r="155">
      <c r="O155" t="n">
        <v>154</v>
      </c>
      <c r="P155" t="inlineStr">
        <is>
          <t>19/03/2026</t>
        </is>
      </c>
      <c r="Q155" t="inlineStr">
        <is>
          <t>CN</t>
        </is>
      </c>
      <c r="R155" t="n">
        <v>611</v>
      </c>
      <c r="S155" t="n">
        <v>8</v>
      </c>
      <c r="T155" t="n">
        <v>309</v>
      </c>
    </row>
    <row r="156">
      <c r="O156" t="n">
        <v>155</v>
      </c>
      <c r="P156" t="inlineStr">
        <is>
          <t>19/03/2026</t>
        </is>
      </c>
      <c r="Q156" t="inlineStr">
        <is>
          <t>CD</t>
        </is>
      </c>
      <c r="R156" t="n">
        <v>508</v>
      </c>
      <c r="S156" t="n">
        <v>931</v>
      </c>
      <c r="T156" t="n">
        <v>1</v>
      </c>
    </row>
    <row r="157">
      <c r="O157" t="n">
        <v>156</v>
      </c>
      <c r="P157" t="inlineStr">
        <is>
          <t>20/03/2026</t>
        </is>
      </c>
      <c r="Q157" t="inlineStr">
        <is>
          <t>CN</t>
        </is>
      </c>
      <c r="R157" t="n">
        <v>759</v>
      </c>
      <c r="S157" t="n">
        <v>680</v>
      </c>
      <c r="T157" t="n">
        <v>1</v>
      </c>
    </row>
    <row r="158">
      <c r="O158" t="n">
        <v>157</v>
      </c>
      <c r="P158" t="inlineStr">
        <is>
          <t>20/03/2026</t>
        </is>
      </c>
      <c r="Q158" t="inlineStr">
        <is>
          <t>CD</t>
        </is>
      </c>
      <c r="R158" t="n">
        <v>535</v>
      </c>
      <c r="S158" t="n">
        <v>904</v>
      </c>
      <c r="T158" t="n">
        <v>1</v>
      </c>
    </row>
    <row r="159">
      <c r="O159" t="n">
        <v>158</v>
      </c>
      <c r="P159" t="inlineStr">
        <is>
          <t>21/03/2026</t>
        </is>
      </c>
      <c r="Q159" t="inlineStr">
        <is>
          <t>CN</t>
        </is>
      </c>
      <c r="R159" t="n">
        <v>1198</v>
      </c>
      <c r="S159" t="n">
        <v>0</v>
      </c>
      <c r="T159" t="n">
        <v>120</v>
      </c>
    </row>
    <row r="160">
      <c r="O160" t="n">
        <v>159</v>
      </c>
      <c r="P160" t="inlineStr">
        <is>
          <t>21/03/2026</t>
        </is>
      </c>
      <c r="Q160" t="inlineStr">
        <is>
          <t>CD</t>
        </is>
      </c>
      <c r="R160" t="n">
        <v>0</v>
      </c>
      <c r="S160" t="n">
        <v>0</v>
      </c>
      <c r="T160" t="n">
        <v>720</v>
      </c>
    </row>
    <row r="161">
      <c r="O161" t="n">
        <v>160</v>
      </c>
      <c r="P161" t="inlineStr">
        <is>
          <t>22/03/2026</t>
        </is>
      </c>
      <c r="Q161" t="inlineStr">
        <is>
          <t>CN</t>
        </is>
      </c>
      <c r="R161" t="n">
        <v>0</v>
      </c>
      <c r="S161" t="n">
        <v>0</v>
      </c>
      <c r="T161" t="n">
        <v>720</v>
      </c>
    </row>
    <row r="162">
      <c r="O162" t="n">
        <v>161</v>
      </c>
      <c r="P162" t="inlineStr">
        <is>
          <t>22/03/2026</t>
        </is>
      </c>
      <c r="Q162" t="inlineStr">
        <is>
          <t>CD</t>
        </is>
      </c>
      <c r="R162" t="n">
        <v>0</v>
      </c>
      <c r="S162" t="n">
        <v>0</v>
      </c>
      <c r="T162" t="n">
        <v>720</v>
      </c>
    </row>
    <row r="163">
      <c r="O163" t="n">
        <v>162</v>
      </c>
      <c r="P163" t="inlineStr">
        <is>
          <t>23/03/2026</t>
        </is>
      </c>
      <c r="Q163" t="inlineStr">
        <is>
          <t>CN</t>
        </is>
      </c>
      <c r="R163" t="n">
        <v>145</v>
      </c>
      <c r="S163" t="n">
        <v>257</v>
      </c>
      <c r="T163" t="n">
        <v>519</v>
      </c>
    </row>
    <row r="164">
      <c r="O164" t="n">
        <v>163</v>
      </c>
      <c r="P164" t="inlineStr">
        <is>
          <t>23/03/2026</t>
        </is>
      </c>
      <c r="Q164" t="inlineStr">
        <is>
          <t>CD</t>
        </is>
      </c>
      <c r="R164" t="n">
        <v>702</v>
      </c>
      <c r="S164" t="n">
        <v>738</v>
      </c>
      <c r="T164" t="n">
        <v>1</v>
      </c>
    </row>
    <row r="165">
      <c r="O165" t="n">
        <v>164</v>
      </c>
      <c r="P165" t="inlineStr">
        <is>
          <t>24/03/2026</t>
        </is>
      </c>
      <c r="Q165" t="inlineStr">
        <is>
          <t>CN</t>
        </is>
      </c>
      <c r="R165" t="n">
        <v>535</v>
      </c>
      <c r="S165" t="n">
        <v>15</v>
      </c>
      <c r="T165" t="n">
        <v>444</v>
      </c>
    </row>
    <row r="166">
      <c r="O166" t="n">
        <v>165</v>
      </c>
      <c r="P166" t="inlineStr">
        <is>
          <t>24/03/2026</t>
        </is>
      </c>
      <c r="Q166" t="inlineStr">
        <is>
          <t>CD</t>
        </is>
      </c>
      <c r="R166" t="n">
        <v>612</v>
      </c>
      <c r="S166" t="n">
        <v>828</v>
      </c>
      <c r="T166" t="n">
        <v>1</v>
      </c>
    </row>
    <row r="167">
      <c r="O167" t="n">
        <v>166</v>
      </c>
      <c r="P167" t="inlineStr">
        <is>
          <t>25/03/2026</t>
        </is>
      </c>
      <c r="Q167" t="inlineStr">
        <is>
          <t>CN</t>
        </is>
      </c>
      <c r="R167" t="n">
        <v>431</v>
      </c>
      <c r="S167" t="n">
        <v>0</v>
      </c>
      <c r="T167" t="n">
        <v>502</v>
      </c>
    </row>
    <row r="168">
      <c r="O168" t="n">
        <v>167</v>
      </c>
      <c r="P168" t="inlineStr">
        <is>
          <t>25/03/2026</t>
        </is>
      </c>
      <c r="Q168" t="inlineStr">
        <is>
          <t>CD</t>
        </is>
      </c>
      <c r="R168" t="n">
        <v>729</v>
      </c>
      <c r="S168" t="n">
        <v>711</v>
      </c>
      <c r="T168" t="n">
        <v>1</v>
      </c>
    </row>
    <row r="169">
      <c r="O169" t="n">
        <v>168</v>
      </c>
      <c r="P169" t="inlineStr">
        <is>
          <t>26/03/2026</t>
        </is>
      </c>
      <c r="Q169" t="inlineStr">
        <is>
          <t>CN</t>
        </is>
      </c>
      <c r="R169" t="n">
        <v>460</v>
      </c>
      <c r="S169" t="n">
        <v>0</v>
      </c>
      <c r="T169" t="n">
        <v>489</v>
      </c>
    </row>
    <row r="170">
      <c r="O170" t="n">
        <v>169</v>
      </c>
      <c r="P170" t="inlineStr">
        <is>
          <t>26/03/2026</t>
        </is>
      </c>
      <c r="Q170" t="inlineStr">
        <is>
          <t>CD</t>
        </is>
      </c>
      <c r="R170" t="n">
        <v>506</v>
      </c>
      <c r="S170" t="n">
        <v>932</v>
      </c>
      <c r="T170" t="n">
        <v>2</v>
      </c>
    </row>
    <row r="171">
      <c r="O171" t="n">
        <v>170</v>
      </c>
      <c r="P171" t="inlineStr">
        <is>
          <t>27/03/2026</t>
        </is>
      </c>
      <c r="Q171" t="inlineStr">
        <is>
          <t>CN</t>
        </is>
      </c>
      <c r="R171" t="n">
        <v>855</v>
      </c>
      <c r="S171" t="n">
        <v>0</v>
      </c>
      <c r="T171" t="n">
        <v>291</v>
      </c>
    </row>
    <row r="172">
      <c r="O172" t="n">
        <v>171</v>
      </c>
      <c r="P172" t="inlineStr">
        <is>
          <t>27/03/2026</t>
        </is>
      </c>
      <c r="Q172" t="inlineStr">
        <is>
          <t>CD</t>
        </is>
      </c>
      <c r="R172" t="n">
        <v>587</v>
      </c>
      <c r="S172" t="n">
        <v>693</v>
      </c>
      <c r="T172" t="n">
        <v>1</v>
      </c>
    </row>
    <row r="173">
      <c r="O173" t="n">
        <v>172</v>
      </c>
      <c r="P173" t="inlineStr">
        <is>
          <t>28/03/2026</t>
        </is>
      </c>
      <c r="Q173" t="inlineStr">
        <is>
          <t>CN</t>
        </is>
      </c>
      <c r="R173" t="n">
        <v>357</v>
      </c>
      <c r="S173" t="n">
        <v>0</v>
      </c>
      <c r="T173" t="n">
        <v>362</v>
      </c>
    </row>
    <row r="174">
      <c r="O174" t="n">
        <v>173</v>
      </c>
      <c r="P174" t="inlineStr">
        <is>
          <t>28/03/2026</t>
        </is>
      </c>
      <c r="Q174" t="inlineStr">
        <is>
          <t>CD</t>
        </is>
      </c>
      <c r="R174" t="n">
        <v>0</v>
      </c>
      <c r="S174" t="n">
        <v>0</v>
      </c>
      <c r="T174" t="n">
        <v>720</v>
      </c>
    </row>
    <row r="175">
      <c r="O175" t="n">
        <v>174</v>
      </c>
      <c r="P175" t="inlineStr">
        <is>
          <t>29/03/2026</t>
        </is>
      </c>
      <c r="Q175" t="inlineStr">
        <is>
          <t>CN</t>
        </is>
      </c>
      <c r="R175" t="n">
        <v>0</v>
      </c>
      <c r="S175" t="n">
        <v>0</v>
      </c>
      <c r="T175" t="n">
        <v>720</v>
      </c>
    </row>
    <row r="176">
      <c r="O176" t="n">
        <v>175</v>
      </c>
      <c r="P176" t="inlineStr">
        <is>
          <t>29/03/2026</t>
        </is>
      </c>
      <c r="Q176" t="inlineStr">
        <is>
          <t>CD</t>
        </is>
      </c>
      <c r="R176" t="n">
        <v>0</v>
      </c>
      <c r="S176" t="n">
        <v>0</v>
      </c>
      <c r="T176" t="n">
        <v>720</v>
      </c>
    </row>
    <row r="177">
      <c r="O177" t="n">
        <v>176</v>
      </c>
      <c r="P177" t="inlineStr">
        <is>
          <t>30/03/2026</t>
        </is>
      </c>
      <c r="Q177" t="inlineStr">
        <is>
          <t>CN</t>
        </is>
      </c>
      <c r="R177" t="n">
        <v>409</v>
      </c>
      <c r="S177" t="n">
        <v>617</v>
      </c>
      <c r="T177" t="n">
        <v>207</v>
      </c>
    </row>
    <row r="178">
      <c r="O178" t="n">
        <v>177</v>
      </c>
      <c r="P178" t="inlineStr">
        <is>
          <t>30/03/2026</t>
        </is>
      </c>
      <c r="Q178" t="inlineStr">
        <is>
          <t>CD</t>
        </is>
      </c>
      <c r="R178" t="n">
        <v>493</v>
      </c>
      <c r="S178" t="n">
        <v>946</v>
      </c>
      <c r="T178" t="n">
        <v>1</v>
      </c>
    </row>
    <row r="179">
      <c r="O179" t="n">
        <v>178</v>
      </c>
      <c r="P179" t="inlineStr">
        <is>
          <t>31/03/2026</t>
        </is>
      </c>
      <c r="Q179" t="inlineStr">
        <is>
          <t>CN</t>
        </is>
      </c>
      <c r="R179" t="n">
        <v>694</v>
      </c>
      <c r="S179" t="n">
        <v>746</v>
      </c>
      <c r="T179" t="n">
        <v>1</v>
      </c>
    </row>
    <row r="180">
      <c r="O180" t="n">
        <v>179</v>
      </c>
      <c r="P180" t="inlineStr">
        <is>
          <t>31/03/2026</t>
        </is>
      </c>
      <c r="Q180" t="inlineStr">
        <is>
          <t>CD</t>
        </is>
      </c>
      <c r="R180" t="n">
        <v>698</v>
      </c>
      <c r="S180" t="n">
        <v>742</v>
      </c>
      <c r="T180" t="n">
        <v>1</v>
      </c>
    </row>
    <row r="181">
      <c r="O181" t="n">
        <v>180</v>
      </c>
      <c r="P181" t="inlineStr">
        <is>
          <t>01/04/2026</t>
        </is>
      </c>
      <c r="Q181" t="inlineStr">
        <is>
          <t>CN</t>
        </is>
      </c>
      <c r="R181" t="n">
        <v>900</v>
      </c>
      <c r="S181" t="n">
        <v>540</v>
      </c>
      <c r="T181" t="n">
        <v>1</v>
      </c>
    </row>
    <row r="182">
      <c r="O182" t="n">
        <v>181</v>
      </c>
      <c r="P182" t="inlineStr">
        <is>
          <t>01/04/2026</t>
        </is>
      </c>
      <c r="Q182" t="inlineStr">
        <is>
          <t>CD</t>
        </is>
      </c>
      <c r="R182" t="n">
        <v>522</v>
      </c>
      <c r="S182" t="n">
        <v>918</v>
      </c>
      <c r="T182" t="n">
        <v>1</v>
      </c>
    </row>
    <row r="183">
      <c r="O183" t="n">
        <v>182</v>
      </c>
      <c r="P183" t="inlineStr">
        <is>
          <t>02/04/2026</t>
        </is>
      </c>
      <c r="Q183" t="inlineStr">
        <is>
          <t>CN</t>
        </is>
      </c>
      <c r="R183" t="n">
        <v>670</v>
      </c>
      <c r="S183" t="n">
        <v>769</v>
      </c>
      <c r="T183" t="n">
        <v>1</v>
      </c>
    </row>
    <row r="184">
      <c r="O184" t="n">
        <v>183</v>
      </c>
      <c r="P184" t="inlineStr">
        <is>
          <t>02/04/2026</t>
        </is>
      </c>
      <c r="Q184" t="inlineStr">
        <is>
          <t>CD</t>
        </is>
      </c>
      <c r="R184" t="n">
        <v>550</v>
      </c>
      <c r="S184" t="n">
        <v>889</v>
      </c>
      <c r="T184" t="n">
        <v>1</v>
      </c>
    </row>
    <row r="185">
      <c r="O185" t="n">
        <v>184</v>
      </c>
      <c r="P185" t="inlineStr">
        <is>
          <t>03/04/2026</t>
        </is>
      </c>
      <c r="Q185" t="inlineStr">
        <is>
          <t>CN</t>
        </is>
      </c>
      <c r="R185" t="n">
        <v>689</v>
      </c>
      <c r="S185" t="n">
        <v>750</v>
      </c>
      <c r="T185" t="n">
        <v>1</v>
      </c>
    </row>
    <row r="186">
      <c r="O186" t="n">
        <v>185</v>
      </c>
      <c r="P186" t="inlineStr">
        <is>
          <t>03/04/2026</t>
        </is>
      </c>
      <c r="Q186" t="inlineStr">
        <is>
          <t>CD</t>
        </is>
      </c>
      <c r="R186" t="n">
        <v>266</v>
      </c>
      <c r="S186" t="n">
        <v>852</v>
      </c>
      <c r="T186" t="n">
        <v>157</v>
      </c>
    </row>
    <row r="187">
      <c r="O187" t="n">
        <v>186</v>
      </c>
      <c r="P187" t="inlineStr">
        <is>
          <t>04/04/2026</t>
        </is>
      </c>
      <c r="Q187" t="inlineStr">
        <is>
          <t>CN</t>
        </is>
      </c>
      <c r="R187" t="n">
        <v>0</v>
      </c>
      <c r="S187" t="n">
        <v>0</v>
      </c>
      <c r="T187" t="n">
        <v>720</v>
      </c>
    </row>
    <row r="188">
      <c r="O188" t="n">
        <v>187</v>
      </c>
      <c r="P188" t="inlineStr">
        <is>
          <t>04/04/2026</t>
        </is>
      </c>
      <c r="Q188" t="inlineStr">
        <is>
          <t>CD</t>
        </is>
      </c>
      <c r="R188" t="n">
        <v>0</v>
      </c>
      <c r="S188" t="n">
        <v>0</v>
      </c>
      <c r="T188" t="n">
        <v>720</v>
      </c>
    </row>
    <row r="189">
      <c r="O189" t="n">
        <v>188</v>
      </c>
      <c r="P189" t="inlineStr">
        <is>
          <t>05/04/2026</t>
        </is>
      </c>
      <c r="Q189" t="inlineStr">
        <is>
          <t>CN</t>
        </is>
      </c>
      <c r="R189" t="n">
        <v>0</v>
      </c>
      <c r="S189" t="n">
        <v>0</v>
      </c>
      <c r="T189" t="n">
        <v>720</v>
      </c>
    </row>
    <row r="190">
      <c r="O190" t="n">
        <v>189</v>
      </c>
      <c r="P190" t="inlineStr">
        <is>
          <t>05/04/2026</t>
        </is>
      </c>
      <c r="Q190" t="inlineStr">
        <is>
          <t>CD</t>
        </is>
      </c>
      <c r="R190" t="n">
        <v>0</v>
      </c>
      <c r="S190" t="n">
        <v>0</v>
      </c>
      <c r="T190" t="n">
        <v>720</v>
      </c>
    </row>
    <row r="191">
      <c r="O191" t="n">
        <v>190</v>
      </c>
      <c r="P191" t="inlineStr">
        <is>
          <t>06/04/2026</t>
        </is>
      </c>
      <c r="Q191" t="inlineStr">
        <is>
          <t>CN</t>
        </is>
      </c>
      <c r="R191" t="n">
        <v>339</v>
      </c>
      <c r="S191" t="n">
        <v>670</v>
      </c>
      <c r="T191" t="n">
        <v>225</v>
      </c>
    </row>
    <row r="192">
      <c r="O192" t="n">
        <v>191</v>
      </c>
      <c r="P192" t="inlineStr">
        <is>
          <t>06/04/2026</t>
        </is>
      </c>
      <c r="Q192" t="inlineStr">
        <is>
          <t>CD</t>
        </is>
      </c>
      <c r="R192" t="n">
        <v>790</v>
      </c>
      <c r="S192" t="n">
        <v>650</v>
      </c>
      <c r="T192" t="n">
        <v>1</v>
      </c>
    </row>
    <row r="193">
      <c r="O193" t="n">
        <v>192</v>
      </c>
      <c r="P193" t="inlineStr">
        <is>
          <t>07/04/2026</t>
        </is>
      </c>
      <c r="Q193" t="inlineStr">
        <is>
          <t>CN</t>
        </is>
      </c>
      <c r="R193" t="n">
        <v>776</v>
      </c>
      <c r="S193" t="n">
        <v>495</v>
      </c>
      <c r="T193" t="n">
        <v>169</v>
      </c>
    </row>
    <row r="194">
      <c r="O194" t="n">
        <v>193</v>
      </c>
      <c r="P194" t="inlineStr">
        <is>
          <t>07/04/2026</t>
        </is>
      </c>
      <c r="Q194" t="inlineStr">
        <is>
          <t>CD</t>
        </is>
      </c>
      <c r="R194" t="n">
        <v>765</v>
      </c>
      <c r="S194" t="n">
        <v>675</v>
      </c>
      <c r="T194" t="n">
        <v>1</v>
      </c>
    </row>
    <row r="195">
      <c r="O195" t="n">
        <v>194</v>
      </c>
      <c r="P195" t="inlineStr">
        <is>
          <t>08/04/2026</t>
        </is>
      </c>
      <c r="Q195" t="inlineStr">
        <is>
          <t>CN</t>
        </is>
      </c>
      <c r="R195" t="n">
        <v>736</v>
      </c>
      <c r="S195" t="n">
        <v>702</v>
      </c>
      <c r="T195" t="n">
        <v>1</v>
      </c>
    </row>
    <row r="196">
      <c r="O196" t="n">
        <v>195</v>
      </c>
      <c r="P196" t="inlineStr">
        <is>
          <t>08/04/2026</t>
        </is>
      </c>
      <c r="Q196" t="inlineStr">
        <is>
          <t>CD</t>
        </is>
      </c>
      <c r="R196" t="n">
        <v>672</v>
      </c>
      <c r="S196" t="n">
        <v>767</v>
      </c>
      <c r="T196" t="n">
        <v>1</v>
      </c>
    </row>
    <row r="197">
      <c r="O197" t="n">
        <v>196</v>
      </c>
      <c r="P197" t="inlineStr">
        <is>
          <t>09/04/2026</t>
        </is>
      </c>
      <c r="Q197" t="inlineStr">
        <is>
          <t>CN</t>
        </is>
      </c>
      <c r="R197" t="n">
        <v>686</v>
      </c>
      <c r="S197" t="n">
        <v>753</v>
      </c>
      <c r="T197" t="n">
        <v>1</v>
      </c>
    </row>
    <row r="198">
      <c r="O198" t="n">
        <v>197</v>
      </c>
      <c r="P198" t="inlineStr">
        <is>
          <t>09/04/2026</t>
        </is>
      </c>
      <c r="Q198" t="inlineStr">
        <is>
          <t>CD</t>
        </is>
      </c>
      <c r="R198" t="n">
        <v>559</v>
      </c>
      <c r="S198" t="n">
        <v>880</v>
      </c>
      <c r="T198" t="n">
        <v>1</v>
      </c>
    </row>
    <row r="199">
      <c r="O199" t="n">
        <v>198</v>
      </c>
      <c r="P199" t="inlineStr">
        <is>
          <t>10/04/2026</t>
        </is>
      </c>
      <c r="Q199" t="inlineStr">
        <is>
          <t>CN</t>
        </is>
      </c>
      <c r="R199" t="n">
        <v>703</v>
      </c>
      <c r="S199" t="n">
        <v>736</v>
      </c>
      <c r="T199" t="n">
        <v>1</v>
      </c>
    </row>
    <row r="200">
      <c r="O200" t="n">
        <v>199</v>
      </c>
      <c r="P200" t="inlineStr">
        <is>
          <t>10/04/2026</t>
        </is>
      </c>
      <c r="Q200" t="inlineStr">
        <is>
          <t>CD</t>
        </is>
      </c>
      <c r="R200" t="n">
        <v>455</v>
      </c>
      <c r="S200" t="n">
        <v>666</v>
      </c>
      <c r="T200" t="n">
        <v>155</v>
      </c>
    </row>
    <row r="201">
      <c r="O201" t="n">
        <v>200</v>
      </c>
      <c r="P201" t="inlineStr">
        <is>
          <t>11/04/2026</t>
        </is>
      </c>
      <c r="Q201" t="inlineStr">
        <is>
          <t>CN</t>
        </is>
      </c>
      <c r="R201" t="n">
        <v>0</v>
      </c>
      <c r="S201" t="n">
        <v>0</v>
      </c>
      <c r="T201" t="n">
        <v>720</v>
      </c>
    </row>
    <row r="202">
      <c r="O202" t="n">
        <v>201</v>
      </c>
      <c r="P202" t="inlineStr">
        <is>
          <t>11/04/2026</t>
        </is>
      </c>
      <c r="Q202" t="inlineStr">
        <is>
          <t>CD</t>
        </is>
      </c>
      <c r="R202" t="n">
        <v>0</v>
      </c>
      <c r="S202" t="n">
        <v>0</v>
      </c>
      <c r="T202" t="n">
        <v>720</v>
      </c>
    </row>
    <row r="203">
      <c r="O203" t="n">
        <v>202</v>
      </c>
      <c r="P203" t="inlineStr">
        <is>
          <t>12/04/2026</t>
        </is>
      </c>
      <c r="Q203" t="inlineStr">
        <is>
          <t>CN</t>
        </is>
      </c>
      <c r="R203" t="n">
        <v>0</v>
      </c>
      <c r="S203" t="n">
        <v>0</v>
      </c>
      <c r="T203" t="n">
        <v>720</v>
      </c>
    </row>
    <row r="204">
      <c r="O204" t="n">
        <v>203</v>
      </c>
      <c r="P204" t="inlineStr">
        <is>
          <t>12/04/2026</t>
        </is>
      </c>
      <c r="Q204" t="inlineStr">
        <is>
          <t>CD</t>
        </is>
      </c>
      <c r="R204" t="n">
        <v>0</v>
      </c>
      <c r="S204" t="n">
        <v>0</v>
      </c>
      <c r="T204" t="n">
        <v>720</v>
      </c>
    </row>
    <row r="205">
      <c r="O205" t="n">
        <v>204</v>
      </c>
      <c r="P205" t="inlineStr">
        <is>
          <t>13/04/2026</t>
        </is>
      </c>
      <c r="Q205" t="inlineStr">
        <is>
          <t>CN</t>
        </is>
      </c>
      <c r="R205" t="n">
        <v>497</v>
      </c>
      <c r="S205" t="n">
        <v>533</v>
      </c>
      <c r="T205" t="n">
        <v>205</v>
      </c>
    </row>
    <row r="206">
      <c r="O206" t="n">
        <v>205</v>
      </c>
      <c r="P206" t="inlineStr">
        <is>
          <t>13/04/2026</t>
        </is>
      </c>
      <c r="Q206" t="inlineStr">
        <is>
          <t>CD</t>
        </is>
      </c>
      <c r="R206" t="n">
        <v>513</v>
      </c>
      <c r="S206" t="n">
        <v>926</v>
      </c>
      <c r="T206" t="n">
        <v>1</v>
      </c>
    </row>
    <row r="207">
      <c r="O207" t="n">
        <v>206</v>
      </c>
      <c r="P207" t="inlineStr">
        <is>
          <t>14/04/2026</t>
        </is>
      </c>
      <c r="Q207" t="inlineStr">
        <is>
          <t>CN</t>
        </is>
      </c>
      <c r="R207" t="n">
        <v>804</v>
      </c>
      <c r="S207" t="n">
        <v>636</v>
      </c>
      <c r="T207" t="n">
        <v>1</v>
      </c>
    </row>
    <row r="208">
      <c r="O208" t="n">
        <v>207</v>
      </c>
      <c r="P208" t="inlineStr">
        <is>
          <t>14/04/2026</t>
        </is>
      </c>
      <c r="Q208" t="inlineStr">
        <is>
          <t>CD</t>
        </is>
      </c>
      <c r="R208" t="n">
        <v>422</v>
      </c>
      <c r="S208" t="n">
        <v>1018</v>
      </c>
      <c r="T208" t="n">
        <v>1</v>
      </c>
    </row>
    <row r="209">
      <c r="O209" t="n">
        <v>208</v>
      </c>
      <c r="P209" t="inlineStr">
        <is>
          <t>15/04/2026</t>
        </is>
      </c>
      <c r="Q209" t="inlineStr">
        <is>
          <t>CN</t>
        </is>
      </c>
      <c r="R209" t="n">
        <v>767</v>
      </c>
      <c r="S209" t="n">
        <v>671</v>
      </c>
      <c r="T209" t="n">
        <v>1</v>
      </c>
    </row>
    <row r="210">
      <c r="O210" t="n">
        <v>209</v>
      </c>
      <c r="P210" t="inlineStr">
        <is>
          <t>15/04/2026</t>
        </is>
      </c>
      <c r="Q210" t="inlineStr">
        <is>
          <t>CD</t>
        </is>
      </c>
      <c r="R210" t="n">
        <v>544</v>
      </c>
      <c r="S210" t="n">
        <v>895</v>
      </c>
      <c r="T210" t="n">
        <v>1</v>
      </c>
    </row>
    <row r="211">
      <c r="O211" t="n">
        <v>210</v>
      </c>
      <c r="P211" t="inlineStr">
        <is>
          <t>16/04/2026</t>
        </is>
      </c>
      <c r="Q211" t="inlineStr">
        <is>
          <t>CN</t>
        </is>
      </c>
      <c r="R211" t="n">
        <v>828</v>
      </c>
      <c r="S211" t="n">
        <v>610</v>
      </c>
      <c r="T211" t="n">
        <v>1</v>
      </c>
    </row>
    <row r="212">
      <c r="O212" t="n">
        <v>211</v>
      </c>
      <c r="P212" t="inlineStr">
        <is>
          <t>16/04/2026</t>
        </is>
      </c>
      <c r="Q212" t="inlineStr">
        <is>
          <t>CD</t>
        </is>
      </c>
      <c r="R212" t="n">
        <v>455</v>
      </c>
      <c r="S212" t="n">
        <v>984</v>
      </c>
      <c r="T212" t="n">
        <v>1</v>
      </c>
    </row>
    <row r="213">
      <c r="O213" t="n">
        <v>212</v>
      </c>
      <c r="P213" t="inlineStr">
        <is>
          <t>17/04/2026</t>
        </is>
      </c>
      <c r="Q213" t="inlineStr">
        <is>
          <t>CN</t>
        </is>
      </c>
      <c r="R213" t="n">
        <v>709</v>
      </c>
      <c r="S213" t="n">
        <v>731</v>
      </c>
      <c r="T213" t="n">
        <v>1</v>
      </c>
    </row>
    <row r="214">
      <c r="O214" t="n">
        <v>213</v>
      </c>
      <c r="P214" t="inlineStr">
        <is>
          <t>17/04/2026</t>
        </is>
      </c>
      <c r="Q214" t="inlineStr">
        <is>
          <t>CD</t>
        </is>
      </c>
      <c r="R214" t="n">
        <v>352</v>
      </c>
      <c r="S214" t="n">
        <v>761</v>
      </c>
      <c r="T214" t="n">
        <v>164</v>
      </c>
    </row>
    <row r="215">
      <c r="O215" t="n">
        <v>214</v>
      </c>
      <c r="P215" t="inlineStr">
        <is>
          <t>18/04/2026</t>
        </is>
      </c>
      <c r="Q215" t="inlineStr">
        <is>
          <t>CN</t>
        </is>
      </c>
      <c r="R215" t="n">
        <v>0</v>
      </c>
      <c r="S215" t="n">
        <v>0</v>
      </c>
      <c r="T215" t="n">
        <v>720</v>
      </c>
    </row>
    <row r="216">
      <c r="O216" t="n">
        <v>215</v>
      </c>
      <c r="P216" t="inlineStr">
        <is>
          <t>18/04/2026</t>
        </is>
      </c>
      <c r="Q216" t="inlineStr">
        <is>
          <t>CD</t>
        </is>
      </c>
      <c r="R216" t="n">
        <v>0</v>
      </c>
      <c r="S216" t="n">
        <v>0</v>
      </c>
      <c r="T216" t="n">
        <v>720</v>
      </c>
    </row>
    <row r="217">
      <c r="O217" t="n">
        <v>216</v>
      </c>
      <c r="P217" t="inlineStr">
        <is>
          <t>19/04/2026</t>
        </is>
      </c>
      <c r="Q217" t="inlineStr">
        <is>
          <t>CN</t>
        </is>
      </c>
      <c r="R217" t="n">
        <v>0</v>
      </c>
      <c r="S217" t="n">
        <v>0</v>
      </c>
      <c r="T217" t="n">
        <v>720</v>
      </c>
    </row>
    <row r="218">
      <c r="O218" t="n">
        <v>217</v>
      </c>
      <c r="P218" t="inlineStr">
        <is>
          <t>19/04/2026</t>
        </is>
      </c>
      <c r="Q218" t="inlineStr">
        <is>
          <t>CD</t>
        </is>
      </c>
      <c r="R218" t="n">
        <v>0</v>
      </c>
      <c r="S218" t="n">
        <v>0</v>
      </c>
      <c r="T218" t="n">
        <v>720</v>
      </c>
    </row>
    <row r="219">
      <c r="O219" t="n">
        <v>218</v>
      </c>
      <c r="P219" t="inlineStr">
        <is>
          <t>20/04/2026</t>
        </is>
      </c>
      <c r="Q219" t="inlineStr">
        <is>
          <t>CN</t>
        </is>
      </c>
      <c r="R219" t="n">
        <v>253</v>
      </c>
      <c r="S219" t="n">
        <v>778</v>
      </c>
      <c r="T219" t="n">
        <v>205</v>
      </c>
    </row>
    <row r="220">
      <c r="O220" t="n">
        <v>219</v>
      </c>
      <c r="P220" t="inlineStr">
        <is>
          <t>20/04/2026</t>
        </is>
      </c>
      <c r="Q220" t="inlineStr">
        <is>
          <t>CD</t>
        </is>
      </c>
      <c r="R220" t="n">
        <v>821</v>
      </c>
      <c r="S220" t="n">
        <v>617</v>
      </c>
      <c r="T220" t="n">
        <v>1</v>
      </c>
    </row>
    <row r="221">
      <c r="O221" t="n">
        <v>220</v>
      </c>
      <c r="P221" t="inlineStr">
        <is>
          <t>21/04/2026</t>
        </is>
      </c>
      <c r="Q221" t="inlineStr">
        <is>
          <t>CN</t>
        </is>
      </c>
      <c r="R221" t="n">
        <v>741</v>
      </c>
      <c r="S221" t="n">
        <v>697</v>
      </c>
      <c r="T221" t="n">
        <v>1</v>
      </c>
    </row>
    <row r="222">
      <c r="O222" t="n">
        <v>221</v>
      </c>
      <c r="P222" t="inlineStr">
        <is>
          <t>21/04/2026</t>
        </is>
      </c>
      <c r="Q222" t="inlineStr">
        <is>
          <t>CD</t>
        </is>
      </c>
      <c r="R222" t="n">
        <v>789</v>
      </c>
      <c r="S222" t="n">
        <v>651</v>
      </c>
      <c r="T222" t="n">
        <v>1</v>
      </c>
    </row>
    <row r="223">
      <c r="O223" t="n">
        <v>222</v>
      </c>
      <c r="P223" t="inlineStr">
        <is>
          <t>22/04/2026</t>
        </is>
      </c>
      <c r="Q223" t="inlineStr">
        <is>
          <t>CN</t>
        </is>
      </c>
      <c r="R223" t="n">
        <v>731</v>
      </c>
      <c r="S223" t="n">
        <v>708</v>
      </c>
      <c r="T223" t="n">
        <v>1</v>
      </c>
    </row>
    <row r="224">
      <c r="O224" t="n">
        <v>223</v>
      </c>
      <c r="P224" t="inlineStr">
        <is>
          <t>22/04/2026</t>
        </is>
      </c>
      <c r="Q224" t="inlineStr">
        <is>
          <t>CD</t>
        </is>
      </c>
      <c r="R224" t="n">
        <v>612</v>
      </c>
      <c r="S224" t="n">
        <v>828</v>
      </c>
      <c r="T224" t="n">
        <v>1</v>
      </c>
    </row>
    <row r="225">
      <c r="O225" t="n">
        <v>224</v>
      </c>
      <c r="P225" t="inlineStr">
        <is>
          <t>23/04/2026</t>
        </is>
      </c>
      <c r="Q225" t="inlineStr">
        <is>
          <t>CN</t>
        </is>
      </c>
      <c r="R225" t="n">
        <v>638</v>
      </c>
      <c r="S225" t="n">
        <v>801</v>
      </c>
      <c r="T225" t="n">
        <v>1</v>
      </c>
    </row>
    <row r="226">
      <c r="O226" t="n">
        <v>225</v>
      </c>
      <c r="P226" t="inlineStr">
        <is>
          <t>23/04/2026</t>
        </is>
      </c>
      <c r="Q226" t="inlineStr">
        <is>
          <t>CD</t>
        </is>
      </c>
      <c r="R226" t="n">
        <v>727</v>
      </c>
      <c r="S226" t="n">
        <v>713</v>
      </c>
      <c r="T226" t="n">
        <v>1</v>
      </c>
    </row>
    <row r="227">
      <c r="O227" t="n">
        <v>226</v>
      </c>
      <c r="P227" t="inlineStr">
        <is>
          <t>24/04/2026</t>
        </is>
      </c>
      <c r="Q227" t="inlineStr">
        <is>
          <t>CN</t>
        </is>
      </c>
      <c r="R227" t="n">
        <v>751</v>
      </c>
      <c r="S227" t="n">
        <v>688</v>
      </c>
      <c r="T227" t="n">
        <v>1</v>
      </c>
    </row>
    <row r="228">
      <c r="O228" t="n">
        <v>227</v>
      </c>
      <c r="P228" t="inlineStr">
        <is>
          <t>24/04/2026</t>
        </is>
      </c>
      <c r="Q228" t="inlineStr">
        <is>
          <t>CD</t>
        </is>
      </c>
      <c r="R228" t="n">
        <v>385</v>
      </c>
      <c r="S228" t="n">
        <v>744</v>
      </c>
      <c r="T228" t="n">
        <v>155</v>
      </c>
    </row>
    <row r="229">
      <c r="O229" t="n">
        <v>228</v>
      </c>
      <c r="P229" t="inlineStr">
        <is>
          <t>25/04/2026</t>
        </is>
      </c>
      <c r="Q229" t="inlineStr">
        <is>
          <t>CN</t>
        </is>
      </c>
      <c r="R229" t="n">
        <v>0</v>
      </c>
      <c r="S229" t="n">
        <v>0</v>
      </c>
      <c r="T229" t="n">
        <v>720</v>
      </c>
    </row>
    <row r="230">
      <c r="O230" t="n">
        <v>229</v>
      </c>
      <c r="P230" t="inlineStr">
        <is>
          <t>25/04/2026</t>
        </is>
      </c>
      <c r="Q230" t="inlineStr">
        <is>
          <t>CD</t>
        </is>
      </c>
      <c r="R230" t="n">
        <v>0</v>
      </c>
      <c r="S230" t="n">
        <v>0</v>
      </c>
      <c r="T230" t="n">
        <v>720</v>
      </c>
    </row>
    <row r="231">
      <c r="O231" t="n">
        <v>230</v>
      </c>
      <c r="P231" t="inlineStr">
        <is>
          <t>26/04/2026</t>
        </is>
      </c>
      <c r="Q231" t="inlineStr">
        <is>
          <t>CN</t>
        </is>
      </c>
      <c r="R231" t="n">
        <v>0</v>
      </c>
      <c r="S231" t="n">
        <v>0</v>
      </c>
      <c r="T231" t="n">
        <v>720</v>
      </c>
    </row>
    <row r="232">
      <c r="O232" t="n">
        <v>231</v>
      </c>
      <c r="P232" t="inlineStr">
        <is>
          <t>26/04/2026</t>
        </is>
      </c>
      <c r="Q232" t="inlineStr">
        <is>
          <t>CD</t>
        </is>
      </c>
      <c r="R232" t="n">
        <v>0</v>
      </c>
      <c r="S232" t="n">
        <v>0</v>
      </c>
      <c r="T232" t="n">
        <v>720</v>
      </c>
    </row>
    <row r="233">
      <c r="O233" t="n">
        <v>232</v>
      </c>
      <c r="P233" t="inlineStr">
        <is>
          <t>27/04/2026</t>
        </is>
      </c>
      <c r="Q233" t="inlineStr">
        <is>
          <t>CN</t>
        </is>
      </c>
      <c r="R233" t="n">
        <v>310</v>
      </c>
      <c r="S233" t="n">
        <v>723</v>
      </c>
      <c r="T233" t="n">
        <v>204</v>
      </c>
    </row>
    <row r="234">
      <c r="O234" t="n">
        <v>233</v>
      </c>
      <c r="P234" t="inlineStr">
        <is>
          <t>27/04/2026</t>
        </is>
      </c>
      <c r="Q234" t="inlineStr">
        <is>
          <t>CD</t>
        </is>
      </c>
      <c r="R234" t="n">
        <v>498</v>
      </c>
      <c r="S234" t="n">
        <v>941</v>
      </c>
      <c r="T234" t="n">
        <v>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T233"/>
  <sheetViews>
    <sheetView topLeftCell="E1" workbookViewId="0">
      <selection activeCell="I2" sqref="I2:J75"/>
    </sheetView>
  </sheetViews>
  <sheetFormatPr baseColWidth="8" defaultRowHeight="14.75"/>
  <cols>
    <col width="3" bestFit="1" customWidth="1" min="1" max="1"/>
    <col width="10.86328125" bestFit="1" customWidth="1" min="2" max="3"/>
    <col width="34.08984375" bestFit="1" customWidth="1" min="4" max="4"/>
    <col width="30.54296875" bestFit="1" customWidth="1" min="5" max="5"/>
    <col width="22.6796875" bestFit="1" customWidth="1" min="6" max="6"/>
    <col width="11.6796875" bestFit="1" customWidth="1" min="9" max="10"/>
    <col width="8.31640625" bestFit="1" customWidth="1" min="11" max="11"/>
    <col width="11.54296875" bestFit="1" customWidth="1" min="12" max="12"/>
    <col width="10" bestFit="1" customWidth="1" min="13" max="13"/>
    <col width="9.86328125" bestFit="1" customWidth="1" min="23" max="23"/>
  </cols>
  <sheetData>
    <row r="1" customFormat="1" s="2">
      <c r="A1" s="3" t="inlineStr">
        <is>
          <t>ID</t>
        </is>
      </c>
      <c r="B1" s="3" t="inlineStr">
        <is>
          <t>Ngày tháng</t>
        </is>
      </c>
      <c r="C1" s="3" t="inlineStr">
        <is>
          <t>Ca làm việc</t>
        </is>
      </c>
      <c r="D1" s="3" t="inlineStr">
        <is>
          <t>Thời gian hoạt động không tải (phút)</t>
        </is>
      </c>
      <c r="E1" s="3" t="inlineStr">
        <is>
          <t>Thời gian hoạt động có tải (phút)</t>
        </is>
      </c>
      <c r="F1" s="3" t="inlineStr">
        <is>
          <t>Thời gian tắt máy (phút)</t>
        </is>
      </c>
      <c r="H1" s="3" t="inlineStr">
        <is>
          <t>Ngày - Ca</t>
        </is>
      </c>
      <c r="I1" s="3" t="inlineStr">
        <is>
          <t>Mục Tiêu C1</t>
        </is>
      </c>
      <c r="J1" s="3" t="inlineStr">
        <is>
          <t>Mục Tiêu C2</t>
        </is>
      </c>
      <c r="K1" s="3" t="inlineStr">
        <is>
          <t>% Có Tải</t>
        </is>
      </c>
      <c r="L1" s="3" t="inlineStr">
        <is>
          <t>% Không Tải</t>
        </is>
      </c>
      <c r="M1" s="3" t="inlineStr">
        <is>
          <t>% Tắt Máy</t>
        </is>
      </c>
    </row>
    <row r="2">
      <c r="A2" t="n">
        <v>1</v>
      </c>
      <c r="B2" t="inlineStr">
        <is>
          <t>01/04/2026</t>
        </is>
      </c>
      <c r="C2" t="inlineStr">
        <is>
          <t>CN</t>
        </is>
      </c>
      <c r="D2" t="n">
        <v>1877</v>
      </c>
      <c r="E2" t="n">
        <v>1700</v>
      </c>
      <c r="F2" t="n">
        <v>1450</v>
      </c>
      <c r="H2" t="inlineStr">
        <is>
          <t>T1</t>
        </is>
      </c>
      <c r="I2" s="1" t="n">
        <v>0.35</v>
      </c>
      <c r="J2" s="1" t="n">
        <v>0.4941176470588236</v>
      </c>
      <c r="K2" s="1">
        <f>IFERROR(SUMIFS(S:S,P:P,"*/01/2026")/(SUMIFS(R:R,P:P,"*/01/2026")+SUMIFS(S:S,P:P,"*/01/2026")+SUMIFS(T:T,P:P,"*/01/2026")),"")</f>
        <v/>
      </c>
      <c r="L2" s="1">
        <f>IFERROR(SUMIFS(R:R,P:P,"*/01/2026")/(SUMIFS(R:R,P:P,"*/01/2026")+SUMIFS(S:S,P:P,"*/01/2026")+SUMIFS(T:T,P:P,"*/01/2026")),"")</f>
        <v/>
      </c>
      <c r="M2" s="1">
        <f>IFERROR(SUMIFS(T:T,P:P,"*/01/2026")/(SUMIFS(R:R,P:P,"*/01/2026")+SUMIFS(S:S,P:P,"*/01/2026")+SUMIFS(T:T,P:P,"*/01/2026")),"")</f>
        <v/>
      </c>
      <c r="O2" t="n">
        <v>1</v>
      </c>
      <c r="P2" t="inlineStr">
        <is>
          <t>01/01/2026</t>
        </is>
      </c>
      <c r="Q2" t="inlineStr">
        <is>
          <t>CN</t>
        </is>
      </c>
      <c r="R2" t="n">
        <v>0</v>
      </c>
      <c r="S2" t="n">
        <v>0</v>
      </c>
      <c r="T2" t="n">
        <v>5040</v>
      </c>
    </row>
    <row r="3">
      <c r="A3" t="n">
        <v>2</v>
      </c>
      <c r="B3" t="inlineStr">
        <is>
          <t>01/04/2026</t>
        </is>
      </c>
      <c r="C3" t="inlineStr">
        <is>
          <t>CD</t>
        </is>
      </c>
      <c r="D3" t="n">
        <v>2012</v>
      </c>
      <c r="E3" t="n">
        <v>1900</v>
      </c>
      <c r="F3" t="n">
        <v>1114</v>
      </c>
      <c r="H3" t="inlineStr">
        <is>
          <t>T2</t>
        </is>
      </c>
      <c r="I3" s="1" t="n">
        <v>0.35</v>
      </c>
      <c r="J3" s="1" t="n">
        <v>0.4941176470588236</v>
      </c>
      <c r="K3" s="1">
        <f>IFERROR(SUMIFS(S:S,P:P,"*/02/2026")/(SUMIFS(R:R,P:P,"*/02/2026")+SUMIFS(S:S,P:P,"*/02/2026")+SUMIFS(T:T,P:P,"*/02/2026")),"")</f>
        <v/>
      </c>
      <c r="L3" s="1">
        <f>IFERROR(SUMIFS(R:R,P:P,"*/02/2026")/(SUMIFS(R:R,P:P,"*/02/2026")+SUMIFS(S:S,P:P,"*/02/2026")+SUMIFS(T:T,P:P,"*/02/2026")),"")</f>
        <v/>
      </c>
      <c r="M3" s="1">
        <f>IFERROR(SUMIFS(T:T,P:P,"*/02/2026")/(SUMIFS(R:R,P:P,"*/02/2026")+SUMIFS(S:S,P:P,"*/02/2026")+SUMIFS(T:T,P:P,"*/02/2026")),"")</f>
        <v/>
      </c>
      <c r="O3" t="n">
        <v>2</v>
      </c>
      <c r="P3" t="inlineStr">
        <is>
          <t>01/01/2026</t>
        </is>
      </c>
      <c r="Q3" t="inlineStr">
        <is>
          <t>CD</t>
        </is>
      </c>
      <c r="R3" t="n">
        <v>302</v>
      </c>
      <c r="S3" t="n">
        <v>165</v>
      </c>
      <c r="T3" t="n">
        <v>4563</v>
      </c>
    </row>
    <row r="4">
      <c r="A4" t="n">
        <v>3</v>
      </c>
      <c r="B4" t="inlineStr">
        <is>
          <t>02/04/2026</t>
        </is>
      </c>
      <c r="C4" t="inlineStr">
        <is>
          <t>CN</t>
        </is>
      </c>
      <c r="D4" t="n">
        <v>1754</v>
      </c>
      <c r="E4" t="n">
        <v>1782</v>
      </c>
      <c r="F4" t="n">
        <v>1489</v>
      </c>
      <c r="H4" t="inlineStr">
        <is>
          <t>T3</t>
        </is>
      </c>
      <c r="I4" s="1" t="n">
        <v>0.35</v>
      </c>
      <c r="J4" s="1" t="n">
        <v>0.4941176470588236</v>
      </c>
      <c r="K4" s="1">
        <f>IFERROR(SUMIFS(S:S,P:P,"*/03/2026")/(SUMIFS(R:R,P:P,"*/03/2026")+SUMIFS(S:S,P:P,"*/03/2026")+SUMIFS(T:T,P:P,"*/03/2026")),"")</f>
        <v/>
      </c>
      <c r="L4" s="1">
        <f>IFERROR(SUMIFS(R:R,P:P,"*/03/2026")/(SUMIFS(R:R,P:P,"*/03/2026")+SUMIFS(S:S,P:P,"*/03/2026")+SUMIFS(T:T,P:P,"*/03/2026")),"")</f>
        <v/>
      </c>
      <c r="M4" s="1">
        <f>IFERROR(SUMIFS(T:T,P:P,"*/03/2026")/(SUMIFS(R:R,P:P,"*/03/2026")+SUMIFS(S:S,P:P,"*/03/2026")+SUMIFS(T:T,P:P,"*/03/2026")),"")</f>
        <v/>
      </c>
      <c r="O4" t="n">
        <v>3</v>
      </c>
      <c r="P4" t="inlineStr">
        <is>
          <t>02/01/2026</t>
        </is>
      </c>
      <c r="Q4" t="inlineStr">
        <is>
          <t>CN</t>
        </is>
      </c>
      <c r="R4" t="n">
        <v>2503</v>
      </c>
      <c r="S4" t="n">
        <v>2519</v>
      </c>
      <c r="T4" t="n">
        <v>0</v>
      </c>
    </row>
    <row r="5">
      <c r="A5" t="n">
        <v>4</v>
      </c>
      <c r="B5" t="inlineStr">
        <is>
          <t>02/04/2026</t>
        </is>
      </c>
      <c r="C5" t="inlineStr">
        <is>
          <t>CD</t>
        </is>
      </c>
      <c r="D5" t="n">
        <v>1966</v>
      </c>
      <c r="E5" t="n">
        <v>1941</v>
      </c>
      <c r="F5" t="n">
        <v>1119</v>
      </c>
      <c r="H5" t="inlineStr">
        <is>
          <t>T4</t>
        </is>
      </c>
      <c r="I5" s="1" t="n">
        <v>0.35</v>
      </c>
      <c r="J5" s="1" t="n">
        <v>0.4941176470588236</v>
      </c>
      <c r="K5" s="1">
        <f>IFERROR(SUMIFS(S:S,P:P,"*/04/2026")/(SUMIFS(R:R,P:P,"*/04/2026")+SUMIFS(S:S,P:P,"*/04/2026")+SUMIFS(T:T,P:P,"*/04/2026")),"")</f>
        <v/>
      </c>
      <c r="L5" s="1">
        <f>IFERROR(SUMIFS(R:R,P:P,"*/04/2026")/(SUMIFS(R:R,P:P,"*/04/2026")+SUMIFS(S:S,P:P,"*/04/2026")+SUMIFS(T:T,P:P,"*/04/2026")),"")</f>
        <v/>
      </c>
      <c r="M5" s="1">
        <f>IFERROR(SUMIFS(T:T,P:P,"*/04/2026")/(SUMIFS(R:R,P:P,"*/04/2026")+SUMIFS(S:S,P:P,"*/04/2026")+SUMIFS(T:T,P:P,"*/04/2026")),"")</f>
        <v/>
      </c>
      <c r="O5" t="n">
        <v>4</v>
      </c>
      <c r="P5" t="inlineStr">
        <is>
          <t>02/01/2026</t>
        </is>
      </c>
      <c r="Q5" t="inlineStr">
        <is>
          <t>CD</t>
        </is>
      </c>
      <c r="R5" t="n">
        <v>1273</v>
      </c>
      <c r="S5" t="n">
        <v>933</v>
      </c>
      <c r="T5" t="n">
        <v>2822</v>
      </c>
    </row>
    <row r="6">
      <c r="A6" t="n">
        <v>5</v>
      </c>
      <c r="B6" t="inlineStr">
        <is>
          <t>03/04/2026</t>
        </is>
      </c>
      <c r="C6" t="inlineStr">
        <is>
          <t>CN</t>
        </is>
      </c>
      <c r="D6" t="n">
        <v>1587</v>
      </c>
      <c r="E6" t="n">
        <v>1503</v>
      </c>
      <c r="F6" t="n">
        <v>1936</v>
      </c>
      <c r="H6" t="inlineStr">
        <is>
          <t>T5</t>
        </is>
      </c>
      <c r="I6" s="1" t="n">
        <v>0.35</v>
      </c>
      <c r="J6" s="1" t="n">
        <v>0.4941176470588236</v>
      </c>
      <c r="K6" s="1">
        <f>IFERROR(SUMIFS(S:S,P:P,"*/05/2026")/(SUMIFS(R:R,P:P,"*/05/2026")+SUMIFS(S:S,P:P,"*/05/2026")+SUMIFS(T:T,P:P,"*/05/2026")),"")</f>
        <v/>
      </c>
      <c r="L6" s="1">
        <f>IFERROR(SUMIFS(R:R,P:P,"*/05/2026")/(SUMIFS(R:R,P:P,"*/05/2026")+SUMIFS(S:S,P:P,"*/05/2026")+SUMIFS(T:T,P:P,"*/05/2026")),"")</f>
        <v/>
      </c>
      <c r="M6" s="1">
        <f>IFERROR(SUMIFS(T:T,P:P,"*/05/2026")/(SUMIFS(R:R,P:P,"*/05/2026")+SUMIFS(S:S,P:P,"*/05/2026")+SUMIFS(T:T,P:P,"*/05/2026")),"")</f>
        <v/>
      </c>
      <c r="O6" t="n">
        <v>5</v>
      </c>
      <c r="P6" t="inlineStr">
        <is>
          <t>03/01/2026</t>
        </is>
      </c>
      <c r="Q6" t="inlineStr">
        <is>
          <t>CD</t>
        </is>
      </c>
      <c r="R6" t="n">
        <v>3888</v>
      </c>
      <c r="S6" t="n">
        <v>2993</v>
      </c>
      <c r="T6" t="n">
        <v>1289</v>
      </c>
    </row>
    <row r="7">
      <c r="A7" t="n">
        <v>6</v>
      </c>
      <c r="B7" t="inlineStr">
        <is>
          <t>03/04/2026</t>
        </is>
      </c>
      <c r="C7" t="inlineStr">
        <is>
          <t>CD</t>
        </is>
      </c>
      <c r="D7" t="n">
        <v>1700</v>
      </c>
      <c r="E7" t="n">
        <v>1804</v>
      </c>
      <c r="F7" t="n">
        <v>1519</v>
      </c>
      <c r="H7" t="inlineStr">
        <is>
          <t>T6</t>
        </is>
      </c>
      <c r="I7" s="1" t="n">
        <v>0.35</v>
      </c>
      <c r="J7" s="1" t="n">
        <v>0.4941176470588236</v>
      </c>
      <c r="K7" s="1">
        <f>IFERROR(SUMIFS(S:S,P:P,"*/06/2026")/(SUMIFS(R:R,P:P,"*/06/2026")+SUMIFS(S:S,P:P,"*/06/2026")+SUMIFS(T:T,P:P,"*/06/2026")),"")</f>
        <v/>
      </c>
      <c r="L7" s="1">
        <f>IFERROR(SUMIFS(R:R,P:P,"*/06/2026")/(SUMIFS(R:R,P:P,"*/06/2026")+SUMIFS(S:S,P:P,"*/06/2026")+SUMIFS(T:T,P:P,"*/06/2026")),"")</f>
        <v/>
      </c>
      <c r="M7" s="1">
        <f>IFERROR(SUMIFS(T:T,P:P,"*/06/2026")/(SUMIFS(R:R,P:P,"*/06/2026")+SUMIFS(S:S,P:P,"*/06/2026")+SUMIFS(T:T,P:P,"*/06/2026")),"")</f>
        <v/>
      </c>
      <c r="O7" t="n">
        <v>6</v>
      </c>
      <c r="P7" t="inlineStr">
        <is>
          <t>04/01/2026</t>
        </is>
      </c>
      <c r="Q7" t="inlineStr">
        <is>
          <t>CN</t>
        </is>
      </c>
      <c r="R7" t="n">
        <v>0</v>
      </c>
      <c r="S7" t="n">
        <v>0</v>
      </c>
      <c r="T7" t="n">
        <v>5040</v>
      </c>
    </row>
    <row r="8">
      <c r="A8" t="n">
        <v>7</v>
      </c>
      <c r="B8" t="inlineStr">
        <is>
          <t>04/04/2026</t>
        </is>
      </c>
      <c r="C8" t="inlineStr">
        <is>
          <t>CN</t>
        </is>
      </c>
      <c r="D8" t="n">
        <v>1443</v>
      </c>
      <c r="E8" t="n">
        <v>1343</v>
      </c>
      <c r="F8" t="n">
        <v>2240</v>
      </c>
      <c r="H8" t="inlineStr">
        <is>
          <t>T7</t>
        </is>
      </c>
      <c r="I8" s="1" t="n">
        <v>0.35</v>
      </c>
      <c r="J8" s="1" t="n">
        <v>0.4941176470588236</v>
      </c>
      <c r="K8" s="1">
        <f>IFERROR(SUMIFS(S:S,P:P,"*/07/2026")/(SUMIFS(R:R,P:P,"*/07/2026")+SUMIFS(S:S,P:P,"*/07/2026")+SUMIFS(T:T,P:P,"*/07/2026")),"")</f>
        <v/>
      </c>
      <c r="L8" s="1">
        <f>IFERROR(SUMIFS(R:R,P:P,"*/07/2026")/(SUMIFS(R:R,P:P,"*/07/2026")+SUMIFS(S:S,P:P,"*/07/2026")+SUMIFS(T:T,P:P,"*/07/2026")),"")</f>
        <v/>
      </c>
      <c r="M8" s="1">
        <f>IFERROR(SUMIFS(T:T,P:P,"*/07/2026")/(SUMIFS(R:R,P:P,"*/07/2026")+SUMIFS(S:S,P:P,"*/07/2026")+SUMIFS(T:T,P:P,"*/07/2026")),"")</f>
        <v/>
      </c>
      <c r="O8" t="n">
        <v>7</v>
      </c>
      <c r="P8" t="inlineStr">
        <is>
          <t>04/01/2026</t>
        </is>
      </c>
      <c r="Q8" t="inlineStr">
        <is>
          <t>CD</t>
        </is>
      </c>
      <c r="R8" t="n">
        <v>0</v>
      </c>
      <c r="S8" t="n">
        <v>0</v>
      </c>
      <c r="T8" t="n">
        <v>5040</v>
      </c>
    </row>
    <row r="9">
      <c r="A9" t="n">
        <v>8</v>
      </c>
      <c r="B9" t="inlineStr">
        <is>
          <t>04/04/2026</t>
        </is>
      </c>
      <c r="C9" t="inlineStr">
        <is>
          <t>CD</t>
        </is>
      </c>
      <c r="D9" t="n">
        <v>1815</v>
      </c>
      <c r="E9" t="n">
        <v>1386</v>
      </c>
      <c r="F9" t="n">
        <v>1828</v>
      </c>
      <c r="H9" t="inlineStr">
        <is>
          <t>T8</t>
        </is>
      </c>
      <c r="I9" s="1" t="n">
        <v>0.35</v>
      </c>
      <c r="J9" s="1" t="n">
        <v>0.4941176470588236</v>
      </c>
      <c r="K9" s="1">
        <f>IFERROR(SUMIFS(S:S,P:P,"*/08/2026")/(SUMIFS(R:R,P:P,"*/08/2026")+SUMIFS(S:S,P:P,"*/08/2026")+SUMIFS(T:T,P:P,"*/08/2026")),"")</f>
        <v/>
      </c>
      <c r="L9" s="1">
        <f>IFERROR(SUMIFS(R:R,P:P,"*/08/2026")/(SUMIFS(R:R,P:P,"*/08/2026")+SUMIFS(S:S,P:P,"*/08/2026")+SUMIFS(T:T,P:P,"*/08/2026")),"")</f>
        <v/>
      </c>
      <c r="M9" s="1">
        <f>IFERROR(SUMIFS(T:T,P:P,"*/08/2026")/(SUMIFS(R:R,P:P,"*/08/2026")+SUMIFS(S:S,P:P,"*/08/2026")+SUMIFS(T:T,P:P,"*/08/2026")),"")</f>
        <v/>
      </c>
      <c r="O9" t="n">
        <v>8</v>
      </c>
      <c r="P9" t="inlineStr">
        <is>
          <t>05/01/2026</t>
        </is>
      </c>
      <c r="Q9" t="inlineStr">
        <is>
          <t>CN</t>
        </is>
      </c>
      <c r="R9" t="n">
        <v>2077</v>
      </c>
      <c r="S9" t="n">
        <v>1290</v>
      </c>
      <c r="T9" t="n">
        <v>1657</v>
      </c>
    </row>
    <row r="10">
      <c r="A10" t="n">
        <v>9</v>
      </c>
      <c r="B10" t="inlineStr">
        <is>
          <t>05/04/2026</t>
        </is>
      </c>
      <c r="C10" t="inlineStr">
        <is>
          <t>CN</t>
        </is>
      </c>
      <c r="D10" t="n">
        <v>20</v>
      </c>
      <c r="E10" t="n">
        <v>27</v>
      </c>
      <c r="F10" t="n">
        <v>4991</v>
      </c>
      <c r="H10" t="inlineStr">
        <is>
          <t>T9</t>
        </is>
      </c>
      <c r="I10" s="1" t="n">
        <v>0.35</v>
      </c>
      <c r="J10" s="1" t="n">
        <v>0.4941176470588236</v>
      </c>
      <c r="K10" s="1">
        <f>IFERROR(SUMIFS(S:S,P:P,"*/09/2026")/(SUMIFS(R:R,P:P,"*/09/2026")+SUMIFS(S:S,P:P,"*/09/2026")+SUMIFS(T:T,P:P,"*/09/2026")),"")</f>
        <v/>
      </c>
      <c r="L10" s="1">
        <f>IFERROR(SUMIFS(R:R,P:P,"*/09/2026")/(SUMIFS(R:R,P:P,"*/09/2026")+SUMIFS(S:S,P:P,"*/09/2026")+SUMIFS(T:T,P:P,"*/09/2026")),"")</f>
        <v/>
      </c>
      <c r="M10" s="1">
        <f>IFERROR(SUMIFS(T:T,P:P,"*/09/2026")/(SUMIFS(R:R,P:P,"*/09/2026")+SUMIFS(S:S,P:P,"*/09/2026")+SUMIFS(T:T,P:P,"*/09/2026")),"")</f>
        <v/>
      </c>
      <c r="O10" t="n">
        <v>9</v>
      </c>
      <c r="P10" t="inlineStr">
        <is>
          <t>05/01/2026</t>
        </is>
      </c>
      <c r="Q10" t="inlineStr">
        <is>
          <t>CD</t>
        </is>
      </c>
      <c r="R10" t="n">
        <v>2266</v>
      </c>
      <c r="S10" t="n">
        <v>1450</v>
      </c>
      <c r="T10" t="n">
        <v>1250</v>
      </c>
    </row>
    <row r="11">
      <c r="A11" t="n">
        <v>10</v>
      </c>
      <c r="B11" t="inlineStr">
        <is>
          <t>05/04/2026</t>
        </is>
      </c>
      <c r="C11" t="inlineStr">
        <is>
          <t>CD</t>
        </is>
      </c>
      <c r="D11" t="n">
        <v>0</v>
      </c>
      <c r="E11" t="n">
        <v>0</v>
      </c>
      <c r="F11" t="n">
        <v>5040</v>
      </c>
      <c r="H11" t="inlineStr">
        <is>
          <t>T10</t>
        </is>
      </c>
      <c r="I11" s="1" t="n">
        <v>0.35</v>
      </c>
      <c r="J11" s="1" t="n">
        <v>0.4941176470588236</v>
      </c>
      <c r="K11" s="1">
        <f>IFERROR(SUMIFS(S:S,P:P,"*/10/2026")/(SUMIFS(R:R,P:P,"*/10/2026")+SUMIFS(S:S,P:P,"*/10/2026")+SUMIFS(T:T,P:P,"*/10/2026")),"")</f>
        <v/>
      </c>
      <c r="L11" s="1">
        <f>IFERROR(SUMIFS(R:R,P:P,"*/10/2026")/(SUMIFS(R:R,P:P,"*/10/2026")+SUMIFS(S:S,P:P,"*/10/2026")+SUMIFS(T:T,P:P,"*/10/2026")),"")</f>
        <v/>
      </c>
      <c r="M11" s="1">
        <f>IFERROR(SUMIFS(T:T,P:P,"*/10/2026")/(SUMIFS(R:R,P:P,"*/10/2026")+SUMIFS(S:S,P:P,"*/10/2026")+SUMIFS(T:T,P:P,"*/10/2026")),"")</f>
        <v/>
      </c>
      <c r="O11" t="n">
        <v>10</v>
      </c>
      <c r="P11" t="inlineStr">
        <is>
          <t>06/01/2026</t>
        </is>
      </c>
      <c r="Q11" t="inlineStr">
        <is>
          <t>CN</t>
        </is>
      </c>
      <c r="R11" t="n">
        <v>1993</v>
      </c>
      <c r="S11" t="n">
        <v>1578</v>
      </c>
      <c r="T11" t="n">
        <v>1455</v>
      </c>
    </row>
    <row r="12">
      <c r="A12" t="n">
        <v>11</v>
      </c>
      <c r="B12" t="inlineStr">
        <is>
          <t>06/04/2026</t>
        </is>
      </c>
      <c r="C12" t="inlineStr">
        <is>
          <t>CN</t>
        </is>
      </c>
      <c r="D12" t="n">
        <v>1997</v>
      </c>
      <c r="E12" t="n">
        <v>1596</v>
      </c>
      <c r="F12" t="n">
        <v>1433</v>
      </c>
      <c r="H12" t="inlineStr">
        <is>
          <t>T11</t>
        </is>
      </c>
      <c r="I12" s="1" t="n">
        <v>0.35</v>
      </c>
      <c r="J12" s="1" t="n">
        <v>0.4941176470588236</v>
      </c>
      <c r="K12" s="1">
        <f>IFERROR(SUMIFS(S:S,P:P,"*/11/2026")/(SUMIFS(R:R,P:P,"*/11/2026")+SUMIFS(S:S,P:P,"*/11/2026")+SUMIFS(T:T,P:P,"*/11/2026")),"")</f>
        <v/>
      </c>
      <c r="L12" s="1">
        <f>IFERROR(SUMIFS(R:R,P:P,"*/11/2026")/(SUMIFS(R:R,P:P,"*/11/2026")+SUMIFS(S:S,P:P,"*/11/2026")+SUMIFS(T:T,P:P,"*/11/2026")),"")</f>
        <v/>
      </c>
      <c r="M12" s="1">
        <f>IFERROR(SUMIFS(T:T,P:P,"*/11/2026")/(SUMIFS(R:R,P:P,"*/11/2026")+SUMIFS(S:S,P:P,"*/11/2026")+SUMIFS(T:T,P:P,"*/11/2026")),"")</f>
        <v/>
      </c>
      <c r="O12" t="n">
        <v>11</v>
      </c>
      <c r="P12" t="inlineStr">
        <is>
          <t>06/01/2026</t>
        </is>
      </c>
      <c r="Q12" t="inlineStr">
        <is>
          <t>CD</t>
        </is>
      </c>
      <c r="R12" t="n">
        <v>2314</v>
      </c>
      <c r="S12" t="n">
        <v>1598</v>
      </c>
      <c r="T12" t="n">
        <v>1111</v>
      </c>
    </row>
    <row r="13">
      <c r="A13" t="n">
        <v>12</v>
      </c>
      <c r="B13" t="inlineStr">
        <is>
          <t>06/04/2026</t>
        </is>
      </c>
      <c r="C13" t="inlineStr">
        <is>
          <t>CD</t>
        </is>
      </c>
      <c r="D13" t="n">
        <v>1903</v>
      </c>
      <c r="E13" t="n">
        <v>1442</v>
      </c>
      <c r="F13" t="n">
        <v>1680</v>
      </c>
      <c r="H13" t="inlineStr">
        <is>
          <t>T12</t>
        </is>
      </c>
      <c r="I13" s="1" t="n">
        <v>0.35</v>
      </c>
      <c r="J13" s="1" t="n">
        <v>0.4941176470588236</v>
      </c>
      <c r="K13" s="1">
        <f>IFERROR(SUMIFS(S:S,P:P,"*/12/2026")/(SUMIFS(R:R,P:P,"*/12/2026")+SUMIFS(S:S,P:P,"*/12/2026")+SUMIFS(T:T,P:P,"*/12/2026")),"")</f>
        <v/>
      </c>
      <c r="L13" s="1">
        <f>IFERROR(SUMIFS(R:R,P:P,"*/12/2026")/(SUMIFS(R:R,P:P,"*/12/2026")+SUMIFS(S:S,P:P,"*/12/2026")+SUMIFS(T:T,P:P,"*/12/2026")),"")</f>
        <v/>
      </c>
      <c r="M13" s="1">
        <f>IFERROR(SUMIFS(T:T,P:P,"*/12/2026")/(SUMIFS(R:R,P:P,"*/12/2026")+SUMIFS(S:S,P:P,"*/12/2026")+SUMIFS(T:T,P:P,"*/12/2026")),"")</f>
        <v/>
      </c>
      <c r="O13" t="n">
        <v>12</v>
      </c>
      <c r="P13" t="inlineStr">
        <is>
          <t>07/01/2026</t>
        </is>
      </c>
      <c r="Q13" t="inlineStr">
        <is>
          <t>CN</t>
        </is>
      </c>
      <c r="R13" t="n">
        <v>432</v>
      </c>
      <c r="S13" t="n">
        <v>484</v>
      </c>
      <c r="T13" t="n">
        <v>4117</v>
      </c>
    </row>
    <row r="14">
      <c r="A14" t="n">
        <v>13</v>
      </c>
      <c r="B14" t="inlineStr">
        <is>
          <t>07/04/2026</t>
        </is>
      </c>
      <c r="C14" t="inlineStr">
        <is>
          <t>CN</t>
        </is>
      </c>
      <c r="D14" t="n">
        <v>1943</v>
      </c>
      <c r="E14" t="n">
        <v>1651</v>
      </c>
      <c r="F14" t="n">
        <v>1430</v>
      </c>
      <c r="H14">
        <f>IF(B2="","",TEXT(B2,"dd/mm")&amp; "-" &amp;IF(UPPER(TRIM(C2))="CN",1,IF(UPPER(TRIM(C2))="CD",2,"")))</f>
        <v/>
      </c>
      <c r="I14" s="1" t="n">
        <v>0.35</v>
      </c>
      <c r="J14" s="1" t="n">
        <v>0.4941176470588236</v>
      </c>
      <c r="K14" s="1">
        <f>IFERROR($E2/SUM($D2:$F2),"")</f>
        <v/>
      </c>
      <c r="L14" s="1">
        <f>IFERROR($D2/SUM($D2:$F2),"")</f>
        <v/>
      </c>
      <c r="M14" s="1">
        <f>IFERROR($F2/SUM($D2:$F2),"")</f>
        <v/>
      </c>
      <c r="O14" t="n">
        <v>13</v>
      </c>
      <c r="P14" t="inlineStr">
        <is>
          <t>07/01/2026</t>
        </is>
      </c>
      <c r="Q14" t="inlineStr">
        <is>
          <t>CD</t>
        </is>
      </c>
      <c r="R14" t="n">
        <v>0</v>
      </c>
      <c r="S14" t="n">
        <v>0</v>
      </c>
      <c r="T14" t="n">
        <v>5040</v>
      </c>
    </row>
    <row r="15">
      <c r="A15" t="n">
        <v>14</v>
      </c>
      <c r="B15" t="inlineStr">
        <is>
          <t>07/04/2026</t>
        </is>
      </c>
      <c r="C15" t="inlineStr">
        <is>
          <t>CD</t>
        </is>
      </c>
      <c r="D15" t="n">
        <v>2005</v>
      </c>
      <c r="E15" t="n">
        <v>1398</v>
      </c>
      <c r="F15" t="n">
        <v>1621</v>
      </c>
      <c r="H15">
        <f>IF(B3="","",TEXT(B3,"dd/mm") &amp; "-" &amp; IF(UPPER(TRIM(C3))="CN",1,IF(UPPER(TRIM(C3))="CD",2,"")))</f>
        <v/>
      </c>
      <c r="I15" s="1" t="n">
        <v>0.35</v>
      </c>
      <c r="J15" s="1" t="n">
        <v>0.4941176470588236</v>
      </c>
      <c r="K15" s="1">
        <f>IFERROR($E3/SUM($D3:$F3),"")</f>
        <v/>
      </c>
      <c r="L15" s="1">
        <f>IFERROR($D3/SUM($D3:$F3),"")</f>
        <v/>
      </c>
      <c r="M15" s="1">
        <f>IFERROR($F3/SUM($D3:$F3),"")</f>
        <v/>
      </c>
      <c r="O15" t="n">
        <v>14</v>
      </c>
      <c r="P15" t="inlineStr">
        <is>
          <t>08/01/2026</t>
        </is>
      </c>
      <c r="Q15" t="inlineStr">
        <is>
          <t>CN</t>
        </is>
      </c>
      <c r="R15" t="n">
        <v>1737</v>
      </c>
      <c r="S15" t="n">
        <v>1852</v>
      </c>
      <c r="T15" t="n">
        <v>1437</v>
      </c>
    </row>
    <row r="16">
      <c r="A16" t="n">
        <v>15</v>
      </c>
      <c r="B16" t="inlineStr">
        <is>
          <t>08/04/2026</t>
        </is>
      </c>
      <c r="C16" t="inlineStr">
        <is>
          <t>CN</t>
        </is>
      </c>
      <c r="D16" t="n">
        <v>1841</v>
      </c>
      <c r="E16" t="n">
        <v>1759</v>
      </c>
      <c r="F16" t="n">
        <v>1422</v>
      </c>
      <c r="H16">
        <f>IF(B4="","",TEXT(B4,"dd/mm") &amp; "-" &amp; IF(UPPER(TRIM(C4))="CN",1,IF(UPPER(TRIM(C4))="CD",2,"")))</f>
        <v/>
      </c>
      <c r="I16" s="1" t="n">
        <v>0.35</v>
      </c>
      <c r="J16" s="1" t="n">
        <v>0.4941176470588236</v>
      </c>
      <c r="K16" s="1">
        <f>IFERROR($E4/SUM($D4:$F4),"")</f>
        <v/>
      </c>
      <c r="L16" s="1">
        <f>IFERROR($D4/SUM($D4:$F4),"")</f>
        <v/>
      </c>
      <c r="M16" s="1">
        <f>IFERROR($F4/SUM($D4:$F4),"")</f>
        <v/>
      </c>
      <c r="O16" t="n">
        <v>15</v>
      </c>
      <c r="P16" t="inlineStr">
        <is>
          <t>08/01/2026</t>
        </is>
      </c>
      <c r="Q16" t="inlineStr">
        <is>
          <t>CD</t>
        </is>
      </c>
      <c r="R16" t="n">
        <v>2344</v>
      </c>
      <c r="S16" t="n">
        <v>1522</v>
      </c>
      <c r="T16" t="n">
        <v>1160</v>
      </c>
    </row>
    <row r="17">
      <c r="A17" t="n">
        <v>16</v>
      </c>
      <c r="B17" t="inlineStr">
        <is>
          <t>08/04/2026</t>
        </is>
      </c>
      <c r="C17" t="inlineStr">
        <is>
          <t>CD</t>
        </is>
      </c>
      <c r="D17" t="n">
        <v>1599</v>
      </c>
      <c r="E17" t="n">
        <v>1591</v>
      </c>
      <c r="F17" t="n">
        <v>1836</v>
      </c>
      <c r="H17">
        <f>IF(B5="","",TEXT(B5,"dd/mm") &amp; "-" &amp; IF(UPPER(TRIM(C5))="CN",1,IF(UPPER(TRIM(C5))="CD",2,"")))</f>
        <v/>
      </c>
      <c r="I17" s="1" t="n">
        <v>0.35</v>
      </c>
      <c r="J17" s="1" t="n">
        <v>0.4941176470588236</v>
      </c>
      <c r="K17" s="1">
        <f>IFERROR($E5/SUM($D5:$F5),"")</f>
        <v/>
      </c>
      <c r="L17" s="1">
        <f>IFERROR($D5/SUM($D5:$F5),"")</f>
        <v/>
      </c>
      <c r="M17" s="1">
        <f>IFERROR($F5/SUM($D5:$F5),"")</f>
        <v/>
      </c>
      <c r="O17" t="n">
        <v>16</v>
      </c>
      <c r="P17" t="inlineStr">
        <is>
          <t>09/01/2026</t>
        </is>
      </c>
      <c r="Q17" t="inlineStr">
        <is>
          <t>CN</t>
        </is>
      </c>
      <c r="R17" t="n">
        <v>1837</v>
      </c>
      <c r="S17" t="n">
        <v>1710</v>
      </c>
      <c r="T17" t="n">
        <v>1478</v>
      </c>
    </row>
    <row r="18">
      <c r="A18" t="n">
        <v>17</v>
      </c>
      <c r="B18" t="inlineStr">
        <is>
          <t>09/04/2026</t>
        </is>
      </c>
      <c r="C18" t="inlineStr">
        <is>
          <t>CN</t>
        </is>
      </c>
      <c r="D18" t="n">
        <v>1795</v>
      </c>
      <c r="E18" t="n">
        <v>1805</v>
      </c>
      <c r="F18" t="n">
        <v>1426</v>
      </c>
      <c r="H18">
        <f>IF(B6="","",TEXT(B6,"dd/mm") &amp; "-" &amp; IF(UPPER(TRIM(C6))="CN",1,IF(UPPER(TRIM(C6))="CD",2,"")))</f>
        <v/>
      </c>
      <c r="I18" s="1" t="n">
        <v>0.35</v>
      </c>
      <c r="J18" s="1" t="n">
        <v>0.4941176470588236</v>
      </c>
      <c r="K18" s="1">
        <f>IFERROR($E6/SUM($D6:$F6),"")</f>
        <v/>
      </c>
      <c r="L18" s="1">
        <f>IFERROR($D6/SUM($D6:$F6),"")</f>
        <v/>
      </c>
      <c r="M18" s="1">
        <f>IFERROR($F6/SUM($D6:$F6),"")</f>
        <v/>
      </c>
      <c r="O18" t="n">
        <v>17</v>
      </c>
      <c r="P18" t="inlineStr">
        <is>
          <t>09/01/2026</t>
        </is>
      </c>
      <c r="Q18" t="inlineStr">
        <is>
          <t>CD</t>
        </is>
      </c>
      <c r="R18" t="n">
        <v>2504</v>
      </c>
      <c r="S18" t="n">
        <v>1316</v>
      </c>
      <c r="T18" t="n">
        <v>1206</v>
      </c>
    </row>
    <row r="19">
      <c r="A19" t="n">
        <v>18</v>
      </c>
      <c r="B19" t="inlineStr">
        <is>
          <t>09/04/2026</t>
        </is>
      </c>
      <c r="C19" t="inlineStr">
        <is>
          <t>CD</t>
        </is>
      </c>
      <c r="D19" t="n">
        <v>1789</v>
      </c>
      <c r="E19" t="n">
        <v>2114</v>
      </c>
      <c r="F19" t="n">
        <v>1122</v>
      </c>
      <c r="H19">
        <f>IF(B7="","",TEXT(B7,"dd/mm") &amp; "-" &amp; IF(UPPER(TRIM(C7))="CN",1,IF(UPPER(TRIM(C7))="CD",2,"")))</f>
        <v/>
      </c>
      <c r="I19" s="1" t="n">
        <v>0.35</v>
      </c>
      <c r="J19" s="1" t="n">
        <v>0.4941176470588236</v>
      </c>
      <c r="K19" s="1">
        <f>IFERROR($E7/SUM($D7:$F7),"")</f>
        <v/>
      </c>
      <c r="L19" s="1">
        <f>IFERROR($D7/SUM($D7:$F7),"")</f>
        <v/>
      </c>
      <c r="M19" s="1">
        <f>IFERROR($F7/SUM($D7:$F7),"")</f>
        <v/>
      </c>
      <c r="O19" t="n">
        <v>18</v>
      </c>
      <c r="P19" t="inlineStr">
        <is>
          <t>10/01/2026</t>
        </is>
      </c>
      <c r="Q19" t="inlineStr">
        <is>
          <t>CN</t>
        </is>
      </c>
      <c r="R19" t="n">
        <v>1655</v>
      </c>
      <c r="S19" t="n">
        <v>1688</v>
      </c>
      <c r="T19" t="n">
        <v>1685</v>
      </c>
    </row>
    <row r="20">
      <c r="A20" t="n">
        <v>19</v>
      </c>
      <c r="B20" t="inlineStr">
        <is>
          <t>10/04/2026</t>
        </is>
      </c>
      <c r="C20" t="inlineStr">
        <is>
          <t>CN</t>
        </is>
      </c>
      <c r="D20" t="n">
        <v>1878</v>
      </c>
      <c r="E20" t="n">
        <v>1683</v>
      </c>
      <c r="F20" t="n">
        <v>1464</v>
      </c>
      <c r="H20">
        <f>IF(B8="","",TEXT(B8,"dd/mm") &amp; "-" &amp; IF(UPPER(TRIM(C8))="CN",1,IF(UPPER(TRIM(C8))="CD",2,"")))</f>
        <v/>
      </c>
      <c r="I20" s="1" t="n">
        <v>0.35</v>
      </c>
      <c r="J20" s="1" t="n">
        <v>0.4941176470588236</v>
      </c>
      <c r="K20" s="1">
        <f>IFERROR($E8/SUM($D8:$F8),"")</f>
        <v/>
      </c>
      <c r="L20" s="1">
        <f>IFERROR($D8/SUM($D8:$F8),"")</f>
        <v/>
      </c>
      <c r="M20" s="1">
        <f>IFERROR($F8/SUM($D8:$F8),"")</f>
        <v/>
      </c>
      <c r="O20" t="n">
        <v>19</v>
      </c>
      <c r="P20" t="inlineStr">
        <is>
          <t>10/01/2026</t>
        </is>
      </c>
      <c r="Q20" t="inlineStr">
        <is>
          <t>CD</t>
        </is>
      </c>
      <c r="R20" t="n">
        <v>0</v>
      </c>
      <c r="S20" t="n">
        <v>0</v>
      </c>
      <c r="T20" t="n">
        <v>5040</v>
      </c>
    </row>
    <row r="21">
      <c r="A21" t="n">
        <v>20</v>
      </c>
      <c r="B21" t="inlineStr">
        <is>
          <t>10/04/2026</t>
        </is>
      </c>
      <c r="C21" t="inlineStr">
        <is>
          <t>CD</t>
        </is>
      </c>
      <c r="D21" t="n">
        <v>1659</v>
      </c>
      <c r="E21" t="n">
        <v>1684</v>
      </c>
      <c r="F21" t="n">
        <v>1679</v>
      </c>
      <c r="H21">
        <f>IF(B9="","",TEXT(B9,"dd/mm") &amp; "-" &amp; IF(UPPER(TRIM(C9))="CN",1,IF(UPPER(TRIM(C9))="CD",2,"")))</f>
        <v/>
      </c>
      <c r="I21" s="1" t="n">
        <v>0.35</v>
      </c>
      <c r="J21" s="1" t="n">
        <v>0.4941176470588236</v>
      </c>
      <c r="K21" s="1">
        <f>IFERROR($E9/SUM($D9:$F9),"")</f>
        <v/>
      </c>
      <c r="L21" s="1">
        <f>IFERROR($D9/SUM($D9:$F9),"")</f>
        <v/>
      </c>
      <c r="M21" s="1">
        <f>IFERROR($F9/SUM($D9:$F9),"")</f>
        <v/>
      </c>
      <c r="O21" t="n">
        <v>20</v>
      </c>
      <c r="P21" t="inlineStr">
        <is>
          <t>11/01/2026</t>
        </is>
      </c>
      <c r="Q21" t="inlineStr">
        <is>
          <t>CN</t>
        </is>
      </c>
      <c r="R21" t="n">
        <v>0</v>
      </c>
      <c r="S21" t="n">
        <v>0</v>
      </c>
      <c r="T21" t="n">
        <v>5040</v>
      </c>
    </row>
    <row r="22">
      <c r="A22" t="n">
        <v>21</v>
      </c>
      <c r="B22" t="inlineStr">
        <is>
          <t>11/04/2026</t>
        </is>
      </c>
      <c r="C22" t="inlineStr">
        <is>
          <t>CN</t>
        </is>
      </c>
      <c r="D22" t="n">
        <v>2008</v>
      </c>
      <c r="E22" t="n">
        <v>1385</v>
      </c>
      <c r="F22" t="n">
        <v>1636</v>
      </c>
      <c r="H22">
        <f>IF(B10="","",TEXT(B10,"dd/mm") &amp; "-" &amp; IF(UPPER(TRIM(C10))="CN",1,IF(UPPER(TRIM(C10))="CD",2,"")))</f>
        <v/>
      </c>
      <c r="I22" s="1" t="n">
        <v>0.35</v>
      </c>
      <c r="J22" s="1" t="n">
        <v>0.4941176470588236</v>
      </c>
      <c r="K22" s="1">
        <f>IFERROR($E10/SUM($D10:$F10),"")</f>
        <v/>
      </c>
      <c r="L22" s="1">
        <f>IFERROR($D10/SUM($D10:$F10),"")</f>
        <v/>
      </c>
      <c r="M22" s="1">
        <f>IFERROR($F10/SUM($D10:$F10),"")</f>
        <v/>
      </c>
      <c r="O22" t="n">
        <v>21</v>
      </c>
      <c r="P22" t="inlineStr">
        <is>
          <t>11/01/2026</t>
        </is>
      </c>
      <c r="Q22" t="inlineStr">
        <is>
          <t>CD</t>
        </is>
      </c>
      <c r="R22" t="n">
        <v>0</v>
      </c>
      <c r="S22" t="n">
        <v>0</v>
      </c>
      <c r="T22" t="n">
        <v>5040</v>
      </c>
    </row>
    <row r="23">
      <c r="A23" t="n">
        <v>22</v>
      </c>
      <c r="B23" t="inlineStr">
        <is>
          <t>11/04/2026</t>
        </is>
      </c>
      <c r="C23" t="inlineStr">
        <is>
          <t>CD</t>
        </is>
      </c>
      <c r="D23" t="n">
        <v>1108</v>
      </c>
      <c r="E23" t="n">
        <v>1281</v>
      </c>
      <c r="F23" t="n">
        <v>2637</v>
      </c>
      <c r="H23">
        <f>IF(B11="","",TEXT(B11,"dd/mm") &amp; "-" &amp; IF(UPPER(TRIM(C11))="CN",1,IF(UPPER(TRIM(C11))="CD",2,"")))</f>
        <v/>
      </c>
      <c r="I23" s="1" t="n">
        <v>0.35</v>
      </c>
      <c r="J23" s="1" t="n">
        <v>0.4941176470588236</v>
      </c>
      <c r="K23" s="1">
        <f>IFERROR($E11/SUM($D11:$F11),"")</f>
        <v/>
      </c>
      <c r="L23" s="1">
        <f>IFERROR($D11/SUM($D11:$F11),"")</f>
        <v/>
      </c>
      <c r="M23" s="1">
        <f>IFERROR($F11/SUM($D11:$F11),"")</f>
        <v/>
      </c>
      <c r="O23" t="n">
        <v>22</v>
      </c>
      <c r="P23" t="inlineStr">
        <is>
          <t>12/01/2026</t>
        </is>
      </c>
      <c r="Q23" t="inlineStr">
        <is>
          <t>CN</t>
        </is>
      </c>
      <c r="R23" t="n">
        <v>2200</v>
      </c>
      <c r="S23" t="n">
        <v>1367</v>
      </c>
      <c r="T23" t="n">
        <v>1456</v>
      </c>
    </row>
    <row r="24">
      <c r="A24" t="n">
        <v>23</v>
      </c>
      <c r="B24" t="inlineStr">
        <is>
          <t>12/04/2026</t>
        </is>
      </c>
      <c r="C24" t="inlineStr">
        <is>
          <t>CN</t>
        </is>
      </c>
      <c r="D24" t="n">
        <v>0</v>
      </c>
      <c r="E24" t="n">
        <v>0</v>
      </c>
      <c r="F24" t="n">
        <v>5040</v>
      </c>
      <c r="H24">
        <f>IF(B12="","",TEXT(B12,"dd/mm") &amp; "-" &amp; IF(UPPER(TRIM(C12))="CN",1,IF(UPPER(TRIM(C12))="CD",2,"")))</f>
        <v/>
      </c>
      <c r="I24" s="1" t="n">
        <v>0.35</v>
      </c>
      <c r="J24" s="1" t="n">
        <v>0.4941176470588236</v>
      </c>
      <c r="K24" s="1">
        <f>IFERROR($E12/SUM($D12:$F12),"")</f>
        <v/>
      </c>
      <c r="L24" s="1">
        <f>IFERROR($D12/SUM($D12:$F12),"")</f>
        <v/>
      </c>
      <c r="M24" s="1">
        <f>IFERROR($F12/SUM($D12:$F12),"")</f>
        <v/>
      </c>
      <c r="O24" t="n">
        <v>23</v>
      </c>
      <c r="P24" t="inlineStr">
        <is>
          <t>12/01/2026</t>
        </is>
      </c>
      <c r="Q24" t="inlineStr">
        <is>
          <t>CD</t>
        </is>
      </c>
      <c r="R24" t="n">
        <v>1952</v>
      </c>
      <c r="S24" t="n">
        <v>1993</v>
      </c>
      <c r="T24" t="n">
        <v>1078</v>
      </c>
    </row>
    <row r="25">
      <c r="A25" t="n">
        <v>24</v>
      </c>
      <c r="B25" t="inlineStr">
        <is>
          <t>12/04/2026</t>
        </is>
      </c>
      <c r="C25" t="inlineStr">
        <is>
          <t>CD</t>
        </is>
      </c>
      <c r="D25" t="n">
        <v>0</v>
      </c>
      <c r="E25" t="n">
        <v>0</v>
      </c>
      <c r="F25" t="n">
        <v>5040</v>
      </c>
      <c r="H25">
        <f>IF(B13="","",TEXT(B13,"dd/mm") &amp; "-" &amp; IF(UPPER(TRIM(C13))="CN",1,IF(UPPER(TRIM(C13))="CD",2,"")))</f>
        <v/>
      </c>
      <c r="I25" s="1" t="n">
        <v>0.35</v>
      </c>
      <c r="J25" s="1" t="n">
        <v>0.4941176470588236</v>
      </c>
      <c r="K25" s="1">
        <f>IFERROR($E13/SUM($D13:$F13),"")</f>
        <v/>
      </c>
      <c r="L25" s="1">
        <f>IFERROR($D13/SUM($D13:$F13),"")</f>
        <v/>
      </c>
      <c r="M25" s="1">
        <f>IFERROR($F13/SUM($D13:$F13),"")</f>
        <v/>
      </c>
      <c r="O25" t="n">
        <v>24</v>
      </c>
      <c r="P25" t="inlineStr">
        <is>
          <t>13/01/2026</t>
        </is>
      </c>
      <c r="Q25" t="inlineStr">
        <is>
          <t>CN</t>
        </is>
      </c>
      <c r="R25" t="n">
        <v>1843</v>
      </c>
      <c r="S25" t="n">
        <v>1707</v>
      </c>
      <c r="T25" t="n">
        <v>1477</v>
      </c>
    </row>
    <row r="26">
      <c r="A26" t="n">
        <v>25</v>
      </c>
      <c r="B26" t="inlineStr">
        <is>
          <t>13/04/2026</t>
        </is>
      </c>
      <c r="C26" t="inlineStr">
        <is>
          <t>CN</t>
        </is>
      </c>
      <c r="D26" t="n">
        <v>1538</v>
      </c>
      <c r="E26" t="n">
        <v>1039</v>
      </c>
      <c r="F26" t="n">
        <v>2453</v>
      </c>
      <c r="H26">
        <f>IF(B14="","",TEXT(B14,"dd/mm") &amp; "-" &amp; IF(UPPER(TRIM(C14))="CN",1,IF(UPPER(TRIM(C14))="CD",2,"")))</f>
        <v/>
      </c>
      <c r="I26" s="1" t="n">
        <v>0.35</v>
      </c>
      <c r="J26" s="1" t="n">
        <v>0.4941176470588236</v>
      </c>
      <c r="K26" s="1">
        <f>IFERROR($E14/SUM($D14:$F14),"")</f>
        <v/>
      </c>
      <c r="L26" s="1">
        <f>IFERROR($D14/SUM($D14:$F14),"")</f>
        <v/>
      </c>
      <c r="M26" s="1">
        <f>IFERROR($F14/SUM($D14:$F14),"")</f>
        <v/>
      </c>
      <c r="O26" t="n">
        <v>25</v>
      </c>
      <c r="P26" t="inlineStr">
        <is>
          <t>13/01/2026</t>
        </is>
      </c>
      <c r="Q26" t="inlineStr">
        <is>
          <t>CD</t>
        </is>
      </c>
      <c r="R26" t="n">
        <v>1896</v>
      </c>
      <c r="S26" t="n">
        <v>2060</v>
      </c>
      <c r="T26" t="n">
        <v>1068</v>
      </c>
    </row>
    <row r="27">
      <c r="A27" t="n">
        <v>26</v>
      </c>
      <c r="B27" t="inlineStr">
        <is>
          <t>13/04/2026</t>
        </is>
      </c>
      <c r="C27" t="inlineStr">
        <is>
          <t>CD</t>
        </is>
      </c>
      <c r="D27" t="n">
        <v>1830</v>
      </c>
      <c r="E27" t="n">
        <v>1238</v>
      </c>
      <c r="F27" t="n">
        <v>1958</v>
      </c>
      <c r="H27">
        <f>IF(B15="","",TEXT(B15,"dd/mm") &amp; "-" &amp; IF(UPPER(TRIM(C15))="CN",1,IF(UPPER(TRIM(C15))="CD",2,"")))</f>
        <v/>
      </c>
      <c r="I27" s="1" t="n">
        <v>0.35</v>
      </c>
      <c r="J27" s="1" t="n">
        <v>0.4941176470588236</v>
      </c>
      <c r="K27" s="1">
        <f>IFERROR($E15/SUM($D15:$F15),"")</f>
        <v/>
      </c>
      <c r="L27" s="1">
        <f>IFERROR($D15/SUM($D15:$F15),"")</f>
        <v/>
      </c>
      <c r="M27" s="1">
        <f>IFERROR($F15/SUM($D15:$F15),"")</f>
        <v/>
      </c>
      <c r="O27" t="n">
        <v>26</v>
      </c>
      <c r="P27" t="inlineStr">
        <is>
          <t>14/01/2026</t>
        </is>
      </c>
      <c r="Q27" t="inlineStr">
        <is>
          <t>CN</t>
        </is>
      </c>
      <c r="R27" t="n">
        <v>2066</v>
      </c>
      <c r="S27" t="n">
        <v>1512</v>
      </c>
      <c r="T27" t="n">
        <v>1451</v>
      </c>
    </row>
    <row r="28">
      <c r="A28" t="n">
        <v>27</v>
      </c>
      <c r="B28" t="inlineStr">
        <is>
          <t>14/04/2026</t>
        </is>
      </c>
      <c r="C28" t="inlineStr">
        <is>
          <t>CN</t>
        </is>
      </c>
      <c r="D28" t="n">
        <v>1389</v>
      </c>
      <c r="E28" t="n">
        <v>1193</v>
      </c>
      <c r="F28" t="n">
        <v>2447</v>
      </c>
      <c r="H28">
        <f>IF(B16="","",TEXT(B16,"dd/mm") &amp; "-" &amp; IF(UPPER(TRIM(C16))="CN",1,IF(UPPER(TRIM(C16))="CD",2,"")))</f>
        <v/>
      </c>
      <c r="I28" s="1" t="n">
        <v>0.35</v>
      </c>
      <c r="J28" s="1" t="n">
        <v>0.4941176470588236</v>
      </c>
      <c r="K28" s="1">
        <f>IFERROR($E16/SUM($D16:$F16),"")</f>
        <v/>
      </c>
      <c r="L28" s="1">
        <f>IFERROR($D16/SUM($D16:$F16),"")</f>
        <v/>
      </c>
      <c r="M28" s="1">
        <f>IFERROR($F16/SUM($D16:$F16),"")</f>
        <v/>
      </c>
      <c r="O28" t="n">
        <v>27</v>
      </c>
      <c r="P28" t="inlineStr">
        <is>
          <t>14/01/2026</t>
        </is>
      </c>
      <c r="Q28" t="inlineStr">
        <is>
          <t>CD</t>
        </is>
      </c>
      <c r="R28" t="n">
        <v>2089</v>
      </c>
      <c r="S28" t="n">
        <v>1865</v>
      </c>
      <c r="T28" t="n">
        <v>1067</v>
      </c>
    </row>
    <row r="29">
      <c r="A29" t="n">
        <v>28</v>
      </c>
      <c r="B29" t="inlineStr">
        <is>
          <t>14/04/2026</t>
        </is>
      </c>
      <c r="C29" t="inlineStr">
        <is>
          <t>CD</t>
        </is>
      </c>
      <c r="D29" t="n">
        <v>1980</v>
      </c>
      <c r="E29" t="n">
        <v>1617</v>
      </c>
      <c r="F29" t="n">
        <v>1429</v>
      </c>
      <c r="H29">
        <f>IF(B17="","",TEXT(B17,"dd/mm") &amp; "-" &amp; IF(UPPER(TRIM(C17))="CN",1,IF(UPPER(TRIM(C17))="CD",2,"")))</f>
        <v/>
      </c>
      <c r="I29" s="1" t="n">
        <v>0.35</v>
      </c>
      <c r="J29" s="1" t="n">
        <v>0.4941176470588236</v>
      </c>
      <c r="K29" s="1">
        <f>IFERROR($E17/SUM($D17:$F17),"")</f>
        <v/>
      </c>
      <c r="L29" s="1">
        <f>IFERROR($D17/SUM($D17:$F17),"")</f>
        <v/>
      </c>
      <c r="M29" s="1">
        <f>IFERROR($F17/SUM($D17:$F17),"")</f>
        <v/>
      </c>
      <c r="O29" t="n">
        <v>28</v>
      </c>
      <c r="P29" t="inlineStr">
        <is>
          <t>15/01/2026</t>
        </is>
      </c>
      <c r="Q29" t="inlineStr">
        <is>
          <t>CN</t>
        </is>
      </c>
      <c r="R29" t="n">
        <v>2239</v>
      </c>
      <c r="S29" t="n">
        <v>1336</v>
      </c>
      <c r="T29" t="n">
        <v>1451</v>
      </c>
    </row>
    <row r="30">
      <c r="A30" t="n">
        <v>29</v>
      </c>
      <c r="B30" t="inlineStr">
        <is>
          <t>15/04/2026</t>
        </is>
      </c>
      <c r="C30" t="inlineStr">
        <is>
          <t>CN</t>
        </is>
      </c>
      <c r="D30" t="n">
        <v>1757</v>
      </c>
      <c r="E30" t="n">
        <v>1331</v>
      </c>
      <c r="F30" t="n">
        <v>1939</v>
      </c>
      <c r="H30">
        <f>IF(B18="","",TEXT(B18,"dd/mm") &amp; "-" &amp; IF(UPPER(TRIM(C18))="CN",1,IF(UPPER(TRIM(C18))="CD",2,"")))</f>
        <v/>
      </c>
      <c r="I30" s="1" t="n">
        <v>0.35</v>
      </c>
      <c r="J30" s="1" t="n">
        <v>0.4941176470588236</v>
      </c>
      <c r="K30" s="1">
        <f>IFERROR($E18/SUM($D18:$F18),"")</f>
        <v/>
      </c>
      <c r="L30" s="1">
        <f>IFERROR($D18/SUM($D18:$F18),"")</f>
        <v/>
      </c>
      <c r="M30" s="1">
        <f>IFERROR($F18/SUM($D18:$F18),"")</f>
        <v/>
      </c>
      <c r="O30" t="n">
        <v>29</v>
      </c>
      <c r="P30" t="inlineStr">
        <is>
          <t>15/01/2026</t>
        </is>
      </c>
      <c r="Q30" t="inlineStr">
        <is>
          <t>CD</t>
        </is>
      </c>
      <c r="R30" t="n">
        <v>1973</v>
      </c>
      <c r="S30" t="n">
        <v>2009</v>
      </c>
      <c r="T30" t="n">
        <v>1039</v>
      </c>
    </row>
    <row r="31">
      <c r="A31" t="n">
        <v>30</v>
      </c>
      <c r="B31" t="inlineStr">
        <is>
          <t>15/04/2026</t>
        </is>
      </c>
      <c r="C31" t="inlineStr">
        <is>
          <t>CD</t>
        </is>
      </c>
      <c r="D31" t="n">
        <v>2344</v>
      </c>
      <c r="E31" t="n">
        <v>1433</v>
      </c>
      <c r="F31" t="n">
        <v>1248</v>
      </c>
      <c r="H31">
        <f>IF(B19="","",TEXT(B19,"dd/mm") &amp; "-" &amp; IF(UPPER(TRIM(C19))="CN",1,IF(UPPER(TRIM(C19))="CD",2,"")))</f>
        <v/>
      </c>
      <c r="I31" s="1" t="n">
        <v>0.35</v>
      </c>
      <c r="J31" s="1" t="n">
        <v>0.4941176470588236</v>
      </c>
      <c r="K31" s="1">
        <f>IFERROR($E19/SUM($D19:$F19),"")</f>
        <v/>
      </c>
      <c r="L31" s="1">
        <f>IFERROR($D19/SUM($D19:$F19),"")</f>
        <v/>
      </c>
      <c r="M31" s="1">
        <f>IFERROR($F19/SUM($D19:$F19),"")</f>
        <v/>
      </c>
      <c r="O31" t="n">
        <v>30</v>
      </c>
      <c r="P31" t="inlineStr">
        <is>
          <t>16/01/2026</t>
        </is>
      </c>
      <c r="Q31" t="inlineStr">
        <is>
          <t>CN</t>
        </is>
      </c>
      <c r="R31" t="n">
        <v>1947</v>
      </c>
      <c r="S31" t="n">
        <v>1538</v>
      </c>
      <c r="T31" t="n">
        <v>1541</v>
      </c>
    </row>
    <row r="32">
      <c r="A32" t="n">
        <v>31</v>
      </c>
      <c r="B32" t="inlineStr">
        <is>
          <t>16/04/2026</t>
        </is>
      </c>
      <c r="C32" t="inlineStr">
        <is>
          <t>CN</t>
        </is>
      </c>
      <c r="D32" t="n">
        <v>1971</v>
      </c>
      <c r="E32" t="n">
        <v>1432</v>
      </c>
      <c r="F32" t="n">
        <v>1615</v>
      </c>
      <c r="H32">
        <f>IF(B20="","",TEXT(B20,"dd/mm") &amp; "-" &amp; IF(UPPER(TRIM(C20))="CN",1,IF(UPPER(TRIM(C20))="CD",2,"")))</f>
        <v/>
      </c>
      <c r="I32" s="1" t="n">
        <v>0.35</v>
      </c>
      <c r="J32" s="1" t="n">
        <v>0.4941176470588236</v>
      </c>
      <c r="K32" s="1">
        <f>IFERROR($E20/SUM($D20:$F20),"")</f>
        <v/>
      </c>
      <c r="L32" s="1">
        <f>IFERROR($D20/SUM($D20:$F20),"")</f>
        <v/>
      </c>
      <c r="M32" s="1">
        <f>IFERROR($F20/SUM($D20:$F20),"")</f>
        <v/>
      </c>
      <c r="O32" t="n">
        <v>31</v>
      </c>
      <c r="P32" t="inlineStr">
        <is>
          <t>16/01/2026</t>
        </is>
      </c>
      <c r="Q32" t="inlineStr">
        <is>
          <t>CD</t>
        </is>
      </c>
      <c r="R32" t="n">
        <v>1847</v>
      </c>
      <c r="S32" t="n">
        <v>1745</v>
      </c>
      <c r="T32" t="n">
        <v>1435</v>
      </c>
    </row>
    <row r="33">
      <c r="A33" t="n">
        <v>32</v>
      </c>
      <c r="B33" t="inlineStr">
        <is>
          <t>16/04/2026</t>
        </is>
      </c>
      <c r="C33" t="inlineStr">
        <is>
          <t>CD</t>
        </is>
      </c>
      <c r="D33" t="n">
        <v>1876</v>
      </c>
      <c r="E33" t="n">
        <v>1974</v>
      </c>
      <c r="F33" t="n">
        <v>1174</v>
      </c>
      <c r="H33">
        <f>IF(B21="","",TEXT(B21,"dd/mm") &amp; "-" &amp; IF(UPPER(TRIM(C21))="CN",1,IF(UPPER(TRIM(C21))="CD",2,"")))</f>
        <v/>
      </c>
      <c r="I33" s="1" t="n">
        <v>0.35</v>
      </c>
      <c r="J33" s="1" t="n">
        <v>0.4941176470588236</v>
      </c>
      <c r="K33" s="1">
        <f>IFERROR($E21/SUM($D21:$F21),"")</f>
        <v/>
      </c>
      <c r="L33" s="1">
        <f>IFERROR($D21/SUM($D21:$F21),"")</f>
        <v/>
      </c>
      <c r="M33" s="1">
        <f>IFERROR($F21/SUM($D21:$F21),"")</f>
        <v/>
      </c>
      <c r="O33" t="n">
        <v>32</v>
      </c>
      <c r="P33" t="inlineStr">
        <is>
          <t>17/01/2026</t>
        </is>
      </c>
      <c r="Q33" t="inlineStr">
        <is>
          <t>CN</t>
        </is>
      </c>
      <c r="R33" t="n">
        <v>1881</v>
      </c>
      <c r="S33" t="n">
        <v>1689</v>
      </c>
      <c r="T33" t="n">
        <v>1456</v>
      </c>
    </row>
    <row r="34">
      <c r="A34" t="n">
        <v>33</v>
      </c>
      <c r="B34" t="inlineStr">
        <is>
          <t>17/04/2026</t>
        </is>
      </c>
      <c r="C34" t="inlineStr">
        <is>
          <t>CN</t>
        </is>
      </c>
      <c r="D34" t="n">
        <v>1566</v>
      </c>
      <c r="E34" t="n">
        <v>1474</v>
      </c>
      <c r="F34" t="n">
        <v>1986</v>
      </c>
      <c r="H34">
        <f>IF(B22="","",TEXT(B22,"dd/mm") &amp; "-" &amp; IF(UPPER(TRIM(C22))="CN",1,IF(UPPER(TRIM(C22))="CD",2,"")))</f>
        <v/>
      </c>
      <c r="I34" s="1" t="n">
        <v>0.35</v>
      </c>
      <c r="J34" s="1" t="n">
        <v>0.4941176470588236</v>
      </c>
      <c r="K34" s="1">
        <f>IFERROR($E22/SUM($D22:$F22),"")</f>
        <v/>
      </c>
      <c r="L34" s="1">
        <f>IFERROR($D22/SUM($D22:$F22),"")</f>
        <v/>
      </c>
      <c r="M34" s="1">
        <f>IFERROR($F22/SUM($D22:$F22),"")</f>
        <v/>
      </c>
      <c r="O34" t="n">
        <v>33</v>
      </c>
      <c r="P34" t="inlineStr">
        <is>
          <t>17/01/2026</t>
        </is>
      </c>
      <c r="Q34" t="inlineStr">
        <is>
          <t>CD</t>
        </is>
      </c>
      <c r="R34" t="n">
        <v>1581</v>
      </c>
      <c r="S34" t="n">
        <v>1746</v>
      </c>
      <c r="T34" t="n">
        <v>1700</v>
      </c>
    </row>
    <row r="35">
      <c r="A35" t="n">
        <v>34</v>
      </c>
      <c r="B35" t="inlineStr">
        <is>
          <t>17/04/2026</t>
        </is>
      </c>
      <c r="C35" t="inlineStr">
        <is>
          <t>CD</t>
        </is>
      </c>
      <c r="D35" t="n">
        <v>1899</v>
      </c>
      <c r="E35" t="n">
        <v>1619</v>
      </c>
      <c r="F35" t="n">
        <v>1507</v>
      </c>
      <c r="H35">
        <f>IF(B23="","",TEXT(B23,"dd/mm") &amp; "-" &amp; IF(UPPER(TRIM(C23))="CN",1,IF(UPPER(TRIM(C23))="CD",2,"")))</f>
        <v/>
      </c>
      <c r="I35" s="1" t="n">
        <v>0.35</v>
      </c>
      <c r="J35" s="1" t="n">
        <v>0.4941176470588236</v>
      </c>
      <c r="K35" s="1">
        <f>IFERROR($E23/SUM($D23:$F23),"")</f>
        <v/>
      </c>
      <c r="L35" s="1">
        <f>IFERROR($D23/SUM($D23:$F23),"")</f>
        <v/>
      </c>
      <c r="M35" s="1">
        <f>IFERROR($F23/SUM($D23:$F23),"")</f>
        <v/>
      </c>
      <c r="O35" t="n">
        <v>34</v>
      </c>
      <c r="P35" t="inlineStr">
        <is>
          <t>18/01/2026</t>
        </is>
      </c>
      <c r="Q35" t="inlineStr">
        <is>
          <t>CN</t>
        </is>
      </c>
      <c r="R35" t="n">
        <v>0</v>
      </c>
      <c r="S35" t="n">
        <v>0</v>
      </c>
      <c r="T35" t="n">
        <v>5040</v>
      </c>
    </row>
    <row r="36">
      <c r="A36" t="n">
        <v>35</v>
      </c>
      <c r="B36" t="inlineStr">
        <is>
          <t>18/04/2026</t>
        </is>
      </c>
      <c r="C36" t="inlineStr">
        <is>
          <t>CN</t>
        </is>
      </c>
      <c r="D36" t="n">
        <v>1479</v>
      </c>
      <c r="E36" t="n">
        <v>1045</v>
      </c>
      <c r="F36" t="n">
        <v>2504</v>
      </c>
      <c r="H36">
        <f>IF(B24="","",TEXT(B24,"dd/mm") &amp; "-" &amp; IF(UPPER(TRIM(C24))="CN",1,IF(UPPER(TRIM(C24))="CD",2,"")))</f>
        <v/>
      </c>
      <c r="I36" s="1" t="n">
        <v>0.35</v>
      </c>
      <c r="J36" s="1" t="n">
        <v>0.4941176470588236</v>
      </c>
      <c r="K36" s="1">
        <f>IFERROR($E24/SUM($D24:$F24),"")</f>
        <v/>
      </c>
      <c r="L36" s="1">
        <f>IFERROR($D24/SUM($D24:$F24),"")</f>
        <v/>
      </c>
      <c r="M36" s="1">
        <f>IFERROR($F24/SUM($D24:$F24),"")</f>
        <v/>
      </c>
      <c r="O36" t="n">
        <v>35</v>
      </c>
      <c r="P36" t="inlineStr">
        <is>
          <t>18/01/2026</t>
        </is>
      </c>
      <c r="Q36" t="inlineStr">
        <is>
          <t>CD</t>
        </is>
      </c>
      <c r="R36" t="n">
        <v>0</v>
      </c>
      <c r="S36" t="n">
        <v>0</v>
      </c>
      <c r="T36" t="n">
        <v>5040</v>
      </c>
    </row>
    <row r="37">
      <c r="A37" t="n">
        <v>36</v>
      </c>
      <c r="B37" t="inlineStr">
        <is>
          <t>18/04/2026</t>
        </is>
      </c>
      <c r="C37" t="inlineStr">
        <is>
          <t>CD</t>
        </is>
      </c>
      <c r="D37" t="n">
        <v>1832</v>
      </c>
      <c r="E37" t="n">
        <v>1187</v>
      </c>
      <c r="F37" t="n">
        <v>2009</v>
      </c>
      <c r="H37">
        <f>IF(B25="","",TEXT(B25,"dd/mm") &amp; "-" &amp; IF(UPPER(TRIM(C25))="CN",1,IF(UPPER(TRIM(C25))="CD",2,"")))</f>
        <v/>
      </c>
      <c r="I37" s="1" t="n">
        <v>0.35</v>
      </c>
      <c r="J37" s="1" t="n">
        <v>0.4941176470588236</v>
      </c>
      <c r="K37" s="1">
        <f>IFERROR($E25/SUM($D25:$F25),"")</f>
        <v/>
      </c>
      <c r="L37" s="1">
        <f>IFERROR($D25/SUM($D25:$F25),"")</f>
        <v/>
      </c>
      <c r="M37" s="1">
        <f>IFERROR($F25/SUM($D25:$F25),"")</f>
        <v/>
      </c>
      <c r="O37" t="n">
        <v>36</v>
      </c>
      <c r="P37" t="inlineStr">
        <is>
          <t>19/01/2026</t>
        </is>
      </c>
      <c r="Q37" t="inlineStr">
        <is>
          <t>CN</t>
        </is>
      </c>
      <c r="R37" t="n">
        <v>1557</v>
      </c>
      <c r="S37" t="n">
        <v>1894</v>
      </c>
      <c r="T37" t="n">
        <v>1575</v>
      </c>
    </row>
    <row r="38">
      <c r="A38" t="n">
        <v>37</v>
      </c>
      <c r="B38" t="inlineStr">
        <is>
          <t>19/04/2026</t>
        </is>
      </c>
      <c r="C38" t="inlineStr">
        <is>
          <t>CN</t>
        </is>
      </c>
      <c r="D38" t="n">
        <v>0</v>
      </c>
      <c r="E38" t="n">
        <v>0</v>
      </c>
      <c r="F38" t="n">
        <v>5040</v>
      </c>
      <c r="H38">
        <f>IF(B26="","",TEXT(B26,"dd/mm") &amp; "-" &amp; IF(UPPER(TRIM(C26))="CN",1,IF(UPPER(TRIM(C26))="CD",2,"")))</f>
        <v/>
      </c>
      <c r="I38" s="1" t="n">
        <v>0.35</v>
      </c>
      <c r="J38" s="1" t="n">
        <v>0.4941176470588236</v>
      </c>
      <c r="K38" s="1">
        <f>IFERROR($E26/SUM($D26:$F26),"")</f>
        <v/>
      </c>
      <c r="L38" s="1">
        <f>IFERROR($D26/SUM($D26:$F26),"")</f>
        <v/>
      </c>
      <c r="M38" s="1">
        <f>IFERROR($F26/SUM($D26:$F26),"")</f>
        <v/>
      </c>
      <c r="O38" t="n">
        <v>37</v>
      </c>
      <c r="P38" t="inlineStr">
        <is>
          <t>19/01/2026</t>
        </is>
      </c>
      <c r="Q38" t="inlineStr">
        <is>
          <t>CD</t>
        </is>
      </c>
      <c r="R38" t="n">
        <v>2191</v>
      </c>
      <c r="S38" t="n">
        <v>1651</v>
      </c>
      <c r="T38" t="n">
        <v>1184</v>
      </c>
    </row>
    <row r="39">
      <c r="A39" t="n">
        <v>38</v>
      </c>
      <c r="B39" t="inlineStr">
        <is>
          <t>19/04/2026</t>
        </is>
      </c>
      <c r="C39" t="inlineStr">
        <is>
          <t>CD</t>
        </is>
      </c>
      <c r="D39" t="n">
        <v>0</v>
      </c>
      <c r="E39" t="n">
        <v>0</v>
      </c>
      <c r="F39" t="n">
        <v>5040</v>
      </c>
      <c r="H39">
        <f>IF(B27="","",TEXT(B27,"dd/mm") &amp; "-" &amp; IF(UPPER(TRIM(C27))="CN",1,IF(UPPER(TRIM(C27))="CD",2,"")))</f>
        <v/>
      </c>
      <c r="I39" s="1" t="n">
        <v>0.35</v>
      </c>
      <c r="J39" s="1" t="n">
        <v>0.4941176470588236</v>
      </c>
      <c r="K39" s="1">
        <f>IFERROR($E27/SUM($D27:$F27),"")</f>
        <v/>
      </c>
      <c r="L39" s="1">
        <f>IFERROR($D27/SUM($D27:$F27),"")</f>
        <v/>
      </c>
      <c r="M39" s="1">
        <f>IFERROR($F27/SUM($D27:$F27),"")</f>
        <v/>
      </c>
      <c r="O39" t="n">
        <v>38</v>
      </c>
      <c r="P39" t="inlineStr">
        <is>
          <t>20/01/2026</t>
        </is>
      </c>
      <c r="Q39" t="inlineStr">
        <is>
          <t>CN</t>
        </is>
      </c>
      <c r="R39" t="n">
        <v>1671</v>
      </c>
      <c r="S39" t="n">
        <v>1380</v>
      </c>
      <c r="T39" t="n">
        <v>1976</v>
      </c>
    </row>
    <row r="40">
      <c r="A40" t="n">
        <v>39</v>
      </c>
      <c r="B40" t="inlineStr">
        <is>
          <t>20/04/2026</t>
        </is>
      </c>
      <c r="C40" t="inlineStr">
        <is>
          <t>CN</t>
        </is>
      </c>
      <c r="D40" t="n">
        <v>1951</v>
      </c>
      <c r="E40" t="n">
        <v>1645</v>
      </c>
      <c r="F40" t="n">
        <v>1428</v>
      </c>
      <c r="H40">
        <f>IF(B28="","",TEXT(B28,"dd/mm") &amp; "-" &amp; IF(UPPER(TRIM(C28))="CN",1,IF(UPPER(TRIM(C28))="CD",2,"")))</f>
        <v/>
      </c>
      <c r="I40" s="1" t="n">
        <v>0.35</v>
      </c>
      <c r="J40" s="1" t="n">
        <v>0.4941176470588236</v>
      </c>
      <c r="K40" s="1">
        <f>IFERROR($E28/SUM($D28:$F28),"")</f>
        <v/>
      </c>
      <c r="L40" s="1">
        <f>IFERROR($D28/SUM($D28:$F28),"")</f>
        <v/>
      </c>
      <c r="M40" s="1">
        <f>IFERROR($F28/SUM($D28:$F28),"")</f>
        <v/>
      </c>
      <c r="O40" t="n">
        <v>39</v>
      </c>
      <c r="P40" t="inlineStr">
        <is>
          <t>20/01/2026</t>
        </is>
      </c>
      <c r="Q40" t="inlineStr">
        <is>
          <t>CD</t>
        </is>
      </c>
      <c r="R40" t="n">
        <v>2039</v>
      </c>
      <c r="S40" t="n">
        <v>1459</v>
      </c>
      <c r="T40" t="n">
        <v>1529</v>
      </c>
    </row>
    <row r="41">
      <c r="A41" t="n">
        <v>40</v>
      </c>
      <c r="B41" t="inlineStr">
        <is>
          <t>20/04/2026</t>
        </is>
      </c>
      <c r="C41" t="inlineStr">
        <is>
          <t>CD</t>
        </is>
      </c>
      <c r="D41" t="n">
        <v>1663</v>
      </c>
      <c r="E41" t="n">
        <v>1549</v>
      </c>
      <c r="F41" t="n">
        <v>1814</v>
      </c>
      <c r="H41">
        <f>IF(B29="","",TEXT(B29,"dd/mm") &amp; "-" &amp; IF(UPPER(TRIM(C29))="CN",1,IF(UPPER(TRIM(C29))="CD",2,"")))</f>
        <v/>
      </c>
      <c r="I41" s="1" t="n">
        <v>0.35</v>
      </c>
      <c r="J41" s="1" t="n">
        <v>0.4941176470588236</v>
      </c>
      <c r="K41" s="1">
        <f>IFERROR($E29/SUM($D29:$F29),"")</f>
        <v/>
      </c>
      <c r="L41" s="1">
        <f>IFERROR($D29/SUM($D29:$F29),"")</f>
        <v/>
      </c>
      <c r="M41" s="1">
        <f>IFERROR($F29/SUM($D29:$F29),"")</f>
        <v/>
      </c>
      <c r="O41" t="n">
        <v>40</v>
      </c>
      <c r="P41" t="inlineStr">
        <is>
          <t>21/01/2026</t>
        </is>
      </c>
      <c r="Q41" t="inlineStr">
        <is>
          <t>CN</t>
        </is>
      </c>
      <c r="R41" t="n">
        <v>1447</v>
      </c>
      <c r="S41" t="n">
        <v>1595</v>
      </c>
      <c r="T41" t="n">
        <v>1984</v>
      </c>
    </row>
    <row r="42">
      <c r="A42" t="n">
        <v>41</v>
      </c>
      <c r="B42" t="inlineStr">
        <is>
          <t>21/04/2026</t>
        </is>
      </c>
      <c r="C42" t="inlineStr">
        <is>
          <t>CN</t>
        </is>
      </c>
      <c r="D42" t="n">
        <v>2321</v>
      </c>
      <c r="E42" t="n">
        <v>1264</v>
      </c>
      <c r="F42" t="n">
        <v>1440</v>
      </c>
      <c r="H42">
        <f>IF(B30="","",TEXT(B30,"dd/mm") &amp; "-" &amp; IF(UPPER(TRIM(C30))="CN",1,IF(UPPER(TRIM(C30))="CD",2,"")))</f>
        <v/>
      </c>
      <c r="I42" s="1" t="n">
        <v>0.35</v>
      </c>
      <c r="J42" s="1" t="n">
        <v>0.4941176470588236</v>
      </c>
      <c r="K42" s="1">
        <f>IFERROR($E30/SUM($D30:$F30),"")</f>
        <v/>
      </c>
      <c r="L42" s="1">
        <f>IFERROR($D30/SUM($D30:$F30),"")</f>
        <v/>
      </c>
      <c r="M42" s="1">
        <f>IFERROR($F30/SUM($D30:$F30),"")</f>
        <v/>
      </c>
      <c r="O42" t="n">
        <v>41</v>
      </c>
      <c r="P42" t="inlineStr">
        <is>
          <t>21/01/2026</t>
        </is>
      </c>
      <c r="Q42" t="inlineStr">
        <is>
          <t>CD</t>
        </is>
      </c>
      <c r="R42" t="n">
        <v>2264</v>
      </c>
      <c r="S42" t="n">
        <v>1611</v>
      </c>
      <c r="T42" t="n">
        <v>1150</v>
      </c>
    </row>
    <row r="43">
      <c r="A43" t="n">
        <v>42</v>
      </c>
      <c r="B43" t="inlineStr">
        <is>
          <t>21/04/2026</t>
        </is>
      </c>
      <c r="C43" t="inlineStr">
        <is>
          <t>CD</t>
        </is>
      </c>
      <c r="D43" t="n">
        <v>2039</v>
      </c>
      <c r="E43" t="n">
        <v>1460</v>
      </c>
      <c r="F43" t="n">
        <v>1527</v>
      </c>
      <c r="H43">
        <f>IF(B31="","",TEXT(B31,"dd/mm") &amp; "-" &amp; IF(UPPER(TRIM(C31))="CN",1,IF(UPPER(TRIM(C31))="CD",2,"")))</f>
        <v/>
      </c>
      <c r="I43" s="1" t="n">
        <v>0.35</v>
      </c>
      <c r="J43" s="1" t="n">
        <v>0.4941176470588236</v>
      </c>
      <c r="K43" s="1">
        <f>IFERROR($E31/SUM($D31:$F31),"")</f>
        <v/>
      </c>
      <c r="L43" s="1">
        <f>IFERROR($D31/SUM($D31:$F31),"")</f>
        <v/>
      </c>
      <c r="M43" s="1">
        <f>IFERROR($F31/SUM($D31:$F31),"")</f>
        <v/>
      </c>
      <c r="O43" t="n">
        <v>42</v>
      </c>
      <c r="P43" t="inlineStr">
        <is>
          <t>22/01/2026</t>
        </is>
      </c>
      <c r="Q43" t="inlineStr">
        <is>
          <t>CN</t>
        </is>
      </c>
      <c r="R43" t="n">
        <v>1643</v>
      </c>
      <c r="S43" t="n">
        <v>1933</v>
      </c>
      <c r="T43" t="n">
        <v>1449</v>
      </c>
    </row>
    <row r="44">
      <c r="A44" t="n">
        <v>43</v>
      </c>
      <c r="B44" t="inlineStr">
        <is>
          <t>22/04/2026</t>
        </is>
      </c>
      <c r="C44" t="inlineStr">
        <is>
          <t>CN</t>
        </is>
      </c>
      <c r="D44" t="n">
        <v>2188</v>
      </c>
      <c r="E44" t="n">
        <v>1408</v>
      </c>
      <c r="F44" t="n">
        <v>1433</v>
      </c>
      <c r="H44">
        <f>IF(B32="","",TEXT(B32,"dd/mm") &amp; "-" &amp; IF(UPPER(TRIM(C32))="CN",1,IF(UPPER(TRIM(C32))="CD",2,"")))</f>
        <v/>
      </c>
      <c r="I44" s="1" t="n">
        <v>0.35</v>
      </c>
      <c r="J44" s="1" t="n">
        <v>0.4941176470588236</v>
      </c>
      <c r="K44" s="1">
        <f>IFERROR($E32/SUM($D32:$F32),"")</f>
        <v/>
      </c>
      <c r="L44" s="1">
        <f>IFERROR($D32/SUM($D32:$F32),"")</f>
        <v/>
      </c>
      <c r="M44" s="1">
        <f>IFERROR($F32/SUM($D32:$F32),"")</f>
        <v/>
      </c>
      <c r="O44" t="n">
        <v>43</v>
      </c>
      <c r="P44" t="inlineStr">
        <is>
          <t>22/01/2026</t>
        </is>
      </c>
      <c r="Q44" t="inlineStr">
        <is>
          <t>CD</t>
        </is>
      </c>
      <c r="R44" t="n">
        <v>2096</v>
      </c>
      <c r="S44" t="n">
        <v>1765</v>
      </c>
      <c r="T44" t="n">
        <v>1161</v>
      </c>
    </row>
    <row r="45">
      <c r="A45" t="n">
        <v>44</v>
      </c>
      <c r="B45" t="inlineStr">
        <is>
          <t>22/04/2026</t>
        </is>
      </c>
      <c r="C45" t="inlineStr">
        <is>
          <t>CD</t>
        </is>
      </c>
      <c r="D45" t="n">
        <v>1543</v>
      </c>
      <c r="E45" t="n">
        <v>1503</v>
      </c>
      <c r="F45" t="n">
        <v>1978</v>
      </c>
      <c r="H45">
        <f>IF(B33="","",TEXT(B33,"dd/mm") &amp; "-" &amp; IF(UPPER(TRIM(C33))="CN",1,IF(UPPER(TRIM(C33))="CD",2,"")))</f>
        <v/>
      </c>
      <c r="I45" s="1" t="n">
        <v>0.35</v>
      </c>
      <c r="J45" s="1" t="n">
        <v>0.4941176470588236</v>
      </c>
      <c r="K45" s="1">
        <f>IFERROR($E33/SUM($D33:$F33),"")</f>
        <v/>
      </c>
      <c r="L45" s="1">
        <f>IFERROR($D33/SUM($D33:$F33),"")</f>
        <v/>
      </c>
      <c r="M45" s="1">
        <f>IFERROR($F33/SUM($D33:$F33),"")</f>
        <v/>
      </c>
      <c r="O45" t="n">
        <v>44</v>
      </c>
      <c r="P45" t="inlineStr">
        <is>
          <t>23/01/2026</t>
        </is>
      </c>
      <c r="Q45" t="inlineStr">
        <is>
          <t>CN</t>
        </is>
      </c>
      <c r="R45" t="n">
        <v>1890</v>
      </c>
      <c r="S45" t="n">
        <v>1684</v>
      </c>
      <c r="T45" t="n">
        <v>1452</v>
      </c>
    </row>
    <row r="46">
      <c r="A46" t="n">
        <v>45</v>
      </c>
      <c r="B46" t="inlineStr">
        <is>
          <t>23/04/2026</t>
        </is>
      </c>
      <c r="C46" t="inlineStr">
        <is>
          <t>CN</t>
        </is>
      </c>
      <c r="D46" t="n">
        <v>2109</v>
      </c>
      <c r="E46" t="n">
        <v>1489</v>
      </c>
      <c r="F46" t="n">
        <v>1429</v>
      </c>
      <c r="H46">
        <f>IF(B34="","",TEXT(B34,"dd/mm") &amp; "-" &amp; IF(UPPER(TRIM(C34))="CN",1,IF(UPPER(TRIM(C34))="CD",2,"")))</f>
        <v/>
      </c>
      <c r="I46" s="1" t="n">
        <v>0.35</v>
      </c>
      <c r="J46" s="1" t="n">
        <v>0.4941176470588236</v>
      </c>
      <c r="K46" s="1">
        <f>IFERROR($E34/SUM($D34:$F34),"")</f>
        <v/>
      </c>
      <c r="L46" s="1">
        <f>IFERROR($D34/SUM($D34:$F34),"")</f>
        <v/>
      </c>
      <c r="M46" s="1">
        <f>IFERROR($F34/SUM($D34:$F34),"")</f>
        <v/>
      </c>
      <c r="O46" t="n">
        <v>45</v>
      </c>
      <c r="P46" t="inlineStr">
        <is>
          <t>23/01/2026</t>
        </is>
      </c>
      <c r="Q46" t="inlineStr">
        <is>
          <t>CD</t>
        </is>
      </c>
      <c r="R46" t="n">
        <v>2141</v>
      </c>
      <c r="S46" t="n">
        <v>1764</v>
      </c>
      <c r="T46" t="n">
        <v>1120</v>
      </c>
    </row>
    <row r="47">
      <c r="A47" t="n">
        <v>46</v>
      </c>
      <c r="B47" t="inlineStr">
        <is>
          <t>23/04/2026</t>
        </is>
      </c>
      <c r="C47" t="inlineStr">
        <is>
          <t>CD</t>
        </is>
      </c>
      <c r="D47" t="n">
        <v>1501</v>
      </c>
      <c r="E47" t="n">
        <v>1898</v>
      </c>
      <c r="F47" t="n">
        <v>1622</v>
      </c>
      <c r="H47">
        <f>IF(B35="","",TEXT(B35,"dd/mm") &amp; "-" &amp; IF(UPPER(TRIM(C35))="CN",1,IF(UPPER(TRIM(C35))="CD",2,"")))</f>
        <v/>
      </c>
      <c r="I47" s="1" t="n">
        <v>0.35</v>
      </c>
      <c r="J47" s="1" t="n">
        <v>0.4941176470588236</v>
      </c>
      <c r="K47" s="1">
        <f>IFERROR($E35/SUM($D35:$F35),"")</f>
        <v/>
      </c>
      <c r="L47" s="1">
        <f>IFERROR($D35/SUM($D35:$F35),"")</f>
        <v/>
      </c>
      <c r="M47" s="1">
        <f>IFERROR($F35/SUM($D35:$F35),"")</f>
        <v/>
      </c>
      <c r="O47" t="n">
        <v>46</v>
      </c>
      <c r="P47" t="inlineStr">
        <is>
          <t>24/01/2026</t>
        </is>
      </c>
      <c r="Q47" t="inlineStr">
        <is>
          <t>CN</t>
        </is>
      </c>
      <c r="R47" t="n">
        <v>1524</v>
      </c>
      <c r="S47" t="n">
        <v>1851</v>
      </c>
      <c r="T47" t="n">
        <v>1650</v>
      </c>
    </row>
    <row r="48">
      <c r="A48" t="n">
        <v>47</v>
      </c>
      <c r="B48" t="inlineStr">
        <is>
          <t>24/04/2026</t>
        </is>
      </c>
      <c r="C48" t="inlineStr">
        <is>
          <t>CN</t>
        </is>
      </c>
      <c r="D48" t="n">
        <v>2023</v>
      </c>
      <c r="E48" t="n">
        <v>1572</v>
      </c>
      <c r="F48" t="n">
        <v>1432</v>
      </c>
      <c r="H48">
        <f>IF(B36="","",TEXT(B36,"dd/mm") &amp; "-" &amp; IF(UPPER(TRIM(C36))="CN",1,IF(UPPER(TRIM(C36))="CD",2,"")))</f>
        <v/>
      </c>
      <c r="I48" s="1" t="n">
        <v>0.35</v>
      </c>
      <c r="J48" s="1" t="n">
        <v>0.4941176470588236</v>
      </c>
      <c r="K48" s="1">
        <f>IFERROR($E36/SUM($D36:$F36),"")</f>
        <v/>
      </c>
      <c r="L48" s="1">
        <f>IFERROR($D36/SUM($D36:$F36),"")</f>
        <v/>
      </c>
      <c r="M48" s="1">
        <f>IFERROR($F36/SUM($D36:$F36),"")</f>
        <v/>
      </c>
      <c r="O48" t="n">
        <v>47</v>
      </c>
      <c r="P48" t="inlineStr">
        <is>
          <t>24/01/2026</t>
        </is>
      </c>
      <c r="Q48" t="inlineStr">
        <is>
          <t>CD</t>
        </is>
      </c>
      <c r="R48" t="n">
        <v>1589</v>
      </c>
      <c r="S48" t="n">
        <v>1725</v>
      </c>
      <c r="T48" t="n">
        <v>1712</v>
      </c>
    </row>
    <row r="49">
      <c r="A49" t="n">
        <v>48</v>
      </c>
      <c r="B49" t="inlineStr">
        <is>
          <t>24/04/2026</t>
        </is>
      </c>
      <c r="C49" t="inlineStr">
        <is>
          <t>CD</t>
        </is>
      </c>
      <c r="D49" t="n">
        <v>1804</v>
      </c>
      <c r="E49" t="n">
        <v>1542</v>
      </c>
      <c r="F49" t="n">
        <v>1679</v>
      </c>
      <c r="H49">
        <f>IF(B37="","",TEXT(B37,"dd/mm") &amp; "-" &amp; IF(UPPER(TRIM(C37))="CN",1,IF(UPPER(TRIM(C37))="CD",2,"")))</f>
        <v/>
      </c>
      <c r="I49" s="1" t="n">
        <v>0.35</v>
      </c>
      <c r="J49" s="1" t="n">
        <v>0.4941176470588236</v>
      </c>
      <c r="K49" s="1">
        <f>IFERROR($E37/SUM($D37:$F37),"")</f>
        <v/>
      </c>
      <c r="L49" s="1">
        <f>IFERROR($D37/SUM($D37:$F37),"")</f>
        <v/>
      </c>
      <c r="M49" s="1">
        <f>IFERROR($F37/SUM($D37:$F37),"")</f>
        <v/>
      </c>
      <c r="O49" t="n">
        <v>48</v>
      </c>
      <c r="P49" t="inlineStr">
        <is>
          <t>25/01/2026</t>
        </is>
      </c>
      <c r="Q49" t="inlineStr">
        <is>
          <t>CN</t>
        </is>
      </c>
      <c r="R49" t="n">
        <v>3</v>
      </c>
      <c r="S49" t="n">
        <v>2</v>
      </c>
      <c r="T49" t="n">
        <v>5034</v>
      </c>
    </row>
    <row r="50">
      <c r="A50" t="n">
        <v>49</v>
      </c>
      <c r="B50" t="inlineStr">
        <is>
          <t>25/04/2026</t>
        </is>
      </c>
      <c r="C50" t="inlineStr">
        <is>
          <t>CN</t>
        </is>
      </c>
      <c r="D50" t="n">
        <v>1905</v>
      </c>
      <c r="E50" t="n">
        <v>963</v>
      </c>
      <c r="F50" t="n">
        <v>2160</v>
      </c>
      <c r="H50">
        <f>IF(B38="","",TEXT(B38,"dd/mm") &amp; "-" &amp; IF(UPPER(TRIM(C38))="CN",1,IF(UPPER(TRIM(C38))="CD",2,"")))</f>
        <v/>
      </c>
      <c r="I50" s="1" t="n">
        <v>0.35</v>
      </c>
      <c r="J50" s="1" t="n">
        <v>0.4941176470588236</v>
      </c>
      <c r="K50" s="1">
        <f>IFERROR($E38/SUM($D38:$F38),"")</f>
        <v/>
      </c>
      <c r="L50" s="1">
        <f>IFERROR($D38/SUM($D38:$F38),"")</f>
        <v/>
      </c>
      <c r="M50" s="1">
        <f>IFERROR($F38/SUM($D38:$F38),"")</f>
        <v/>
      </c>
      <c r="O50" t="n">
        <v>49</v>
      </c>
      <c r="P50" t="inlineStr">
        <is>
          <t>25/01/2026</t>
        </is>
      </c>
      <c r="Q50" t="inlineStr">
        <is>
          <t>CD</t>
        </is>
      </c>
      <c r="R50" t="n">
        <v>0</v>
      </c>
      <c r="S50" t="n">
        <v>0</v>
      </c>
      <c r="T50" t="n">
        <v>5040</v>
      </c>
    </row>
    <row r="51">
      <c r="A51" t="n">
        <v>50</v>
      </c>
      <c r="B51" t="inlineStr">
        <is>
          <t>25/04/2026</t>
        </is>
      </c>
      <c r="C51" t="inlineStr">
        <is>
          <t>CD</t>
        </is>
      </c>
      <c r="D51" t="n">
        <v>578</v>
      </c>
      <c r="E51" t="n">
        <v>365</v>
      </c>
      <c r="F51" t="n">
        <v>4094</v>
      </c>
      <c r="H51">
        <f>IF(B39="","",TEXT(B39,"dd/mm") &amp; "-" &amp; IF(UPPER(TRIM(C39))="CN",1,IF(UPPER(TRIM(C39))="CD",2,"")))</f>
        <v/>
      </c>
      <c r="I51" s="1" t="n">
        <v>0.35</v>
      </c>
      <c r="J51" s="1" t="n">
        <v>0.4941176470588236</v>
      </c>
      <c r="K51" s="1">
        <f>IFERROR($E39/SUM($D39:$F39),"")</f>
        <v/>
      </c>
      <c r="L51" s="1">
        <f>IFERROR($D39/SUM($D39:$F39),"")</f>
        <v/>
      </c>
      <c r="M51" s="1">
        <f>IFERROR($F39/SUM($D39:$F39),"")</f>
        <v/>
      </c>
      <c r="O51" t="n">
        <v>50</v>
      </c>
      <c r="P51" t="inlineStr">
        <is>
          <t>26/01/2026</t>
        </is>
      </c>
      <c r="Q51" t="inlineStr">
        <is>
          <t>CN</t>
        </is>
      </c>
      <c r="R51" t="n">
        <v>2232</v>
      </c>
      <c r="S51" t="n">
        <v>1345</v>
      </c>
      <c r="T51" t="n">
        <v>1446</v>
      </c>
    </row>
    <row r="52">
      <c r="A52" t="n">
        <v>51</v>
      </c>
      <c r="B52" t="inlineStr">
        <is>
          <t>26/04/2026</t>
        </is>
      </c>
      <c r="C52" t="inlineStr">
        <is>
          <t>CN</t>
        </is>
      </c>
      <c r="D52" t="n">
        <v>0</v>
      </c>
      <c r="E52" t="n">
        <v>0</v>
      </c>
      <c r="F52" t="n">
        <v>5040</v>
      </c>
      <c r="H52">
        <f>IF(B40="","",TEXT(B40,"dd/mm") &amp; "-" &amp; IF(UPPER(TRIM(C40))="CN",1,IF(UPPER(TRIM(C40))="CD",2,"")))</f>
        <v/>
      </c>
      <c r="I52" s="1" t="n">
        <v>0.35</v>
      </c>
      <c r="J52" s="1" t="n">
        <v>0.4941176470588236</v>
      </c>
      <c r="K52" s="1">
        <f>IFERROR($E40/SUM($D40:$F40),"")</f>
        <v/>
      </c>
      <c r="L52" s="1">
        <f>IFERROR($D40/SUM($D40:$F40),"")</f>
        <v/>
      </c>
      <c r="M52" s="1">
        <f>IFERROR($F40/SUM($D40:$F40),"")</f>
        <v/>
      </c>
      <c r="O52" t="n">
        <v>51</v>
      </c>
      <c r="P52" t="inlineStr">
        <is>
          <t>26/01/2026</t>
        </is>
      </c>
      <c r="Q52" t="inlineStr">
        <is>
          <t>CD</t>
        </is>
      </c>
      <c r="R52" t="n">
        <v>1927</v>
      </c>
      <c r="S52" t="n">
        <v>2028</v>
      </c>
      <c r="T52" t="n">
        <v>1067</v>
      </c>
    </row>
    <row r="53">
      <c r="A53" t="n">
        <v>52</v>
      </c>
      <c r="B53" t="inlineStr">
        <is>
          <t>26/04/2026</t>
        </is>
      </c>
      <c r="C53" t="inlineStr">
        <is>
          <t>CD</t>
        </is>
      </c>
      <c r="D53" t="n">
        <v>0</v>
      </c>
      <c r="E53" t="n">
        <v>0</v>
      </c>
      <c r="F53" t="n">
        <v>5040</v>
      </c>
      <c r="H53">
        <f>IF(B41="","",TEXT(B41,"dd/mm") &amp; "-" &amp; IF(UPPER(TRIM(C41))="CN",1,IF(UPPER(TRIM(C41))="CD",2,"")))</f>
        <v/>
      </c>
      <c r="I53" s="1" t="n">
        <v>0.35</v>
      </c>
      <c r="J53" s="1" t="n">
        <v>0.4941176470588236</v>
      </c>
      <c r="K53" s="1">
        <f>IFERROR($E41/SUM($D41:$F41),"")</f>
        <v/>
      </c>
      <c r="L53" s="1">
        <f>IFERROR($D41/SUM($D41:$F41),"")</f>
        <v/>
      </c>
      <c r="M53" s="1">
        <f>IFERROR($F41/SUM($D41:$F41),"")</f>
        <v/>
      </c>
      <c r="O53" t="n">
        <v>52</v>
      </c>
      <c r="P53" t="inlineStr">
        <is>
          <t>27/01/2026</t>
        </is>
      </c>
      <c r="Q53" t="inlineStr">
        <is>
          <t>CN</t>
        </is>
      </c>
      <c r="R53" t="n">
        <v>2023</v>
      </c>
      <c r="S53" t="n">
        <v>1555</v>
      </c>
      <c r="T53" t="n">
        <v>1447</v>
      </c>
    </row>
    <row r="54">
      <c r="A54" t="n">
        <v>53</v>
      </c>
      <c r="B54" t="inlineStr">
        <is>
          <t>27/04/2026</t>
        </is>
      </c>
      <c r="C54" t="inlineStr">
        <is>
          <t>CN</t>
        </is>
      </c>
      <c r="D54" t="n">
        <v>1732</v>
      </c>
      <c r="E54" t="n">
        <v>748</v>
      </c>
      <c r="F54" t="n">
        <v>2548</v>
      </c>
      <c r="H54">
        <f>IF(B42="","",TEXT(B42,"dd/mm") &amp; "-" &amp; IF(UPPER(TRIM(C42))="CN",1,IF(UPPER(TRIM(C42))="CD",2,"")))</f>
        <v/>
      </c>
      <c r="I54" s="1" t="n">
        <v>0.35</v>
      </c>
      <c r="J54" s="1" t="n">
        <v>0.4941176470588236</v>
      </c>
      <c r="K54" s="1">
        <f>IFERROR($E42/SUM($D42:$F42),"")</f>
        <v/>
      </c>
      <c r="L54" s="1">
        <f>IFERROR($D42/SUM($D42:$F42),"")</f>
        <v/>
      </c>
      <c r="M54" s="1">
        <f>IFERROR($F42/SUM($D42:$F42),"")</f>
        <v/>
      </c>
      <c r="O54" t="n">
        <v>53</v>
      </c>
      <c r="P54" t="inlineStr">
        <is>
          <t>27/01/2026</t>
        </is>
      </c>
      <c r="Q54" t="inlineStr">
        <is>
          <t>CD</t>
        </is>
      </c>
      <c r="R54" t="n">
        <v>1770</v>
      </c>
      <c r="S54" t="n">
        <v>2168</v>
      </c>
      <c r="T54" t="n">
        <v>1084</v>
      </c>
    </row>
    <row r="55">
      <c r="A55" t="n">
        <v>54</v>
      </c>
      <c r="B55" t="inlineStr">
        <is>
          <t>27/04/2026</t>
        </is>
      </c>
      <c r="C55" t="inlineStr">
        <is>
          <t>CD</t>
        </is>
      </c>
      <c r="D55" t="n">
        <v>2002</v>
      </c>
      <c r="E55" t="n">
        <v>1790</v>
      </c>
      <c r="F55" t="n">
        <v>1233</v>
      </c>
      <c r="H55">
        <f>IF(B43="","",TEXT(B43,"dd/mm") &amp; "-" &amp; IF(UPPER(TRIM(C43))="CN",1,IF(UPPER(TRIM(C43))="CD",2,"")))</f>
        <v/>
      </c>
      <c r="I55" s="1" t="n">
        <v>0.35</v>
      </c>
      <c r="J55" s="1" t="n">
        <v>0.4941176470588236</v>
      </c>
      <c r="K55" s="1">
        <f>IFERROR($E43/SUM($D43:$F43),"")</f>
        <v/>
      </c>
      <c r="L55" s="1">
        <f>IFERROR($D43/SUM($D43:$F43),"")</f>
        <v/>
      </c>
      <c r="M55" s="1">
        <f>IFERROR($F43/SUM($D43:$F43),"")</f>
        <v/>
      </c>
      <c r="O55" t="n">
        <v>54</v>
      </c>
      <c r="P55" t="inlineStr">
        <is>
          <t>28/01/2026</t>
        </is>
      </c>
      <c r="Q55" t="inlineStr">
        <is>
          <t>CN</t>
        </is>
      </c>
      <c r="R55" t="n">
        <v>1808</v>
      </c>
      <c r="S55" t="n">
        <v>1766</v>
      </c>
      <c r="T55" t="n">
        <v>1452</v>
      </c>
    </row>
    <row r="56">
      <c r="H56">
        <f>IF(B44="","",TEXT(B44,"dd/mm") &amp; "-" &amp; IF(UPPER(TRIM(C44))="CN",1,IF(UPPER(TRIM(C44))="CD",2,"")))</f>
        <v/>
      </c>
      <c r="I56" s="1" t="n">
        <v>0.35</v>
      </c>
      <c r="J56" s="1" t="n">
        <v>0.4941176470588236</v>
      </c>
      <c r="K56" s="1">
        <f>IFERROR($E44/SUM($D44:$F44),"")</f>
        <v/>
      </c>
      <c r="L56" s="1">
        <f>IFERROR($D44/SUM($D44:$F44),"")</f>
        <v/>
      </c>
      <c r="M56" s="1">
        <f>IFERROR($F44/SUM($D44:$F44),"")</f>
        <v/>
      </c>
      <c r="O56" t="n">
        <v>55</v>
      </c>
      <c r="P56" t="inlineStr">
        <is>
          <t>28/01/2026</t>
        </is>
      </c>
      <c r="Q56" t="inlineStr">
        <is>
          <t>CD</t>
        </is>
      </c>
      <c r="R56" t="n">
        <v>1603</v>
      </c>
      <c r="S56" t="n">
        <v>2336</v>
      </c>
      <c r="T56" t="n">
        <v>1086</v>
      </c>
    </row>
    <row r="57">
      <c r="H57">
        <f>IF(B45="","",TEXT(B45,"dd/mm") &amp; "-" &amp; IF(UPPER(TRIM(C45))="CN",1,IF(UPPER(TRIM(C45))="CD",2,"")))</f>
        <v/>
      </c>
      <c r="I57" s="1" t="n">
        <v>0.35</v>
      </c>
      <c r="J57" s="1" t="n">
        <v>0.4941176470588236</v>
      </c>
      <c r="K57" s="1">
        <f>IFERROR($E45/SUM($D45:$F45),"")</f>
        <v/>
      </c>
      <c r="L57" s="1">
        <f>IFERROR($D45/SUM($D45:$F45),"")</f>
        <v/>
      </c>
      <c r="M57" s="1">
        <f>IFERROR($F45/SUM($D45:$F45),"")</f>
        <v/>
      </c>
      <c r="O57" t="n">
        <v>56</v>
      </c>
      <c r="P57" t="inlineStr">
        <is>
          <t>29/01/2026</t>
        </is>
      </c>
      <c r="Q57" t="inlineStr">
        <is>
          <t>CN</t>
        </is>
      </c>
      <c r="R57" t="n">
        <v>1840</v>
      </c>
      <c r="S57" t="n">
        <v>1724</v>
      </c>
      <c r="T57" t="n">
        <v>1460</v>
      </c>
    </row>
    <row r="58">
      <c r="H58">
        <f>IF(B46="","",TEXT(B46,"dd/mm") &amp; "-" &amp; IF(UPPER(TRIM(C46))="CN",1,IF(UPPER(TRIM(C46))="CD",2,"")))</f>
        <v/>
      </c>
      <c r="I58" s="1" t="n">
        <v>0.35</v>
      </c>
      <c r="J58" s="1" t="n">
        <v>0.4941176470588236</v>
      </c>
      <c r="K58" s="1">
        <f>IFERROR($E46/SUM($D46:$F46),"")</f>
        <v/>
      </c>
      <c r="L58" s="1">
        <f>IFERROR($D46/SUM($D46:$F46),"")</f>
        <v/>
      </c>
      <c r="M58" s="1">
        <f>IFERROR($F46/SUM($D46:$F46),"")</f>
        <v/>
      </c>
      <c r="O58" t="n">
        <v>57</v>
      </c>
      <c r="P58" t="inlineStr">
        <is>
          <t>29/01/2026</t>
        </is>
      </c>
      <c r="Q58" t="inlineStr">
        <is>
          <t>CD</t>
        </is>
      </c>
      <c r="R58" t="n">
        <v>1792</v>
      </c>
      <c r="S58" t="n">
        <v>2097</v>
      </c>
      <c r="T58" t="n">
        <v>1136</v>
      </c>
    </row>
    <row r="59">
      <c r="H59">
        <f>IF(B47="","",TEXT(B47,"dd/mm") &amp; "-" &amp; IF(UPPER(TRIM(C47))="CN",1,IF(UPPER(TRIM(C47))="CD",2,"")))</f>
        <v/>
      </c>
      <c r="I59" s="1" t="n">
        <v>0.35</v>
      </c>
      <c r="J59" s="1" t="n">
        <v>0.4941176470588236</v>
      </c>
      <c r="K59" s="1">
        <f>IFERROR($E47/SUM($D47:$F47),"")</f>
        <v/>
      </c>
      <c r="L59" s="1">
        <f>IFERROR($D47/SUM($D47:$F47),"")</f>
        <v/>
      </c>
      <c r="M59" s="1">
        <f>IFERROR($F47/SUM($D47:$F47),"")</f>
        <v/>
      </c>
      <c r="O59" t="n">
        <v>58</v>
      </c>
      <c r="P59" t="inlineStr">
        <is>
          <t>30/01/2026</t>
        </is>
      </c>
      <c r="Q59" t="inlineStr">
        <is>
          <t>CN</t>
        </is>
      </c>
      <c r="R59" t="n">
        <v>1886</v>
      </c>
      <c r="S59" t="n">
        <v>1686</v>
      </c>
      <c r="T59" t="n">
        <v>1454</v>
      </c>
    </row>
    <row r="60">
      <c r="H60">
        <f>IF(B48="","",TEXT(B48,"dd/mm") &amp; "-" &amp; IF(UPPER(TRIM(C48))="CN",1,IF(UPPER(TRIM(C48))="CD",2,"")))</f>
        <v/>
      </c>
      <c r="I60" s="1" t="n">
        <v>0.35</v>
      </c>
      <c r="J60" s="1" t="n">
        <v>0.4941176470588236</v>
      </c>
      <c r="K60" s="1">
        <f>IFERROR($E48/SUM($D48:$F48),"")</f>
        <v/>
      </c>
      <c r="L60" s="1">
        <f>IFERROR($D48/SUM($D48:$F48),"")</f>
        <v/>
      </c>
      <c r="M60" s="1">
        <f>IFERROR($F48/SUM($D48:$F48),"")</f>
        <v/>
      </c>
      <c r="O60" t="n">
        <v>59</v>
      </c>
      <c r="P60" t="inlineStr">
        <is>
          <t>30/01/2026</t>
        </is>
      </c>
      <c r="Q60" t="inlineStr">
        <is>
          <t>CD</t>
        </is>
      </c>
      <c r="R60" t="n">
        <v>1790</v>
      </c>
      <c r="S60" t="n">
        <v>2153</v>
      </c>
      <c r="T60" t="n">
        <v>1077</v>
      </c>
    </row>
    <row r="61">
      <c r="H61">
        <f>IF(B49="","",TEXT(B49,"dd/mm") &amp; "-" &amp; IF(UPPER(TRIM(C49))="CN",1,IF(UPPER(TRIM(C49))="CD",2,"")))</f>
        <v/>
      </c>
      <c r="I61" s="1" t="n">
        <v>0.35</v>
      </c>
      <c r="J61" s="1" t="n">
        <v>0.4941176470588236</v>
      </c>
      <c r="K61" s="1">
        <f>IFERROR($E49/SUM($D49:$F49),"")</f>
        <v/>
      </c>
      <c r="L61" s="1">
        <f>IFERROR($D49/SUM($D49:$F49),"")</f>
        <v/>
      </c>
      <c r="M61" s="1">
        <f>IFERROR($F49/SUM($D49:$F49),"")</f>
        <v/>
      </c>
      <c r="O61" t="n">
        <v>60</v>
      </c>
      <c r="P61" t="inlineStr">
        <is>
          <t>31/01/2026</t>
        </is>
      </c>
      <c r="Q61" t="inlineStr">
        <is>
          <t>CN</t>
        </is>
      </c>
      <c r="R61" t="n">
        <v>1862</v>
      </c>
      <c r="S61" t="n">
        <v>1496</v>
      </c>
      <c r="T61" t="n">
        <v>1668</v>
      </c>
    </row>
    <row r="62">
      <c r="H62">
        <f>IF(B50="","",TEXT(B50,"dd/mm") &amp; "-" &amp; IF(UPPER(TRIM(C50))="CN",1,IF(UPPER(TRIM(C50))="CD",2,"")))</f>
        <v/>
      </c>
      <c r="I62" s="1" t="n">
        <v>0.35</v>
      </c>
      <c r="J62" s="1" t="n">
        <v>0.4941176470588236</v>
      </c>
      <c r="K62" s="1">
        <f>IFERROR($E50/SUM($D50:$F50),"")</f>
        <v/>
      </c>
      <c r="L62" s="1">
        <f>IFERROR($D50/SUM($D50:$F50),"")</f>
        <v/>
      </c>
      <c r="M62" s="1">
        <f>IFERROR($F50/SUM($D50:$F50),"")</f>
        <v/>
      </c>
      <c r="O62" t="n">
        <v>61</v>
      </c>
      <c r="P62" t="inlineStr">
        <is>
          <t>31/01/2026</t>
        </is>
      </c>
      <c r="Q62" t="inlineStr">
        <is>
          <t>CD</t>
        </is>
      </c>
      <c r="R62" t="n">
        <v>1086</v>
      </c>
      <c r="S62" t="n">
        <v>1750</v>
      </c>
      <c r="T62" t="n">
        <v>2192</v>
      </c>
    </row>
    <row r="63">
      <c r="H63">
        <f>IF(B51="","",TEXT(B51,"dd/mm") &amp; "-" &amp; IF(UPPER(TRIM(C51))="CN",1,IF(UPPER(TRIM(C51))="CD",2,"")))</f>
        <v/>
      </c>
      <c r="I63" s="1" t="n">
        <v>0.35</v>
      </c>
      <c r="J63" s="1" t="n">
        <v>0.4941176470588236</v>
      </c>
      <c r="K63" s="1">
        <f>IFERROR($E51/SUM($D51:$F51),"")</f>
        <v/>
      </c>
      <c r="L63" s="1">
        <f>IFERROR($D51/SUM($D51:$F51),"")</f>
        <v/>
      </c>
      <c r="M63" s="1">
        <f>IFERROR($F51/SUM($D51:$F51),"")</f>
        <v/>
      </c>
      <c r="O63" t="n">
        <v>62</v>
      </c>
      <c r="P63" t="inlineStr">
        <is>
          <t>01/02/2026</t>
        </is>
      </c>
      <c r="Q63" t="inlineStr">
        <is>
          <t>CN</t>
        </is>
      </c>
      <c r="R63" t="n">
        <v>0</v>
      </c>
      <c r="S63" t="n">
        <v>0</v>
      </c>
      <c r="T63" t="n">
        <v>5040</v>
      </c>
    </row>
    <row r="64">
      <c r="H64">
        <f>IF(B52="","",TEXT(B52,"dd/mm") &amp; "-" &amp; IF(UPPER(TRIM(C52))="CN",1,IF(UPPER(TRIM(C52))="CD",2,"")))</f>
        <v/>
      </c>
      <c r="I64" s="1" t="n">
        <v>0.35</v>
      </c>
      <c r="J64" s="1" t="n">
        <v>0.4941176470588236</v>
      </c>
      <c r="K64" s="1">
        <f>IFERROR($E52/SUM($D52:$F52),"")</f>
        <v/>
      </c>
      <c r="L64" s="1">
        <f>IFERROR($D52/SUM($D52:$F52),"")</f>
        <v/>
      </c>
      <c r="M64" s="1">
        <f>IFERROR($F52/SUM($D52:$F52),"")</f>
        <v/>
      </c>
      <c r="O64" t="n">
        <v>63</v>
      </c>
      <c r="P64" t="inlineStr">
        <is>
          <t>01/02/2026</t>
        </is>
      </c>
      <c r="Q64" t="inlineStr">
        <is>
          <t>CD</t>
        </is>
      </c>
      <c r="R64" t="n">
        <v>0</v>
      </c>
      <c r="S64" t="n">
        <v>0</v>
      </c>
      <c r="T64" t="n">
        <v>5040</v>
      </c>
    </row>
    <row r="65">
      <c r="H65">
        <f>IF(B53="","",TEXT(B53,"dd/mm") &amp; "-" &amp; IF(UPPER(TRIM(C53))="CN",1,IF(UPPER(TRIM(C53))="CD",2,"")))</f>
        <v/>
      </c>
      <c r="I65" s="1" t="n">
        <v>0.35</v>
      </c>
      <c r="J65" s="1" t="n">
        <v>0.4941176470588236</v>
      </c>
      <c r="K65" s="1">
        <f>IFERROR($E53/SUM($D53:$F53),"")</f>
        <v/>
      </c>
      <c r="L65" s="1">
        <f>IFERROR($D53/SUM($D53:$F53),"")</f>
        <v/>
      </c>
      <c r="M65" s="1">
        <f>IFERROR($F53/SUM($D53:$F53),"")</f>
        <v/>
      </c>
      <c r="O65" t="n">
        <v>64</v>
      </c>
      <c r="P65" t="inlineStr">
        <is>
          <t>02/02/2026</t>
        </is>
      </c>
      <c r="Q65" t="inlineStr">
        <is>
          <t>CN</t>
        </is>
      </c>
      <c r="R65" t="n">
        <v>1735</v>
      </c>
      <c r="S65" t="n">
        <v>1849</v>
      </c>
      <c r="T65" t="n">
        <v>1438</v>
      </c>
    </row>
    <row r="66">
      <c r="H66">
        <f>IF(B54="","",TEXT(B54,"dd/mm") &amp; "-" &amp; IF(UPPER(TRIM(C54))="CN",1,IF(UPPER(TRIM(C54))="CD",2,"")))</f>
        <v/>
      </c>
      <c r="I66" s="1" t="n">
        <v>0.35</v>
      </c>
      <c r="J66" s="1" t="n">
        <v>0.4941176470588236</v>
      </c>
      <c r="K66" s="1">
        <f>IFERROR($E54/SUM($D54:$F54),"")</f>
        <v/>
      </c>
      <c r="L66" s="1">
        <f>IFERROR($D54/SUM($D54:$F54),"")</f>
        <v/>
      </c>
      <c r="M66" s="1">
        <f>IFERROR($F54/SUM($D54:$F54),"")</f>
        <v/>
      </c>
      <c r="O66" t="n">
        <v>65</v>
      </c>
      <c r="P66" t="inlineStr">
        <is>
          <t>02/02/2026</t>
        </is>
      </c>
      <c r="Q66" t="inlineStr">
        <is>
          <t>CD</t>
        </is>
      </c>
      <c r="R66" t="n">
        <v>2129</v>
      </c>
      <c r="S66" t="n">
        <v>1752</v>
      </c>
      <c r="T66" t="n">
        <v>1145</v>
      </c>
    </row>
    <row r="67">
      <c r="H67">
        <f>IF(B55="","",TEXT(B55,"dd/mm") &amp; "-" &amp; IF(UPPER(TRIM(C55))="CN",1,IF(UPPER(TRIM(C55))="CD",2,"")))</f>
        <v/>
      </c>
      <c r="I67" s="1" t="n">
        <v>0.35</v>
      </c>
      <c r="J67" s="1" t="n">
        <v>0.4941176470588236</v>
      </c>
      <c r="K67" s="1">
        <f>IFERROR($E55/SUM($D55:$F55),"")</f>
        <v/>
      </c>
      <c r="L67" s="1">
        <f>IFERROR($D55/SUM($D55:$F55),"")</f>
        <v/>
      </c>
      <c r="M67" s="1">
        <f>IFERROR($F55/SUM($D55:$F55),"")</f>
        <v/>
      </c>
      <c r="O67" t="n">
        <v>66</v>
      </c>
      <c r="P67" t="inlineStr">
        <is>
          <t>03/02/2026</t>
        </is>
      </c>
      <c r="Q67" t="inlineStr">
        <is>
          <t>CN</t>
        </is>
      </c>
      <c r="R67" t="n">
        <v>1874</v>
      </c>
      <c r="S67" t="n">
        <v>1716</v>
      </c>
      <c r="T67" t="n">
        <v>1436</v>
      </c>
    </row>
    <row r="68">
      <c r="H68">
        <f>IF(B56="","",TEXT(B56,"dd/mm") &amp; "-" &amp; IF(UPPER(TRIM(C56))="CN",1,IF(UPPER(TRIM(C56))="CD",2,"")))</f>
        <v/>
      </c>
      <c r="I68" s="1" t="n"/>
      <c r="J68" s="1" t="n"/>
      <c r="K68" s="1">
        <f>IFERROR($E56/SUM($D56:$F56),"")</f>
        <v/>
      </c>
      <c r="L68" s="1">
        <f>IFERROR($D56/SUM($D56:$F56),"")</f>
        <v/>
      </c>
      <c r="M68" s="1">
        <f>IFERROR($F56/SUM($D56:$F56),"")</f>
        <v/>
      </c>
      <c r="O68" t="n">
        <v>67</v>
      </c>
      <c r="P68" t="inlineStr">
        <is>
          <t>03/02/2026</t>
        </is>
      </c>
      <c r="Q68" t="inlineStr">
        <is>
          <t>CD</t>
        </is>
      </c>
      <c r="R68" t="n">
        <v>2042</v>
      </c>
      <c r="S68" t="n">
        <v>1774</v>
      </c>
      <c r="T68" t="n">
        <v>1208</v>
      </c>
    </row>
    <row r="69">
      <c r="H69">
        <f>IF(B57="","",TEXT(B57,"dd/mm") &amp; "-" &amp; IF(UPPER(TRIM(C57))="CN",1,IF(UPPER(TRIM(C57))="CD",2,"")))</f>
        <v/>
      </c>
      <c r="I69" s="1" t="n"/>
      <c r="J69" s="1" t="n"/>
      <c r="K69" s="1">
        <f>IFERROR($E57/SUM($D57:$F57),"")</f>
        <v/>
      </c>
      <c r="L69" s="1">
        <f>IFERROR($D57/SUM($D57:$F57),"")</f>
        <v/>
      </c>
      <c r="M69" s="1">
        <f>IFERROR($F57/SUM($D57:$F57),"")</f>
        <v/>
      </c>
      <c r="O69" t="n">
        <v>68</v>
      </c>
      <c r="P69" t="inlineStr">
        <is>
          <t>04/02/2026</t>
        </is>
      </c>
      <c r="Q69" t="inlineStr">
        <is>
          <t>CN</t>
        </is>
      </c>
      <c r="R69" t="n">
        <v>1480</v>
      </c>
      <c r="S69" t="n">
        <v>2097</v>
      </c>
      <c r="T69" t="n">
        <v>1443</v>
      </c>
    </row>
    <row r="70">
      <c r="H70">
        <f>IF(B58="","",TEXT(B58,"dd/mm") &amp; "-" &amp; IF(UPPER(TRIM(C58))="CN",1,IF(UPPER(TRIM(C58))="CD",2,"")))</f>
        <v/>
      </c>
      <c r="I70" s="1" t="n"/>
      <c r="J70" s="1" t="n"/>
      <c r="K70" s="1">
        <f>IFERROR($E58/SUM($D58:$F58),"")</f>
        <v/>
      </c>
      <c r="L70" s="1">
        <f>IFERROR($D58/SUM($D58:$F58),"")</f>
        <v/>
      </c>
      <c r="M70" s="1">
        <f>IFERROR($F58/SUM($D58:$F58),"")</f>
        <v/>
      </c>
      <c r="O70" t="n">
        <v>69</v>
      </c>
      <c r="P70" t="inlineStr">
        <is>
          <t>04/02/2026</t>
        </is>
      </c>
      <c r="Q70" t="inlineStr">
        <is>
          <t>CD</t>
        </is>
      </c>
      <c r="R70" t="n">
        <v>2086</v>
      </c>
      <c r="S70" t="n">
        <v>1789</v>
      </c>
      <c r="T70" t="n">
        <v>1151</v>
      </c>
    </row>
    <row r="71">
      <c r="H71">
        <f>IF(B59="","",TEXT(B59,"dd/mm") &amp; "-" &amp; IF(UPPER(TRIM(C59))="CN",1,IF(UPPER(TRIM(C59))="CD",2,"")))</f>
        <v/>
      </c>
      <c r="I71" s="1" t="n"/>
      <c r="J71" s="1" t="n"/>
      <c r="K71" s="1">
        <f>IFERROR($E59/SUM($D59:$F59),"")</f>
        <v/>
      </c>
      <c r="L71" s="1">
        <f>IFERROR($D59/SUM($D59:$F59),"")</f>
        <v/>
      </c>
      <c r="M71" s="1">
        <f>IFERROR($F59/SUM($D59:$F59),"")</f>
        <v/>
      </c>
      <c r="O71" t="n">
        <v>70</v>
      </c>
      <c r="P71" t="inlineStr">
        <is>
          <t>05/02/2026</t>
        </is>
      </c>
      <c r="Q71" t="inlineStr">
        <is>
          <t>CN</t>
        </is>
      </c>
      <c r="R71" t="n">
        <v>1709</v>
      </c>
      <c r="S71" t="n">
        <v>1866</v>
      </c>
      <c r="T71" t="n">
        <v>1450</v>
      </c>
    </row>
    <row r="72">
      <c r="H72">
        <f>IF(B60="","",TEXT(B60,"dd/mm") &amp; "-" &amp; IF(UPPER(TRIM(C60))="CN",1,IF(UPPER(TRIM(C60))="CD",2,"")))</f>
        <v/>
      </c>
      <c r="I72" s="1" t="n"/>
      <c r="J72" s="1" t="n"/>
      <c r="K72" s="1">
        <f>IFERROR($E60/SUM($D60:$F60),"")</f>
        <v/>
      </c>
      <c r="L72" s="1">
        <f>IFERROR($D60/SUM($D60:$F60),"")</f>
        <v/>
      </c>
      <c r="M72" s="1">
        <f>IFERROR($F60/SUM($D60:$F60),"")</f>
        <v/>
      </c>
      <c r="O72" t="n">
        <v>71</v>
      </c>
      <c r="P72" t="inlineStr">
        <is>
          <t>05/02/2026</t>
        </is>
      </c>
      <c r="Q72" t="inlineStr">
        <is>
          <t>CD</t>
        </is>
      </c>
      <c r="R72" t="n">
        <v>1942</v>
      </c>
      <c r="S72" t="n">
        <v>1928</v>
      </c>
      <c r="T72" t="n">
        <v>1153</v>
      </c>
    </row>
    <row r="73">
      <c r="H73">
        <f>IF(B61="","",TEXT(B61,"dd/mm") &amp; "-" &amp; IF(UPPER(TRIM(C61))="CN",1,IF(UPPER(TRIM(C61))="CD",2,"")))</f>
        <v/>
      </c>
      <c r="I73" s="1" t="n"/>
      <c r="J73" s="1" t="n"/>
      <c r="K73" s="1">
        <f>IFERROR($E61/SUM($D61:$F61),"")</f>
        <v/>
      </c>
      <c r="L73" s="1">
        <f>IFERROR($D61/SUM($D61:$F61),"")</f>
        <v/>
      </c>
      <c r="M73" s="1">
        <f>IFERROR($F61/SUM($D61:$F61),"")</f>
        <v/>
      </c>
      <c r="O73" t="n">
        <v>72</v>
      </c>
      <c r="P73" t="inlineStr">
        <is>
          <t>06/02/2026</t>
        </is>
      </c>
      <c r="Q73" t="inlineStr">
        <is>
          <t>CN</t>
        </is>
      </c>
      <c r="R73" t="n">
        <v>1651</v>
      </c>
      <c r="S73" t="n">
        <v>1929</v>
      </c>
      <c r="T73" t="n">
        <v>1445</v>
      </c>
    </row>
    <row r="74">
      <c r="H74">
        <f>IF(B62="","",TEXT(B62,"dd/mm") &amp; "-" &amp; IF(UPPER(TRIM(C62))="CN",1,IF(UPPER(TRIM(C62))="CD",2,"")))</f>
        <v/>
      </c>
      <c r="I74" s="1" t="n"/>
      <c r="J74" s="1" t="n"/>
      <c r="K74" s="1">
        <f>IFERROR($E62/SUM($D62:$F62),"")</f>
        <v/>
      </c>
      <c r="L74" s="1">
        <f>IFERROR($D62/SUM($D62:$F62),"")</f>
        <v/>
      </c>
      <c r="M74" s="1">
        <f>IFERROR($F62/SUM($D62:$F62),"")</f>
        <v/>
      </c>
      <c r="O74" t="n">
        <v>73</v>
      </c>
      <c r="P74" t="inlineStr">
        <is>
          <t>06/02/2026</t>
        </is>
      </c>
      <c r="Q74" t="inlineStr">
        <is>
          <t>CD</t>
        </is>
      </c>
      <c r="R74" t="n">
        <v>1883</v>
      </c>
      <c r="S74" t="n">
        <v>1903</v>
      </c>
      <c r="T74" t="n">
        <v>1242</v>
      </c>
    </row>
    <row r="75">
      <c r="H75">
        <f>IF(B63="","",TEXT(B63,"dd/mm") &amp; "-" &amp; IF(UPPER(TRIM(C63))="CN",1,IF(UPPER(TRIM(C63))="CD",2,"")))</f>
        <v/>
      </c>
      <c r="I75" s="1" t="n"/>
      <c r="J75" s="1" t="n"/>
      <c r="K75" s="1">
        <f>IFERROR($E63/SUM($D63:$F63),"")</f>
        <v/>
      </c>
      <c r="L75" s="1">
        <f>IFERROR($D63/SUM($D63:$F63),"")</f>
        <v/>
      </c>
      <c r="M75" s="1">
        <f>IFERROR($F63/SUM($D63:$F63),"")</f>
        <v/>
      </c>
      <c r="O75" t="n">
        <v>74</v>
      </c>
      <c r="P75" t="inlineStr">
        <is>
          <t>07/02/2026</t>
        </is>
      </c>
      <c r="Q75" t="inlineStr">
        <is>
          <t>CN</t>
        </is>
      </c>
      <c r="R75" t="n">
        <v>1425</v>
      </c>
      <c r="S75" t="n">
        <v>1473</v>
      </c>
      <c r="T75" t="n">
        <v>2128</v>
      </c>
    </row>
    <row r="76">
      <c r="I76" s="1" t="n"/>
      <c r="J76" s="1" t="n"/>
      <c r="K76" s="1" t="n"/>
      <c r="L76" s="1" t="n"/>
      <c r="M76" s="1" t="n"/>
      <c r="O76" t="n">
        <v>75</v>
      </c>
      <c r="P76" t="inlineStr">
        <is>
          <t>07/02/2026</t>
        </is>
      </c>
      <c r="Q76" t="inlineStr">
        <is>
          <t>CD</t>
        </is>
      </c>
      <c r="R76" t="n">
        <v>1910</v>
      </c>
      <c r="S76" t="n">
        <v>1284</v>
      </c>
      <c r="T76" t="n">
        <v>1835</v>
      </c>
    </row>
    <row r="77">
      <c r="I77" s="1" t="n"/>
      <c r="J77" s="1" t="n"/>
      <c r="K77" s="1" t="n"/>
      <c r="L77" s="1" t="n"/>
      <c r="M77" s="1" t="n"/>
      <c r="O77" t="n">
        <v>76</v>
      </c>
      <c r="P77" t="inlineStr">
        <is>
          <t>08/02/2026</t>
        </is>
      </c>
      <c r="Q77" t="inlineStr">
        <is>
          <t>CN</t>
        </is>
      </c>
      <c r="R77" t="n">
        <v>0</v>
      </c>
      <c r="S77" t="n">
        <v>0</v>
      </c>
      <c r="T77" t="n">
        <v>5040</v>
      </c>
    </row>
    <row r="78">
      <c r="I78" s="1" t="n"/>
      <c r="J78" s="1" t="n"/>
      <c r="K78" s="1" t="n"/>
      <c r="L78" s="1" t="n"/>
      <c r="M78" s="1" t="n"/>
      <c r="O78" t="n">
        <v>77</v>
      </c>
      <c r="P78" t="inlineStr">
        <is>
          <t>08/02/2026</t>
        </is>
      </c>
      <c r="Q78" t="inlineStr">
        <is>
          <t>CD</t>
        </is>
      </c>
      <c r="R78" t="n">
        <v>0</v>
      </c>
      <c r="S78" t="n">
        <v>0</v>
      </c>
      <c r="T78" t="n">
        <v>5040</v>
      </c>
    </row>
    <row r="79">
      <c r="I79" s="1" t="n"/>
      <c r="J79" s="1" t="n"/>
      <c r="K79" s="1" t="n"/>
      <c r="L79" s="1" t="n"/>
      <c r="M79" s="1" t="n"/>
      <c r="O79" t="n">
        <v>78</v>
      </c>
      <c r="P79" t="inlineStr">
        <is>
          <t>09/02/2026</t>
        </is>
      </c>
      <c r="Q79" t="inlineStr">
        <is>
          <t>CN</t>
        </is>
      </c>
      <c r="R79" t="n">
        <v>1993</v>
      </c>
      <c r="S79" t="n">
        <v>1590</v>
      </c>
      <c r="T79" t="n">
        <v>1441</v>
      </c>
    </row>
    <row r="80">
      <c r="I80" s="1" t="n"/>
      <c r="J80" s="1" t="n"/>
      <c r="K80" s="1" t="n"/>
      <c r="L80" s="1" t="n"/>
      <c r="M80" s="1" t="n"/>
      <c r="O80" t="n">
        <v>79</v>
      </c>
      <c r="P80" t="inlineStr">
        <is>
          <t>09/02/2026</t>
        </is>
      </c>
      <c r="Q80" t="inlineStr">
        <is>
          <t>CD</t>
        </is>
      </c>
      <c r="R80" t="n">
        <v>1852</v>
      </c>
      <c r="S80" t="n">
        <v>2104</v>
      </c>
      <c r="T80" t="n">
        <v>1067</v>
      </c>
    </row>
    <row r="81">
      <c r="I81" s="1" t="n"/>
      <c r="J81" s="1" t="n"/>
      <c r="K81" s="1" t="n"/>
      <c r="L81" s="1" t="n"/>
      <c r="M81" s="1" t="n"/>
      <c r="O81" t="n">
        <v>80</v>
      </c>
      <c r="P81" t="inlineStr">
        <is>
          <t>10/02/2026</t>
        </is>
      </c>
      <c r="Q81" t="inlineStr">
        <is>
          <t>CN</t>
        </is>
      </c>
      <c r="R81" t="n">
        <v>1967</v>
      </c>
      <c r="S81" t="n">
        <v>1621</v>
      </c>
      <c r="T81" t="n">
        <v>1437</v>
      </c>
    </row>
    <row r="82">
      <c r="I82" s="1" t="n"/>
      <c r="J82" s="1" t="n"/>
      <c r="K82" s="1" t="n"/>
      <c r="L82" s="1" t="n"/>
      <c r="M82" s="1" t="n"/>
      <c r="O82" t="n">
        <v>81</v>
      </c>
      <c r="P82" t="inlineStr">
        <is>
          <t>10/02/2026</t>
        </is>
      </c>
      <c r="Q82" t="inlineStr">
        <is>
          <t>CD</t>
        </is>
      </c>
      <c r="R82" t="n">
        <v>1863</v>
      </c>
      <c r="S82" t="n">
        <v>2086</v>
      </c>
      <c r="T82" t="n">
        <v>1076</v>
      </c>
    </row>
    <row r="83">
      <c r="I83" s="1" t="n"/>
      <c r="J83" s="1" t="n"/>
      <c r="K83" s="1" t="n"/>
      <c r="L83" s="1" t="n"/>
      <c r="M83" s="1" t="n"/>
      <c r="O83" t="n">
        <v>82</v>
      </c>
      <c r="P83" t="inlineStr">
        <is>
          <t>11/02/2026</t>
        </is>
      </c>
      <c r="Q83" t="inlineStr">
        <is>
          <t>CN</t>
        </is>
      </c>
      <c r="R83" t="n">
        <v>1895</v>
      </c>
      <c r="S83" t="n">
        <v>1689</v>
      </c>
      <c r="T83" t="n">
        <v>1441</v>
      </c>
    </row>
    <row r="84">
      <c r="I84" s="1" t="n"/>
      <c r="J84" s="1" t="n"/>
      <c r="K84" s="1" t="n"/>
      <c r="L84" s="1" t="n"/>
      <c r="M84" s="1" t="n"/>
      <c r="O84" t="n">
        <v>83</v>
      </c>
      <c r="P84" t="inlineStr">
        <is>
          <t>11/02/2026</t>
        </is>
      </c>
      <c r="Q84" t="inlineStr">
        <is>
          <t>CD</t>
        </is>
      </c>
      <c r="R84" t="n">
        <v>1536</v>
      </c>
      <c r="S84" t="n">
        <v>1835</v>
      </c>
      <c r="T84" t="n">
        <v>1653</v>
      </c>
    </row>
    <row r="85">
      <c r="I85" s="1" t="n"/>
      <c r="J85" s="1" t="n"/>
      <c r="K85" s="1" t="n"/>
      <c r="L85" s="1" t="n"/>
      <c r="M85" s="1" t="n"/>
      <c r="O85" t="n">
        <v>84</v>
      </c>
      <c r="P85" t="inlineStr">
        <is>
          <t>12/02/2026</t>
        </is>
      </c>
      <c r="Q85" t="inlineStr">
        <is>
          <t>CN</t>
        </is>
      </c>
      <c r="R85" t="n">
        <v>1746</v>
      </c>
      <c r="S85" t="n">
        <v>1835</v>
      </c>
      <c r="T85" t="n">
        <v>1446</v>
      </c>
    </row>
    <row r="86">
      <c r="I86" s="1" t="n"/>
      <c r="J86" s="1" t="n"/>
      <c r="K86" s="1" t="n"/>
      <c r="L86" s="1" t="n"/>
      <c r="M86" s="1" t="n"/>
      <c r="O86" t="n">
        <v>85</v>
      </c>
      <c r="P86" t="inlineStr">
        <is>
          <t>12/02/2026</t>
        </is>
      </c>
      <c r="Q86" t="inlineStr">
        <is>
          <t>CD</t>
        </is>
      </c>
      <c r="R86" t="n">
        <v>1555</v>
      </c>
      <c r="S86" t="n">
        <v>1818</v>
      </c>
      <c r="T86" t="n">
        <v>1655</v>
      </c>
    </row>
    <row r="87">
      <c r="I87" s="1" t="n"/>
      <c r="J87" s="1" t="n"/>
      <c r="K87" s="1" t="n"/>
      <c r="L87" s="1" t="n"/>
      <c r="M87" s="1" t="n"/>
      <c r="O87" t="n">
        <v>86</v>
      </c>
      <c r="P87" t="inlineStr">
        <is>
          <t>13/02/2026</t>
        </is>
      </c>
      <c r="Q87" t="inlineStr">
        <is>
          <t>CN</t>
        </is>
      </c>
      <c r="R87" t="n">
        <v>2136</v>
      </c>
      <c r="S87" t="n">
        <v>1196</v>
      </c>
      <c r="T87" t="n">
        <v>1695</v>
      </c>
    </row>
    <row r="88">
      <c r="I88" s="1" t="n"/>
      <c r="J88" s="1" t="n"/>
      <c r="K88" s="1" t="n"/>
      <c r="L88" s="1" t="n"/>
      <c r="M88" s="1" t="n"/>
      <c r="O88" t="n">
        <v>87</v>
      </c>
      <c r="P88" t="inlineStr">
        <is>
          <t>13/02/2026</t>
        </is>
      </c>
      <c r="Q88" t="inlineStr">
        <is>
          <t>CD</t>
        </is>
      </c>
      <c r="R88" t="n">
        <v>965</v>
      </c>
      <c r="S88" t="n">
        <v>815</v>
      </c>
      <c r="T88" t="n">
        <v>3248</v>
      </c>
    </row>
    <row r="89">
      <c r="I89" s="1" t="n"/>
      <c r="J89" s="1" t="n"/>
      <c r="K89" s="1" t="n"/>
      <c r="L89" s="1" t="n"/>
      <c r="M89" s="1" t="n"/>
      <c r="O89" t="n">
        <v>88</v>
      </c>
      <c r="P89" t="inlineStr">
        <is>
          <t>14/02/2026</t>
        </is>
      </c>
      <c r="Q89" t="inlineStr">
        <is>
          <t>CN</t>
        </is>
      </c>
      <c r="R89" t="n">
        <v>0</v>
      </c>
      <c r="S89" t="n">
        <v>0</v>
      </c>
      <c r="T89" t="n">
        <v>5040</v>
      </c>
    </row>
    <row r="90">
      <c r="I90" s="1" t="n"/>
      <c r="J90" s="1" t="n"/>
      <c r="K90" s="1" t="n"/>
      <c r="L90" s="1" t="n"/>
      <c r="M90" s="1" t="n"/>
      <c r="O90" t="n">
        <v>89</v>
      </c>
      <c r="P90" t="inlineStr">
        <is>
          <t>14/02/2026</t>
        </is>
      </c>
      <c r="Q90" t="inlineStr">
        <is>
          <t>CD</t>
        </is>
      </c>
      <c r="R90" t="n">
        <v>0</v>
      </c>
      <c r="S90" t="n">
        <v>0</v>
      </c>
      <c r="T90" t="n">
        <v>5041</v>
      </c>
    </row>
    <row r="91">
      <c r="I91" s="1" t="n"/>
      <c r="J91" s="1" t="n"/>
      <c r="K91" s="1" t="n"/>
      <c r="L91" s="1" t="n"/>
      <c r="M91" s="1" t="n"/>
      <c r="O91" t="n">
        <v>90</v>
      </c>
      <c r="P91" t="inlineStr">
        <is>
          <t>15/02/2026</t>
        </is>
      </c>
      <c r="Q91" t="inlineStr">
        <is>
          <t>CN</t>
        </is>
      </c>
      <c r="R91" t="n">
        <v>0</v>
      </c>
      <c r="S91" t="n">
        <v>0</v>
      </c>
      <c r="T91" t="n">
        <v>5041</v>
      </c>
    </row>
    <row r="92">
      <c r="I92" s="1" t="n"/>
      <c r="J92" s="1" t="n"/>
      <c r="K92" s="1" t="n"/>
      <c r="L92" s="1" t="n"/>
      <c r="M92" s="1" t="n"/>
      <c r="O92" t="n">
        <v>91</v>
      </c>
      <c r="P92" t="inlineStr">
        <is>
          <t>15/02/2026</t>
        </is>
      </c>
      <c r="Q92" t="inlineStr">
        <is>
          <t>CD</t>
        </is>
      </c>
      <c r="R92" t="n">
        <v>0</v>
      </c>
      <c r="S92" t="n">
        <v>0</v>
      </c>
      <c r="T92" t="n">
        <v>5040</v>
      </c>
    </row>
    <row r="93">
      <c r="I93" s="1" t="n"/>
      <c r="J93" s="1" t="n"/>
      <c r="K93" s="1" t="n"/>
      <c r="L93" s="1" t="n"/>
      <c r="M93" s="1" t="n"/>
      <c r="O93" t="n">
        <v>92</v>
      </c>
      <c r="P93" t="inlineStr">
        <is>
          <t>16/02/2026</t>
        </is>
      </c>
      <c r="Q93" t="inlineStr">
        <is>
          <t>CN</t>
        </is>
      </c>
      <c r="R93" t="n">
        <v>0</v>
      </c>
      <c r="S93" t="n">
        <v>0</v>
      </c>
      <c r="T93" t="n">
        <v>5040</v>
      </c>
    </row>
    <row r="94">
      <c r="I94" s="1" t="n"/>
      <c r="J94" s="1" t="n"/>
      <c r="K94" s="1" t="n"/>
      <c r="L94" s="1" t="n"/>
      <c r="M94" s="1" t="n"/>
      <c r="O94" t="n">
        <v>93</v>
      </c>
      <c r="P94" t="inlineStr">
        <is>
          <t>16/02/2026</t>
        </is>
      </c>
      <c r="Q94" t="inlineStr">
        <is>
          <t>CD</t>
        </is>
      </c>
      <c r="R94" t="n">
        <v>0</v>
      </c>
      <c r="S94" t="n">
        <v>0</v>
      </c>
      <c r="T94" t="n">
        <v>5040</v>
      </c>
    </row>
    <row r="95">
      <c r="I95" s="1" t="n"/>
      <c r="J95" s="1" t="n"/>
      <c r="K95" s="1" t="n"/>
      <c r="L95" s="1" t="n"/>
      <c r="M95" s="1" t="n"/>
      <c r="O95" t="n">
        <v>94</v>
      </c>
      <c r="P95" t="inlineStr">
        <is>
          <t>17/02/2026</t>
        </is>
      </c>
      <c r="Q95" t="inlineStr">
        <is>
          <t>CN</t>
        </is>
      </c>
      <c r="R95" t="n">
        <v>0</v>
      </c>
      <c r="S95" t="n">
        <v>0</v>
      </c>
      <c r="T95" t="n">
        <v>5040</v>
      </c>
    </row>
    <row r="96">
      <c r="I96" s="1" t="n"/>
      <c r="J96" s="1" t="n"/>
      <c r="K96" s="1" t="n"/>
      <c r="L96" s="1" t="n"/>
      <c r="M96" s="1" t="n"/>
      <c r="O96" t="n">
        <v>95</v>
      </c>
      <c r="P96" t="inlineStr">
        <is>
          <t>17/02/2026</t>
        </is>
      </c>
      <c r="Q96" t="inlineStr">
        <is>
          <t>CD</t>
        </is>
      </c>
      <c r="R96" t="n">
        <v>0</v>
      </c>
      <c r="S96" t="n">
        <v>0</v>
      </c>
      <c r="T96" t="n">
        <v>5040</v>
      </c>
    </row>
    <row r="97">
      <c r="I97" s="1" t="n"/>
      <c r="J97" s="1" t="n"/>
      <c r="K97" s="1" t="n"/>
      <c r="L97" s="1" t="n"/>
      <c r="M97" s="1" t="n"/>
      <c r="O97" t="n">
        <v>96</v>
      </c>
      <c r="P97" t="inlineStr">
        <is>
          <t>18/02/2026</t>
        </is>
      </c>
      <c r="Q97" t="inlineStr">
        <is>
          <t>CN</t>
        </is>
      </c>
      <c r="R97" t="n">
        <v>0</v>
      </c>
      <c r="S97" t="n">
        <v>0</v>
      </c>
      <c r="T97" t="n">
        <v>5040</v>
      </c>
    </row>
    <row r="98">
      <c r="I98" s="1" t="n"/>
      <c r="J98" s="1" t="n"/>
      <c r="K98" s="1" t="n"/>
      <c r="L98" s="1" t="n"/>
      <c r="M98" s="1" t="n"/>
      <c r="O98" t="n">
        <v>97</v>
      </c>
      <c r="P98" t="inlineStr">
        <is>
          <t>18/02/2026</t>
        </is>
      </c>
      <c r="Q98" t="inlineStr">
        <is>
          <t>CD</t>
        </is>
      </c>
      <c r="R98" t="n">
        <v>0</v>
      </c>
      <c r="S98" t="n">
        <v>0</v>
      </c>
      <c r="T98" t="n">
        <v>5040</v>
      </c>
    </row>
    <row r="99">
      <c r="I99" s="1" t="n"/>
      <c r="J99" s="1" t="n"/>
      <c r="K99" s="1" t="n"/>
      <c r="L99" s="1" t="n"/>
      <c r="M99" s="1" t="n"/>
      <c r="O99" t="n">
        <v>98</v>
      </c>
      <c r="P99" t="inlineStr">
        <is>
          <t>19/02/2026</t>
        </is>
      </c>
      <c r="Q99" t="inlineStr">
        <is>
          <t>CN</t>
        </is>
      </c>
      <c r="R99" t="n">
        <v>0</v>
      </c>
      <c r="S99" t="n">
        <v>0</v>
      </c>
      <c r="T99" t="n">
        <v>5040</v>
      </c>
    </row>
    <row r="100">
      <c r="I100" s="1" t="n"/>
      <c r="J100" s="1" t="n"/>
      <c r="K100" s="1" t="n"/>
      <c r="L100" s="1" t="n"/>
      <c r="M100" s="1" t="n"/>
      <c r="O100" t="n">
        <v>99</v>
      </c>
      <c r="P100" t="inlineStr">
        <is>
          <t>19/02/2026</t>
        </is>
      </c>
      <c r="Q100" t="inlineStr">
        <is>
          <t>CD</t>
        </is>
      </c>
      <c r="R100" t="n">
        <v>0</v>
      </c>
      <c r="S100" t="n">
        <v>0</v>
      </c>
      <c r="T100" t="n">
        <v>5040</v>
      </c>
    </row>
    <row r="101">
      <c r="I101" s="1" t="n"/>
      <c r="J101" s="1" t="n"/>
      <c r="K101" s="1" t="n"/>
      <c r="L101" s="1" t="n"/>
      <c r="M101" s="1" t="n"/>
      <c r="O101" t="n">
        <v>100</v>
      </c>
      <c r="P101" t="inlineStr">
        <is>
          <t>20/02/2026</t>
        </is>
      </c>
      <c r="Q101" t="inlineStr">
        <is>
          <t>CN</t>
        </is>
      </c>
      <c r="R101" t="n">
        <v>0</v>
      </c>
      <c r="S101" t="n">
        <v>0</v>
      </c>
      <c r="T101" t="n">
        <v>5040</v>
      </c>
    </row>
    <row r="102">
      <c r="O102" t="n">
        <v>101</v>
      </c>
      <c r="P102" t="inlineStr">
        <is>
          <t>20/02/2026</t>
        </is>
      </c>
      <c r="Q102" t="inlineStr">
        <is>
          <t>CD</t>
        </is>
      </c>
      <c r="R102" t="n">
        <v>0</v>
      </c>
      <c r="S102" t="n">
        <v>0</v>
      </c>
      <c r="T102" t="n">
        <v>5041</v>
      </c>
    </row>
    <row r="103">
      <c r="O103" t="n">
        <v>102</v>
      </c>
      <c r="P103" t="inlineStr">
        <is>
          <t>21/02/2026</t>
        </is>
      </c>
      <c r="Q103" t="inlineStr">
        <is>
          <t>CN</t>
        </is>
      </c>
      <c r="R103" t="n">
        <v>0</v>
      </c>
      <c r="S103" t="n">
        <v>0</v>
      </c>
      <c r="T103" t="n">
        <v>5040</v>
      </c>
    </row>
    <row r="104">
      <c r="O104" t="n">
        <v>103</v>
      </c>
      <c r="P104" t="inlineStr">
        <is>
          <t>21/02/2026</t>
        </is>
      </c>
      <c r="Q104" t="inlineStr">
        <is>
          <t>CD</t>
        </is>
      </c>
      <c r="R104" t="n">
        <v>0</v>
      </c>
      <c r="S104" t="n">
        <v>0</v>
      </c>
      <c r="T104" t="n">
        <v>5040</v>
      </c>
    </row>
    <row r="105">
      <c r="O105" t="n">
        <v>104</v>
      </c>
      <c r="P105" t="inlineStr">
        <is>
          <t>22/02/2026</t>
        </is>
      </c>
      <c r="Q105" t="inlineStr">
        <is>
          <t>CN</t>
        </is>
      </c>
      <c r="R105" t="n">
        <v>0</v>
      </c>
      <c r="S105" t="n">
        <v>0</v>
      </c>
      <c r="T105" t="n">
        <v>5041</v>
      </c>
    </row>
    <row r="106">
      <c r="O106" t="n">
        <v>105</v>
      </c>
      <c r="P106" t="inlineStr">
        <is>
          <t>22/02/2026</t>
        </is>
      </c>
      <c r="Q106" t="inlineStr">
        <is>
          <t>CD</t>
        </is>
      </c>
      <c r="R106" t="n">
        <v>0</v>
      </c>
      <c r="S106" t="n">
        <v>0</v>
      </c>
      <c r="T106" t="n">
        <v>5040</v>
      </c>
    </row>
    <row r="107">
      <c r="O107" t="n">
        <v>106</v>
      </c>
      <c r="P107" t="inlineStr">
        <is>
          <t>23/02/2026</t>
        </is>
      </c>
      <c r="Q107" t="inlineStr">
        <is>
          <t>CN</t>
        </is>
      </c>
      <c r="R107" t="n">
        <v>1807</v>
      </c>
      <c r="S107" t="n">
        <v>1772</v>
      </c>
      <c r="T107" t="n">
        <v>1449</v>
      </c>
    </row>
    <row r="108">
      <c r="O108" t="n">
        <v>107</v>
      </c>
      <c r="P108" t="inlineStr">
        <is>
          <t>23/02/2026</t>
        </is>
      </c>
      <c r="Q108" t="inlineStr">
        <is>
          <t>CD</t>
        </is>
      </c>
      <c r="R108" t="n">
        <v>1584</v>
      </c>
      <c r="S108" t="n">
        <v>1888</v>
      </c>
      <c r="T108" t="n">
        <v>1551</v>
      </c>
    </row>
    <row r="109">
      <c r="O109" t="n">
        <v>108</v>
      </c>
      <c r="P109" t="inlineStr">
        <is>
          <t>24/02/2026</t>
        </is>
      </c>
      <c r="Q109" t="inlineStr">
        <is>
          <t>CN</t>
        </is>
      </c>
      <c r="R109" t="n">
        <v>1856</v>
      </c>
      <c r="S109" t="n">
        <v>1674</v>
      </c>
      <c r="T109" t="n">
        <v>1498</v>
      </c>
    </row>
    <row r="110">
      <c r="O110" t="n">
        <v>109</v>
      </c>
      <c r="P110" t="inlineStr">
        <is>
          <t>24/02/2026</t>
        </is>
      </c>
      <c r="Q110" t="inlineStr">
        <is>
          <t>CD</t>
        </is>
      </c>
      <c r="R110" t="n">
        <v>1553</v>
      </c>
      <c r="S110" t="n">
        <v>1837</v>
      </c>
      <c r="T110" t="n">
        <v>1636</v>
      </c>
    </row>
    <row r="111">
      <c r="O111" t="n">
        <v>110</v>
      </c>
      <c r="P111" t="inlineStr">
        <is>
          <t>25/02/2026</t>
        </is>
      </c>
      <c r="Q111" t="inlineStr">
        <is>
          <t>CN</t>
        </is>
      </c>
      <c r="R111" t="n">
        <v>1805</v>
      </c>
      <c r="S111" t="n">
        <v>1787</v>
      </c>
      <c r="T111" t="n">
        <v>1433</v>
      </c>
    </row>
    <row r="112">
      <c r="O112" t="n">
        <v>111</v>
      </c>
      <c r="P112" t="inlineStr">
        <is>
          <t>25/02/2026</t>
        </is>
      </c>
      <c r="Q112" t="inlineStr">
        <is>
          <t>CD</t>
        </is>
      </c>
      <c r="R112" t="n">
        <v>1884</v>
      </c>
      <c r="S112" t="n">
        <v>2039</v>
      </c>
      <c r="T112" t="n">
        <v>1100</v>
      </c>
    </row>
    <row r="113">
      <c r="O113" t="n">
        <v>112</v>
      </c>
      <c r="P113" t="inlineStr">
        <is>
          <t>26/02/2026</t>
        </is>
      </c>
      <c r="Q113" t="inlineStr">
        <is>
          <t>CN</t>
        </is>
      </c>
      <c r="R113" t="n">
        <v>1639</v>
      </c>
      <c r="S113" t="n">
        <v>1944</v>
      </c>
      <c r="T113" t="n">
        <v>1436</v>
      </c>
    </row>
    <row r="114">
      <c r="O114" t="n">
        <v>113</v>
      </c>
      <c r="P114" t="inlineStr">
        <is>
          <t>26/02/2026</t>
        </is>
      </c>
      <c r="Q114" t="inlineStr">
        <is>
          <t>CD</t>
        </is>
      </c>
      <c r="R114" t="n">
        <v>1674</v>
      </c>
      <c r="S114" t="n">
        <v>2258</v>
      </c>
      <c r="T114" t="n">
        <v>1095</v>
      </c>
    </row>
    <row r="115">
      <c r="O115" t="n">
        <v>114</v>
      </c>
      <c r="P115" t="inlineStr">
        <is>
          <t>27/02/2026</t>
        </is>
      </c>
      <c r="Q115" t="inlineStr">
        <is>
          <t>CN</t>
        </is>
      </c>
      <c r="R115" t="n">
        <v>1716</v>
      </c>
      <c r="S115" t="n">
        <v>1869</v>
      </c>
      <c r="T115" t="n">
        <v>1440</v>
      </c>
    </row>
    <row r="116">
      <c r="O116" t="n">
        <v>115</v>
      </c>
      <c r="P116" t="inlineStr">
        <is>
          <t>27/02/2026</t>
        </is>
      </c>
      <c r="Q116" t="inlineStr">
        <is>
          <t>CD</t>
        </is>
      </c>
      <c r="R116" t="n">
        <v>1753</v>
      </c>
      <c r="S116" t="n">
        <v>1967</v>
      </c>
      <c r="T116" t="n">
        <v>1304</v>
      </c>
    </row>
    <row r="117">
      <c r="O117" t="n">
        <v>116</v>
      </c>
      <c r="P117" t="inlineStr">
        <is>
          <t>28/02/2026</t>
        </is>
      </c>
      <c r="Q117" t="inlineStr">
        <is>
          <t>CN</t>
        </is>
      </c>
      <c r="R117" t="n">
        <v>1749</v>
      </c>
      <c r="S117" t="n">
        <v>1625</v>
      </c>
      <c r="T117" t="n">
        <v>1655</v>
      </c>
    </row>
    <row r="118">
      <c r="O118" t="n">
        <v>117</v>
      </c>
      <c r="P118" t="inlineStr">
        <is>
          <t>28/02/2026</t>
        </is>
      </c>
      <c r="Q118" t="inlineStr">
        <is>
          <t>CD</t>
        </is>
      </c>
      <c r="R118" t="n">
        <v>1541</v>
      </c>
      <c r="S118" t="n">
        <v>1771</v>
      </c>
      <c r="T118" t="n">
        <v>1712</v>
      </c>
    </row>
    <row r="119">
      <c r="O119" t="n">
        <v>118</v>
      </c>
      <c r="P119" t="inlineStr">
        <is>
          <t>01/03/2026</t>
        </is>
      </c>
      <c r="Q119" t="inlineStr">
        <is>
          <t>CN</t>
        </is>
      </c>
      <c r="R119" t="n">
        <v>0</v>
      </c>
      <c r="S119" t="n">
        <v>0</v>
      </c>
      <c r="T119" t="n">
        <v>4037</v>
      </c>
    </row>
    <row r="120">
      <c r="O120" t="n">
        <v>119</v>
      </c>
      <c r="P120" t="inlineStr">
        <is>
          <t>01/03/2026</t>
        </is>
      </c>
      <c r="Q120" t="inlineStr">
        <is>
          <t>CD</t>
        </is>
      </c>
      <c r="R120" t="n">
        <v>0</v>
      </c>
      <c r="S120" t="n">
        <v>0</v>
      </c>
      <c r="T120" t="n">
        <v>5040</v>
      </c>
    </row>
    <row r="121">
      <c r="O121" t="n">
        <v>120</v>
      </c>
      <c r="P121" t="inlineStr">
        <is>
          <t>02/03/2026</t>
        </is>
      </c>
      <c r="Q121" t="inlineStr">
        <is>
          <t>CN</t>
        </is>
      </c>
      <c r="R121" t="n">
        <v>1563</v>
      </c>
      <c r="S121" t="n">
        <v>2021</v>
      </c>
      <c r="T121" t="n">
        <v>1441</v>
      </c>
    </row>
    <row r="122">
      <c r="O122" t="n">
        <v>121</v>
      </c>
      <c r="P122" t="inlineStr">
        <is>
          <t>02/03/2026</t>
        </is>
      </c>
      <c r="Q122" t="inlineStr">
        <is>
          <t>CD</t>
        </is>
      </c>
      <c r="R122" t="n">
        <v>1989</v>
      </c>
      <c r="S122" t="n">
        <v>1824</v>
      </c>
      <c r="T122" t="n">
        <v>1209</v>
      </c>
    </row>
    <row r="123">
      <c r="O123" t="n">
        <v>122</v>
      </c>
      <c r="P123" t="inlineStr">
        <is>
          <t>03/03/2026</t>
        </is>
      </c>
      <c r="Q123" t="inlineStr">
        <is>
          <t>CN</t>
        </is>
      </c>
      <c r="R123" t="n">
        <v>1574</v>
      </c>
      <c r="S123" t="n">
        <v>2010</v>
      </c>
      <c r="T123" t="n">
        <v>1444</v>
      </c>
    </row>
    <row r="124">
      <c r="O124" t="n">
        <v>123</v>
      </c>
      <c r="P124" t="inlineStr">
        <is>
          <t>03/03/2026</t>
        </is>
      </c>
      <c r="Q124" t="inlineStr">
        <is>
          <t>CD</t>
        </is>
      </c>
      <c r="R124" t="n">
        <v>1946</v>
      </c>
      <c r="S124" t="n">
        <v>1902</v>
      </c>
      <c r="T124" t="n">
        <v>1178</v>
      </c>
    </row>
    <row r="125">
      <c r="O125" t="n">
        <v>124</v>
      </c>
      <c r="P125" t="inlineStr">
        <is>
          <t>04/03/2026</t>
        </is>
      </c>
      <c r="Q125" t="inlineStr">
        <is>
          <t>CN</t>
        </is>
      </c>
      <c r="R125" t="n">
        <v>1459</v>
      </c>
      <c r="S125" t="n">
        <v>2100</v>
      </c>
      <c r="T125" t="n">
        <v>1467</v>
      </c>
    </row>
    <row r="126">
      <c r="O126" t="n">
        <v>125</v>
      </c>
      <c r="P126" t="inlineStr">
        <is>
          <t>04/03/2026</t>
        </is>
      </c>
      <c r="Q126" t="inlineStr">
        <is>
          <t>CD</t>
        </is>
      </c>
      <c r="R126" t="n">
        <v>1726</v>
      </c>
      <c r="S126" t="n">
        <v>2115</v>
      </c>
      <c r="T126" t="n">
        <v>1185</v>
      </c>
    </row>
    <row r="127">
      <c r="O127" t="n">
        <v>126</v>
      </c>
      <c r="P127" t="inlineStr">
        <is>
          <t>05/03/2026</t>
        </is>
      </c>
      <c r="Q127" t="inlineStr">
        <is>
          <t>CN</t>
        </is>
      </c>
      <c r="R127" t="n">
        <v>1616</v>
      </c>
      <c r="S127" t="n">
        <v>1904</v>
      </c>
      <c r="T127" t="n">
        <v>1508</v>
      </c>
    </row>
    <row r="128">
      <c r="O128" t="n">
        <v>127</v>
      </c>
      <c r="P128" t="inlineStr">
        <is>
          <t>05/03/2026</t>
        </is>
      </c>
      <c r="Q128" t="inlineStr">
        <is>
          <t>CD</t>
        </is>
      </c>
      <c r="R128" t="n">
        <v>2059</v>
      </c>
      <c r="S128" t="n">
        <v>1816</v>
      </c>
      <c r="T128" t="n">
        <v>1149</v>
      </c>
    </row>
    <row r="129">
      <c r="O129" t="n">
        <v>128</v>
      </c>
      <c r="P129" t="inlineStr">
        <is>
          <t>06/03/2026</t>
        </is>
      </c>
      <c r="Q129" t="inlineStr">
        <is>
          <t>CN</t>
        </is>
      </c>
      <c r="R129" t="n">
        <v>1883</v>
      </c>
      <c r="S129" t="n">
        <v>1705</v>
      </c>
      <c r="T129" t="n">
        <v>1437</v>
      </c>
    </row>
    <row r="130">
      <c r="O130" t="n">
        <v>129</v>
      </c>
      <c r="P130" t="inlineStr">
        <is>
          <t>06/03/2026</t>
        </is>
      </c>
      <c r="Q130" t="inlineStr">
        <is>
          <t>CD</t>
        </is>
      </c>
      <c r="R130" t="n">
        <v>1979</v>
      </c>
      <c r="S130" t="n">
        <v>1871</v>
      </c>
      <c r="T130" t="n">
        <v>1174</v>
      </c>
    </row>
    <row r="131">
      <c r="O131" t="n">
        <v>130</v>
      </c>
      <c r="P131" t="inlineStr">
        <is>
          <t>07/03/2026</t>
        </is>
      </c>
      <c r="Q131" t="inlineStr">
        <is>
          <t>CN</t>
        </is>
      </c>
      <c r="R131" t="n">
        <v>1466</v>
      </c>
      <c r="S131" t="n">
        <v>1905</v>
      </c>
      <c r="T131" t="n">
        <v>1656</v>
      </c>
    </row>
    <row r="132">
      <c r="O132" t="n">
        <v>131</v>
      </c>
      <c r="P132" t="inlineStr">
        <is>
          <t>07/03/2026</t>
        </is>
      </c>
      <c r="Q132" t="inlineStr">
        <is>
          <t>CD</t>
        </is>
      </c>
      <c r="R132" t="n">
        <v>1708</v>
      </c>
      <c r="S132" t="n">
        <v>1546</v>
      </c>
      <c r="T132" t="n">
        <v>1770</v>
      </c>
    </row>
    <row r="133">
      <c r="O133" t="n">
        <v>132</v>
      </c>
      <c r="P133" t="inlineStr">
        <is>
          <t>08/03/2026</t>
        </is>
      </c>
      <c r="Q133" t="inlineStr">
        <is>
          <t>CN</t>
        </is>
      </c>
      <c r="R133" t="n">
        <v>329</v>
      </c>
      <c r="S133" t="n">
        <v>17</v>
      </c>
      <c r="T133" t="n">
        <v>4692</v>
      </c>
    </row>
    <row r="134">
      <c r="O134" t="n">
        <v>133</v>
      </c>
      <c r="P134" t="inlineStr">
        <is>
          <t>08/03/2026</t>
        </is>
      </c>
      <c r="Q134" t="inlineStr">
        <is>
          <t>CD</t>
        </is>
      </c>
      <c r="R134" t="n">
        <v>0</v>
      </c>
      <c r="S134" t="n">
        <v>0</v>
      </c>
      <c r="T134" t="n">
        <v>5041</v>
      </c>
    </row>
    <row r="135">
      <c r="O135" t="n">
        <v>134</v>
      </c>
      <c r="P135" t="inlineStr">
        <is>
          <t>09/03/2026</t>
        </is>
      </c>
      <c r="Q135" t="inlineStr">
        <is>
          <t>CN</t>
        </is>
      </c>
      <c r="R135" t="n">
        <v>1978</v>
      </c>
      <c r="S135" t="n">
        <v>1572</v>
      </c>
      <c r="T135" t="n">
        <v>1478</v>
      </c>
    </row>
    <row r="136">
      <c r="O136" t="n">
        <v>135</v>
      </c>
      <c r="P136" t="inlineStr">
        <is>
          <t>09/03/2026</t>
        </is>
      </c>
      <c r="Q136" t="inlineStr">
        <is>
          <t>CD</t>
        </is>
      </c>
      <c r="R136" t="n">
        <v>1796</v>
      </c>
      <c r="S136" t="n">
        <v>2136</v>
      </c>
      <c r="T136" t="n">
        <v>1094</v>
      </c>
    </row>
    <row r="137">
      <c r="O137" t="n">
        <v>136</v>
      </c>
      <c r="P137" t="inlineStr">
        <is>
          <t>10/03/2026</t>
        </is>
      </c>
      <c r="Q137" t="inlineStr">
        <is>
          <t>CN</t>
        </is>
      </c>
      <c r="R137" t="n">
        <v>1990</v>
      </c>
      <c r="S137" t="n">
        <v>1583</v>
      </c>
      <c r="T137" t="n">
        <v>1453</v>
      </c>
    </row>
    <row r="138">
      <c r="O138" t="n">
        <v>137</v>
      </c>
      <c r="P138" t="inlineStr">
        <is>
          <t>10/03/2026</t>
        </is>
      </c>
      <c r="Q138" t="inlineStr">
        <is>
          <t>CD</t>
        </is>
      </c>
      <c r="R138" t="n">
        <v>1820</v>
      </c>
      <c r="S138" t="n">
        <v>2121</v>
      </c>
      <c r="T138" t="n">
        <v>1083</v>
      </c>
    </row>
    <row r="139">
      <c r="O139" t="n">
        <v>138</v>
      </c>
      <c r="P139" t="inlineStr">
        <is>
          <t>11/03/2026</t>
        </is>
      </c>
      <c r="Q139" t="inlineStr">
        <is>
          <t>CN</t>
        </is>
      </c>
      <c r="R139" t="n">
        <v>1880</v>
      </c>
      <c r="S139" t="n">
        <v>1704</v>
      </c>
      <c r="T139" t="n">
        <v>1442</v>
      </c>
    </row>
    <row r="140">
      <c r="O140" t="n">
        <v>139</v>
      </c>
      <c r="P140" t="inlineStr">
        <is>
          <t>11/03/2026</t>
        </is>
      </c>
      <c r="Q140" t="inlineStr">
        <is>
          <t>CD</t>
        </is>
      </c>
      <c r="R140" t="n">
        <v>1777</v>
      </c>
      <c r="S140" t="n">
        <v>2162</v>
      </c>
      <c r="T140" t="n">
        <v>1084</v>
      </c>
    </row>
    <row r="141">
      <c r="O141" t="n">
        <v>140</v>
      </c>
      <c r="P141" t="inlineStr">
        <is>
          <t>12/03/2026</t>
        </is>
      </c>
      <c r="Q141" t="inlineStr">
        <is>
          <t>CN</t>
        </is>
      </c>
      <c r="R141" t="n">
        <v>1904</v>
      </c>
      <c r="S141" t="n">
        <v>1684</v>
      </c>
      <c r="T141" t="n">
        <v>1440</v>
      </c>
    </row>
    <row r="142">
      <c r="O142" t="n">
        <v>141</v>
      </c>
      <c r="P142" t="inlineStr">
        <is>
          <t>12/03/2026</t>
        </is>
      </c>
      <c r="Q142" t="inlineStr">
        <is>
          <t>CD</t>
        </is>
      </c>
      <c r="R142" t="n">
        <v>1780</v>
      </c>
      <c r="S142" t="n">
        <v>2046</v>
      </c>
      <c r="T142" t="n">
        <v>1199</v>
      </c>
    </row>
    <row r="143">
      <c r="O143" t="n">
        <v>142</v>
      </c>
      <c r="P143" t="inlineStr">
        <is>
          <t>13/03/2026</t>
        </is>
      </c>
      <c r="Q143" t="inlineStr">
        <is>
          <t>CN</t>
        </is>
      </c>
      <c r="R143" t="n">
        <v>1851</v>
      </c>
      <c r="S143" t="n">
        <v>1739</v>
      </c>
      <c r="T143" t="n">
        <v>1437</v>
      </c>
    </row>
    <row r="144">
      <c r="O144" t="n">
        <v>143</v>
      </c>
      <c r="P144" t="inlineStr">
        <is>
          <t>13/03/2026</t>
        </is>
      </c>
      <c r="Q144" t="inlineStr">
        <is>
          <t>CD</t>
        </is>
      </c>
      <c r="R144" t="n">
        <v>1709</v>
      </c>
      <c r="S144" t="n">
        <v>2116</v>
      </c>
      <c r="T144" t="n">
        <v>1198</v>
      </c>
    </row>
    <row r="145">
      <c r="O145" t="n">
        <v>144</v>
      </c>
      <c r="P145" t="inlineStr">
        <is>
          <t>14/03/2026</t>
        </is>
      </c>
      <c r="Q145" t="inlineStr">
        <is>
          <t>CN</t>
        </is>
      </c>
      <c r="R145" t="n">
        <v>1712</v>
      </c>
      <c r="S145" t="n">
        <v>1667</v>
      </c>
      <c r="T145" t="n">
        <v>1645</v>
      </c>
    </row>
    <row r="146">
      <c r="O146" t="n">
        <v>145</v>
      </c>
      <c r="P146" t="inlineStr">
        <is>
          <t>14/03/2026</t>
        </is>
      </c>
      <c r="Q146" t="inlineStr">
        <is>
          <t>CD</t>
        </is>
      </c>
      <c r="R146" t="n">
        <v>1262</v>
      </c>
      <c r="S146" t="n">
        <v>1480</v>
      </c>
      <c r="T146" t="n">
        <v>2283</v>
      </c>
    </row>
    <row r="147">
      <c r="O147" t="n">
        <v>146</v>
      </c>
      <c r="P147" t="inlineStr">
        <is>
          <t>15/03/2026</t>
        </is>
      </c>
      <c r="Q147" t="inlineStr">
        <is>
          <t>CN</t>
        </is>
      </c>
      <c r="R147" t="n">
        <v>0</v>
      </c>
      <c r="S147" t="n">
        <v>0</v>
      </c>
      <c r="T147" t="n">
        <v>5040</v>
      </c>
    </row>
    <row r="148">
      <c r="O148" t="n">
        <v>147</v>
      </c>
      <c r="P148" t="inlineStr">
        <is>
          <t>15/03/2026</t>
        </is>
      </c>
      <c r="Q148" t="inlineStr">
        <is>
          <t>CD</t>
        </is>
      </c>
      <c r="R148" t="n">
        <v>0</v>
      </c>
      <c r="S148" t="n">
        <v>0</v>
      </c>
      <c r="T148" t="n">
        <v>5040</v>
      </c>
    </row>
    <row r="149">
      <c r="O149" t="n">
        <v>148</v>
      </c>
      <c r="P149" t="inlineStr">
        <is>
          <t>16/03/2026</t>
        </is>
      </c>
      <c r="Q149" t="inlineStr">
        <is>
          <t>CN</t>
        </is>
      </c>
      <c r="R149" t="n">
        <v>1787</v>
      </c>
      <c r="S149" t="n">
        <v>1799</v>
      </c>
      <c r="T149" t="n">
        <v>1438</v>
      </c>
    </row>
    <row r="150">
      <c r="O150" t="n">
        <v>149</v>
      </c>
      <c r="P150" t="inlineStr">
        <is>
          <t>16/03/2026</t>
        </is>
      </c>
      <c r="Q150" t="inlineStr">
        <is>
          <t>CD</t>
        </is>
      </c>
      <c r="R150" t="n">
        <v>2511</v>
      </c>
      <c r="S150" t="n">
        <v>1556</v>
      </c>
      <c r="T150" t="n">
        <v>958</v>
      </c>
    </row>
    <row r="151">
      <c r="O151" t="n">
        <v>150</v>
      </c>
      <c r="P151" t="inlineStr">
        <is>
          <t>17/03/2026</t>
        </is>
      </c>
      <c r="Q151" t="inlineStr">
        <is>
          <t>CN</t>
        </is>
      </c>
      <c r="R151" t="n">
        <v>1842</v>
      </c>
      <c r="S151" t="n">
        <v>1938</v>
      </c>
      <c r="T151" t="n">
        <v>1242</v>
      </c>
    </row>
    <row r="152">
      <c r="O152" t="n">
        <v>151</v>
      </c>
      <c r="P152" t="inlineStr">
        <is>
          <t>17/03/2026</t>
        </is>
      </c>
      <c r="Q152" t="inlineStr">
        <is>
          <t>CD</t>
        </is>
      </c>
      <c r="R152" t="n">
        <v>2103</v>
      </c>
      <c r="S152" t="n">
        <v>1747</v>
      </c>
      <c r="T152" t="n">
        <v>1177</v>
      </c>
    </row>
    <row r="153">
      <c r="O153" t="n">
        <v>152</v>
      </c>
      <c r="P153" t="inlineStr">
        <is>
          <t>18/03/2026</t>
        </is>
      </c>
      <c r="Q153" t="inlineStr">
        <is>
          <t>CN</t>
        </is>
      </c>
      <c r="R153" t="n">
        <v>1613</v>
      </c>
      <c r="S153" t="n">
        <v>1976</v>
      </c>
      <c r="T153" t="n">
        <v>1438</v>
      </c>
    </row>
    <row r="154">
      <c r="O154" t="n">
        <v>153</v>
      </c>
      <c r="P154" t="inlineStr">
        <is>
          <t>18/03/2026</t>
        </is>
      </c>
      <c r="Q154" t="inlineStr">
        <is>
          <t>CD</t>
        </is>
      </c>
      <c r="R154" t="n">
        <v>2297</v>
      </c>
      <c r="S154" t="n">
        <v>1623</v>
      </c>
      <c r="T154" t="n">
        <v>1107</v>
      </c>
    </row>
    <row r="155">
      <c r="O155" t="n">
        <v>154</v>
      </c>
      <c r="P155" t="inlineStr">
        <is>
          <t>19/03/2026</t>
        </is>
      </c>
      <c r="Q155" t="inlineStr">
        <is>
          <t>CN</t>
        </is>
      </c>
      <c r="R155" t="n">
        <v>1387</v>
      </c>
      <c r="S155" t="n">
        <v>1182</v>
      </c>
      <c r="T155" t="n">
        <v>2456</v>
      </c>
    </row>
    <row r="156">
      <c r="O156" t="n">
        <v>155</v>
      </c>
      <c r="P156" t="inlineStr">
        <is>
          <t>19/03/2026</t>
        </is>
      </c>
      <c r="Q156" t="inlineStr">
        <is>
          <t>CD</t>
        </is>
      </c>
      <c r="R156" t="n">
        <v>2513</v>
      </c>
      <c r="S156" t="n">
        <v>1315</v>
      </c>
      <c r="T156" t="n">
        <v>1199</v>
      </c>
    </row>
    <row r="157">
      <c r="O157" t="n">
        <v>156</v>
      </c>
      <c r="P157" t="inlineStr">
        <is>
          <t>20/03/2026</t>
        </is>
      </c>
      <c r="Q157" t="inlineStr">
        <is>
          <t>CN</t>
        </is>
      </c>
      <c r="R157" t="n">
        <v>1369</v>
      </c>
      <c r="S157" t="n">
        <v>1203</v>
      </c>
      <c r="T157" t="n">
        <v>2456</v>
      </c>
    </row>
    <row r="158">
      <c r="O158" t="n">
        <v>157</v>
      </c>
      <c r="P158" t="inlineStr">
        <is>
          <t>20/03/2026</t>
        </is>
      </c>
      <c r="Q158" t="inlineStr">
        <is>
          <t>CD</t>
        </is>
      </c>
      <c r="R158" t="n">
        <v>2192</v>
      </c>
      <c r="S158" t="n">
        <v>1593</v>
      </c>
      <c r="T158" t="n">
        <v>1242</v>
      </c>
    </row>
    <row r="159">
      <c r="O159" t="n">
        <v>158</v>
      </c>
      <c r="P159" t="inlineStr">
        <is>
          <t>21/03/2026</t>
        </is>
      </c>
      <c r="Q159" t="inlineStr">
        <is>
          <t>CN</t>
        </is>
      </c>
      <c r="R159" t="n">
        <v>1326</v>
      </c>
      <c r="S159" t="n">
        <v>1131</v>
      </c>
      <c r="T159" t="n">
        <v>2570</v>
      </c>
    </row>
    <row r="160">
      <c r="O160" t="n">
        <v>159</v>
      </c>
      <c r="P160" t="inlineStr">
        <is>
          <t>21/03/2026</t>
        </is>
      </c>
      <c r="Q160" t="inlineStr">
        <is>
          <t>CD</t>
        </is>
      </c>
      <c r="R160" t="n">
        <v>1808</v>
      </c>
      <c r="S160" t="n">
        <v>1441</v>
      </c>
      <c r="T160" t="n">
        <v>1779</v>
      </c>
    </row>
    <row r="161">
      <c r="O161" t="n">
        <v>160</v>
      </c>
      <c r="P161" t="inlineStr">
        <is>
          <t>22/03/2026</t>
        </is>
      </c>
      <c r="Q161" t="inlineStr">
        <is>
          <t>CD</t>
        </is>
      </c>
      <c r="R161" t="n">
        <v>0</v>
      </c>
      <c r="S161" t="n">
        <v>0</v>
      </c>
      <c r="T161" t="n">
        <v>6403</v>
      </c>
    </row>
    <row r="162">
      <c r="O162" t="n">
        <v>161</v>
      </c>
      <c r="P162" t="inlineStr">
        <is>
          <t>23/03/2026</t>
        </is>
      </c>
      <c r="Q162" t="inlineStr">
        <is>
          <t>CN</t>
        </is>
      </c>
      <c r="R162" t="n">
        <v>1703</v>
      </c>
      <c r="S162" t="n">
        <v>1549</v>
      </c>
      <c r="T162" t="n">
        <v>1771</v>
      </c>
    </row>
    <row r="163">
      <c r="O163" t="n">
        <v>162</v>
      </c>
      <c r="P163" t="inlineStr">
        <is>
          <t>23/03/2026</t>
        </is>
      </c>
      <c r="Q163" t="inlineStr">
        <is>
          <t>CD</t>
        </is>
      </c>
      <c r="R163" t="n">
        <v>1478</v>
      </c>
      <c r="S163" t="n">
        <v>1390</v>
      </c>
      <c r="T163" t="n">
        <v>2157</v>
      </c>
    </row>
    <row r="164">
      <c r="O164" t="n">
        <v>163</v>
      </c>
      <c r="P164" t="inlineStr">
        <is>
          <t>24/03/2026</t>
        </is>
      </c>
      <c r="Q164" t="inlineStr">
        <is>
          <t>CN</t>
        </is>
      </c>
      <c r="R164" t="n">
        <v>2145</v>
      </c>
      <c r="S164" t="n">
        <v>1450</v>
      </c>
      <c r="T164" t="n">
        <v>1430</v>
      </c>
    </row>
    <row r="165">
      <c r="O165" t="n">
        <v>164</v>
      </c>
      <c r="P165" t="inlineStr">
        <is>
          <t>24/03/2026</t>
        </is>
      </c>
      <c r="Q165" t="inlineStr">
        <is>
          <t>CD</t>
        </is>
      </c>
      <c r="R165" t="n">
        <v>1478</v>
      </c>
      <c r="S165" t="n">
        <v>1499</v>
      </c>
      <c r="T165" t="n">
        <v>2049</v>
      </c>
    </row>
    <row r="166">
      <c r="O166" t="n">
        <v>165</v>
      </c>
      <c r="P166" t="inlineStr">
        <is>
          <t>25/03/2026</t>
        </is>
      </c>
      <c r="Q166" t="inlineStr">
        <is>
          <t>CN</t>
        </is>
      </c>
      <c r="R166" t="n">
        <v>1962</v>
      </c>
      <c r="S166" t="n">
        <v>1620</v>
      </c>
      <c r="T166" t="n">
        <v>1444</v>
      </c>
    </row>
    <row r="167">
      <c r="O167" t="n">
        <v>166</v>
      </c>
      <c r="P167" t="inlineStr">
        <is>
          <t>25/03/2026</t>
        </is>
      </c>
      <c r="Q167" t="inlineStr">
        <is>
          <t>CD</t>
        </is>
      </c>
      <c r="R167" t="n">
        <v>1987</v>
      </c>
      <c r="S167" t="n">
        <v>1692</v>
      </c>
      <c r="T167" t="n">
        <v>1345</v>
      </c>
    </row>
    <row r="168">
      <c r="O168" t="n">
        <v>167</v>
      </c>
      <c r="P168" t="inlineStr">
        <is>
          <t>26/03/2026</t>
        </is>
      </c>
      <c r="Q168" t="inlineStr">
        <is>
          <t>CN</t>
        </is>
      </c>
      <c r="R168" t="n">
        <v>2072</v>
      </c>
      <c r="S168" t="n">
        <v>1510</v>
      </c>
      <c r="T168" t="n">
        <v>1445</v>
      </c>
    </row>
    <row r="169">
      <c r="O169" t="n">
        <v>168</v>
      </c>
      <c r="P169" t="inlineStr">
        <is>
          <t>26/03/2026</t>
        </is>
      </c>
      <c r="Q169" t="inlineStr">
        <is>
          <t>CD</t>
        </is>
      </c>
      <c r="R169" t="n">
        <v>1408</v>
      </c>
      <c r="S169" t="n">
        <v>1975</v>
      </c>
      <c r="T169" t="n">
        <v>1643</v>
      </c>
    </row>
    <row r="170">
      <c r="O170" t="n">
        <v>169</v>
      </c>
      <c r="P170" t="inlineStr">
        <is>
          <t>27/03/2026</t>
        </is>
      </c>
      <c r="Q170" t="inlineStr">
        <is>
          <t>CN</t>
        </is>
      </c>
      <c r="R170" t="n">
        <v>1853</v>
      </c>
      <c r="S170" t="n">
        <v>1732</v>
      </c>
      <c r="T170" t="n">
        <v>1441</v>
      </c>
    </row>
    <row r="171">
      <c r="O171" t="n">
        <v>170</v>
      </c>
      <c r="P171" t="inlineStr">
        <is>
          <t>27/03/2026</t>
        </is>
      </c>
      <c r="Q171" t="inlineStr">
        <is>
          <t>CD</t>
        </is>
      </c>
      <c r="R171" t="n">
        <v>1594</v>
      </c>
      <c r="S171" t="n">
        <v>1691</v>
      </c>
      <c r="T171" t="n">
        <v>1740</v>
      </c>
    </row>
    <row r="172">
      <c r="O172" t="n">
        <v>171</v>
      </c>
      <c r="P172" t="inlineStr">
        <is>
          <t>28/03/2026</t>
        </is>
      </c>
      <c r="Q172" t="inlineStr">
        <is>
          <t>CN</t>
        </is>
      </c>
      <c r="R172" t="n">
        <v>1413</v>
      </c>
      <c r="S172" t="n">
        <v>887</v>
      </c>
      <c r="T172" t="n">
        <v>2732</v>
      </c>
    </row>
    <row r="173">
      <c r="O173" t="n">
        <v>172</v>
      </c>
      <c r="P173" t="inlineStr">
        <is>
          <t>28/03/2026</t>
        </is>
      </c>
      <c r="Q173" t="inlineStr">
        <is>
          <t>CD</t>
        </is>
      </c>
      <c r="R173" t="n">
        <v>424</v>
      </c>
      <c r="S173" t="n">
        <v>300</v>
      </c>
      <c r="T173" t="n">
        <v>4313</v>
      </c>
    </row>
    <row r="174">
      <c r="O174" t="n">
        <v>173</v>
      </c>
      <c r="P174" t="inlineStr">
        <is>
          <t>29/03/2026</t>
        </is>
      </c>
      <c r="Q174" t="inlineStr">
        <is>
          <t>CN</t>
        </is>
      </c>
      <c r="R174" t="n">
        <v>0</v>
      </c>
      <c r="S174" t="n">
        <v>0</v>
      </c>
      <c r="T174" t="n">
        <v>5041</v>
      </c>
    </row>
    <row r="175">
      <c r="O175" t="n">
        <v>174</v>
      </c>
      <c r="P175" t="inlineStr">
        <is>
          <t>29/03/2026</t>
        </is>
      </c>
      <c r="Q175" t="inlineStr">
        <is>
          <t>CD</t>
        </is>
      </c>
      <c r="R175" t="n">
        <v>0</v>
      </c>
      <c r="S175" t="n">
        <v>0</v>
      </c>
      <c r="T175" t="n">
        <v>5040</v>
      </c>
    </row>
    <row r="176">
      <c r="O176" t="n">
        <v>175</v>
      </c>
      <c r="P176" t="inlineStr">
        <is>
          <t>30/03/2026</t>
        </is>
      </c>
      <c r="Q176" t="inlineStr">
        <is>
          <t>CN</t>
        </is>
      </c>
      <c r="R176" t="n">
        <v>1791</v>
      </c>
      <c r="S176" t="n">
        <v>1748</v>
      </c>
      <c r="T176" t="n">
        <v>1487</v>
      </c>
    </row>
    <row r="177">
      <c r="O177" t="n">
        <v>176</v>
      </c>
      <c r="P177" t="inlineStr">
        <is>
          <t>30/03/2026</t>
        </is>
      </c>
      <c r="Q177" t="inlineStr">
        <is>
          <t>CD</t>
        </is>
      </c>
      <c r="R177" t="n">
        <v>1723</v>
      </c>
      <c r="S177" t="n">
        <v>2066</v>
      </c>
      <c r="T177" t="n">
        <v>1235</v>
      </c>
    </row>
    <row r="178">
      <c r="O178" t="n">
        <v>177</v>
      </c>
      <c r="P178" t="inlineStr">
        <is>
          <t>31/03/2026</t>
        </is>
      </c>
      <c r="Q178" t="inlineStr">
        <is>
          <t>CN</t>
        </is>
      </c>
      <c r="R178" t="n">
        <v>1807</v>
      </c>
      <c r="S178" t="n">
        <v>1741</v>
      </c>
      <c r="T178" t="n">
        <v>1476</v>
      </c>
    </row>
    <row r="179">
      <c r="O179" t="n">
        <v>178</v>
      </c>
      <c r="P179" t="inlineStr">
        <is>
          <t>31/03/2026</t>
        </is>
      </c>
      <c r="Q179" t="inlineStr">
        <is>
          <t>CD</t>
        </is>
      </c>
      <c r="R179" t="n">
        <v>2084</v>
      </c>
      <c r="S179" t="n">
        <v>1822</v>
      </c>
      <c r="T179" t="n">
        <v>1119</v>
      </c>
    </row>
    <row r="180">
      <c r="O180" t="n">
        <v>179</v>
      </c>
      <c r="P180" t="inlineStr">
        <is>
          <t>01/04/2026</t>
        </is>
      </c>
      <c r="Q180" t="inlineStr">
        <is>
          <t>CN</t>
        </is>
      </c>
      <c r="R180" t="n">
        <v>1877</v>
      </c>
      <c r="S180" t="n">
        <v>1700</v>
      </c>
      <c r="T180" t="n">
        <v>1450</v>
      </c>
    </row>
    <row r="181">
      <c r="O181" t="n">
        <v>180</v>
      </c>
      <c r="P181" t="inlineStr">
        <is>
          <t>01/04/2026</t>
        </is>
      </c>
      <c r="Q181" t="inlineStr">
        <is>
          <t>CD</t>
        </is>
      </c>
      <c r="R181" t="n">
        <v>2012</v>
      </c>
      <c r="S181" t="n">
        <v>1900</v>
      </c>
      <c r="T181" t="n">
        <v>1114</v>
      </c>
    </row>
    <row r="182">
      <c r="O182" t="n">
        <v>181</v>
      </c>
      <c r="P182" t="inlineStr">
        <is>
          <t>02/04/2026</t>
        </is>
      </c>
      <c r="Q182" t="inlineStr">
        <is>
          <t>CN</t>
        </is>
      </c>
      <c r="R182" t="n">
        <v>1754</v>
      </c>
      <c r="S182" t="n">
        <v>1782</v>
      </c>
      <c r="T182" t="n">
        <v>1489</v>
      </c>
    </row>
    <row r="183">
      <c r="O183" t="n">
        <v>182</v>
      </c>
      <c r="P183" t="inlineStr">
        <is>
          <t>02/04/2026</t>
        </is>
      </c>
      <c r="Q183" t="inlineStr">
        <is>
          <t>CD</t>
        </is>
      </c>
      <c r="R183" t="n">
        <v>1966</v>
      </c>
      <c r="S183" t="n">
        <v>1941</v>
      </c>
      <c r="T183" t="n">
        <v>1119</v>
      </c>
    </row>
    <row r="184">
      <c r="O184" t="n">
        <v>183</v>
      </c>
      <c r="P184" t="inlineStr">
        <is>
          <t>03/04/2026</t>
        </is>
      </c>
      <c r="Q184" t="inlineStr">
        <is>
          <t>CN</t>
        </is>
      </c>
      <c r="R184" t="n">
        <v>1587</v>
      </c>
      <c r="S184" t="n">
        <v>1503</v>
      </c>
      <c r="T184" t="n">
        <v>1936</v>
      </c>
    </row>
    <row r="185">
      <c r="O185" t="n">
        <v>184</v>
      </c>
      <c r="P185" t="inlineStr">
        <is>
          <t>03/04/2026</t>
        </is>
      </c>
      <c r="Q185" t="inlineStr">
        <is>
          <t>CD</t>
        </is>
      </c>
      <c r="R185" t="n">
        <v>1700</v>
      </c>
      <c r="S185" t="n">
        <v>1804</v>
      </c>
      <c r="T185" t="n">
        <v>1519</v>
      </c>
    </row>
    <row r="186">
      <c r="O186" t="n">
        <v>185</v>
      </c>
      <c r="P186" t="inlineStr">
        <is>
          <t>04/04/2026</t>
        </is>
      </c>
      <c r="Q186" t="inlineStr">
        <is>
          <t>CN</t>
        </is>
      </c>
      <c r="R186" t="n">
        <v>1443</v>
      </c>
      <c r="S186" t="n">
        <v>1343</v>
      </c>
      <c r="T186" t="n">
        <v>2240</v>
      </c>
    </row>
    <row r="187">
      <c r="O187" t="n">
        <v>186</v>
      </c>
      <c r="P187" t="inlineStr">
        <is>
          <t>04/04/2026</t>
        </is>
      </c>
      <c r="Q187" t="inlineStr">
        <is>
          <t>CD</t>
        </is>
      </c>
      <c r="R187" t="n">
        <v>1815</v>
      </c>
      <c r="S187" t="n">
        <v>1386</v>
      </c>
      <c r="T187" t="n">
        <v>1828</v>
      </c>
    </row>
    <row r="188">
      <c r="O188" t="n">
        <v>187</v>
      </c>
      <c r="P188" t="inlineStr">
        <is>
          <t>05/04/2026</t>
        </is>
      </c>
      <c r="Q188" t="inlineStr">
        <is>
          <t>CN</t>
        </is>
      </c>
      <c r="R188" t="n">
        <v>20</v>
      </c>
      <c r="S188" t="n">
        <v>27</v>
      </c>
      <c r="T188" t="n">
        <v>4991</v>
      </c>
    </row>
    <row r="189">
      <c r="O189" t="n">
        <v>188</v>
      </c>
      <c r="P189" t="inlineStr">
        <is>
          <t>05/04/2026</t>
        </is>
      </c>
      <c r="Q189" t="inlineStr">
        <is>
          <t>CD</t>
        </is>
      </c>
      <c r="R189" t="n">
        <v>0</v>
      </c>
      <c r="S189" t="n">
        <v>0</v>
      </c>
      <c r="T189" t="n">
        <v>5040</v>
      </c>
    </row>
    <row r="190">
      <c r="O190" t="n">
        <v>189</v>
      </c>
      <c r="P190" t="inlineStr">
        <is>
          <t>06/04/2026</t>
        </is>
      </c>
      <c r="Q190" t="inlineStr">
        <is>
          <t>CN</t>
        </is>
      </c>
      <c r="R190" t="n">
        <v>1997</v>
      </c>
      <c r="S190" t="n">
        <v>1596</v>
      </c>
      <c r="T190" t="n">
        <v>1433</v>
      </c>
    </row>
    <row r="191">
      <c r="O191" t="n">
        <v>190</v>
      </c>
      <c r="P191" t="inlineStr">
        <is>
          <t>06/04/2026</t>
        </is>
      </c>
      <c r="Q191" t="inlineStr">
        <is>
          <t>CD</t>
        </is>
      </c>
      <c r="R191" t="n">
        <v>1903</v>
      </c>
      <c r="S191" t="n">
        <v>1442</v>
      </c>
      <c r="T191" t="n">
        <v>1680</v>
      </c>
    </row>
    <row r="192">
      <c r="O192" t="n">
        <v>191</v>
      </c>
      <c r="P192" t="inlineStr">
        <is>
          <t>07/04/2026</t>
        </is>
      </c>
      <c r="Q192" t="inlineStr">
        <is>
          <t>CN</t>
        </is>
      </c>
      <c r="R192" t="n">
        <v>1943</v>
      </c>
      <c r="S192" t="n">
        <v>1651</v>
      </c>
      <c r="T192" t="n">
        <v>1430</v>
      </c>
    </row>
    <row r="193">
      <c r="O193" t="n">
        <v>192</v>
      </c>
      <c r="P193" t="inlineStr">
        <is>
          <t>07/04/2026</t>
        </is>
      </c>
      <c r="Q193" t="inlineStr">
        <is>
          <t>CD</t>
        </is>
      </c>
      <c r="R193" t="n">
        <v>2005</v>
      </c>
      <c r="S193" t="n">
        <v>1398</v>
      </c>
      <c r="T193" t="n">
        <v>1621</v>
      </c>
    </row>
    <row r="194">
      <c r="O194" t="n">
        <v>193</v>
      </c>
      <c r="P194" t="inlineStr">
        <is>
          <t>08/04/2026</t>
        </is>
      </c>
      <c r="Q194" t="inlineStr">
        <is>
          <t>CN</t>
        </is>
      </c>
      <c r="R194" t="n">
        <v>1841</v>
      </c>
      <c r="S194" t="n">
        <v>1759</v>
      </c>
      <c r="T194" t="n">
        <v>1422</v>
      </c>
    </row>
    <row r="195">
      <c r="O195" t="n">
        <v>194</v>
      </c>
      <c r="P195" t="inlineStr">
        <is>
          <t>08/04/2026</t>
        </is>
      </c>
      <c r="Q195" t="inlineStr">
        <is>
          <t>CD</t>
        </is>
      </c>
      <c r="R195" t="n">
        <v>1599</v>
      </c>
      <c r="S195" t="n">
        <v>1591</v>
      </c>
      <c r="T195" t="n">
        <v>1836</v>
      </c>
    </row>
    <row r="196">
      <c r="O196" t="n">
        <v>195</v>
      </c>
      <c r="P196" t="inlineStr">
        <is>
          <t>09/04/2026</t>
        </is>
      </c>
      <c r="Q196" t="inlineStr">
        <is>
          <t>CN</t>
        </is>
      </c>
      <c r="R196" t="n">
        <v>1795</v>
      </c>
      <c r="S196" t="n">
        <v>1805</v>
      </c>
      <c r="T196" t="n">
        <v>1426</v>
      </c>
    </row>
    <row r="197">
      <c r="O197" t="n">
        <v>196</v>
      </c>
      <c r="P197" t="inlineStr">
        <is>
          <t>09/04/2026</t>
        </is>
      </c>
      <c r="Q197" t="inlineStr">
        <is>
          <t>CD</t>
        </is>
      </c>
      <c r="R197" t="n">
        <v>1789</v>
      </c>
      <c r="S197" t="n">
        <v>2114</v>
      </c>
      <c r="T197" t="n">
        <v>1122</v>
      </c>
    </row>
    <row r="198">
      <c r="O198" t="n">
        <v>197</v>
      </c>
      <c r="P198" t="inlineStr">
        <is>
          <t>10/04/2026</t>
        </is>
      </c>
      <c r="Q198" t="inlineStr">
        <is>
          <t>CN</t>
        </is>
      </c>
      <c r="R198" t="n">
        <v>1878</v>
      </c>
      <c r="S198" t="n">
        <v>1683</v>
      </c>
      <c r="T198" t="n">
        <v>1464</v>
      </c>
    </row>
    <row r="199">
      <c r="O199" t="n">
        <v>198</v>
      </c>
      <c r="P199" t="inlineStr">
        <is>
          <t>10/04/2026</t>
        </is>
      </c>
      <c r="Q199" t="inlineStr">
        <is>
          <t>CD</t>
        </is>
      </c>
      <c r="R199" t="n">
        <v>1659</v>
      </c>
      <c r="S199" t="n">
        <v>1684</v>
      </c>
      <c r="T199" t="n">
        <v>1679</v>
      </c>
    </row>
    <row r="200">
      <c r="O200" t="n">
        <v>199</v>
      </c>
      <c r="P200" t="inlineStr">
        <is>
          <t>11/04/2026</t>
        </is>
      </c>
      <c r="Q200" t="inlineStr">
        <is>
          <t>CN</t>
        </is>
      </c>
      <c r="R200" t="n">
        <v>2008</v>
      </c>
      <c r="S200" t="n">
        <v>1385</v>
      </c>
      <c r="T200" t="n">
        <v>1636</v>
      </c>
    </row>
    <row r="201">
      <c r="O201" t="n">
        <v>200</v>
      </c>
      <c r="P201" t="inlineStr">
        <is>
          <t>11/04/2026</t>
        </is>
      </c>
      <c r="Q201" t="inlineStr">
        <is>
          <t>CD</t>
        </is>
      </c>
      <c r="R201" t="n">
        <v>1108</v>
      </c>
      <c r="S201" t="n">
        <v>1281</v>
      </c>
      <c r="T201" t="n">
        <v>2637</v>
      </c>
    </row>
    <row r="202">
      <c r="O202" t="n">
        <v>201</v>
      </c>
      <c r="P202" t="inlineStr">
        <is>
          <t>12/04/2026</t>
        </is>
      </c>
      <c r="Q202" t="inlineStr">
        <is>
          <t>CN</t>
        </is>
      </c>
      <c r="R202" t="n">
        <v>0</v>
      </c>
      <c r="S202" t="n">
        <v>0</v>
      </c>
      <c r="T202" t="n">
        <v>5040</v>
      </c>
    </row>
    <row r="203">
      <c r="O203" t="n">
        <v>202</v>
      </c>
      <c r="P203" t="inlineStr">
        <is>
          <t>12/04/2026</t>
        </is>
      </c>
      <c r="Q203" t="inlineStr">
        <is>
          <t>CD</t>
        </is>
      </c>
      <c r="R203" t="n">
        <v>0</v>
      </c>
      <c r="S203" t="n">
        <v>0</v>
      </c>
      <c r="T203" t="n">
        <v>5040</v>
      </c>
    </row>
    <row r="204">
      <c r="O204" t="n">
        <v>203</v>
      </c>
      <c r="P204" t="inlineStr">
        <is>
          <t>13/04/2026</t>
        </is>
      </c>
      <c r="Q204" t="inlineStr">
        <is>
          <t>CN</t>
        </is>
      </c>
      <c r="R204" t="n">
        <v>1538</v>
      </c>
      <c r="S204" t="n">
        <v>1039</v>
      </c>
      <c r="T204" t="n">
        <v>2453</v>
      </c>
    </row>
    <row r="205">
      <c r="O205" t="n">
        <v>204</v>
      </c>
      <c r="P205" t="inlineStr">
        <is>
          <t>13/04/2026</t>
        </is>
      </c>
      <c r="Q205" t="inlineStr">
        <is>
          <t>CD</t>
        </is>
      </c>
      <c r="R205" t="n">
        <v>1830</v>
      </c>
      <c r="S205" t="n">
        <v>1238</v>
      </c>
      <c r="T205" t="n">
        <v>1958</v>
      </c>
    </row>
    <row r="206">
      <c r="O206" t="n">
        <v>205</v>
      </c>
      <c r="P206" t="inlineStr">
        <is>
          <t>14/04/2026</t>
        </is>
      </c>
      <c r="Q206" t="inlineStr">
        <is>
          <t>CN</t>
        </is>
      </c>
      <c r="R206" t="n">
        <v>1389</v>
      </c>
      <c r="S206" t="n">
        <v>1193</v>
      </c>
      <c r="T206" t="n">
        <v>2447</v>
      </c>
    </row>
    <row r="207">
      <c r="O207" t="n">
        <v>206</v>
      </c>
      <c r="P207" t="inlineStr">
        <is>
          <t>14/04/2026</t>
        </is>
      </c>
      <c r="Q207" t="inlineStr">
        <is>
          <t>CD</t>
        </is>
      </c>
      <c r="R207" t="n">
        <v>1980</v>
      </c>
      <c r="S207" t="n">
        <v>1617</v>
      </c>
      <c r="T207" t="n">
        <v>1429</v>
      </c>
    </row>
    <row r="208">
      <c r="O208" t="n">
        <v>207</v>
      </c>
      <c r="P208" t="inlineStr">
        <is>
          <t>15/04/2026</t>
        </is>
      </c>
      <c r="Q208" t="inlineStr">
        <is>
          <t>CN</t>
        </is>
      </c>
      <c r="R208" t="n">
        <v>1757</v>
      </c>
      <c r="S208" t="n">
        <v>1331</v>
      </c>
      <c r="T208" t="n">
        <v>1939</v>
      </c>
    </row>
    <row r="209">
      <c r="O209" t="n">
        <v>208</v>
      </c>
      <c r="P209" t="inlineStr">
        <is>
          <t>15/04/2026</t>
        </is>
      </c>
      <c r="Q209" t="inlineStr">
        <is>
          <t>CD</t>
        </is>
      </c>
      <c r="R209" t="n">
        <v>2344</v>
      </c>
      <c r="S209" t="n">
        <v>1433</v>
      </c>
      <c r="T209" t="n">
        <v>1248</v>
      </c>
    </row>
    <row r="210">
      <c r="O210" t="n">
        <v>209</v>
      </c>
      <c r="P210" t="inlineStr">
        <is>
          <t>16/04/2026</t>
        </is>
      </c>
      <c r="Q210" t="inlineStr">
        <is>
          <t>CN</t>
        </is>
      </c>
      <c r="R210" t="n">
        <v>1971</v>
      </c>
      <c r="S210" t="n">
        <v>1432</v>
      </c>
      <c r="T210" t="n">
        <v>1615</v>
      </c>
    </row>
    <row r="211">
      <c r="O211" t="n">
        <v>210</v>
      </c>
      <c r="P211" t="inlineStr">
        <is>
          <t>16/04/2026</t>
        </is>
      </c>
      <c r="Q211" t="inlineStr">
        <is>
          <t>CD</t>
        </is>
      </c>
      <c r="R211" t="n">
        <v>1876</v>
      </c>
      <c r="S211" t="n">
        <v>1974</v>
      </c>
      <c r="T211" t="n">
        <v>1174</v>
      </c>
    </row>
    <row r="212">
      <c r="O212" t="n">
        <v>211</v>
      </c>
      <c r="P212" t="inlineStr">
        <is>
          <t>17/04/2026</t>
        </is>
      </c>
      <c r="Q212" t="inlineStr">
        <is>
          <t>CN</t>
        </is>
      </c>
      <c r="R212" t="n">
        <v>1566</v>
      </c>
      <c r="S212" t="n">
        <v>1474</v>
      </c>
      <c r="T212" t="n">
        <v>1986</v>
      </c>
    </row>
    <row r="213">
      <c r="O213" t="n">
        <v>212</v>
      </c>
      <c r="P213" t="inlineStr">
        <is>
          <t>17/04/2026</t>
        </is>
      </c>
      <c r="Q213" t="inlineStr">
        <is>
          <t>CD</t>
        </is>
      </c>
      <c r="R213" t="n">
        <v>1899</v>
      </c>
      <c r="S213" t="n">
        <v>1619</v>
      </c>
      <c r="T213" t="n">
        <v>1507</v>
      </c>
    </row>
    <row r="214">
      <c r="O214" t="n">
        <v>213</v>
      </c>
      <c r="P214" t="inlineStr">
        <is>
          <t>18/04/2026</t>
        </is>
      </c>
      <c r="Q214" t="inlineStr">
        <is>
          <t>CN</t>
        </is>
      </c>
      <c r="R214" t="n">
        <v>1479</v>
      </c>
      <c r="S214" t="n">
        <v>1045</v>
      </c>
      <c r="T214" t="n">
        <v>2504</v>
      </c>
    </row>
    <row r="215">
      <c r="O215" t="n">
        <v>214</v>
      </c>
      <c r="P215" t="inlineStr">
        <is>
          <t>18/04/2026</t>
        </is>
      </c>
      <c r="Q215" t="inlineStr">
        <is>
          <t>CD</t>
        </is>
      </c>
      <c r="R215" t="n">
        <v>1832</v>
      </c>
      <c r="S215" t="n">
        <v>1187</v>
      </c>
      <c r="T215" t="n">
        <v>2009</v>
      </c>
    </row>
    <row r="216">
      <c r="O216" t="n">
        <v>215</v>
      </c>
      <c r="P216" t="inlineStr">
        <is>
          <t>19/04/2026</t>
        </is>
      </c>
      <c r="Q216" t="inlineStr">
        <is>
          <t>CN</t>
        </is>
      </c>
      <c r="R216" t="n">
        <v>0</v>
      </c>
      <c r="S216" t="n">
        <v>0</v>
      </c>
      <c r="T216" t="n">
        <v>5040</v>
      </c>
    </row>
    <row r="217">
      <c r="O217" t="n">
        <v>216</v>
      </c>
      <c r="P217" t="inlineStr">
        <is>
          <t>19/04/2026</t>
        </is>
      </c>
      <c r="Q217" t="inlineStr">
        <is>
          <t>CD</t>
        </is>
      </c>
      <c r="R217" t="n">
        <v>0</v>
      </c>
      <c r="S217" t="n">
        <v>0</v>
      </c>
      <c r="T217" t="n">
        <v>5040</v>
      </c>
    </row>
    <row r="218">
      <c r="O218" t="n">
        <v>217</v>
      </c>
      <c r="P218" t="inlineStr">
        <is>
          <t>20/04/2026</t>
        </is>
      </c>
      <c r="Q218" t="inlineStr">
        <is>
          <t>CN</t>
        </is>
      </c>
      <c r="R218" t="n">
        <v>1951</v>
      </c>
      <c r="S218" t="n">
        <v>1645</v>
      </c>
      <c r="T218" t="n">
        <v>1428</v>
      </c>
    </row>
    <row r="219">
      <c r="O219" t="n">
        <v>218</v>
      </c>
      <c r="P219" t="inlineStr">
        <is>
          <t>20/04/2026</t>
        </is>
      </c>
      <c r="Q219" t="inlineStr">
        <is>
          <t>CD</t>
        </is>
      </c>
      <c r="R219" t="n">
        <v>1663</v>
      </c>
      <c r="S219" t="n">
        <v>1549</v>
      </c>
      <c r="T219" t="n">
        <v>1814</v>
      </c>
    </row>
    <row r="220">
      <c r="O220" t="n">
        <v>219</v>
      </c>
      <c r="P220" t="inlineStr">
        <is>
          <t>21/04/2026</t>
        </is>
      </c>
      <c r="Q220" t="inlineStr">
        <is>
          <t>CN</t>
        </is>
      </c>
      <c r="R220" t="n">
        <v>2321</v>
      </c>
      <c r="S220" t="n">
        <v>1264</v>
      </c>
      <c r="T220" t="n">
        <v>1440</v>
      </c>
    </row>
    <row r="221">
      <c r="O221" t="n">
        <v>220</v>
      </c>
      <c r="P221" t="inlineStr">
        <is>
          <t>21/04/2026</t>
        </is>
      </c>
      <c r="Q221" t="inlineStr">
        <is>
          <t>CD</t>
        </is>
      </c>
      <c r="R221" t="n">
        <v>2039</v>
      </c>
      <c r="S221" t="n">
        <v>1460</v>
      </c>
      <c r="T221" t="n">
        <v>1527</v>
      </c>
    </row>
    <row r="222">
      <c r="O222" t="n">
        <v>221</v>
      </c>
      <c r="P222" t="inlineStr">
        <is>
          <t>22/04/2026</t>
        </is>
      </c>
      <c r="Q222" t="inlineStr">
        <is>
          <t>CN</t>
        </is>
      </c>
      <c r="R222" t="n">
        <v>2188</v>
      </c>
      <c r="S222" t="n">
        <v>1408</v>
      </c>
      <c r="T222" t="n">
        <v>1433</v>
      </c>
    </row>
    <row r="223">
      <c r="O223" t="n">
        <v>222</v>
      </c>
      <c r="P223" t="inlineStr">
        <is>
          <t>22/04/2026</t>
        </is>
      </c>
      <c r="Q223" t="inlineStr">
        <is>
          <t>CD</t>
        </is>
      </c>
      <c r="R223" t="n">
        <v>1543</v>
      </c>
      <c r="S223" t="n">
        <v>1503</v>
      </c>
      <c r="T223" t="n">
        <v>1978</v>
      </c>
    </row>
    <row r="224">
      <c r="O224" t="n">
        <v>223</v>
      </c>
      <c r="P224" t="inlineStr">
        <is>
          <t>23/04/2026</t>
        </is>
      </c>
      <c r="Q224" t="inlineStr">
        <is>
          <t>CN</t>
        </is>
      </c>
      <c r="R224" t="n">
        <v>2109</v>
      </c>
      <c r="S224" t="n">
        <v>1489</v>
      </c>
      <c r="T224" t="n">
        <v>1429</v>
      </c>
    </row>
    <row r="225">
      <c r="O225" t="n">
        <v>224</v>
      </c>
      <c r="P225" t="inlineStr">
        <is>
          <t>23/04/2026</t>
        </is>
      </c>
      <c r="Q225" t="inlineStr">
        <is>
          <t>CD</t>
        </is>
      </c>
      <c r="R225" t="n">
        <v>1501</v>
      </c>
      <c r="S225" t="n">
        <v>1898</v>
      </c>
      <c r="T225" t="n">
        <v>1622</v>
      </c>
    </row>
    <row r="226">
      <c r="O226" t="n">
        <v>225</v>
      </c>
      <c r="P226" t="inlineStr">
        <is>
          <t>24/04/2026</t>
        </is>
      </c>
      <c r="Q226" t="inlineStr">
        <is>
          <t>CN</t>
        </is>
      </c>
      <c r="R226" t="n">
        <v>2023</v>
      </c>
      <c r="S226" t="n">
        <v>1572</v>
      </c>
      <c r="T226" t="n">
        <v>1432</v>
      </c>
    </row>
    <row r="227">
      <c r="O227" t="n">
        <v>226</v>
      </c>
      <c r="P227" t="inlineStr">
        <is>
          <t>24/04/2026</t>
        </is>
      </c>
      <c r="Q227" t="inlineStr">
        <is>
          <t>CD</t>
        </is>
      </c>
      <c r="R227" t="n">
        <v>1804</v>
      </c>
      <c r="S227" t="n">
        <v>1542</v>
      </c>
      <c r="T227" t="n">
        <v>1679</v>
      </c>
    </row>
    <row r="228">
      <c r="O228" t="n">
        <v>227</v>
      </c>
      <c r="P228" t="inlineStr">
        <is>
          <t>25/04/2026</t>
        </is>
      </c>
      <c r="Q228" t="inlineStr">
        <is>
          <t>CN</t>
        </is>
      </c>
      <c r="R228" t="n">
        <v>1905</v>
      </c>
      <c r="S228" t="n">
        <v>963</v>
      </c>
      <c r="T228" t="n">
        <v>2160</v>
      </c>
    </row>
    <row r="229">
      <c r="O229" t="n">
        <v>228</v>
      </c>
      <c r="P229" t="inlineStr">
        <is>
          <t>25/04/2026</t>
        </is>
      </c>
      <c r="Q229" t="inlineStr">
        <is>
          <t>CD</t>
        </is>
      </c>
      <c r="R229" t="n">
        <v>578</v>
      </c>
      <c r="S229" t="n">
        <v>365</v>
      </c>
      <c r="T229" t="n">
        <v>4094</v>
      </c>
    </row>
    <row r="230">
      <c r="O230" t="n">
        <v>229</v>
      </c>
      <c r="P230" t="inlineStr">
        <is>
          <t>26/04/2026</t>
        </is>
      </c>
      <c r="Q230" t="inlineStr">
        <is>
          <t>CN</t>
        </is>
      </c>
      <c r="R230" t="n">
        <v>0</v>
      </c>
      <c r="S230" t="n">
        <v>0</v>
      </c>
      <c r="T230" t="n">
        <v>5040</v>
      </c>
    </row>
    <row r="231">
      <c r="O231" t="n">
        <v>230</v>
      </c>
      <c r="P231" t="inlineStr">
        <is>
          <t>26/04/2026</t>
        </is>
      </c>
      <c r="Q231" t="inlineStr">
        <is>
          <t>CD</t>
        </is>
      </c>
      <c r="R231" t="n">
        <v>0</v>
      </c>
      <c r="S231" t="n">
        <v>0</v>
      </c>
      <c r="T231" t="n">
        <v>5040</v>
      </c>
    </row>
    <row r="232">
      <c r="O232" t="n">
        <v>231</v>
      </c>
      <c r="P232" t="inlineStr">
        <is>
          <t>27/04/2026</t>
        </is>
      </c>
      <c r="Q232" t="inlineStr">
        <is>
          <t>CN</t>
        </is>
      </c>
      <c r="R232" t="n">
        <v>1732</v>
      </c>
      <c r="S232" t="n">
        <v>748</v>
      </c>
      <c r="T232" t="n">
        <v>2548</v>
      </c>
    </row>
    <row r="233">
      <c r="O233" t="n">
        <v>232</v>
      </c>
      <c r="P233" t="inlineStr">
        <is>
          <t>27/04/2026</t>
        </is>
      </c>
      <c r="Q233" t="inlineStr">
        <is>
          <t>CD</t>
        </is>
      </c>
      <c r="R233" t="n">
        <v>2002</v>
      </c>
      <c r="S233" t="n">
        <v>1790</v>
      </c>
      <c r="T233" t="n">
        <v>1233</v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T234"/>
  <sheetViews>
    <sheetView topLeftCell="E1" workbookViewId="0">
      <selection activeCell="I2" sqref="I2:J75"/>
    </sheetView>
  </sheetViews>
  <sheetFormatPr baseColWidth="8" defaultRowHeight="14.75"/>
  <cols>
    <col width="3" bestFit="1" customWidth="1" min="1" max="1"/>
    <col width="10.86328125" bestFit="1" customWidth="1" min="2" max="3"/>
    <col width="34.08984375" bestFit="1" customWidth="1" min="4" max="4"/>
    <col width="30.54296875" bestFit="1" customWidth="1" min="5" max="5"/>
    <col width="22.6796875" bestFit="1" customWidth="1" min="6" max="6"/>
    <col width="11.6796875" bestFit="1" customWidth="1" min="9" max="9"/>
    <col width="9.54296875" customWidth="1" min="10" max="10"/>
    <col width="8.31640625" bestFit="1" customWidth="1" min="11" max="11"/>
    <col width="11.54296875" bestFit="1" customWidth="1" min="12" max="12"/>
    <col width="10" bestFit="1" customWidth="1" min="13" max="13"/>
  </cols>
  <sheetData>
    <row r="1" customFormat="1" s="2">
      <c r="A1" s="3" t="inlineStr">
        <is>
          <t>ID</t>
        </is>
      </c>
      <c r="B1" s="3" t="inlineStr">
        <is>
          <t>Ngày tháng</t>
        </is>
      </c>
      <c r="C1" s="3" t="inlineStr">
        <is>
          <t>Ca làm việc</t>
        </is>
      </c>
      <c r="D1" s="3" t="inlineStr">
        <is>
          <t>Thời gian hoạt động không tải (phút)</t>
        </is>
      </c>
      <c r="E1" s="3" t="inlineStr">
        <is>
          <t>Thời gian hoạt động có tải (phút)</t>
        </is>
      </c>
      <c r="F1" s="3" t="inlineStr">
        <is>
          <t>Thời gian tắt máy (phút)</t>
        </is>
      </c>
      <c r="H1" s="3" t="inlineStr">
        <is>
          <t>Ngày - Ca</t>
        </is>
      </c>
      <c r="I1" s="3" t="inlineStr">
        <is>
          <t>Mục Tiêu C1</t>
        </is>
      </c>
      <c r="J1" s="3" t="inlineStr">
        <is>
          <t>Mục Tiêu C2</t>
        </is>
      </c>
      <c r="K1" s="3" t="inlineStr">
        <is>
          <t>% Có Tải</t>
        </is>
      </c>
      <c r="L1" s="3" t="inlineStr">
        <is>
          <t>% Không Tải</t>
        </is>
      </c>
      <c r="M1" s="3" t="inlineStr">
        <is>
          <t>% Tắt Máy</t>
        </is>
      </c>
    </row>
    <row r="2">
      <c r="A2" t="n">
        <v>1</v>
      </c>
      <c r="B2" t="inlineStr">
        <is>
          <t>01/04/2026</t>
        </is>
      </c>
      <c r="C2" t="inlineStr">
        <is>
          <t>CN</t>
        </is>
      </c>
      <c r="D2" t="n">
        <v>71</v>
      </c>
      <c r="E2" t="n">
        <v>963</v>
      </c>
      <c r="F2" t="n">
        <v>404</v>
      </c>
      <c r="H2" t="inlineStr">
        <is>
          <t>T1</t>
        </is>
      </c>
      <c r="I2" s="1" t="n">
        <v>0.7</v>
      </c>
      <c r="J2" s="1" t="n">
        <v>0.8705882352941177</v>
      </c>
      <c r="K2" s="1">
        <f>IFERROR(SUMIFS(S:S,P:P,"*/01/2026")/(SUMIFS(R:R,P:P,"*/01/2026")+SUMIFS(S:S,P:P,"*/01/2026")+SUMIFS(T:T,P:P,"*/01/2026")),"")</f>
        <v/>
      </c>
      <c r="L2" s="1">
        <f>IFERROR(SUMIFS(R:R,P:P,"*/01/2026")/(SUMIFS(R:R,P:P,"*/01/2026")+SUMIFS(S:S,P:P,"*/01/2026")+SUMIFS(T:T,P:P,"*/01/2026")),"")</f>
        <v/>
      </c>
      <c r="M2" s="1">
        <f>IFERROR(SUMIFS(T:T,P:P,"*/01/2026")/(SUMIFS(R:R,P:P,"*/01/2026")+SUMIFS(S:S,P:P,"*/01/2026")+SUMIFS(T:T,P:P,"*/01/2026")),"")</f>
        <v/>
      </c>
      <c r="O2" t="n">
        <v>1</v>
      </c>
      <c r="P2" t="inlineStr">
        <is>
          <t>01/01/2026</t>
        </is>
      </c>
      <c r="Q2" t="inlineStr">
        <is>
          <t>CN</t>
        </is>
      </c>
      <c r="R2" t="n">
        <v>0</v>
      </c>
      <c r="S2" t="n">
        <v>0</v>
      </c>
      <c r="T2" t="n">
        <v>1440</v>
      </c>
    </row>
    <row r="3">
      <c r="A3" t="n">
        <v>2</v>
      </c>
      <c r="B3" t="inlineStr">
        <is>
          <t>01/04/2026</t>
        </is>
      </c>
      <c r="C3" t="inlineStr">
        <is>
          <t>CD</t>
        </is>
      </c>
      <c r="D3" t="n">
        <v>58</v>
      </c>
      <c r="E3" t="n">
        <v>1092</v>
      </c>
      <c r="F3" t="n">
        <v>287</v>
      </c>
      <c r="H3" t="inlineStr">
        <is>
          <t>T2</t>
        </is>
      </c>
      <c r="I3" s="1" t="n">
        <v>0.7</v>
      </c>
      <c r="J3" s="1" t="n">
        <v>0.8705882352941177</v>
      </c>
      <c r="K3" s="1">
        <f>IFERROR(SUMIFS(S:S,P:P,"*/02/2026")/(SUMIFS(R:R,P:P,"*/02/2026")+SUMIFS(S:S,P:P,"*/02/2026")+SUMIFS(T:T,P:P,"*/02/2026")),"")</f>
        <v/>
      </c>
      <c r="L3" s="1">
        <f>IFERROR(SUMIFS(R:R,P:P,"*/02/2026")/(SUMIFS(R:R,P:P,"*/02/2026")+SUMIFS(S:S,P:P,"*/02/2026")+SUMIFS(T:T,P:P,"*/02/2026")),"")</f>
        <v/>
      </c>
      <c r="M3" s="1">
        <f>IFERROR(SUMIFS(T:T,P:P,"*/02/2026")/(SUMIFS(R:R,P:P,"*/02/2026")+SUMIFS(S:S,P:P,"*/02/2026")+SUMIFS(T:T,P:P,"*/02/2026")),"")</f>
        <v/>
      </c>
      <c r="O3" t="n">
        <v>2</v>
      </c>
      <c r="P3" t="inlineStr">
        <is>
          <t>01/01/2026</t>
        </is>
      </c>
      <c r="Q3" t="inlineStr">
        <is>
          <t>CD</t>
        </is>
      </c>
      <c r="R3" t="n">
        <v>38</v>
      </c>
      <c r="S3" t="n">
        <v>99</v>
      </c>
      <c r="T3" t="n">
        <v>1301</v>
      </c>
    </row>
    <row r="4">
      <c r="A4" t="n">
        <v>3</v>
      </c>
      <c r="B4" t="inlineStr">
        <is>
          <t>02/04/2026</t>
        </is>
      </c>
      <c r="C4" t="inlineStr">
        <is>
          <t>CN</t>
        </is>
      </c>
      <c r="D4" t="n">
        <v>171</v>
      </c>
      <c r="E4" t="n">
        <v>871</v>
      </c>
      <c r="F4" t="n">
        <v>396</v>
      </c>
      <c r="H4" t="inlineStr">
        <is>
          <t>T3</t>
        </is>
      </c>
      <c r="I4" s="1" t="n">
        <v>0.7</v>
      </c>
      <c r="J4" s="1" t="n">
        <v>0.8705882352941177</v>
      </c>
      <c r="K4" s="1">
        <f>IFERROR(SUMIFS(S:S,P:P,"*/03/2026")/(SUMIFS(R:R,P:P,"*/03/2026")+SUMIFS(S:S,P:P,"*/03/2026")+SUMIFS(T:T,P:P,"*/03/2026")),"")</f>
        <v/>
      </c>
      <c r="L4" s="1">
        <f>IFERROR(SUMIFS(R:R,P:P,"*/03/2026")/(SUMIFS(R:R,P:P,"*/03/2026")+SUMIFS(S:S,P:P,"*/03/2026")+SUMIFS(T:T,P:P,"*/03/2026")),"")</f>
        <v/>
      </c>
      <c r="M4" s="1">
        <f>IFERROR(SUMIFS(T:T,P:P,"*/03/2026")/(SUMIFS(R:R,P:P,"*/03/2026")+SUMIFS(S:S,P:P,"*/03/2026")+SUMIFS(T:T,P:P,"*/03/2026")),"")</f>
        <v/>
      </c>
      <c r="O4" t="n">
        <v>3</v>
      </c>
      <c r="P4" t="inlineStr">
        <is>
          <t>02/01/2026</t>
        </is>
      </c>
      <c r="Q4" t="inlineStr">
        <is>
          <t>CN</t>
        </is>
      </c>
      <c r="R4" t="n">
        <v>314</v>
      </c>
      <c r="S4" t="n">
        <v>1125</v>
      </c>
      <c r="T4" t="n">
        <v>0</v>
      </c>
    </row>
    <row r="5">
      <c r="A5" t="n">
        <v>4</v>
      </c>
      <c r="B5" t="inlineStr">
        <is>
          <t>02/04/2026</t>
        </is>
      </c>
      <c r="C5" t="inlineStr">
        <is>
          <t>CD</t>
        </is>
      </c>
      <c r="D5" t="n">
        <v>173</v>
      </c>
      <c r="E5" t="n">
        <v>958</v>
      </c>
      <c r="F5" t="n">
        <v>307</v>
      </c>
      <c r="H5" t="inlineStr">
        <is>
          <t>T4</t>
        </is>
      </c>
      <c r="I5" s="1" t="n">
        <v>0.7</v>
      </c>
      <c r="J5" s="1" t="n">
        <v>0.8705882352941177</v>
      </c>
      <c r="K5" s="1">
        <f>IFERROR(SUMIFS(S:S,P:P,"*/04/2026")/(SUMIFS(R:R,P:P,"*/04/2026")+SUMIFS(S:S,P:P,"*/04/2026")+SUMIFS(T:T,P:P,"*/04/2026")),"")</f>
        <v/>
      </c>
      <c r="L5" s="1">
        <f>IFERROR(SUMIFS(R:R,P:P,"*/04/2026")/(SUMIFS(R:R,P:P,"*/04/2026")+SUMIFS(S:S,P:P,"*/04/2026")+SUMIFS(T:T,P:P,"*/04/2026")),"")</f>
        <v/>
      </c>
      <c r="M5" s="1">
        <f>IFERROR(SUMIFS(T:T,P:P,"*/04/2026")/(SUMIFS(R:R,P:P,"*/04/2026")+SUMIFS(S:S,P:P,"*/04/2026")+SUMIFS(T:T,P:P,"*/04/2026")),"")</f>
        <v/>
      </c>
      <c r="O5" t="n">
        <v>4</v>
      </c>
      <c r="P5" t="inlineStr">
        <is>
          <t>02/01/2026</t>
        </is>
      </c>
      <c r="Q5" t="inlineStr">
        <is>
          <t>CD</t>
        </is>
      </c>
      <c r="R5" t="n">
        <v>146</v>
      </c>
      <c r="S5" t="n">
        <v>713</v>
      </c>
      <c r="T5" t="n">
        <v>580</v>
      </c>
    </row>
    <row r="6">
      <c r="A6" t="n">
        <v>5</v>
      </c>
      <c r="B6" t="inlineStr">
        <is>
          <t>03/04/2026</t>
        </is>
      </c>
      <c r="C6" t="inlineStr">
        <is>
          <t>CN</t>
        </is>
      </c>
      <c r="D6" t="n">
        <v>48</v>
      </c>
      <c r="E6" t="n">
        <v>987</v>
      </c>
      <c r="F6" t="n">
        <v>403</v>
      </c>
      <c r="H6" t="inlineStr">
        <is>
          <t>T5</t>
        </is>
      </c>
      <c r="I6" s="1" t="n">
        <v>0.7</v>
      </c>
      <c r="J6" s="1" t="n">
        <v>0.8705882352941177</v>
      </c>
      <c r="K6" s="1">
        <f>IFERROR(SUMIFS(S:S,P:P,"*/05/2026")/(SUMIFS(R:R,P:P,"*/05/2026")+SUMIFS(S:S,P:P,"*/05/2026")+SUMIFS(T:T,P:P,"*/05/2026")),"")</f>
        <v/>
      </c>
      <c r="L6" s="1">
        <f>IFERROR(SUMIFS(R:R,P:P,"*/05/2026")/(SUMIFS(R:R,P:P,"*/05/2026")+SUMIFS(S:S,P:P,"*/05/2026")+SUMIFS(T:T,P:P,"*/05/2026")),"")</f>
        <v/>
      </c>
      <c r="M6" s="1">
        <f>IFERROR(SUMIFS(T:T,P:P,"*/05/2026")/(SUMIFS(R:R,P:P,"*/05/2026")+SUMIFS(S:S,P:P,"*/05/2026")+SUMIFS(T:T,P:P,"*/05/2026")),"")</f>
        <v/>
      </c>
      <c r="O6" t="n">
        <v>5</v>
      </c>
      <c r="P6" t="inlineStr">
        <is>
          <t>03/01/2026</t>
        </is>
      </c>
      <c r="Q6" t="inlineStr">
        <is>
          <t>CD</t>
        </is>
      </c>
      <c r="R6" t="n">
        <v>365</v>
      </c>
      <c r="S6" t="n">
        <v>1655</v>
      </c>
      <c r="T6" t="n">
        <v>319</v>
      </c>
    </row>
    <row r="7">
      <c r="A7" t="n">
        <v>6</v>
      </c>
      <c r="B7" t="inlineStr">
        <is>
          <t>03/04/2026</t>
        </is>
      </c>
      <c r="C7" t="inlineStr">
        <is>
          <t>CD</t>
        </is>
      </c>
      <c r="D7" t="n">
        <v>154</v>
      </c>
      <c r="E7" t="n">
        <v>976</v>
      </c>
      <c r="F7" t="n">
        <v>308</v>
      </c>
      <c r="H7" t="inlineStr">
        <is>
          <t>T6</t>
        </is>
      </c>
      <c r="I7" s="1" t="n">
        <v>0.7</v>
      </c>
      <c r="J7" s="1" t="n">
        <v>0.8705882352941177</v>
      </c>
      <c r="K7" s="1">
        <f>IFERROR(SUMIFS(S:S,P:P,"*/06/2026")/(SUMIFS(R:R,P:P,"*/06/2026")+SUMIFS(S:S,P:P,"*/06/2026")+SUMIFS(T:T,P:P,"*/06/2026")),"")</f>
        <v/>
      </c>
      <c r="L7" s="1">
        <f>IFERROR(SUMIFS(R:R,P:P,"*/06/2026")/(SUMIFS(R:R,P:P,"*/06/2026")+SUMIFS(S:S,P:P,"*/06/2026")+SUMIFS(T:T,P:P,"*/06/2026")),"")</f>
        <v/>
      </c>
      <c r="M7" s="1">
        <f>IFERROR(SUMIFS(T:T,P:P,"*/06/2026")/(SUMIFS(R:R,P:P,"*/06/2026")+SUMIFS(S:S,P:P,"*/06/2026")+SUMIFS(T:T,P:P,"*/06/2026")),"")</f>
        <v/>
      </c>
      <c r="O7" t="n">
        <v>6</v>
      </c>
      <c r="P7" t="inlineStr">
        <is>
          <t>04/01/2026</t>
        </is>
      </c>
      <c r="Q7" t="inlineStr">
        <is>
          <t>CN</t>
        </is>
      </c>
      <c r="R7" t="n">
        <v>0</v>
      </c>
      <c r="S7" t="n">
        <v>0</v>
      </c>
      <c r="T7" t="n">
        <v>1440</v>
      </c>
    </row>
    <row r="8">
      <c r="A8" t="n">
        <v>7</v>
      </c>
      <c r="B8" t="inlineStr">
        <is>
          <t>04/04/2026</t>
        </is>
      </c>
      <c r="C8" t="inlineStr">
        <is>
          <t>CN</t>
        </is>
      </c>
      <c r="D8" t="n">
        <v>117</v>
      </c>
      <c r="E8" t="n">
        <v>854</v>
      </c>
      <c r="F8" t="n">
        <v>466</v>
      </c>
      <c r="H8" t="inlineStr">
        <is>
          <t>T7</t>
        </is>
      </c>
      <c r="I8" s="1" t="n">
        <v>0.7</v>
      </c>
      <c r="J8" s="1" t="n">
        <v>0.8705882352941177</v>
      </c>
      <c r="K8" s="1">
        <f>IFERROR(SUMIFS(S:S,P:P,"*/07/2026")/(SUMIFS(R:R,P:P,"*/07/2026")+SUMIFS(S:S,P:P,"*/07/2026")+SUMIFS(T:T,P:P,"*/07/2026")),"")</f>
        <v/>
      </c>
      <c r="L8" s="1">
        <f>IFERROR(SUMIFS(R:R,P:P,"*/07/2026")/(SUMIFS(R:R,P:P,"*/07/2026")+SUMIFS(S:S,P:P,"*/07/2026")+SUMIFS(T:T,P:P,"*/07/2026")),"")</f>
        <v/>
      </c>
      <c r="M8" s="1">
        <f>IFERROR(SUMIFS(T:T,P:P,"*/07/2026")/(SUMIFS(R:R,P:P,"*/07/2026")+SUMIFS(S:S,P:P,"*/07/2026")+SUMIFS(T:T,P:P,"*/07/2026")),"")</f>
        <v/>
      </c>
      <c r="O8" t="n">
        <v>7</v>
      </c>
      <c r="P8" t="inlineStr">
        <is>
          <t>04/01/2026</t>
        </is>
      </c>
      <c r="Q8" t="inlineStr">
        <is>
          <t>CD</t>
        </is>
      </c>
      <c r="R8" t="n">
        <v>0</v>
      </c>
      <c r="S8" t="n">
        <v>0</v>
      </c>
      <c r="T8" t="n">
        <v>1440</v>
      </c>
    </row>
    <row r="9">
      <c r="A9" t="n">
        <v>8</v>
      </c>
      <c r="B9" t="inlineStr">
        <is>
          <t>04/04/2026</t>
        </is>
      </c>
      <c r="C9" t="inlineStr">
        <is>
          <t>CD</t>
        </is>
      </c>
      <c r="D9" t="n">
        <v>48</v>
      </c>
      <c r="E9" t="n">
        <v>976</v>
      </c>
      <c r="F9" t="n">
        <v>413</v>
      </c>
      <c r="H9" t="inlineStr">
        <is>
          <t>T8</t>
        </is>
      </c>
      <c r="I9" s="1" t="n">
        <v>0.7</v>
      </c>
      <c r="J9" s="1" t="n">
        <v>0.8705882352941177</v>
      </c>
      <c r="K9" s="1">
        <f>IFERROR(SUMIFS(S:S,P:P,"*/08/2026")/(SUMIFS(R:R,P:P,"*/08/2026")+SUMIFS(S:S,P:P,"*/08/2026")+SUMIFS(T:T,P:P,"*/08/2026")),"")</f>
        <v/>
      </c>
      <c r="L9" s="1">
        <f>IFERROR(SUMIFS(R:R,P:P,"*/08/2026")/(SUMIFS(R:R,P:P,"*/08/2026")+SUMIFS(S:S,P:P,"*/08/2026")+SUMIFS(T:T,P:P,"*/08/2026")),"")</f>
        <v/>
      </c>
      <c r="M9" s="1">
        <f>IFERROR(SUMIFS(T:T,P:P,"*/08/2026")/(SUMIFS(R:R,P:P,"*/08/2026")+SUMIFS(S:S,P:P,"*/08/2026")+SUMIFS(T:T,P:P,"*/08/2026")),"")</f>
        <v/>
      </c>
      <c r="O9" t="n">
        <v>8</v>
      </c>
      <c r="P9" t="inlineStr">
        <is>
          <t>05/01/2026</t>
        </is>
      </c>
      <c r="Q9" t="inlineStr">
        <is>
          <t>CN</t>
        </is>
      </c>
      <c r="R9" t="n">
        <v>257</v>
      </c>
      <c r="S9" t="n">
        <v>797</v>
      </c>
      <c r="T9" t="n">
        <v>383</v>
      </c>
    </row>
    <row r="10">
      <c r="A10" t="n">
        <v>9</v>
      </c>
      <c r="B10" t="inlineStr">
        <is>
          <t>05/04/2026</t>
        </is>
      </c>
      <c r="C10" t="inlineStr">
        <is>
          <t>CN</t>
        </is>
      </c>
      <c r="D10" t="n">
        <v>0</v>
      </c>
      <c r="E10" t="n">
        <v>0</v>
      </c>
      <c r="F10" t="n">
        <v>1440</v>
      </c>
      <c r="H10" t="inlineStr">
        <is>
          <t>T9</t>
        </is>
      </c>
      <c r="I10" s="1" t="n">
        <v>0.7</v>
      </c>
      <c r="J10" s="1" t="n">
        <v>0.8705882352941177</v>
      </c>
      <c r="K10" s="1">
        <f>IFERROR(SUMIFS(S:S,P:P,"*/09/2026")/(SUMIFS(R:R,P:P,"*/09/2026")+SUMIFS(S:S,P:P,"*/09/2026")+SUMIFS(T:T,P:P,"*/09/2026")),"")</f>
        <v/>
      </c>
      <c r="L10" s="1">
        <f>IFERROR(SUMIFS(R:R,P:P,"*/09/2026")/(SUMIFS(R:R,P:P,"*/09/2026")+SUMIFS(S:S,P:P,"*/09/2026")+SUMIFS(T:T,P:P,"*/09/2026")),"")</f>
        <v/>
      </c>
      <c r="M10" s="1">
        <f>IFERROR(SUMIFS(T:T,P:P,"*/09/2026")/(SUMIFS(R:R,P:P,"*/09/2026")+SUMIFS(S:S,P:P,"*/09/2026")+SUMIFS(T:T,P:P,"*/09/2026")),"")</f>
        <v/>
      </c>
      <c r="O10" t="n">
        <v>9</v>
      </c>
      <c r="P10" t="inlineStr">
        <is>
          <t>05/01/2026</t>
        </is>
      </c>
      <c r="Q10" t="inlineStr">
        <is>
          <t>CD</t>
        </is>
      </c>
      <c r="R10" t="n">
        <v>177</v>
      </c>
      <c r="S10" t="n">
        <v>943</v>
      </c>
      <c r="T10" t="n">
        <v>302</v>
      </c>
    </row>
    <row r="11">
      <c r="A11" t="n">
        <v>10</v>
      </c>
      <c r="B11" t="inlineStr">
        <is>
          <t>05/04/2026</t>
        </is>
      </c>
      <c r="C11" t="inlineStr">
        <is>
          <t>CD</t>
        </is>
      </c>
      <c r="D11" t="n">
        <v>0</v>
      </c>
      <c r="E11" t="n">
        <v>0</v>
      </c>
      <c r="F11" t="n">
        <v>1440</v>
      </c>
      <c r="H11" t="inlineStr">
        <is>
          <t>T10</t>
        </is>
      </c>
      <c r="I11" s="1" t="n">
        <v>0.7</v>
      </c>
      <c r="J11" s="1" t="n">
        <v>0.8705882352941177</v>
      </c>
      <c r="K11" s="1">
        <f>IFERROR(SUMIFS(S:S,P:P,"*/10/2026")/(SUMIFS(R:R,P:P,"*/10/2026")+SUMIFS(S:S,P:P,"*/10/2026")+SUMIFS(T:T,P:P,"*/10/2026")),"")</f>
        <v/>
      </c>
      <c r="L11" s="1">
        <f>IFERROR(SUMIFS(R:R,P:P,"*/10/2026")/(SUMIFS(R:R,P:P,"*/10/2026")+SUMIFS(S:S,P:P,"*/10/2026")+SUMIFS(T:T,P:P,"*/10/2026")),"")</f>
        <v/>
      </c>
      <c r="M11" s="1">
        <f>IFERROR(SUMIFS(T:T,P:P,"*/10/2026")/(SUMIFS(R:R,P:P,"*/10/2026")+SUMIFS(S:S,P:P,"*/10/2026")+SUMIFS(T:T,P:P,"*/10/2026")),"")</f>
        <v/>
      </c>
      <c r="O11" t="n">
        <v>10</v>
      </c>
      <c r="P11" t="inlineStr">
        <is>
          <t>06/01/2026</t>
        </is>
      </c>
      <c r="Q11" t="inlineStr">
        <is>
          <t>CN</t>
        </is>
      </c>
      <c r="R11" t="n">
        <v>180</v>
      </c>
      <c r="S11" t="n">
        <v>850</v>
      </c>
      <c r="T11" t="n">
        <v>408</v>
      </c>
    </row>
    <row r="12">
      <c r="A12" t="n">
        <v>11</v>
      </c>
      <c r="B12" t="inlineStr">
        <is>
          <t>06/04/2026</t>
        </is>
      </c>
      <c r="C12" t="inlineStr">
        <is>
          <t>CN</t>
        </is>
      </c>
      <c r="D12" t="n">
        <v>65</v>
      </c>
      <c r="E12" t="n">
        <v>966</v>
      </c>
      <c r="F12" t="n">
        <v>406</v>
      </c>
      <c r="H12" t="inlineStr">
        <is>
          <t>T11</t>
        </is>
      </c>
      <c r="I12" s="1" t="n">
        <v>0.7</v>
      </c>
      <c r="J12" s="1" t="n">
        <v>0.8705882352941177</v>
      </c>
      <c r="K12" s="1">
        <f>IFERROR(SUMIFS(S:S,P:P,"*/11/2026")/(SUMIFS(R:R,P:P,"*/11/2026")+SUMIFS(S:S,P:P,"*/11/2026")+SUMIFS(T:T,P:P,"*/11/2026")),"")</f>
        <v/>
      </c>
      <c r="L12" s="1">
        <f>IFERROR(SUMIFS(R:R,P:P,"*/11/2026")/(SUMIFS(R:R,P:P,"*/11/2026")+SUMIFS(S:S,P:P,"*/11/2026")+SUMIFS(T:T,P:P,"*/11/2026")),"")</f>
        <v/>
      </c>
      <c r="M12" s="1">
        <f>IFERROR(SUMIFS(T:T,P:P,"*/11/2026")/(SUMIFS(R:R,P:P,"*/11/2026")+SUMIFS(S:S,P:P,"*/11/2026")+SUMIFS(T:T,P:P,"*/11/2026")),"")</f>
        <v/>
      </c>
      <c r="O12" t="n">
        <v>11</v>
      </c>
      <c r="P12" t="inlineStr">
        <is>
          <t>06/01/2026</t>
        </is>
      </c>
      <c r="Q12" t="inlineStr">
        <is>
          <t>CD</t>
        </is>
      </c>
      <c r="R12" t="n">
        <v>173</v>
      </c>
      <c r="S12" t="n">
        <v>1096</v>
      </c>
      <c r="T12" t="n">
        <v>170</v>
      </c>
    </row>
    <row r="13">
      <c r="A13" t="n">
        <v>12</v>
      </c>
      <c r="B13" t="inlineStr">
        <is>
          <t>06/04/2026</t>
        </is>
      </c>
      <c r="C13" t="inlineStr">
        <is>
          <t>CD</t>
        </is>
      </c>
      <c r="D13" t="n">
        <v>113</v>
      </c>
      <c r="E13" t="n">
        <v>1190</v>
      </c>
      <c r="F13" t="n">
        <v>136</v>
      </c>
      <c r="H13" t="inlineStr">
        <is>
          <t>T12</t>
        </is>
      </c>
      <c r="I13" s="1" t="n">
        <v>0.7</v>
      </c>
      <c r="J13" s="1" t="n">
        <v>0.8705882352941177</v>
      </c>
      <c r="K13" s="1">
        <f>IFERROR(SUMIFS(S:S,P:P,"*/12/2026")/(SUMIFS(R:R,P:P,"*/12/2026")+SUMIFS(S:S,P:P,"*/12/2026")+SUMIFS(T:T,P:P,"*/12/2026")),"")</f>
        <v/>
      </c>
      <c r="L13" s="1">
        <f>IFERROR(SUMIFS(R:R,P:P,"*/12/2026")/(SUMIFS(R:R,P:P,"*/12/2026")+SUMIFS(S:S,P:P,"*/12/2026")+SUMIFS(T:T,P:P,"*/12/2026")),"")</f>
        <v/>
      </c>
      <c r="M13" s="1">
        <f>IFERROR(SUMIFS(T:T,P:P,"*/12/2026")/(SUMIFS(R:R,P:P,"*/12/2026")+SUMIFS(S:S,P:P,"*/12/2026")+SUMIFS(T:T,P:P,"*/12/2026")),"")</f>
        <v/>
      </c>
      <c r="O13" t="n">
        <v>12</v>
      </c>
      <c r="P13" t="inlineStr">
        <is>
          <t>07/01/2026</t>
        </is>
      </c>
      <c r="Q13" t="inlineStr">
        <is>
          <t>CN</t>
        </is>
      </c>
      <c r="R13" t="n">
        <v>107</v>
      </c>
      <c r="S13" t="n">
        <v>167</v>
      </c>
      <c r="T13" t="n">
        <v>1163</v>
      </c>
    </row>
    <row r="14">
      <c r="A14" t="n">
        <v>13</v>
      </c>
      <c r="B14" t="inlineStr">
        <is>
          <t>07/04/2026</t>
        </is>
      </c>
      <c r="C14" t="inlineStr">
        <is>
          <t>CN</t>
        </is>
      </c>
      <c r="D14" t="n">
        <v>127</v>
      </c>
      <c r="E14" t="n">
        <v>903</v>
      </c>
      <c r="F14" t="n">
        <v>407</v>
      </c>
      <c r="H14">
        <f>IF(B2="","",TEXT(B2,"dd/mm")&amp; "-" &amp;IF(UPPER(TRIM(C2))="CN",1,IF(UPPER(TRIM(C2))="CD",2,"")))</f>
        <v/>
      </c>
      <c r="I14" s="1" t="n">
        <v>0.7</v>
      </c>
      <c r="J14" s="1" t="n">
        <v>0.8705882352941177</v>
      </c>
      <c r="K14" s="1">
        <f>IFERROR($E2/SUM($D2:$F2),"")</f>
        <v/>
      </c>
      <c r="L14" s="1">
        <f>IFERROR($D2/SUM($D2:$F2),"")</f>
        <v/>
      </c>
      <c r="M14" s="1">
        <f>IFERROR($F2/SUM($D2:$F2),"")</f>
        <v/>
      </c>
      <c r="O14" t="n">
        <v>13</v>
      </c>
      <c r="P14" t="inlineStr">
        <is>
          <t>07/01/2026</t>
        </is>
      </c>
      <c r="Q14" t="inlineStr">
        <is>
          <t>CD</t>
        </is>
      </c>
      <c r="R14" t="n">
        <v>0</v>
      </c>
      <c r="S14" t="n">
        <v>0</v>
      </c>
      <c r="T14" t="n">
        <v>1440</v>
      </c>
    </row>
    <row r="15">
      <c r="A15" t="n">
        <v>14</v>
      </c>
      <c r="B15" t="inlineStr">
        <is>
          <t>07/04/2026</t>
        </is>
      </c>
      <c r="C15" t="inlineStr">
        <is>
          <t>CD</t>
        </is>
      </c>
      <c r="D15" t="n">
        <v>127</v>
      </c>
      <c r="E15" t="n">
        <v>1131</v>
      </c>
      <c r="F15" t="n">
        <v>178</v>
      </c>
      <c r="H15">
        <f>IF(B3="","",TEXT(B3,"dd/mm") &amp; "-" &amp; IF(UPPER(TRIM(C3))="CN",1,IF(UPPER(TRIM(C3))="CD",2,"")))</f>
        <v/>
      </c>
      <c r="I15" s="1" t="n">
        <v>0.7</v>
      </c>
      <c r="J15" s="1" t="n">
        <v>0.8705882352941177</v>
      </c>
      <c r="K15" s="1">
        <f>IFERROR($E3/SUM($D3:$F3),"")</f>
        <v/>
      </c>
      <c r="L15" s="1">
        <f>IFERROR($D3/SUM($D3:$F3),"")</f>
        <v/>
      </c>
      <c r="M15" s="1">
        <f>IFERROR($F3/SUM($D3:$F3),"")</f>
        <v/>
      </c>
      <c r="O15" t="n">
        <v>14</v>
      </c>
      <c r="P15" t="inlineStr">
        <is>
          <t>08/01/2026</t>
        </is>
      </c>
      <c r="Q15" t="inlineStr">
        <is>
          <t>CN</t>
        </is>
      </c>
      <c r="R15" t="n">
        <v>159</v>
      </c>
      <c r="S15" t="n">
        <v>846</v>
      </c>
      <c r="T15" t="n">
        <v>433</v>
      </c>
    </row>
    <row r="16">
      <c r="A16" t="n">
        <v>15</v>
      </c>
      <c r="B16" t="inlineStr">
        <is>
          <t>08/04/2026</t>
        </is>
      </c>
      <c r="C16" t="inlineStr">
        <is>
          <t>CN</t>
        </is>
      </c>
      <c r="D16" t="n">
        <v>116</v>
      </c>
      <c r="E16" t="n">
        <v>913</v>
      </c>
      <c r="F16" t="n">
        <v>408</v>
      </c>
      <c r="H16">
        <f>IF(B4="","",TEXT(B4,"dd/mm") &amp; "-" &amp; IF(UPPER(TRIM(C4))="CN",1,IF(UPPER(TRIM(C4))="CD",2,"")))</f>
        <v/>
      </c>
      <c r="I16" s="1" t="n">
        <v>0.7</v>
      </c>
      <c r="J16" s="1" t="n">
        <v>0.8705882352941177</v>
      </c>
      <c r="K16" s="1">
        <f>IFERROR($E4/SUM($D4:$F4),"")</f>
        <v/>
      </c>
      <c r="L16" s="1">
        <f>IFERROR($D4/SUM($D4:$F4),"")</f>
        <v/>
      </c>
      <c r="M16" s="1">
        <f>IFERROR($F4/SUM($D4:$F4),"")</f>
        <v/>
      </c>
      <c r="O16" t="n">
        <v>15</v>
      </c>
      <c r="P16" t="inlineStr">
        <is>
          <t>08/01/2026</t>
        </is>
      </c>
      <c r="Q16" t="inlineStr">
        <is>
          <t>CD</t>
        </is>
      </c>
      <c r="R16" t="n">
        <v>150</v>
      </c>
      <c r="S16" t="n">
        <v>1141</v>
      </c>
      <c r="T16" t="n">
        <v>147</v>
      </c>
    </row>
    <row r="17">
      <c r="A17" t="n">
        <v>16</v>
      </c>
      <c r="B17" t="inlineStr">
        <is>
          <t>08/04/2026</t>
        </is>
      </c>
      <c r="C17" t="inlineStr">
        <is>
          <t>CD</t>
        </is>
      </c>
      <c r="D17" t="n">
        <v>163</v>
      </c>
      <c r="E17" t="n">
        <v>1228</v>
      </c>
      <c r="F17" t="n">
        <v>47</v>
      </c>
      <c r="H17">
        <f>IF(B5="","",TEXT(B5,"dd/mm") &amp; "-" &amp; IF(UPPER(TRIM(C5))="CN",1,IF(UPPER(TRIM(C5))="CD",2,"")))</f>
        <v/>
      </c>
      <c r="I17" s="1" t="n">
        <v>0.7</v>
      </c>
      <c r="J17" s="1" t="n">
        <v>0.8705882352941177</v>
      </c>
      <c r="K17" s="1">
        <f>IFERROR($E5/SUM($D5:$F5),"")</f>
        <v/>
      </c>
      <c r="L17" s="1">
        <f>IFERROR($D5/SUM($D5:$F5),"")</f>
        <v/>
      </c>
      <c r="M17" s="1">
        <f>IFERROR($F5/SUM($D5:$F5),"")</f>
        <v/>
      </c>
      <c r="O17" t="n">
        <v>16</v>
      </c>
      <c r="P17" t="inlineStr">
        <is>
          <t>09/01/2026</t>
        </is>
      </c>
      <c r="Q17" t="inlineStr">
        <is>
          <t>CN</t>
        </is>
      </c>
      <c r="R17" t="n">
        <v>207</v>
      </c>
      <c r="S17" t="n">
        <v>1017</v>
      </c>
      <c r="T17" t="n">
        <v>213</v>
      </c>
    </row>
    <row r="18">
      <c r="A18" t="n">
        <v>17</v>
      </c>
      <c r="B18" t="inlineStr">
        <is>
          <t>09/04/2026</t>
        </is>
      </c>
      <c r="C18" t="inlineStr">
        <is>
          <t>CN</t>
        </is>
      </c>
      <c r="D18" t="n">
        <v>55</v>
      </c>
      <c r="E18" t="n">
        <v>966</v>
      </c>
      <c r="F18" t="n">
        <v>415</v>
      </c>
      <c r="H18">
        <f>IF(B6="","",TEXT(B6,"dd/mm") &amp; "-" &amp; IF(UPPER(TRIM(C6))="CN",1,IF(UPPER(TRIM(C6))="CD",2,"")))</f>
        <v/>
      </c>
      <c r="I18" s="1" t="n">
        <v>0.7</v>
      </c>
      <c r="J18" s="1" t="n">
        <v>0.8705882352941177</v>
      </c>
      <c r="K18" s="1">
        <f>IFERROR($E6/SUM($D6:$F6),"")</f>
        <v/>
      </c>
      <c r="L18" s="1">
        <f>IFERROR($D6/SUM($D6:$F6),"")</f>
        <v/>
      </c>
      <c r="M18" s="1">
        <f>IFERROR($F6/SUM($D6:$F6),"")</f>
        <v/>
      </c>
      <c r="O18" t="n">
        <v>17</v>
      </c>
      <c r="P18" t="inlineStr">
        <is>
          <t>09/01/2026</t>
        </is>
      </c>
      <c r="Q18" t="inlineStr">
        <is>
          <t>CD</t>
        </is>
      </c>
      <c r="R18" t="n">
        <v>158</v>
      </c>
      <c r="S18" t="n">
        <v>1192</v>
      </c>
      <c r="T18" t="n">
        <v>89</v>
      </c>
    </row>
    <row r="19">
      <c r="A19" t="n">
        <v>18</v>
      </c>
      <c r="B19" t="inlineStr">
        <is>
          <t>09/04/2026</t>
        </is>
      </c>
      <c r="C19" t="inlineStr">
        <is>
          <t>CD</t>
        </is>
      </c>
      <c r="D19" t="n">
        <v>167</v>
      </c>
      <c r="E19" t="n">
        <v>1069</v>
      </c>
      <c r="F19" t="n">
        <v>201</v>
      </c>
      <c r="H19">
        <f>IF(B7="","",TEXT(B7,"dd/mm") &amp; "-" &amp; IF(UPPER(TRIM(C7))="CN",1,IF(UPPER(TRIM(C7))="CD",2,"")))</f>
        <v/>
      </c>
      <c r="I19" s="1" t="n">
        <v>0.7</v>
      </c>
      <c r="J19" s="1" t="n">
        <v>0.8705882352941177</v>
      </c>
      <c r="K19" s="1">
        <f>IFERROR($E7/SUM($D7:$F7),"")</f>
        <v/>
      </c>
      <c r="L19" s="1">
        <f>IFERROR($D7/SUM($D7:$F7),"")</f>
        <v/>
      </c>
      <c r="M19" s="1">
        <f>IFERROR($F7/SUM($D7:$F7),"")</f>
        <v/>
      </c>
      <c r="O19" t="n">
        <v>18</v>
      </c>
      <c r="P19" t="inlineStr">
        <is>
          <t>10/01/2026</t>
        </is>
      </c>
      <c r="Q19" t="inlineStr">
        <is>
          <t>CN</t>
        </is>
      </c>
      <c r="R19" t="n">
        <v>185</v>
      </c>
      <c r="S19" t="n">
        <v>825</v>
      </c>
      <c r="T19" t="n">
        <v>427</v>
      </c>
    </row>
    <row r="20">
      <c r="A20" t="n">
        <v>19</v>
      </c>
      <c r="B20" t="inlineStr">
        <is>
          <t>10/04/2026</t>
        </is>
      </c>
      <c r="C20" t="inlineStr">
        <is>
          <t>CN</t>
        </is>
      </c>
      <c r="D20" t="n">
        <v>82</v>
      </c>
      <c r="E20" t="n">
        <v>944</v>
      </c>
      <c r="F20" t="n">
        <v>412</v>
      </c>
      <c r="H20">
        <f>IF(B8="","",TEXT(B8,"dd/mm") &amp; "-" &amp; IF(UPPER(TRIM(C8))="CN",1,IF(UPPER(TRIM(C8))="CD",2,"")))</f>
        <v/>
      </c>
      <c r="I20" s="1" t="n">
        <v>0.7</v>
      </c>
      <c r="J20" s="1" t="n">
        <v>0.8705882352941177</v>
      </c>
      <c r="K20" s="1">
        <f>IFERROR($E8/SUM($D8:$F8),"")</f>
        <v/>
      </c>
      <c r="L20" s="1">
        <f>IFERROR($D8/SUM($D8:$F8),"")</f>
        <v/>
      </c>
      <c r="M20" s="1">
        <f>IFERROR($F8/SUM($D8:$F8),"")</f>
        <v/>
      </c>
      <c r="O20" t="n">
        <v>19</v>
      </c>
      <c r="P20" t="inlineStr">
        <is>
          <t>10/01/2026</t>
        </is>
      </c>
      <c r="Q20" t="inlineStr">
        <is>
          <t>CD</t>
        </is>
      </c>
      <c r="R20" t="n">
        <v>0</v>
      </c>
      <c r="S20" t="n">
        <v>0</v>
      </c>
      <c r="T20" t="n">
        <v>1440</v>
      </c>
    </row>
    <row r="21">
      <c r="A21" t="n">
        <v>20</v>
      </c>
      <c r="B21" t="inlineStr">
        <is>
          <t>10/04/2026</t>
        </is>
      </c>
      <c r="C21" t="inlineStr">
        <is>
          <t>CD</t>
        </is>
      </c>
      <c r="D21" t="n">
        <v>185</v>
      </c>
      <c r="E21" t="n">
        <v>1046</v>
      </c>
      <c r="F21" t="n">
        <v>208</v>
      </c>
      <c r="H21">
        <f>IF(B9="","",TEXT(B9,"dd/mm") &amp; "-" &amp; IF(UPPER(TRIM(C9))="CN",1,IF(UPPER(TRIM(C9))="CD",2,"")))</f>
        <v/>
      </c>
      <c r="I21" s="1" t="n">
        <v>0.7</v>
      </c>
      <c r="J21" s="1" t="n">
        <v>0.8705882352941177</v>
      </c>
      <c r="K21" s="1">
        <f>IFERROR($E9/SUM($D9:$F9),"")</f>
        <v/>
      </c>
      <c r="L21" s="1">
        <f>IFERROR($D9/SUM($D9:$F9),"")</f>
        <v/>
      </c>
      <c r="M21" s="1">
        <f>IFERROR($F9/SUM($D9:$F9),"")</f>
        <v/>
      </c>
      <c r="O21" t="n">
        <v>20</v>
      </c>
      <c r="P21" t="inlineStr">
        <is>
          <t>11/01/2026</t>
        </is>
      </c>
      <c r="Q21" t="inlineStr">
        <is>
          <t>CN</t>
        </is>
      </c>
      <c r="R21" t="n">
        <v>0</v>
      </c>
      <c r="S21" t="n">
        <v>0</v>
      </c>
      <c r="T21" t="n">
        <v>1440</v>
      </c>
    </row>
    <row r="22">
      <c r="A22" t="n">
        <v>21</v>
      </c>
      <c r="B22" t="inlineStr">
        <is>
          <t>11/04/2026</t>
        </is>
      </c>
      <c r="C22" t="inlineStr">
        <is>
          <t>CN</t>
        </is>
      </c>
      <c r="D22" t="n">
        <v>132</v>
      </c>
      <c r="E22" t="n">
        <v>838</v>
      </c>
      <c r="F22" t="n">
        <v>468</v>
      </c>
      <c r="H22">
        <f>IF(B10="","",TEXT(B10,"dd/mm") &amp; "-" &amp; IF(UPPER(TRIM(C10))="CN",1,IF(UPPER(TRIM(C10))="CD",2,"")))</f>
        <v/>
      </c>
      <c r="I22" s="1" t="n">
        <v>0.7</v>
      </c>
      <c r="J22" s="1" t="n">
        <v>0.8705882352941177</v>
      </c>
      <c r="K22" s="1">
        <f>IFERROR($E10/SUM($D10:$F10),"")</f>
        <v/>
      </c>
      <c r="L22" s="1">
        <f>IFERROR($D10/SUM($D10:$F10),"")</f>
        <v/>
      </c>
      <c r="M22" s="1">
        <f>IFERROR($F10/SUM($D10:$F10),"")</f>
        <v/>
      </c>
      <c r="O22" t="n">
        <v>21</v>
      </c>
      <c r="P22" t="inlineStr">
        <is>
          <t>11/01/2026</t>
        </is>
      </c>
      <c r="Q22" t="inlineStr">
        <is>
          <t>CD</t>
        </is>
      </c>
      <c r="R22" t="n">
        <v>0</v>
      </c>
      <c r="S22" t="n">
        <v>0</v>
      </c>
      <c r="T22" t="n">
        <v>1440</v>
      </c>
    </row>
    <row r="23">
      <c r="A23" t="n">
        <v>22</v>
      </c>
      <c r="B23" t="inlineStr">
        <is>
          <t>11/04/2026</t>
        </is>
      </c>
      <c r="C23" t="inlineStr">
        <is>
          <t>CD</t>
        </is>
      </c>
      <c r="D23" t="n">
        <v>126</v>
      </c>
      <c r="E23" t="n">
        <v>937</v>
      </c>
      <c r="F23" t="n">
        <v>375</v>
      </c>
      <c r="H23">
        <f>IF(B11="","",TEXT(B11,"dd/mm") &amp; "-" &amp; IF(UPPER(TRIM(C11))="CN",1,IF(UPPER(TRIM(C11))="CD",2,"")))</f>
        <v/>
      </c>
      <c r="I23" s="1" t="n">
        <v>0.7</v>
      </c>
      <c r="J23" s="1" t="n">
        <v>0.8705882352941177</v>
      </c>
      <c r="K23" s="1">
        <f>IFERROR($E11/SUM($D11:$F11),"")</f>
        <v/>
      </c>
      <c r="L23" s="1">
        <f>IFERROR($D11/SUM($D11:$F11),"")</f>
        <v/>
      </c>
      <c r="M23" s="1">
        <f>IFERROR($F11/SUM($D11:$F11),"")</f>
        <v/>
      </c>
      <c r="O23" t="n">
        <v>22</v>
      </c>
      <c r="P23" t="inlineStr">
        <is>
          <t>12/01/2026</t>
        </is>
      </c>
      <c r="Q23" t="inlineStr">
        <is>
          <t>CN</t>
        </is>
      </c>
      <c r="R23" t="n">
        <v>168</v>
      </c>
      <c r="S23" t="n">
        <v>852</v>
      </c>
      <c r="T23" t="n">
        <v>417</v>
      </c>
    </row>
    <row r="24">
      <c r="A24" t="n">
        <v>23</v>
      </c>
      <c r="B24" t="inlineStr">
        <is>
          <t>12/04/2026</t>
        </is>
      </c>
      <c r="C24" t="inlineStr">
        <is>
          <t>CN</t>
        </is>
      </c>
      <c r="D24" t="n">
        <v>70</v>
      </c>
      <c r="E24" t="n">
        <v>888</v>
      </c>
      <c r="F24" t="n">
        <v>478</v>
      </c>
      <c r="H24">
        <f>IF(B12="","",TEXT(B12,"dd/mm") &amp; "-" &amp; IF(UPPER(TRIM(C12))="CN",1,IF(UPPER(TRIM(C12))="CD",2,"")))</f>
        <v/>
      </c>
      <c r="I24" s="1" t="n">
        <v>0.7</v>
      </c>
      <c r="J24" s="1" t="n">
        <v>0.8705882352941177</v>
      </c>
      <c r="K24" s="1">
        <f>IFERROR($E12/SUM($D12:$F12),"")</f>
        <v/>
      </c>
      <c r="L24" s="1">
        <f>IFERROR($D12/SUM($D12:$F12),"")</f>
        <v/>
      </c>
      <c r="M24" s="1">
        <f>IFERROR($F12/SUM($D12:$F12),"")</f>
        <v/>
      </c>
      <c r="O24" t="n">
        <v>23</v>
      </c>
      <c r="P24" t="inlineStr">
        <is>
          <t>12/01/2026</t>
        </is>
      </c>
      <c r="Q24" t="inlineStr">
        <is>
          <t>CD</t>
        </is>
      </c>
      <c r="R24" t="n">
        <v>325</v>
      </c>
      <c r="S24" t="n">
        <v>893</v>
      </c>
      <c r="T24" t="n">
        <v>220</v>
      </c>
    </row>
    <row r="25">
      <c r="A25" t="n">
        <v>24</v>
      </c>
      <c r="B25" t="inlineStr">
        <is>
          <t>12/04/2026</t>
        </is>
      </c>
      <c r="C25" t="inlineStr">
        <is>
          <t>CD</t>
        </is>
      </c>
      <c r="D25" t="n">
        <v>0</v>
      </c>
      <c r="E25" t="n">
        <v>0</v>
      </c>
      <c r="F25" t="n">
        <v>1440</v>
      </c>
      <c r="H25">
        <f>IF(B13="","",TEXT(B13,"dd/mm") &amp; "-" &amp; IF(UPPER(TRIM(C13))="CN",1,IF(UPPER(TRIM(C13))="CD",2,"")))</f>
        <v/>
      </c>
      <c r="I25" s="1" t="n">
        <v>0.7</v>
      </c>
      <c r="J25" s="1" t="n">
        <v>0.8705882352941177</v>
      </c>
      <c r="K25" s="1">
        <f>IFERROR($E13/SUM($D13:$F13),"")</f>
        <v/>
      </c>
      <c r="L25" s="1">
        <f>IFERROR($D13/SUM($D13:$F13),"")</f>
        <v/>
      </c>
      <c r="M25" s="1">
        <f>IFERROR($F13/SUM($D13:$F13),"")</f>
        <v/>
      </c>
      <c r="O25" t="n">
        <v>24</v>
      </c>
      <c r="P25" t="inlineStr">
        <is>
          <t>13/01/2026</t>
        </is>
      </c>
      <c r="Q25" t="inlineStr">
        <is>
          <t>CN</t>
        </is>
      </c>
      <c r="R25" t="n">
        <v>158</v>
      </c>
      <c r="S25" t="n">
        <v>859</v>
      </c>
      <c r="T25" t="n">
        <v>419</v>
      </c>
    </row>
    <row r="26">
      <c r="A26" t="n">
        <v>25</v>
      </c>
      <c r="B26" t="inlineStr">
        <is>
          <t>13/04/2026</t>
        </is>
      </c>
      <c r="C26" t="inlineStr">
        <is>
          <t>CN</t>
        </is>
      </c>
      <c r="D26" t="n">
        <v>132</v>
      </c>
      <c r="E26" t="n">
        <v>922</v>
      </c>
      <c r="F26" t="n">
        <v>384</v>
      </c>
      <c r="H26">
        <f>IF(B14="","",TEXT(B14,"dd/mm") &amp; "-" &amp; IF(UPPER(TRIM(C14))="CN",1,IF(UPPER(TRIM(C14))="CD",2,"")))</f>
        <v/>
      </c>
      <c r="I26" s="1" t="n">
        <v>0.7</v>
      </c>
      <c r="J26" s="1" t="n">
        <v>0.8705882352941177</v>
      </c>
      <c r="K26" s="1">
        <f>IFERROR($E14/SUM($D14:$F14),"")</f>
        <v/>
      </c>
      <c r="L26" s="1">
        <f>IFERROR($D14/SUM($D14:$F14),"")</f>
        <v/>
      </c>
      <c r="M26" s="1">
        <f>IFERROR($F14/SUM($D14:$F14),"")</f>
        <v/>
      </c>
      <c r="O26" t="n">
        <v>25</v>
      </c>
      <c r="P26" t="inlineStr">
        <is>
          <t>13/01/2026</t>
        </is>
      </c>
      <c r="Q26" t="inlineStr">
        <is>
          <t>CD</t>
        </is>
      </c>
      <c r="R26" t="n">
        <v>206</v>
      </c>
      <c r="S26" t="n">
        <v>1081</v>
      </c>
      <c r="T26" t="n">
        <v>150</v>
      </c>
    </row>
    <row r="27">
      <c r="A27" t="n">
        <v>26</v>
      </c>
      <c r="B27" t="inlineStr">
        <is>
          <t>13/04/2026</t>
        </is>
      </c>
      <c r="C27" t="inlineStr">
        <is>
          <t>CD</t>
        </is>
      </c>
      <c r="D27" t="n">
        <v>80</v>
      </c>
      <c r="E27" t="n">
        <v>1064</v>
      </c>
      <c r="F27" t="n">
        <v>294</v>
      </c>
      <c r="H27">
        <f>IF(B15="","",TEXT(B15,"dd/mm") &amp; "-" &amp; IF(UPPER(TRIM(C15))="CN",1,IF(UPPER(TRIM(C15))="CD",2,"")))</f>
        <v/>
      </c>
      <c r="I27" s="1" t="n">
        <v>0.7</v>
      </c>
      <c r="J27" s="1" t="n">
        <v>0.8705882352941177</v>
      </c>
      <c r="K27" s="1">
        <f>IFERROR($E15/SUM($D15:$F15),"")</f>
        <v/>
      </c>
      <c r="L27" s="1">
        <f>IFERROR($D15/SUM($D15:$F15),"")</f>
        <v/>
      </c>
      <c r="M27" s="1">
        <f>IFERROR($F15/SUM($D15:$F15),"")</f>
        <v/>
      </c>
      <c r="O27" t="n">
        <v>26</v>
      </c>
      <c r="P27" t="inlineStr">
        <is>
          <t>14/01/2026</t>
        </is>
      </c>
      <c r="Q27" t="inlineStr">
        <is>
          <t>CN</t>
        </is>
      </c>
      <c r="R27" t="n">
        <v>161</v>
      </c>
      <c r="S27" t="n">
        <v>906</v>
      </c>
      <c r="T27" t="n">
        <v>371</v>
      </c>
    </row>
    <row r="28">
      <c r="A28" t="n">
        <v>27</v>
      </c>
      <c r="B28" t="inlineStr">
        <is>
          <t>14/04/2026</t>
        </is>
      </c>
      <c r="C28" t="inlineStr">
        <is>
          <t>CN</t>
        </is>
      </c>
      <c r="D28" t="n">
        <v>79</v>
      </c>
      <c r="E28" t="n">
        <v>975</v>
      </c>
      <c r="F28" t="n">
        <v>384</v>
      </c>
      <c r="H28">
        <f>IF(B16="","",TEXT(B16,"dd/mm") &amp; "-" &amp; IF(UPPER(TRIM(C16))="CN",1,IF(UPPER(TRIM(C16))="CD",2,"")))</f>
        <v/>
      </c>
      <c r="I28" s="1" t="n">
        <v>0.7</v>
      </c>
      <c r="J28" s="1" t="n">
        <v>0.8705882352941177</v>
      </c>
      <c r="K28" s="1">
        <f>IFERROR($E16/SUM($D16:$F16),"")</f>
        <v/>
      </c>
      <c r="L28" s="1">
        <f>IFERROR($D16/SUM($D16:$F16),"")</f>
        <v/>
      </c>
      <c r="M28" s="1">
        <f>IFERROR($F16/SUM($D16:$F16),"")</f>
        <v/>
      </c>
      <c r="O28" t="n">
        <v>27</v>
      </c>
      <c r="P28" t="inlineStr">
        <is>
          <t>14/01/2026</t>
        </is>
      </c>
      <c r="Q28" t="inlineStr">
        <is>
          <t>CD</t>
        </is>
      </c>
      <c r="R28" t="n">
        <v>248</v>
      </c>
      <c r="S28" t="n">
        <v>1083</v>
      </c>
      <c r="T28" t="n">
        <v>107</v>
      </c>
    </row>
    <row r="29">
      <c r="A29" t="n">
        <v>28</v>
      </c>
      <c r="B29" t="inlineStr">
        <is>
          <t>14/04/2026</t>
        </is>
      </c>
      <c r="C29" t="inlineStr">
        <is>
          <t>CD</t>
        </is>
      </c>
      <c r="D29" t="n">
        <v>308</v>
      </c>
      <c r="E29" t="n">
        <v>989</v>
      </c>
      <c r="F29" t="n">
        <v>142</v>
      </c>
      <c r="H29">
        <f>IF(B17="","",TEXT(B17,"dd/mm") &amp; "-" &amp; IF(UPPER(TRIM(C17))="CN",1,IF(UPPER(TRIM(C17))="CD",2,"")))</f>
        <v/>
      </c>
      <c r="I29" s="1" t="n">
        <v>0.7</v>
      </c>
      <c r="J29" s="1" t="n">
        <v>0.8705882352941177</v>
      </c>
      <c r="K29" s="1">
        <f>IFERROR($E17/SUM($D17:$F17),"")</f>
        <v/>
      </c>
      <c r="L29" s="1">
        <f>IFERROR($D17/SUM($D17:$F17),"")</f>
        <v/>
      </c>
      <c r="M29" s="1">
        <f>IFERROR($F17/SUM($D17:$F17),"")</f>
        <v/>
      </c>
      <c r="O29" t="n">
        <v>28</v>
      </c>
      <c r="P29" t="inlineStr">
        <is>
          <t>15/01/2026</t>
        </is>
      </c>
      <c r="Q29" t="inlineStr">
        <is>
          <t>CN</t>
        </is>
      </c>
      <c r="R29" t="n">
        <v>224</v>
      </c>
      <c r="S29" t="n">
        <v>799</v>
      </c>
      <c r="T29" t="n">
        <v>415</v>
      </c>
    </row>
    <row r="30">
      <c r="A30" t="n">
        <v>29</v>
      </c>
      <c r="B30" t="inlineStr">
        <is>
          <t>15/04/2026</t>
        </is>
      </c>
      <c r="C30" t="inlineStr">
        <is>
          <t>CN</t>
        </is>
      </c>
      <c r="D30" t="n">
        <v>383</v>
      </c>
      <c r="E30" t="n">
        <v>865</v>
      </c>
      <c r="F30" t="n">
        <v>192</v>
      </c>
      <c r="H30">
        <f>IF(B18="","",TEXT(B18,"dd/mm") &amp; "-" &amp; IF(UPPER(TRIM(C18))="CN",1,IF(UPPER(TRIM(C18))="CD",2,"")))</f>
        <v/>
      </c>
      <c r="I30" s="1" t="n">
        <v>0.7</v>
      </c>
      <c r="J30" s="1" t="n">
        <v>0.8705882352941177</v>
      </c>
      <c r="K30" s="1">
        <f>IFERROR($E18/SUM($D18:$F18),"")</f>
        <v/>
      </c>
      <c r="L30" s="1">
        <f>IFERROR($D18/SUM($D18:$F18),"")</f>
        <v/>
      </c>
      <c r="M30" s="1">
        <f>IFERROR($F18/SUM($D18:$F18),"")</f>
        <v/>
      </c>
      <c r="O30" t="n">
        <v>29</v>
      </c>
      <c r="P30" t="inlineStr">
        <is>
          <t>15/01/2026</t>
        </is>
      </c>
      <c r="Q30" t="inlineStr">
        <is>
          <t>CD</t>
        </is>
      </c>
      <c r="R30" t="n">
        <v>213</v>
      </c>
      <c r="S30" t="n">
        <v>1226</v>
      </c>
      <c r="T30" t="n">
        <v>0</v>
      </c>
    </row>
    <row r="31">
      <c r="A31" t="n">
        <v>30</v>
      </c>
      <c r="B31" t="inlineStr">
        <is>
          <t>15/04/2026</t>
        </is>
      </c>
      <c r="C31" t="inlineStr">
        <is>
          <t>CD</t>
        </is>
      </c>
      <c r="D31" t="n">
        <v>68</v>
      </c>
      <c r="E31" t="n">
        <v>1055</v>
      </c>
      <c r="F31" t="n">
        <v>314</v>
      </c>
      <c r="H31">
        <f>IF(B19="","",TEXT(B19,"dd/mm") &amp; "-" &amp; IF(UPPER(TRIM(C19))="CN",1,IF(UPPER(TRIM(C19))="CD",2,"")))</f>
        <v/>
      </c>
      <c r="I31" s="1" t="n">
        <v>0.7</v>
      </c>
      <c r="J31" s="1" t="n">
        <v>0.8705882352941177</v>
      </c>
      <c r="K31" s="1">
        <f>IFERROR($E19/SUM($D19:$F19),"")</f>
        <v/>
      </c>
      <c r="L31" s="1">
        <f>IFERROR($D19/SUM($D19:$F19),"")</f>
        <v/>
      </c>
      <c r="M31" s="1">
        <f>IFERROR($F19/SUM($D19:$F19),"")</f>
        <v/>
      </c>
      <c r="O31" t="n">
        <v>30</v>
      </c>
      <c r="P31" t="inlineStr">
        <is>
          <t>16/01/2026</t>
        </is>
      </c>
      <c r="Q31" t="inlineStr">
        <is>
          <t>CN</t>
        </is>
      </c>
      <c r="R31" t="n">
        <v>144</v>
      </c>
      <c r="S31" t="n">
        <v>1082</v>
      </c>
      <c r="T31" t="n">
        <v>213</v>
      </c>
    </row>
    <row r="32">
      <c r="A32" t="n">
        <v>31</v>
      </c>
      <c r="B32" t="inlineStr">
        <is>
          <t>16/04/2026</t>
        </is>
      </c>
      <c r="C32" t="inlineStr">
        <is>
          <t>CN</t>
        </is>
      </c>
      <c r="D32" t="n">
        <v>105</v>
      </c>
      <c r="E32" t="n">
        <v>933</v>
      </c>
      <c r="F32" t="n">
        <v>397</v>
      </c>
      <c r="H32">
        <f>IF(B20="","",TEXT(B20,"dd/mm") &amp; "-" &amp; IF(UPPER(TRIM(C20))="CN",1,IF(UPPER(TRIM(C20))="CD",2,"")))</f>
        <v/>
      </c>
      <c r="I32" s="1" t="n">
        <v>0.7</v>
      </c>
      <c r="J32" s="1" t="n">
        <v>0.8705882352941177</v>
      </c>
      <c r="K32" s="1">
        <f>IFERROR($E20/SUM($D20:$F20),"")</f>
        <v/>
      </c>
      <c r="L32" s="1">
        <f>IFERROR($D20/SUM($D20:$F20),"")</f>
        <v/>
      </c>
      <c r="M32" s="1">
        <f>IFERROR($F20/SUM($D20:$F20),"")</f>
        <v/>
      </c>
      <c r="O32" t="n">
        <v>31</v>
      </c>
      <c r="P32" t="inlineStr">
        <is>
          <t>16/01/2026</t>
        </is>
      </c>
      <c r="Q32" t="inlineStr">
        <is>
          <t>CD</t>
        </is>
      </c>
      <c r="R32" t="n">
        <v>178</v>
      </c>
      <c r="S32" t="n">
        <v>1203</v>
      </c>
      <c r="T32" t="n">
        <v>57</v>
      </c>
    </row>
    <row r="33">
      <c r="A33" t="n">
        <v>32</v>
      </c>
      <c r="B33" t="inlineStr">
        <is>
          <t>16/04/2026</t>
        </is>
      </c>
      <c r="C33" t="inlineStr">
        <is>
          <t>CD</t>
        </is>
      </c>
      <c r="D33" t="n">
        <v>114</v>
      </c>
      <c r="E33" t="n">
        <v>1016</v>
      </c>
      <c r="F33" t="n">
        <v>308</v>
      </c>
      <c r="H33">
        <f>IF(B21="","",TEXT(B21,"dd/mm") &amp; "-" &amp; IF(UPPER(TRIM(C21))="CN",1,IF(UPPER(TRIM(C21))="CD",2,"")))</f>
        <v/>
      </c>
      <c r="I33" s="1" t="n">
        <v>0.7</v>
      </c>
      <c r="J33" s="1" t="n">
        <v>0.8705882352941177</v>
      </c>
      <c r="K33" s="1">
        <f>IFERROR($E21/SUM($D21:$F21),"")</f>
        <v/>
      </c>
      <c r="L33" s="1">
        <f>IFERROR($D21/SUM($D21:$F21),"")</f>
        <v/>
      </c>
      <c r="M33" s="1">
        <f>IFERROR($F21/SUM($D21:$F21),"")</f>
        <v/>
      </c>
      <c r="O33" t="n">
        <v>32</v>
      </c>
      <c r="P33" t="inlineStr">
        <is>
          <t>17/01/2026</t>
        </is>
      </c>
      <c r="Q33" t="inlineStr">
        <is>
          <t>CN</t>
        </is>
      </c>
      <c r="R33" t="n">
        <v>360</v>
      </c>
      <c r="S33" t="n">
        <v>726</v>
      </c>
      <c r="T33" t="n">
        <v>351</v>
      </c>
    </row>
    <row r="34">
      <c r="A34" t="n">
        <v>33</v>
      </c>
      <c r="B34" t="inlineStr">
        <is>
          <t>17/04/2026</t>
        </is>
      </c>
      <c r="C34" t="inlineStr">
        <is>
          <t>CN</t>
        </is>
      </c>
      <c r="D34" t="n">
        <v>140</v>
      </c>
      <c r="E34" t="n">
        <v>908</v>
      </c>
      <c r="F34" t="n">
        <v>388</v>
      </c>
      <c r="H34">
        <f>IF(B22="","",TEXT(B22,"dd/mm") &amp; "-" &amp; IF(UPPER(TRIM(C22))="CN",1,IF(UPPER(TRIM(C22))="CD",2,"")))</f>
        <v/>
      </c>
      <c r="I34" s="1" t="n">
        <v>0.7</v>
      </c>
      <c r="J34" s="1" t="n">
        <v>0.8705882352941177</v>
      </c>
      <c r="K34" s="1">
        <f>IFERROR($E22/SUM($D22:$F22),"")</f>
        <v/>
      </c>
      <c r="L34" s="1">
        <f>IFERROR($D22/SUM($D22:$F22),"")</f>
        <v/>
      </c>
      <c r="M34" s="1">
        <f>IFERROR($F22/SUM($D22:$F22),"")</f>
        <v/>
      </c>
      <c r="O34" t="n">
        <v>33</v>
      </c>
      <c r="P34" t="inlineStr">
        <is>
          <t>17/01/2026</t>
        </is>
      </c>
      <c r="Q34" t="inlineStr">
        <is>
          <t>CD</t>
        </is>
      </c>
      <c r="R34" t="n">
        <v>110</v>
      </c>
      <c r="S34" t="n">
        <v>844</v>
      </c>
      <c r="T34" t="n">
        <v>484</v>
      </c>
    </row>
    <row r="35">
      <c r="A35" t="n">
        <v>34</v>
      </c>
      <c r="B35" t="inlineStr">
        <is>
          <t>17/04/2026</t>
        </is>
      </c>
      <c r="C35" t="inlineStr">
        <is>
          <t>CD</t>
        </is>
      </c>
      <c r="D35" t="n">
        <v>94</v>
      </c>
      <c r="E35" t="n">
        <v>1032</v>
      </c>
      <c r="F35" t="n">
        <v>312</v>
      </c>
      <c r="H35">
        <f>IF(B23="","",TEXT(B23,"dd/mm") &amp; "-" &amp; IF(UPPER(TRIM(C23))="CN",1,IF(UPPER(TRIM(C23))="CD",2,"")))</f>
        <v/>
      </c>
      <c r="I35" s="1" t="n">
        <v>0.7</v>
      </c>
      <c r="J35" s="1" t="n">
        <v>0.8705882352941177</v>
      </c>
      <c r="K35" s="1">
        <f>IFERROR($E23/SUM($D23:$F23),"")</f>
        <v/>
      </c>
      <c r="L35" s="1">
        <f>IFERROR($D23/SUM($D23:$F23),"")</f>
        <v/>
      </c>
      <c r="M35" s="1">
        <f>IFERROR($F23/SUM($D23:$F23),"")</f>
        <v/>
      </c>
      <c r="O35" t="n">
        <v>34</v>
      </c>
      <c r="P35" t="inlineStr">
        <is>
          <t>18/01/2026</t>
        </is>
      </c>
      <c r="Q35" t="inlineStr">
        <is>
          <t>CN</t>
        </is>
      </c>
      <c r="R35" t="n">
        <v>0</v>
      </c>
      <c r="S35" t="n">
        <v>0</v>
      </c>
      <c r="T35" t="n">
        <v>1440</v>
      </c>
    </row>
    <row r="36">
      <c r="A36" t="n">
        <v>35</v>
      </c>
      <c r="B36" t="inlineStr">
        <is>
          <t>18/04/2026</t>
        </is>
      </c>
      <c r="C36" t="inlineStr">
        <is>
          <t>CN</t>
        </is>
      </c>
      <c r="D36" t="n">
        <v>158</v>
      </c>
      <c r="E36" t="n">
        <v>836</v>
      </c>
      <c r="F36" t="n">
        <v>444</v>
      </c>
      <c r="H36">
        <f>IF(B24="","",TEXT(B24,"dd/mm") &amp; "-" &amp; IF(UPPER(TRIM(C24))="CN",1,IF(UPPER(TRIM(C24))="CD",2,"")))</f>
        <v/>
      </c>
      <c r="I36" s="1" t="n">
        <v>0.7</v>
      </c>
      <c r="J36" s="1" t="n">
        <v>0.8705882352941177</v>
      </c>
      <c r="K36" s="1">
        <f>IFERROR($E24/SUM($D24:$F24),"")</f>
        <v/>
      </c>
      <c r="L36" s="1">
        <f>IFERROR($D24/SUM($D24:$F24),"")</f>
        <v/>
      </c>
      <c r="M36" s="1">
        <f>IFERROR($F24/SUM($D24:$F24),"")</f>
        <v/>
      </c>
      <c r="O36" t="n">
        <v>35</v>
      </c>
      <c r="P36" t="inlineStr">
        <is>
          <t>18/01/2026</t>
        </is>
      </c>
      <c r="Q36" t="inlineStr">
        <is>
          <t>CD</t>
        </is>
      </c>
      <c r="R36" t="n">
        <v>0</v>
      </c>
      <c r="S36" t="n">
        <v>0</v>
      </c>
      <c r="T36" t="n">
        <v>1440</v>
      </c>
    </row>
    <row r="37">
      <c r="A37" t="n">
        <v>36</v>
      </c>
      <c r="B37" t="inlineStr">
        <is>
          <t>18/04/2026</t>
        </is>
      </c>
      <c r="C37" t="inlineStr">
        <is>
          <t>CD</t>
        </is>
      </c>
      <c r="D37" t="n">
        <v>59</v>
      </c>
      <c r="E37" t="n">
        <v>887</v>
      </c>
      <c r="F37" t="n">
        <v>491</v>
      </c>
      <c r="H37">
        <f>IF(B25="","",TEXT(B25,"dd/mm") &amp; "-" &amp; IF(UPPER(TRIM(C25))="CN",1,IF(UPPER(TRIM(C25))="CD",2,"")))</f>
        <v/>
      </c>
      <c r="I37" s="1" t="n">
        <v>0.7</v>
      </c>
      <c r="J37" s="1" t="n">
        <v>0.8705882352941177</v>
      </c>
      <c r="K37" s="1">
        <f>IFERROR($E25/SUM($D25:$F25),"")</f>
        <v/>
      </c>
      <c r="L37" s="1">
        <f>IFERROR($D25/SUM($D25:$F25),"")</f>
        <v/>
      </c>
      <c r="M37" s="1">
        <f>IFERROR($F25/SUM($D25:$F25),"")</f>
        <v/>
      </c>
      <c r="O37" t="n">
        <v>36</v>
      </c>
      <c r="P37" t="inlineStr">
        <is>
          <t>19/01/2026</t>
        </is>
      </c>
      <c r="Q37" t="inlineStr">
        <is>
          <t>CN</t>
        </is>
      </c>
      <c r="R37" t="n">
        <v>163</v>
      </c>
      <c r="S37" t="n">
        <v>868</v>
      </c>
      <c r="T37" t="n">
        <v>408</v>
      </c>
    </row>
    <row r="38">
      <c r="A38" t="n">
        <v>37</v>
      </c>
      <c r="B38" t="inlineStr">
        <is>
          <t>19/04/2026</t>
        </is>
      </c>
      <c r="C38" t="inlineStr">
        <is>
          <t>CN</t>
        </is>
      </c>
      <c r="D38" t="n">
        <v>0</v>
      </c>
      <c r="E38" t="n">
        <v>0</v>
      </c>
      <c r="F38" t="n">
        <v>1440</v>
      </c>
      <c r="H38">
        <f>IF(B26="","",TEXT(B26,"dd/mm") &amp; "-" &amp; IF(UPPER(TRIM(C26))="CN",1,IF(UPPER(TRIM(C26))="CD",2,"")))</f>
        <v/>
      </c>
      <c r="I38" s="1" t="n">
        <v>0.7</v>
      </c>
      <c r="J38" s="1" t="n">
        <v>0.8705882352941177</v>
      </c>
      <c r="K38" s="1">
        <f>IFERROR($E26/SUM($D26:$F26),"")</f>
        <v/>
      </c>
      <c r="L38" s="1">
        <f>IFERROR($D26/SUM($D26:$F26),"")</f>
        <v/>
      </c>
      <c r="M38" s="1">
        <f>IFERROR($F26/SUM($D26:$F26),"")</f>
        <v/>
      </c>
      <c r="O38" t="n">
        <v>37</v>
      </c>
      <c r="P38" t="inlineStr">
        <is>
          <t>19/01/2026</t>
        </is>
      </c>
      <c r="Q38" t="inlineStr">
        <is>
          <t>CD</t>
        </is>
      </c>
      <c r="R38" t="n">
        <v>469</v>
      </c>
      <c r="S38" t="n">
        <v>839</v>
      </c>
      <c r="T38" t="n">
        <v>130</v>
      </c>
    </row>
    <row r="39">
      <c r="A39" t="n">
        <v>38</v>
      </c>
      <c r="B39" t="inlineStr">
        <is>
          <t>19/04/2026</t>
        </is>
      </c>
      <c r="C39" t="inlineStr">
        <is>
          <t>CD</t>
        </is>
      </c>
      <c r="D39" t="n">
        <v>0</v>
      </c>
      <c r="E39" t="n">
        <v>0</v>
      </c>
      <c r="F39" t="n">
        <v>1440</v>
      </c>
      <c r="H39">
        <f>IF(B27="","",TEXT(B27,"dd/mm") &amp; "-" &amp; IF(UPPER(TRIM(C27))="CN",1,IF(UPPER(TRIM(C27))="CD",2,"")))</f>
        <v/>
      </c>
      <c r="I39" s="1" t="n">
        <v>0.7</v>
      </c>
      <c r="J39" s="1" t="n">
        <v>0.8705882352941177</v>
      </c>
      <c r="K39" s="1">
        <f>IFERROR($E27/SUM($D27:$F27),"")</f>
        <v/>
      </c>
      <c r="L39" s="1">
        <f>IFERROR($D27/SUM($D27:$F27),"")</f>
        <v/>
      </c>
      <c r="M39" s="1">
        <f>IFERROR($F27/SUM($D27:$F27),"")</f>
        <v/>
      </c>
      <c r="O39" t="n">
        <v>38</v>
      </c>
      <c r="P39" t="inlineStr">
        <is>
          <t>20/01/2026</t>
        </is>
      </c>
      <c r="Q39" t="inlineStr">
        <is>
          <t>CN</t>
        </is>
      </c>
      <c r="R39" t="n">
        <v>365</v>
      </c>
      <c r="S39" t="n">
        <v>865</v>
      </c>
      <c r="T39" t="n">
        <v>208</v>
      </c>
    </row>
    <row r="40">
      <c r="A40" t="n">
        <v>39</v>
      </c>
      <c r="B40" t="inlineStr">
        <is>
          <t>20/04/2026</t>
        </is>
      </c>
      <c r="C40" t="inlineStr">
        <is>
          <t>CN</t>
        </is>
      </c>
      <c r="D40" t="n">
        <v>146</v>
      </c>
      <c r="E40" t="n">
        <v>883</v>
      </c>
      <c r="F40" t="n">
        <v>409</v>
      </c>
      <c r="H40">
        <f>IF(B28="","",TEXT(B28,"dd/mm") &amp; "-" &amp; IF(UPPER(TRIM(C28))="CN",1,IF(UPPER(TRIM(C28))="CD",2,"")))</f>
        <v/>
      </c>
      <c r="I40" s="1" t="n">
        <v>0.7</v>
      </c>
      <c r="J40" s="1" t="n">
        <v>0.8705882352941177</v>
      </c>
      <c r="K40" s="1">
        <f>IFERROR($E28/SUM($D28:$F28),"")</f>
        <v/>
      </c>
      <c r="L40" s="1">
        <f>IFERROR($D28/SUM($D28:$F28),"")</f>
        <v/>
      </c>
      <c r="M40" s="1">
        <f>IFERROR($F28/SUM($D28:$F28),"")</f>
        <v/>
      </c>
      <c r="O40" t="n">
        <v>39</v>
      </c>
      <c r="P40" t="inlineStr">
        <is>
          <t>20/01/2026</t>
        </is>
      </c>
      <c r="Q40" t="inlineStr">
        <is>
          <t>CD</t>
        </is>
      </c>
      <c r="R40" t="n">
        <v>322</v>
      </c>
      <c r="S40" t="n">
        <v>935</v>
      </c>
      <c r="T40" t="n">
        <v>181</v>
      </c>
    </row>
    <row r="41">
      <c r="A41" t="n">
        <v>40</v>
      </c>
      <c r="B41" t="inlineStr">
        <is>
          <t>20/04/2026</t>
        </is>
      </c>
      <c r="C41" t="inlineStr">
        <is>
          <t>CD</t>
        </is>
      </c>
      <c r="D41" t="n">
        <v>199</v>
      </c>
      <c r="E41" t="n">
        <v>1226</v>
      </c>
      <c r="F41" t="n">
        <v>12</v>
      </c>
      <c r="H41">
        <f>IF(B29="","",TEXT(B29,"dd/mm") &amp; "-" &amp; IF(UPPER(TRIM(C29))="CN",1,IF(UPPER(TRIM(C29))="CD",2,"")))</f>
        <v/>
      </c>
      <c r="I41" s="1" t="n">
        <v>0.7</v>
      </c>
      <c r="J41" s="1" t="n">
        <v>0.8705882352941177</v>
      </c>
      <c r="K41" s="1">
        <f>IFERROR($E29/SUM($D29:$F29),"")</f>
        <v/>
      </c>
      <c r="L41" s="1">
        <f>IFERROR($D29/SUM($D29:$F29),"")</f>
        <v/>
      </c>
      <c r="M41" s="1">
        <f>IFERROR($F29/SUM($D29:$F29),"")</f>
        <v/>
      </c>
      <c r="O41" t="n">
        <v>40</v>
      </c>
      <c r="P41" t="inlineStr">
        <is>
          <t>21/01/2026</t>
        </is>
      </c>
      <c r="Q41" t="inlineStr">
        <is>
          <t>CN</t>
        </is>
      </c>
      <c r="R41" t="n">
        <v>452</v>
      </c>
      <c r="S41" t="n">
        <v>779</v>
      </c>
      <c r="T41" t="n">
        <v>207</v>
      </c>
    </row>
    <row r="42">
      <c r="A42" t="n">
        <v>41</v>
      </c>
      <c r="B42" t="inlineStr">
        <is>
          <t>21/04/2026</t>
        </is>
      </c>
      <c r="C42" t="inlineStr">
        <is>
          <t>CN</t>
        </is>
      </c>
      <c r="D42" t="n">
        <v>78</v>
      </c>
      <c r="E42" t="n">
        <v>987</v>
      </c>
      <c r="F42" t="n">
        <v>373</v>
      </c>
      <c r="H42">
        <f>IF(B30="","",TEXT(B30,"dd/mm") &amp; "-" &amp; IF(UPPER(TRIM(C30))="CN",1,IF(UPPER(TRIM(C30))="CD",2,"")))</f>
        <v/>
      </c>
      <c r="I42" s="1" t="n">
        <v>0.7</v>
      </c>
      <c r="J42" s="1" t="n">
        <v>0.8705882352941177</v>
      </c>
      <c r="K42" s="1">
        <f>IFERROR($E30/SUM($D30:$F30),"")</f>
        <v/>
      </c>
      <c r="L42" s="1">
        <f>IFERROR($D30/SUM($D30:$F30),"")</f>
        <v/>
      </c>
      <c r="M42" s="1">
        <f>IFERROR($F30/SUM($D30:$F30),"")</f>
        <v/>
      </c>
      <c r="O42" t="n">
        <v>41</v>
      </c>
      <c r="P42" t="inlineStr">
        <is>
          <t>21/01/2026</t>
        </is>
      </c>
      <c r="Q42" t="inlineStr">
        <is>
          <t>CD</t>
        </is>
      </c>
      <c r="R42" t="n">
        <v>320</v>
      </c>
      <c r="S42" t="n">
        <v>970</v>
      </c>
      <c r="T42" t="n">
        <v>147</v>
      </c>
    </row>
    <row r="43">
      <c r="A43" t="n">
        <v>42</v>
      </c>
      <c r="B43" t="inlineStr">
        <is>
          <t>21/04/2026</t>
        </is>
      </c>
      <c r="C43" t="inlineStr">
        <is>
          <t>CD</t>
        </is>
      </c>
      <c r="D43" t="n">
        <v>145</v>
      </c>
      <c r="E43" t="n">
        <v>1244</v>
      </c>
      <c r="F43" t="n">
        <v>49</v>
      </c>
      <c r="H43">
        <f>IF(B31="","",TEXT(B31,"dd/mm") &amp; "-" &amp; IF(UPPER(TRIM(C31))="CN",1,IF(UPPER(TRIM(C31))="CD",2,"")))</f>
        <v/>
      </c>
      <c r="I43" s="1" t="n">
        <v>0.7</v>
      </c>
      <c r="J43" s="1" t="n">
        <v>0.8705882352941177</v>
      </c>
      <c r="K43" s="1">
        <f>IFERROR($E31/SUM($D31:$F31),"")</f>
        <v/>
      </c>
      <c r="L43" s="1">
        <f>IFERROR($D31/SUM($D31:$F31),"")</f>
        <v/>
      </c>
      <c r="M43" s="1">
        <f>IFERROR($F31/SUM($D31:$F31),"")</f>
        <v/>
      </c>
      <c r="O43" t="n">
        <v>42</v>
      </c>
      <c r="P43" t="inlineStr">
        <is>
          <t>22/01/2026</t>
        </is>
      </c>
      <c r="Q43" t="inlineStr">
        <is>
          <t>CN</t>
        </is>
      </c>
      <c r="R43" t="n">
        <v>336</v>
      </c>
      <c r="S43" t="n">
        <v>897</v>
      </c>
      <c r="T43" t="n">
        <v>206</v>
      </c>
    </row>
    <row r="44">
      <c r="A44" t="n">
        <v>43</v>
      </c>
      <c r="B44" t="inlineStr">
        <is>
          <t>22/04/2026</t>
        </is>
      </c>
      <c r="C44" t="inlineStr">
        <is>
          <t>CN</t>
        </is>
      </c>
      <c r="D44" t="n">
        <v>120</v>
      </c>
      <c r="E44" t="n">
        <v>911</v>
      </c>
      <c r="F44" t="n">
        <v>407</v>
      </c>
      <c r="H44">
        <f>IF(B32="","",TEXT(B32,"dd/mm") &amp; "-" &amp; IF(UPPER(TRIM(C32))="CN",1,IF(UPPER(TRIM(C32))="CD",2,"")))</f>
        <v/>
      </c>
      <c r="I44" s="1" t="n">
        <v>0.7</v>
      </c>
      <c r="J44" s="1" t="n">
        <v>0.8705882352941177</v>
      </c>
      <c r="K44" s="1">
        <f>IFERROR($E32/SUM($D32:$F32),"")</f>
        <v/>
      </c>
      <c r="L44" s="1">
        <f>IFERROR($D32/SUM($D32:$F32),"")</f>
        <v/>
      </c>
      <c r="M44" s="1">
        <f>IFERROR($F32/SUM($D32:$F32),"")</f>
        <v/>
      </c>
      <c r="O44" t="n">
        <v>43</v>
      </c>
      <c r="P44" t="inlineStr">
        <is>
          <t>22/01/2026</t>
        </is>
      </c>
      <c r="Q44" t="inlineStr">
        <is>
          <t>CD</t>
        </is>
      </c>
      <c r="R44" t="n">
        <v>345</v>
      </c>
      <c r="S44" t="n">
        <v>942</v>
      </c>
      <c r="T44" t="n">
        <v>151</v>
      </c>
    </row>
    <row r="45">
      <c r="A45" t="n">
        <v>44</v>
      </c>
      <c r="B45" t="inlineStr">
        <is>
          <t>22/04/2026</t>
        </is>
      </c>
      <c r="C45" t="inlineStr">
        <is>
          <t>CD</t>
        </is>
      </c>
      <c r="D45" t="n">
        <v>101</v>
      </c>
      <c r="E45" t="n">
        <v>1186</v>
      </c>
      <c r="F45" t="n">
        <v>151</v>
      </c>
      <c r="H45">
        <f>IF(B33="","",TEXT(B33,"dd/mm") &amp; "-" &amp; IF(UPPER(TRIM(C33))="CN",1,IF(UPPER(TRIM(C33))="CD",2,"")))</f>
        <v/>
      </c>
      <c r="I45" s="1" t="n">
        <v>0.7</v>
      </c>
      <c r="J45" s="1" t="n">
        <v>0.8705882352941177</v>
      </c>
      <c r="K45" s="1">
        <f>IFERROR($E33/SUM($D33:$F33),"")</f>
        <v/>
      </c>
      <c r="L45" s="1">
        <f>IFERROR($D33/SUM($D33:$F33),"")</f>
        <v/>
      </c>
      <c r="M45" s="1">
        <f>IFERROR($F33/SUM($D33:$F33),"")</f>
        <v/>
      </c>
      <c r="O45" t="n">
        <v>44</v>
      </c>
      <c r="P45" t="inlineStr">
        <is>
          <t>23/01/2026</t>
        </is>
      </c>
      <c r="Q45" t="inlineStr">
        <is>
          <t>CN</t>
        </is>
      </c>
      <c r="R45" t="n">
        <v>337</v>
      </c>
      <c r="S45" t="n">
        <v>898</v>
      </c>
      <c r="T45" t="n">
        <v>203</v>
      </c>
    </row>
    <row r="46">
      <c r="A46" t="n">
        <v>45</v>
      </c>
      <c r="B46" t="inlineStr">
        <is>
          <t>23/04/2026</t>
        </is>
      </c>
      <c r="C46" t="inlineStr">
        <is>
          <t>CN</t>
        </is>
      </c>
      <c r="D46" t="n">
        <v>52</v>
      </c>
      <c r="E46" t="n">
        <v>973</v>
      </c>
      <c r="F46" t="n">
        <v>411</v>
      </c>
      <c r="H46">
        <f>IF(B34="","",TEXT(B34,"dd/mm") &amp; "-" &amp; IF(UPPER(TRIM(C34))="CN",1,IF(UPPER(TRIM(C34))="CD",2,"")))</f>
        <v/>
      </c>
      <c r="I46" s="1" t="n">
        <v>0.7</v>
      </c>
      <c r="J46" s="1" t="n">
        <v>0.8705882352941177</v>
      </c>
      <c r="K46" s="1">
        <f>IFERROR($E34/SUM($D34:$F34),"")</f>
        <v/>
      </c>
      <c r="L46" s="1">
        <f>IFERROR($D34/SUM($D34:$F34),"")</f>
        <v/>
      </c>
      <c r="M46" s="1">
        <f>IFERROR($F34/SUM($D34:$F34),"")</f>
        <v/>
      </c>
      <c r="O46" t="n">
        <v>45</v>
      </c>
      <c r="P46" t="inlineStr">
        <is>
          <t>23/01/2026</t>
        </is>
      </c>
      <c r="Q46" t="inlineStr">
        <is>
          <t>CD</t>
        </is>
      </c>
      <c r="R46" t="n">
        <v>534</v>
      </c>
      <c r="S46" t="n">
        <v>904</v>
      </c>
      <c r="T46" t="n">
        <v>0</v>
      </c>
    </row>
    <row r="47">
      <c r="A47" t="n">
        <v>46</v>
      </c>
      <c r="B47" t="inlineStr">
        <is>
          <t>23/04/2026</t>
        </is>
      </c>
      <c r="C47" t="inlineStr">
        <is>
          <t>CD</t>
        </is>
      </c>
      <c r="D47" t="n">
        <v>120</v>
      </c>
      <c r="E47" t="n">
        <v>1224</v>
      </c>
      <c r="F47" t="n">
        <v>95</v>
      </c>
      <c r="H47">
        <f>IF(B35="","",TEXT(B35,"dd/mm") &amp; "-" &amp; IF(UPPER(TRIM(C35))="CN",1,IF(UPPER(TRIM(C35))="CD",2,"")))</f>
        <v/>
      </c>
      <c r="I47" s="1" t="n">
        <v>0.7</v>
      </c>
      <c r="J47" s="1" t="n">
        <v>0.8705882352941177</v>
      </c>
      <c r="K47" s="1">
        <f>IFERROR($E35/SUM($D35:$F35),"")</f>
        <v/>
      </c>
      <c r="L47" s="1">
        <f>IFERROR($D35/SUM($D35:$F35),"")</f>
        <v/>
      </c>
      <c r="M47" s="1">
        <f>IFERROR($F35/SUM($D35:$F35),"")</f>
        <v/>
      </c>
      <c r="O47" t="n">
        <v>46</v>
      </c>
      <c r="P47" t="inlineStr">
        <is>
          <t>24/01/2026</t>
        </is>
      </c>
      <c r="Q47" t="inlineStr">
        <is>
          <t>CN</t>
        </is>
      </c>
      <c r="R47" t="n">
        <v>591</v>
      </c>
      <c r="S47" t="n">
        <v>848</v>
      </c>
      <c r="T47" t="n">
        <v>0</v>
      </c>
    </row>
    <row r="48">
      <c r="A48" t="n">
        <v>47</v>
      </c>
      <c r="B48" t="inlineStr">
        <is>
          <t>24/04/2026</t>
        </is>
      </c>
      <c r="C48" t="inlineStr">
        <is>
          <t>CN</t>
        </is>
      </c>
      <c r="D48" t="n">
        <v>130</v>
      </c>
      <c r="E48" t="n">
        <v>1069</v>
      </c>
      <c r="F48" t="n">
        <v>238</v>
      </c>
      <c r="H48">
        <f>IF(B36="","",TEXT(B36,"dd/mm") &amp; "-" &amp; IF(UPPER(TRIM(C36))="CN",1,IF(UPPER(TRIM(C36))="CD",2,"")))</f>
        <v/>
      </c>
      <c r="I48" s="1" t="n">
        <v>0.7</v>
      </c>
      <c r="J48" s="1" t="n">
        <v>0.8705882352941177</v>
      </c>
      <c r="K48" s="1">
        <f>IFERROR($E36/SUM($D36:$F36),"")</f>
        <v/>
      </c>
      <c r="L48" s="1">
        <f>IFERROR($D36/SUM($D36:$F36),"")</f>
        <v/>
      </c>
      <c r="M48" s="1">
        <f>IFERROR($F36/SUM($D36:$F36),"")</f>
        <v/>
      </c>
      <c r="O48" t="n">
        <v>47</v>
      </c>
      <c r="P48" t="inlineStr">
        <is>
          <t>24/01/2026</t>
        </is>
      </c>
      <c r="Q48" t="inlineStr">
        <is>
          <t>CD</t>
        </is>
      </c>
      <c r="R48" t="n">
        <v>390</v>
      </c>
      <c r="S48" t="n">
        <v>807</v>
      </c>
      <c r="T48" t="n">
        <v>241</v>
      </c>
    </row>
    <row r="49">
      <c r="A49" t="n">
        <v>48</v>
      </c>
      <c r="B49" t="inlineStr">
        <is>
          <t>24/04/2026</t>
        </is>
      </c>
      <c r="C49" t="inlineStr">
        <is>
          <t>CD</t>
        </is>
      </c>
      <c r="D49" t="n">
        <v>69</v>
      </c>
      <c r="E49" t="n">
        <v>1092</v>
      </c>
      <c r="F49" t="n">
        <v>277</v>
      </c>
      <c r="H49">
        <f>IF(B37="","",TEXT(B37,"dd/mm") &amp; "-" &amp; IF(UPPER(TRIM(C37))="CN",1,IF(UPPER(TRIM(C37))="CD",2,"")))</f>
        <v/>
      </c>
      <c r="I49" s="1" t="n">
        <v>0.7</v>
      </c>
      <c r="J49" s="1" t="n">
        <v>0.8705882352941177</v>
      </c>
      <c r="K49" s="1">
        <f>IFERROR($E37/SUM($D37:$F37),"")</f>
        <v/>
      </c>
      <c r="L49" s="1">
        <f>IFERROR($D37/SUM($D37:$F37),"")</f>
        <v/>
      </c>
      <c r="M49" s="1">
        <f>IFERROR($F37/SUM($D37:$F37),"")</f>
        <v/>
      </c>
      <c r="O49" t="n">
        <v>48</v>
      </c>
      <c r="P49" t="inlineStr">
        <is>
          <t>25/01/2026</t>
        </is>
      </c>
      <c r="Q49" t="inlineStr">
        <is>
          <t>CN</t>
        </is>
      </c>
      <c r="R49" t="n">
        <v>308</v>
      </c>
      <c r="S49" t="n">
        <v>890</v>
      </c>
      <c r="T49" t="n">
        <v>241</v>
      </c>
    </row>
    <row r="50">
      <c r="A50" t="n">
        <v>49</v>
      </c>
      <c r="B50" t="inlineStr">
        <is>
          <t>25/04/2026</t>
        </is>
      </c>
      <c r="C50" t="inlineStr">
        <is>
          <t>CN</t>
        </is>
      </c>
      <c r="D50" t="n">
        <v>0</v>
      </c>
      <c r="E50" t="n">
        <v>0</v>
      </c>
      <c r="F50" t="n">
        <v>1440</v>
      </c>
      <c r="H50">
        <f>IF(B38="","",TEXT(B38,"dd/mm") &amp; "-" &amp; IF(UPPER(TRIM(C38))="CN",1,IF(UPPER(TRIM(C38))="CD",2,"")))</f>
        <v/>
      </c>
      <c r="I50" s="1" t="n">
        <v>0.7</v>
      </c>
      <c r="J50" s="1" t="n">
        <v>0.8705882352941177</v>
      </c>
      <c r="K50" s="1">
        <f>IFERROR($E38/SUM($D38:$F38),"")</f>
        <v/>
      </c>
      <c r="L50" s="1">
        <f>IFERROR($D38/SUM($D38:$F38),"")</f>
        <v/>
      </c>
      <c r="M50" s="1">
        <f>IFERROR($F38/SUM($D38:$F38),"")</f>
        <v/>
      </c>
      <c r="O50" t="n">
        <v>49</v>
      </c>
      <c r="P50" t="inlineStr">
        <is>
          <t>25/01/2026</t>
        </is>
      </c>
      <c r="Q50" t="inlineStr">
        <is>
          <t>CD</t>
        </is>
      </c>
      <c r="R50" t="n">
        <v>0</v>
      </c>
      <c r="S50" t="n">
        <v>0</v>
      </c>
      <c r="T50" t="n">
        <v>1440</v>
      </c>
    </row>
    <row r="51">
      <c r="A51" t="n">
        <v>50</v>
      </c>
      <c r="B51" t="inlineStr">
        <is>
          <t>25/04/2026</t>
        </is>
      </c>
      <c r="C51" t="inlineStr">
        <is>
          <t>CD</t>
        </is>
      </c>
      <c r="D51" t="n">
        <v>0</v>
      </c>
      <c r="E51" t="n">
        <v>0</v>
      </c>
      <c r="F51" t="n">
        <v>1440</v>
      </c>
      <c r="H51">
        <f>IF(B39="","",TEXT(B39,"dd/mm") &amp; "-" &amp; IF(UPPER(TRIM(C39))="CN",1,IF(UPPER(TRIM(C39))="CD",2,"")))</f>
        <v/>
      </c>
      <c r="I51" s="1" t="n">
        <v>0.7</v>
      </c>
      <c r="J51" s="1" t="n">
        <v>0.8705882352941177</v>
      </c>
      <c r="K51" s="1">
        <f>IFERROR($E39/SUM($D39:$F39),"")</f>
        <v/>
      </c>
      <c r="L51" s="1">
        <f>IFERROR($D39/SUM($D39:$F39),"")</f>
        <v/>
      </c>
      <c r="M51" s="1">
        <f>IFERROR($F39/SUM($D39:$F39),"")</f>
        <v/>
      </c>
      <c r="O51" t="n">
        <v>50</v>
      </c>
      <c r="P51" t="inlineStr">
        <is>
          <t>26/01/2026</t>
        </is>
      </c>
      <c r="Q51" t="inlineStr">
        <is>
          <t>CN</t>
        </is>
      </c>
      <c r="R51" t="n">
        <v>159</v>
      </c>
      <c r="S51" t="n">
        <v>871</v>
      </c>
      <c r="T51" t="n">
        <v>407</v>
      </c>
    </row>
    <row r="52">
      <c r="A52" t="n">
        <v>51</v>
      </c>
      <c r="B52" t="inlineStr">
        <is>
          <t>26/04/2026</t>
        </is>
      </c>
      <c r="C52" t="inlineStr">
        <is>
          <t>CN</t>
        </is>
      </c>
      <c r="D52" t="n">
        <v>0</v>
      </c>
      <c r="E52" t="n">
        <v>0</v>
      </c>
      <c r="F52" t="n">
        <v>1440</v>
      </c>
      <c r="H52">
        <f>IF(B40="","",TEXT(B40,"dd/mm") &amp; "-" &amp; IF(UPPER(TRIM(C40))="CN",1,IF(UPPER(TRIM(C40))="CD",2,"")))</f>
        <v/>
      </c>
      <c r="I52" s="1" t="n">
        <v>0.7</v>
      </c>
      <c r="J52" s="1" t="n">
        <v>0.8705882352941177</v>
      </c>
      <c r="K52" s="1">
        <f>IFERROR($E40/SUM($D40:$F40),"")</f>
        <v/>
      </c>
      <c r="L52" s="1">
        <f>IFERROR($D40/SUM($D40:$F40),"")</f>
        <v/>
      </c>
      <c r="M52" s="1">
        <f>IFERROR($F40/SUM($D40:$F40),"")</f>
        <v/>
      </c>
      <c r="O52" t="n">
        <v>51</v>
      </c>
      <c r="P52" t="inlineStr">
        <is>
          <t>26/01/2026</t>
        </is>
      </c>
      <c r="Q52" t="inlineStr">
        <is>
          <t>CD</t>
        </is>
      </c>
      <c r="R52" t="n">
        <v>198</v>
      </c>
      <c r="S52" t="n">
        <v>1230</v>
      </c>
      <c r="T52" t="n">
        <v>10</v>
      </c>
    </row>
    <row r="53">
      <c r="A53" t="n">
        <v>52</v>
      </c>
      <c r="B53" t="inlineStr">
        <is>
          <t>26/04/2026</t>
        </is>
      </c>
      <c r="C53" t="inlineStr">
        <is>
          <t>CD</t>
        </is>
      </c>
      <c r="D53" t="n">
        <v>0</v>
      </c>
      <c r="E53" t="n">
        <v>0</v>
      </c>
      <c r="F53" t="n">
        <v>1440</v>
      </c>
      <c r="H53">
        <f>IF(B41="","",TEXT(B41,"dd/mm") &amp; "-" &amp; IF(UPPER(TRIM(C41))="CN",1,IF(UPPER(TRIM(C41))="CD",2,"")))</f>
        <v/>
      </c>
      <c r="I53" s="1" t="n">
        <v>0.7</v>
      </c>
      <c r="J53" s="1" t="n">
        <v>0.8705882352941177</v>
      </c>
      <c r="K53" s="1">
        <f>IFERROR($E41/SUM($D41:$F41),"")</f>
        <v/>
      </c>
      <c r="L53" s="1">
        <f>IFERROR($D41/SUM($D41:$F41),"")</f>
        <v/>
      </c>
      <c r="M53" s="1">
        <f>IFERROR($F41/SUM($D41:$F41),"")</f>
        <v/>
      </c>
      <c r="O53" t="n">
        <v>52</v>
      </c>
      <c r="P53" t="inlineStr">
        <is>
          <t>27/01/2026</t>
        </is>
      </c>
      <c r="Q53" t="inlineStr">
        <is>
          <t>CN</t>
        </is>
      </c>
      <c r="R53" t="n">
        <v>357</v>
      </c>
      <c r="S53" t="n">
        <v>875</v>
      </c>
      <c r="T53" t="n">
        <v>206</v>
      </c>
    </row>
    <row r="54">
      <c r="A54" t="n">
        <v>53</v>
      </c>
      <c r="B54" t="inlineStr">
        <is>
          <t>27/04/2026</t>
        </is>
      </c>
      <c r="C54" t="inlineStr">
        <is>
          <t>CN</t>
        </is>
      </c>
      <c r="D54" t="n">
        <v>103</v>
      </c>
      <c r="E54" t="n">
        <v>937</v>
      </c>
      <c r="F54" t="n">
        <v>398</v>
      </c>
      <c r="H54">
        <f>IF(B42="","",TEXT(B42,"dd/mm") &amp; "-" &amp; IF(UPPER(TRIM(C42))="CN",1,IF(UPPER(TRIM(C42))="CD",2,"")))</f>
        <v/>
      </c>
      <c r="I54" s="1" t="n">
        <v>0.7</v>
      </c>
      <c r="J54" s="1" t="n">
        <v>0.8705882352941177</v>
      </c>
      <c r="K54" s="1">
        <f>IFERROR($E42/SUM($D42:$F42),"")</f>
        <v/>
      </c>
      <c r="L54" s="1">
        <f>IFERROR($D42/SUM($D42:$F42),"")</f>
        <v/>
      </c>
      <c r="M54" s="1">
        <f>IFERROR($F42/SUM($D42:$F42),"")</f>
        <v/>
      </c>
      <c r="O54" t="n">
        <v>53</v>
      </c>
      <c r="P54" t="inlineStr">
        <is>
          <t>27/01/2026</t>
        </is>
      </c>
      <c r="Q54" t="inlineStr">
        <is>
          <t>CD</t>
        </is>
      </c>
      <c r="R54" t="n">
        <v>230</v>
      </c>
      <c r="S54" t="n">
        <v>1139</v>
      </c>
      <c r="T54" t="n">
        <v>70</v>
      </c>
    </row>
    <row r="55">
      <c r="A55" t="n">
        <v>54</v>
      </c>
      <c r="B55" t="inlineStr">
        <is>
          <t>27/04/2026</t>
        </is>
      </c>
      <c r="C55" t="inlineStr">
        <is>
          <t>CD</t>
        </is>
      </c>
      <c r="D55" t="n">
        <v>40</v>
      </c>
      <c r="E55" t="n">
        <v>1087</v>
      </c>
      <c r="F55" t="n">
        <v>310</v>
      </c>
      <c r="H55">
        <f>IF(B43="","",TEXT(B43,"dd/mm") &amp; "-" &amp; IF(UPPER(TRIM(C43))="CN",1,IF(UPPER(TRIM(C43))="CD",2,"")))</f>
        <v/>
      </c>
      <c r="I55" s="1" t="n">
        <v>0.7</v>
      </c>
      <c r="J55" s="1" t="n">
        <v>0.8705882352941177</v>
      </c>
      <c r="K55" s="1">
        <f>IFERROR($E43/SUM($D43:$F43),"")</f>
        <v/>
      </c>
      <c r="L55" s="1">
        <f>IFERROR($D43/SUM($D43:$F43),"")</f>
        <v/>
      </c>
      <c r="M55" s="1">
        <f>IFERROR($F43/SUM($D43:$F43),"")</f>
        <v/>
      </c>
      <c r="O55" t="n">
        <v>54</v>
      </c>
      <c r="P55" t="inlineStr">
        <is>
          <t>28/01/2026</t>
        </is>
      </c>
      <c r="Q55" t="inlineStr">
        <is>
          <t>CN</t>
        </is>
      </c>
      <c r="R55" t="n">
        <v>449</v>
      </c>
      <c r="S55" t="n">
        <v>777</v>
      </c>
      <c r="T55" t="n">
        <v>212</v>
      </c>
    </row>
    <row r="56">
      <c r="H56">
        <f>IF(B44="","",TEXT(B44,"dd/mm") &amp; "-" &amp; IF(UPPER(TRIM(C44))="CN",1,IF(UPPER(TRIM(C44))="CD",2,"")))</f>
        <v/>
      </c>
      <c r="I56" s="1" t="n">
        <v>0.7</v>
      </c>
      <c r="J56" s="1" t="n">
        <v>0.8705882352941177</v>
      </c>
      <c r="K56" s="1">
        <f>IFERROR($E44/SUM($D44:$F44),"")</f>
        <v/>
      </c>
      <c r="L56" s="1">
        <f>IFERROR($D44/SUM($D44:$F44),"")</f>
        <v/>
      </c>
      <c r="M56" s="1">
        <f>IFERROR($F44/SUM($D44:$F44),"")</f>
        <v/>
      </c>
      <c r="O56" t="n">
        <v>55</v>
      </c>
      <c r="P56" t="inlineStr">
        <is>
          <t>28/01/2026</t>
        </is>
      </c>
      <c r="Q56" t="inlineStr">
        <is>
          <t>CD</t>
        </is>
      </c>
      <c r="R56" t="n">
        <v>201</v>
      </c>
      <c r="S56" t="n">
        <v>1158</v>
      </c>
      <c r="T56" t="n">
        <v>80</v>
      </c>
    </row>
    <row r="57">
      <c r="H57">
        <f>IF(B45="","",TEXT(B45,"dd/mm") &amp; "-" &amp; IF(UPPER(TRIM(C45))="CN",1,IF(UPPER(TRIM(C45))="CD",2,"")))</f>
        <v/>
      </c>
      <c r="I57" s="1" t="n">
        <v>0.7</v>
      </c>
      <c r="J57" s="1" t="n">
        <v>0.8705882352941177</v>
      </c>
      <c r="K57" s="1">
        <f>IFERROR($E45/SUM($D45:$F45),"")</f>
        <v/>
      </c>
      <c r="L57" s="1">
        <f>IFERROR($D45/SUM($D45:$F45),"")</f>
        <v/>
      </c>
      <c r="M57" s="1">
        <f>IFERROR($F45/SUM($D45:$F45),"")</f>
        <v/>
      </c>
      <c r="O57" t="n">
        <v>56</v>
      </c>
      <c r="P57" t="inlineStr">
        <is>
          <t>29/01/2026</t>
        </is>
      </c>
      <c r="Q57" t="inlineStr">
        <is>
          <t>CN</t>
        </is>
      </c>
      <c r="R57" t="n">
        <v>383</v>
      </c>
      <c r="S57" t="n">
        <v>851</v>
      </c>
      <c r="T57" t="n">
        <v>204</v>
      </c>
    </row>
    <row r="58">
      <c r="H58">
        <f>IF(B46="","",TEXT(B46,"dd/mm") &amp; "-" &amp; IF(UPPER(TRIM(C46))="CN",1,IF(UPPER(TRIM(C46))="CD",2,"")))</f>
        <v/>
      </c>
      <c r="I58" s="1" t="n">
        <v>0.7</v>
      </c>
      <c r="J58" s="1" t="n">
        <v>0.8705882352941177</v>
      </c>
      <c r="K58" s="1">
        <f>IFERROR($E46/SUM($D46:$F46),"")</f>
        <v/>
      </c>
      <c r="L58" s="1">
        <f>IFERROR($D46/SUM($D46:$F46),"")</f>
        <v/>
      </c>
      <c r="M58" s="1">
        <f>IFERROR($F46/SUM($D46:$F46),"")</f>
        <v/>
      </c>
      <c r="O58" t="n">
        <v>57</v>
      </c>
      <c r="P58" t="inlineStr">
        <is>
          <t>29/01/2026</t>
        </is>
      </c>
      <c r="Q58" t="inlineStr">
        <is>
          <t>CD</t>
        </is>
      </c>
      <c r="R58" t="n">
        <v>268</v>
      </c>
      <c r="S58" t="n">
        <v>1092</v>
      </c>
      <c r="T58" t="n">
        <v>79</v>
      </c>
    </row>
    <row r="59">
      <c r="H59">
        <f>IF(B47="","",TEXT(B47,"dd/mm") &amp; "-" &amp; IF(UPPER(TRIM(C47))="CN",1,IF(UPPER(TRIM(C47))="CD",2,"")))</f>
        <v/>
      </c>
      <c r="I59" s="1" t="n">
        <v>0.7</v>
      </c>
      <c r="J59" s="1" t="n">
        <v>0.8705882352941177</v>
      </c>
      <c r="K59" s="1">
        <f>IFERROR($E47/SUM($D47:$F47),"")</f>
        <v/>
      </c>
      <c r="L59" s="1">
        <f>IFERROR($D47/SUM($D47:$F47),"")</f>
        <v/>
      </c>
      <c r="M59" s="1">
        <f>IFERROR($F47/SUM($D47:$F47),"")</f>
        <v/>
      </c>
      <c r="O59" t="n">
        <v>58</v>
      </c>
      <c r="P59" t="inlineStr">
        <is>
          <t>30/01/2026</t>
        </is>
      </c>
      <c r="Q59" t="inlineStr">
        <is>
          <t>CN</t>
        </is>
      </c>
      <c r="R59" t="n">
        <v>333</v>
      </c>
      <c r="S59" t="n">
        <v>895</v>
      </c>
      <c r="T59" t="n">
        <v>210</v>
      </c>
    </row>
    <row r="60">
      <c r="H60">
        <f>IF(B48="","",TEXT(B48,"dd/mm") &amp; "-" &amp; IF(UPPER(TRIM(C48))="CN",1,IF(UPPER(TRIM(C48))="CD",2,"")))</f>
        <v/>
      </c>
      <c r="I60" s="1" t="n">
        <v>0.7</v>
      </c>
      <c r="J60" s="1" t="n">
        <v>0.8705882352941177</v>
      </c>
      <c r="K60" s="1">
        <f>IFERROR($E48/SUM($D48:$F48),"")</f>
        <v/>
      </c>
      <c r="L60" s="1">
        <f>IFERROR($D48/SUM($D48:$F48),"")</f>
        <v/>
      </c>
      <c r="M60" s="1">
        <f>IFERROR($F48/SUM($D48:$F48),"")</f>
        <v/>
      </c>
      <c r="O60" t="n">
        <v>59</v>
      </c>
      <c r="P60" t="inlineStr">
        <is>
          <t>30/01/2026</t>
        </is>
      </c>
      <c r="Q60" t="inlineStr">
        <is>
          <t>CD</t>
        </is>
      </c>
      <c r="R60" t="n">
        <v>213</v>
      </c>
      <c r="S60" t="n">
        <v>1158</v>
      </c>
      <c r="T60" t="n">
        <v>68</v>
      </c>
    </row>
    <row r="61">
      <c r="H61">
        <f>IF(B49="","",TEXT(B49,"dd/mm") &amp; "-" &amp; IF(UPPER(TRIM(C49))="CN",1,IF(UPPER(TRIM(C49))="CD",2,"")))</f>
        <v/>
      </c>
      <c r="I61" s="1" t="n">
        <v>0.7</v>
      </c>
      <c r="J61" s="1" t="n">
        <v>0.8705882352941177</v>
      </c>
      <c r="K61" s="1">
        <f>IFERROR($E49/SUM($D49:$F49),"")</f>
        <v/>
      </c>
      <c r="L61" s="1">
        <f>IFERROR($D49/SUM($D49:$F49),"")</f>
        <v/>
      </c>
      <c r="M61" s="1">
        <f>IFERROR($F49/SUM($D49:$F49),"")</f>
        <v/>
      </c>
      <c r="O61" t="n">
        <v>60</v>
      </c>
      <c r="P61" t="inlineStr">
        <is>
          <t>31/01/2026</t>
        </is>
      </c>
      <c r="Q61" t="inlineStr">
        <is>
          <t>CN</t>
        </is>
      </c>
      <c r="R61" t="n">
        <v>456</v>
      </c>
      <c r="S61" t="n">
        <v>739</v>
      </c>
      <c r="T61" t="n">
        <v>243</v>
      </c>
    </row>
    <row r="62">
      <c r="H62">
        <f>IF(B50="","",TEXT(B50,"dd/mm") &amp; "-" &amp; IF(UPPER(TRIM(C50))="CN",1,IF(UPPER(TRIM(C50))="CD",2,"")))</f>
        <v/>
      </c>
      <c r="I62" s="1" t="n">
        <v>0.7</v>
      </c>
      <c r="J62" s="1" t="n">
        <v>0.8705882352941177</v>
      </c>
      <c r="K62" s="1">
        <f>IFERROR($E50/SUM($D50:$F50),"")</f>
        <v/>
      </c>
      <c r="L62" s="1">
        <f>IFERROR($D50/SUM($D50:$F50),"")</f>
        <v/>
      </c>
      <c r="M62" s="1">
        <f>IFERROR($F50/SUM($D50:$F50),"")</f>
        <v/>
      </c>
      <c r="O62" t="n">
        <v>61</v>
      </c>
      <c r="P62" t="inlineStr">
        <is>
          <t>31/01/2026</t>
        </is>
      </c>
      <c r="Q62" t="inlineStr">
        <is>
          <t>CD</t>
        </is>
      </c>
      <c r="R62" t="n">
        <v>102</v>
      </c>
      <c r="S62" t="n">
        <v>848</v>
      </c>
      <c r="T62" t="n">
        <v>487</v>
      </c>
    </row>
    <row r="63">
      <c r="H63">
        <f>IF(B51="","",TEXT(B51,"dd/mm") &amp; "-" &amp; IF(UPPER(TRIM(C51))="CN",1,IF(UPPER(TRIM(C51))="CD",2,"")))</f>
        <v/>
      </c>
      <c r="I63" s="1" t="n">
        <v>0.7</v>
      </c>
      <c r="J63" s="1" t="n">
        <v>0.8705882352941177</v>
      </c>
      <c r="K63" s="1">
        <f>IFERROR($E51/SUM($D51:$F51),"")</f>
        <v/>
      </c>
      <c r="L63" s="1">
        <f>IFERROR($D51/SUM($D51:$F51),"")</f>
        <v/>
      </c>
      <c r="M63" s="1">
        <f>IFERROR($F51/SUM($D51:$F51),"")</f>
        <v/>
      </c>
      <c r="O63" t="n">
        <v>62</v>
      </c>
      <c r="P63" t="inlineStr">
        <is>
          <t>01/02/2026</t>
        </is>
      </c>
      <c r="Q63" t="inlineStr">
        <is>
          <t>CN</t>
        </is>
      </c>
      <c r="R63" t="n">
        <v>0</v>
      </c>
      <c r="S63" t="n">
        <v>0</v>
      </c>
      <c r="T63" t="n">
        <v>1440</v>
      </c>
    </row>
    <row r="64">
      <c r="H64">
        <f>IF(B52="","",TEXT(B52,"dd/mm") &amp; "-" &amp; IF(UPPER(TRIM(C52))="CN",1,IF(UPPER(TRIM(C52))="CD",2,"")))</f>
        <v/>
      </c>
      <c r="I64" s="1" t="n">
        <v>0.7</v>
      </c>
      <c r="J64" s="1" t="n">
        <v>0.8705882352941177</v>
      </c>
      <c r="K64" s="1">
        <f>IFERROR($E52/SUM($D52:$F52),"")</f>
        <v/>
      </c>
      <c r="L64" s="1">
        <f>IFERROR($D52/SUM($D52:$F52),"")</f>
        <v/>
      </c>
      <c r="M64" s="1">
        <f>IFERROR($F52/SUM($D52:$F52),"")</f>
        <v/>
      </c>
      <c r="O64" t="n">
        <v>63</v>
      </c>
      <c r="P64" t="inlineStr">
        <is>
          <t>01/02/2026</t>
        </is>
      </c>
      <c r="Q64" t="inlineStr">
        <is>
          <t>CD</t>
        </is>
      </c>
      <c r="R64" t="n">
        <v>0</v>
      </c>
      <c r="S64" t="n">
        <v>0</v>
      </c>
      <c r="T64" t="n">
        <v>1440</v>
      </c>
    </row>
    <row r="65">
      <c r="H65">
        <f>IF(B53="","",TEXT(B53,"dd/mm") &amp; "-" &amp; IF(UPPER(TRIM(C53))="CN",1,IF(UPPER(TRIM(C53))="CD",2,"")))</f>
        <v/>
      </c>
      <c r="I65" s="1" t="n">
        <v>0.7</v>
      </c>
      <c r="J65" s="1" t="n">
        <v>0.8705882352941177</v>
      </c>
      <c r="K65" s="1">
        <f>IFERROR($E53/SUM($D53:$F53),"")</f>
        <v/>
      </c>
      <c r="L65" s="1">
        <f>IFERROR($D53/SUM($D53:$F53),"")</f>
        <v/>
      </c>
      <c r="M65" s="1">
        <f>IFERROR($F53/SUM($D53:$F53),"")</f>
        <v/>
      </c>
      <c r="O65" t="n">
        <v>64</v>
      </c>
      <c r="P65" t="inlineStr">
        <is>
          <t>02/02/2026</t>
        </is>
      </c>
      <c r="Q65" t="inlineStr">
        <is>
          <t>CN</t>
        </is>
      </c>
      <c r="R65" t="n">
        <v>183</v>
      </c>
      <c r="S65" t="n">
        <v>848</v>
      </c>
      <c r="T65" t="n">
        <v>407</v>
      </c>
    </row>
    <row r="66">
      <c r="H66">
        <f>IF(B54="","",TEXT(B54,"dd/mm") &amp; "-" &amp; IF(UPPER(TRIM(C54))="CN",1,IF(UPPER(TRIM(C54))="CD",2,"")))</f>
        <v/>
      </c>
      <c r="I66" s="1" t="n">
        <v>0.7</v>
      </c>
      <c r="J66" s="1" t="n">
        <v>0.8705882352941177</v>
      </c>
      <c r="K66" s="1">
        <f>IFERROR($E54/SUM($D54:$F54),"")</f>
        <v/>
      </c>
      <c r="L66" s="1">
        <f>IFERROR($D54/SUM($D54:$F54),"")</f>
        <v/>
      </c>
      <c r="M66" s="1">
        <f>IFERROR($F54/SUM($D54:$F54),"")</f>
        <v/>
      </c>
      <c r="O66" t="n">
        <v>65</v>
      </c>
      <c r="P66" t="inlineStr">
        <is>
          <t>02/02/2026</t>
        </is>
      </c>
      <c r="Q66" t="inlineStr">
        <is>
          <t>CD</t>
        </is>
      </c>
      <c r="R66" t="n">
        <v>386</v>
      </c>
      <c r="S66" t="n">
        <v>903</v>
      </c>
      <c r="T66" t="n">
        <v>149</v>
      </c>
    </row>
    <row r="67">
      <c r="H67">
        <f>IF(B55="","",TEXT(B55,"dd/mm") &amp; "-" &amp; IF(UPPER(TRIM(C55))="CN",1,IF(UPPER(TRIM(C55))="CD",2,"")))</f>
        <v/>
      </c>
      <c r="I67" s="1" t="n">
        <v>0.7</v>
      </c>
      <c r="J67" s="1" t="n">
        <v>0.8705882352941177</v>
      </c>
      <c r="K67" s="1">
        <f>IFERROR($E55/SUM($D55:$F55),"")</f>
        <v/>
      </c>
      <c r="L67" s="1">
        <f>IFERROR($D55/SUM($D55:$F55),"")</f>
        <v/>
      </c>
      <c r="M67" s="1">
        <f>IFERROR($F55/SUM($D55:$F55),"")</f>
        <v/>
      </c>
      <c r="O67" t="n">
        <v>66</v>
      </c>
      <c r="P67" t="inlineStr">
        <is>
          <t>03/02/2026</t>
        </is>
      </c>
      <c r="Q67" t="inlineStr">
        <is>
          <t>CN</t>
        </is>
      </c>
      <c r="R67" t="n">
        <v>376</v>
      </c>
      <c r="S67" t="n">
        <v>860</v>
      </c>
      <c r="T67" t="n">
        <v>202</v>
      </c>
    </row>
    <row r="68">
      <c r="H68">
        <f>IF(B56="","",TEXT(B56,"dd/mm") &amp; "-" &amp; IF(UPPER(TRIM(C56))="CN",1,IF(UPPER(TRIM(C56))="CD",2,"")))</f>
        <v/>
      </c>
      <c r="I68" s="1" t="n"/>
      <c r="J68" s="1" t="n"/>
      <c r="K68" s="1">
        <f>IFERROR($E56/SUM($D56:$F56),"")</f>
        <v/>
      </c>
      <c r="L68" s="1">
        <f>IFERROR($D56/SUM($D56:$F56),"")</f>
        <v/>
      </c>
      <c r="M68" s="1">
        <f>IFERROR($F56/SUM($D56:$F56),"")</f>
        <v/>
      </c>
      <c r="O68" t="n">
        <v>67</v>
      </c>
      <c r="P68" t="inlineStr">
        <is>
          <t>03/02/2026</t>
        </is>
      </c>
      <c r="Q68" t="inlineStr">
        <is>
          <t>CD</t>
        </is>
      </c>
      <c r="R68" t="n">
        <v>365</v>
      </c>
      <c r="S68" t="n">
        <v>941</v>
      </c>
      <c r="T68" t="n">
        <v>132</v>
      </c>
    </row>
    <row r="69">
      <c r="H69">
        <f>IF(B57="","",TEXT(B57,"dd/mm") &amp; "-" &amp; IF(UPPER(TRIM(C57))="CN",1,IF(UPPER(TRIM(C57))="CD",2,"")))</f>
        <v/>
      </c>
      <c r="I69" s="1" t="n"/>
      <c r="J69" s="1" t="n"/>
      <c r="K69" s="1">
        <f>IFERROR($E57/SUM($D57:$F57),"")</f>
        <v/>
      </c>
      <c r="L69" s="1">
        <f>IFERROR($D57/SUM($D57:$F57),"")</f>
        <v/>
      </c>
      <c r="M69" s="1">
        <f>IFERROR($F57/SUM($D57:$F57),"")</f>
        <v/>
      </c>
      <c r="O69" t="n">
        <v>68</v>
      </c>
      <c r="P69" t="inlineStr">
        <is>
          <t>04/02/2026</t>
        </is>
      </c>
      <c r="Q69" t="inlineStr">
        <is>
          <t>CN</t>
        </is>
      </c>
      <c r="R69" t="n">
        <v>387</v>
      </c>
      <c r="S69" t="n">
        <v>848</v>
      </c>
      <c r="T69" t="n">
        <v>203</v>
      </c>
    </row>
    <row r="70">
      <c r="H70">
        <f>IF(B58="","",TEXT(B58,"dd/mm") &amp; "-" &amp; IF(UPPER(TRIM(C58))="CN",1,IF(UPPER(TRIM(C58))="CD",2,"")))</f>
        <v/>
      </c>
      <c r="I70" s="1" t="n"/>
      <c r="J70" s="1" t="n"/>
      <c r="K70" s="1">
        <f>IFERROR($E58/SUM($D58:$F58),"")</f>
        <v/>
      </c>
      <c r="L70" s="1">
        <f>IFERROR($D58/SUM($D58:$F58),"")</f>
        <v/>
      </c>
      <c r="M70" s="1">
        <f>IFERROR($F58/SUM($D58:$F58),"")</f>
        <v/>
      </c>
      <c r="O70" t="n">
        <v>69</v>
      </c>
      <c r="P70" t="inlineStr">
        <is>
          <t>04/02/2026</t>
        </is>
      </c>
      <c r="Q70" t="inlineStr">
        <is>
          <t>CD</t>
        </is>
      </c>
      <c r="R70" t="n">
        <v>86</v>
      </c>
      <c r="S70" t="n">
        <v>1077</v>
      </c>
      <c r="T70" t="n">
        <v>275</v>
      </c>
    </row>
    <row r="71">
      <c r="H71">
        <f>IF(B59="","",TEXT(B59,"dd/mm") &amp; "-" &amp; IF(UPPER(TRIM(C59))="CN",1,IF(UPPER(TRIM(C59))="CD",2,"")))</f>
        <v/>
      </c>
      <c r="I71" s="1" t="n"/>
      <c r="J71" s="1" t="n"/>
      <c r="K71" s="1">
        <f>IFERROR($E59/SUM($D59:$F59),"")</f>
        <v/>
      </c>
      <c r="L71" s="1">
        <f>IFERROR($D59/SUM($D59:$F59),"")</f>
        <v/>
      </c>
      <c r="M71" s="1">
        <f>IFERROR($F59/SUM($D59:$F59),"")</f>
        <v/>
      </c>
      <c r="O71" t="n">
        <v>70</v>
      </c>
      <c r="P71" t="inlineStr">
        <is>
          <t>05/02/2026</t>
        </is>
      </c>
      <c r="Q71" t="inlineStr">
        <is>
          <t>CN</t>
        </is>
      </c>
      <c r="R71" t="n">
        <v>176</v>
      </c>
      <c r="S71" t="n">
        <v>849</v>
      </c>
      <c r="T71" t="n">
        <v>412</v>
      </c>
    </row>
    <row r="72">
      <c r="H72">
        <f>IF(B60="","",TEXT(B60,"dd/mm") &amp; "-" &amp; IF(UPPER(TRIM(C60))="CN",1,IF(UPPER(TRIM(C60))="CD",2,"")))</f>
        <v/>
      </c>
      <c r="I72" s="1" t="n"/>
      <c r="J72" s="1" t="n"/>
      <c r="K72" s="1">
        <f>IFERROR($E60/SUM($D60:$F60),"")</f>
        <v/>
      </c>
      <c r="L72" s="1">
        <f>IFERROR($D60/SUM($D60:$F60),"")</f>
        <v/>
      </c>
      <c r="M72" s="1">
        <f>IFERROR($F60/SUM($D60:$F60),"")</f>
        <v/>
      </c>
      <c r="O72" t="n">
        <v>71</v>
      </c>
      <c r="P72" t="inlineStr">
        <is>
          <t>05/02/2026</t>
        </is>
      </c>
      <c r="Q72" t="inlineStr">
        <is>
          <t>CD</t>
        </is>
      </c>
      <c r="R72" t="n">
        <v>70</v>
      </c>
      <c r="S72" t="n">
        <v>1097</v>
      </c>
      <c r="T72" t="n">
        <v>271</v>
      </c>
    </row>
    <row r="73">
      <c r="H73">
        <f>IF(B61="","",TEXT(B61,"dd/mm") &amp; "-" &amp; IF(UPPER(TRIM(C61))="CN",1,IF(UPPER(TRIM(C61))="CD",2,"")))</f>
        <v/>
      </c>
      <c r="I73" s="1" t="n"/>
      <c r="J73" s="1" t="n"/>
      <c r="K73" s="1">
        <f>IFERROR($E61/SUM($D61:$F61),"")</f>
        <v/>
      </c>
      <c r="L73" s="1">
        <f>IFERROR($D61/SUM($D61:$F61),"")</f>
        <v/>
      </c>
      <c r="M73" s="1">
        <f>IFERROR($F61/SUM($D61:$F61),"")</f>
        <v/>
      </c>
      <c r="O73" t="n">
        <v>72</v>
      </c>
      <c r="P73" t="inlineStr">
        <is>
          <t>06/02/2026</t>
        </is>
      </c>
      <c r="Q73" t="inlineStr">
        <is>
          <t>CN</t>
        </is>
      </c>
      <c r="R73" t="n">
        <v>178</v>
      </c>
      <c r="S73" t="n">
        <v>855</v>
      </c>
      <c r="T73" t="n">
        <v>405</v>
      </c>
    </row>
    <row r="74">
      <c r="H74">
        <f>IF(B62="","",TEXT(B62,"dd/mm") &amp; "-" &amp; IF(UPPER(TRIM(C62))="CN",1,IF(UPPER(TRIM(C62))="CD",2,"")))</f>
        <v/>
      </c>
      <c r="I74" s="1" t="n"/>
      <c r="J74" s="1" t="n"/>
      <c r="K74" s="1">
        <f>IFERROR($E62/SUM($D62:$F62),"")</f>
        <v/>
      </c>
      <c r="L74" s="1">
        <f>IFERROR($D62/SUM($D62:$F62),"")</f>
        <v/>
      </c>
      <c r="M74" s="1">
        <f>IFERROR($F62/SUM($D62:$F62),"")</f>
        <v/>
      </c>
      <c r="O74" t="n">
        <v>73</v>
      </c>
      <c r="P74" t="inlineStr">
        <is>
          <t>06/02/2026</t>
        </is>
      </c>
      <c r="Q74" t="inlineStr">
        <is>
          <t>CD</t>
        </is>
      </c>
      <c r="R74" t="n">
        <v>169</v>
      </c>
      <c r="S74" t="n">
        <v>1120</v>
      </c>
      <c r="T74" t="n">
        <v>148</v>
      </c>
    </row>
    <row r="75">
      <c r="H75">
        <f>IF(B63="","",TEXT(B63,"dd/mm") &amp; "-" &amp; IF(UPPER(TRIM(C63))="CN",1,IF(UPPER(TRIM(C63))="CD",2,"")))</f>
        <v/>
      </c>
      <c r="I75" s="1" t="n"/>
      <c r="J75" s="1" t="n"/>
      <c r="K75" s="1">
        <f>IFERROR($E63/SUM($D63:$F63),"")</f>
        <v/>
      </c>
      <c r="L75" s="1">
        <f>IFERROR($D63/SUM($D63:$F63),"")</f>
        <v/>
      </c>
      <c r="M75" s="1">
        <f>IFERROR($F63/SUM($D63:$F63),"")</f>
        <v/>
      </c>
      <c r="O75" t="n">
        <v>74</v>
      </c>
      <c r="P75" t="inlineStr">
        <is>
          <t>07/02/2026</t>
        </is>
      </c>
      <c r="Q75" t="inlineStr">
        <is>
          <t>CN</t>
        </is>
      </c>
      <c r="R75" t="n">
        <v>383</v>
      </c>
      <c r="S75" t="n">
        <v>823</v>
      </c>
      <c r="T75" t="n">
        <v>232</v>
      </c>
    </row>
    <row r="76">
      <c r="I76" s="1" t="n"/>
      <c r="J76" s="1" t="n"/>
      <c r="K76" s="1" t="n"/>
      <c r="L76" s="1" t="n"/>
      <c r="M76" s="1" t="n"/>
      <c r="O76" t="n">
        <v>75</v>
      </c>
      <c r="P76" t="inlineStr">
        <is>
          <t>07/02/2026</t>
        </is>
      </c>
      <c r="Q76" t="inlineStr">
        <is>
          <t>CD</t>
        </is>
      </c>
      <c r="R76" t="n">
        <v>125</v>
      </c>
      <c r="S76" t="n">
        <v>1068</v>
      </c>
      <c r="T76" t="n">
        <v>245</v>
      </c>
    </row>
    <row r="77">
      <c r="I77" s="1" t="n"/>
      <c r="J77" s="1" t="n"/>
      <c r="K77" s="1" t="n"/>
      <c r="L77" s="1" t="n"/>
      <c r="M77" s="1" t="n"/>
      <c r="O77" t="n">
        <v>76</v>
      </c>
      <c r="P77" t="inlineStr">
        <is>
          <t>08/02/2026</t>
        </is>
      </c>
      <c r="Q77" t="inlineStr">
        <is>
          <t>CN</t>
        </is>
      </c>
      <c r="R77" t="n">
        <v>81</v>
      </c>
      <c r="S77" t="n">
        <v>1113</v>
      </c>
      <c r="T77" t="n">
        <v>243</v>
      </c>
    </row>
    <row r="78">
      <c r="I78" s="1" t="n"/>
      <c r="J78" s="1" t="n"/>
      <c r="K78" s="1" t="n"/>
      <c r="L78" s="1" t="n"/>
      <c r="M78" s="1" t="n"/>
      <c r="O78" t="n">
        <v>77</v>
      </c>
      <c r="P78" t="inlineStr">
        <is>
          <t>08/02/2026</t>
        </is>
      </c>
      <c r="Q78" t="inlineStr">
        <is>
          <t>CD</t>
        </is>
      </c>
      <c r="R78" t="n">
        <v>0</v>
      </c>
      <c r="S78" t="n">
        <v>0</v>
      </c>
      <c r="T78" t="n">
        <v>1440</v>
      </c>
    </row>
    <row r="79">
      <c r="I79" s="1" t="n"/>
      <c r="J79" s="1" t="n"/>
      <c r="K79" s="1" t="n"/>
      <c r="L79" s="1" t="n"/>
      <c r="M79" s="1" t="n"/>
      <c r="O79" t="n">
        <v>78</v>
      </c>
      <c r="P79" t="inlineStr">
        <is>
          <t>09/02/2026</t>
        </is>
      </c>
      <c r="Q79" t="inlineStr">
        <is>
          <t>CN</t>
        </is>
      </c>
      <c r="R79" t="n">
        <v>95</v>
      </c>
      <c r="S79" t="n">
        <v>926</v>
      </c>
      <c r="T79" t="n">
        <v>416</v>
      </c>
    </row>
    <row r="80">
      <c r="I80" s="1" t="n"/>
      <c r="J80" s="1" t="n"/>
      <c r="K80" s="1" t="n"/>
      <c r="L80" s="1" t="n"/>
      <c r="M80" s="1" t="n"/>
      <c r="O80" t="n">
        <v>79</v>
      </c>
      <c r="P80" t="inlineStr">
        <is>
          <t>09/02/2026</t>
        </is>
      </c>
      <c r="Q80" t="inlineStr">
        <is>
          <t>CD</t>
        </is>
      </c>
      <c r="R80" t="n">
        <v>173</v>
      </c>
      <c r="S80" t="n">
        <v>1219</v>
      </c>
      <c r="T80" t="n">
        <v>46</v>
      </c>
    </row>
    <row r="81">
      <c r="I81" s="1" t="n"/>
      <c r="J81" s="1" t="n"/>
      <c r="K81" s="1" t="n"/>
      <c r="L81" s="1" t="n"/>
      <c r="M81" s="1" t="n"/>
      <c r="O81" t="n">
        <v>80</v>
      </c>
      <c r="P81" t="inlineStr">
        <is>
          <t>10/02/2026</t>
        </is>
      </c>
      <c r="Q81" t="inlineStr">
        <is>
          <t>CN</t>
        </is>
      </c>
      <c r="R81" t="n">
        <v>169</v>
      </c>
      <c r="S81" t="n">
        <v>832</v>
      </c>
      <c r="T81" t="n">
        <v>437</v>
      </c>
    </row>
    <row r="82">
      <c r="I82" s="1" t="n"/>
      <c r="J82" s="1" t="n"/>
      <c r="K82" s="1" t="n"/>
      <c r="L82" s="1" t="n"/>
      <c r="M82" s="1" t="n"/>
      <c r="O82" t="n">
        <v>81</v>
      </c>
      <c r="P82" t="inlineStr">
        <is>
          <t>10/02/2026</t>
        </is>
      </c>
      <c r="Q82" t="inlineStr">
        <is>
          <t>CD</t>
        </is>
      </c>
      <c r="R82" t="n">
        <v>235</v>
      </c>
      <c r="S82" t="n">
        <v>1181</v>
      </c>
      <c r="T82" t="n">
        <v>22</v>
      </c>
    </row>
    <row r="83">
      <c r="I83" s="1" t="n"/>
      <c r="J83" s="1" t="n"/>
      <c r="K83" s="1" t="n"/>
      <c r="L83" s="1" t="n"/>
      <c r="M83" s="1" t="n"/>
      <c r="O83" t="n">
        <v>82</v>
      </c>
      <c r="P83" t="inlineStr">
        <is>
          <t>11/02/2026</t>
        </is>
      </c>
      <c r="Q83" t="inlineStr">
        <is>
          <t>CN</t>
        </is>
      </c>
      <c r="R83" t="n">
        <v>255</v>
      </c>
      <c r="S83" t="n">
        <v>971</v>
      </c>
      <c r="T83" t="n">
        <v>212</v>
      </c>
    </row>
    <row r="84">
      <c r="I84" s="1" t="n"/>
      <c r="J84" s="1" t="n"/>
      <c r="K84" s="1" t="n"/>
      <c r="L84" s="1" t="n"/>
      <c r="M84" s="1" t="n"/>
      <c r="O84" t="n">
        <v>83</v>
      </c>
      <c r="P84" t="inlineStr">
        <is>
          <t>11/02/2026</t>
        </is>
      </c>
      <c r="Q84" t="inlineStr">
        <is>
          <t>CD</t>
        </is>
      </c>
      <c r="R84" t="n">
        <v>195</v>
      </c>
      <c r="S84" t="n">
        <v>1051</v>
      </c>
      <c r="T84" t="n">
        <v>192</v>
      </c>
    </row>
    <row r="85">
      <c r="I85" s="1" t="n"/>
      <c r="J85" s="1" t="n"/>
      <c r="K85" s="1" t="n"/>
      <c r="L85" s="1" t="n"/>
      <c r="M85" s="1" t="n"/>
      <c r="O85" t="n">
        <v>84</v>
      </c>
      <c r="P85" t="inlineStr">
        <is>
          <t>12/02/2026</t>
        </is>
      </c>
      <c r="Q85" t="inlineStr">
        <is>
          <t>CN</t>
        </is>
      </c>
      <c r="R85" t="n">
        <v>133</v>
      </c>
      <c r="S85" t="n">
        <v>886</v>
      </c>
      <c r="T85" t="n">
        <v>418</v>
      </c>
    </row>
    <row r="86">
      <c r="I86" s="1" t="n"/>
      <c r="J86" s="1" t="n"/>
      <c r="K86" s="1" t="n"/>
      <c r="L86" s="1" t="n"/>
      <c r="M86" s="1" t="n"/>
      <c r="O86" t="n">
        <v>85</v>
      </c>
      <c r="P86" t="inlineStr">
        <is>
          <t>12/02/2026</t>
        </is>
      </c>
      <c r="Q86" t="inlineStr">
        <is>
          <t>CD</t>
        </is>
      </c>
      <c r="R86" t="n">
        <v>160</v>
      </c>
      <c r="S86" t="n">
        <v>1201</v>
      </c>
      <c r="T86" t="n">
        <v>77</v>
      </c>
    </row>
    <row r="87">
      <c r="I87" s="1" t="n"/>
      <c r="J87" s="1" t="n"/>
      <c r="K87" s="1" t="n"/>
      <c r="L87" s="1" t="n"/>
      <c r="M87" s="1" t="n"/>
      <c r="O87" t="n">
        <v>86</v>
      </c>
      <c r="P87" t="inlineStr">
        <is>
          <t>13/02/2026</t>
        </is>
      </c>
      <c r="Q87" t="inlineStr">
        <is>
          <t>CN</t>
        </is>
      </c>
      <c r="R87" t="n">
        <v>145</v>
      </c>
      <c r="S87" t="n">
        <v>1087</v>
      </c>
      <c r="T87" t="n">
        <v>204</v>
      </c>
    </row>
    <row r="88">
      <c r="I88" s="1" t="n"/>
      <c r="J88" s="1" t="n"/>
      <c r="K88" s="1" t="n"/>
      <c r="L88" s="1" t="n"/>
      <c r="M88" s="1" t="n"/>
      <c r="O88" t="n">
        <v>87</v>
      </c>
      <c r="P88" t="inlineStr">
        <is>
          <t>13/02/2026</t>
        </is>
      </c>
      <c r="Q88" t="inlineStr">
        <is>
          <t>CD</t>
        </is>
      </c>
      <c r="R88" t="n">
        <v>156</v>
      </c>
      <c r="S88" t="n">
        <v>543</v>
      </c>
      <c r="T88" t="n">
        <v>739</v>
      </c>
    </row>
    <row r="89">
      <c r="I89" s="1" t="n"/>
      <c r="J89" s="1" t="n"/>
      <c r="K89" s="1" t="n"/>
      <c r="L89" s="1" t="n"/>
      <c r="M89" s="1" t="n"/>
      <c r="O89" t="n">
        <v>88</v>
      </c>
      <c r="P89" t="inlineStr">
        <is>
          <t>14/02/2026</t>
        </is>
      </c>
      <c r="Q89" t="inlineStr">
        <is>
          <t>CN</t>
        </is>
      </c>
      <c r="R89" t="n">
        <v>0</v>
      </c>
      <c r="S89" t="n">
        <v>0</v>
      </c>
      <c r="T89" t="n">
        <v>1440</v>
      </c>
    </row>
    <row r="90">
      <c r="I90" s="1" t="n"/>
      <c r="J90" s="1" t="n"/>
      <c r="K90" s="1" t="n"/>
      <c r="L90" s="1" t="n"/>
      <c r="M90" s="1" t="n"/>
      <c r="O90" t="n">
        <v>89</v>
      </c>
      <c r="P90" t="inlineStr">
        <is>
          <t>14/02/2026</t>
        </is>
      </c>
      <c r="Q90" t="inlineStr">
        <is>
          <t>CD</t>
        </is>
      </c>
      <c r="R90" t="n">
        <v>0</v>
      </c>
      <c r="S90" t="n">
        <v>0</v>
      </c>
      <c r="T90" t="n">
        <v>1440</v>
      </c>
    </row>
    <row r="91">
      <c r="I91" s="1" t="n"/>
      <c r="J91" s="1" t="n"/>
      <c r="K91" s="1" t="n"/>
      <c r="L91" s="1" t="n"/>
      <c r="M91" s="1" t="n"/>
      <c r="O91" t="n">
        <v>90</v>
      </c>
      <c r="P91" t="inlineStr">
        <is>
          <t>15/02/2026</t>
        </is>
      </c>
      <c r="Q91" t="inlineStr">
        <is>
          <t>CN</t>
        </is>
      </c>
      <c r="R91" t="n">
        <v>0</v>
      </c>
      <c r="S91" t="n">
        <v>0</v>
      </c>
      <c r="T91" t="n">
        <v>1440</v>
      </c>
    </row>
    <row r="92">
      <c r="I92" s="1" t="n"/>
      <c r="J92" s="1" t="n"/>
      <c r="K92" s="1" t="n"/>
      <c r="L92" s="1" t="n"/>
      <c r="M92" s="1" t="n"/>
      <c r="O92" t="n">
        <v>91</v>
      </c>
      <c r="P92" t="inlineStr">
        <is>
          <t>15/02/2026</t>
        </is>
      </c>
      <c r="Q92" t="inlineStr">
        <is>
          <t>CD</t>
        </is>
      </c>
      <c r="R92" t="n">
        <v>0</v>
      </c>
      <c r="S92" t="n">
        <v>0</v>
      </c>
      <c r="T92" t="n">
        <v>1440</v>
      </c>
    </row>
    <row r="93">
      <c r="I93" s="1" t="n"/>
      <c r="J93" s="1" t="n"/>
      <c r="K93" s="1" t="n"/>
      <c r="L93" s="1" t="n"/>
      <c r="M93" s="1" t="n"/>
      <c r="O93" t="n">
        <v>92</v>
      </c>
      <c r="P93" t="inlineStr">
        <is>
          <t>16/02/2026</t>
        </is>
      </c>
      <c r="Q93" t="inlineStr">
        <is>
          <t>CN</t>
        </is>
      </c>
      <c r="R93" t="n">
        <v>0</v>
      </c>
      <c r="S93" t="n">
        <v>0</v>
      </c>
      <c r="T93" t="n">
        <v>1440</v>
      </c>
    </row>
    <row r="94">
      <c r="I94" s="1" t="n"/>
      <c r="J94" s="1" t="n"/>
      <c r="K94" s="1" t="n"/>
      <c r="L94" s="1" t="n"/>
      <c r="M94" s="1" t="n"/>
      <c r="O94" t="n">
        <v>93</v>
      </c>
      <c r="P94" t="inlineStr">
        <is>
          <t>16/02/2026</t>
        </is>
      </c>
      <c r="Q94" t="inlineStr">
        <is>
          <t>CD</t>
        </is>
      </c>
      <c r="R94" t="n">
        <v>0</v>
      </c>
      <c r="S94" t="n">
        <v>0</v>
      </c>
      <c r="T94" t="n">
        <v>1440</v>
      </c>
    </row>
    <row r="95">
      <c r="I95" s="1" t="n"/>
      <c r="J95" s="1" t="n"/>
      <c r="K95" s="1" t="n"/>
      <c r="L95" s="1" t="n"/>
      <c r="M95" s="1" t="n"/>
      <c r="O95" t="n">
        <v>94</v>
      </c>
      <c r="P95" t="inlineStr">
        <is>
          <t>17/02/2026</t>
        </is>
      </c>
      <c r="Q95" t="inlineStr">
        <is>
          <t>CN</t>
        </is>
      </c>
      <c r="R95" t="n">
        <v>0</v>
      </c>
      <c r="S95" t="n">
        <v>0</v>
      </c>
      <c r="T95" t="n">
        <v>1440</v>
      </c>
    </row>
    <row r="96">
      <c r="I96" s="1" t="n"/>
      <c r="J96" s="1" t="n"/>
      <c r="K96" s="1" t="n"/>
      <c r="L96" s="1" t="n"/>
      <c r="M96" s="1" t="n"/>
      <c r="O96" t="n">
        <v>95</v>
      </c>
      <c r="P96" t="inlineStr">
        <is>
          <t>17/02/2026</t>
        </is>
      </c>
      <c r="Q96" t="inlineStr">
        <is>
          <t>CD</t>
        </is>
      </c>
      <c r="R96" t="n">
        <v>0</v>
      </c>
      <c r="S96" t="n">
        <v>0</v>
      </c>
      <c r="T96" t="n">
        <v>1440</v>
      </c>
    </row>
    <row r="97">
      <c r="I97" s="1" t="n"/>
      <c r="J97" s="1" t="n"/>
      <c r="K97" s="1" t="n"/>
      <c r="L97" s="1" t="n"/>
      <c r="M97" s="1" t="n"/>
      <c r="O97" t="n">
        <v>96</v>
      </c>
      <c r="P97" t="inlineStr">
        <is>
          <t>18/02/2026</t>
        </is>
      </c>
      <c r="Q97" t="inlineStr">
        <is>
          <t>CN</t>
        </is>
      </c>
      <c r="R97" t="n">
        <v>0</v>
      </c>
      <c r="S97" t="n">
        <v>0</v>
      </c>
      <c r="T97" t="n">
        <v>1440</v>
      </c>
    </row>
    <row r="98">
      <c r="I98" s="1" t="n"/>
      <c r="J98" s="1" t="n"/>
      <c r="K98" s="1" t="n"/>
      <c r="L98" s="1" t="n"/>
      <c r="M98" s="1" t="n"/>
      <c r="O98" t="n">
        <v>97</v>
      </c>
      <c r="P98" t="inlineStr">
        <is>
          <t>18/02/2026</t>
        </is>
      </c>
      <c r="Q98" t="inlineStr">
        <is>
          <t>CD</t>
        </is>
      </c>
      <c r="R98" t="n">
        <v>0</v>
      </c>
      <c r="S98" t="n">
        <v>0</v>
      </c>
      <c r="T98" t="n">
        <v>1440</v>
      </c>
    </row>
    <row r="99">
      <c r="I99" s="1" t="n"/>
      <c r="J99" s="1" t="n"/>
      <c r="K99" s="1" t="n"/>
      <c r="L99" s="1" t="n"/>
      <c r="M99" s="1" t="n"/>
      <c r="O99" t="n">
        <v>98</v>
      </c>
      <c r="P99" t="inlineStr">
        <is>
          <t>19/02/2026</t>
        </is>
      </c>
      <c r="Q99" t="inlineStr">
        <is>
          <t>CN</t>
        </is>
      </c>
      <c r="R99" t="n">
        <v>0</v>
      </c>
      <c r="S99" t="n">
        <v>0</v>
      </c>
      <c r="T99" t="n">
        <v>1440</v>
      </c>
    </row>
    <row r="100">
      <c r="I100" s="1" t="n"/>
      <c r="J100" s="1" t="n"/>
      <c r="K100" s="1" t="n"/>
      <c r="L100" s="1" t="n"/>
      <c r="M100" s="1" t="n"/>
      <c r="O100" t="n">
        <v>99</v>
      </c>
      <c r="P100" t="inlineStr">
        <is>
          <t>19/02/2026</t>
        </is>
      </c>
      <c r="Q100" t="inlineStr">
        <is>
          <t>CD</t>
        </is>
      </c>
      <c r="R100" t="n">
        <v>0</v>
      </c>
      <c r="S100" t="n">
        <v>0</v>
      </c>
      <c r="T100" t="n">
        <v>1440</v>
      </c>
    </row>
    <row r="101">
      <c r="I101" s="1" t="n"/>
      <c r="J101" s="1" t="n"/>
      <c r="K101" s="1" t="n"/>
      <c r="L101" s="1" t="n"/>
      <c r="M101" s="1" t="n"/>
      <c r="O101" t="n">
        <v>100</v>
      </c>
      <c r="P101" t="inlineStr">
        <is>
          <t>20/02/2026</t>
        </is>
      </c>
      <c r="Q101" t="inlineStr">
        <is>
          <t>CN</t>
        </is>
      </c>
      <c r="R101" t="n">
        <v>0</v>
      </c>
      <c r="S101" t="n">
        <v>0</v>
      </c>
      <c r="T101" t="n">
        <v>1440</v>
      </c>
    </row>
    <row r="102">
      <c r="O102" t="n">
        <v>101</v>
      </c>
      <c r="P102" t="inlineStr">
        <is>
          <t>20/02/2026</t>
        </is>
      </c>
      <c r="Q102" t="inlineStr">
        <is>
          <t>CD</t>
        </is>
      </c>
      <c r="R102" t="n">
        <v>0</v>
      </c>
      <c r="S102" t="n">
        <v>0</v>
      </c>
      <c r="T102" t="n">
        <v>1440</v>
      </c>
    </row>
    <row r="103">
      <c r="O103" t="n">
        <v>102</v>
      </c>
      <c r="P103" t="inlineStr">
        <is>
          <t>21/02/2026</t>
        </is>
      </c>
      <c r="Q103" t="inlineStr">
        <is>
          <t>CN</t>
        </is>
      </c>
      <c r="R103" t="n">
        <v>0</v>
      </c>
      <c r="S103" t="n">
        <v>0</v>
      </c>
      <c r="T103" t="n">
        <v>1440</v>
      </c>
    </row>
    <row r="104">
      <c r="O104" t="n">
        <v>103</v>
      </c>
      <c r="P104" t="inlineStr">
        <is>
          <t>21/02/2026</t>
        </is>
      </c>
      <c r="Q104" t="inlineStr">
        <is>
          <t>CD</t>
        </is>
      </c>
      <c r="R104" t="n">
        <v>0</v>
      </c>
      <c r="S104" t="n">
        <v>0</v>
      </c>
      <c r="T104" t="n">
        <v>1440</v>
      </c>
    </row>
    <row r="105">
      <c r="O105" t="n">
        <v>104</v>
      </c>
      <c r="P105" t="inlineStr">
        <is>
          <t>22/02/2026</t>
        </is>
      </c>
      <c r="Q105" t="inlineStr">
        <is>
          <t>CN</t>
        </is>
      </c>
      <c r="R105" t="n">
        <v>0</v>
      </c>
      <c r="S105" t="n">
        <v>0</v>
      </c>
      <c r="T105" t="n">
        <v>1440</v>
      </c>
    </row>
    <row r="106">
      <c r="O106" t="n">
        <v>105</v>
      </c>
      <c r="P106" t="inlineStr">
        <is>
          <t>22/02/2026</t>
        </is>
      </c>
      <c r="Q106" t="inlineStr">
        <is>
          <t>CD</t>
        </is>
      </c>
      <c r="R106" t="n">
        <v>0</v>
      </c>
      <c r="S106" t="n">
        <v>0</v>
      </c>
      <c r="T106" t="n">
        <v>1440</v>
      </c>
    </row>
    <row r="107">
      <c r="O107" t="n">
        <v>106</v>
      </c>
      <c r="P107" t="inlineStr">
        <is>
          <t>23/02/2026</t>
        </is>
      </c>
      <c r="Q107" t="inlineStr">
        <is>
          <t>CN</t>
        </is>
      </c>
      <c r="R107" t="n">
        <v>128</v>
      </c>
      <c r="S107" t="n">
        <v>878</v>
      </c>
      <c r="T107" t="n">
        <v>431</v>
      </c>
    </row>
    <row r="108">
      <c r="O108" t="n">
        <v>107</v>
      </c>
      <c r="P108" t="inlineStr">
        <is>
          <t>23/02/2026</t>
        </is>
      </c>
      <c r="Q108" t="inlineStr">
        <is>
          <t>CD</t>
        </is>
      </c>
      <c r="R108" t="n">
        <v>87</v>
      </c>
      <c r="S108" t="n">
        <v>1092</v>
      </c>
      <c r="T108" t="n">
        <v>258</v>
      </c>
    </row>
    <row r="109">
      <c r="O109" t="n">
        <v>108</v>
      </c>
      <c r="P109" t="inlineStr">
        <is>
          <t>24/02/2026</t>
        </is>
      </c>
      <c r="Q109" t="inlineStr">
        <is>
          <t>CN</t>
        </is>
      </c>
      <c r="R109" t="n">
        <v>152</v>
      </c>
      <c r="S109" t="n">
        <v>864</v>
      </c>
      <c r="T109" t="n">
        <v>420</v>
      </c>
    </row>
    <row r="110">
      <c r="O110" t="n">
        <v>109</v>
      </c>
      <c r="P110" t="inlineStr">
        <is>
          <t>24/02/2026</t>
        </is>
      </c>
      <c r="Q110" t="inlineStr">
        <is>
          <t>CD</t>
        </is>
      </c>
      <c r="R110" t="n">
        <v>114</v>
      </c>
      <c r="S110" t="n">
        <v>1104</v>
      </c>
      <c r="T110" t="n">
        <v>219</v>
      </c>
    </row>
    <row r="111">
      <c r="O111" t="n">
        <v>110</v>
      </c>
      <c r="P111" t="inlineStr">
        <is>
          <t>25/02/2026</t>
        </is>
      </c>
      <c r="Q111" t="inlineStr">
        <is>
          <t>CN</t>
        </is>
      </c>
      <c r="R111" t="n">
        <v>60</v>
      </c>
      <c r="S111" t="n">
        <v>959</v>
      </c>
      <c r="T111" t="n">
        <v>419</v>
      </c>
    </row>
    <row r="112">
      <c r="O112" t="n">
        <v>111</v>
      </c>
      <c r="P112" t="inlineStr">
        <is>
          <t>25/02/2026</t>
        </is>
      </c>
      <c r="Q112" t="inlineStr">
        <is>
          <t>CD</t>
        </is>
      </c>
      <c r="R112" t="n">
        <v>223</v>
      </c>
      <c r="S112" t="n">
        <v>1191</v>
      </c>
      <c r="T112" t="n">
        <v>24</v>
      </c>
    </row>
    <row r="113">
      <c r="O113" t="n">
        <v>112</v>
      </c>
      <c r="P113" t="inlineStr">
        <is>
          <t>26/02/2026</t>
        </is>
      </c>
      <c r="Q113" t="inlineStr">
        <is>
          <t>CN</t>
        </is>
      </c>
      <c r="R113" t="n">
        <v>197</v>
      </c>
      <c r="S113" t="n">
        <v>997</v>
      </c>
      <c r="T113" t="n">
        <v>240</v>
      </c>
    </row>
    <row r="114">
      <c r="O114" t="n">
        <v>113</v>
      </c>
      <c r="P114" t="inlineStr">
        <is>
          <t>26/02/2026</t>
        </is>
      </c>
      <c r="Q114" t="inlineStr">
        <is>
          <t>CD</t>
        </is>
      </c>
      <c r="R114" t="n">
        <v>118</v>
      </c>
      <c r="S114" t="n">
        <v>1262</v>
      </c>
      <c r="T114" t="n">
        <v>59</v>
      </c>
    </row>
    <row r="115">
      <c r="O115" t="n">
        <v>114</v>
      </c>
      <c r="P115" t="inlineStr">
        <is>
          <t>27/02/2026</t>
        </is>
      </c>
      <c r="Q115" t="inlineStr">
        <is>
          <t>CN</t>
        </is>
      </c>
      <c r="R115" t="n">
        <v>119</v>
      </c>
      <c r="S115" t="n">
        <v>1114</v>
      </c>
      <c r="T115" t="n">
        <v>205</v>
      </c>
    </row>
    <row r="116">
      <c r="O116" t="n">
        <v>115</v>
      </c>
      <c r="P116" t="inlineStr">
        <is>
          <t>27/02/2026</t>
        </is>
      </c>
      <c r="Q116" t="inlineStr">
        <is>
          <t>CD</t>
        </is>
      </c>
      <c r="R116" t="n">
        <v>192</v>
      </c>
      <c r="S116" t="n">
        <v>1247</v>
      </c>
      <c r="T116" t="n">
        <v>0</v>
      </c>
    </row>
    <row r="117">
      <c r="O117" t="n">
        <v>116</v>
      </c>
      <c r="P117" t="inlineStr">
        <is>
          <t>28/02/2026</t>
        </is>
      </c>
      <c r="Q117" t="inlineStr">
        <is>
          <t>CN</t>
        </is>
      </c>
      <c r="R117" t="n">
        <v>87</v>
      </c>
      <c r="S117" t="n">
        <v>1083</v>
      </c>
      <c r="T117" t="n">
        <v>268</v>
      </c>
    </row>
    <row r="118">
      <c r="O118" t="n">
        <v>117</v>
      </c>
      <c r="P118" t="inlineStr">
        <is>
          <t>28/02/2026</t>
        </is>
      </c>
      <c r="Q118" t="inlineStr">
        <is>
          <t>CD</t>
        </is>
      </c>
      <c r="R118" t="n">
        <v>143</v>
      </c>
      <c r="S118" t="n">
        <v>806</v>
      </c>
      <c r="T118" t="n">
        <v>490</v>
      </c>
    </row>
    <row r="119">
      <c r="O119" t="n">
        <v>118</v>
      </c>
      <c r="P119" t="inlineStr">
        <is>
          <t>01/03/2026</t>
        </is>
      </c>
      <c r="Q119" t="inlineStr">
        <is>
          <t>CN</t>
        </is>
      </c>
      <c r="R119" t="n">
        <v>0</v>
      </c>
      <c r="S119" t="n">
        <v>0</v>
      </c>
      <c r="T119" t="n">
        <v>1310</v>
      </c>
    </row>
    <row r="120">
      <c r="O120" t="n">
        <v>119</v>
      </c>
      <c r="P120" t="inlineStr">
        <is>
          <t>01/03/2026</t>
        </is>
      </c>
      <c r="Q120" t="inlineStr">
        <is>
          <t>CD</t>
        </is>
      </c>
      <c r="R120" t="n">
        <v>0</v>
      </c>
      <c r="S120" t="n">
        <v>0</v>
      </c>
      <c r="T120" t="n">
        <v>1440</v>
      </c>
    </row>
    <row r="121">
      <c r="O121" t="n">
        <v>120</v>
      </c>
      <c r="P121" t="inlineStr">
        <is>
          <t>02/03/2026</t>
        </is>
      </c>
      <c r="Q121" t="inlineStr">
        <is>
          <t>CN</t>
        </is>
      </c>
      <c r="R121" t="n">
        <v>120</v>
      </c>
      <c r="S121" t="n">
        <v>910</v>
      </c>
      <c r="T121" t="n">
        <v>407</v>
      </c>
    </row>
    <row r="122">
      <c r="O122" t="n">
        <v>121</v>
      </c>
      <c r="P122" t="inlineStr">
        <is>
          <t>02/03/2026</t>
        </is>
      </c>
      <c r="Q122" t="inlineStr">
        <is>
          <t>CD</t>
        </is>
      </c>
      <c r="R122" t="n">
        <v>160</v>
      </c>
      <c r="S122" t="n">
        <v>972</v>
      </c>
      <c r="T122" t="n">
        <v>306</v>
      </c>
    </row>
    <row r="123">
      <c r="O123" t="n">
        <v>122</v>
      </c>
      <c r="P123" t="inlineStr">
        <is>
          <t>03/03/2026</t>
        </is>
      </c>
      <c r="Q123" t="inlineStr">
        <is>
          <t>CN</t>
        </is>
      </c>
      <c r="R123" t="n">
        <v>101</v>
      </c>
      <c r="S123" t="n">
        <v>927</v>
      </c>
      <c r="T123" t="n">
        <v>410</v>
      </c>
    </row>
    <row r="124">
      <c r="O124" t="n">
        <v>123</v>
      </c>
      <c r="P124" t="inlineStr">
        <is>
          <t>03/03/2026</t>
        </is>
      </c>
      <c r="Q124" t="inlineStr">
        <is>
          <t>CD</t>
        </is>
      </c>
      <c r="R124" t="n">
        <v>119</v>
      </c>
      <c r="S124" t="n">
        <v>1016</v>
      </c>
      <c r="T124" t="n">
        <v>303</v>
      </c>
    </row>
    <row r="125">
      <c r="O125" t="n">
        <v>124</v>
      </c>
      <c r="P125" t="inlineStr">
        <is>
          <t>04/03/2026</t>
        </is>
      </c>
      <c r="Q125" t="inlineStr">
        <is>
          <t>CN</t>
        </is>
      </c>
      <c r="R125" t="n">
        <v>127</v>
      </c>
      <c r="S125" t="n">
        <v>907</v>
      </c>
      <c r="T125" t="n">
        <v>405</v>
      </c>
    </row>
    <row r="126">
      <c r="O126" t="n">
        <v>125</v>
      </c>
      <c r="P126" t="inlineStr">
        <is>
          <t>04/03/2026</t>
        </is>
      </c>
      <c r="Q126" t="inlineStr">
        <is>
          <t>CD</t>
        </is>
      </c>
      <c r="R126" t="n">
        <v>123</v>
      </c>
      <c r="S126" t="n">
        <v>1028</v>
      </c>
      <c r="T126" t="n">
        <v>287</v>
      </c>
    </row>
    <row r="127">
      <c r="O127" t="n">
        <v>126</v>
      </c>
      <c r="P127" t="inlineStr">
        <is>
          <t>05/03/2026</t>
        </is>
      </c>
      <c r="Q127" t="inlineStr">
        <is>
          <t>CN</t>
        </is>
      </c>
      <c r="R127" t="n">
        <v>174</v>
      </c>
      <c r="S127" t="n">
        <v>863</v>
      </c>
      <c r="T127" t="n">
        <v>399</v>
      </c>
    </row>
    <row r="128">
      <c r="O128" t="n">
        <v>127</v>
      </c>
      <c r="P128" t="inlineStr">
        <is>
          <t>05/03/2026</t>
        </is>
      </c>
      <c r="Q128" t="inlineStr">
        <is>
          <t>CD</t>
        </is>
      </c>
      <c r="R128" t="n">
        <v>160</v>
      </c>
      <c r="S128" t="n">
        <v>975</v>
      </c>
      <c r="T128" t="n">
        <v>303</v>
      </c>
    </row>
    <row r="129">
      <c r="O129" t="n">
        <v>128</v>
      </c>
      <c r="P129" t="inlineStr">
        <is>
          <t>06/03/2026</t>
        </is>
      </c>
      <c r="Q129" t="inlineStr">
        <is>
          <t>CN</t>
        </is>
      </c>
      <c r="R129" t="n">
        <v>112</v>
      </c>
      <c r="S129" t="n">
        <v>905</v>
      </c>
      <c r="T129" t="n">
        <v>422</v>
      </c>
    </row>
    <row r="130">
      <c r="O130" t="n">
        <v>129</v>
      </c>
      <c r="P130" t="inlineStr">
        <is>
          <t>06/03/2026</t>
        </is>
      </c>
      <c r="Q130" t="inlineStr">
        <is>
          <t>CD</t>
        </is>
      </c>
      <c r="R130" t="n">
        <v>68</v>
      </c>
      <c r="S130" t="n">
        <v>1069</v>
      </c>
      <c r="T130" t="n">
        <v>299</v>
      </c>
    </row>
    <row r="131">
      <c r="O131" t="n">
        <v>130</v>
      </c>
      <c r="P131" t="inlineStr">
        <is>
          <t>07/03/2026</t>
        </is>
      </c>
      <c r="Q131" t="inlineStr">
        <is>
          <t>CN</t>
        </is>
      </c>
      <c r="R131" t="n">
        <v>105</v>
      </c>
      <c r="S131" t="n">
        <v>873</v>
      </c>
      <c r="T131" t="n">
        <v>460</v>
      </c>
    </row>
    <row r="132">
      <c r="O132" t="n">
        <v>131</v>
      </c>
      <c r="P132" t="inlineStr">
        <is>
          <t>07/03/2026</t>
        </is>
      </c>
      <c r="Q132" t="inlineStr">
        <is>
          <t>CD</t>
        </is>
      </c>
      <c r="R132" t="n">
        <v>88</v>
      </c>
      <c r="S132" t="n">
        <v>862</v>
      </c>
      <c r="T132" t="n">
        <v>487</v>
      </c>
    </row>
    <row r="133">
      <c r="O133" t="n">
        <v>132</v>
      </c>
      <c r="P133" t="inlineStr">
        <is>
          <t>08/03/2026</t>
        </is>
      </c>
      <c r="Q133" t="inlineStr">
        <is>
          <t>CN</t>
        </is>
      </c>
      <c r="R133" t="n">
        <v>64</v>
      </c>
      <c r="S133" t="n">
        <v>905</v>
      </c>
      <c r="T133" t="n">
        <v>470</v>
      </c>
    </row>
    <row r="134">
      <c r="O134" t="n">
        <v>133</v>
      </c>
      <c r="P134" t="inlineStr">
        <is>
          <t>08/03/2026</t>
        </is>
      </c>
      <c r="Q134" t="inlineStr">
        <is>
          <t>CD</t>
        </is>
      </c>
      <c r="R134" t="n">
        <v>0</v>
      </c>
      <c r="S134" t="n">
        <v>0</v>
      </c>
      <c r="T134" t="n">
        <v>1440</v>
      </c>
    </row>
    <row r="135">
      <c r="O135" t="n">
        <v>134</v>
      </c>
      <c r="P135" t="inlineStr">
        <is>
          <t>09/03/2026</t>
        </is>
      </c>
      <c r="Q135" t="inlineStr">
        <is>
          <t>CN</t>
        </is>
      </c>
      <c r="R135" t="n">
        <v>96</v>
      </c>
      <c r="S135" t="n">
        <v>929</v>
      </c>
      <c r="T135" t="n">
        <v>413</v>
      </c>
    </row>
    <row r="136">
      <c r="O136" t="n">
        <v>135</v>
      </c>
      <c r="P136" t="inlineStr">
        <is>
          <t>09/03/2026</t>
        </is>
      </c>
      <c r="Q136" t="inlineStr">
        <is>
          <t>CD</t>
        </is>
      </c>
      <c r="R136" t="n">
        <v>128</v>
      </c>
      <c r="S136" t="n">
        <v>1253</v>
      </c>
      <c r="T136" t="n">
        <v>58</v>
      </c>
    </row>
    <row r="137">
      <c r="O137" t="n">
        <v>136</v>
      </c>
      <c r="P137" t="inlineStr">
        <is>
          <t>10/03/2026</t>
        </is>
      </c>
      <c r="Q137" t="inlineStr">
        <is>
          <t>CN</t>
        </is>
      </c>
      <c r="R137" t="n">
        <v>125</v>
      </c>
      <c r="S137" t="n">
        <v>895</v>
      </c>
      <c r="T137" t="n">
        <v>418</v>
      </c>
    </row>
    <row r="138">
      <c r="O138" t="n">
        <v>137</v>
      </c>
      <c r="P138" t="inlineStr">
        <is>
          <t>10/03/2026</t>
        </is>
      </c>
      <c r="Q138" t="inlineStr">
        <is>
          <t>CD</t>
        </is>
      </c>
      <c r="R138" t="n">
        <v>140</v>
      </c>
      <c r="S138" t="n">
        <v>1299</v>
      </c>
      <c r="T138" t="n">
        <v>0</v>
      </c>
    </row>
    <row r="139">
      <c r="O139" t="n">
        <v>138</v>
      </c>
      <c r="P139" t="inlineStr">
        <is>
          <t>11/03/2026</t>
        </is>
      </c>
      <c r="Q139" t="inlineStr">
        <is>
          <t>CN</t>
        </is>
      </c>
      <c r="R139" t="n">
        <v>99</v>
      </c>
      <c r="S139" t="n">
        <v>978</v>
      </c>
      <c r="T139" t="n">
        <v>360</v>
      </c>
    </row>
    <row r="140">
      <c r="O140" t="n">
        <v>139</v>
      </c>
      <c r="P140" t="inlineStr">
        <is>
          <t>11/03/2026</t>
        </is>
      </c>
      <c r="Q140" t="inlineStr">
        <is>
          <t>CD</t>
        </is>
      </c>
      <c r="R140" t="n">
        <v>133</v>
      </c>
      <c r="S140" t="n">
        <v>1289</v>
      </c>
      <c r="T140" t="n">
        <v>17</v>
      </c>
    </row>
    <row r="141">
      <c r="O141" t="n">
        <v>140</v>
      </c>
      <c r="P141" t="inlineStr">
        <is>
          <t>12/03/2026</t>
        </is>
      </c>
      <c r="Q141" t="inlineStr">
        <is>
          <t>CN</t>
        </is>
      </c>
      <c r="R141" t="n">
        <v>129</v>
      </c>
      <c r="S141" t="n">
        <v>952</v>
      </c>
      <c r="T141" t="n">
        <v>356</v>
      </c>
    </row>
    <row r="142">
      <c r="O142" t="n">
        <v>141</v>
      </c>
      <c r="P142" t="inlineStr">
        <is>
          <t>12/03/2026</t>
        </is>
      </c>
      <c r="Q142" t="inlineStr">
        <is>
          <t>CD</t>
        </is>
      </c>
      <c r="R142" t="n">
        <v>116</v>
      </c>
      <c r="S142" t="n">
        <v>1323</v>
      </c>
      <c r="T142" t="n">
        <v>0</v>
      </c>
    </row>
    <row r="143">
      <c r="O143" t="n">
        <v>142</v>
      </c>
      <c r="P143" t="inlineStr">
        <is>
          <t>13/03/2026</t>
        </is>
      </c>
      <c r="Q143" t="inlineStr">
        <is>
          <t>CN</t>
        </is>
      </c>
      <c r="R143" t="n">
        <v>86</v>
      </c>
      <c r="S143" t="n">
        <v>977</v>
      </c>
      <c r="T143" t="n">
        <v>375</v>
      </c>
    </row>
    <row r="144">
      <c r="O144" t="n">
        <v>143</v>
      </c>
      <c r="P144" t="inlineStr">
        <is>
          <t>13/03/2026</t>
        </is>
      </c>
      <c r="Q144" t="inlineStr">
        <is>
          <t>CD</t>
        </is>
      </c>
      <c r="R144" t="n">
        <v>74</v>
      </c>
      <c r="S144" t="n">
        <v>1300</v>
      </c>
      <c r="T144" t="n">
        <v>64</v>
      </c>
    </row>
    <row r="145">
      <c r="O145" t="n">
        <v>144</v>
      </c>
      <c r="P145" t="inlineStr">
        <is>
          <t>14/03/2026</t>
        </is>
      </c>
      <c r="Q145" t="inlineStr">
        <is>
          <t>CN</t>
        </is>
      </c>
      <c r="R145" t="n">
        <v>152</v>
      </c>
      <c r="S145" t="n">
        <v>814</v>
      </c>
      <c r="T145" t="n">
        <v>472</v>
      </c>
    </row>
    <row r="146">
      <c r="O146" t="n">
        <v>145</v>
      </c>
      <c r="P146" t="inlineStr">
        <is>
          <t>14/03/2026</t>
        </is>
      </c>
      <c r="Q146" t="inlineStr">
        <is>
          <t>CD</t>
        </is>
      </c>
      <c r="R146" t="n">
        <v>66</v>
      </c>
      <c r="S146" t="n">
        <v>884</v>
      </c>
      <c r="T146" t="n">
        <v>488</v>
      </c>
    </row>
    <row r="147">
      <c r="O147" t="n">
        <v>146</v>
      </c>
      <c r="P147" t="inlineStr">
        <is>
          <t>15/03/2026</t>
        </is>
      </c>
      <c r="Q147" t="inlineStr">
        <is>
          <t>CN</t>
        </is>
      </c>
      <c r="R147" t="n">
        <v>0</v>
      </c>
      <c r="S147" t="n">
        <v>0</v>
      </c>
      <c r="T147" t="n">
        <v>1440</v>
      </c>
    </row>
    <row r="148">
      <c r="O148" t="n">
        <v>147</v>
      </c>
      <c r="P148" t="inlineStr">
        <is>
          <t>15/03/2026</t>
        </is>
      </c>
      <c r="Q148" t="inlineStr">
        <is>
          <t>CD</t>
        </is>
      </c>
      <c r="R148" t="n">
        <v>0</v>
      </c>
      <c r="S148" t="n">
        <v>0</v>
      </c>
      <c r="T148" t="n">
        <v>1440</v>
      </c>
    </row>
    <row r="149">
      <c r="O149" t="n">
        <v>148</v>
      </c>
      <c r="P149" t="inlineStr">
        <is>
          <t>16/03/2026</t>
        </is>
      </c>
      <c r="Q149" t="inlineStr">
        <is>
          <t>CN</t>
        </is>
      </c>
      <c r="R149" t="n">
        <v>159</v>
      </c>
      <c r="S149" t="n">
        <v>872</v>
      </c>
      <c r="T149" t="n">
        <v>407</v>
      </c>
    </row>
    <row r="150">
      <c r="O150" t="n">
        <v>149</v>
      </c>
      <c r="P150" t="inlineStr">
        <is>
          <t>16/03/2026</t>
        </is>
      </c>
      <c r="Q150" t="inlineStr">
        <is>
          <t>CD</t>
        </is>
      </c>
      <c r="R150" t="n">
        <v>130</v>
      </c>
      <c r="S150" t="n">
        <v>1025</v>
      </c>
      <c r="T150" t="n">
        <v>282</v>
      </c>
    </row>
    <row r="151">
      <c r="O151" t="n">
        <v>150</v>
      </c>
      <c r="P151" t="inlineStr">
        <is>
          <t>17/03/2026</t>
        </is>
      </c>
      <c r="Q151" t="inlineStr">
        <is>
          <t>CN</t>
        </is>
      </c>
      <c r="R151" t="n">
        <v>135</v>
      </c>
      <c r="S151" t="n">
        <v>900</v>
      </c>
      <c r="T151" t="n">
        <v>403</v>
      </c>
    </row>
    <row r="152">
      <c r="O152" t="n">
        <v>151</v>
      </c>
      <c r="P152" t="inlineStr">
        <is>
          <t>17/03/2026</t>
        </is>
      </c>
      <c r="Q152" t="inlineStr">
        <is>
          <t>CD</t>
        </is>
      </c>
      <c r="R152" t="n">
        <v>102</v>
      </c>
      <c r="S152" t="n">
        <v>1028</v>
      </c>
      <c r="T152" t="n">
        <v>307</v>
      </c>
    </row>
    <row r="153">
      <c r="O153" t="n">
        <v>152</v>
      </c>
      <c r="P153" t="inlineStr">
        <is>
          <t>18/03/2026</t>
        </is>
      </c>
      <c r="Q153" t="inlineStr">
        <is>
          <t>CN</t>
        </is>
      </c>
      <c r="R153" t="n">
        <v>179</v>
      </c>
      <c r="S153" t="n">
        <v>868</v>
      </c>
      <c r="T153" t="n">
        <v>392</v>
      </c>
    </row>
    <row r="154">
      <c r="O154" t="n">
        <v>153</v>
      </c>
      <c r="P154" t="inlineStr">
        <is>
          <t>18/03/2026</t>
        </is>
      </c>
      <c r="Q154" t="inlineStr">
        <is>
          <t>CD</t>
        </is>
      </c>
      <c r="R154" t="n">
        <v>155</v>
      </c>
      <c r="S154" t="n">
        <v>1021</v>
      </c>
      <c r="T154" t="n">
        <v>261</v>
      </c>
    </row>
    <row r="155">
      <c r="O155" t="n">
        <v>154</v>
      </c>
      <c r="P155" t="inlineStr">
        <is>
          <t>19/03/2026</t>
        </is>
      </c>
      <c r="Q155" t="inlineStr">
        <is>
          <t>CN</t>
        </is>
      </c>
      <c r="R155" t="n">
        <v>254</v>
      </c>
      <c r="S155" t="n">
        <v>781</v>
      </c>
      <c r="T155" t="n">
        <v>403</v>
      </c>
    </row>
    <row r="156">
      <c r="O156" t="n">
        <v>155</v>
      </c>
      <c r="P156" t="inlineStr">
        <is>
          <t>19/03/2026</t>
        </is>
      </c>
      <c r="Q156" t="inlineStr">
        <is>
          <t>CD</t>
        </is>
      </c>
      <c r="R156" t="n">
        <v>75</v>
      </c>
      <c r="S156" t="n">
        <v>1061</v>
      </c>
      <c r="T156" t="n">
        <v>301</v>
      </c>
    </row>
    <row r="157">
      <c r="O157" t="n">
        <v>156</v>
      </c>
      <c r="P157" t="inlineStr">
        <is>
          <t>20/03/2026</t>
        </is>
      </c>
      <c r="Q157" t="inlineStr">
        <is>
          <t>CN</t>
        </is>
      </c>
      <c r="R157" t="n">
        <v>157</v>
      </c>
      <c r="S157" t="n">
        <v>879</v>
      </c>
      <c r="T157" t="n">
        <v>402</v>
      </c>
    </row>
    <row r="158">
      <c r="O158" t="n">
        <v>157</v>
      </c>
      <c r="P158" t="inlineStr">
        <is>
          <t>20/03/2026</t>
        </is>
      </c>
      <c r="Q158" t="inlineStr">
        <is>
          <t>CD</t>
        </is>
      </c>
      <c r="R158" t="n">
        <v>81</v>
      </c>
      <c r="S158" t="n">
        <v>1059</v>
      </c>
      <c r="T158" t="n">
        <v>298</v>
      </c>
    </row>
    <row r="159">
      <c r="O159" t="n">
        <v>158</v>
      </c>
      <c r="P159" t="inlineStr">
        <is>
          <t>21/03/2026</t>
        </is>
      </c>
      <c r="Q159" t="inlineStr">
        <is>
          <t>CN</t>
        </is>
      </c>
      <c r="R159" t="n">
        <v>194</v>
      </c>
      <c r="S159" t="n">
        <v>796</v>
      </c>
      <c r="T159" t="n">
        <v>449</v>
      </c>
    </row>
    <row r="160">
      <c r="O160" t="n">
        <v>159</v>
      </c>
      <c r="P160" t="inlineStr">
        <is>
          <t>21/03/2026</t>
        </is>
      </c>
      <c r="Q160" t="inlineStr">
        <is>
          <t>CD</t>
        </is>
      </c>
      <c r="R160" t="n">
        <v>104</v>
      </c>
      <c r="S160" t="n">
        <v>848</v>
      </c>
      <c r="T160" t="n">
        <v>487</v>
      </c>
    </row>
    <row r="161">
      <c r="O161" t="n">
        <v>160</v>
      </c>
      <c r="P161" t="inlineStr">
        <is>
          <t>22/03/2026</t>
        </is>
      </c>
      <c r="Q161" t="inlineStr">
        <is>
          <t>CN</t>
        </is>
      </c>
      <c r="R161" t="n">
        <v>165</v>
      </c>
      <c r="S161" t="n">
        <v>774</v>
      </c>
      <c r="T161" t="n">
        <v>498</v>
      </c>
    </row>
    <row r="162">
      <c r="O162" t="n">
        <v>161</v>
      </c>
      <c r="P162" t="inlineStr">
        <is>
          <t>22/03/2026</t>
        </is>
      </c>
      <c r="Q162" t="inlineStr">
        <is>
          <t>CD</t>
        </is>
      </c>
      <c r="R162" t="n">
        <v>0</v>
      </c>
      <c r="S162" t="n">
        <v>0</v>
      </c>
      <c r="T162" t="n">
        <v>1440</v>
      </c>
    </row>
    <row r="163">
      <c r="O163" t="n">
        <v>162</v>
      </c>
      <c r="P163" t="inlineStr">
        <is>
          <t>23/03/2026</t>
        </is>
      </c>
      <c r="Q163" t="inlineStr">
        <is>
          <t>CN</t>
        </is>
      </c>
      <c r="R163" t="n">
        <v>136</v>
      </c>
      <c r="S163" t="n">
        <v>890</v>
      </c>
      <c r="T163" t="n">
        <v>412</v>
      </c>
    </row>
    <row r="164">
      <c r="O164" t="n">
        <v>163</v>
      </c>
      <c r="P164" t="inlineStr">
        <is>
          <t>23/03/2026</t>
        </is>
      </c>
      <c r="Q164" t="inlineStr">
        <is>
          <t>CD</t>
        </is>
      </c>
      <c r="R164" t="n">
        <v>200</v>
      </c>
      <c r="S164" t="n">
        <v>1136</v>
      </c>
      <c r="T164" t="n">
        <v>101</v>
      </c>
    </row>
    <row r="165">
      <c r="O165" t="n">
        <v>164</v>
      </c>
      <c r="P165" t="inlineStr">
        <is>
          <t>24/03/2026</t>
        </is>
      </c>
      <c r="Q165" t="inlineStr">
        <is>
          <t>CN</t>
        </is>
      </c>
      <c r="R165" t="n">
        <v>145</v>
      </c>
      <c r="S165" t="n">
        <v>891</v>
      </c>
      <c r="T165" t="n">
        <v>402</v>
      </c>
    </row>
    <row r="166">
      <c r="O166" t="n">
        <v>165</v>
      </c>
      <c r="P166" t="inlineStr">
        <is>
          <t>24/03/2026</t>
        </is>
      </c>
      <c r="Q166" t="inlineStr">
        <is>
          <t>CD</t>
        </is>
      </c>
      <c r="R166" t="n">
        <v>69</v>
      </c>
      <c r="S166" t="n">
        <v>1316</v>
      </c>
      <c r="T166" t="n">
        <v>54</v>
      </c>
    </row>
    <row r="167">
      <c r="O167" t="n">
        <v>166</v>
      </c>
      <c r="P167" t="inlineStr">
        <is>
          <t>25/03/2026</t>
        </is>
      </c>
      <c r="Q167" t="inlineStr">
        <is>
          <t>CN</t>
        </is>
      </c>
      <c r="R167" t="n">
        <v>167</v>
      </c>
      <c r="S167" t="n">
        <v>865</v>
      </c>
      <c r="T167" t="n">
        <v>406</v>
      </c>
    </row>
    <row r="168">
      <c r="O168" t="n">
        <v>167</v>
      </c>
      <c r="P168" t="inlineStr">
        <is>
          <t>25/03/2026</t>
        </is>
      </c>
      <c r="Q168" t="inlineStr">
        <is>
          <t>CD</t>
        </is>
      </c>
      <c r="R168" t="n">
        <v>124</v>
      </c>
      <c r="S168" t="n">
        <v>1211</v>
      </c>
      <c r="T168" t="n">
        <v>103</v>
      </c>
    </row>
    <row r="169">
      <c r="O169" t="n">
        <v>168</v>
      </c>
      <c r="P169" t="inlineStr">
        <is>
          <t>26/03/2026</t>
        </is>
      </c>
      <c r="Q169" t="inlineStr">
        <is>
          <t>CN</t>
        </is>
      </c>
      <c r="R169" t="n">
        <v>107</v>
      </c>
      <c r="S169" t="n">
        <v>918</v>
      </c>
      <c r="T169" t="n">
        <v>412</v>
      </c>
    </row>
    <row r="170">
      <c r="O170" t="n">
        <v>169</v>
      </c>
      <c r="P170" t="inlineStr">
        <is>
          <t>26/03/2026</t>
        </is>
      </c>
      <c r="Q170" t="inlineStr">
        <is>
          <t>CD</t>
        </is>
      </c>
      <c r="R170" t="n">
        <v>109</v>
      </c>
      <c r="S170" t="n">
        <v>1137</v>
      </c>
      <c r="T170" t="n">
        <v>193</v>
      </c>
    </row>
    <row r="171">
      <c r="O171" t="n">
        <v>170</v>
      </c>
      <c r="P171" t="inlineStr">
        <is>
          <t>27/03/2026</t>
        </is>
      </c>
      <c r="Q171" t="inlineStr">
        <is>
          <t>CN</t>
        </is>
      </c>
      <c r="R171" t="n">
        <v>93</v>
      </c>
      <c r="S171" t="n">
        <v>929</v>
      </c>
      <c r="T171" t="n">
        <v>414</v>
      </c>
    </row>
    <row r="172">
      <c r="O172" t="n">
        <v>171</v>
      </c>
      <c r="P172" t="inlineStr">
        <is>
          <t>27/03/2026</t>
        </is>
      </c>
      <c r="Q172" t="inlineStr">
        <is>
          <t>CD</t>
        </is>
      </c>
      <c r="R172" t="n">
        <v>121</v>
      </c>
      <c r="S172" t="n">
        <v>1136</v>
      </c>
      <c r="T172" t="n">
        <v>180</v>
      </c>
    </row>
    <row r="173">
      <c r="O173" t="n">
        <v>172</v>
      </c>
      <c r="P173" t="inlineStr">
        <is>
          <t>28/03/2026</t>
        </is>
      </c>
      <c r="Q173" t="inlineStr">
        <is>
          <t>CN</t>
        </is>
      </c>
      <c r="R173" t="n">
        <v>31</v>
      </c>
      <c r="S173" t="n">
        <v>932</v>
      </c>
      <c r="T173" t="n">
        <v>475</v>
      </c>
    </row>
    <row r="174">
      <c r="O174" t="n">
        <v>173</v>
      </c>
      <c r="P174" t="inlineStr">
        <is>
          <t>28/03/2026</t>
        </is>
      </c>
      <c r="Q174" t="inlineStr">
        <is>
          <t>CD</t>
        </is>
      </c>
      <c r="R174" t="n">
        <v>42</v>
      </c>
      <c r="S174" t="n">
        <v>1045</v>
      </c>
      <c r="T174" t="n">
        <v>351</v>
      </c>
    </row>
    <row r="175">
      <c r="O175" t="n">
        <v>174</v>
      </c>
      <c r="P175" t="inlineStr">
        <is>
          <t>29/03/2026</t>
        </is>
      </c>
      <c r="Q175" t="inlineStr">
        <is>
          <t>CN</t>
        </is>
      </c>
      <c r="R175" t="n">
        <v>58</v>
      </c>
      <c r="S175" t="n">
        <v>907</v>
      </c>
      <c r="T175" t="n">
        <v>473</v>
      </c>
    </row>
    <row r="176">
      <c r="O176" t="n">
        <v>175</v>
      </c>
      <c r="P176" t="inlineStr">
        <is>
          <t>29/03/2026</t>
        </is>
      </c>
      <c r="Q176" t="inlineStr">
        <is>
          <t>CD</t>
        </is>
      </c>
      <c r="R176" t="n">
        <v>0</v>
      </c>
      <c r="S176" t="n">
        <v>0</v>
      </c>
      <c r="T176" t="n">
        <v>1440</v>
      </c>
    </row>
    <row r="177">
      <c r="O177" t="n">
        <v>176</v>
      </c>
      <c r="P177" t="inlineStr">
        <is>
          <t>30/03/2026</t>
        </is>
      </c>
      <c r="Q177" t="inlineStr">
        <is>
          <t>CN</t>
        </is>
      </c>
      <c r="R177" t="n">
        <v>148</v>
      </c>
      <c r="S177" t="n">
        <v>887</v>
      </c>
      <c r="T177" t="n">
        <v>404</v>
      </c>
    </row>
    <row r="178">
      <c r="O178" t="n">
        <v>177</v>
      </c>
      <c r="P178" t="inlineStr">
        <is>
          <t>30/03/2026</t>
        </is>
      </c>
      <c r="Q178" t="inlineStr">
        <is>
          <t>CD</t>
        </is>
      </c>
      <c r="R178" t="n">
        <v>83</v>
      </c>
      <c r="S178" t="n">
        <v>1125</v>
      </c>
      <c r="T178" t="n">
        <v>229</v>
      </c>
    </row>
    <row r="179">
      <c r="O179" t="n">
        <v>178</v>
      </c>
      <c r="P179" t="inlineStr">
        <is>
          <t>31/03/2026</t>
        </is>
      </c>
      <c r="Q179" t="inlineStr">
        <is>
          <t>CN</t>
        </is>
      </c>
      <c r="R179" t="n">
        <v>121</v>
      </c>
      <c r="S179" t="n">
        <v>915</v>
      </c>
      <c r="T179" t="n">
        <v>402</v>
      </c>
    </row>
    <row r="180">
      <c r="O180" t="n">
        <v>179</v>
      </c>
      <c r="P180" t="inlineStr">
        <is>
          <t>31/03/2026</t>
        </is>
      </c>
      <c r="Q180" t="inlineStr">
        <is>
          <t>CD</t>
        </is>
      </c>
      <c r="R180" t="n">
        <v>120</v>
      </c>
      <c r="S180" t="n">
        <v>1010</v>
      </c>
      <c r="T180" t="n">
        <v>309</v>
      </c>
    </row>
    <row r="181">
      <c r="O181" t="n">
        <v>180</v>
      </c>
      <c r="P181" t="inlineStr">
        <is>
          <t>01/04/2026</t>
        </is>
      </c>
      <c r="Q181" t="inlineStr">
        <is>
          <t>CN</t>
        </is>
      </c>
      <c r="R181" t="n">
        <v>71</v>
      </c>
      <c r="S181" t="n">
        <v>963</v>
      </c>
      <c r="T181" t="n">
        <v>404</v>
      </c>
    </row>
    <row r="182">
      <c r="O182" t="n">
        <v>181</v>
      </c>
      <c r="P182" t="inlineStr">
        <is>
          <t>01/04/2026</t>
        </is>
      </c>
      <c r="Q182" t="inlineStr">
        <is>
          <t>CD</t>
        </is>
      </c>
      <c r="R182" t="n">
        <v>58</v>
      </c>
      <c r="S182" t="n">
        <v>1092</v>
      </c>
      <c r="T182" t="n">
        <v>287</v>
      </c>
    </row>
    <row r="183">
      <c r="O183" t="n">
        <v>182</v>
      </c>
      <c r="P183" t="inlineStr">
        <is>
          <t>02/04/2026</t>
        </is>
      </c>
      <c r="Q183" t="inlineStr">
        <is>
          <t>CN</t>
        </is>
      </c>
      <c r="R183" t="n">
        <v>171</v>
      </c>
      <c r="S183" t="n">
        <v>871</v>
      </c>
      <c r="T183" t="n">
        <v>396</v>
      </c>
    </row>
    <row r="184">
      <c r="O184" t="n">
        <v>183</v>
      </c>
      <c r="P184" t="inlineStr">
        <is>
          <t>02/04/2026</t>
        </is>
      </c>
      <c r="Q184" t="inlineStr">
        <is>
          <t>CD</t>
        </is>
      </c>
      <c r="R184" t="n">
        <v>173</v>
      </c>
      <c r="S184" t="n">
        <v>958</v>
      </c>
      <c r="T184" t="n">
        <v>307</v>
      </c>
    </row>
    <row r="185">
      <c r="O185" t="n">
        <v>184</v>
      </c>
      <c r="P185" t="inlineStr">
        <is>
          <t>03/04/2026</t>
        </is>
      </c>
      <c r="Q185" t="inlineStr">
        <is>
          <t>CN</t>
        </is>
      </c>
      <c r="R185" t="n">
        <v>48</v>
      </c>
      <c r="S185" t="n">
        <v>987</v>
      </c>
      <c r="T185" t="n">
        <v>403</v>
      </c>
    </row>
    <row r="186">
      <c r="O186" t="n">
        <v>185</v>
      </c>
      <c r="P186" t="inlineStr">
        <is>
          <t>03/04/2026</t>
        </is>
      </c>
      <c r="Q186" t="inlineStr">
        <is>
          <t>CD</t>
        </is>
      </c>
      <c r="R186" t="n">
        <v>154</v>
      </c>
      <c r="S186" t="n">
        <v>976</v>
      </c>
      <c r="T186" t="n">
        <v>308</v>
      </c>
    </row>
    <row r="187">
      <c r="O187" t="n">
        <v>186</v>
      </c>
      <c r="P187" t="inlineStr">
        <is>
          <t>04/04/2026</t>
        </is>
      </c>
      <c r="Q187" t="inlineStr">
        <is>
          <t>CN</t>
        </is>
      </c>
      <c r="R187" t="n">
        <v>117</v>
      </c>
      <c r="S187" t="n">
        <v>854</v>
      </c>
      <c r="T187" t="n">
        <v>466</v>
      </c>
    </row>
    <row r="188">
      <c r="O188" t="n">
        <v>187</v>
      </c>
      <c r="P188" t="inlineStr">
        <is>
          <t>04/04/2026</t>
        </is>
      </c>
      <c r="Q188" t="inlineStr">
        <is>
          <t>CD</t>
        </is>
      </c>
      <c r="R188" t="n">
        <v>48</v>
      </c>
      <c r="S188" t="n">
        <v>976</v>
      </c>
      <c r="T188" t="n">
        <v>413</v>
      </c>
    </row>
    <row r="189">
      <c r="O189" t="n">
        <v>188</v>
      </c>
      <c r="P189" t="inlineStr">
        <is>
          <t>05/04/2026</t>
        </is>
      </c>
      <c r="Q189" t="inlineStr">
        <is>
          <t>CN</t>
        </is>
      </c>
      <c r="R189" t="n">
        <v>0</v>
      </c>
      <c r="S189" t="n">
        <v>0</v>
      </c>
      <c r="T189" t="n">
        <v>1440</v>
      </c>
    </row>
    <row r="190">
      <c r="O190" t="n">
        <v>189</v>
      </c>
      <c r="P190" t="inlineStr">
        <is>
          <t>05/04/2026</t>
        </is>
      </c>
      <c r="Q190" t="inlineStr">
        <is>
          <t>CD</t>
        </is>
      </c>
      <c r="R190" t="n">
        <v>0</v>
      </c>
      <c r="S190" t="n">
        <v>0</v>
      </c>
      <c r="T190" t="n">
        <v>1440</v>
      </c>
    </row>
    <row r="191">
      <c r="O191" t="n">
        <v>190</v>
      </c>
      <c r="P191" t="inlineStr">
        <is>
          <t>06/04/2026</t>
        </is>
      </c>
      <c r="Q191" t="inlineStr">
        <is>
          <t>CN</t>
        </is>
      </c>
      <c r="R191" t="n">
        <v>65</v>
      </c>
      <c r="S191" t="n">
        <v>966</v>
      </c>
      <c r="T191" t="n">
        <v>406</v>
      </c>
    </row>
    <row r="192">
      <c r="O192" t="n">
        <v>191</v>
      </c>
      <c r="P192" t="inlineStr">
        <is>
          <t>06/04/2026</t>
        </is>
      </c>
      <c r="Q192" t="inlineStr">
        <is>
          <t>CD</t>
        </is>
      </c>
      <c r="R192" t="n">
        <v>113</v>
      </c>
      <c r="S192" t="n">
        <v>1190</v>
      </c>
      <c r="T192" t="n">
        <v>136</v>
      </c>
    </row>
    <row r="193">
      <c r="O193" t="n">
        <v>192</v>
      </c>
      <c r="P193" t="inlineStr">
        <is>
          <t>07/04/2026</t>
        </is>
      </c>
      <c r="Q193" t="inlineStr">
        <is>
          <t>CN</t>
        </is>
      </c>
      <c r="R193" t="n">
        <v>127</v>
      </c>
      <c r="S193" t="n">
        <v>903</v>
      </c>
      <c r="T193" t="n">
        <v>407</v>
      </c>
    </row>
    <row r="194">
      <c r="O194" t="n">
        <v>193</v>
      </c>
      <c r="P194" t="inlineStr">
        <is>
          <t>07/04/2026</t>
        </is>
      </c>
      <c r="Q194" t="inlineStr">
        <is>
          <t>CD</t>
        </is>
      </c>
      <c r="R194" t="n">
        <v>127</v>
      </c>
      <c r="S194" t="n">
        <v>1131</v>
      </c>
      <c r="T194" t="n">
        <v>178</v>
      </c>
    </row>
    <row r="195">
      <c r="O195" t="n">
        <v>194</v>
      </c>
      <c r="P195" t="inlineStr">
        <is>
          <t>08/04/2026</t>
        </is>
      </c>
      <c r="Q195" t="inlineStr">
        <is>
          <t>CN</t>
        </is>
      </c>
      <c r="R195" t="n">
        <v>116</v>
      </c>
      <c r="S195" t="n">
        <v>913</v>
      </c>
      <c r="T195" t="n">
        <v>408</v>
      </c>
    </row>
    <row r="196">
      <c r="O196" t="n">
        <v>195</v>
      </c>
      <c r="P196" t="inlineStr">
        <is>
          <t>08/04/2026</t>
        </is>
      </c>
      <c r="Q196" t="inlineStr">
        <is>
          <t>CD</t>
        </is>
      </c>
      <c r="R196" t="n">
        <v>163</v>
      </c>
      <c r="S196" t="n">
        <v>1228</v>
      </c>
      <c r="T196" t="n">
        <v>47</v>
      </c>
    </row>
    <row r="197">
      <c r="O197" t="n">
        <v>196</v>
      </c>
      <c r="P197" t="inlineStr">
        <is>
          <t>09/04/2026</t>
        </is>
      </c>
      <c r="Q197" t="inlineStr">
        <is>
          <t>CN</t>
        </is>
      </c>
      <c r="R197" t="n">
        <v>55</v>
      </c>
      <c r="S197" t="n">
        <v>966</v>
      </c>
      <c r="T197" t="n">
        <v>415</v>
      </c>
    </row>
    <row r="198">
      <c r="O198" t="n">
        <v>197</v>
      </c>
      <c r="P198" t="inlineStr">
        <is>
          <t>09/04/2026</t>
        </is>
      </c>
      <c r="Q198" t="inlineStr">
        <is>
          <t>CD</t>
        </is>
      </c>
      <c r="R198" t="n">
        <v>167</v>
      </c>
      <c r="S198" t="n">
        <v>1069</v>
      </c>
      <c r="T198" t="n">
        <v>201</v>
      </c>
    </row>
    <row r="199">
      <c r="O199" t="n">
        <v>198</v>
      </c>
      <c r="P199" t="inlineStr">
        <is>
          <t>10/04/2026</t>
        </is>
      </c>
      <c r="Q199" t="inlineStr">
        <is>
          <t>CN</t>
        </is>
      </c>
      <c r="R199" t="n">
        <v>82</v>
      </c>
      <c r="S199" t="n">
        <v>944</v>
      </c>
      <c r="T199" t="n">
        <v>412</v>
      </c>
    </row>
    <row r="200">
      <c r="O200" t="n">
        <v>199</v>
      </c>
      <c r="P200" t="inlineStr">
        <is>
          <t>10/04/2026</t>
        </is>
      </c>
      <c r="Q200" t="inlineStr">
        <is>
          <t>CD</t>
        </is>
      </c>
      <c r="R200" t="n">
        <v>185</v>
      </c>
      <c r="S200" t="n">
        <v>1046</v>
      </c>
      <c r="T200" t="n">
        <v>208</v>
      </c>
    </row>
    <row r="201">
      <c r="O201" t="n">
        <v>200</v>
      </c>
      <c r="P201" t="inlineStr">
        <is>
          <t>11/04/2026</t>
        </is>
      </c>
      <c r="Q201" t="inlineStr">
        <is>
          <t>CN</t>
        </is>
      </c>
      <c r="R201" t="n">
        <v>132</v>
      </c>
      <c r="S201" t="n">
        <v>838</v>
      </c>
      <c r="T201" t="n">
        <v>468</v>
      </c>
    </row>
    <row r="202">
      <c r="O202" t="n">
        <v>201</v>
      </c>
      <c r="P202" t="inlineStr">
        <is>
          <t>11/04/2026</t>
        </is>
      </c>
      <c r="Q202" t="inlineStr">
        <is>
          <t>CD</t>
        </is>
      </c>
      <c r="R202" t="n">
        <v>126</v>
      </c>
      <c r="S202" t="n">
        <v>937</v>
      </c>
      <c r="T202" t="n">
        <v>375</v>
      </c>
    </row>
    <row r="203">
      <c r="O203" t="n">
        <v>202</v>
      </c>
      <c r="P203" t="inlineStr">
        <is>
          <t>12/04/2026</t>
        </is>
      </c>
      <c r="Q203" t="inlineStr">
        <is>
          <t>CN</t>
        </is>
      </c>
      <c r="R203" t="n">
        <v>70</v>
      </c>
      <c r="S203" t="n">
        <v>888</v>
      </c>
      <c r="T203" t="n">
        <v>478</v>
      </c>
    </row>
    <row r="204">
      <c r="O204" t="n">
        <v>203</v>
      </c>
      <c r="P204" t="inlineStr">
        <is>
          <t>12/04/2026</t>
        </is>
      </c>
      <c r="Q204" t="inlineStr">
        <is>
          <t>CD</t>
        </is>
      </c>
      <c r="R204" t="n">
        <v>0</v>
      </c>
      <c r="S204" t="n">
        <v>0</v>
      </c>
      <c r="T204" t="n">
        <v>1440</v>
      </c>
    </row>
    <row r="205">
      <c r="O205" t="n">
        <v>204</v>
      </c>
      <c r="P205" t="inlineStr">
        <is>
          <t>13/04/2026</t>
        </is>
      </c>
      <c r="Q205" t="inlineStr">
        <is>
          <t>CN</t>
        </is>
      </c>
      <c r="R205" t="n">
        <v>132</v>
      </c>
      <c r="S205" t="n">
        <v>922</v>
      </c>
      <c r="T205" t="n">
        <v>384</v>
      </c>
    </row>
    <row r="206">
      <c r="O206" t="n">
        <v>205</v>
      </c>
      <c r="P206" t="inlineStr">
        <is>
          <t>13/04/2026</t>
        </is>
      </c>
      <c r="Q206" t="inlineStr">
        <is>
          <t>CD</t>
        </is>
      </c>
      <c r="R206" t="n">
        <v>80</v>
      </c>
      <c r="S206" t="n">
        <v>1064</v>
      </c>
      <c r="T206" t="n">
        <v>294</v>
      </c>
    </row>
    <row r="207">
      <c r="O207" t="n">
        <v>206</v>
      </c>
      <c r="P207" t="inlineStr">
        <is>
          <t>14/04/2026</t>
        </is>
      </c>
      <c r="Q207" t="inlineStr">
        <is>
          <t>CN</t>
        </is>
      </c>
      <c r="R207" t="n">
        <v>79</v>
      </c>
      <c r="S207" t="n">
        <v>975</v>
      </c>
      <c r="T207" t="n">
        <v>384</v>
      </c>
    </row>
    <row r="208">
      <c r="O208" t="n">
        <v>207</v>
      </c>
      <c r="P208" t="inlineStr">
        <is>
          <t>14/04/2026</t>
        </is>
      </c>
      <c r="Q208" t="inlineStr">
        <is>
          <t>CD</t>
        </is>
      </c>
      <c r="R208" t="n">
        <v>308</v>
      </c>
      <c r="S208" t="n">
        <v>989</v>
      </c>
      <c r="T208" t="n">
        <v>142</v>
      </c>
    </row>
    <row r="209">
      <c r="O209" t="n">
        <v>208</v>
      </c>
      <c r="P209" t="inlineStr">
        <is>
          <t>15/04/2026</t>
        </is>
      </c>
      <c r="Q209" t="inlineStr">
        <is>
          <t>CN</t>
        </is>
      </c>
      <c r="R209" t="n">
        <v>383</v>
      </c>
      <c r="S209" t="n">
        <v>865</v>
      </c>
      <c r="T209" t="n">
        <v>192</v>
      </c>
    </row>
    <row r="210">
      <c r="O210" t="n">
        <v>209</v>
      </c>
      <c r="P210" t="inlineStr">
        <is>
          <t>15/04/2026</t>
        </is>
      </c>
      <c r="Q210" t="inlineStr">
        <is>
          <t>CD</t>
        </is>
      </c>
      <c r="R210" t="n">
        <v>68</v>
      </c>
      <c r="S210" t="n">
        <v>1055</v>
      </c>
      <c r="T210" t="n">
        <v>314</v>
      </c>
    </row>
    <row r="211">
      <c r="O211" t="n">
        <v>210</v>
      </c>
      <c r="P211" t="inlineStr">
        <is>
          <t>16/04/2026</t>
        </is>
      </c>
      <c r="Q211" t="inlineStr">
        <is>
          <t>CN</t>
        </is>
      </c>
      <c r="R211" t="n">
        <v>105</v>
      </c>
      <c r="S211" t="n">
        <v>933</v>
      </c>
      <c r="T211" t="n">
        <v>397</v>
      </c>
    </row>
    <row r="212">
      <c r="O212" t="n">
        <v>211</v>
      </c>
      <c r="P212" t="inlineStr">
        <is>
          <t>16/04/2026</t>
        </is>
      </c>
      <c r="Q212" t="inlineStr">
        <is>
          <t>CD</t>
        </is>
      </c>
      <c r="R212" t="n">
        <v>114</v>
      </c>
      <c r="S212" t="n">
        <v>1016</v>
      </c>
      <c r="T212" t="n">
        <v>308</v>
      </c>
    </row>
    <row r="213">
      <c r="O213" t="n">
        <v>212</v>
      </c>
      <c r="P213" t="inlineStr">
        <is>
          <t>17/04/2026</t>
        </is>
      </c>
      <c r="Q213" t="inlineStr">
        <is>
          <t>CN</t>
        </is>
      </c>
      <c r="R213" t="n">
        <v>140</v>
      </c>
      <c r="S213" t="n">
        <v>908</v>
      </c>
      <c r="T213" t="n">
        <v>388</v>
      </c>
    </row>
    <row r="214">
      <c r="O214" t="n">
        <v>213</v>
      </c>
      <c r="P214" t="inlineStr">
        <is>
          <t>17/04/2026</t>
        </is>
      </c>
      <c r="Q214" t="inlineStr">
        <is>
          <t>CD</t>
        </is>
      </c>
      <c r="R214" t="n">
        <v>94</v>
      </c>
      <c r="S214" t="n">
        <v>1032</v>
      </c>
      <c r="T214" t="n">
        <v>312</v>
      </c>
    </row>
    <row r="215">
      <c r="O215" t="n">
        <v>214</v>
      </c>
      <c r="P215" t="inlineStr">
        <is>
          <t>18/04/2026</t>
        </is>
      </c>
      <c r="Q215" t="inlineStr">
        <is>
          <t>CN</t>
        </is>
      </c>
      <c r="R215" t="n">
        <v>158</v>
      </c>
      <c r="S215" t="n">
        <v>836</v>
      </c>
      <c r="T215" t="n">
        <v>444</v>
      </c>
    </row>
    <row r="216">
      <c r="O216" t="n">
        <v>215</v>
      </c>
      <c r="P216" t="inlineStr">
        <is>
          <t>18/04/2026</t>
        </is>
      </c>
      <c r="Q216" t="inlineStr">
        <is>
          <t>CD</t>
        </is>
      </c>
      <c r="R216" t="n">
        <v>59</v>
      </c>
      <c r="S216" t="n">
        <v>887</v>
      </c>
      <c r="T216" t="n">
        <v>491</v>
      </c>
    </row>
    <row r="217">
      <c r="O217" t="n">
        <v>216</v>
      </c>
      <c r="P217" t="inlineStr">
        <is>
          <t>19/04/2026</t>
        </is>
      </c>
      <c r="Q217" t="inlineStr">
        <is>
          <t>CN</t>
        </is>
      </c>
      <c r="R217" t="n">
        <v>0</v>
      </c>
      <c r="S217" t="n">
        <v>0</v>
      </c>
      <c r="T217" t="n">
        <v>1440</v>
      </c>
    </row>
    <row r="218">
      <c r="O218" t="n">
        <v>217</v>
      </c>
      <c r="P218" t="inlineStr">
        <is>
          <t>19/04/2026</t>
        </is>
      </c>
      <c r="Q218" t="inlineStr">
        <is>
          <t>CD</t>
        </is>
      </c>
      <c r="R218" t="n">
        <v>0</v>
      </c>
      <c r="S218" t="n">
        <v>0</v>
      </c>
      <c r="T218" t="n">
        <v>1440</v>
      </c>
    </row>
    <row r="219">
      <c r="O219" t="n">
        <v>218</v>
      </c>
      <c r="P219" t="inlineStr">
        <is>
          <t>20/04/2026</t>
        </is>
      </c>
      <c r="Q219" t="inlineStr">
        <is>
          <t>CN</t>
        </is>
      </c>
      <c r="R219" t="n">
        <v>146</v>
      </c>
      <c r="S219" t="n">
        <v>883</v>
      </c>
      <c r="T219" t="n">
        <v>409</v>
      </c>
    </row>
    <row r="220">
      <c r="O220" t="n">
        <v>219</v>
      </c>
      <c r="P220" t="inlineStr">
        <is>
          <t>20/04/2026</t>
        </is>
      </c>
      <c r="Q220" t="inlineStr">
        <is>
          <t>CD</t>
        </is>
      </c>
      <c r="R220" t="n">
        <v>199</v>
      </c>
      <c r="S220" t="n">
        <v>1226</v>
      </c>
      <c r="T220" t="n">
        <v>12</v>
      </c>
    </row>
    <row r="221">
      <c r="O221" t="n">
        <v>220</v>
      </c>
      <c r="P221" t="inlineStr">
        <is>
          <t>21/04/2026</t>
        </is>
      </c>
      <c r="Q221" t="inlineStr">
        <is>
          <t>CN</t>
        </is>
      </c>
      <c r="R221" t="n">
        <v>78</v>
      </c>
      <c r="S221" t="n">
        <v>987</v>
      </c>
      <c r="T221" t="n">
        <v>373</v>
      </c>
    </row>
    <row r="222">
      <c r="O222" t="n">
        <v>221</v>
      </c>
      <c r="P222" t="inlineStr">
        <is>
          <t>21/04/2026</t>
        </is>
      </c>
      <c r="Q222" t="inlineStr">
        <is>
          <t>CD</t>
        </is>
      </c>
      <c r="R222" t="n">
        <v>145</v>
      </c>
      <c r="S222" t="n">
        <v>1244</v>
      </c>
      <c r="T222" t="n">
        <v>49</v>
      </c>
    </row>
    <row r="223">
      <c r="O223" t="n">
        <v>222</v>
      </c>
      <c r="P223" t="inlineStr">
        <is>
          <t>22/04/2026</t>
        </is>
      </c>
      <c r="Q223" t="inlineStr">
        <is>
          <t>CN</t>
        </is>
      </c>
      <c r="R223" t="n">
        <v>120</v>
      </c>
      <c r="S223" t="n">
        <v>911</v>
      </c>
      <c r="T223" t="n">
        <v>407</v>
      </c>
    </row>
    <row r="224">
      <c r="O224" t="n">
        <v>223</v>
      </c>
      <c r="P224" t="inlineStr">
        <is>
          <t>22/04/2026</t>
        </is>
      </c>
      <c r="Q224" t="inlineStr">
        <is>
          <t>CD</t>
        </is>
      </c>
      <c r="R224" t="n">
        <v>101</v>
      </c>
      <c r="S224" t="n">
        <v>1186</v>
      </c>
      <c r="T224" t="n">
        <v>151</v>
      </c>
    </row>
    <row r="225">
      <c r="O225" t="n">
        <v>224</v>
      </c>
      <c r="P225" t="inlineStr">
        <is>
          <t>23/04/2026</t>
        </is>
      </c>
      <c r="Q225" t="inlineStr">
        <is>
          <t>CN</t>
        </is>
      </c>
      <c r="R225" t="n">
        <v>52</v>
      </c>
      <c r="S225" t="n">
        <v>973</v>
      </c>
      <c r="T225" t="n">
        <v>411</v>
      </c>
    </row>
    <row r="226">
      <c r="O226" t="n">
        <v>225</v>
      </c>
      <c r="P226" t="inlineStr">
        <is>
          <t>23/04/2026</t>
        </is>
      </c>
      <c r="Q226" t="inlineStr">
        <is>
          <t>CD</t>
        </is>
      </c>
      <c r="R226" t="n">
        <v>120</v>
      </c>
      <c r="S226" t="n">
        <v>1224</v>
      </c>
      <c r="T226" t="n">
        <v>95</v>
      </c>
    </row>
    <row r="227">
      <c r="O227" t="n">
        <v>226</v>
      </c>
      <c r="P227" t="inlineStr">
        <is>
          <t>24/04/2026</t>
        </is>
      </c>
      <c r="Q227" t="inlineStr">
        <is>
          <t>CN</t>
        </is>
      </c>
      <c r="R227" t="n">
        <v>130</v>
      </c>
      <c r="S227" t="n">
        <v>1069</v>
      </c>
      <c r="T227" t="n">
        <v>238</v>
      </c>
    </row>
    <row r="228">
      <c r="O228" t="n">
        <v>227</v>
      </c>
      <c r="P228" t="inlineStr">
        <is>
          <t>24/04/2026</t>
        </is>
      </c>
      <c r="Q228" t="inlineStr">
        <is>
          <t>CD</t>
        </is>
      </c>
      <c r="R228" t="n">
        <v>69</v>
      </c>
      <c r="S228" t="n">
        <v>1092</v>
      </c>
      <c r="T228" t="n">
        <v>277</v>
      </c>
    </row>
    <row r="229">
      <c r="O229" t="n">
        <v>228</v>
      </c>
      <c r="P229" t="inlineStr">
        <is>
          <t>25/04/2026</t>
        </is>
      </c>
      <c r="Q229" t="inlineStr">
        <is>
          <t>CN</t>
        </is>
      </c>
      <c r="R229" t="n">
        <v>0</v>
      </c>
      <c r="S229" t="n">
        <v>0</v>
      </c>
      <c r="T229" t="n">
        <v>1440</v>
      </c>
    </row>
    <row r="230">
      <c r="O230" t="n">
        <v>229</v>
      </c>
      <c r="P230" t="inlineStr">
        <is>
          <t>25/04/2026</t>
        </is>
      </c>
      <c r="Q230" t="inlineStr">
        <is>
          <t>CD</t>
        </is>
      </c>
      <c r="R230" t="n">
        <v>0</v>
      </c>
      <c r="S230" t="n">
        <v>0</v>
      </c>
      <c r="T230" t="n">
        <v>1440</v>
      </c>
    </row>
    <row r="231">
      <c r="O231" t="n">
        <v>230</v>
      </c>
      <c r="P231" t="inlineStr">
        <is>
          <t>26/04/2026</t>
        </is>
      </c>
      <c r="Q231" t="inlineStr">
        <is>
          <t>CN</t>
        </is>
      </c>
      <c r="R231" t="n">
        <v>0</v>
      </c>
      <c r="S231" t="n">
        <v>0</v>
      </c>
      <c r="T231" t="n">
        <v>1440</v>
      </c>
    </row>
    <row r="232">
      <c r="O232" t="n">
        <v>231</v>
      </c>
      <c r="P232" t="inlineStr">
        <is>
          <t>26/04/2026</t>
        </is>
      </c>
      <c r="Q232" t="inlineStr">
        <is>
          <t>CD</t>
        </is>
      </c>
      <c r="R232" t="n">
        <v>0</v>
      </c>
      <c r="S232" t="n">
        <v>0</v>
      </c>
      <c r="T232" t="n">
        <v>1440</v>
      </c>
    </row>
    <row r="233">
      <c r="O233" t="n">
        <v>232</v>
      </c>
      <c r="P233" t="inlineStr">
        <is>
          <t>27/04/2026</t>
        </is>
      </c>
      <c r="Q233" t="inlineStr">
        <is>
          <t>CN</t>
        </is>
      </c>
      <c r="R233" t="n">
        <v>103</v>
      </c>
      <c r="S233" t="n">
        <v>937</v>
      </c>
      <c r="T233" t="n">
        <v>398</v>
      </c>
    </row>
    <row r="234">
      <c r="O234" t="n">
        <v>233</v>
      </c>
      <c r="P234" t="inlineStr">
        <is>
          <t>27/04/2026</t>
        </is>
      </c>
      <c r="Q234" t="inlineStr">
        <is>
          <t>CD</t>
        </is>
      </c>
      <c r="R234" t="n">
        <v>40</v>
      </c>
      <c r="S234" t="n">
        <v>1087</v>
      </c>
      <c r="T234" t="n">
        <v>310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T233"/>
  <sheetViews>
    <sheetView topLeftCell="E1" workbookViewId="0">
      <selection activeCell="I2" sqref="I2:J75"/>
    </sheetView>
  </sheetViews>
  <sheetFormatPr baseColWidth="8" defaultRowHeight="14.75"/>
  <cols>
    <col width="3" bestFit="1" customWidth="1" min="1" max="1"/>
    <col width="10.86328125" bestFit="1" customWidth="1" min="2" max="3"/>
    <col width="34.08984375" bestFit="1" customWidth="1" min="4" max="4"/>
    <col width="30.54296875" bestFit="1" customWidth="1" min="5" max="5"/>
    <col width="22.6796875" bestFit="1" customWidth="1" min="6" max="6"/>
    <col width="11.6796875" bestFit="1" customWidth="1" min="9" max="10"/>
    <col width="8.31640625" bestFit="1" customWidth="1" min="11" max="11"/>
    <col width="11.54296875" bestFit="1" customWidth="1" min="12" max="12"/>
    <col width="10" bestFit="1" customWidth="1" min="13" max="13"/>
  </cols>
  <sheetData>
    <row r="1" customFormat="1" s="2">
      <c r="A1" s="3" t="inlineStr">
        <is>
          <t>ID</t>
        </is>
      </c>
      <c r="B1" s="3" t="inlineStr">
        <is>
          <t>Ngày tháng</t>
        </is>
      </c>
      <c r="C1" s="3" t="inlineStr">
        <is>
          <t>Ca làm việc</t>
        </is>
      </c>
      <c r="D1" s="3" t="inlineStr">
        <is>
          <t>Thời gian hoạt động không tải (phút)</t>
        </is>
      </c>
      <c r="E1" s="3" t="inlineStr">
        <is>
          <t>Thời gian hoạt động có tải (phút)</t>
        </is>
      </c>
      <c r="F1" s="3" t="inlineStr">
        <is>
          <t>Thời gian tắt máy (phút)</t>
        </is>
      </c>
      <c r="H1" s="3" t="inlineStr">
        <is>
          <t>Ngày - Ca</t>
        </is>
      </c>
      <c r="I1" s="3" t="inlineStr">
        <is>
          <t>Mục Tiêu C1</t>
        </is>
      </c>
      <c r="J1" s="3" t="inlineStr">
        <is>
          <t>Mục Tiêu C2</t>
        </is>
      </c>
      <c r="K1" s="3" t="inlineStr">
        <is>
          <t>% Có Tải</t>
        </is>
      </c>
      <c r="L1" s="3" t="inlineStr">
        <is>
          <t>% Không Tải</t>
        </is>
      </c>
      <c r="M1" s="3" t="inlineStr">
        <is>
          <t>% Tắt Máy</t>
        </is>
      </c>
    </row>
    <row r="2">
      <c r="A2" t="n">
        <v>1</v>
      </c>
      <c r="B2" t="inlineStr">
        <is>
          <t>01/04/2026</t>
        </is>
      </c>
      <c r="C2" t="inlineStr">
        <is>
          <t>CN</t>
        </is>
      </c>
      <c r="D2" t="n">
        <v>358</v>
      </c>
      <c r="E2" t="n">
        <v>672</v>
      </c>
      <c r="F2" t="n">
        <v>406</v>
      </c>
      <c r="H2" t="inlineStr">
        <is>
          <t>T1</t>
        </is>
      </c>
      <c r="I2" s="1" t="n">
        <v>0.48</v>
      </c>
      <c r="J2" s="1" t="n">
        <v>0.6776470588235293</v>
      </c>
      <c r="K2" s="1">
        <f>IFERROR(SUMIFS(S:S,P:P,"*/01/2026")/(SUMIFS(R:R,P:P,"*/01/2026")+SUMIFS(S:S,P:P,"*/01/2026")+SUMIFS(T:T,P:P,"*/01/2026")),"")</f>
        <v/>
      </c>
      <c r="L2" s="1">
        <f>IFERROR(SUMIFS(R:R,P:P,"*/01/2026")/(SUMIFS(R:R,P:P,"*/01/2026")+SUMIFS(S:S,P:P,"*/01/2026")+SUMIFS(T:T,P:P,"*/01/2026")),"")</f>
        <v/>
      </c>
      <c r="M2" s="1">
        <f>IFERROR(SUMIFS(T:T,P:P,"*/01/2026")/(SUMIFS(R:R,P:P,"*/01/2026")+SUMIFS(S:S,P:P,"*/01/2026")+SUMIFS(T:T,P:P,"*/01/2026")),"")</f>
        <v/>
      </c>
      <c r="O2" t="n">
        <v>1</v>
      </c>
      <c r="P2" t="inlineStr">
        <is>
          <t>01/01/2026</t>
        </is>
      </c>
      <c r="Q2" t="inlineStr">
        <is>
          <t>CN</t>
        </is>
      </c>
      <c r="R2" t="n">
        <v>0</v>
      </c>
      <c r="S2" t="n">
        <v>0</v>
      </c>
      <c r="T2" t="n">
        <v>1441</v>
      </c>
    </row>
    <row r="3">
      <c r="A3" t="n">
        <v>2</v>
      </c>
      <c r="B3" t="inlineStr">
        <is>
          <t>01/04/2026</t>
        </is>
      </c>
      <c r="C3" t="inlineStr">
        <is>
          <t>CD</t>
        </is>
      </c>
      <c r="D3" t="n">
        <v>364</v>
      </c>
      <c r="E3" t="n">
        <v>754</v>
      </c>
      <c r="F3" t="n">
        <v>317</v>
      </c>
      <c r="H3" t="inlineStr">
        <is>
          <t>T2</t>
        </is>
      </c>
      <c r="I3" s="1" t="n">
        <v>0.48</v>
      </c>
      <c r="J3" s="1" t="n">
        <v>0.6776470588235293</v>
      </c>
      <c r="K3" s="1">
        <f>IFERROR(SUMIFS(S:S,P:P,"*/02/2026")/(SUMIFS(R:R,P:P,"*/02/2026")+SUMIFS(S:S,P:P,"*/02/2026")+SUMIFS(T:T,P:P,"*/02/2026")),"")</f>
        <v/>
      </c>
      <c r="L3" s="1">
        <f>IFERROR(SUMIFS(R:R,P:P,"*/02/2026")/(SUMIFS(R:R,P:P,"*/02/2026")+SUMIFS(S:S,P:P,"*/02/2026")+SUMIFS(T:T,P:P,"*/02/2026")),"")</f>
        <v/>
      </c>
      <c r="M3" s="1">
        <f>IFERROR(SUMIFS(T:T,P:P,"*/02/2026")/(SUMIFS(R:R,P:P,"*/02/2026")+SUMIFS(S:S,P:P,"*/02/2026")+SUMIFS(T:T,P:P,"*/02/2026")),"")</f>
        <v/>
      </c>
      <c r="O3" t="n">
        <v>2</v>
      </c>
      <c r="P3" t="inlineStr">
        <is>
          <t>01/01/2026</t>
        </is>
      </c>
      <c r="Q3" t="inlineStr">
        <is>
          <t>CD</t>
        </is>
      </c>
      <c r="R3" t="n">
        <v>75</v>
      </c>
      <c r="S3" t="n">
        <v>69</v>
      </c>
      <c r="T3" t="n">
        <v>1293</v>
      </c>
    </row>
    <row r="4">
      <c r="A4" t="n">
        <v>3</v>
      </c>
      <c r="B4" t="inlineStr">
        <is>
          <t>02/04/2026</t>
        </is>
      </c>
      <c r="C4" t="inlineStr">
        <is>
          <t>CN</t>
        </is>
      </c>
      <c r="D4" t="n">
        <v>297</v>
      </c>
      <c r="E4" t="n">
        <v>731</v>
      </c>
      <c r="F4" t="n">
        <v>409</v>
      </c>
      <c r="H4" t="inlineStr">
        <is>
          <t>T3</t>
        </is>
      </c>
      <c r="I4" s="1" t="n">
        <v>0.48</v>
      </c>
      <c r="J4" s="1" t="n">
        <v>0.6776470588235293</v>
      </c>
      <c r="K4" s="1">
        <f>IFERROR(SUMIFS(S:S,P:P,"*/03/2026")/(SUMIFS(R:R,P:P,"*/03/2026")+SUMIFS(S:S,P:P,"*/03/2026")+SUMIFS(T:T,P:P,"*/03/2026")),"")</f>
        <v/>
      </c>
      <c r="L4" s="1">
        <f>IFERROR(SUMIFS(R:R,P:P,"*/03/2026")/(SUMIFS(R:R,P:P,"*/03/2026")+SUMIFS(S:S,P:P,"*/03/2026")+SUMIFS(T:T,P:P,"*/03/2026")),"")</f>
        <v/>
      </c>
      <c r="M4" s="1">
        <f>IFERROR(SUMIFS(T:T,P:P,"*/03/2026")/(SUMIFS(R:R,P:P,"*/03/2026")+SUMIFS(S:S,P:P,"*/03/2026")+SUMIFS(T:T,P:P,"*/03/2026")),"")</f>
        <v/>
      </c>
      <c r="O4" t="n">
        <v>3</v>
      </c>
      <c r="P4" t="inlineStr">
        <is>
          <t>02/01/2026</t>
        </is>
      </c>
      <c r="Q4" t="inlineStr">
        <is>
          <t>CN</t>
        </is>
      </c>
      <c r="R4" t="n">
        <v>375</v>
      </c>
      <c r="S4" t="n">
        <v>1061</v>
      </c>
      <c r="T4" t="n">
        <v>0</v>
      </c>
    </row>
    <row r="5">
      <c r="A5" t="n">
        <v>4</v>
      </c>
      <c r="B5" t="inlineStr">
        <is>
          <t>02/04/2026</t>
        </is>
      </c>
      <c r="C5" t="inlineStr">
        <is>
          <t>CD</t>
        </is>
      </c>
      <c r="D5" t="n">
        <v>250</v>
      </c>
      <c r="E5" t="n">
        <v>865</v>
      </c>
      <c r="F5" t="n">
        <v>321</v>
      </c>
      <c r="H5" t="inlineStr">
        <is>
          <t>T4</t>
        </is>
      </c>
      <c r="I5" s="1" t="n">
        <v>0.48</v>
      </c>
      <c r="J5" s="1" t="n">
        <v>0.6776470588235293</v>
      </c>
      <c r="K5" s="1">
        <f>IFERROR(SUMIFS(S:S,P:P,"*/04/2026")/(SUMIFS(R:R,P:P,"*/04/2026")+SUMIFS(S:S,P:P,"*/04/2026")+SUMIFS(T:T,P:P,"*/04/2026")),"")</f>
        <v/>
      </c>
      <c r="L5" s="1">
        <f>IFERROR(SUMIFS(R:R,P:P,"*/04/2026")/(SUMIFS(R:R,P:P,"*/04/2026")+SUMIFS(S:S,P:P,"*/04/2026")+SUMIFS(T:T,P:P,"*/04/2026")),"")</f>
        <v/>
      </c>
      <c r="M5" s="1">
        <f>IFERROR(SUMIFS(T:T,P:P,"*/04/2026")/(SUMIFS(R:R,P:P,"*/04/2026")+SUMIFS(S:S,P:P,"*/04/2026")+SUMIFS(T:T,P:P,"*/04/2026")),"")</f>
        <v/>
      </c>
      <c r="O5" t="n">
        <v>4</v>
      </c>
      <c r="P5" t="inlineStr">
        <is>
          <t>02/01/2026</t>
        </is>
      </c>
      <c r="Q5" t="inlineStr">
        <is>
          <t>CD</t>
        </is>
      </c>
      <c r="R5" t="n">
        <v>203</v>
      </c>
      <c r="S5" t="n">
        <v>513</v>
      </c>
      <c r="T5" t="n">
        <v>721</v>
      </c>
    </row>
    <row r="6">
      <c r="A6" t="n">
        <v>5</v>
      </c>
      <c r="B6" t="inlineStr">
        <is>
          <t>03/04/2026</t>
        </is>
      </c>
      <c r="C6" t="inlineStr">
        <is>
          <t>CN</t>
        </is>
      </c>
      <c r="D6" t="n">
        <v>303</v>
      </c>
      <c r="E6" t="n">
        <v>714</v>
      </c>
      <c r="F6" t="n">
        <v>421</v>
      </c>
      <c r="H6" t="inlineStr">
        <is>
          <t>T5</t>
        </is>
      </c>
      <c r="I6" s="1" t="n">
        <v>0.48</v>
      </c>
      <c r="J6" s="1" t="n">
        <v>0.6776470588235293</v>
      </c>
      <c r="K6" s="1">
        <f>IFERROR(SUMIFS(S:S,P:P,"*/05/2026")/(SUMIFS(R:R,P:P,"*/05/2026")+SUMIFS(S:S,P:P,"*/05/2026")+SUMIFS(T:T,P:P,"*/05/2026")),"")</f>
        <v/>
      </c>
      <c r="L6" s="1">
        <f>IFERROR(SUMIFS(R:R,P:P,"*/05/2026")/(SUMIFS(R:R,P:P,"*/05/2026")+SUMIFS(S:S,P:P,"*/05/2026")+SUMIFS(T:T,P:P,"*/05/2026")),"")</f>
        <v/>
      </c>
      <c r="M6" s="1">
        <f>IFERROR(SUMIFS(T:T,P:P,"*/05/2026")/(SUMIFS(R:R,P:P,"*/05/2026")+SUMIFS(S:S,P:P,"*/05/2026")+SUMIFS(T:T,P:P,"*/05/2026")),"")</f>
        <v/>
      </c>
      <c r="O6" t="n">
        <v>5</v>
      </c>
      <c r="P6" t="inlineStr">
        <is>
          <t>03/01/2026</t>
        </is>
      </c>
      <c r="Q6" t="inlineStr">
        <is>
          <t>CD</t>
        </is>
      </c>
      <c r="R6" t="n">
        <v>531</v>
      </c>
      <c r="S6" t="n">
        <v>1474</v>
      </c>
      <c r="T6" t="n">
        <v>330</v>
      </c>
    </row>
    <row r="7">
      <c r="A7" t="n">
        <v>6</v>
      </c>
      <c r="B7" t="inlineStr">
        <is>
          <t>03/04/2026</t>
        </is>
      </c>
      <c r="C7" t="inlineStr">
        <is>
          <t>CD</t>
        </is>
      </c>
      <c r="D7" t="n">
        <v>270</v>
      </c>
      <c r="E7" t="n">
        <v>739</v>
      </c>
      <c r="F7" t="n">
        <v>427</v>
      </c>
      <c r="H7" t="inlineStr">
        <is>
          <t>T6</t>
        </is>
      </c>
      <c r="I7" s="1" t="n">
        <v>0.48</v>
      </c>
      <c r="J7" s="1" t="n">
        <v>0.6776470588235293</v>
      </c>
      <c r="K7" s="1">
        <f>IFERROR(SUMIFS(S:S,P:P,"*/06/2026")/(SUMIFS(R:R,P:P,"*/06/2026")+SUMIFS(S:S,P:P,"*/06/2026")+SUMIFS(T:T,P:P,"*/06/2026")),"")</f>
        <v/>
      </c>
      <c r="L7" s="1">
        <f>IFERROR(SUMIFS(R:R,P:P,"*/06/2026")/(SUMIFS(R:R,P:P,"*/06/2026")+SUMIFS(S:S,P:P,"*/06/2026")+SUMIFS(T:T,P:P,"*/06/2026")),"")</f>
        <v/>
      </c>
      <c r="M7" s="1">
        <f>IFERROR(SUMIFS(T:T,P:P,"*/06/2026")/(SUMIFS(R:R,P:P,"*/06/2026")+SUMIFS(S:S,P:P,"*/06/2026")+SUMIFS(T:T,P:P,"*/06/2026")),"")</f>
        <v/>
      </c>
      <c r="O7" t="n">
        <v>6</v>
      </c>
      <c r="P7" t="inlineStr">
        <is>
          <t>04/01/2026</t>
        </is>
      </c>
      <c r="Q7" t="inlineStr">
        <is>
          <t>CN</t>
        </is>
      </c>
      <c r="R7" t="n">
        <v>0</v>
      </c>
      <c r="S7" t="n">
        <v>0</v>
      </c>
      <c r="T7" t="n">
        <v>1440</v>
      </c>
    </row>
    <row r="8">
      <c r="A8" t="n">
        <v>7</v>
      </c>
      <c r="B8" t="inlineStr">
        <is>
          <t>04/04/2026</t>
        </is>
      </c>
      <c r="C8" t="inlineStr">
        <is>
          <t>CN</t>
        </is>
      </c>
      <c r="D8" t="n">
        <v>326</v>
      </c>
      <c r="E8" t="n">
        <v>639</v>
      </c>
      <c r="F8" t="n">
        <v>471</v>
      </c>
      <c r="H8" t="inlineStr">
        <is>
          <t>T7</t>
        </is>
      </c>
      <c r="I8" s="1" t="n">
        <v>0.48</v>
      </c>
      <c r="J8" s="1" t="n">
        <v>0.6776470588235293</v>
      </c>
      <c r="K8" s="1">
        <f>IFERROR(SUMIFS(S:S,P:P,"*/07/2026")/(SUMIFS(R:R,P:P,"*/07/2026")+SUMIFS(S:S,P:P,"*/07/2026")+SUMIFS(T:T,P:P,"*/07/2026")),"")</f>
        <v/>
      </c>
      <c r="L8" s="1">
        <f>IFERROR(SUMIFS(R:R,P:P,"*/07/2026")/(SUMIFS(R:R,P:P,"*/07/2026")+SUMIFS(S:S,P:P,"*/07/2026")+SUMIFS(T:T,P:P,"*/07/2026")),"")</f>
        <v/>
      </c>
      <c r="M8" s="1">
        <f>IFERROR(SUMIFS(T:T,P:P,"*/07/2026")/(SUMIFS(R:R,P:P,"*/07/2026")+SUMIFS(S:S,P:P,"*/07/2026")+SUMIFS(T:T,P:P,"*/07/2026")),"")</f>
        <v/>
      </c>
      <c r="O8" t="n">
        <v>7</v>
      </c>
      <c r="P8" t="inlineStr">
        <is>
          <t>04/01/2026</t>
        </is>
      </c>
      <c r="Q8" t="inlineStr">
        <is>
          <t>CD</t>
        </is>
      </c>
      <c r="R8" t="n">
        <v>0</v>
      </c>
      <c r="S8" t="n">
        <v>0</v>
      </c>
      <c r="T8" t="n">
        <v>1440</v>
      </c>
    </row>
    <row r="9">
      <c r="A9" t="n">
        <v>8</v>
      </c>
      <c r="B9" t="inlineStr">
        <is>
          <t>04/04/2026</t>
        </is>
      </c>
      <c r="C9" t="inlineStr">
        <is>
          <t>CD</t>
        </is>
      </c>
      <c r="D9" t="n">
        <v>362</v>
      </c>
      <c r="E9" t="n">
        <v>559</v>
      </c>
      <c r="F9" t="n">
        <v>517</v>
      </c>
      <c r="H9" t="inlineStr">
        <is>
          <t>T8</t>
        </is>
      </c>
      <c r="I9" s="1" t="n">
        <v>0.48</v>
      </c>
      <c r="J9" s="1" t="n">
        <v>0.6776470588235293</v>
      </c>
      <c r="K9" s="1">
        <f>IFERROR(SUMIFS(S:S,P:P,"*/08/2026")/(SUMIFS(R:R,P:P,"*/08/2026")+SUMIFS(S:S,P:P,"*/08/2026")+SUMIFS(T:T,P:P,"*/08/2026")),"")</f>
        <v/>
      </c>
      <c r="L9" s="1">
        <f>IFERROR(SUMIFS(R:R,P:P,"*/08/2026")/(SUMIFS(R:R,P:P,"*/08/2026")+SUMIFS(S:S,P:P,"*/08/2026")+SUMIFS(T:T,P:P,"*/08/2026")),"")</f>
        <v/>
      </c>
      <c r="M9" s="1">
        <f>IFERROR(SUMIFS(T:T,P:P,"*/08/2026")/(SUMIFS(R:R,P:P,"*/08/2026")+SUMIFS(S:S,P:P,"*/08/2026")+SUMIFS(T:T,P:P,"*/08/2026")),"")</f>
        <v/>
      </c>
      <c r="O9" t="n">
        <v>8</v>
      </c>
      <c r="P9" t="inlineStr">
        <is>
          <t>05/01/2026</t>
        </is>
      </c>
      <c r="Q9" t="inlineStr">
        <is>
          <t>CN</t>
        </is>
      </c>
      <c r="R9" t="n">
        <v>324</v>
      </c>
      <c r="S9" t="n">
        <v>718</v>
      </c>
      <c r="T9" t="n">
        <v>394</v>
      </c>
    </row>
    <row r="10">
      <c r="A10" t="n">
        <v>9</v>
      </c>
      <c r="B10" t="inlineStr">
        <is>
          <t>05/04/2026</t>
        </is>
      </c>
      <c r="C10" t="inlineStr">
        <is>
          <t>CN</t>
        </is>
      </c>
      <c r="D10" t="n">
        <v>0</v>
      </c>
      <c r="E10" t="n">
        <v>0</v>
      </c>
      <c r="F10" t="n">
        <v>1440</v>
      </c>
      <c r="H10" t="inlineStr">
        <is>
          <t>T9</t>
        </is>
      </c>
      <c r="I10" s="1" t="n">
        <v>0.48</v>
      </c>
      <c r="J10" s="1" t="n">
        <v>0.6776470588235293</v>
      </c>
      <c r="K10" s="1">
        <f>IFERROR(SUMIFS(S:S,P:P,"*/09/2026")/(SUMIFS(R:R,P:P,"*/09/2026")+SUMIFS(S:S,P:P,"*/09/2026")+SUMIFS(T:T,P:P,"*/09/2026")),"")</f>
        <v/>
      </c>
      <c r="L10" s="1">
        <f>IFERROR(SUMIFS(R:R,P:P,"*/09/2026")/(SUMIFS(R:R,P:P,"*/09/2026")+SUMIFS(S:S,P:P,"*/09/2026")+SUMIFS(T:T,P:P,"*/09/2026")),"")</f>
        <v/>
      </c>
      <c r="M10" s="1">
        <f>IFERROR(SUMIFS(T:T,P:P,"*/09/2026")/(SUMIFS(R:R,P:P,"*/09/2026")+SUMIFS(S:S,P:P,"*/09/2026")+SUMIFS(T:T,P:P,"*/09/2026")),"")</f>
        <v/>
      </c>
      <c r="O10" t="n">
        <v>9</v>
      </c>
      <c r="P10" t="inlineStr">
        <is>
          <t>05/01/2026</t>
        </is>
      </c>
      <c r="Q10" t="inlineStr">
        <is>
          <t>CD</t>
        </is>
      </c>
      <c r="R10" t="n">
        <v>361</v>
      </c>
      <c r="S10" t="n">
        <v>758</v>
      </c>
      <c r="T10" t="n">
        <v>302</v>
      </c>
    </row>
    <row r="11">
      <c r="A11" t="n">
        <v>10</v>
      </c>
      <c r="B11" t="inlineStr">
        <is>
          <t>05/04/2026</t>
        </is>
      </c>
      <c r="C11" t="inlineStr">
        <is>
          <t>CD</t>
        </is>
      </c>
      <c r="D11" t="n">
        <v>0</v>
      </c>
      <c r="E11" t="n">
        <v>0</v>
      </c>
      <c r="F11" t="n">
        <v>1440</v>
      </c>
      <c r="H11" t="inlineStr">
        <is>
          <t>T10</t>
        </is>
      </c>
      <c r="I11" s="1" t="n">
        <v>0.48</v>
      </c>
      <c r="J11" s="1" t="n">
        <v>0.6776470588235293</v>
      </c>
      <c r="K11" s="1">
        <f>IFERROR(SUMIFS(S:S,P:P,"*/10/2026")/(SUMIFS(R:R,P:P,"*/10/2026")+SUMIFS(S:S,P:P,"*/10/2026")+SUMIFS(T:T,P:P,"*/10/2026")),"")</f>
        <v/>
      </c>
      <c r="L11" s="1">
        <f>IFERROR(SUMIFS(R:R,P:P,"*/10/2026")/(SUMIFS(R:R,P:P,"*/10/2026")+SUMIFS(S:S,P:P,"*/10/2026")+SUMIFS(T:T,P:P,"*/10/2026")),"")</f>
        <v/>
      </c>
      <c r="M11" s="1">
        <f>IFERROR(SUMIFS(T:T,P:P,"*/10/2026")/(SUMIFS(R:R,P:P,"*/10/2026")+SUMIFS(S:S,P:P,"*/10/2026")+SUMIFS(T:T,P:P,"*/10/2026")),"")</f>
        <v/>
      </c>
      <c r="O11" t="n">
        <v>10</v>
      </c>
      <c r="P11" t="inlineStr">
        <is>
          <t>06/01/2026</t>
        </is>
      </c>
      <c r="Q11" t="inlineStr">
        <is>
          <t>CN</t>
        </is>
      </c>
      <c r="R11" t="n">
        <v>382</v>
      </c>
      <c r="S11" t="n">
        <v>638</v>
      </c>
      <c r="T11" t="n">
        <v>416</v>
      </c>
    </row>
    <row r="12">
      <c r="A12" t="n">
        <v>11</v>
      </c>
      <c r="B12" t="inlineStr">
        <is>
          <t>06/04/2026</t>
        </is>
      </c>
      <c r="C12" t="inlineStr">
        <is>
          <t>CN</t>
        </is>
      </c>
      <c r="D12" t="n">
        <v>339</v>
      </c>
      <c r="E12" t="n">
        <v>692</v>
      </c>
      <c r="F12" t="n">
        <v>406</v>
      </c>
      <c r="H12" t="inlineStr">
        <is>
          <t>T11</t>
        </is>
      </c>
      <c r="I12" s="1" t="n">
        <v>0.48</v>
      </c>
      <c r="J12" s="1" t="n">
        <v>0.6776470588235293</v>
      </c>
      <c r="K12" s="1">
        <f>IFERROR(SUMIFS(S:S,P:P,"*/11/2026")/(SUMIFS(R:R,P:P,"*/11/2026")+SUMIFS(S:S,P:P,"*/11/2026")+SUMIFS(T:T,P:P,"*/11/2026")),"")</f>
        <v/>
      </c>
      <c r="L12" s="1">
        <f>IFERROR(SUMIFS(R:R,P:P,"*/11/2026")/(SUMIFS(R:R,P:P,"*/11/2026")+SUMIFS(S:S,P:P,"*/11/2026")+SUMIFS(T:T,P:P,"*/11/2026")),"")</f>
        <v/>
      </c>
      <c r="M12" s="1">
        <f>IFERROR(SUMIFS(T:T,P:P,"*/11/2026")/(SUMIFS(R:R,P:P,"*/11/2026")+SUMIFS(S:S,P:P,"*/11/2026")+SUMIFS(T:T,P:P,"*/11/2026")),"")</f>
        <v/>
      </c>
      <c r="O12" t="n">
        <v>11</v>
      </c>
      <c r="P12" t="inlineStr">
        <is>
          <t>06/01/2026</t>
        </is>
      </c>
      <c r="Q12" t="inlineStr">
        <is>
          <t>CD</t>
        </is>
      </c>
      <c r="R12" t="n">
        <v>422</v>
      </c>
      <c r="S12" t="n">
        <v>710</v>
      </c>
      <c r="T12" t="n">
        <v>305</v>
      </c>
    </row>
    <row r="13">
      <c r="A13" t="n">
        <v>12</v>
      </c>
      <c r="B13" t="inlineStr">
        <is>
          <t>06/04/2026</t>
        </is>
      </c>
      <c r="C13" t="inlineStr">
        <is>
          <t>CD</t>
        </is>
      </c>
      <c r="D13" t="n">
        <v>221</v>
      </c>
      <c r="E13" t="n">
        <v>896</v>
      </c>
      <c r="F13" t="n">
        <v>319</v>
      </c>
      <c r="H13" t="inlineStr">
        <is>
          <t>T12</t>
        </is>
      </c>
      <c r="I13" s="1" t="n">
        <v>0.48</v>
      </c>
      <c r="J13" s="1" t="n">
        <v>0.6776470588235293</v>
      </c>
      <c r="K13" s="1">
        <f>IFERROR(SUMIFS(S:S,P:P,"*/12/2026")/(SUMIFS(R:R,P:P,"*/12/2026")+SUMIFS(S:S,P:P,"*/12/2026")+SUMIFS(T:T,P:P,"*/12/2026")),"")</f>
        <v/>
      </c>
      <c r="L13" s="1">
        <f>IFERROR(SUMIFS(R:R,P:P,"*/12/2026")/(SUMIFS(R:R,P:P,"*/12/2026")+SUMIFS(S:S,P:P,"*/12/2026")+SUMIFS(T:T,P:P,"*/12/2026")),"")</f>
        <v/>
      </c>
      <c r="M13" s="1">
        <f>IFERROR(SUMIFS(T:T,P:P,"*/12/2026")/(SUMIFS(R:R,P:P,"*/12/2026")+SUMIFS(S:S,P:P,"*/12/2026")+SUMIFS(T:T,P:P,"*/12/2026")),"")</f>
        <v/>
      </c>
      <c r="O13" t="n">
        <v>12</v>
      </c>
      <c r="P13" t="inlineStr">
        <is>
          <t>07/01/2026</t>
        </is>
      </c>
      <c r="Q13" t="inlineStr">
        <is>
          <t>CN</t>
        </is>
      </c>
      <c r="R13" t="n">
        <v>105</v>
      </c>
      <c r="S13" t="n">
        <v>151</v>
      </c>
      <c r="T13" t="n">
        <v>1181</v>
      </c>
    </row>
    <row r="14">
      <c r="A14" t="n">
        <v>13</v>
      </c>
      <c r="B14" t="inlineStr">
        <is>
          <t>07/04/2026</t>
        </is>
      </c>
      <c r="C14" t="inlineStr">
        <is>
          <t>CN</t>
        </is>
      </c>
      <c r="D14" t="n">
        <v>392</v>
      </c>
      <c r="E14" t="n">
        <v>638</v>
      </c>
      <c r="F14" t="n">
        <v>407</v>
      </c>
      <c r="H14">
        <f>IF(B2="","",TEXT(B2,"dd/mm")&amp; "-" &amp;IF(UPPER(TRIM(C2))="CN",1,IF(UPPER(TRIM(C2))="CD",2,"")))</f>
        <v/>
      </c>
      <c r="I14" s="1" t="n">
        <v>0.48</v>
      </c>
      <c r="J14" s="1" t="n">
        <v>0.6776470588235293</v>
      </c>
      <c r="K14" s="1">
        <f>IFERROR($E2/SUM($D2:$F2),"")</f>
        <v/>
      </c>
      <c r="L14" s="1">
        <f>IFERROR($D2/SUM($D2:$F2),"")</f>
        <v/>
      </c>
      <c r="M14" s="1">
        <f>IFERROR($F2/SUM($D2:$F2),"")</f>
        <v/>
      </c>
      <c r="O14" t="n">
        <v>13</v>
      </c>
      <c r="P14" t="inlineStr">
        <is>
          <t>07/01/2026</t>
        </is>
      </c>
      <c r="Q14" t="inlineStr">
        <is>
          <t>CD</t>
        </is>
      </c>
      <c r="R14" t="n">
        <v>0</v>
      </c>
      <c r="S14" t="n">
        <v>0</v>
      </c>
      <c r="T14" t="n">
        <v>1440</v>
      </c>
    </row>
    <row r="15">
      <c r="A15" t="n">
        <v>14</v>
      </c>
      <c r="B15" t="inlineStr">
        <is>
          <t>07/04/2026</t>
        </is>
      </c>
      <c r="C15" t="inlineStr">
        <is>
          <t>CD</t>
        </is>
      </c>
      <c r="D15" t="n">
        <v>317</v>
      </c>
      <c r="E15" t="n">
        <v>799</v>
      </c>
      <c r="F15" t="n">
        <v>321</v>
      </c>
      <c r="H15">
        <f>IF(B3="","",TEXT(B3,"dd/mm") &amp; "-" &amp; IF(UPPER(TRIM(C3))="CN",1,IF(UPPER(TRIM(C3))="CD",2,"")))</f>
        <v/>
      </c>
      <c r="I15" s="1" t="n">
        <v>0.48</v>
      </c>
      <c r="J15" s="1" t="n">
        <v>0.6776470588235293</v>
      </c>
      <c r="K15" s="1">
        <f>IFERROR($E3/SUM($D3:$F3),"")</f>
        <v/>
      </c>
      <c r="L15" s="1">
        <f>IFERROR($D3/SUM($D3:$F3),"")</f>
        <v/>
      </c>
      <c r="M15" s="1">
        <f>IFERROR($F3/SUM($D3:$F3),"")</f>
        <v/>
      </c>
      <c r="O15" t="n">
        <v>14</v>
      </c>
      <c r="P15" t="inlineStr">
        <is>
          <t>08/01/2026</t>
        </is>
      </c>
      <c r="Q15" t="inlineStr">
        <is>
          <t>CN</t>
        </is>
      </c>
      <c r="R15" t="n">
        <v>306</v>
      </c>
      <c r="S15" t="n">
        <v>726</v>
      </c>
      <c r="T15" t="n">
        <v>405</v>
      </c>
    </row>
    <row r="16">
      <c r="A16" t="n">
        <v>15</v>
      </c>
      <c r="B16" t="inlineStr">
        <is>
          <t>08/04/2026</t>
        </is>
      </c>
      <c r="C16" t="inlineStr">
        <is>
          <t>CN</t>
        </is>
      </c>
      <c r="D16" t="n">
        <v>380</v>
      </c>
      <c r="E16" t="n">
        <v>652</v>
      </c>
      <c r="F16" t="n">
        <v>404</v>
      </c>
      <c r="H16">
        <f>IF(B4="","",TEXT(B4,"dd/mm") &amp; "-" &amp; IF(UPPER(TRIM(C4))="CN",1,IF(UPPER(TRIM(C4))="CD",2,"")))</f>
        <v/>
      </c>
      <c r="I16" s="1" t="n">
        <v>0.48</v>
      </c>
      <c r="J16" s="1" t="n">
        <v>0.6776470588235293</v>
      </c>
      <c r="K16" s="1">
        <f>IFERROR($E4/SUM($D4:$F4),"")</f>
        <v/>
      </c>
      <c r="L16" s="1">
        <f>IFERROR($D4/SUM($D4:$F4),"")</f>
        <v/>
      </c>
      <c r="M16" s="1">
        <f>IFERROR($F4/SUM($D4:$F4),"")</f>
        <v/>
      </c>
      <c r="O16" t="n">
        <v>15</v>
      </c>
      <c r="P16" t="inlineStr">
        <is>
          <t>08/01/2026</t>
        </is>
      </c>
      <c r="Q16" t="inlineStr">
        <is>
          <t>CD</t>
        </is>
      </c>
      <c r="R16" t="n">
        <v>375</v>
      </c>
      <c r="S16" t="n">
        <v>751</v>
      </c>
      <c r="T16" t="n">
        <v>311</v>
      </c>
    </row>
    <row r="17">
      <c r="A17" t="n">
        <v>16</v>
      </c>
      <c r="B17" t="inlineStr">
        <is>
          <t>08/04/2026</t>
        </is>
      </c>
      <c r="C17" t="inlineStr">
        <is>
          <t>CD</t>
        </is>
      </c>
      <c r="D17" t="n">
        <v>213</v>
      </c>
      <c r="E17" t="n">
        <v>908</v>
      </c>
      <c r="F17" t="n">
        <v>317</v>
      </c>
      <c r="H17">
        <f>IF(B5="","",TEXT(B5,"dd/mm") &amp; "-" &amp; IF(UPPER(TRIM(C5))="CN",1,IF(UPPER(TRIM(C5))="CD",2,"")))</f>
        <v/>
      </c>
      <c r="I17" s="1" t="n">
        <v>0.48</v>
      </c>
      <c r="J17" s="1" t="n">
        <v>0.6776470588235293</v>
      </c>
      <c r="K17" s="1">
        <f>IFERROR($E5/SUM($D5:$F5),"")</f>
        <v/>
      </c>
      <c r="L17" s="1">
        <f>IFERROR($D5/SUM($D5:$F5),"")</f>
        <v/>
      </c>
      <c r="M17" s="1">
        <f>IFERROR($F5/SUM($D5:$F5),"")</f>
        <v/>
      </c>
      <c r="O17" t="n">
        <v>16</v>
      </c>
      <c r="P17" t="inlineStr">
        <is>
          <t>09/01/2026</t>
        </is>
      </c>
      <c r="Q17" t="inlineStr">
        <is>
          <t>CN</t>
        </is>
      </c>
      <c r="R17" t="n">
        <v>385</v>
      </c>
      <c r="S17" t="n">
        <v>645</v>
      </c>
      <c r="T17" t="n">
        <v>405</v>
      </c>
    </row>
    <row r="18">
      <c r="A18" t="n">
        <v>17</v>
      </c>
      <c r="B18" t="inlineStr">
        <is>
          <t>09/04/2026</t>
        </is>
      </c>
      <c r="C18" t="inlineStr">
        <is>
          <t>CN</t>
        </is>
      </c>
      <c r="D18" t="n">
        <v>265</v>
      </c>
      <c r="E18" t="n">
        <v>766</v>
      </c>
      <c r="F18" t="n">
        <v>405</v>
      </c>
      <c r="H18">
        <f>IF(B6="","",TEXT(B6,"dd/mm") &amp; "-" &amp; IF(UPPER(TRIM(C6))="CN",1,IF(UPPER(TRIM(C6))="CD",2,"")))</f>
        <v/>
      </c>
      <c r="I18" s="1" t="n">
        <v>0.48</v>
      </c>
      <c r="J18" s="1" t="n">
        <v>0.6776470588235293</v>
      </c>
      <c r="K18" s="1">
        <f>IFERROR($E6/SUM($D6:$F6),"")</f>
        <v/>
      </c>
      <c r="L18" s="1">
        <f>IFERROR($D6/SUM($D6:$F6),"")</f>
        <v/>
      </c>
      <c r="M18" s="1">
        <f>IFERROR($F6/SUM($D6:$F6),"")</f>
        <v/>
      </c>
      <c r="O18" t="n">
        <v>17</v>
      </c>
      <c r="P18" t="inlineStr">
        <is>
          <t>09/01/2026</t>
        </is>
      </c>
      <c r="Q18" t="inlineStr">
        <is>
          <t>CD</t>
        </is>
      </c>
      <c r="R18" t="n">
        <v>480</v>
      </c>
      <c r="S18" t="n">
        <v>641</v>
      </c>
      <c r="T18" t="n">
        <v>314</v>
      </c>
    </row>
    <row r="19">
      <c r="A19" t="n">
        <v>18</v>
      </c>
      <c r="B19" t="inlineStr">
        <is>
          <t>09/04/2026</t>
        </is>
      </c>
      <c r="C19" t="inlineStr">
        <is>
          <t>CD</t>
        </is>
      </c>
      <c r="D19" t="n">
        <v>354</v>
      </c>
      <c r="E19" t="n">
        <v>769</v>
      </c>
      <c r="F19" t="n">
        <v>315</v>
      </c>
      <c r="H19">
        <f>IF(B7="","",TEXT(B7,"dd/mm") &amp; "-" &amp; IF(UPPER(TRIM(C7))="CN",1,IF(UPPER(TRIM(C7))="CD",2,"")))</f>
        <v/>
      </c>
      <c r="I19" s="1" t="n">
        <v>0.48</v>
      </c>
      <c r="J19" s="1" t="n">
        <v>0.6776470588235293</v>
      </c>
      <c r="K19" s="1">
        <f>IFERROR($E7/SUM($D7:$F7),"")</f>
        <v/>
      </c>
      <c r="L19" s="1">
        <f>IFERROR($D7/SUM($D7:$F7),"")</f>
        <v/>
      </c>
      <c r="M19" s="1">
        <f>IFERROR($F7/SUM($D7:$F7),"")</f>
        <v/>
      </c>
      <c r="O19" t="n">
        <v>18</v>
      </c>
      <c r="P19" t="inlineStr">
        <is>
          <t>10/01/2026</t>
        </is>
      </c>
      <c r="Q19" t="inlineStr">
        <is>
          <t>CN</t>
        </is>
      </c>
      <c r="R19" t="n">
        <v>375</v>
      </c>
      <c r="S19" t="n">
        <v>577</v>
      </c>
      <c r="T19" t="n">
        <v>485</v>
      </c>
    </row>
    <row r="20">
      <c r="A20" t="n">
        <v>19</v>
      </c>
      <c r="B20" t="inlineStr">
        <is>
          <t>10/04/2026</t>
        </is>
      </c>
      <c r="C20" t="inlineStr">
        <is>
          <t>CN</t>
        </is>
      </c>
      <c r="D20" t="n">
        <v>304</v>
      </c>
      <c r="E20" t="n">
        <v>730</v>
      </c>
      <c r="F20" t="n">
        <v>403</v>
      </c>
      <c r="H20">
        <f>IF(B8="","",TEXT(B8,"dd/mm") &amp; "-" &amp; IF(UPPER(TRIM(C8))="CN",1,IF(UPPER(TRIM(C8))="CD",2,"")))</f>
        <v/>
      </c>
      <c r="I20" s="1" t="n">
        <v>0.48</v>
      </c>
      <c r="J20" s="1" t="n">
        <v>0.6776470588235293</v>
      </c>
      <c r="K20" s="1">
        <f>IFERROR($E8/SUM($D8:$F8),"")</f>
        <v/>
      </c>
      <c r="L20" s="1">
        <f>IFERROR($D8/SUM($D8:$F8),"")</f>
        <v/>
      </c>
      <c r="M20" s="1">
        <f>IFERROR($F8/SUM($D8:$F8),"")</f>
        <v/>
      </c>
      <c r="O20" t="n">
        <v>19</v>
      </c>
      <c r="P20" t="inlineStr">
        <is>
          <t>10/01/2026</t>
        </is>
      </c>
      <c r="Q20" t="inlineStr">
        <is>
          <t>CD</t>
        </is>
      </c>
      <c r="R20" t="n">
        <v>0</v>
      </c>
      <c r="S20" t="n">
        <v>0</v>
      </c>
      <c r="T20" t="n">
        <v>1440</v>
      </c>
    </row>
    <row r="21">
      <c r="A21" t="n">
        <v>20</v>
      </c>
      <c r="B21" t="inlineStr">
        <is>
          <t>10/04/2026</t>
        </is>
      </c>
      <c r="C21" t="inlineStr">
        <is>
          <t>CD</t>
        </is>
      </c>
      <c r="D21" t="n">
        <v>257</v>
      </c>
      <c r="E21" t="n">
        <v>868</v>
      </c>
      <c r="F21" t="n">
        <v>311</v>
      </c>
      <c r="H21">
        <f>IF(B9="","",TEXT(B9,"dd/mm") &amp; "-" &amp; IF(UPPER(TRIM(C9))="CN",1,IF(UPPER(TRIM(C9))="CD",2,"")))</f>
        <v/>
      </c>
      <c r="I21" s="1" t="n">
        <v>0.48</v>
      </c>
      <c r="J21" s="1" t="n">
        <v>0.6776470588235293</v>
      </c>
      <c r="K21" s="1">
        <f>IFERROR($E9/SUM($D9:$F9),"")</f>
        <v/>
      </c>
      <c r="L21" s="1">
        <f>IFERROR($D9/SUM($D9:$F9),"")</f>
        <v/>
      </c>
      <c r="M21" s="1">
        <f>IFERROR($F9/SUM($D9:$F9),"")</f>
        <v/>
      </c>
      <c r="O21" t="n">
        <v>20</v>
      </c>
      <c r="P21" t="inlineStr">
        <is>
          <t>11/01/2026</t>
        </is>
      </c>
      <c r="Q21" t="inlineStr">
        <is>
          <t>CN</t>
        </is>
      </c>
      <c r="R21" t="n">
        <v>0</v>
      </c>
      <c r="S21" t="n">
        <v>0</v>
      </c>
      <c r="T21" t="n">
        <v>1440</v>
      </c>
    </row>
    <row r="22">
      <c r="A22" t="n">
        <v>21</v>
      </c>
      <c r="B22" t="inlineStr">
        <is>
          <t>11/04/2026</t>
        </is>
      </c>
      <c r="C22" t="inlineStr">
        <is>
          <t>CN</t>
        </is>
      </c>
      <c r="D22" t="n">
        <v>235</v>
      </c>
      <c r="E22" t="n">
        <v>724</v>
      </c>
      <c r="F22" t="n">
        <v>478</v>
      </c>
      <c r="H22">
        <f>IF(B10="","",TEXT(B10,"dd/mm") &amp; "-" &amp; IF(UPPER(TRIM(C10))="CN",1,IF(UPPER(TRIM(C10))="CD",2,"")))</f>
        <v/>
      </c>
      <c r="I22" s="1" t="n">
        <v>0.48</v>
      </c>
      <c r="J22" s="1" t="n">
        <v>0.6776470588235293</v>
      </c>
      <c r="K22" s="1">
        <f>IFERROR($E10/SUM($D10:$F10),"")</f>
        <v/>
      </c>
      <c r="L22" s="1">
        <f>IFERROR($D10/SUM($D10:$F10),"")</f>
        <v/>
      </c>
      <c r="M22" s="1">
        <f>IFERROR($F10/SUM($D10:$F10),"")</f>
        <v/>
      </c>
      <c r="O22" t="n">
        <v>21</v>
      </c>
      <c r="P22" t="inlineStr">
        <is>
          <t>11/01/2026</t>
        </is>
      </c>
      <c r="Q22" t="inlineStr">
        <is>
          <t>CD</t>
        </is>
      </c>
      <c r="R22" t="n">
        <v>0</v>
      </c>
      <c r="S22" t="n">
        <v>0</v>
      </c>
      <c r="T22" t="n">
        <v>1441</v>
      </c>
    </row>
    <row r="23">
      <c r="A23" t="n">
        <v>22</v>
      </c>
      <c r="B23" t="inlineStr">
        <is>
          <t>11/04/2026</t>
        </is>
      </c>
      <c r="C23" t="inlineStr">
        <is>
          <t>CD</t>
        </is>
      </c>
      <c r="D23" t="n">
        <v>235</v>
      </c>
      <c r="E23" t="n">
        <v>695</v>
      </c>
      <c r="F23" t="n">
        <v>506</v>
      </c>
      <c r="H23">
        <f>IF(B11="","",TEXT(B11,"dd/mm") &amp; "-" &amp; IF(UPPER(TRIM(C11))="CN",1,IF(UPPER(TRIM(C11))="CD",2,"")))</f>
        <v/>
      </c>
      <c r="I23" s="1" t="n">
        <v>0.48</v>
      </c>
      <c r="J23" s="1" t="n">
        <v>0.6776470588235293</v>
      </c>
      <c r="K23" s="1">
        <f>IFERROR($E11/SUM($D11:$F11),"")</f>
        <v/>
      </c>
      <c r="L23" s="1">
        <f>IFERROR($D11/SUM($D11:$F11),"")</f>
        <v/>
      </c>
      <c r="M23" s="1">
        <f>IFERROR($F11/SUM($D11:$F11),"")</f>
        <v/>
      </c>
      <c r="O23" t="n">
        <v>22</v>
      </c>
      <c r="P23" t="inlineStr">
        <is>
          <t>12/01/2026</t>
        </is>
      </c>
      <c r="Q23" t="inlineStr">
        <is>
          <t>CN</t>
        </is>
      </c>
      <c r="R23" t="n">
        <v>361</v>
      </c>
      <c r="S23" t="n">
        <v>651</v>
      </c>
      <c r="T23" t="n">
        <v>424</v>
      </c>
    </row>
    <row r="24">
      <c r="A24" t="n">
        <v>23</v>
      </c>
      <c r="B24" t="inlineStr">
        <is>
          <t>12/04/2026</t>
        </is>
      </c>
      <c r="C24" t="inlineStr">
        <is>
          <t>CN</t>
        </is>
      </c>
      <c r="D24" t="n">
        <v>0</v>
      </c>
      <c r="E24" t="n">
        <v>0</v>
      </c>
      <c r="F24" t="n">
        <v>1440</v>
      </c>
      <c r="H24">
        <f>IF(B12="","",TEXT(B12,"dd/mm") &amp; "-" &amp; IF(UPPER(TRIM(C12))="CN",1,IF(UPPER(TRIM(C12))="CD",2,"")))</f>
        <v/>
      </c>
      <c r="I24" s="1" t="n">
        <v>0.48</v>
      </c>
      <c r="J24" s="1" t="n">
        <v>0.6776470588235293</v>
      </c>
      <c r="K24" s="1">
        <f>IFERROR($E12/SUM($D12:$F12),"")</f>
        <v/>
      </c>
      <c r="L24" s="1">
        <f>IFERROR($D12/SUM($D12:$F12),"")</f>
        <v/>
      </c>
      <c r="M24" s="1">
        <f>IFERROR($F12/SUM($D12:$F12),"")</f>
        <v/>
      </c>
      <c r="O24" t="n">
        <v>23</v>
      </c>
      <c r="P24" t="inlineStr">
        <is>
          <t>12/01/2026</t>
        </is>
      </c>
      <c r="Q24" t="inlineStr">
        <is>
          <t>CD</t>
        </is>
      </c>
      <c r="R24" t="n">
        <v>429</v>
      </c>
      <c r="S24" t="n">
        <v>691</v>
      </c>
      <c r="T24" t="n">
        <v>316</v>
      </c>
    </row>
    <row r="25">
      <c r="A25" t="n">
        <v>24</v>
      </c>
      <c r="B25" t="inlineStr">
        <is>
          <t>12/04/2026</t>
        </is>
      </c>
      <c r="C25" t="inlineStr">
        <is>
          <t>CD</t>
        </is>
      </c>
      <c r="D25" t="n">
        <v>0</v>
      </c>
      <c r="E25" t="n">
        <v>0</v>
      </c>
      <c r="F25" t="n">
        <v>1440</v>
      </c>
      <c r="H25">
        <f>IF(B13="","",TEXT(B13,"dd/mm") &amp; "-" &amp; IF(UPPER(TRIM(C13))="CN",1,IF(UPPER(TRIM(C13))="CD",2,"")))</f>
        <v/>
      </c>
      <c r="I25" s="1" t="n">
        <v>0.48</v>
      </c>
      <c r="J25" s="1" t="n">
        <v>0.6776470588235293</v>
      </c>
      <c r="K25" s="1">
        <f>IFERROR($E13/SUM($D13:$F13),"")</f>
        <v/>
      </c>
      <c r="L25" s="1">
        <f>IFERROR($D13/SUM($D13:$F13),"")</f>
        <v/>
      </c>
      <c r="M25" s="1">
        <f>IFERROR($F13/SUM($D13:$F13),"")</f>
        <v/>
      </c>
      <c r="O25" t="n">
        <v>24</v>
      </c>
      <c r="P25" t="inlineStr">
        <is>
          <t>13/01/2026</t>
        </is>
      </c>
      <c r="Q25" t="inlineStr">
        <is>
          <t>CN</t>
        </is>
      </c>
      <c r="R25" t="n">
        <v>342</v>
      </c>
      <c r="S25" t="n">
        <v>686</v>
      </c>
      <c r="T25" t="n">
        <v>408</v>
      </c>
    </row>
    <row r="26">
      <c r="A26" t="n">
        <v>25</v>
      </c>
      <c r="B26" t="inlineStr">
        <is>
          <t>13/04/2026</t>
        </is>
      </c>
      <c r="C26" t="inlineStr">
        <is>
          <t>CN</t>
        </is>
      </c>
      <c r="D26" t="n">
        <v>342</v>
      </c>
      <c r="E26" t="n">
        <v>689</v>
      </c>
      <c r="F26" t="n">
        <v>406</v>
      </c>
      <c r="H26">
        <f>IF(B14="","",TEXT(B14,"dd/mm") &amp; "-" &amp; IF(UPPER(TRIM(C14))="CN",1,IF(UPPER(TRIM(C14))="CD",2,"")))</f>
        <v/>
      </c>
      <c r="I26" s="1" t="n">
        <v>0.48</v>
      </c>
      <c r="J26" s="1" t="n">
        <v>0.6776470588235293</v>
      </c>
      <c r="K26" s="1">
        <f>IFERROR($E14/SUM($D14:$F14),"")</f>
        <v/>
      </c>
      <c r="L26" s="1">
        <f>IFERROR($D14/SUM($D14:$F14),"")</f>
        <v/>
      </c>
      <c r="M26" s="1">
        <f>IFERROR($F14/SUM($D14:$F14),"")</f>
        <v/>
      </c>
      <c r="O26" t="n">
        <v>25</v>
      </c>
      <c r="P26" t="inlineStr">
        <is>
          <t>13/01/2026</t>
        </is>
      </c>
      <c r="Q26" t="inlineStr">
        <is>
          <t>CD</t>
        </is>
      </c>
      <c r="R26" t="n">
        <v>445</v>
      </c>
      <c r="S26" t="n">
        <v>685</v>
      </c>
      <c r="T26" t="n">
        <v>307</v>
      </c>
    </row>
    <row r="27">
      <c r="A27" t="n">
        <v>26</v>
      </c>
      <c r="B27" t="inlineStr">
        <is>
          <t>13/04/2026</t>
        </is>
      </c>
      <c r="C27" t="inlineStr">
        <is>
          <t>CD</t>
        </is>
      </c>
      <c r="D27" t="n">
        <v>348</v>
      </c>
      <c r="E27" t="n">
        <v>771</v>
      </c>
      <c r="F27" t="n">
        <v>318</v>
      </c>
      <c r="H27">
        <f>IF(B15="","",TEXT(B15,"dd/mm") &amp; "-" &amp; IF(UPPER(TRIM(C15))="CN",1,IF(UPPER(TRIM(C15))="CD",2,"")))</f>
        <v/>
      </c>
      <c r="I27" s="1" t="n">
        <v>0.48</v>
      </c>
      <c r="J27" s="1" t="n">
        <v>0.6776470588235293</v>
      </c>
      <c r="K27" s="1">
        <f>IFERROR($E15/SUM($D15:$F15),"")</f>
        <v/>
      </c>
      <c r="L27" s="1">
        <f>IFERROR($D15/SUM($D15:$F15),"")</f>
        <v/>
      </c>
      <c r="M27" s="1">
        <f>IFERROR($F15/SUM($D15:$F15),"")</f>
        <v/>
      </c>
      <c r="O27" t="n">
        <v>26</v>
      </c>
      <c r="P27" t="inlineStr">
        <is>
          <t>14/01/2026</t>
        </is>
      </c>
      <c r="Q27" t="inlineStr">
        <is>
          <t>CN</t>
        </is>
      </c>
      <c r="R27" t="n">
        <v>425</v>
      </c>
      <c r="S27" t="n">
        <v>600</v>
      </c>
      <c r="T27" t="n">
        <v>410</v>
      </c>
    </row>
    <row r="28">
      <c r="A28" t="n">
        <v>27</v>
      </c>
      <c r="B28" t="inlineStr">
        <is>
          <t>14/04/2026</t>
        </is>
      </c>
      <c r="C28" t="inlineStr">
        <is>
          <t>CN</t>
        </is>
      </c>
      <c r="D28" t="n">
        <v>310</v>
      </c>
      <c r="E28" t="n">
        <v>723</v>
      </c>
      <c r="F28" t="n">
        <v>403</v>
      </c>
      <c r="H28">
        <f>IF(B16="","",TEXT(B16,"dd/mm") &amp; "-" &amp; IF(UPPER(TRIM(C16))="CN",1,IF(UPPER(TRIM(C16))="CD",2,"")))</f>
        <v/>
      </c>
      <c r="I28" s="1" t="n">
        <v>0.48</v>
      </c>
      <c r="J28" s="1" t="n">
        <v>0.6776470588235293</v>
      </c>
      <c r="K28" s="1">
        <f>IFERROR($E16/SUM($D16:$F16),"")</f>
        <v/>
      </c>
      <c r="L28" s="1">
        <f>IFERROR($D16/SUM($D16:$F16),"")</f>
        <v/>
      </c>
      <c r="M28" s="1">
        <f>IFERROR($F16/SUM($D16:$F16),"")</f>
        <v/>
      </c>
      <c r="O28" t="n">
        <v>27</v>
      </c>
      <c r="P28" t="inlineStr">
        <is>
          <t>14/01/2026</t>
        </is>
      </c>
      <c r="Q28" t="inlineStr">
        <is>
          <t>CD</t>
        </is>
      </c>
      <c r="R28" t="n">
        <v>491</v>
      </c>
      <c r="S28" t="n">
        <v>630</v>
      </c>
      <c r="T28" t="n">
        <v>315</v>
      </c>
    </row>
    <row r="29">
      <c r="A29" t="n">
        <v>28</v>
      </c>
      <c r="B29" t="inlineStr">
        <is>
          <t>14/04/2026</t>
        </is>
      </c>
      <c r="C29" t="inlineStr">
        <is>
          <t>CD</t>
        </is>
      </c>
      <c r="D29" t="n">
        <v>363</v>
      </c>
      <c r="E29" t="n">
        <v>753</v>
      </c>
      <c r="F29" t="n">
        <v>320</v>
      </c>
      <c r="H29">
        <f>IF(B17="","",TEXT(B17,"dd/mm") &amp; "-" &amp; IF(UPPER(TRIM(C17))="CN",1,IF(UPPER(TRIM(C17))="CD",2,"")))</f>
        <v/>
      </c>
      <c r="I29" s="1" t="n">
        <v>0.48</v>
      </c>
      <c r="J29" s="1" t="n">
        <v>0.6776470588235293</v>
      </c>
      <c r="K29" s="1">
        <f>IFERROR($E17/SUM($D17:$F17),"")</f>
        <v/>
      </c>
      <c r="L29" s="1">
        <f>IFERROR($D17/SUM($D17:$F17),"")</f>
        <v/>
      </c>
      <c r="M29" s="1">
        <f>IFERROR($F17/SUM($D17:$F17),"")</f>
        <v/>
      </c>
      <c r="O29" t="n">
        <v>28</v>
      </c>
      <c r="P29" t="inlineStr">
        <is>
          <t>15/01/2026</t>
        </is>
      </c>
      <c r="Q29" t="inlineStr">
        <is>
          <t>CN</t>
        </is>
      </c>
      <c r="R29" t="n">
        <v>354</v>
      </c>
      <c r="S29" t="n">
        <v>665</v>
      </c>
      <c r="T29" t="n">
        <v>416</v>
      </c>
    </row>
    <row r="30">
      <c r="A30" t="n">
        <v>29</v>
      </c>
      <c r="B30" t="inlineStr">
        <is>
          <t>15/04/2026</t>
        </is>
      </c>
      <c r="C30" t="inlineStr">
        <is>
          <t>CN</t>
        </is>
      </c>
      <c r="D30" t="n">
        <v>267</v>
      </c>
      <c r="E30" t="n">
        <v>758</v>
      </c>
      <c r="F30" t="n">
        <v>412</v>
      </c>
      <c r="H30">
        <f>IF(B18="","",TEXT(B18,"dd/mm") &amp; "-" &amp; IF(UPPER(TRIM(C18))="CN",1,IF(UPPER(TRIM(C18))="CD",2,"")))</f>
        <v/>
      </c>
      <c r="I30" s="1" t="n">
        <v>0.48</v>
      </c>
      <c r="J30" s="1" t="n">
        <v>0.6776470588235293</v>
      </c>
      <c r="K30" s="1">
        <f>IFERROR($E18/SUM($D18:$F18),"")</f>
        <v/>
      </c>
      <c r="L30" s="1">
        <f>IFERROR($D18/SUM($D18:$F18),"")</f>
        <v/>
      </c>
      <c r="M30" s="1">
        <f>IFERROR($F18/SUM($D18:$F18),"")</f>
        <v/>
      </c>
      <c r="O30" t="n">
        <v>29</v>
      </c>
      <c r="P30" t="inlineStr">
        <is>
          <t>15/01/2026</t>
        </is>
      </c>
      <c r="Q30" t="inlineStr">
        <is>
          <t>CD</t>
        </is>
      </c>
      <c r="R30" t="n">
        <v>437</v>
      </c>
      <c r="S30" t="n">
        <v>694</v>
      </c>
      <c r="T30" t="n">
        <v>305</v>
      </c>
    </row>
    <row r="31">
      <c r="A31" t="n">
        <v>30</v>
      </c>
      <c r="B31" t="inlineStr">
        <is>
          <t>15/04/2026</t>
        </is>
      </c>
      <c r="C31" t="inlineStr">
        <is>
          <t>CD</t>
        </is>
      </c>
      <c r="D31" t="n">
        <v>368</v>
      </c>
      <c r="E31" t="n">
        <v>749</v>
      </c>
      <c r="F31" t="n">
        <v>318</v>
      </c>
      <c r="H31">
        <f>IF(B19="","",TEXT(B19,"dd/mm") &amp; "-" &amp; IF(UPPER(TRIM(C19))="CN",1,IF(UPPER(TRIM(C19))="CD",2,"")))</f>
        <v/>
      </c>
      <c r="I31" s="1" t="n">
        <v>0.48</v>
      </c>
      <c r="J31" s="1" t="n">
        <v>0.6776470588235293</v>
      </c>
      <c r="K31" s="1">
        <f>IFERROR($E19/SUM($D19:$F19),"")</f>
        <v/>
      </c>
      <c r="L31" s="1">
        <f>IFERROR($D19/SUM($D19:$F19),"")</f>
        <v/>
      </c>
      <c r="M31" s="1">
        <f>IFERROR($F19/SUM($D19:$F19),"")</f>
        <v/>
      </c>
      <c r="O31" t="n">
        <v>30</v>
      </c>
      <c r="P31" t="inlineStr">
        <is>
          <t>16/01/2026</t>
        </is>
      </c>
      <c r="Q31" t="inlineStr">
        <is>
          <t>CN</t>
        </is>
      </c>
      <c r="R31" t="n">
        <v>369</v>
      </c>
      <c r="S31" t="n">
        <v>657</v>
      </c>
      <c r="T31" t="n">
        <v>412</v>
      </c>
    </row>
    <row r="32">
      <c r="A32" t="n">
        <v>31</v>
      </c>
      <c r="B32" t="inlineStr">
        <is>
          <t>16/04/2026</t>
        </is>
      </c>
      <c r="C32" t="inlineStr">
        <is>
          <t>CN</t>
        </is>
      </c>
      <c r="D32" t="n">
        <v>187</v>
      </c>
      <c r="E32" t="n">
        <v>841</v>
      </c>
      <c r="F32" t="n">
        <v>408</v>
      </c>
      <c r="H32">
        <f>IF(B20="","",TEXT(B20,"dd/mm") &amp; "-" &amp; IF(UPPER(TRIM(C20))="CN",1,IF(UPPER(TRIM(C20))="CD",2,"")))</f>
        <v/>
      </c>
      <c r="I32" s="1" t="n">
        <v>0.48</v>
      </c>
      <c r="J32" s="1" t="n">
        <v>0.6776470588235293</v>
      </c>
      <c r="K32" s="1">
        <f>IFERROR($E20/SUM($D20:$F20),"")</f>
        <v/>
      </c>
      <c r="L32" s="1">
        <f>IFERROR($D20/SUM($D20:$F20),"")</f>
        <v/>
      </c>
      <c r="M32" s="1">
        <f>IFERROR($F20/SUM($D20:$F20),"")</f>
        <v/>
      </c>
      <c r="O32" t="n">
        <v>31</v>
      </c>
      <c r="P32" t="inlineStr">
        <is>
          <t>16/01/2026</t>
        </is>
      </c>
      <c r="Q32" t="inlineStr">
        <is>
          <t>CD</t>
        </is>
      </c>
      <c r="R32" t="n">
        <v>391</v>
      </c>
      <c r="S32" t="n">
        <v>610</v>
      </c>
      <c r="T32" t="n">
        <v>436</v>
      </c>
    </row>
    <row r="33">
      <c r="A33" t="n">
        <v>32</v>
      </c>
      <c r="B33" t="inlineStr">
        <is>
          <t>16/04/2026</t>
        </is>
      </c>
      <c r="C33" t="inlineStr">
        <is>
          <t>CD</t>
        </is>
      </c>
      <c r="D33" t="n">
        <v>359</v>
      </c>
      <c r="E33" t="n">
        <v>760</v>
      </c>
      <c r="F33" t="n">
        <v>317</v>
      </c>
      <c r="H33">
        <f>IF(B21="","",TEXT(B21,"dd/mm") &amp; "-" &amp; IF(UPPER(TRIM(C21))="CN",1,IF(UPPER(TRIM(C21))="CD",2,"")))</f>
        <v/>
      </c>
      <c r="I33" s="1" t="n">
        <v>0.48</v>
      </c>
      <c r="J33" s="1" t="n">
        <v>0.6776470588235293</v>
      </c>
      <c r="K33" s="1">
        <f>IFERROR($E21/SUM($D21:$F21),"")</f>
        <v/>
      </c>
      <c r="L33" s="1">
        <f>IFERROR($D21/SUM($D21:$F21),"")</f>
        <v/>
      </c>
      <c r="M33" s="1">
        <f>IFERROR($F21/SUM($D21:$F21),"")</f>
        <v/>
      </c>
      <c r="O33" t="n">
        <v>32</v>
      </c>
      <c r="P33" t="inlineStr">
        <is>
          <t>17/01/2026</t>
        </is>
      </c>
      <c r="Q33" t="inlineStr">
        <is>
          <t>CN</t>
        </is>
      </c>
      <c r="R33" t="n">
        <v>397</v>
      </c>
      <c r="S33" t="n">
        <v>631</v>
      </c>
      <c r="T33" t="n">
        <v>409</v>
      </c>
    </row>
    <row r="34">
      <c r="A34" t="n">
        <v>33</v>
      </c>
      <c r="B34" t="inlineStr">
        <is>
          <t>17/04/2026</t>
        </is>
      </c>
      <c r="C34" t="inlineStr">
        <is>
          <t>CN</t>
        </is>
      </c>
      <c r="D34" t="n">
        <v>346</v>
      </c>
      <c r="E34" t="n">
        <v>680</v>
      </c>
      <c r="F34" t="n">
        <v>410</v>
      </c>
      <c r="H34">
        <f>IF(B22="","",TEXT(B22,"dd/mm") &amp; "-" &amp; IF(UPPER(TRIM(C22))="CN",1,IF(UPPER(TRIM(C22))="CD",2,"")))</f>
        <v/>
      </c>
      <c r="I34" s="1" t="n">
        <v>0.48</v>
      </c>
      <c r="J34" s="1" t="n">
        <v>0.6776470588235293</v>
      </c>
      <c r="K34" s="1">
        <f>IFERROR($E22/SUM($D22:$F22),"")</f>
        <v/>
      </c>
      <c r="L34" s="1">
        <f>IFERROR($D22/SUM($D22:$F22),"")</f>
        <v/>
      </c>
      <c r="M34" s="1">
        <f>IFERROR($F22/SUM($D22:$F22),"")</f>
        <v/>
      </c>
      <c r="O34" t="n">
        <v>33</v>
      </c>
      <c r="P34" t="inlineStr">
        <is>
          <t>17/01/2026</t>
        </is>
      </c>
      <c r="Q34" t="inlineStr">
        <is>
          <t>CD</t>
        </is>
      </c>
      <c r="R34" t="n">
        <v>341</v>
      </c>
      <c r="S34" t="n">
        <v>609</v>
      </c>
      <c r="T34" t="n">
        <v>485</v>
      </c>
    </row>
    <row r="35">
      <c r="A35" t="n">
        <v>34</v>
      </c>
      <c r="B35" t="inlineStr">
        <is>
          <t>17/04/2026</t>
        </is>
      </c>
      <c r="C35" t="inlineStr">
        <is>
          <t>CD</t>
        </is>
      </c>
      <c r="D35" t="n">
        <v>270</v>
      </c>
      <c r="E35" t="n">
        <v>725</v>
      </c>
      <c r="F35" t="n">
        <v>440</v>
      </c>
      <c r="H35">
        <f>IF(B23="","",TEXT(B23,"dd/mm") &amp; "-" &amp; IF(UPPER(TRIM(C23))="CN",1,IF(UPPER(TRIM(C23))="CD",2,"")))</f>
        <v/>
      </c>
      <c r="I35" s="1" t="n">
        <v>0.48</v>
      </c>
      <c r="J35" s="1" t="n">
        <v>0.6776470588235293</v>
      </c>
      <c r="K35" s="1">
        <f>IFERROR($E23/SUM($D23:$F23),"")</f>
        <v/>
      </c>
      <c r="L35" s="1">
        <f>IFERROR($D23/SUM($D23:$F23),"")</f>
        <v/>
      </c>
      <c r="M35" s="1">
        <f>IFERROR($F23/SUM($D23:$F23),"")</f>
        <v/>
      </c>
      <c r="O35" t="n">
        <v>34</v>
      </c>
      <c r="P35" t="inlineStr">
        <is>
          <t>18/01/2026</t>
        </is>
      </c>
      <c r="Q35" t="inlineStr">
        <is>
          <t>CN</t>
        </is>
      </c>
      <c r="R35" t="n">
        <v>0</v>
      </c>
      <c r="S35" t="n">
        <v>0</v>
      </c>
      <c r="T35" t="n">
        <v>1440</v>
      </c>
    </row>
    <row r="36">
      <c r="A36" t="n">
        <v>35</v>
      </c>
      <c r="B36" t="inlineStr">
        <is>
          <t>18/04/2026</t>
        </is>
      </c>
      <c r="C36" t="inlineStr">
        <is>
          <t>CN</t>
        </is>
      </c>
      <c r="D36" t="n">
        <v>389</v>
      </c>
      <c r="E36" t="n">
        <v>578</v>
      </c>
      <c r="F36" t="n">
        <v>469</v>
      </c>
      <c r="H36">
        <f>IF(B24="","",TEXT(B24,"dd/mm") &amp; "-" &amp; IF(UPPER(TRIM(C24))="CN",1,IF(UPPER(TRIM(C24))="CD",2,"")))</f>
        <v/>
      </c>
      <c r="I36" s="1" t="n">
        <v>0.48</v>
      </c>
      <c r="J36" s="1" t="n">
        <v>0.6776470588235293</v>
      </c>
      <c r="K36" s="1">
        <f>IFERROR($E24/SUM($D24:$F24),"")</f>
        <v/>
      </c>
      <c r="L36" s="1">
        <f>IFERROR($D24/SUM($D24:$F24),"")</f>
        <v/>
      </c>
      <c r="M36" s="1">
        <f>IFERROR($F24/SUM($D24:$F24),"")</f>
        <v/>
      </c>
      <c r="O36" t="n">
        <v>35</v>
      </c>
      <c r="P36" t="inlineStr">
        <is>
          <t>18/01/2026</t>
        </is>
      </c>
      <c r="Q36" t="inlineStr">
        <is>
          <t>CD</t>
        </is>
      </c>
      <c r="R36" t="n">
        <v>0</v>
      </c>
      <c r="S36" t="n">
        <v>0</v>
      </c>
      <c r="T36" t="n">
        <v>1440</v>
      </c>
    </row>
    <row r="37">
      <c r="A37" t="n">
        <v>36</v>
      </c>
      <c r="B37" t="inlineStr">
        <is>
          <t>18/04/2026</t>
        </is>
      </c>
      <c r="C37" t="inlineStr">
        <is>
          <t>CD</t>
        </is>
      </c>
      <c r="D37" t="n">
        <v>292</v>
      </c>
      <c r="E37" t="n">
        <v>622</v>
      </c>
      <c r="F37" t="n">
        <v>524</v>
      </c>
      <c r="H37">
        <f>IF(B25="","",TEXT(B25,"dd/mm") &amp; "-" &amp; IF(UPPER(TRIM(C25))="CN",1,IF(UPPER(TRIM(C25))="CD",2,"")))</f>
        <v/>
      </c>
      <c r="I37" s="1" t="n">
        <v>0.48</v>
      </c>
      <c r="J37" s="1" t="n">
        <v>0.6776470588235293</v>
      </c>
      <c r="K37" s="1">
        <f>IFERROR($E25/SUM($D25:$F25),"")</f>
        <v/>
      </c>
      <c r="L37" s="1">
        <f>IFERROR($D25/SUM($D25:$F25),"")</f>
        <v/>
      </c>
      <c r="M37" s="1">
        <f>IFERROR($F25/SUM($D25:$F25),"")</f>
        <v/>
      </c>
      <c r="O37" t="n">
        <v>36</v>
      </c>
      <c r="P37" t="inlineStr">
        <is>
          <t>19/01/2026</t>
        </is>
      </c>
      <c r="Q37" t="inlineStr">
        <is>
          <t>CN</t>
        </is>
      </c>
      <c r="R37" t="n">
        <v>427</v>
      </c>
      <c r="S37" t="n">
        <v>591</v>
      </c>
      <c r="T37" t="n">
        <v>418</v>
      </c>
    </row>
    <row r="38">
      <c r="A38" t="n">
        <v>37</v>
      </c>
      <c r="B38" t="inlineStr">
        <is>
          <t>19/04/2026</t>
        </is>
      </c>
      <c r="C38" t="inlineStr">
        <is>
          <t>CN</t>
        </is>
      </c>
      <c r="D38" t="n">
        <v>0</v>
      </c>
      <c r="E38" t="n">
        <v>0</v>
      </c>
      <c r="F38" t="n">
        <v>1440</v>
      </c>
      <c r="H38">
        <f>IF(B26="","",TEXT(B26,"dd/mm") &amp; "-" &amp; IF(UPPER(TRIM(C26))="CN",1,IF(UPPER(TRIM(C26))="CD",2,"")))</f>
        <v/>
      </c>
      <c r="I38" s="1" t="n">
        <v>0.48</v>
      </c>
      <c r="J38" s="1" t="n">
        <v>0.6776470588235293</v>
      </c>
      <c r="K38" s="1">
        <f>IFERROR($E26/SUM($D26:$F26),"")</f>
        <v/>
      </c>
      <c r="L38" s="1">
        <f>IFERROR($D26/SUM($D26:$F26),"")</f>
        <v/>
      </c>
      <c r="M38" s="1">
        <f>IFERROR($F26/SUM($D26:$F26),"")</f>
        <v/>
      </c>
      <c r="O38" t="n">
        <v>37</v>
      </c>
      <c r="P38" t="inlineStr">
        <is>
          <t>19/01/2026</t>
        </is>
      </c>
      <c r="Q38" t="inlineStr">
        <is>
          <t>CD</t>
        </is>
      </c>
      <c r="R38" t="n">
        <v>423</v>
      </c>
      <c r="S38" t="n">
        <v>711</v>
      </c>
      <c r="T38" t="n">
        <v>303</v>
      </c>
    </row>
    <row r="39">
      <c r="A39" t="n">
        <v>38</v>
      </c>
      <c r="B39" t="inlineStr">
        <is>
          <t>19/04/2026</t>
        </is>
      </c>
      <c r="C39" t="inlineStr">
        <is>
          <t>CD</t>
        </is>
      </c>
      <c r="D39" t="n">
        <v>0</v>
      </c>
      <c r="E39" t="n">
        <v>0</v>
      </c>
      <c r="F39" t="n">
        <v>1440</v>
      </c>
      <c r="H39">
        <f>IF(B27="","",TEXT(B27,"dd/mm") &amp; "-" &amp; IF(UPPER(TRIM(C27))="CN",1,IF(UPPER(TRIM(C27))="CD",2,"")))</f>
        <v/>
      </c>
      <c r="I39" s="1" t="n">
        <v>0.48</v>
      </c>
      <c r="J39" s="1" t="n">
        <v>0.6776470588235293</v>
      </c>
      <c r="K39" s="1">
        <f>IFERROR($E27/SUM($D27:$F27),"")</f>
        <v/>
      </c>
      <c r="L39" s="1">
        <f>IFERROR($D27/SUM($D27:$F27),"")</f>
        <v/>
      </c>
      <c r="M39" s="1">
        <f>IFERROR($F27/SUM($D27:$F27),"")</f>
        <v/>
      </c>
      <c r="O39" t="n">
        <v>38</v>
      </c>
      <c r="P39" t="inlineStr">
        <is>
          <t>20/01/2026</t>
        </is>
      </c>
      <c r="Q39" t="inlineStr">
        <is>
          <t>CN</t>
        </is>
      </c>
      <c r="R39" t="n">
        <v>271</v>
      </c>
      <c r="S39" t="n">
        <v>751</v>
      </c>
      <c r="T39" t="n">
        <v>415</v>
      </c>
    </row>
    <row r="40">
      <c r="A40" t="n">
        <v>39</v>
      </c>
      <c r="B40" t="inlineStr">
        <is>
          <t>20/04/2026</t>
        </is>
      </c>
      <c r="C40" t="inlineStr">
        <is>
          <t>CN</t>
        </is>
      </c>
      <c r="D40" t="n">
        <v>393</v>
      </c>
      <c r="E40" t="n">
        <v>637</v>
      </c>
      <c r="F40" t="n">
        <v>405</v>
      </c>
      <c r="H40">
        <f>IF(B28="","",TEXT(B28,"dd/mm") &amp; "-" &amp; IF(UPPER(TRIM(C28))="CN",1,IF(UPPER(TRIM(C28))="CD",2,"")))</f>
        <v/>
      </c>
      <c r="I40" s="1" t="n">
        <v>0.48</v>
      </c>
      <c r="J40" s="1" t="n">
        <v>0.6776470588235293</v>
      </c>
      <c r="K40" s="1">
        <f>IFERROR($E28/SUM($D28:$F28),"")</f>
        <v/>
      </c>
      <c r="L40" s="1">
        <f>IFERROR($D28/SUM($D28:$F28),"")</f>
        <v/>
      </c>
      <c r="M40" s="1">
        <f>IFERROR($F28/SUM($D28:$F28),"")</f>
        <v/>
      </c>
      <c r="O40" t="n">
        <v>39</v>
      </c>
      <c r="P40" t="inlineStr">
        <is>
          <t>20/01/2026</t>
        </is>
      </c>
      <c r="Q40" t="inlineStr">
        <is>
          <t>CD</t>
        </is>
      </c>
      <c r="R40" t="n">
        <v>225</v>
      </c>
      <c r="S40" t="n">
        <v>778</v>
      </c>
      <c r="T40" t="n">
        <v>433</v>
      </c>
    </row>
    <row r="41">
      <c r="A41" t="n">
        <v>40</v>
      </c>
      <c r="B41" t="inlineStr">
        <is>
          <t>20/04/2026</t>
        </is>
      </c>
      <c r="C41" t="inlineStr">
        <is>
          <t>CD</t>
        </is>
      </c>
      <c r="D41" t="n">
        <v>263</v>
      </c>
      <c r="E41" t="n">
        <v>852</v>
      </c>
      <c r="F41" t="n">
        <v>321</v>
      </c>
      <c r="H41">
        <f>IF(B29="","",TEXT(B29,"dd/mm") &amp; "-" &amp; IF(UPPER(TRIM(C29))="CN",1,IF(UPPER(TRIM(C29))="CD",2,"")))</f>
        <v/>
      </c>
      <c r="I41" s="1" t="n">
        <v>0.48</v>
      </c>
      <c r="J41" s="1" t="n">
        <v>0.6776470588235293</v>
      </c>
      <c r="K41" s="1">
        <f>IFERROR($E29/SUM($D29:$F29),"")</f>
        <v/>
      </c>
      <c r="L41" s="1">
        <f>IFERROR($D29/SUM($D29:$F29),"")</f>
        <v/>
      </c>
      <c r="M41" s="1">
        <f>IFERROR($F29/SUM($D29:$F29),"")</f>
        <v/>
      </c>
      <c r="O41" t="n">
        <v>40</v>
      </c>
      <c r="P41" t="inlineStr">
        <is>
          <t>21/01/2026</t>
        </is>
      </c>
      <c r="Q41" t="inlineStr">
        <is>
          <t>CN</t>
        </is>
      </c>
      <c r="R41" t="n">
        <v>314</v>
      </c>
      <c r="S41" t="n">
        <v>699</v>
      </c>
      <c r="T41" t="n">
        <v>423</v>
      </c>
    </row>
    <row r="42">
      <c r="A42" t="n">
        <v>41</v>
      </c>
      <c r="B42" t="inlineStr">
        <is>
          <t>21/04/2026</t>
        </is>
      </c>
      <c r="C42" t="inlineStr">
        <is>
          <t>CN</t>
        </is>
      </c>
      <c r="D42" t="n">
        <v>451</v>
      </c>
      <c r="E42" t="n">
        <v>578</v>
      </c>
      <c r="F42" t="n">
        <v>406</v>
      </c>
      <c r="H42">
        <f>IF(B30="","",TEXT(B30,"dd/mm") &amp; "-" &amp; IF(UPPER(TRIM(C30))="CN",1,IF(UPPER(TRIM(C30))="CD",2,"")))</f>
        <v/>
      </c>
      <c r="I42" s="1" t="n">
        <v>0.48</v>
      </c>
      <c r="J42" s="1" t="n">
        <v>0.6776470588235293</v>
      </c>
      <c r="K42" s="1">
        <f>IFERROR($E30/SUM($D30:$F30),"")</f>
        <v/>
      </c>
      <c r="L42" s="1">
        <f>IFERROR($D30/SUM($D30:$F30),"")</f>
        <v/>
      </c>
      <c r="M42" s="1">
        <f>IFERROR($F30/SUM($D30:$F30),"")</f>
        <v/>
      </c>
      <c r="O42" t="n">
        <v>41</v>
      </c>
      <c r="P42" t="inlineStr">
        <is>
          <t>21/01/2026</t>
        </is>
      </c>
      <c r="Q42" t="inlineStr">
        <is>
          <t>CD</t>
        </is>
      </c>
      <c r="R42" t="n">
        <v>297</v>
      </c>
      <c r="S42" t="n">
        <v>830</v>
      </c>
      <c r="T42" t="n">
        <v>308</v>
      </c>
    </row>
    <row r="43">
      <c r="A43" t="n">
        <v>42</v>
      </c>
      <c r="B43" t="inlineStr">
        <is>
          <t>21/04/2026</t>
        </is>
      </c>
      <c r="C43" t="inlineStr">
        <is>
          <t>CD</t>
        </is>
      </c>
      <c r="D43" t="n">
        <v>256</v>
      </c>
      <c r="E43" t="n">
        <v>823</v>
      </c>
      <c r="F43" t="n">
        <v>357</v>
      </c>
      <c r="H43">
        <f>IF(B31="","",TEXT(B31,"dd/mm") &amp; "-" &amp; IF(UPPER(TRIM(C31))="CN",1,IF(UPPER(TRIM(C31))="CD",2,"")))</f>
        <v/>
      </c>
      <c r="I43" s="1" t="n">
        <v>0.48</v>
      </c>
      <c r="J43" s="1" t="n">
        <v>0.6776470588235293</v>
      </c>
      <c r="K43" s="1">
        <f>IFERROR($E31/SUM($D31:$F31),"")</f>
        <v/>
      </c>
      <c r="L43" s="1">
        <f>IFERROR($D31/SUM($D31:$F31),"")</f>
        <v/>
      </c>
      <c r="M43" s="1">
        <f>IFERROR($F31/SUM($D31:$F31),"")</f>
        <v/>
      </c>
      <c r="O43" t="n">
        <v>42</v>
      </c>
      <c r="P43" t="inlineStr">
        <is>
          <t>22/01/2026</t>
        </is>
      </c>
      <c r="Q43" t="inlineStr">
        <is>
          <t>CN</t>
        </is>
      </c>
      <c r="R43" t="n">
        <v>412</v>
      </c>
      <c r="S43" t="n">
        <v>612</v>
      </c>
      <c r="T43" t="n">
        <v>412</v>
      </c>
    </row>
    <row r="44">
      <c r="A44" t="n">
        <v>43</v>
      </c>
      <c r="B44" t="inlineStr">
        <is>
          <t>22/04/2026</t>
        </is>
      </c>
      <c r="C44" t="inlineStr">
        <is>
          <t>CN</t>
        </is>
      </c>
      <c r="D44" t="n">
        <v>267</v>
      </c>
      <c r="E44" t="n">
        <v>765</v>
      </c>
      <c r="F44" t="n">
        <v>405</v>
      </c>
      <c r="H44">
        <f>IF(B32="","",TEXT(B32,"dd/mm") &amp; "-" &amp; IF(UPPER(TRIM(C32))="CN",1,IF(UPPER(TRIM(C32))="CD",2,"")))</f>
        <v/>
      </c>
      <c r="I44" s="1" t="n">
        <v>0.48</v>
      </c>
      <c r="J44" s="1" t="n">
        <v>0.6776470588235293</v>
      </c>
      <c r="K44" s="1">
        <f>IFERROR($E32/SUM($D32:$F32),"")</f>
        <v/>
      </c>
      <c r="L44" s="1">
        <f>IFERROR($D32/SUM($D32:$F32),"")</f>
        <v/>
      </c>
      <c r="M44" s="1">
        <f>IFERROR($F32/SUM($D32:$F32),"")</f>
        <v/>
      </c>
      <c r="O44" t="n">
        <v>43</v>
      </c>
      <c r="P44" t="inlineStr">
        <is>
          <t>22/01/2026</t>
        </is>
      </c>
      <c r="Q44" t="inlineStr">
        <is>
          <t>CD</t>
        </is>
      </c>
      <c r="R44" t="n">
        <v>351</v>
      </c>
      <c r="S44" t="n">
        <v>777</v>
      </c>
      <c r="T44" t="n">
        <v>310</v>
      </c>
    </row>
    <row r="45">
      <c r="A45" t="n">
        <v>44</v>
      </c>
      <c r="B45" t="inlineStr">
        <is>
          <t>22/04/2026</t>
        </is>
      </c>
      <c r="C45" t="inlineStr">
        <is>
          <t>CD</t>
        </is>
      </c>
      <c r="D45" t="n">
        <v>339</v>
      </c>
      <c r="E45" t="n">
        <v>782</v>
      </c>
      <c r="F45" t="n">
        <v>316</v>
      </c>
      <c r="H45">
        <f>IF(B33="","",TEXT(B33,"dd/mm") &amp; "-" &amp; IF(UPPER(TRIM(C33))="CN",1,IF(UPPER(TRIM(C33))="CD",2,"")))</f>
        <v/>
      </c>
      <c r="I45" s="1" t="n">
        <v>0.48</v>
      </c>
      <c r="J45" s="1" t="n">
        <v>0.6776470588235293</v>
      </c>
      <c r="K45" s="1">
        <f>IFERROR($E33/SUM($D33:$F33),"")</f>
        <v/>
      </c>
      <c r="L45" s="1">
        <f>IFERROR($D33/SUM($D33:$F33),"")</f>
        <v/>
      </c>
      <c r="M45" s="1">
        <f>IFERROR($F33/SUM($D33:$F33),"")</f>
        <v/>
      </c>
      <c r="O45" t="n">
        <v>44</v>
      </c>
      <c r="P45" t="inlineStr">
        <is>
          <t>23/01/2026</t>
        </is>
      </c>
      <c r="Q45" t="inlineStr">
        <is>
          <t>CN</t>
        </is>
      </c>
      <c r="R45" t="n">
        <v>420</v>
      </c>
      <c r="S45" t="n">
        <v>606</v>
      </c>
      <c r="T45" t="n">
        <v>409</v>
      </c>
    </row>
    <row r="46">
      <c r="A46" t="n">
        <v>45</v>
      </c>
      <c r="B46" t="inlineStr">
        <is>
          <t>23/04/2026</t>
        </is>
      </c>
      <c r="C46" t="inlineStr">
        <is>
          <t>CN</t>
        </is>
      </c>
      <c r="D46" t="n">
        <v>249</v>
      </c>
      <c r="E46" t="n">
        <v>786</v>
      </c>
      <c r="F46" t="n">
        <v>401</v>
      </c>
      <c r="H46">
        <f>IF(B34="","",TEXT(B34,"dd/mm") &amp; "-" &amp; IF(UPPER(TRIM(C34))="CN",1,IF(UPPER(TRIM(C34))="CD",2,"")))</f>
        <v/>
      </c>
      <c r="I46" s="1" t="n">
        <v>0.48</v>
      </c>
      <c r="J46" s="1" t="n">
        <v>0.6776470588235293</v>
      </c>
      <c r="K46" s="1">
        <f>IFERROR($E34/SUM($D34:$F34),"")</f>
        <v/>
      </c>
      <c r="L46" s="1">
        <f>IFERROR($D34/SUM($D34:$F34),"")</f>
        <v/>
      </c>
      <c r="M46" s="1">
        <f>IFERROR($F34/SUM($D34:$F34),"")</f>
        <v/>
      </c>
      <c r="O46" t="n">
        <v>45</v>
      </c>
      <c r="P46" t="inlineStr">
        <is>
          <t>23/01/2026</t>
        </is>
      </c>
      <c r="Q46" t="inlineStr">
        <is>
          <t>CD</t>
        </is>
      </c>
      <c r="R46" t="n">
        <v>307</v>
      </c>
      <c r="S46" t="n">
        <v>822</v>
      </c>
      <c r="T46" t="n">
        <v>308</v>
      </c>
    </row>
    <row r="47">
      <c r="A47" t="n">
        <v>46</v>
      </c>
      <c r="B47" t="inlineStr">
        <is>
          <t>23/04/2026</t>
        </is>
      </c>
      <c r="C47" t="inlineStr">
        <is>
          <t>CD</t>
        </is>
      </c>
      <c r="D47" t="n">
        <v>421</v>
      </c>
      <c r="E47" t="n">
        <v>689</v>
      </c>
      <c r="F47" t="n">
        <v>328</v>
      </c>
      <c r="H47">
        <f>IF(B35="","",TEXT(B35,"dd/mm") &amp; "-" &amp; IF(UPPER(TRIM(C35))="CN",1,IF(UPPER(TRIM(C35))="CD",2,"")))</f>
        <v/>
      </c>
      <c r="I47" s="1" t="n">
        <v>0.48</v>
      </c>
      <c r="J47" s="1" t="n">
        <v>0.6776470588235293</v>
      </c>
      <c r="K47" s="1">
        <f>IFERROR($E35/SUM($D35:$F35),"")</f>
        <v/>
      </c>
      <c r="L47" s="1">
        <f>IFERROR($D35/SUM($D35:$F35),"")</f>
        <v/>
      </c>
      <c r="M47" s="1">
        <f>IFERROR($F35/SUM($D35:$F35),"")</f>
        <v/>
      </c>
      <c r="O47" t="n">
        <v>46</v>
      </c>
      <c r="P47" t="inlineStr">
        <is>
          <t>24/01/2026</t>
        </is>
      </c>
      <c r="Q47" t="inlineStr">
        <is>
          <t>CN</t>
        </is>
      </c>
      <c r="R47" t="n">
        <v>309</v>
      </c>
      <c r="S47" t="n">
        <v>658</v>
      </c>
      <c r="T47" t="n">
        <v>471</v>
      </c>
    </row>
    <row r="48">
      <c r="A48" t="n">
        <v>47</v>
      </c>
      <c r="B48" t="inlineStr">
        <is>
          <t>24/04/2026</t>
        </is>
      </c>
      <c r="C48" t="inlineStr">
        <is>
          <t>CN</t>
        </is>
      </c>
      <c r="D48" t="n">
        <v>237</v>
      </c>
      <c r="E48" t="n">
        <v>797</v>
      </c>
      <c r="F48" t="n">
        <v>401</v>
      </c>
      <c r="H48">
        <f>IF(B36="","",TEXT(B36,"dd/mm") &amp; "-" &amp; IF(UPPER(TRIM(C36))="CN",1,IF(UPPER(TRIM(C36))="CD",2,"")))</f>
        <v/>
      </c>
      <c r="I48" s="1" t="n">
        <v>0.48</v>
      </c>
      <c r="J48" s="1" t="n">
        <v>0.6776470588235293</v>
      </c>
      <c r="K48" s="1">
        <f>IFERROR($E36/SUM($D36:$F36),"")</f>
        <v/>
      </c>
      <c r="L48" s="1">
        <f>IFERROR($D36/SUM($D36:$F36),"")</f>
        <v/>
      </c>
      <c r="M48" s="1">
        <f>IFERROR($F36/SUM($D36:$F36),"")</f>
        <v/>
      </c>
      <c r="O48" t="n">
        <v>47</v>
      </c>
      <c r="P48" t="inlineStr">
        <is>
          <t>24/01/2026</t>
        </is>
      </c>
      <c r="Q48" t="inlineStr">
        <is>
          <t>CD</t>
        </is>
      </c>
      <c r="R48" t="n">
        <v>346</v>
      </c>
      <c r="S48" t="n">
        <v>603</v>
      </c>
      <c r="T48" t="n">
        <v>488</v>
      </c>
    </row>
    <row r="49">
      <c r="A49" t="n">
        <v>48</v>
      </c>
      <c r="B49" t="inlineStr">
        <is>
          <t>24/04/2026</t>
        </is>
      </c>
      <c r="C49" t="inlineStr">
        <is>
          <t>CD</t>
        </is>
      </c>
      <c r="D49" t="n">
        <v>321</v>
      </c>
      <c r="E49" t="n">
        <v>793</v>
      </c>
      <c r="F49" t="n">
        <v>322</v>
      </c>
      <c r="H49">
        <f>IF(B37="","",TEXT(B37,"dd/mm") &amp; "-" &amp; IF(UPPER(TRIM(C37))="CN",1,IF(UPPER(TRIM(C37))="CD",2,"")))</f>
        <v/>
      </c>
      <c r="I49" s="1" t="n">
        <v>0.48</v>
      </c>
      <c r="J49" s="1" t="n">
        <v>0.6776470588235293</v>
      </c>
      <c r="K49" s="1">
        <f>IFERROR($E37/SUM($D37:$F37),"")</f>
        <v/>
      </c>
      <c r="L49" s="1">
        <f>IFERROR($D37/SUM($D37:$F37),"")</f>
        <v/>
      </c>
      <c r="M49" s="1">
        <f>IFERROR($F37/SUM($D37:$F37),"")</f>
        <v/>
      </c>
      <c r="O49" t="n">
        <v>48</v>
      </c>
      <c r="P49" t="inlineStr">
        <is>
          <t>25/01/2026</t>
        </is>
      </c>
      <c r="Q49" t="inlineStr">
        <is>
          <t>CN</t>
        </is>
      </c>
      <c r="R49" t="n">
        <v>223</v>
      </c>
      <c r="S49" t="n">
        <v>734</v>
      </c>
      <c r="T49" t="n">
        <v>479</v>
      </c>
    </row>
    <row r="50">
      <c r="A50" t="n">
        <v>49</v>
      </c>
      <c r="B50" t="inlineStr">
        <is>
          <t>25/04/2026</t>
        </is>
      </c>
      <c r="C50" t="inlineStr">
        <is>
          <t>CN</t>
        </is>
      </c>
      <c r="D50" t="n">
        <v>462</v>
      </c>
      <c r="E50" t="n">
        <v>498</v>
      </c>
      <c r="F50" t="n">
        <v>477</v>
      </c>
      <c r="H50">
        <f>IF(B38="","",TEXT(B38,"dd/mm") &amp; "-" &amp; IF(UPPER(TRIM(C38))="CN",1,IF(UPPER(TRIM(C38))="CD",2,"")))</f>
        <v/>
      </c>
      <c r="I50" s="1" t="n">
        <v>0.48</v>
      </c>
      <c r="J50" s="1" t="n">
        <v>0.6776470588235293</v>
      </c>
      <c r="K50" s="1">
        <f>IFERROR($E38/SUM($D38:$F38),"")</f>
        <v/>
      </c>
      <c r="L50" s="1">
        <f>IFERROR($D38/SUM($D38:$F38),"")</f>
        <v/>
      </c>
      <c r="M50" s="1">
        <f>IFERROR($F38/SUM($D38:$F38),"")</f>
        <v/>
      </c>
      <c r="O50" t="n">
        <v>49</v>
      </c>
      <c r="P50" t="inlineStr">
        <is>
          <t>25/01/2026</t>
        </is>
      </c>
      <c r="Q50" t="inlineStr">
        <is>
          <t>CD</t>
        </is>
      </c>
      <c r="R50" t="n">
        <v>0</v>
      </c>
      <c r="S50" t="n">
        <v>0</v>
      </c>
      <c r="T50" t="n">
        <v>1440</v>
      </c>
    </row>
    <row r="51">
      <c r="A51" t="n">
        <v>50</v>
      </c>
      <c r="B51" t="inlineStr">
        <is>
          <t>25/04/2026</t>
        </is>
      </c>
      <c r="C51" t="inlineStr">
        <is>
          <t>CD</t>
        </is>
      </c>
      <c r="D51" t="n">
        <v>396</v>
      </c>
      <c r="E51" t="n">
        <v>544</v>
      </c>
      <c r="F51" t="n">
        <v>497</v>
      </c>
      <c r="H51">
        <f>IF(B39="","",TEXT(B39,"dd/mm") &amp; "-" &amp; IF(UPPER(TRIM(C39))="CN",1,IF(UPPER(TRIM(C39))="CD",2,"")))</f>
        <v/>
      </c>
      <c r="I51" s="1" t="n">
        <v>0.48</v>
      </c>
      <c r="J51" s="1" t="n">
        <v>0.6776470588235293</v>
      </c>
      <c r="K51" s="1">
        <f>IFERROR($E39/SUM($D39:$F39),"")</f>
        <v/>
      </c>
      <c r="L51" s="1">
        <f>IFERROR($D39/SUM($D39:$F39),"")</f>
        <v/>
      </c>
      <c r="M51" s="1">
        <f>IFERROR($F39/SUM($D39:$F39),"")</f>
        <v/>
      </c>
      <c r="O51" t="n">
        <v>50</v>
      </c>
      <c r="P51" t="inlineStr">
        <is>
          <t>26/01/2026</t>
        </is>
      </c>
      <c r="Q51" t="inlineStr">
        <is>
          <t>CN</t>
        </is>
      </c>
      <c r="R51" t="n">
        <v>375</v>
      </c>
      <c r="S51" t="n">
        <v>655</v>
      </c>
      <c r="T51" t="n">
        <v>407</v>
      </c>
    </row>
    <row r="52">
      <c r="A52" t="n">
        <v>51</v>
      </c>
      <c r="B52" t="inlineStr">
        <is>
          <t>26/04/2026</t>
        </is>
      </c>
      <c r="C52" t="inlineStr">
        <is>
          <t>CN</t>
        </is>
      </c>
      <c r="D52" t="n">
        <v>0</v>
      </c>
      <c r="E52" t="n">
        <v>0</v>
      </c>
      <c r="F52" t="n">
        <v>1440</v>
      </c>
      <c r="H52">
        <f>IF(B40="","",TEXT(B40,"dd/mm") &amp; "-" &amp; IF(UPPER(TRIM(C40))="CN",1,IF(UPPER(TRIM(C40))="CD",2,"")))</f>
        <v/>
      </c>
      <c r="I52" s="1" t="n">
        <v>0.48</v>
      </c>
      <c r="J52" s="1" t="n">
        <v>0.6776470588235293</v>
      </c>
      <c r="K52" s="1">
        <f>IFERROR($E40/SUM($D40:$F40),"")</f>
        <v/>
      </c>
      <c r="L52" s="1">
        <f>IFERROR($D40/SUM($D40:$F40),"")</f>
        <v/>
      </c>
      <c r="M52" s="1">
        <f>IFERROR($F40/SUM($D40:$F40),"")</f>
        <v/>
      </c>
      <c r="O52" t="n">
        <v>51</v>
      </c>
      <c r="P52" t="inlineStr">
        <is>
          <t>26/01/2026</t>
        </is>
      </c>
      <c r="Q52" t="inlineStr">
        <is>
          <t>CD</t>
        </is>
      </c>
      <c r="R52" t="n">
        <v>244</v>
      </c>
      <c r="S52" t="n">
        <v>883</v>
      </c>
      <c r="T52" t="n">
        <v>309</v>
      </c>
    </row>
    <row r="53">
      <c r="A53" t="n">
        <v>52</v>
      </c>
      <c r="B53" t="inlineStr">
        <is>
          <t>26/04/2026</t>
        </is>
      </c>
      <c r="C53" t="inlineStr">
        <is>
          <t>CD</t>
        </is>
      </c>
      <c r="D53" t="n">
        <v>0</v>
      </c>
      <c r="E53" t="n">
        <v>0</v>
      </c>
      <c r="F53" t="n">
        <v>1440</v>
      </c>
      <c r="H53">
        <f>IF(B41="","",TEXT(B41,"dd/mm") &amp; "-" &amp; IF(UPPER(TRIM(C41))="CN",1,IF(UPPER(TRIM(C41))="CD",2,"")))</f>
        <v/>
      </c>
      <c r="I53" s="1" t="n">
        <v>0.48</v>
      </c>
      <c r="J53" s="1" t="n">
        <v>0.6776470588235293</v>
      </c>
      <c r="K53" s="1">
        <f>IFERROR($E41/SUM($D41:$F41),"")</f>
        <v/>
      </c>
      <c r="L53" s="1">
        <f>IFERROR($D41/SUM($D41:$F41),"")</f>
        <v/>
      </c>
      <c r="M53" s="1">
        <f>IFERROR($F41/SUM($D41:$F41),"")</f>
        <v/>
      </c>
      <c r="O53" t="n">
        <v>52</v>
      </c>
      <c r="P53" t="inlineStr">
        <is>
          <t>27/01/2026</t>
        </is>
      </c>
      <c r="Q53" t="inlineStr">
        <is>
          <t>CN</t>
        </is>
      </c>
      <c r="R53" t="n">
        <v>346</v>
      </c>
      <c r="S53" t="n">
        <v>680</v>
      </c>
      <c r="T53" t="n">
        <v>409</v>
      </c>
    </row>
    <row r="54">
      <c r="A54" t="n">
        <v>53</v>
      </c>
      <c r="B54" t="inlineStr">
        <is>
          <t>27/04/2026</t>
        </is>
      </c>
      <c r="C54" t="inlineStr">
        <is>
          <t>CN</t>
        </is>
      </c>
      <c r="D54" t="n">
        <v>382</v>
      </c>
      <c r="E54" t="n">
        <v>649</v>
      </c>
      <c r="F54" t="n">
        <v>406</v>
      </c>
      <c r="H54">
        <f>IF(B42="","",TEXT(B42,"dd/mm") &amp; "-" &amp; IF(UPPER(TRIM(C42))="CN",1,IF(UPPER(TRIM(C42))="CD",2,"")))</f>
        <v/>
      </c>
      <c r="I54" s="1" t="n">
        <v>0.48</v>
      </c>
      <c r="J54" s="1" t="n">
        <v>0.6776470588235293</v>
      </c>
      <c r="K54" s="1">
        <f>IFERROR($E42/SUM($D42:$F42),"")</f>
        <v/>
      </c>
      <c r="L54" s="1">
        <f>IFERROR($D42/SUM($D42:$F42),"")</f>
        <v/>
      </c>
      <c r="M54" s="1">
        <f>IFERROR($F42/SUM($D42:$F42),"")</f>
        <v/>
      </c>
      <c r="O54" t="n">
        <v>53</v>
      </c>
      <c r="P54" t="inlineStr">
        <is>
          <t>27/01/2026</t>
        </is>
      </c>
      <c r="Q54" t="inlineStr">
        <is>
          <t>CD</t>
        </is>
      </c>
      <c r="R54" t="n">
        <v>229</v>
      </c>
      <c r="S54" t="n">
        <v>895</v>
      </c>
      <c r="T54" t="n">
        <v>314</v>
      </c>
    </row>
    <row r="55">
      <c r="A55" t="n">
        <v>54</v>
      </c>
      <c r="B55" t="inlineStr">
        <is>
          <t>27/04/2026</t>
        </is>
      </c>
      <c r="C55" t="inlineStr">
        <is>
          <t>CD</t>
        </is>
      </c>
      <c r="D55" t="n">
        <v>506</v>
      </c>
      <c r="E55" t="n">
        <v>574</v>
      </c>
      <c r="F55" t="n">
        <v>357</v>
      </c>
      <c r="H55">
        <f>IF(B43="","",TEXT(B43,"dd/mm") &amp; "-" &amp; IF(UPPER(TRIM(C43))="CN",1,IF(UPPER(TRIM(C43))="CD",2,"")))</f>
        <v/>
      </c>
      <c r="I55" s="1" t="n">
        <v>0.48</v>
      </c>
      <c r="J55" s="1" t="n">
        <v>0.6776470588235293</v>
      </c>
      <c r="K55" s="1">
        <f>IFERROR($E43/SUM($D43:$F43),"")</f>
        <v/>
      </c>
      <c r="L55" s="1">
        <f>IFERROR($D43/SUM($D43:$F43),"")</f>
        <v/>
      </c>
      <c r="M55" s="1">
        <f>IFERROR($F43/SUM($D43:$F43),"")</f>
        <v/>
      </c>
      <c r="O55" t="n">
        <v>54</v>
      </c>
      <c r="P55" t="inlineStr">
        <is>
          <t>28/01/2026</t>
        </is>
      </c>
      <c r="Q55" t="inlineStr">
        <is>
          <t>CN</t>
        </is>
      </c>
      <c r="R55" t="n">
        <v>359</v>
      </c>
      <c r="S55" t="n">
        <v>669</v>
      </c>
      <c r="T55" t="n">
        <v>408</v>
      </c>
    </row>
    <row r="56">
      <c r="H56">
        <f>IF(B44="","",TEXT(B44,"dd/mm") &amp; "-" &amp; IF(UPPER(TRIM(C44))="CN",1,IF(UPPER(TRIM(C44))="CD",2,"")))</f>
        <v/>
      </c>
      <c r="I56" s="1" t="n">
        <v>0.48</v>
      </c>
      <c r="J56" s="1" t="n">
        <v>0.6776470588235293</v>
      </c>
      <c r="K56" s="1">
        <f>IFERROR($E44/SUM($D44:$F44),"")</f>
        <v/>
      </c>
      <c r="L56" s="1">
        <f>IFERROR($D44/SUM($D44:$F44),"")</f>
        <v/>
      </c>
      <c r="M56" s="1">
        <f>IFERROR($F44/SUM($D44:$F44),"")</f>
        <v/>
      </c>
      <c r="O56" t="n">
        <v>55</v>
      </c>
      <c r="P56" t="inlineStr">
        <is>
          <t>28/01/2026</t>
        </is>
      </c>
      <c r="Q56" t="inlineStr">
        <is>
          <t>CD</t>
        </is>
      </c>
      <c r="R56" t="n">
        <v>260</v>
      </c>
      <c r="S56" t="n">
        <v>801</v>
      </c>
      <c r="T56" t="n">
        <v>375</v>
      </c>
    </row>
    <row r="57">
      <c r="H57">
        <f>IF(B45="","",TEXT(B45,"dd/mm") &amp; "-" &amp; IF(UPPER(TRIM(C45))="CN",1,IF(UPPER(TRIM(C45))="CD",2,"")))</f>
        <v/>
      </c>
      <c r="I57" s="1" t="n">
        <v>0.48</v>
      </c>
      <c r="J57" s="1" t="n">
        <v>0.6776470588235293</v>
      </c>
      <c r="K57" s="1">
        <f>IFERROR($E45/SUM($D45:$F45),"")</f>
        <v/>
      </c>
      <c r="L57" s="1">
        <f>IFERROR($D45/SUM($D45:$F45),"")</f>
        <v/>
      </c>
      <c r="M57" s="1">
        <f>IFERROR($F45/SUM($D45:$F45),"")</f>
        <v/>
      </c>
      <c r="O57" t="n">
        <v>56</v>
      </c>
      <c r="P57" t="inlineStr">
        <is>
          <t>29/01/2026</t>
        </is>
      </c>
      <c r="Q57" t="inlineStr">
        <is>
          <t>CN</t>
        </is>
      </c>
      <c r="R57" t="n">
        <v>321</v>
      </c>
      <c r="S57" t="n">
        <v>715</v>
      </c>
      <c r="T57" t="n">
        <v>402</v>
      </c>
    </row>
    <row r="58">
      <c r="H58">
        <f>IF(B46="","",TEXT(B46,"dd/mm") &amp; "-" &amp; IF(UPPER(TRIM(C46))="CN",1,IF(UPPER(TRIM(C46))="CD",2,"")))</f>
        <v/>
      </c>
      <c r="I58" s="1" t="n">
        <v>0.48</v>
      </c>
      <c r="J58" s="1" t="n">
        <v>0.6776470588235293</v>
      </c>
      <c r="K58" s="1">
        <f>IFERROR($E46/SUM($D46:$F46),"")</f>
        <v/>
      </c>
      <c r="L58" s="1">
        <f>IFERROR($D46/SUM($D46:$F46),"")</f>
        <v/>
      </c>
      <c r="M58" s="1">
        <f>IFERROR($F46/SUM($D46:$F46),"")</f>
        <v/>
      </c>
      <c r="O58" t="n">
        <v>57</v>
      </c>
      <c r="P58" t="inlineStr">
        <is>
          <t>29/01/2026</t>
        </is>
      </c>
      <c r="Q58" t="inlineStr">
        <is>
          <t>CD</t>
        </is>
      </c>
      <c r="R58" t="n">
        <v>291</v>
      </c>
      <c r="S58" t="n">
        <v>821</v>
      </c>
      <c r="T58" t="n">
        <v>323</v>
      </c>
    </row>
    <row r="59">
      <c r="H59">
        <f>IF(B47="","",TEXT(B47,"dd/mm") &amp; "-" &amp; IF(UPPER(TRIM(C47))="CN",1,IF(UPPER(TRIM(C47))="CD",2,"")))</f>
        <v/>
      </c>
      <c r="I59" s="1" t="n">
        <v>0.48</v>
      </c>
      <c r="J59" s="1" t="n">
        <v>0.6776470588235293</v>
      </c>
      <c r="K59" s="1">
        <f>IFERROR($E47/SUM($D47:$F47),"")</f>
        <v/>
      </c>
      <c r="L59" s="1">
        <f>IFERROR($D47/SUM($D47:$F47),"")</f>
        <v/>
      </c>
      <c r="M59" s="1">
        <f>IFERROR($F47/SUM($D47:$F47),"")</f>
        <v/>
      </c>
      <c r="O59" t="n">
        <v>58</v>
      </c>
      <c r="P59" t="inlineStr">
        <is>
          <t>30/01/2026</t>
        </is>
      </c>
      <c r="Q59" t="inlineStr">
        <is>
          <t>CN</t>
        </is>
      </c>
      <c r="R59" t="n">
        <v>294</v>
      </c>
      <c r="S59" t="n">
        <v>725</v>
      </c>
      <c r="T59" t="n">
        <v>417</v>
      </c>
    </row>
    <row r="60">
      <c r="H60">
        <f>IF(B48="","",TEXT(B48,"dd/mm") &amp; "-" &amp; IF(UPPER(TRIM(C48))="CN",1,IF(UPPER(TRIM(C48))="CD",2,"")))</f>
        <v/>
      </c>
      <c r="I60" s="1" t="n">
        <v>0.48</v>
      </c>
      <c r="J60" s="1" t="n">
        <v>0.6776470588235293</v>
      </c>
      <c r="K60" s="1">
        <f>IFERROR($E48/SUM($D48:$F48),"")</f>
        <v/>
      </c>
      <c r="L60" s="1">
        <f>IFERROR($D48/SUM($D48:$F48),"")</f>
        <v/>
      </c>
      <c r="M60" s="1">
        <f>IFERROR($F48/SUM($D48:$F48),"")</f>
        <v/>
      </c>
      <c r="O60" t="n">
        <v>59</v>
      </c>
      <c r="P60" t="inlineStr">
        <is>
          <t>30/01/2026</t>
        </is>
      </c>
      <c r="Q60" t="inlineStr">
        <is>
          <t>CD</t>
        </is>
      </c>
      <c r="R60" t="n">
        <v>352</v>
      </c>
      <c r="S60" t="n">
        <v>771</v>
      </c>
      <c r="T60" t="n">
        <v>314</v>
      </c>
    </row>
    <row r="61">
      <c r="H61">
        <f>IF(B49="","",TEXT(B49,"dd/mm") &amp; "-" &amp; IF(UPPER(TRIM(C49))="CN",1,IF(UPPER(TRIM(C49))="CD",2,"")))</f>
        <v/>
      </c>
      <c r="I61" s="1" t="n">
        <v>0.48</v>
      </c>
      <c r="J61" s="1" t="n">
        <v>0.6776470588235293</v>
      </c>
      <c r="K61" s="1">
        <f>IFERROR($E49/SUM($D49:$F49),"")</f>
        <v/>
      </c>
      <c r="L61" s="1">
        <f>IFERROR($D49/SUM($D49:$F49),"")</f>
        <v/>
      </c>
      <c r="M61" s="1">
        <f>IFERROR($F49/SUM($D49:$F49),"")</f>
        <v/>
      </c>
      <c r="O61" t="n">
        <v>60</v>
      </c>
      <c r="P61" t="inlineStr">
        <is>
          <t>31/01/2026</t>
        </is>
      </c>
      <c r="Q61" t="inlineStr">
        <is>
          <t>CN</t>
        </is>
      </c>
      <c r="R61" t="n">
        <v>291</v>
      </c>
      <c r="S61" t="n">
        <v>676</v>
      </c>
      <c r="T61" t="n">
        <v>469</v>
      </c>
    </row>
    <row r="62">
      <c r="H62">
        <f>IF(B50="","",TEXT(B50,"dd/mm") &amp; "-" &amp; IF(UPPER(TRIM(C50))="CN",1,IF(UPPER(TRIM(C50))="CD",2,"")))</f>
        <v/>
      </c>
      <c r="I62" s="1" t="n">
        <v>0.48</v>
      </c>
      <c r="J62" s="1" t="n">
        <v>0.6776470588235293</v>
      </c>
      <c r="K62" s="1">
        <f>IFERROR($E50/SUM($D50:$F50),"")</f>
        <v/>
      </c>
      <c r="L62" s="1">
        <f>IFERROR($D50/SUM($D50:$F50),"")</f>
        <v/>
      </c>
      <c r="M62" s="1">
        <f>IFERROR($F50/SUM($D50:$F50),"")</f>
        <v/>
      </c>
      <c r="O62" t="n">
        <v>61</v>
      </c>
      <c r="P62" t="inlineStr">
        <is>
          <t>31/01/2026</t>
        </is>
      </c>
      <c r="Q62" t="inlineStr">
        <is>
          <t>CD</t>
        </is>
      </c>
      <c r="R62" t="n">
        <v>215</v>
      </c>
      <c r="S62" t="n">
        <v>733</v>
      </c>
      <c r="T62" t="n">
        <v>488</v>
      </c>
    </row>
    <row r="63">
      <c r="H63">
        <f>IF(B51="","",TEXT(B51,"dd/mm") &amp; "-" &amp; IF(UPPER(TRIM(C51))="CN",1,IF(UPPER(TRIM(C51))="CD",2,"")))</f>
        <v/>
      </c>
      <c r="I63" s="1" t="n">
        <v>0.48</v>
      </c>
      <c r="J63" s="1" t="n">
        <v>0.6776470588235293</v>
      </c>
      <c r="K63" s="1">
        <f>IFERROR($E51/SUM($D51:$F51),"")</f>
        <v/>
      </c>
      <c r="L63" s="1">
        <f>IFERROR($D51/SUM($D51:$F51),"")</f>
        <v/>
      </c>
      <c r="M63" s="1">
        <f>IFERROR($F51/SUM($D51:$F51),"")</f>
        <v/>
      </c>
      <c r="O63" t="n">
        <v>62</v>
      </c>
      <c r="P63" t="inlineStr">
        <is>
          <t>01/02/2026</t>
        </is>
      </c>
      <c r="Q63" t="inlineStr">
        <is>
          <t>CN</t>
        </is>
      </c>
      <c r="R63" t="n">
        <v>0</v>
      </c>
      <c r="S63" t="n">
        <v>0</v>
      </c>
      <c r="T63" t="n">
        <v>1440</v>
      </c>
    </row>
    <row r="64">
      <c r="H64">
        <f>IF(B52="","",TEXT(B52,"dd/mm") &amp; "-" &amp; IF(UPPER(TRIM(C52))="CN",1,IF(UPPER(TRIM(C52))="CD",2,"")))</f>
        <v/>
      </c>
      <c r="I64" s="1" t="n">
        <v>0.48</v>
      </c>
      <c r="J64" s="1" t="n">
        <v>0.6776470588235293</v>
      </c>
      <c r="K64" s="1">
        <f>IFERROR($E52/SUM($D52:$F52),"")</f>
        <v/>
      </c>
      <c r="L64" s="1">
        <f>IFERROR($D52/SUM($D52:$F52),"")</f>
        <v/>
      </c>
      <c r="M64" s="1">
        <f>IFERROR($F52/SUM($D52:$F52),"")</f>
        <v/>
      </c>
      <c r="O64" t="n">
        <v>63</v>
      </c>
      <c r="P64" t="inlineStr">
        <is>
          <t>01/02/2026</t>
        </is>
      </c>
      <c r="Q64" t="inlineStr">
        <is>
          <t>CD</t>
        </is>
      </c>
      <c r="R64" t="n">
        <v>0</v>
      </c>
      <c r="S64" t="n">
        <v>0</v>
      </c>
      <c r="T64" t="n">
        <v>1440</v>
      </c>
    </row>
    <row r="65">
      <c r="H65">
        <f>IF(B53="","",TEXT(B53,"dd/mm") &amp; "-" &amp; IF(UPPER(TRIM(C53))="CN",1,IF(UPPER(TRIM(C53))="CD",2,"")))</f>
        <v/>
      </c>
      <c r="I65" s="1" t="n">
        <v>0.48</v>
      </c>
      <c r="J65" s="1" t="n">
        <v>0.6776470588235293</v>
      </c>
      <c r="K65" s="1">
        <f>IFERROR($E53/SUM($D53:$F53),"")</f>
        <v/>
      </c>
      <c r="L65" s="1">
        <f>IFERROR($D53/SUM($D53:$F53),"")</f>
        <v/>
      </c>
      <c r="M65" s="1">
        <f>IFERROR($F53/SUM($D53:$F53),"")</f>
        <v/>
      </c>
      <c r="O65" t="n">
        <v>64</v>
      </c>
      <c r="P65" t="inlineStr">
        <is>
          <t>02/02/2026</t>
        </is>
      </c>
      <c r="Q65" t="inlineStr">
        <is>
          <t>CN</t>
        </is>
      </c>
      <c r="R65" t="n">
        <v>219</v>
      </c>
      <c r="S65" t="n">
        <v>809</v>
      </c>
      <c r="T65" t="n">
        <v>410</v>
      </c>
    </row>
    <row r="66">
      <c r="H66">
        <f>IF(B54="","",TEXT(B54,"dd/mm") &amp; "-" &amp; IF(UPPER(TRIM(C54))="CN",1,IF(UPPER(TRIM(C54))="CD",2,"")))</f>
        <v/>
      </c>
      <c r="I66" s="1" t="n">
        <v>0.48</v>
      </c>
      <c r="J66" s="1" t="n">
        <v>0.6776470588235293</v>
      </c>
      <c r="K66" s="1">
        <f>IFERROR($E54/SUM($D54:$F54),"")</f>
        <v/>
      </c>
      <c r="L66" s="1">
        <f>IFERROR($D54/SUM($D54:$F54),"")</f>
        <v/>
      </c>
      <c r="M66" s="1">
        <f>IFERROR($F54/SUM($D54:$F54),"")</f>
        <v/>
      </c>
      <c r="O66" t="n">
        <v>65</v>
      </c>
      <c r="P66" t="inlineStr">
        <is>
          <t>02/02/2026</t>
        </is>
      </c>
      <c r="Q66" t="inlineStr">
        <is>
          <t>CD</t>
        </is>
      </c>
      <c r="R66" t="n">
        <v>334</v>
      </c>
      <c r="S66" t="n">
        <v>795</v>
      </c>
      <c r="T66" t="n">
        <v>307</v>
      </c>
    </row>
    <row r="67">
      <c r="H67">
        <f>IF(B55="","",TEXT(B55,"dd/mm") &amp; "-" &amp; IF(UPPER(TRIM(C55))="CN",1,IF(UPPER(TRIM(C55))="CD",2,"")))</f>
        <v/>
      </c>
      <c r="I67" s="1" t="n">
        <v>0.48</v>
      </c>
      <c r="J67" s="1" t="n">
        <v>0.6776470588235293</v>
      </c>
      <c r="K67" s="1">
        <f>IFERROR($E55/SUM($D55:$F55),"")</f>
        <v/>
      </c>
      <c r="L67" s="1">
        <f>IFERROR($D55/SUM($D55:$F55),"")</f>
        <v/>
      </c>
      <c r="M67" s="1">
        <f>IFERROR($F55/SUM($D55:$F55),"")</f>
        <v/>
      </c>
      <c r="O67" t="n">
        <v>66</v>
      </c>
      <c r="P67" t="inlineStr">
        <is>
          <t>03/02/2026</t>
        </is>
      </c>
      <c r="Q67" t="inlineStr">
        <is>
          <t>CN</t>
        </is>
      </c>
      <c r="R67" t="n">
        <v>302</v>
      </c>
      <c r="S67" t="n">
        <v>719</v>
      </c>
      <c r="T67" t="n">
        <v>415</v>
      </c>
    </row>
    <row r="68">
      <c r="H68">
        <f>IF(B56="","",TEXT(B56,"dd/mm") &amp; "-" &amp; IF(UPPER(TRIM(C56))="CN",1,IF(UPPER(TRIM(C56))="CD",2,"")))</f>
        <v/>
      </c>
      <c r="I68" s="1" t="n"/>
      <c r="J68" s="1" t="n"/>
      <c r="K68" s="1">
        <f>IFERROR($E56/SUM($D56:$F56),"")</f>
        <v/>
      </c>
      <c r="L68" s="1">
        <f>IFERROR($D56/SUM($D56:$F56),"")</f>
        <v/>
      </c>
      <c r="M68" s="1">
        <f>IFERROR($F56/SUM($D56:$F56),"")</f>
        <v/>
      </c>
      <c r="O68" t="n">
        <v>67</v>
      </c>
      <c r="P68" t="inlineStr">
        <is>
          <t>03/02/2026</t>
        </is>
      </c>
      <c r="Q68" t="inlineStr">
        <is>
          <t>CD</t>
        </is>
      </c>
      <c r="R68" t="n">
        <v>284</v>
      </c>
      <c r="S68" t="n">
        <v>845</v>
      </c>
      <c r="T68" t="n">
        <v>307</v>
      </c>
    </row>
    <row r="69">
      <c r="H69">
        <f>IF(B57="","",TEXT(B57,"dd/mm") &amp; "-" &amp; IF(UPPER(TRIM(C57))="CN",1,IF(UPPER(TRIM(C57))="CD",2,"")))</f>
        <v/>
      </c>
      <c r="I69" s="1" t="n"/>
      <c r="J69" s="1" t="n"/>
      <c r="K69" s="1">
        <f>IFERROR($E57/SUM($D57:$F57),"")</f>
        <v/>
      </c>
      <c r="L69" s="1">
        <f>IFERROR($D57/SUM($D57:$F57),"")</f>
        <v/>
      </c>
      <c r="M69" s="1">
        <f>IFERROR($F57/SUM($D57:$F57),"")</f>
        <v/>
      </c>
      <c r="O69" t="n">
        <v>68</v>
      </c>
      <c r="P69" t="inlineStr">
        <is>
          <t>04/02/2026</t>
        </is>
      </c>
      <c r="Q69" t="inlineStr">
        <is>
          <t>CN</t>
        </is>
      </c>
      <c r="R69" t="n">
        <v>224</v>
      </c>
      <c r="S69" t="n">
        <v>798</v>
      </c>
      <c r="T69" t="n">
        <v>416</v>
      </c>
    </row>
    <row r="70">
      <c r="H70">
        <f>IF(B58="","",TEXT(B58,"dd/mm") &amp; "-" &amp; IF(UPPER(TRIM(C58))="CN",1,IF(UPPER(TRIM(C58))="CD",2,"")))</f>
        <v/>
      </c>
      <c r="I70" s="1" t="n"/>
      <c r="J70" s="1" t="n"/>
      <c r="K70" s="1">
        <f>IFERROR($E58/SUM($D58:$F58),"")</f>
        <v/>
      </c>
      <c r="L70" s="1">
        <f>IFERROR($D58/SUM($D58:$F58),"")</f>
        <v/>
      </c>
      <c r="M70" s="1">
        <f>IFERROR($F58/SUM($D58:$F58),"")</f>
        <v/>
      </c>
      <c r="O70" t="n">
        <v>69</v>
      </c>
      <c r="P70" t="inlineStr">
        <is>
          <t>04/02/2026</t>
        </is>
      </c>
      <c r="Q70" t="inlineStr">
        <is>
          <t>CD</t>
        </is>
      </c>
      <c r="R70" t="n">
        <v>305</v>
      </c>
      <c r="S70" t="n">
        <v>822</v>
      </c>
      <c r="T70" t="n">
        <v>310</v>
      </c>
    </row>
    <row r="71">
      <c r="H71">
        <f>IF(B59="","",TEXT(B59,"dd/mm") &amp; "-" &amp; IF(UPPER(TRIM(C59))="CN",1,IF(UPPER(TRIM(C59))="CD",2,"")))</f>
        <v/>
      </c>
      <c r="I71" s="1" t="n"/>
      <c r="J71" s="1" t="n"/>
      <c r="K71" s="1">
        <f>IFERROR($E59/SUM($D59:$F59),"")</f>
        <v/>
      </c>
      <c r="L71" s="1">
        <f>IFERROR($D59/SUM($D59:$F59),"")</f>
        <v/>
      </c>
      <c r="M71" s="1">
        <f>IFERROR($F59/SUM($D59:$F59),"")</f>
        <v/>
      </c>
      <c r="O71" t="n">
        <v>70</v>
      </c>
      <c r="P71" t="inlineStr">
        <is>
          <t>05/02/2026</t>
        </is>
      </c>
      <c r="Q71" t="inlineStr">
        <is>
          <t>CN</t>
        </is>
      </c>
      <c r="R71" t="n">
        <v>284</v>
      </c>
      <c r="S71" t="n">
        <v>736</v>
      </c>
      <c r="T71" t="n">
        <v>415</v>
      </c>
    </row>
    <row r="72">
      <c r="H72">
        <f>IF(B60="","",TEXT(B60,"dd/mm") &amp; "-" &amp; IF(UPPER(TRIM(C60))="CN",1,IF(UPPER(TRIM(C60))="CD",2,"")))</f>
        <v/>
      </c>
      <c r="I72" s="1" t="n"/>
      <c r="J72" s="1" t="n"/>
      <c r="K72" s="1">
        <f>IFERROR($E60/SUM($D60:$F60),"")</f>
        <v/>
      </c>
      <c r="L72" s="1">
        <f>IFERROR($D60/SUM($D60:$F60),"")</f>
        <v/>
      </c>
      <c r="M72" s="1">
        <f>IFERROR($F60/SUM($D60:$F60),"")</f>
        <v/>
      </c>
      <c r="O72" t="n">
        <v>71</v>
      </c>
      <c r="P72" t="inlineStr">
        <is>
          <t>05/02/2026</t>
        </is>
      </c>
      <c r="Q72" t="inlineStr">
        <is>
          <t>CD</t>
        </is>
      </c>
      <c r="R72" t="n">
        <v>506</v>
      </c>
      <c r="S72" t="n">
        <v>614</v>
      </c>
      <c r="T72" t="n">
        <v>314</v>
      </c>
    </row>
    <row r="73">
      <c r="H73">
        <f>IF(B61="","",TEXT(B61,"dd/mm") &amp; "-" &amp; IF(UPPER(TRIM(C61))="CN",1,IF(UPPER(TRIM(C61))="CD",2,"")))</f>
        <v/>
      </c>
      <c r="I73" s="1" t="n"/>
      <c r="J73" s="1" t="n"/>
      <c r="K73" s="1">
        <f>IFERROR($E61/SUM($D61:$F61),"")</f>
        <v/>
      </c>
      <c r="L73" s="1">
        <f>IFERROR($D61/SUM($D61:$F61),"")</f>
        <v/>
      </c>
      <c r="M73" s="1">
        <f>IFERROR($F61/SUM($D61:$F61),"")</f>
        <v/>
      </c>
      <c r="O73" t="n">
        <v>72</v>
      </c>
      <c r="P73" t="inlineStr">
        <is>
          <t>06/02/2026</t>
        </is>
      </c>
      <c r="Q73" t="inlineStr">
        <is>
          <t>CN</t>
        </is>
      </c>
      <c r="R73" t="n">
        <v>340</v>
      </c>
      <c r="S73" t="n">
        <v>679</v>
      </c>
      <c r="T73" t="n">
        <v>417</v>
      </c>
    </row>
    <row r="74">
      <c r="H74">
        <f>IF(B62="","",TEXT(B62,"dd/mm") &amp; "-" &amp; IF(UPPER(TRIM(C62))="CN",1,IF(UPPER(TRIM(C62))="CD",2,"")))</f>
        <v/>
      </c>
      <c r="I74" s="1" t="n"/>
      <c r="J74" s="1" t="n"/>
      <c r="K74" s="1">
        <f>IFERROR($E62/SUM($D62:$F62),"")</f>
        <v/>
      </c>
      <c r="L74" s="1">
        <f>IFERROR($D62/SUM($D62:$F62),"")</f>
        <v/>
      </c>
      <c r="M74" s="1">
        <f>IFERROR($F62/SUM($D62:$F62),"")</f>
        <v/>
      </c>
      <c r="O74" t="n">
        <v>73</v>
      </c>
      <c r="P74" t="inlineStr">
        <is>
          <t>06/02/2026</t>
        </is>
      </c>
      <c r="Q74" t="inlineStr">
        <is>
          <t>CD</t>
        </is>
      </c>
      <c r="R74" t="n">
        <v>325</v>
      </c>
      <c r="S74" t="n">
        <v>796</v>
      </c>
      <c r="T74" t="n">
        <v>316</v>
      </c>
    </row>
    <row r="75">
      <c r="H75">
        <f>IF(B63="","",TEXT(B63,"dd/mm") &amp; "-" &amp; IF(UPPER(TRIM(C63))="CN",1,IF(UPPER(TRIM(C63))="CD",2,"")))</f>
        <v/>
      </c>
      <c r="I75" s="1" t="n"/>
      <c r="J75" s="1" t="n"/>
      <c r="K75" s="1">
        <f>IFERROR($E63/SUM($D63:$F63),"")</f>
        <v/>
      </c>
      <c r="L75" s="1">
        <f>IFERROR($D63/SUM($D63:$F63),"")</f>
        <v/>
      </c>
      <c r="M75" s="1">
        <f>IFERROR($F63/SUM($D63:$F63),"")</f>
        <v/>
      </c>
      <c r="O75" t="n">
        <v>74</v>
      </c>
      <c r="P75" t="inlineStr">
        <is>
          <t>07/02/2026</t>
        </is>
      </c>
      <c r="Q75" t="inlineStr">
        <is>
          <t>CN</t>
        </is>
      </c>
      <c r="R75" t="n">
        <v>272</v>
      </c>
      <c r="S75" t="n">
        <v>688</v>
      </c>
      <c r="T75" t="n">
        <v>477</v>
      </c>
    </row>
    <row r="76">
      <c r="I76" s="1" t="n"/>
      <c r="J76" s="1" t="n"/>
      <c r="K76" s="1" t="n"/>
      <c r="L76" s="1" t="n"/>
      <c r="M76" s="1" t="n"/>
      <c r="O76" t="n">
        <v>75</v>
      </c>
      <c r="P76" t="inlineStr">
        <is>
          <t>07/02/2026</t>
        </is>
      </c>
      <c r="Q76" t="inlineStr">
        <is>
          <t>CD</t>
        </is>
      </c>
      <c r="R76" t="n">
        <v>263</v>
      </c>
      <c r="S76" t="n">
        <v>689</v>
      </c>
      <c r="T76" t="n">
        <v>485</v>
      </c>
    </row>
    <row r="77">
      <c r="I77" s="1" t="n"/>
      <c r="J77" s="1" t="n"/>
      <c r="K77" s="1" t="n"/>
      <c r="L77" s="1" t="n"/>
      <c r="M77" s="1" t="n"/>
      <c r="O77" t="n">
        <v>76</v>
      </c>
      <c r="P77" t="inlineStr">
        <is>
          <t>08/02/2026</t>
        </is>
      </c>
      <c r="Q77" t="inlineStr">
        <is>
          <t>CN</t>
        </is>
      </c>
      <c r="R77" t="n">
        <v>0</v>
      </c>
      <c r="S77" t="n">
        <v>0</v>
      </c>
      <c r="T77" t="n">
        <v>1440</v>
      </c>
    </row>
    <row r="78">
      <c r="I78" s="1" t="n"/>
      <c r="J78" s="1" t="n"/>
      <c r="K78" s="1" t="n"/>
      <c r="L78" s="1" t="n"/>
      <c r="M78" s="1" t="n"/>
      <c r="O78" t="n">
        <v>77</v>
      </c>
      <c r="P78" t="inlineStr">
        <is>
          <t>08/02/2026</t>
        </is>
      </c>
      <c r="Q78" t="inlineStr">
        <is>
          <t>CD</t>
        </is>
      </c>
      <c r="R78" t="n">
        <v>0</v>
      </c>
      <c r="S78" t="n">
        <v>0</v>
      </c>
      <c r="T78" t="n">
        <v>1440</v>
      </c>
    </row>
    <row r="79">
      <c r="I79" s="1" t="n"/>
      <c r="J79" s="1" t="n"/>
      <c r="K79" s="1" t="n"/>
      <c r="L79" s="1" t="n"/>
      <c r="M79" s="1" t="n"/>
      <c r="O79" t="n">
        <v>78</v>
      </c>
      <c r="P79" t="inlineStr">
        <is>
          <t>09/02/2026</t>
        </is>
      </c>
      <c r="Q79" t="inlineStr">
        <is>
          <t>CN</t>
        </is>
      </c>
      <c r="R79" t="n">
        <v>361</v>
      </c>
      <c r="S79" t="n">
        <v>665</v>
      </c>
      <c r="T79" t="n">
        <v>410</v>
      </c>
    </row>
    <row r="80">
      <c r="I80" s="1" t="n"/>
      <c r="J80" s="1" t="n"/>
      <c r="K80" s="1" t="n"/>
      <c r="L80" s="1" t="n"/>
      <c r="M80" s="1" t="n"/>
      <c r="O80" t="n">
        <v>79</v>
      </c>
      <c r="P80" t="inlineStr">
        <is>
          <t>09/02/2026</t>
        </is>
      </c>
      <c r="Q80" t="inlineStr">
        <is>
          <t>CD</t>
        </is>
      </c>
      <c r="R80" t="n">
        <v>311</v>
      </c>
      <c r="S80" t="n">
        <v>815</v>
      </c>
      <c r="T80" t="n">
        <v>310</v>
      </c>
    </row>
    <row r="81">
      <c r="I81" s="1" t="n"/>
      <c r="J81" s="1" t="n"/>
      <c r="K81" s="1" t="n"/>
      <c r="L81" s="1" t="n"/>
      <c r="M81" s="1" t="n"/>
      <c r="O81" t="n">
        <v>80</v>
      </c>
      <c r="P81" t="inlineStr">
        <is>
          <t>10/02/2026</t>
        </is>
      </c>
      <c r="Q81" t="inlineStr">
        <is>
          <t>CN</t>
        </is>
      </c>
      <c r="R81" t="n">
        <v>351</v>
      </c>
      <c r="S81" t="n">
        <v>679</v>
      </c>
      <c r="T81" t="n">
        <v>406</v>
      </c>
    </row>
    <row r="82">
      <c r="I82" s="1" t="n"/>
      <c r="J82" s="1" t="n"/>
      <c r="K82" s="1" t="n"/>
      <c r="L82" s="1" t="n"/>
      <c r="M82" s="1" t="n"/>
      <c r="O82" t="n">
        <v>81</v>
      </c>
      <c r="P82" t="inlineStr">
        <is>
          <t>10/02/2026</t>
        </is>
      </c>
      <c r="Q82" t="inlineStr">
        <is>
          <t>CD</t>
        </is>
      </c>
      <c r="R82" t="n">
        <v>356</v>
      </c>
      <c r="S82" t="n">
        <v>766</v>
      </c>
      <c r="T82" t="n">
        <v>315</v>
      </c>
    </row>
    <row r="83">
      <c r="I83" s="1" t="n"/>
      <c r="J83" s="1" t="n"/>
      <c r="K83" s="1" t="n"/>
      <c r="L83" s="1" t="n"/>
      <c r="M83" s="1" t="n"/>
      <c r="O83" t="n">
        <v>82</v>
      </c>
      <c r="P83" t="inlineStr">
        <is>
          <t>11/02/2026</t>
        </is>
      </c>
      <c r="Q83" t="inlineStr">
        <is>
          <t>CN</t>
        </is>
      </c>
      <c r="R83" t="n">
        <v>498</v>
      </c>
      <c r="S83" t="n">
        <v>526</v>
      </c>
      <c r="T83" t="n">
        <v>412</v>
      </c>
    </row>
    <row r="84">
      <c r="I84" s="1" t="n"/>
      <c r="J84" s="1" t="n"/>
      <c r="K84" s="1" t="n"/>
      <c r="L84" s="1" t="n"/>
      <c r="M84" s="1" t="n"/>
      <c r="O84" t="n">
        <v>83</v>
      </c>
      <c r="P84" t="inlineStr">
        <is>
          <t>11/02/2026</t>
        </is>
      </c>
      <c r="Q84" t="inlineStr">
        <is>
          <t>CD</t>
        </is>
      </c>
      <c r="R84" t="n">
        <v>292</v>
      </c>
      <c r="S84" t="n">
        <v>837</v>
      </c>
      <c r="T84" t="n">
        <v>307</v>
      </c>
    </row>
    <row r="85">
      <c r="I85" s="1" t="n"/>
      <c r="J85" s="1" t="n"/>
      <c r="K85" s="1" t="n"/>
      <c r="L85" s="1" t="n"/>
      <c r="M85" s="1" t="n"/>
      <c r="O85" t="n">
        <v>84</v>
      </c>
      <c r="P85" t="inlineStr">
        <is>
          <t>12/02/2026</t>
        </is>
      </c>
      <c r="Q85" t="inlineStr">
        <is>
          <t>CN</t>
        </is>
      </c>
      <c r="R85" t="n">
        <v>151</v>
      </c>
      <c r="S85" t="n">
        <v>649</v>
      </c>
      <c r="T85" t="n">
        <v>636</v>
      </c>
    </row>
    <row r="86">
      <c r="I86" s="1" t="n"/>
      <c r="J86" s="1" t="n"/>
      <c r="K86" s="1" t="n"/>
      <c r="L86" s="1" t="n"/>
      <c r="M86" s="1" t="n"/>
      <c r="O86" t="n">
        <v>85</v>
      </c>
      <c r="P86" t="inlineStr">
        <is>
          <t>12/02/2026</t>
        </is>
      </c>
      <c r="Q86" t="inlineStr">
        <is>
          <t>CD</t>
        </is>
      </c>
      <c r="R86" t="n">
        <v>234</v>
      </c>
      <c r="S86" t="n">
        <v>893</v>
      </c>
      <c r="T86" t="n">
        <v>311</v>
      </c>
    </row>
    <row r="87">
      <c r="I87" s="1" t="n"/>
      <c r="J87" s="1" t="n"/>
      <c r="K87" s="1" t="n"/>
      <c r="L87" s="1" t="n"/>
      <c r="M87" s="1" t="n"/>
      <c r="O87" t="n">
        <v>86</v>
      </c>
      <c r="P87" t="inlineStr">
        <is>
          <t>13/02/2026</t>
        </is>
      </c>
      <c r="Q87" t="inlineStr">
        <is>
          <t>CN</t>
        </is>
      </c>
      <c r="R87" t="n">
        <v>329</v>
      </c>
      <c r="S87" t="n">
        <v>698</v>
      </c>
      <c r="T87" t="n">
        <v>408</v>
      </c>
    </row>
    <row r="88">
      <c r="I88" s="1" t="n"/>
      <c r="J88" s="1" t="n"/>
      <c r="K88" s="1" t="n"/>
      <c r="L88" s="1" t="n"/>
      <c r="M88" s="1" t="n"/>
      <c r="O88" t="n">
        <v>87</v>
      </c>
      <c r="P88" t="inlineStr">
        <is>
          <t>13/02/2026</t>
        </is>
      </c>
      <c r="Q88" t="inlineStr">
        <is>
          <t>CD</t>
        </is>
      </c>
      <c r="R88" t="n">
        <v>293</v>
      </c>
      <c r="S88" t="n">
        <v>398</v>
      </c>
      <c r="T88" t="n">
        <v>746</v>
      </c>
    </row>
    <row r="89">
      <c r="I89" s="1" t="n"/>
      <c r="J89" s="1" t="n"/>
      <c r="K89" s="1" t="n"/>
      <c r="L89" s="1" t="n"/>
      <c r="M89" s="1" t="n"/>
      <c r="O89" t="n">
        <v>88</v>
      </c>
      <c r="P89" t="inlineStr">
        <is>
          <t>14/02/2026</t>
        </is>
      </c>
      <c r="Q89" t="inlineStr">
        <is>
          <t>CN</t>
        </is>
      </c>
      <c r="R89" t="n">
        <v>0</v>
      </c>
      <c r="S89" t="n">
        <v>0</v>
      </c>
      <c r="T89" t="n">
        <v>1440</v>
      </c>
    </row>
    <row r="90">
      <c r="I90" s="1" t="n"/>
      <c r="J90" s="1" t="n"/>
      <c r="K90" s="1" t="n"/>
      <c r="L90" s="1" t="n"/>
      <c r="M90" s="1" t="n"/>
      <c r="O90" t="n">
        <v>89</v>
      </c>
      <c r="P90" t="inlineStr">
        <is>
          <t>14/02/2026</t>
        </is>
      </c>
      <c r="Q90" t="inlineStr">
        <is>
          <t>CD</t>
        </is>
      </c>
      <c r="R90" t="n">
        <v>0</v>
      </c>
      <c r="S90" t="n">
        <v>0</v>
      </c>
      <c r="T90" t="n">
        <v>1440</v>
      </c>
    </row>
    <row r="91">
      <c r="I91" s="1" t="n"/>
      <c r="J91" s="1" t="n"/>
      <c r="K91" s="1" t="n"/>
      <c r="L91" s="1" t="n"/>
      <c r="M91" s="1" t="n"/>
      <c r="O91" t="n">
        <v>90</v>
      </c>
      <c r="P91" t="inlineStr">
        <is>
          <t>15/02/2026</t>
        </is>
      </c>
      <c r="Q91" t="inlineStr">
        <is>
          <t>CN</t>
        </is>
      </c>
      <c r="R91" t="n">
        <v>0</v>
      </c>
      <c r="S91" t="n">
        <v>0</v>
      </c>
      <c r="T91" t="n">
        <v>1440</v>
      </c>
    </row>
    <row r="92">
      <c r="I92" s="1" t="n"/>
      <c r="J92" s="1" t="n"/>
      <c r="K92" s="1" t="n"/>
      <c r="L92" s="1" t="n"/>
      <c r="M92" s="1" t="n"/>
      <c r="O92" t="n">
        <v>91</v>
      </c>
      <c r="P92" t="inlineStr">
        <is>
          <t>15/02/2026</t>
        </is>
      </c>
      <c r="Q92" t="inlineStr">
        <is>
          <t>CD</t>
        </is>
      </c>
      <c r="R92" t="n">
        <v>0</v>
      </c>
      <c r="S92" t="n">
        <v>0</v>
      </c>
      <c r="T92" t="n">
        <v>1440</v>
      </c>
    </row>
    <row r="93">
      <c r="I93" s="1" t="n"/>
      <c r="J93" s="1" t="n"/>
      <c r="K93" s="1" t="n"/>
      <c r="L93" s="1" t="n"/>
      <c r="M93" s="1" t="n"/>
      <c r="O93" t="n">
        <v>92</v>
      </c>
      <c r="P93" t="inlineStr">
        <is>
          <t>16/02/2026</t>
        </is>
      </c>
      <c r="Q93" t="inlineStr">
        <is>
          <t>CN</t>
        </is>
      </c>
      <c r="R93" t="n">
        <v>0</v>
      </c>
      <c r="S93" t="n">
        <v>0</v>
      </c>
      <c r="T93" t="n">
        <v>1440</v>
      </c>
    </row>
    <row r="94">
      <c r="I94" s="1" t="n"/>
      <c r="J94" s="1" t="n"/>
      <c r="K94" s="1" t="n"/>
      <c r="L94" s="1" t="n"/>
      <c r="M94" s="1" t="n"/>
      <c r="O94" t="n">
        <v>93</v>
      </c>
      <c r="P94" t="inlineStr">
        <is>
          <t>16/02/2026</t>
        </is>
      </c>
      <c r="Q94" t="inlineStr">
        <is>
          <t>CD</t>
        </is>
      </c>
      <c r="R94" t="n">
        <v>0</v>
      </c>
      <c r="S94" t="n">
        <v>0</v>
      </c>
      <c r="T94" t="n">
        <v>1441</v>
      </c>
    </row>
    <row r="95">
      <c r="I95" s="1" t="n"/>
      <c r="J95" s="1" t="n"/>
      <c r="K95" s="1" t="n"/>
      <c r="L95" s="1" t="n"/>
      <c r="M95" s="1" t="n"/>
      <c r="O95" t="n">
        <v>94</v>
      </c>
      <c r="P95" t="inlineStr">
        <is>
          <t>17/02/2026</t>
        </is>
      </c>
      <c r="Q95" t="inlineStr">
        <is>
          <t>CN</t>
        </is>
      </c>
      <c r="R95" t="n">
        <v>0</v>
      </c>
      <c r="S95" t="n">
        <v>0</v>
      </c>
      <c r="T95" t="n">
        <v>1440</v>
      </c>
    </row>
    <row r="96">
      <c r="I96" s="1" t="n"/>
      <c r="J96" s="1" t="n"/>
      <c r="K96" s="1" t="n"/>
      <c r="L96" s="1" t="n"/>
      <c r="M96" s="1" t="n"/>
      <c r="O96" t="n">
        <v>95</v>
      </c>
      <c r="P96" t="inlineStr">
        <is>
          <t>17/02/2026</t>
        </is>
      </c>
      <c r="Q96" t="inlineStr">
        <is>
          <t>CD</t>
        </is>
      </c>
      <c r="R96" t="n">
        <v>0</v>
      </c>
      <c r="S96" t="n">
        <v>0</v>
      </c>
      <c r="T96" t="n">
        <v>1440</v>
      </c>
    </row>
    <row r="97">
      <c r="I97" s="1" t="n"/>
      <c r="J97" s="1" t="n"/>
      <c r="K97" s="1" t="n"/>
      <c r="L97" s="1" t="n"/>
      <c r="M97" s="1" t="n"/>
      <c r="O97" t="n">
        <v>96</v>
      </c>
      <c r="P97" t="inlineStr">
        <is>
          <t>18/02/2026</t>
        </is>
      </c>
      <c r="Q97" t="inlineStr">
        <is>
          <t>CN</t>
        </is>
      </c>
      <c r="R97" t="n">
        <v>0</v>
      </c>
      <c r="S97" t="n">
        <v>0</v>
      </c>
      <c r="T97" t="n">
        <v>1440</v>
      </c>
    </row>
    <row r="98">
      <c r="I98" s="1" t="n"/>
      <c r="J98" s="1" t="n"/>
      <c r="K98" s="1" t="n"/>
      <c r="L98" s="1" t="n"/>
      <c r="M98" s="1" t="n"/>
      <c r="O98" t="n">
        <v>97</v>
      </c>
      <c r="P98" t="inlineStr">
        <is>
          <t>18/02/2026</t>
        </is>
      </c>
      <c r="Q98" t="inlineStr">
        <is>
          <t>CD</t>
        </is>
      </c>
      <c r="R98" t="n">
        <v>0</v>
      </c>
      <c r="S98" t="n">
        <v>0</v>
      </c>
      <c r="T98" t="n">
        <v>1440</v>
      </c>
    </row>
    <row r="99">
      <c r="I99" s="1" t="n"/>
      <c r="J99" s="1" t="n"/>
      <c r="K99" s="1" t="n"/>
      <c r="L99" s="1" t="n"/>
      <c r="M99" s="1" t="n"/>
      <c r="O99" t="n">
        <v>98</v>
      </c>
      <c r="P99" t="inlineStr">
        <is>
          <t>19/02/2026</t>
        </is>
      </c>
      <c r="Q99" t="inlineStr">
        <is>
          <t>CN</t>
        </is>
      </c>
      <c r="R99" t="n">
        <v>0</v>
      </c>
      <c r="S99" t="n">
        <v>0</v>
      </c>
      <c r="T99" t="n">
        <v>1440</v>
      </c>
    </row>
    <row r="100">
      <c r="I100" s="1" t="n"/>
      <c r="J100" s="1" t="n"/>
      <c r="K100" s="1" t="n"/>
      <c r="L100" s="1" t="n"/>
      <c r="M100" s="1" t="n"/>
      <c r="O100" t="n">
        <v>99</v>
      </c>
      <c r="P100" t="inlineStr">
        <is>
          <t>19/02/2026</t>
        </is>
      </c>
      <c r="Q100" t="inlineStr">
        <is>
          <t>CD</t>
        </is>
      </c>
      <c r="R100" t="n">
        <v>0</v>
      </c>
      <c r="S100" t="n">
        <v>0</v>
      </c>
      <c r="T100" t="n">
        <v>1440</v>
      </c>
    </row>
    <row r="101">
      <c r="I101" s="1" t="n"/>
      <c r="J101" s="1" t="n"/>
      <c r="K101" s="1" t="n"/>
      <c r="L101" s="1" t="n"/>
      <c r="M101" s="1" t="n"/>
      <c r="O101" t="n">
        <v>100</v>
      </c>
      <c r="P101" t="inlineStr">
        <is>
          <t>20/02/2026</t>
        </is>
      </c>
      <c r="Q101" t="inlineStr">
        <is>
          <t>CN</t>
        </is>
      </c>
      <c r="R101" t="n">
        <v>0</v>
      </c>
      <c r="S101" t="n">
        <v>0</v>
      </c>
      <c r="T101" t="n">
        <v>1440</v>
      </c>
    </row>
    <row r="102">
      <c r="O102" t="n">
        <v>101</v>
      </c>
      <c r="P102" t="inlineStr">
        <is>
          <t>20/02/2026</t>
        </is>
      </c>
      <c r="Q102" t="inlineStr">
        <is>
          <t>CD</t>
        </is>
      </c>
      <c r="R102" t="n">
        <v>0</v>
      </c>
      <c r="S102" t="n">
        <v>0</v>
      </c>
      <c r="T102" t="n">
        <v>1440</v>
      </c>
    </row>
    <row r="103">
      <c r="O103" t="n">
        <v>102</v>
      </c>
      <c r="P103" t="inlineStr">
        <is>
          <t>21/02/2026</t>
        </is>
      </c>
      <c r="Q103" t="inlineStr">
        <is>
          <t>CN</t>
        </is>
      </c>
      <c r="R103" t="n">
        <v>0</v>
      </c>
      <c r="S103" t="n">
        <v>0</v>
      </c>
      <c r="T103" t="n">
        <v>1440</v>
      </c>
    </row>
    <row r="104">
      <c r="O104" t="n">
        <v>103</v>
      </c>
      <c r="P104" t="inlineStr">
        <is>
          <t>21/02/2026</t>
        </is>
      </c>
      <c r="Q104" t="inlineStr">
        <is>
          <t>CD</t>
        </is>
      </c>
      <c r="R104" t="n">
        <v>0</v>
      </c>
      <c r="S104" t="n">
        <v>0</v>
      </c>
      <c r="T104" t="n">
        <v>1440</v>
      </c>
    </row>
    <row r="105">
      <c r="O105" t="n">
        <v>104</v>
      </c>
      <c r="P105" t="inlineStr">
        <is>
          <t>22/02/2026</t>
        </is>
      </c>
      <c r="Q105" t="inlineStr">
        <is>
          <t>CN</t>
        </is>
      </c>
      <c r="R105" t="n">
        <v>0</v>
      </c>
      <c r="S105" t="n">
        <v>0</v>
      </c>
      <c r="T105" t="n">
        <v>1440</v>
      </c>
    </row>
    <row r="106">
      <c r="O106" t="n">
        <v>105</v>
      </c>
      <c r="P106" t="inlineStr">
        <is>
          <t>22/02/2026</t>
        </is>
      </c>
      <c r="Q106" t="inlineStr">
        <is>
          <t>CD</t>
        </is>
      </c>
      <c r="R106" t="n">
        <v>0</v>
      </c>
      <c r="S106" t="n">
        <v>0</v>
      </c>
      <c r="T106" t="n">
        <v>1440</v>
      </c>
    </row>
    <row r="107">
      <c r="O107" t="n">
        <v>106</v>
      </c>
      <c r="P107" t="inlineStr">
        <is>
          <t>23/02/2026</t>
        </is>
      </c>
      <c r="Q107" t="inlineStr">
        <is>
          <t>CN</t>
        </is>
      </c>
      <c r="R107" t="n">
        <v>175</v>
      </c>
      <c r="S107" t="n">
        <v>847</v>
      </c>
      <c r="T107" t="n">
        <v>415</v>
      </c>
    </row>
    <row r="108">
      <c r="O108" t="n">
        <v>107</v>
      </c>
      <c r="P108" t="inlineStr">
        <is>
          <t>23/02/2026</t>
        </is>
      </c>
      <c r="Q108" t="inlineStr">
        <is>
          <t>CD</t>
        </is>
      </c>
      <c r="R108" t="n">
        <v>337</v>
      </c>
      <c r="S108" t="n">
        <v>781</v>
      </c>
      <c r="T108" t="n">
        <v>320</v>
      </c>
    </row>
    <row r="109">
      <c r="O109" t="n">
        <v>108</v>
      </c>
      <c r="P109" t="inlineStr">
        <is>
          <t>24/02/2026</t>
        </is>
      </c>
      <c r="Q109" t="inlineStr">
        <is>
          <t>CN</t>
        </is>
      </c>
      <c r="R109" t="n">
        <v>298</v>
      </c>
      <c r="S109" t="n">
        <v>732</v>
      </c>
      <c r="T109" t="n">
        <v>407</v>
      </c>
    </row>
    <row r="110">
      <c r="O110" t="n">
        <v>109</v>
      </c>
      <c r="P110" t="inlineStr">
        <is>
          <t>24/02/2026</t>
        </is>
      </c>
      <c r="Q110" t="inlineStr">
        <is>
          <t>CD</t>
        </is>
      </c>
      <c r="R110" t="n">
        <v>317</v>
      </c>
      <c r="S110" t="n">
        <v>806</v>
      </c>
      <c r="T110" t="n">
        <v>313</v>
      </c>
    </row>
    <row r="111">
      <c r="O111" t="n">
        <v>110</v>
      </c>
      <c r="P111" t="inlineStr">
        <is>
          <t>25/02/2026</t>
        </is>
      </c>
      <c r="Q111" t="inlineStr">
        <is>
          <t>CN</t>
        </is>
      </c>
      <c r="R111" t="n">
        <v>318</v>
      </c>
      <c r="S111" t="n">
        <v>709</v>
      </c>
      <c r="T111" t="n">
        <v>408</v>
      </c>
    </row>
    <row r="112">
      <c r="O112" t="n">
        <v>111</v>
      </c>
      <c r="P112" t="inlineStr">
        <is>
          <t>25/02/2026</t>
        </is>
      </c>
      <c r="Q112" t="inlineStr">
        <is>
          <t>CD</t>
        </is>
      </c>
      <c r="R112" t="n">
        <v>342</v>
      </c>
      <c r="S112" t="n">
        <v>768</v>
      </c>
      <c r="T112" t="n">
        <v>327</v>
      </c>
    </row>
    <row r="113">
      <c r="O113" t="n">
        <v>112</v>
      </c>
      <c r="P113" t="inlineStr">
        <is>
          <t>26/02/2026</t>
        </is>
      </c>
      <c r="Q113" t="inlineStr">
        <is>
          <t>CN</t>
        </is>
      </c>
      <c r="R113" t="n">
        <v>420</v>
      </c>
      <c r="S113" t="n">
        <v>604</v>
      </c>
      <c r="T113" t="n">
        <v>409</v>
      </c>
    </row>
    <row r="114">
      <c r="O114" t="n">
        <v>113</v>
      </c>
      <c r="P114" t="inlineStr">
        <is>
          <t>26/02/2026</t>
        </is>
      </c>
      <c r="Q114" t="inlineStr">
        <is>
          <t>CD</t>
        </is>
      </c>
      <c r="R114" t="n">
        <v>319</v>
      </c>
      <c r="S114" t="n">
        <v>810</v>
      </c>
      <c r="T114" t="n">
        <v>307</v>
      </c>
    </row>
    <row r="115">
      <c r="O115" t="n">
        <v>114</v>
      </c>
      <c r="P115" t="inlineStr">
        <is>
          <t>27/02/2026</t>
        </is>
      </c>
      <c r="Q115" t="inlineStr">
        <is>
          <t>CN</t>
        </is>
      </c>
      <c r="R115" t="n">
        <v>304</v>
      </c>
      <c r="S115" t="n">
        <v>723</v>
      </c>
      <c r="T115" t="n">
        <v>408</v>
      </c>
    </row>
    <row r="116">
      <c r="O116" t="n">
        <v>115</v>
      </c>
      <c r="P116" t="inlineStr">
        <is>
          <t>27/02/2026</t>
        </is>
      </c>
      <c r="Q116" t="inlineStr">
        <is>
          <t>CD</t>
        </is>
      </c>
      <c r="R116" t="n">
        <v>276</v>
      </c>
      <c r="S116" t="n">
        <v>845</v>
      </c>
      <c r="T116" t="n">
        <v>316</v>
      </c>
    </row>
    <row r="117">
      <c r="O117" t="n">
        <v>116</v>
      </c>
      <c r="P117" t="inlineStr">
        <is>
          <t>28/02/2026</t>
        </is>
      </c>
      <c r="Q117" t="inlineStr">
        <is>
          <t>CN</t>
        </is>
      </c>
      <c r="R117" t="n">
        <v>265</v>
      </c>
      <c r="S117" t="n">
        <v>705</v>
      </c>
      <c r="T117" t="n">
        <v>467</v>
      </c>
    </row>
    <row r="118">
      <c r="O118" t="n">
        <v>117</v>
      </c>
      <c r="P118" t="inlineStr">
        <is>
          <t>28/02/2026</t>
        </is>
      </c>
      <c r="Q118" t="inlineStr">
        <is>
          <t>CD</t>
        </is>
      </c>
      <c r="R118" t="n">
        <v>390</v>
      </c>
      <c r="S118" t="n">
        <v>548</v>
      </c>
      <c r="T118" t="n">
        <v>499</v>
      </c>
    </row>
    <row r="119">
      <c r="O119" t="n">
        <v>118</v>
      </c>
      <c r="P119" t="inlineStr">
        <is>
          <t>01/03/2026</t>
        </is>
      </c>
      <c r="Q119" t="inlineStr">
        <is>
          <t>CN</t>
        </is>
      </c>
      <c r="R119" t="n">
        <v>0</v>
      </c>
      <c r="S119" t="n">
        <v>0</v>
      </c>
      <c r="T119" t="n">
        <v>1152</v>
      </c>
    </row>
    <row r="120">
      <c r="O120" t="n">
        <v>119</v>
      </c>
      <c r="P120" t="inlineStr">
        <is>
          <t>01/03/2026</t>
        </is>
      </c>
      <c r="Q120" t="inlineStr">
        <is>
          <t>CD</t>
        </is>
      </c>
      <c r="R120" t="n">
        <v>0</v>
      </c>
      <c r="S120" t="n">
        <v>0</v>
      </c>
      <c r="T120" t="n">
        <v>1440</v>
      </c>
    </row>
    <row r="121">
      <c r="O121" t="n">
        <v>120</v>
      </c>
      <c r="P121" t="inlineStr">
        <is>
          <t>02/03/2026</t>
        </is>
      </c>
      <c r="Q121" t="inlineStr">
        <is>
          <t>CN</t>
        </is>
      </c>
      <c r="R121" t="n">
        <v>335</v>
      </c>
      <c r="S121" t="n">
        <v>672</v>
      </c>
      <c r="T121" t="n">
        <v>431</v>
      </c>
    </row>
    <row r="122">
      <c r="O122" t="n">
        <v>121</v>
      </c>
      <c r="P122" t="inlineStr">
        <is>
          <t>02/03/2026</t>
        </is>
      </c>
      <c r="Q122" t="inlineStr">
        <is>
          <t>CD</t>
        </is>
      </c>
      <c r="R122" t="n">
        <v>298</v>
      </c>
      <c r="S122" t="n">
        <v>826</v>
      </c>
      <c r="T122" t="n">
        <v>312</v>
      </c>
    </row>
    <row r="123">
      <c r="O123" t="n">
        <v>122</v>
      </c>
      <c r="P123" t="inlineStr">
        <is>
          <t>03/03/2026</t>
        </is>
      </c>
      <c r="Q123" t="inlineStr">
        <is>
          <t>CN</t>
        </is>
      </c>
      <c r="R123" t="n">
        <v>310</v>
      </c>
      <c r="S123" t="n">
        <v>666</v>
      </c>
      <c r="T123" t="n">
        <v>462</v>
      </c>
    </row>
    <row r="124">
      <c r="O124" t="n">
        <v>123</v>
      </c>
      <c r="P124" t="inlineStr">
        <is>
          <t>03/03/2026</t>
        </is>
      </c>
      <c r="Q124" t="inlineStr">
        <is>
          <t>CD</t>
        </is>
      </c>
      <c r="R124" t="n">
        <v>369</v>
      </c>
      <c r="S124" t="n">
        <v>753</v>
      </c>
      <c r="T124" t="n">
        <v>315</v>
      </c>
    </row>
    <row r="125">
      <c r="O125" t="n">
        <v>124</v>
      </c>
      <c r="P125" t="inlineStr">
        <is>
          <t>04/03/2026</t>
        </is>
      </c>
      <c r="Q125" t="inlineStr">
        <is>
          <t>CN</t>
        </is>
      </c>
      <c r="R125" t="n">
        <v>364</v>
      </c>
      <c r="S125" t="n">
        <v>665</v>
      </c>
      <c r="T125" t="n">
        <v>408</v>
      </c>
    </row>
    <row r="126">
      <c r="O126" t="n">
        <v>125</v>
      </c>
      <c r="P126" t="inlineStr">
        <is>
          <t>04/03/2026</t>
        </is>
      </c>
      <c r="Q126" t="inlineStr">
        <is>
          <t>CD</t>
        </is>
      </c>
      <c r="R126" t="n">
        <v>256</v>
      </c>
      <c r="S126" t="n">
        <v>866</v>
      </c>
      <c r="T126" t="n">
        <v>316</v>
      </c>
    </row>
    <row r="127">
      <c r="O127" t="n">
        <v>126</v>
      </c>
      <c r="P127" t="inlineStr">
        <is>
          <t>05/03/2026</t>
        </is>
      </c>
      <c r="Q127" t="inlineStr">
        <is>
          <t>CN</t>
        </is>
      </c>
      <c r="R127" t="n">
        <v>228</v>
      </c>
      <c r="S127" t="n">
        <v>785</v>
      </c>
      <c r="T127" t="n">
        <v>424</v>
      </c>
    </row>
    <row r="128">
      <c r="O128" t="n">
        <v>127</v>
      </c>
      <c r="P128" t="inlineStr">
        <is>
          <t>05/03/2026</t>
        </is>
      </c>
      <c r="Q128" t="inlineStr">
        <is>
          <t>CD</t>
        </is>
      </c>
      <c r="R128" t="n">
        <v>187</v>
      </c>
      <c r="S128" t="n">
        <v>935</v>
      </c>
      <c r="T128" t="n">
        <v>314</v>
      </c>
    </row>
    <row r="129">
      <c r="O129" t="n">
        <v>128</v>
      </c>
      <c r="P129" t="inlineStr">
        <is>
          <t>06/03/2026</t>
        </is>
      </c>
      <c r="Q129" t="inlineStr">
        <is>
          <t>CN</t>
        </is>
      </c>
      <c r="R129" t="n">
        <v>369</v>
      </c>
      <c r="S129" t="n">
        <v>669</v>
      </c>
      <c r="T129" t="n">
        <v>398</v>
      </c>
    </row>
    <row r="130">
      <c r="O130" t="n">
        <v>129</v>
      </c>
      <c r="P130" t="inlineStr">
        <is>
          <t>06/03/2026</t>
        </is>
      </c>
      <c r="Q130" t="inlineStr">
        <is>
          <t>CD</t>
        </is>
      </c>
      <c r="R130" t="n">
        <v>224</v>
      </c>
      <c r="S130" t="n">
        <v>899</v>
      </c>
      <c r="T130" t="n">
        <v>314</v>
      </c>
    </row>
    <row r="131">
      <c r="O131" t="n">
        <v>130</v>
      </c>
      <c r="P131" t="inlineStr">
        <is>
          <t>07/03/2026</t>
        </is>
      </c>
      <c r="Q131" t="inlineStr">
        <is>
          <t>CN</t>
        </is>
      </c>
      <c r="R131" t="n">
        <v>364</v>
      </c>
      <c r="S131" t="n">
        <v>595</v>
      </c>
      <c r="T131" t="n">
        <v>481</v>
      </c>
    </row>
    <row r="132">
      <c r="O132" t="n">
        <v>131</v>
      </c>
      <c r="P132" t="inlineStr">
        <is>
          <t>07/03/2026</t>
        </is>
      </c>
      <c r="Q132" t="inlineStr">
        <is>
          <t>CD</t>
        </is>
      </c>
      <c r="R132" t="n">
        <v>331</v>
      </c>
      <c r="S132" t="n">
        <v>610</v>
      </c>
      <c r="T132" t="n">
        <v>495</v>
      </c>
    </row>
    <row r="133">
      <c r="O133" t="n">
        <v>132</v>
      </c>
      <c r="P133" t="inlineStr">
        <is>
          <t>08/03/2026</t>
        </is>
      </c>
      <c r="Q133" t="inlineStr">
        <is>
          <t>CN</t>
        </is>
      </c>
      <c r="R133" t="n">
        <v>0</v>
      </c>
      <c r="S133" t="n">
        <v>0</v>
      </c>
      <c r="T133" t="n">
        <v>1440</v>
      </c>
    </row>
    <row r="134">
      <c r="O134" t="n">
        <v>133</v>
      </c>
      <c r="P134" t="inlineStr">
        <is>
          <t>08/03/2026</t>
        </is>
      </c>
      <c r="Q134" t="inlineStr">
        <is>
          <t>CD</t>
        </is>
      </c>
      <c r="R134" t="n">
        <v>0</v>
      </c>
      <c r="S134" t="n">
        <v>0</v>
      </c>
      <c r="T134" t="n">
        <v>1440</v>
      </c>
    </row>
    <row r="135">
      <c r="O135" t="n">
        <v>134</v>
      </c>
      <c r="P135" t="inlineStr">
        <is>
          <t>09/03/2026</t>
        </is>
      </c>
      <c r="Q135" t="inlineStr">
        <is>
          <t>CN</t>
        </is>
      </c>
      <c r="R135" t="n">
        <v>290</v>
      </c>
      <c r="S135" t="n">
        <v>727</v>
      </c>
      <c r="T135" t="n">
        <v>419</v>
      </c>
    </row>
    <row r="136">
      <c r="O136" t="n">
        <v>135</v>
      </c>
      <c r="P136" t="inlineStr">
        <is>
          <t>09/03/2026</t>
        </is>
      </c>
      <c r="Q136" t="inlineStr">
        <is>
          <t>CD</t>
        </is>
      </c>
      <c r="R136" t="n">
        <v>348</v>
      </c>
      <c r="S136" t="n">
        <v>774</v>
      </c>
      <c r="T136" t="n">
        <v>314</v>
      </c>
    </row>
    <row r="137">
      <c r="O137" t="n">
        <v>136</v>
      </c>
      <c r="P137" t="inlineStr">
        <is>
          <t>10/03/2026</t>
        </is>
      </c>
      <c r="Q137" t="inlineStr">
        <is>
          <t>CN</t>
        </is>
      </c>
      <c r="R137" t="n">
        <v>380</v>
      </c>
      <c r="S137" t="n">
        <v>646</v>
      </c>
      <c r="T137" t="n">
        <v>410</v>
      </c>
    </row>
    <row r="138">
      <c r="O138" t="n">
        <v>137</v>
      </c>
      <c r="P138" t="inlineStr">
        <is>
          <t>10/03/2026</t>
        </is>
      </c>
      <c r="Q138" t="inlineStr">
        <is>
          <t>CD</t>
        </is>
      </c>
      <c r="R138" t="n">
        <v>474</v>
      </c>
      <c r="S138" t="n">
        <v>647</v>
      </c>
      <c r="T138" t="n">
        <v>316</v>
      </c>
    </row>
    <row r="139">
      <c r="O139" t="n">
        <v>138</v>
      </c>
      <c r="P139" t="inlineStr">
        <is>
          <t>11/03/2026</t>
        </is>
      </c>
      <c r="Q139" t="inlineStr">
        <is>
          <t>CN</t>
        </is>
      </c>
      <c r="R139" t="n">
        <v>477</v>
      </c>
      <c r="S139" t="n">
        <v>551</v>
      </c>
      <c r="T139" t="n">
        <v>409</v>
      </c>
    </row>
    <row r="140">
      <c r="O140" t="n">
        <v>139</v>
      </c>
      <c r="P140" t="inlineStr">
        <is>
          <t>11/03/2026</t>
        </is>
      </c>
      <c r="Q140" t="inlineStr">
        <is>
          <t>CD</t>
        </is>
      </c>
      <c r="R140" t="n">
        <v>335</v>
      </c>
      <c r="S140" t="n">
        <v>782</v>
      </c>
      <c r="T140" t="n">
        <v>320</v>
      </c>
    </row>
    <row r="141">
      <c r="O141" t="n">
        <v>140</v>
      </c>
      <c r="P141" t="inlineStr">
        <is>
          <t>12/03/2026</t>
        </is>
      </c>
      <c r="Q141" t="inlineStr">
        <is>
          <t>CN</t>
        </is>
      </c>
      <c r="R141" t="n">
        <v>483</v>
      </c>
      <c r="S141" t="n">
        <v>543</v>
      </c>
      <c r="T141" t="n">
        <v>410</v>
      </c>
    </row>
    <row r="142">
      <c r="O142" t="n">
        <v>141</v>
      </c>
      <c r="P142" t="inlineStr">
        <is>
          <t>12/03/2026</t>
        </is>
      </c>
      <c r="Q142" t="inlineStr">
        <is>
          <t>CD</t>
        </is>
      </c>
      <c r="R142" t="n">
        <v>463</v>
      </c>
      <c r="S142" t="n">
        <v>665</v>
      </c>
      <c r="T142" t="n">
        <v>308</v>
      </c>
    </row>
    <row r="143">
      <c r="O143" t="n">
        <v>142</v>
      </c>
      <c r="P143" t="inlineStr">
        <is>
          <t>13/03/2026</t>
        </is>
      </c>
      <c r="Q143" t="inlineStr">
        <is>
          <t>CN</t>
        </is>
      </c>
      <c r="R143" t="n">
        <v>382</v>
      </c>
      <c r="S143" t="n">
        <v>647</v>
      </c>
      <c r="T143" t="n">
        <v>408</v>
      </c>
    </row>
    <row r="144">
      <c r="O144" t="n">
        <v>143</v>
      </c>
      <c r="P144" t="inlineStr">
        <is>
          <t>13/03/2026</t>
        </is>
      </c>
      <c r="Q144" t="inlineStr">
        <is>
          <t>CD</t>
        </is>
      </c>
      <c r="R144" t="n">
        <v>438</v>
      </c>
      <c r="S144" t="n">
        <v>685</v>
      </c>
      <c r="T144" t="n">
        <v>314</v>
      </c>
    </row>
    <row r="145">
      <c r="O145" t="n">
        <v>144</v>
      </c>
      <c r="P145" t="inlineStr">
        <is>
          <t>14/03/2026</t>
        </is>
      </c>
      <c r="Q145" t="inlineStr">
        <is>
          <t>CN</t>
        </is>
      </c>
      <c r="R145" t="n">
        <v>389</v>
      </c>
      <c r="S145" t="n">
        <v>578</v>
      </c>
      <c r="T145" t="n">
        <v>470</v>
      </c>
    </row>
    <row r="146">
      <c r="O146" t="n">
        <v>145</v>
      </c>
      <c r="P146" t="inlineStr">
        <is>
          <t>14/03/2026</t>
        </is>
      </c>
      <c r="Q146" t="inlineStr">
        <is>
          <t>CD</t>
        </is>
      </c>
      <c r="R146" t="n">
        <v>321</v>
      </c>
      <c r="S146" t="n">
        <v>610</v>
      </c>
      <c r="T146" t="n">
        <v>505</v>
      </c>
    </row>
    <row r="147">
      <c r="O147" t="n">
        <v>146</v>
      </c>
      <c r="P147" t="inlineStr">
        <is>
          <t>15/03/2026</t>
        </is>
      </c>
      <c r="Q147" t="inlineStr">
        <is>
          <t>CN</t>
        </is>
      </c>
      <c r="R147" t="n">
        <v>0</v>
      </c>
      <c r="S147" t="n">
        <v>0</v>
      </c>
      <c r="T147" t="n">
        <v>1440</v>
      </c>
    </row>
    <row r="148">
      <c r="O148" t="n">
        <v>147</v>
      </c>
      <c r="P148" t="inlineStr">
        <is>
          <t>15/03/2026</t>
        </is>
      </c>
      <c r="Q148" t="inlineStr">
        <is>
          <t>CD</t>
        </is>
      </c>
      <c r="R148" t="n">
        <v>0</v>
      </c>
      <c r="S148" t="n">
        <v>0</v>
      </c>
      <c r="T148" t="n">
        <v>1440</v>
      </c>
    </row>
    <row r="149">
      <c r="O149" t="n">
        <v>148</v>
      </c>
      <c r="P149" t="inlineStr">
        <is>
          <t>16/03/2026</t>
        </is>
      </c>
      <c r="Q149" t="inlineStr">
        <is>
          <t>CN</t>
        </is>
      </c>
      <c r="R149" t="n">
        <v>292</v>
      </c>
      <c r="S149" t="n">
        <v>733</v>
      </c>
      <c r="T149" t="n">
        <v>412</v>
      </c>
    </row>
    <row r="150">
      <c r="O150" t="n">
        <v>149</v>
      </c>
      <c r="P150" t="inlineStr">
        <is>
          <t>16/03/2026</t>
        </is>
      </c>
      <c r="Q150" t="inlineStr">
        <is>
          <t>CD</t>
        </is>
      </c>
      <c r="R150" t="n">
        <v>349</v>
      </c>
      <c r="S150" t="n">
        <v>775</v>
      </c>
      <c r="T150" t="n">
        <v>313</v>
      </c>
    </row>
    <row r="151">
      <c r="O151" t="n">
        <v>150</v>
      </c>
      <c r="P151" t="inlineStr">
        <is>
          <t>17/03/2026</t>
        </is>
      </c>
      <c r="Q151" t="inlineStr">
        <is>
          <t>CN</t>
        </is>
      </c>
      <c r="R151" t="n">
        <v>315</v>
      </c>
      <c r="S151" t="n">
        <v>693</v>
      </c>
      <c r="T151" t="n">
        <v>429</v>
      </c>
    </row>
    <row r="152">
      <c r="O152" t="n">
        <v>151</v>
      </c>
      <c r="P152" t="inlineStr">
        <is>
          <t>17/03/2026</t>
        </is>
      </c>
      <c r="Q152" t="inlineStr">
        <is>
          <t>CD</t>
        </is>
      </c>
      <c r="R152" t="n">
        <v>422</v>
      </c>
      <c r="S152" t="n">
        <v>698</v>
      </c>
      <c r="T152" t="n">
        <v>315</v>
      </c>
    </row>
    <row r="153">
      <c r="O153" t="n">
        <v>152</v>
      </c>
      <c r="P153" t="inlineStr">
        <is>
          <t>18/03/2026</t>
        </is>
      </c>
      <c r="Q153" t="inlineStr">
        <is>
          <t>CN</t>
        </is>
      </c>
      <c r="R153" t="n">
        <v>282</v>
      </c>
      <c r="S153" t="n">
        <v>734</v>
      </c>
      <c r="T153" t="n">
        <v>420</v>
      </c>
    </row>
    <row r="154">
      <c r="O154" t="n">
        <v>153</v>
      </c>
      <c r="P154" t="inlineStr">
        <is>
          <t>18/03/2026</t>
        </is>
      </c>
      <c r="Q154" t="inlineStr">
        <is>
          <t>CD</t>
        </is>
      </c>
      <c r="R154" t="n">
        <v>299</v>
      </c>
      <c r="S154" t="n">
        <v>825</v>
      </c>
      <c r="T154" t="n">
        <v>312</v>
      </c>
    </row>
    <row r="155">
      <c r="O155" t="n">
        <v>154</v>
      </c>
      <c r="P155" t="inlineStr">
        <is>
          <t>19/03/2026</t>
        </is>
      </c>
      <c r="Q155" t="inlineStr">
        <is>
          <t>CN</t>
        </is>
      </c>
      <c r="R155" t="n">
        <v>216</v>
      </c>
      <c r="S155" t="n">
        <v>779</v>
      </c>
      <c r="T155" t="n">
        <v>442</v>
      </c>
    </row>
    <row r="156">
      <c r="O156" t="n">
        <v>155</v>
      </c>
      <c r="P156" t="inlineStr">
        <is>
          <t>19/03/2026</t>
        </is>
      </c>
      <c r="Q156" t="inlineStr">
        <is>
          <t>CD</t>
        </is>
      </c>
      <c r="R156" t="n">
        <v>231</v>
      </c>
      <c r="S156" t="n">
        <v>888</v>
      </c>
      <c r="T156" t="n">
        <v>317</v>
      </c>
    </row>
    <row r="157">
      <c r="O157" t="n">
        <v>156</v>
      </c>
      <c r="P157" t="inlineStr">
        <is>
          <t>20/03/2026</t>
        </is>
      </c>
      <c r="Q157" t="inlineStr">
        <is>
          <t>CN</t>
        </is>
      </c>
      <c r="R157" t="n">
        <v>350</v>
      </c>
      <c r="S157" t="n">
        <v>677</v>
      </c>
      <c r="T157" t="n">
        <v>409</v>
      </c>
    </row>
    <row r="158">
      <c r="O158" t="n">
        <v>157</v>
      </c>
      <c r="P158" t="inlineStr">
        <is>
          <t>20/03/2026</t>
        </is>
      </c>
      <c r="Q158" t="inlineStr">
        <is>
          <t>CD</t>
        </is>
      </c>
      <c r="R158" t="n">
        <v>344</v>
      </c>
      <c r="S158" t="n">
        <v>778</v>
      </c>
      <c r="T158" t="n">
        <v>314</v>
      </c>
    </row>
    <row r="159">
      <c r="O159" t="n">
        <v>158</v>
      </c>
      <c r="P159" t="inlineStr">
        <is>
          <t>21/03/2026</t>
        </is>
      </c>
      <c r="Q159" t="inlineStr">
        <is>
          <t>CN</t>
        </is>
      </c>
      <c r="R159" t="n">
        <v>0</v>
      </c>
      <c r="S159" t="n">
        <v>0</v>
      </c>
      <c r="T159" t="n">
        <v>1440</v>
      </c>
    </row>
    <row r="160">
      <c r="O160" t="n">
        <v>159</v>
      </c>
      <c r="P160" t="inlineStr">
        <is>
          <t>21/03/2026</t>
        </is>
      </c>
      <c r="Q160" t="inlineStr">
        <is>
          <t>CD</t>
        </is>
      </c>
      <c r="R160" t="n">
        <v>9</v>
      </c>
      <c r="S160" t="n">
        <v>0</v>
      </c>
      <c r="T160" t="n">
        <v>1430</v>
      </c>
    </row>
    <row r="161">
      <c r="O161" t="n">
        <v>160</v>
      </c>
      <c r="P161" t="inlineStr">
        <is>
          <t>22/03/2026</t>
        </is>
      </c>
      <c r="Q161" t="inlineStr">
        <is>
          <t>CD</t>
        </is>
      </c>
      <c r="R161" t="n">
        <v>0</v>
      </c>
      <c r="S161" t="n">
        <v>0</v>
      </c>
      <c r="T161" t="n">
        <v>1830</v>
      </c>
    </row>
    <row r="162">
      <c r="O162" t="n">
        <v>161</v>
      </c>
      <c r="P162" t="inlineStr">
        <is>
          <t>23/03/2026</t>
        </is>
      </c>
      <c r="Q162" t="inlineStr">
        <is>
          <t>CN</t>
        </is>
      </c>
      <c r="R162" t="n">
        <v>413</v>
      </c>
      <c r="S162" t="n">
        <v>412</v>
      </c>
      <c r="T162" t="n">
        <v>610</v>
      </c>
    </row>
    <row r="163">
      <c r="O163" t="n">
        <v>162</v>
      </c>
      <c r="P163" t="inlineStr">
        <is>
          <t>23/03/2026</t>
        </is>
      </c>
      <c r="Q163" t="inlineStr">
        <is>
          <t>CD</t>
        </is>
      </c>
      <c r="R163" t="n">
        <v>289</v>
      </c>
      <c r="S163" t="n">
        <v>833</v>
      </c>
      <c r="T163" t="n">
        <v>316</v>
      </c>
    </row>
    <row r="164">
      <c r="O164" t="n">
        <v>163</v>
      </c>
      <c r="P164" t="inlineStr">
        <is>
          <t>24/03/2026</t>
        </is>
      </c>
      <c r="Q164" t="inlineStr">
        <is>
          <t>CN</t>
        </is>
      </c>
      <c r="R164" t="n">
        <v>295</v>
      </c>
      <c r="S164" t="n">
        <v>733</v>
      </c>
      <c r="T164" t="n">
        <v>409</v>
      </c>
    </row>
    <row r="165">
      <c r="O165" t="n">
        <v>164</v>
      </c>
      <c r="P165" t="inlineStr">
        <is>
          <t>24/03/2026</t>
        </is>
      </c>
      <c r="Q165" t="inlineStr">
        <is>
          <t>CD</t>
        </is>
      </c>
      <c r="R165" t="n">
        <v>331</v>
      </c>
      <c r="S165" t="n">
        <v>656</v>
      </c>
      <c r="T165" t="n">
        <v>449</v>
      </c>
    </row>
    <row r="166">
      <c r="O166" t="n">
        <v>165</v>
      </c>
      <c r="P166" t="inlineStr">
        <is>
          <t>25/03/2026</t>
        </is>
      </c>
      <c r="Q166" t="inlineStr">
        <is>
          <t>CN</t>
        </is>
      </c>
      <c r="R166" t="n">
        <v>365</v>
      </c>
      <c r="S166" t="n">
        <v>663</v>
      </c>
      <c r="T166" t="n">
        <v>408</v>
      </c>
    </row>
    <row r="167">
      <c r="O167" t="n">
        <v>166</v>
      </c>
      <c r="P167" t="inlineStr">
        <is>
          <t>25/03/2026</t>
        </is>
      </c>
      <c r="Q167" t="inlineStr">
        <is>
          <t>CD</t>
        </is>
      </c>
      <c r="R167" t="n">
        <v>386</v>
      </c>
      <c r="S167" t="n">
        <v>731</v>
      </c>
      <c r="T167" t="n">
        <v>320</v>
      </c>
    </row>
    <row r="168">
      <c r="O168" t="n">
        <v>167</v>
      </c>
      <c r="P168" t="inlineStr">
        <is>
          <t>26/03/2026</t>
        </is>
      </c>
      <c r="Q168" t="inlineStr">
        <is>
          <t>CN</t>
        </is>
      </c>
      <c r="R168" t="n">
        <v>244</v>
      </c>
      <c r="S168" t="n">
        <v>785</v>
      </c>
      <c r="T168" t="n">
        <v>408</v>
      </c>
    </row>
    <row r="169">
      <c r="O169" t="n">
        <v>168</v>
      </c>
      <c r="P169" t="inlineStr">
        <is>
          <t>26/03/2026</t>
        </is>
      </c>
      <c r="Q169" t="inlineStr">
        <is>
          <t>CD</t>
        </is>
      </c>
      <c r="R169" t="n">
        <v>225</v>
      </c>
      <c r="S169" t="n">
        <v>898</v>
      </c>
      <c r="T169" t="n">
        <v>313</v>
      </c>
    </row>
    <row r="170">
      <c r="O170" t="n">
        <v>169</v>
      </c>
      <c r="P170" t="inlineStr">
        <is>
          <t>27/03/2026</t>
        </is>
      </c>
      <c r="Q170" t="inlineStr">
        <is>
          <t>CN</t>
        </is>
      </c>
      <c r="R170" t="n">
        <v>313</v>
      </c>
      <c r="S170" t="n">
        <v>719</v>
      </c>
      <c r="T170" t="n">
        <v>405</v>
      </c>
    </row>
    <row r="171">
      <c r="O171" t="n">
        <v>170</v>
      </c>
      <c r="P171" t="inlineStr">
        <is>
          <t>27/03/2026</t>
        </is>
      </c>
      <c r="Q171" t="inlineStr">
        <is>
          <t>CD</t>
        </is>
      </c>
      <c r="R171" t="n">
        <v>258</v>
      </c>
      <c r="S171" t="n">
        <v>866</v>
      </c>
      <c r="T171" t="n">
        <v>313</v>
      </c>
    </row>
    <row r="172">
      <c r="O172" t="n">
        <v>171</v>
      </c>
      <c r="P172" t="inlineStr">
        <is>
          <t>28/03/2026</t>
        </is>
      </c>
      <c r="Q172" t="inlineStr">
        <is>
          <t>CN</t>
        </is>
      </c>
      <c r="R172" t="n">
        <v>266</v>
      </c>
      <c r="S172" t="n">
        <v>705</v>
      </c>
      <c r="T172" t="n">
        <v>466</v>
      </c>
    </row>
    <row r="173">
      <c r="O173" t="n">
        <v>172</v>
      </c>
      <c r="P173" t="inlineStr">
        <is>
          <t>28/03/2026</t>
        </is>
      </c>
      <c r="Q173" t="inlineStr">
        <is>
          <t>CD</t>
        </is>
      </c>
      <c r="R173" t="n">
        <v>234</v>
      </c>
      <c r="S173" t="n">
        <v>698</v>
      </c>
      <c r="T173" t="n">
        <v>504</v>
      </c>
    </row>
    <row r="174">
      <c r="O174" t="n">
        <v>173</v>
      </c>
      <c r="P174" t="inlineStr">
        <is>
          <t>29/03/2026</t>
        </is>
      </c>
      <c r="Q174" t="inlineStr">
        <is>
          <t>CN</t>
        </is>
      </c>
      <c r="R174" t="n">
        <v>0</v>
      </c>
      <c r="S174" t="n">
        <v>0</v>
      </c>
      <c r="T174" t="n">
        <v>1440</v>
      </c>
    </row>
    <row r="175">
      <c r="O175" t="n">
        <v>174</v>
      </c>
      <c r="P175" t="inlineStr">
        <is>
          <t>29/03/2026</t>
        </is>
      </c>
      <c r="Q175" t="inlineStr">
        <is>
          <t>CD</t>
        </is>
      </c>
      <c r="R175" t="n">
        <v>0</v>
      </c>
      <c r="S175" t="n">
        <v>0</v>
      </c>
      <c r="T175" t="n">
        <v>1440</v>
      </c>
    </row>
    <row r="176">
      <c r="O176" t="n">
        <v>175</v>
      </c>
      <c r="P176" t="inlineStr">
        <is>
          <t>30/03/2026</t>
        </is>
      </c>
      <c r="Q176" t="inlineStr">
        <is>
          <t>CN</t>
        </is>
      </c>
      <c r="R176" t="n">
        <v>216</v>
      </c>
      <c r="S176" t="n">
        <v>813</v>
      </c>
      <c r="T176" t="n">
        <v>408</v>
      </c>
    </row>
    <row r="177">
      <c r="O177" t="n">
        <v>176</v>
      </c>
      <c r="P177" t="inlineStr">
        <is>
          <t>30/03/2026</t>
        </is>
      </c>
      <c r="Q177" t="inlineStr">
        <is>
          <t>CD</t>
        </is>
      </c>
      <c r="R177" t="n">
        <v>344</v>
      </c>
      <c r="S177" t="n">
        <v>782</v>
      </c>
      <c r="T177" t="n">
        <v>310</v>
      </c>
    </row>
    <row r="178">
      <c r="O178" t="n">
        <v>177</v>
      </c>
      <c r="P178" t="inlineStr">
        <is>
          <t>31/03/2026</t>
        </is>
      </c>
      <c r="Q178" t="inlineStr">
        <is>
          <t>CN</t>
        </is>
      </c>
      <c r="R178" t="n">
        <v>286</v>
      </c>
      <c r="S178" t="n">
        <v>747</v>
      </c>
      <c r="T178" t="n">
        <v>404</v>
      </c>
    </row>
    <row r="179">
      <c r="O179" t="n">
        <v>178</v>
      </c>
      <c r="P179" t="inlineStr">
        <is>
          <t>31/03/2026</t>
        </is>
      </c>
      <c r="Q179" t="inlineStr">
        <is>
          <t>CD</t>
        </is>
      </c>
      <c r="R179" t="n">
        <v>339</v>
      </c>
      <c r="S179" t="n">
        <v>813</v>
      </c>
      <c r="T179" t="n">
        <v>285</v>
      </c>
    </row>
    <row r="180">
      <c r="O180" t="n">
        <v>179</v>
      </c>
      <c r="P180" t="inlineStr">
        <is>
          <t>01/04/2026</t>
        </is>
      </c>
      <c r="Q180" t="inlineStr">
        <is>
          <t>CN</t>
        </is>
      </c>
      <c r="R180" t="n">
        <v>358</v>
      </c>
      <c r="S180" t="n">
        <v>672</v>
      </c>
      <c r="T180" t="n">
        <v>406</v>
      </c>
    </row>
    <row r="181">
      <c r="O181" t="n">
        <v>180</v>
      </c>
      <c r="P181" t="inlineStr">
        <is>
          <t>01/04/2026</t>
        </is>
      </c>
      <c r="Q181" t="inlineStr">
        <is>
          <t>CD</t>
        </is>
      </c>
      <c r="R181" t="n">
        <v>364</v>
      </c>
      <c r="S181" t="n">
        <v>754</v>
      </c>
      <c r="T181" t="n">
        <v>317</v>
      </c>
    </row>
    <row r="182">
      <c r="O182" t="n">
        <v>181</v>
      </c>
      <c r="P182" t="inlineStr">
        <is>
          <t>02/04/2026</t>
        </is>
      </c>
      <c r="Q182" t="inlineStr">
        <is>
          <t>CN</t>
        </is>
      </c>
      <c r="R182" t="n">
        <v>297</v>
      </c>
      <c r="S182" t="n">
        <v>731</v>
      </c>
      <c r="T182" t="n">
        <v>409</v>
      </c>
    </row>
    <row r="183">
      <c r="O183" t="n">
        <v>182</v>
      </c>
      <c r="P183" t="inlineStr">
        <is>
          <t>02/04/2026</t>
        </is>
      </c>
      <c r="Q183" t="inlineStr">
        <is>
          <t>CD</t>
        </is>
      </c>
      <c r="R183" t="n">
        <v>250</v>
      </c>
      <c r="S183" t="n">
        <v>865</v>
      </c>
      <c r="T183" t="n">
        <v>321</v>
      </c>
    </row>
    <row r="184">
      <c r="O184" t="n">
        <v>183</v>
      </c>
      <c r="P184" t="inlineStr">
        <is>
          <t>03/04/2026</t>
        </is>
      </c>
      <c r="Q184" t="inlineStr">
        <is>
          <t>CN</t>
        </is>
      </c>
      <c r="R184" t="n">
        <v>303</v>
      </c>
      <c r="S184" t="n">
        <v>714</v>
      </c>
      <c r="T184" t="n">
        <v>421</v>
      </c>
    </row>
    <row r="185">
      <c r="O185" t="n">
        <v>184</v>
      </c>
      <c r="P185" t="inlineStr">
        <is>
          <t>03/04/2026</t>
        </is>
      </c>
      <c r="Q185" t="inlineStr">
        <is>
          <t>CD</t>
        </is>
      </c>
      <c r="R185" t="n">
        <v>270</v>
      </c>
      <c r="S185" t="n">
        <v>739</v>
      </c>
      <c r="T185" t="n">
        <v>427</v>
      </c>
    </row>
    <row r="186">
      <c r="O186" t="n">
        <v>185</v>
      </c>
      <c r="P186" t="inlineStr">
        <is>
          <t>04/04/2026</t>
        </is>
      </c>
      <c r="Q186" t="inlineStr">
        <is>
          <t>CN</t>
        </is>
      </c>
      <c r="R186" t="n">
        <v>326</v>
      </c>
      <c r="S186" t="n">
        <v>639</v>
      </c>
      <c r="T186" t="n">
        <v>471</v>
      </c>
    </row>
    <row r="187">
      <c r="O187" t="n">
        <v>186</v>
      </c>
      <c r="P187" t="inlineStr">
        <is>
          <t>04/04/2026</t>
        </is>
      </c>
      <c r="Q187" t="inlineStr">
        <is>
          <t>CD</t>
        </is>
      </c>
      <c r="R187" t="n">
        <v>362</v>
      </c>
      <c r="S187" t="n">
        <v>559</v>
      </c>
      <c r="T187" t="n">
        <v>517</v>
      </c>
    </row>
    <row r="188">
      <c r="O188" t="n">
        <v>187</v>
      </c>
      <c r="P188" t="inlineStr">
        <is>
          <t>05/04/2026</t>
        </is>
      </c>
      <c r="Q188" t="inlineStr">
        <is>
          <t>CN</t>
        </is>
      </c>
      <c r="R188" t="n">
        <v>0</v>
      </c>
      <c r="S188" t="n">
        <v>0</v>
      </c>
      <c r="T188" t="n">
        <v>1440</v>
      </c>
    </row>
    <row r="189">
      <c r="O189" t="n">
        <v>188</v>
      </c>
      <c r="P189" t="inlineStr">
        <is>
          <t>05/04/2026</t>
        </is>
      </c>
      <c r="Q189" t="inlineStr">
        <is>
          <t>CD</t>
        </is>
      </c>
      <c r="R189" t="n">
        <v>0</v>
      </c>
      <c r="S189" t="n">
        <v>0</v>
      </c>
      <c r="T189" t="n">
        <v>1440</v>
      </c>
    </row>
    <row r="190">
      <c r="O190" t="n">
        <v>189</v>
      </c>
      <c r="P190" t="inlineStr">
        <is>
          <t>06/04/2026</t>
        </is>
      </c>
      <c r="Q190" t="inlineStr">
        <is>
          <t>CN</t>
        </is>
      </c>
      <c r="R190" t="n">
        <v>339</v>
      </c>
      <c r="S190" t="n">
        <v>692</v>
      </c>
      <c r="T190" t="n">
        <v>406</v>
      </c>
    </row>
    <row r="191">
      <c r="O191" t="n">
        <v>190</v>
      </c>
      <c r="P191" t="inlineStr">
        <is>
          <t>06/04/2026</t>
        </is>
      </c>
      <c r="Q191" t="inlineStr">
        <is>
          <t>CD</t>
        </is>
      </c>
      <c r="R191" t="n">
        <v>221</v>
      </c>
      <c r="S191" t="n">
        <v>896</v>
      </c>
      <c r="T191" t="n">
        <v>319</v>
      </c>
    </row>
    <row r="192">
      <c r="O192" t="n">
        <v>191</v>
      </c>
      <c r="P192" t="inlineStr">
        <is>
          <t>07/04/2026</t>
        </is>
      </c>
      <c r="Q192" t="inlineStr">
        <is>
          <t>CN</t>
        </is>
      </c>
      <c r="R192" t="n">
        <v>392</v>
      </c>
      <c r="S192" t="n">
        <v>638</v>
      </c>
      <c r="T192" t="n">
        <v>407</v>
      </c>
    </row>
    <row r="193">
      <c r="O193" t="n">
        <v>192</v>
      </c>
      <c r="P193" t="inlineStr">
        <is>
          <t>07/04/2026</t>
        </is>
      </c>
      <c r="Q193" t="inlineStr">
        <is>
          <t>CD</t>
        </is>
      </c>
      <c r="R193" t="n">
        <v>317</v>
      </c>
      <c r="S193" t="n">
        <v>799</v>
      </c>
      <c r="T193" t="n">
        <v>321</v>
      </c>
    </row>
    <row r="194">
      <c r="O194" t="n">
        <v>193</v>
      </c>
      <c r="P194" t="inlineStr">
        <is>
          <t>08/04/2026</t>
        </is>
      </c>
      <c r="Q194" t="inlineStr">
        <is>
          <t>CN</t>
        </is>
      </c>
      <c r="R194" t="n">
        <v>380</v>
      </c>
      <c r="S194" t="n">
        <v>652</v>
      </c>
      <c r="T194" t="n">
        <v>404</v>
      </c>
    </row>
    <row r="195">
      <c r="O195" t="n">
        <v>194</v>
      </c>
      <c r="P195" t="inlineStr">
        <is>
          <t>08/04/2026</t>
        </is>
      </c>
      <c r="Q195" t="inlineStr">
        <is>
          <t>CD</t>
        </is>
      </c>
      <c r="R195" t="n">
        <v>213</v>
      </c>
      <c r="S195" t="n">
        <v>908</v>
      </c>
      <c r="T195" t="n">
        <v>317</v>
      </c>
    </row>
    <row r="196">
      <c r="O196" t="n">
        <v>195</v>
      </c>
      <c r="P196" t="inlineStr">
        <is>
          <t>09/04/2026</t>
        </is>
      </c>
      <c r="Q196" t="inlineStr">
        <is>
          <t>CN</t>
        </is>
      </c>
      <c r="R196" t="n">
        <v>265</v>
      </c>
      <c r="S196" t="n">
        <v>766</v>
      </c>
      <c r="T196" t="n">
        <v>405</v>
      </c>
    </row>
    <row r="197">
      <c r="O197" t="n">
        <v>196</v>
      </c>
      <c r="P197" t="inlineStr">
        <is>
          <t>09/04/2026</t>
        </is>
      </c>
      <c r="Q197" t="inlineStr">
        <is>
          <t>CD</t>
        </is>
      </c>
      <c r="R197" t="n">
        <v>354</v>
      </c>
      <c r="S197" t="n">
        <v>769</v>
      </c>
      <c r="T197" t="n">
        <v>315</v>
      </c>
    </row>
    <row r="198">
      <c r="O198" t="n">
        <v>197</v>
      </c>
      <c r="P198" t="inlineStr">
        <is>
          <t>10/04/2026</t>
        </is>
      </c>
      <c r="Q198" t="inlineStr">
        <is>
          <t>CN</t>
        </is>
      </c>
      <c r="R198" t="n">
        <v>304</v>
      </c>
      <c r="S198" t="n">
        <v>730</v>
      </c>
      <c r="T198" t="n">
        <v>403</v>
      </c>
    </row>
    <row r="199">
      <c r="O199" t="n">
        <v>198</v>
      </c>
      <c r="P199" t="inlineStr">
        <is>
          <t>10/04/2026</t>
        </is>
      </c>
      <c r="Q199" t="inlineStr">
        <is>
          <t>CD</t>
        </is>
      </c>
      <c r="R199" t="n">
        <v>257</v>
      </c>
      <c r="S199" t="n">
        <v>868</v>
      </c>
      <c r="T199" t="n">
        <v>311</v>
      </c>
    </row>
    <row r="200">
      <c r="O200" t="n">
        <v>199</v>
      </c>
      <c r="P200" t="inlineStr">
        <is>
          <t>11/04/2026</t>
        </is>
      </c>
      <c r="Q200" t="inlineStr">
        <is>
          <t>CN</t>
        </is>
      </c>
      <c r="R200" t="n">
        <v>235</v>
      </c>
      <c r="S200" t="n">
        <v>724</v>
      </c>
      <c r="T200" t="n">
        <v>478</v>
      </c>
    </row>
    <row r="201">
      <c r="O201" t="n">
        <v>200</v>
      </c>
      <c r="P201" t="inlineStr">
        <is>
          <t>11/04/2026</t>
        </is>
      </c>
      <c r="Q201" t="inlineStr">
        <is>
          <t>CD</t>
        </is>
      </c>
      <c r="R201" t="n">
        <v>235</v>
      </c>
      <c r="S201" t="n">
        <v>695</v>
      </c>
      <c r="T201" t="n">
        <v>506</v>
      </c>
    </row>
    <row r="202">
      <c r="O202" t="n">
        <v>201</v>
      </c>
      <c r="P202" t="inlineStr">
        <is>
          <t>12/04/2026</t>
        </is>
      </c>
      <c r="Q202" t="inlineStr">
        <is>
          <t>CN</t>
        </is>
      </c>
      <c r="R202" t="n">
        <v>0</v>
      </c>
      <c r="S202" t="n">
        <v>0</v>
      </c>
      <c r="T202" t="n">
        <v>1440</v>
      </c>
    </row>
    <row r="203">
      <c r="O203" t="n">
        <v>202</v>
      </c>
      <c r="P203" t="inlineStr">
        <is>
          <t>12/04/2026</t>
        </is>
      </c>
      <c r="Q203" t="inlineStr">
        <is>
          <t>CD</t>
        </is>
      </c>
      <c r="R203" t="n">
        <v>0</v>
      </c>
      <c r="S203" t="n">
        <v>0</v>
      </c>
      <c r="T203" t="n">
        <v>1440</v>
      </c>
    </row>
    <row r="204">
      <c r="O204" t="n">
        <v>203</v>
      </c>
      <c r="P204" t="inlineStr">
        <is>
          <t>13/04/2026</t>
        </is>
      </c>
      <c r="Q204" t="inlineStr">
        <is>
          <t>CN</t>
        </is>
      </c>
      <c r="R204" t="n">
        <v>342</v>
      </c>
      <c r="S204" t="n">
        <v>689</v>
      </c>
      <c r="T204" t="n">
        <v>406</v>
      </c>
    </row>
    <row r="205">
      <c r="O205" t="n">
        <v>204</v>
      </c>
      <c r="P205" t="inlineStr">
        <is>
          <t>13/04/2026</t>
        </is>
      </c>
      <c r="Q205" t="inlineStr">
        <is>
          <t>CD</t>
        </is>
      </c>
      <c r="R205" t="n">
        <v>348</v>
      </c>
      <c r="S205" t="n">
        <v>771</v>
      </c>
      <c r="T205" t="n">
        <v>318</v>
      </c>
    </row>
    <row r="206">
      <c r="O206" t="n">
        <v>205</v>
      </c>
      <c r="P206" t="inlineStr">
        <is>
          <t>14/04/2026</t>
        </is>
      </c>
      <c r="Q206" t="inlineStr">
        <is>
          <t>CN</t>
        </is>
      </c>
      <c r="R206" t="n">
        <v>310</v>
      </c>
      <c r="S206" t="n">
        <v>723</v>
      </c>
      <c r="T206" t="n">
        <v>403</v>
      </c>
    </row>
    <row r="207">
      <c r="O207" t="n">
        <v>206</v>
      </c>
      <c r="P207" t="inlineStr">
        <is>
          <t>14/04/2026</t>
        </is>
      </c>
      <c r="Q207" t="inlineStr">
        <is>
          <t>CD</t>
        </is>
      </c>
      <c r="R207" t="n">
        <v>363</v>
      </c>
      <c r="S207" t="n">
        <v>753</v>
      </c>
      <c r="T207" t="n">
        <v>320</v>
      </c>
    </row>
    <row r="208">
      <c r="O208" t="n">
        <v>207</v>
      </c>
      <c r="P208" t="inlineStr">
        <is>
          <t>15/04/2026</t>
        </is>
      </c>
      <c r="Q208" t="inlineStr">
        <is>
          <t>CN</t>
        </is>
      </c>
      <c r="R208" t="n">
        <v>267</v>
      </c>
      <c r="S208" t="n">
        <v>758</v>
      </c>
      <c r="T208" t="n">
        <v>412</v>
      </c>
    </row>
    <row r="209">
      <c r="O209" t="n">
        <v>208</v>
      </c>
      <c r="P209" t="inlineStr">
        <is>
          <t>15/04/2026</t>
        </is>
      </c>
      <c r="Q209" t="inlineStr">
        <is>
          <t>CD</t>
        </is>
      </c>
      <c r="R209" t="n">
        <v>368</v>
      </c>
      <c r="S209" t="n">
        <v>749</v>
      </c>
      <c r="T209" t="n">
        <v>318</v>
      </c>
    </row>
    <row r="210">
      <c r="O210" t="n">
        <v>209</v>
      </c>
      <c r="P210" t="inlineStr">
        <is>
          <t>16/04/2026</t>
        </is>
      </c>
      <c r="Q210" t="inlineStr">
        <is>
          <t>CN</t>
        </is>
      </c>
      <c r="R210" t="n">
        <v>187</v>
      </c>
      <c r="S210" t="n">
        <v>841</v>
      </c>
      <c r="T210" t="n">
        <v>408</v>
      </c>
    </row>
    <row r="211">
      <c r="O211" t="n">
        <v>210</v>
      </c>
      <c r="P211" t="inlineStr">
        <is>
          <t>16/04/2026</t>
        </is>
      </c>
      <c r="Q211" t="inlineStr">
        <is>
          <t>CD</t>
        </is>
      </c>
      <c r="R211" t="n">
        <v>359</v>
      </c>
      <c r="S211" t="n">
        <v>760</v>
      </c>
      <c r="T211" t="n">
        <v>317</v>
      </c>
    </row>
    <row r="212">
      <c r="O212" t="n">
        <v>211</v>
      </c>
      <c r="P212" t="inlineStr">
        <is>
          <t>17/04/2026</t>
        </is>
      </c>
      <c r="Q212" t="inlineStr">
        <is>
          <t>CN</t>
        </is>
      </c>
      <c r="R212" t="n">
        <v>346</v>
      </c>
      <c r="S212" t="n">
        <v>680</v>
      </c>
      <c r="T212" t="n">
        <v>410</v>
      </c>
    </row>
    <row r="213">
      <c r="O213" t="n">
        <v>212</v>
      </c>
      <c r="P213" t="inlineStr">
        <is>
          <t>17/04/2026</t>
        </is>
      </c>
      <c r="Q213" t="inlineStr">
        <is>
          <t>CD</t>
        </is>
      </c>
      <c r="R213" t="n">
        <v>270</v>
      </c>
      <c r="S213" t="n">
        <v>725</v>
      </c>
      <c r="T213" t="n">
        <v>440</v>
      </c>
    </row>
    <row r="214">
      <c r="O214" t="n">
        <v>213</v>
      </c>
      <c r="P214" t="inlineStr">
        <is>
          <t>18/04/2026</t>
        </is>
      </c>
      <c r="Q214" t="inlineStr">
        <is>
          <t>CN</t>
        </is>
      </c>
      <c r="R214" t="n">
        <v>389</v>
      </c>
      <c r="S214" t="n">
        <v>578</v>
      </c>
      <c r="T214" t="n">
        <v>469</v>
      </c>
    </row>
    <row r="215">
      <c r="O215" t="n">
        <v>214</v>
      </c>
      <c r="P215" t="inlineStr">
        <is>
          <t>18/04/2026</t>
        </is>
      </c>
      <c r="Q215" t="inlineStr">
        <is>
          <t>CD</t>
        </is>
      </c>
      <c r="R215" t="n">
        <v>292</v>
      </c>
      <c r="S215" t="n">
        <v>622</v>
      </c>
      <c r="T215" t="n">
        <v>524</v>
      </c>
    </row>
    <row r="216">
      <c r="O216" t="n">
        <v>215</v>
      </c>
      <c r="P216" t="inlineStr">
        <is>
          <t>19/04/2026</t>
        </is>
      </c>
      <c r="Q216" t="inlineStr">
        <is>
          <t>CN</t>
        </is>
      </c>
      <c r="R216" t="n">
        <v>0</v>
      </c>
      <c r="S216" t="n">
        <v>0</v>
      </c>
      <c r="T216" t="n">
        <v>1440</v>
      </c>
    </row>
    <row r="217">
      <c r="O217" t="n">
        <v>216</v>
      </c>
      <c r="P217" t="inlineStr">
        <is>
          <t>19/04/2026</t>
        </is>
      </c>
      <c r="Q217" t="inlineStr">
        <is>
          <t>CD</t>
        </is>
      </c>
      <c r="R217" t="n">
        <v>0</v>
      </c>
      <c r="S217" t="n">
        <v>0</v>
      </c>
      <c r="T217" t="n">
        <v>1440</v>
      </c>
    </row>
    <row r="218">
      <c r="O218" t="n">
        <v>217</v>
      </c>
      <c r="P218" t="inlineStr">
        <is>
          <t>20/04/2026</t>
        </is>
      </c>
      <c r="Q218" t="inlineStr">
        <is>
          <t>CN</t>
        </is>
      </c>
      <c r="R218" t="n">
        <v>393</v>
      </c>
      <c r="S218" t="n">
        <v>637</v>
      </c>
      <c r="T218" t="n">
        <v>405</v>
      </c>
    </row>
    <row r="219">
      <c r="O219" t="n">
        <v>218</v>
      </c>
      <c r="P219" t="inlineStr">
        <is>
          <t>20/04/2026</t>
        </is>
      </c>
      <c r="Q219" t="inlineStr">
        <is>
          <t>CD</t>
        </is>
      </c>
      <c r="R219" t="n">
        <v>263</v>
      </c>
      <c r="S219" t="n">
        <v>852</v>
      </c>
      <c r="T219" t="n">
        <v>321</v>
      </c>
    </row>
    <row r="220">
      <c r="O220" t="n">
        <v>219</v>
      </c>
      <c r="P220" t="inlineStr">
        <is>
          <t>21/04/2026</t>
        </is>
      </c>
      <c r="Q220" t="inlineStr">
        <is>
          <t>CN</t>
        </is>
      </c>
      <c r="R220" t="n">
        <v>451</v>
      </c>
      <c r="S220" t="n">
        <v>578</v>
      </c>
      <c r="T220" t="n">
        <v>406</v>
      </c>
    </row>
    <row r="221">
      <c r="O221" t="n">
        <v>220</v>
      </c>
      <c r="P221" t="inlineStr">
        <is>
          <t>21/04/2026</t>
        </is>
      </c>
      <c r="Q221" t="inlineStr">
        <is>
          <t>CD</t>
        </is>
      </c>
      <c r="R221" t="n">
        <v>256</v>
      </c>
      <c r="S221" t="n">
        <v>823</v>
      </c>
      <c r="T221" t="n">
        <v>357</v>
      </c>
    </row>
    <row r="222">
      <c r="O222" t="n">
        <v>221</v>
      </c>
      <c r="P222" t="inlineStr">
        <is>
          <t>22/04/2026</t>
        </is>
      </c>
      <c r="Q222" t="inlineStr">
        <is>
          <t>CN</t>
        </is>
      </c>
      <c r="R222" t="n">
        <v>267</v>
      </c>
      <c r="S222" t="n">
        <v>765</v>
      </c>
      <c r="T222" t="n">
        <v>405</v>
      </c>
    </row>
    <row r="223">
      <c r="O223" t="n">
        <v>222</v>
      </c>
      <c r="P223" t="inlineStr">
        <is>
          <t>22/04/2026</t>
        </is>
      </c>
      <c r="Q223" t="inlineStr">
        <is>
          <t>CD</t>
        </is>
      </c>
      <c r="R223" t="n">
        <v>339</v>
      </c>
      <c r="S223" t="n">
        <v>782</v>
      </c>
      <c r="T223" t="n">
        <v>316</v>
      </c>
    </row>
    <row r="224">
      <c r="O224" t="n">
        <v>223</v>
      </c>
      <c r="P224" t="inlineStr">
        <is>
          <t>23/04/2026</t>
        </is>
      </c>
      <c r="Q224" t="inlineStr">
        <is>
          <t>CN</t>
        </is>
      </c>
      <c r="R224" t="n">
        <v>249</v>
      </c>
      <c r="S224" t="n">
        <v>786</v>
      </c>
      <c r="T224" t="n">
        <v>401</v>
      </c>
    </row>
    <row r="225">
      <c r="O225" t="n">
        <v>224</v>
      </c>
      <c r="P225" t="inlineStr">
        <is>
          <t>23/04/2026</t>
        </is>
      </c>
      <c r="Q225" t="inlineStr">
        <is>
          <t>CD</t>
        </is>
      </c>
      <c r="R225" t="n">
        <v>421</v>
      </c>
      <c r="S225" t="n">
        <v>689</v>
      </c>
      <c r="T225" t="n">
        <v>328</v>
      </c>
    </row>
    <row r="226">
      <c r="O226" t="n">
        <v>225</v>
      </c>
      <c r="P226" t="inlineStr">
        <is>
          <t>24/04/2026</t>
        </is>
      </c>
      <c r="Q226" t="inlineStr">
        <is>
          <t>CN</t>
        </is>
      </c>
      <c r="R226" t="n">
        <v>237</v>
      </c>
      <c r="S226" t="n">
        <v>797</v>
      </c>
      <c r="T226" t="n">
        <v>401</v>
      </c>
    </row>
    <row r="227">
      <c r="O227" t="n">
        <v>226</v>
      </c>
      <c r="P227" t="inlineStr">
        <is>
          <t>24/04/2026</t>
        </is>
      </c>
      <c r="Q227" t="inlineStr">
        <is>
          <t>CD</t>
        </is>
      </c>
      <c r="R227" t="n">
        <v>321</v>
      </c>
      <c r="S227" t="n">
        <v>793</v>
      </c>
      <c r="T227" t="n">
        <v>322</v>
      </c>
    </row>
    <row r="228">
      <c r="O228" t="n">
        <v>227</v>
      </c>
      <c r="P228" t="inlineStr">
        <is>
          <t>25/04/2026</t>
        </is>
      </c>
      <c r="Q228" t="inlineStr">
        <is>
          <t>CN</t>
        </is>
      </c>
      <c r="R228" t="n">
        <v>462</v>
      </c>
      <c r="S228" t="n">
        <v>498</v>
      </c>
      <c r="T228" t="n">
        <v>477</v>
      </c>
    </row>
    <row r="229">
      <c r="O229" t="n">
        <v>228</v>
      </c>
      <c r="P229" t="inlineStr">
        <is>
          <t>25/04/2026</t>
        </is>
      </c>
      <c r="Q229" t="inlineStr">
        <is>
          <t>CD</t>
        </is>
      </c>
      <c r="R229" t="n">
        <v>396</v>
      </c>
      <c r="S229" t="n">
        <v>544</v>
      </c>
      <c r="T229" t="n">
        <v>497</v>
      </c>
    </row>
    <row r="230">
      <c r="O230" t="n">
        <v>229</v>
      </c>
      <c r="P230" t="inlineStr">
        <is>
          <t>26/04/2026</t>
        </is>
      </c>
      <c r="Q230" t="inlineStr">
        <is>
          <t>CN</t>
        </is>
      </c>
      <c r="R230" t="n">
        <v>0</v>
      </c>
      <c r="S230" t="n">
        <v>0</v>
      </c>
      <c r="T230" t="n">
        <v>1440</v>
      </c>
    </row>
    <row r="231">
      <c r="O231" t="n">
        <v>230</v>
      </c>
      <c r="P231" t="inlineStr">
        <is>
          <t>26/04/2026</t>
        </is>
      </c>
      <c r="Q231" t="inlineStr">
        <is>
          <t>CD</t>
        </is>
      </c>
      <c r="R231" t="n">
        <v>0</v>
      </c>
      <c r="S231" t="n">
        <v>0</v>
      </c>
      <c r="T231" t="n">
        <v>1440</v>
      </c>
    </row>
    <row r="232">
      <c r="O232" t="n">
        <v>231</v>
      </c>
      <c r="P232" t="inlineStr">
        <is>
          <t>27/04/2026</t>
        </is>
      </c>
      <c r="Q232" t="inlineStr">
        <is>
          <t>CN</t>
        </is>
      </c>
      <c r="R232" t="n">
        <v>382</v>
      </c>
      <c r="S232" t="n">
        <v>649</v>
      </c>
      <c r="T232" t="n">
        <v>406</v>
      </c>
    </row>
    <row r="233">
      <c r="O233" t="n">
        <v>232</v>
      </c>
      <c r="P233" t="inlineStr">
        <is>
          <t>27/04/2026</t>
        </is>
      </c>
      <c r="Q233" t="inlineStr">
        <is>
          <t>CD</t>
        </is>
      </c>
      <c r="R233" t="n">
        <v>506</v>
      </c>
      <c r="S233" t="n">
        <v>574</v>
      </c>
      <c r="T233" t="n">
        <v>357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T233"/>
  <sheetViews>
    <sheetView topLeftCell="D1" workbookViewId="0">
      <selection activeCell="I2" sqref="I2:J75"/>
    </sheetView>
  </sheetViews>
  <sheetFormatPr baseColWidth="8" defaultRowHeight="14.75"/>
  <cols>
    <col width="3" bestFit="1" customWidth="1" min="1" max="1"/>
    <col width="10.86328125" bestFit="1" customWidth="1" min="2" max="3"/>
    <col width="34.08984375" bestFit="1" customWidth="1" min="4" max="4"/>
    <col width="30.54296875" bestFit="1" customWidth="1" min="5" max="5"/>
    <col width="22.6796875" bestFit="1" customWidth="1" min="6" max="6"/>
    <col width="11.6796875" bestFit="1" customWidth="1" min="9" max="10"/>
    <col width="8.31640625" bestFit="1" customWidth="1" min="11" max="11"/>
    <col width="11.54296875" bestFit="1" customWidth="1" min="12" max="12"/>
    <col width="10" bestFit="1" customWidth="1" min="13" max="13"/>
  </cols>
  <sheetData>
    <row r="1" customFormat="1" s="2">
      <c r="A1" s="3" t="inlineStr">
        <is>
          <t>ID</t>
        </is>
      </c>
      <c r="B1" s="3" t="inlineStr">
        <is>
          <t>Ngày tháng</t>
        </is>
      </c>
      <c r="C1" s="3" t="inlineStr">
        <is>
          <t>Ca làm việc</t>
        </is>
      </c>
      <c r="D1" s="3" t="inlineStr">
        <is>
          <t>Thời gian hoạt động không tải (phút)</t>
        </is>
      </c>
      <c r="E1" s="3" t="inlineStr">
        <is>
          <t>Thời gian hoạt động có tải (phút)</t>
        </is>
      </c>
      <c r="F1" s="3" t="inlineStr">
        <is>
          <t>Thời gian tắt máy (phút)</t>
        </is>
      </c>
      <c r="H1" s="3" t="inlineStr">
        <is>
          <t>Ngày - Ca</t>
        </is>
      </c>
      <c r="I1" s="3" t="inlineStr">
        <is>
          <t>Mục Tiêu C1</t>
        </is>
      </c>
      <c r="J1" s="3" t="inlineStr">
        <is>
          <t>Mục Tiêu C2</t>
        </is>
      </c>
      <c r="K1" s="3" t="inlineStr">
        <is>
          <t>% Có Tải</t>
        </is>
      </c>
      <c r="L1" s="3" t="inlineStr">
        <is>
          <t>% Không Tải</t>
        </is>
      </c>
      <c r="M1" s="3" t="inlineStr">
        <is>
          <t>% Tắt Máy</t>
        </is>
      </c>
    </row>
    <row r="2">
      <c r="A2" t="n">
        <v>1</v>
      </c>
      <c r="B2" t="inlineStr">
        <is>
          <t>01/04/2026</t>
        </is>
      </c>
      <c r="C2" t="inlineStr">
        <is>
          <t>CN</t>
        </is>
      </c>
      <c r="D2" t="n">
        <v>419</v>
      </c>
      <c r="E2" t="n">
        <v>486</v>
      </c>
      <c r="F2" t="n">
        <v>529</v>
      </c>
      <c r="H2" t="inlineStr">
        <is>
          <t>T1</t>
        </is>
      </c>
      <c r="I2" s="1" t="n">
        <v>0.38</v>
      </c>
      <c r="J2" s="1" t="n">
        <v>0.5364705882352941</v>
      </c>
      <c r="K2" s="1">
        <f>IFERROR(SUMIFS(S:S,P:P,"*/01/2026")/(SUMIFS(R:R,P:P,"*/01/2026")+SUMIFS(S:S,P:P,"*/01/2026")+SUMIFS(T:T,P:P,"*/01/2026")),"")</f>
        <v/>
      </c>
      <c r="L2" s="1">
        <f>IFERROR(SUMIFS(R:R,P:P,"*/01/2026")/(SUMIFS(R:R,P:P,"*/01/2026")+SUMIFS(S:S,P:P,"*/01/2026")+SUMIFS(T:T,P:P,"*/01/2026")),"")</f>
        <v/>
      </c>
      <c r="M2" s="1">
        <f>IFERROR(SUMIFS(T:T,P:P,"*/01/2026")/(SUMIFS(R:R,P:P,"*/01/2026")+SUMIFS(S:S,P:P,"*/01/2026")+SUMIFS(T:T,P:P,"*/01/2026")),"")</f>
        <v/>
      </c>
      <c r="O2" t="n">
        <v>1</v>
      </c>
      <c r="P2" t="inlineStr">
        <is>
          <t>01/01/2026</t>
        </is>
      </c>
      <c r="Q2" t="inlineStr">
        <is>
          <t>CN</t>
        </is>
      </c>
      <c r="R2" t="n">
        <v>0</v>
      </c>
      <c r="S2" t="n">
        <v>0</v>
      </c>
      <c r="T2" t="n">
        <v>1440</v>
      </c>
    </row>
    <row r="3">
      <c r="A3" t="n">
        <v>2</v>
      </c>
      <c r="B3" t="inlineStr">
        <is>
          <t>01/04/2026</t>
        </is>
      </c>
      <c r="C3" t="inlineStr">
        <is>
          <t>CD</t>
        </is>
      </c>
      <c r="D3" t="n">
        <v>331</v>
      </c>
      <c r="E3" t="n">
        <v>313</v>
      </c>
      <c r="F3" t="n">
        <v>796</v>
      </c>
      <c r="H3" t="inlineStr">
        <is>
          <t>T2</t>
        </is>
      </c>
      <c r="I3" s="1" t="n">
        <v>0.38</v>
      </c>
      <c r="J3" s="1" t="n">
        <v>0.5364705882352941</v>
      </c>
      <c r="K3" s="1">
        <f>IFERROR(SUMIFS(S:S,P:P,"*/02/2026")/(SUMIFS(R:R,P:P,"*/02/2026")+SUMIFS(S:S,P:P,"*/02/2026")+SUMIFS(T:T,P:P,"*/02/2026")),"")</f>
        <v/>
      </c>
      <c r="L3" s="1">
        <f>IFERROR(SUMIFS(R:R,P:P,"*/02/2026")/(SUMIFS(R:R,P:P,"*/02/2026")+SUMIFS(S:S,P:P,"*/02/2026")+SUMIFS(T:T,P:P,"*/02/2026")),"")</f>
        <v/>
      </c>
      <c r="M3" s="1">
        <f>IFERROR(SUMIFS(T:T,P:P,"*/02/2026")/(SUMIFS(R:R,P:P,"*/02/2026")+SUMIFS(S:S,P:P,"*/02/2026")+SUMIFS(T:T,P:P,"*/02/2026")),"")</f>
        <v/>
      </c>
      <c r="O3" t="n">
        <v>2</v>
      </c>
      <c r="P3" t="inlineStr">
        <is>
          <t>01/01/2026</t>
        </is>
      </c>
      <c r="Q3" t="inlineStr">
        <is>
          <t>CD</t>
        </is>
      </c>
      <c r="R3" t="n">
        <v>65</v>
      </c>
      <c r="S3" t="n">
        <v>7</v>
      </c>
      <c r="T3" t="n">
        <v>1367</v>
      </c>
    </row>
    <row r="4">
      <c r="A4" t="n">
        <v>3</v>
      </c>
      <c r="B4" t="inlineStr">
        <is>
          <t>02/04/2026</t>
        </is>
      </c>
      <c r="C4" t="inlineStr">
        <is>
          <t>CN</t>
        </is>
      </c>
      <c r="D4" t="n">
        <v>192</v>
      </c>
      <c r="E4" t="n">
        <v>207</v>
      </c>
      <c r="F4" t="n">
        <v>1040</v>
      </c>
      <c r="H4" t="inlineStr">
        <is>
          <t>T3</t>
        </is>
      </c>
      <c r="I4" s="1" t="n">
        <v>0.38</v>
      </c>
      <c r="J4" s="1" t="n">
        <v>0.5364705882352941</v>
      </c>
      <c r="K4" s="1">
        <f>IFERROR(SUMIFS(S:S,P:P,"*/03/2026")/(SUMIFS(R:R,P:P,"*/03/2026")+SUMIFS(S:S,P:P,"*/03/2026")+SUMIFS(T:T,P:P,"*/03/2026")),"")</f>
        <v/>
      </c>
      <c r="L4" s="1">
        <f>IFERROR(SUMIFS(R:R,P:P,"*/03/2026")/(SUMIFS(R:R,P:P,"*/03/2026")+SUMIFS(S:S,P:P,"*/03/2026")+SUMIFS(T:T,P:P,"*/03/2026")),"")</f>
        <v/>
      </c>
      <c r="M4" s="1">
        <f>IFERROR(SUMIFS(T:T,P:P,"*/03/2026")/(SUMIFS(R:R,P:P,"*/03/2026")+SUMIFS(S:S,P:P,"*/03/2026")+SUMIFS(T:T,P:P,"*/03/2026")),"")</f>
        <v/>
      </c>
      <c r="O4" t="n">
        <v>3</v>
      </c>
      <c r="P4" t="inlineStr">
        <is>
          <t>02/01/2026</t>
        </is>
      </c>
      <c r="Q4" t="inlineStr">
        <is>
          <t>CN</t>
        </is>
      </c>
      <c r="R4" t="n">
        <v>463</v>
      </c>
      <c r="S4" t="n">
        <v>341</v>
      </c>
      <c r="T4" t="n">
        <v>632</v>
      </c>
    </row>
    <row r="5">
      <c r="A5" t="n">
        <v>4</v>
      </c>
      <c r="B5" t="inlineStr">
        <is>
          <t>02/04/2026</t>
        </is>
      </c>
      <c r="C5" t="inlineStr">
        <is>
          <t>CD</t>
        </is>
      </c>
      <c r="D5" t="n">
        <v>225</v>
      </c>
      <c r="E5" t="n">
        <v>414</v>
      </c>
      <c r="F5" t="n">
        <v>799</v>
      </c>
      <c r="H5" t="inlineStr">
        <is>
          <t>T4</t>
        </is>
      </c>
      <c r="I5" s="1" t="n">
        <v>0.38</v>
      </c>
      <c r="J5" s="1" t="n">
        <v>0.5364705882352941</v>
      </c>
      <c r="K5" s="1">
        <f>IFERROR(SUMIFS(S:S,P:P,"*/04/2026")/(SUMIFS(R:R,P:P,"*/04/2026")+SUMIFS(S:S,P:P,"*/04/2026")+SUMIFS(T:T,P:P,"*/04/2026")),"")</f>
        <v/>
      </c>
      <c r="L5" s="1">
        <f>IFERROR(SUMIFS(R:R,P:P,"*/04/2026")/(SUMIFS(R:R,P:P,"*/04/2026")+SUMIFS(S:S,P:P,"*/04/2026")+SUMIFS(T:T,P:P,"*/04/2026")),"")</f>
        <v/>
      </c>
      <c r="M5" s="1">
        <f>IFERROR(SUMIFS(T:T,P:P,"*/04/2026")/(SUMIFS(R:R,P:P,"*/04/2026")+SUMIFS(S:S,P:P,"*/04/2026")+SUMIFS(T:T,P:P,"*/04/2026")),"")</f>
        <v/>
      </c>
      <c r="O5" t="n">
        <v>4</v>
      </c>
      <c r="P5" t="inlineStr">
        <is>
          <t>02/01/2026</t>
        </is>
      </c>
      <c r="Q5" t="inlineStr">
        <is>
          <t>CD</t>
        </is>
      </c>
      <c r="R5" t="n">
        <v>212</v>
      </c>
      <c r="S5" t="n">
        <v>174</v>
      </c>
      <c r="T5" t="n">
        <v>1052</v>
      </c>
    </row>
    <row r="6">
      <c r="A6" t="n">
        <v>5</v>
      </c>
      <c r="B6" t="inlineStr">
        <is>
          <t>03/04/2026</t>
        </is>
      </c>
      <c r="C6" t="inlineStr">
        <is>
          <t>CN</t>
        </is>
      </c>
      <c r="D6" t="n">
        <v>159</v>
      </c>
      <c r="E6" t="n">
        <v>244</v>
      </c>
      <c r="F6" t="n">
        <v>1035</v>
      </c>
      <c r="H6" t="inlineStr">
        <is>
          <t>T5</t>
        </is>
      </c>
      <c r="I6" s="1" t="n">
        <v>0.38</v>
      </c>
      <c r="J6" s="1" t="n">
        <v>0.5364705882352941</v>
      </c>
      <c r="K6" s="1">
        <f>IFERROR(SUMIFS(S:S,P:P,"*/05/2026")/(SUMIFS(R:R,P:P,"*/05/2026")+SUMIFS(S:S,P:P,"*/05/2026")+SUMIFS(T:T,P:P,"*/05/2026")),"")</f>
        <v/>
      </c>
      <c r="L6" s="1">
        <f>IFERROR(SUMIFS(R:R,P:P,"*/05/2026")/(SUMIFS(R:R,P:P,"*/05/2026")+SUMIFS(S:S,P:P,"*/05/2026")+SUMIFS(T:T,P:P,"*/05/2026")),"")</f>
        <v/>
      </c>
      <c r="M6" s="1">
        <f>IFERROR(SUMIFS(T:T,P:P,"*/05/2026")/(SUMIFS(R:R,P:P,"*/05/2026")+SUMIFS(S:S,P:P,"*/05/2026")+SUMIFS(T:T,P:P,"*/05/2026")),"")</f>
        <v/>
      </c>
      <c r="O6" t="n">
        <v>5</v>
      </c>
      <c r="P6" t="inlineStr">
        <is>
          <t>03/01/2026</t>
        </is>
      </c>
      <c r="Q6" t="inlineStr">
        <is>
          <t>CD</t>
        </is>
      </c>
      <c r="R6" t="n">
        <v>581</v>
      </c>
      <c r="S6" t="n">
        <v>421</v>
      </c>
      <c r="T6" t="n">
        <v>1335</v>
      </c>
    </row>
    <row r="7">
      <c r="A7" t="n">
        <v>6</v>
      </c>
      <c r="B7" t="inlineStr">
        <is>
          <t>03/04/2026</t>
        </is>
      </c>
      <c r="C7" t="inlineStr">
        <is>
          <t>CD</t>
        </is>
      </c>
      <c r="D7" t="n">
        <v>279</v>
      </c>
      <c r="E7" t="n">
        <v>296</v>
      </c>
      <c r="F7" t="n">
        <v>862</v>
      </c>
      <c r="H7" t="inlineStr">
        <is>
          <t>T6</t>
        </is>
      </c>
      <c r="I7" s="1" t="n">
        <v>0.38</v>
      </c>
      <c r="J7" s="1" t="n">
        <v>0.5364705882352941</v>
      </c>
      <c r="K7" s="1">
        <f>IFERROR(SUMIFS(S:S,P:P,"*/06/2026")/(SUMIFS(R:R,P:P,"*/06/2026")+SUMIFS(S:S,P:P,"*/06/2026")+SUMIFS(T:T,P:P,"*/06/2026")),"")</f>
        <v/>
      </c>
      <c r="L7" s="1">
        <f>IFERROR(SUMIFS(R:R,P:P,"*/06/2026")/(SUMIFS(R:R,P:P,"*/06/2026")+SUMIFS(S:S,P:P,"*/06/2026")+SUMIFS(T:T,P:P,"*/06/2026")),"")</f>
        <v/>
      </c>
      <c r="M7" s="1">
        <f>IFERROR(SUMIFS(T:T,P:P,"*/06/2026")/(SUMIFS(R:R,P:P,"*/06/2026")+SUMIFS(S:S,P:P,"*/06/2026")+SUMIFS(T:T,P:P,"*/06/2026")),"")</f>
        <v/>
      </c>
      <c r="O7" t="n">
        <v>6</v>
      </c>
      <c r="P7" t="inlineStr">
        <is>
          <t>04/01/2026</t>
        </is>
      </c>
      <c r="Q7" t="inlineStr">
        <is>
          <t>CN</t>
        </is>
      </c>
      <c r="R7" t="n">
        <v>0</v>
      </c>
      <c r="S7" t="n">
        <v>0</v>
      </c>
      <c r="T7" t="n">
        <v>1440</v>
      </c>
    </row>
    <row r="8">
      <c r="A8" t="n">
        <v>7</v>
      </c>
      <c r="B8" t="inlineStr">
        <is>
          <t>04/04/2026</t>
        </is>
      </c>
      <c r="C8" t="inlineStr">
        <is>
          <t>CN</t>
        </is>
      </c>
      <c r="D8" t="n">
        <v>158</v>
      </c>
      <c r="E8" t="n">
        <v>242</v>
      </c>
      <c r="F8" t="n">
        <v>1039</v>
      </c>
      <c r="H8" t="inlineStr">
        <is>
          <t>T7</t>
        </is>
      </c>
      <c r="I8" s="1" t="n">
        <v>0.38</v>
      </c>
      <c r="J8" s="1" t="n">
        <v>0.5364705882352941</v>
      </c>
      <c r="K8" s="1">
        <f>IFERROR(SUMIFS(S:S,P:P,"*/07/2026")/(SUMIFS(R:R,P:P,"*/07/2026")+SUMIFS(S:S,P:P,"*/07/2026")+SUMIFS(T:T,P:P,"*/07/2026")),"")</f>
        <v/>
      </c>
      <c r="L8" s="1">
        <f>IFERROR(SUMIFS(R:R,P:P,"*/07/2026")/(SUMIFS(R:R,P:P,"*/07/2026")+SUMIFS(S:S,P:P,"*/07/2026")+SUMIFS(T:T,P:P,"*/07/2026")),"")</f>
        <v/>
      </c>
      <c r="M8" s="1">
        <f>IFERROR(SUMIFS(T:T,P:P,"*/07/2026")/(SUMIFS(R:R,P:P,"*/07/2026")+SUMIFS(S:S,P:P,"*/07/2026")+SUMIFS(T:T,P:P,"*/07/2026")),"")</f>
        <v/>
      </c>
      <c r="O8" t="n">
        <v>7</v>
      </c>
      <c r="P8" t="inlineStr">
        <is>
          <t>04/01/2026</t>
        </is>
      </c>
      <c r="Q8" t="inlineStr">
        <is>
          <t>CD</t>
        </is>
      </c>
      <c r="R8" t="n">
        <v>0</v>
      </c>
      <c r="S8" t="n">
        <v>0</v>
      </c>
      <c r="T8" t="n">
        <v>1440</v>
      </c>
    </row>
    <row r="9">
      <c r="A9" t="n">
        <v>8</v>
      </c>
      <c r="B9" t="inlineStr">
        <is>
          <t>04/04/2026</t>
        </is>
      </c>
      <c r="C9" t="inlineStr">
        <is>
          <t>CD</t>
        </is>
      </c>
      <c r="D9" t="n">
        <v>248</v>
      </c>
      <c r="E9" t="n">
        <v>339</v>
      </c>
      <c r="F9" t="n">
        <v>850</v>
      </c>
      <c r="H9" t="inlineStr">
        <is>
          <t>T8</t>
        </is>
      </c>
      <c r="I9" s="1" t="n">
        <v>0.38</v>
      </c>
      <c r="J9" s="1" t="n">
        <v>0.5364705882352941</v>
      </c>
      <c r="K9" s="1">
        <f>IFERROR(SUMIFS(S:S,P:P,"*/08/2026")/(SUMIFS(R:R,P:P,"*/08/2026")+SUMIFS(S:S,P:P,"*/08/2026")+SUMIFS(T:T,P:P,"*/08/2026")),"")</f>
        <v/>
      </c>
      <c r="L9" s="1">
        <f>IFERROR(SUMIFS(R:R,P:P,"*/08/2026")/(SUMIFS(R:R,P:P,"*/08/2026")+SUMIFS(S:S,P:P,"*/08/2026")+SUMIFS(T:T,P:P,"*/08/2026")),"")</f>
        <v/>
      </c>
      <c r="M9" s="1">
        <f>IFERROR(SUMIFS(T:T,P:P,"*/08/2026")/(SUMIFS(R:R,P:P,"*/08/2026")+SUMIFS(S:S,P:P,"*/08/2026")+SUMIFS(T:T,P:P,"*/08/2026")),"")</f>
        <v/>
      </c>
      <c r="O9" t="n">
        <v>8</v>
      </c>
      <c r="P9" t="inlineStr">
        <is>
          <t>05/01/2026</t>
        </is>
      </c>
      <c r="Q9" t="inlineStr">
        <is>
          <t>CN</t>
        </is>
      </c>
      <c r="R9" t="n">
        <v>263</v>
      </c>
      <c r="S9" t="n">
        <v>257</v>
      </c>
      <c r="T9" t="n">
        <v>919</v>
      </c>
    </row>
    <row r="10">
      <c r="A10" t="n">
        <v>9</v>
      </c>
      <c r="B10" t="inlineStr">
        <is>
          <t>05/04/2026</t>
        </is>
      </c>
      <c r="C10" t="inlineStr">
        <is>
          <t>CN</t>
        </is>
      </c>
      <c r="D10" t="n">
        <v>0</v>
      </c>
      <c r="E10" t="n">
        <v>0</v>
      </c>
      <c r="F10" t="n">
        <v>1440</v>
      </c>
      <c r="H10" t="inlineStr">
        <is>
          <t>T9</t>
        </is>
      </c>
      <c r="I10" s="1" t="n">
        <v>0.38</v>
      </c>
      <c r="J10" s="1" t="n">
        <v>0.5364705882352941</v>
      </c>
      <c r="K10" s="1">
        <f>IFERROR(SUMIFS(S:S,P:P,"*/09/2026")/(SUMIFS(R:R,P:P,"*/09/2026")+SUMIFS(S:S,P:P,"*/09/2026")+SUMIFS(T:T,P:P,"*/09/2026")),"")</f>
        <v/>
      </c>
      <c r="L10" s="1">
        <f>IFERROR(SUMIFS(R:R,P:P,"*/09/2026")/(SUMIFS(R:R,P:P,"*/09/2026")+SUMIFS(S:S,P:P,"*/09/2026")+SUMIFS(T:T,P:P,"*/09/2026")),"")</f>
        <v/>
      </c>
      <c r="M10" s="1">
        <f>IFERROR(SUMIFS(T:T,P:P,"*/09/2026")/(SUMIFS(R:R,P:P,"*/09/2026")+SUMIFS(S:S,P:P,"*/09/2026")+SUMIFS(T:T,P:P,"*/09/2026")),"")</f>
        <v/>
      </c>
      <c r="O10" t="n">
        <v>9</v>
      </c>
      <c r="P10" t="inlineStr">
        <is>
          <t>05/01/2026</t>
        </is>
      </c>
      <c r="Q10" t="inlineStr">
        <is>
          <t>CD</t>
        </is>
      </c>
      <c r="R10" t="n">
        <v>319</v>
      </c>
      <c r="S10" t="n">
        <v>228</v>
      </c>
      <c r="T10" t="n">
        <v>873</v>
      </c>
    </row>
    <row r="11">
      <c r="A11" t="n">
        <v>10</v>
      </c>
      <c r="B11" t="inlineStr">
        <is>
          <t>05/04/2026</t>
        </is>
      </c>
      <c r="C11" t="inlineStr">
        <is>
          <t>CD</t>
        </is>
      </c>
      <c r="D11" t="n">
        <v>0</v>
      </c>
      <c r="E11" t="n">
        <v>0</v>
      </c>
      <c r="F11" t="n">
        <v>1440</v>
      </c>
      <c r="H11" t="inlineStr">
        <is>
          <t>T10</t>
        </is>
      </c>
      <c r="I11" s="1" t="n">
        <v>0.38</v>
      </c>
      <c r="J11" s="1" t="n">
        <v>0.5364705882352941</v>
      </c>
      <c r="K11" s="1">
        <f>IFERROR(SUMIFS(S:S,P:P,"*/10/2026")/(SUMIFS(R:R,P:P,"*/10/2026")+SUMIFS(S:S,P:P,"*/10/2026")+SUMIFS(T:T,P:P,"*/10/2026")),"")</f>
        <v/>
      </c>
      <c r="L11" s="1">
        <f>IFERROR(SUMIFS(R:R,P:P,"*/10/2026")/(SUMIFS(R:R,P:P,"*/10/2026")+SUMIFS(S:S,P:P,"*/10/2026")+SUMIFS(T:T,P:P,"*/10/2026")),"")</f>
        <v/>
      </c>
      <c r="M11" s="1">
        <f>IFERROR(SUMIFS(T:T,P:P,"*/10/2026")/(SUMIFS(R:R,P:P,"*/10/2026")+SUMIFS(S:S,P:P,"*/10/2026")+SUMIFS(T:T,P:P,"*/10/2026")),"")</f>
        <v/>
      </c>
      <c r="O11" t="n">
        <v>10</v>
      </c>
      <c r="P11" t="inlineStr">
        <is>
          <t>06/01/2026</t>
        </is>
      </c>
      <c r="Q11" t="inlineStr">
        <is>
          <t>CN</t>
        </is>
      </c>
      <c r="R11" t="n">
        <v>283</v>
      </c>
      <c r="S11" t="n">
        <v>293</v>
      </c>
      <c r="T11" t="n">
        <v>862</v>
      </c>
    </row>
    <row r="12">
      <c r="A12" t="n">
        <v>11</v>
      </c>
      <c r="B12" t="inlineStr">
        <is>
          <t>06/04/2026</t>
        </is>
      </c>
      <c r="C12" t="inlineStr">
        <is>
          <t>CN</t>
        </is>
      </c>
      <c r="D12" t="n">
        <v>365</v>
      </c>
      <c r="E12" t="n">
        <v>543</v>
      </c>
      <c r="F12" t="n">
        <v>529</v>
      </c>
      <c r="H12" t="inlineStr">
        <is>
          <t>T11</t>
        </is>
      </c>
      <c r="I12" s="1" t="n">
        <v>0.38</v>
      </c>
      <c r="J12" s="1" t="n">
        <v>0.5364705882352941</v>
      </c>
      <c r="K12" s="1">
        <f>IFERROR(SUMIFS(S:S,P:P,"*/11/2026")/(SUMIFS(R:R,P:P,"*/11/2026")+SUMIFS(S:S,P:P,"*/11/2026")+SUMIFS(T:T,P:P,"*/11/2026")),"")</f>
        <v/>
      </c>
      <c r="L12" s="1">
        <f>IFERROR(SUMIFS(R:R,P:P,"*/11/2026")/(SUMIFS(R:R,P:P,"*/11/2026")+SUMIFS(S:S,P:P,"*/11/2026")+SUMIFS(T:T,P:P,"*/11/2026")),"")</f>
        <v/>
      </c>
      <c r="M12" s="1">
        <f>IFERROR(SUMIFS(T:T,P:P,"*/11/2026")/(SUMIFS(R:R,P:P,"*/11/2026")+SUMIFS(S:S,P:P,"*/11/2026")+SUMIFS(T:T,P:P,"*/11/2026")),"")</f>
        <v/>
      </c>
      <c r="O12" t="n">
        <v>11</v>
      </c>
      <c r="P12" t="inlineStr">
        <is>
          <t>06/01/2026</t>
        </is>
      </c>
      <c r="Q12" t="inlineStr">
        <is>
          <t>CD</t>
        </is>
      </c>
      <c r="R12" t="n">
        <v>336</v>
      </c>
      <c r="S12" t="n">
        <v>292</v>
      </c>
      <c r="T12" t="n">
        <v>808</v>
      </c>
    </row>
    <row r="13">
      <c r="A13" t="n">
        <v>12</v>
      </c>
      <c r="B13" t="inlineStr">
        <is>
          <t>06/04/2026</t>
        </is>
      </c>
      <c r="C13" t="inlineStr">
        <is>
          <t>CD</t>
        </is>
      </c>
      <c r="D13" t="n">
        <v>334</v>
      </c>
      <c r="E13" t="n">
        <v>304</v>
      </c>
      <c r="F13" t="n">
        <v>798</v>
      </c>
      <c r="H13" t="inlineStr">
        <is>
          <t>T12</t>
        </is>
      </c>
      <c r="I13" s="1" t="n">
        <v>0.38</v>
      </c>
      <c r="J13" s="1" t="n">
        <v>0.5364705882352941</v>
      </c>
      <c r="K13" s="1">
        <f>IFERROR(SUMIFS(S:S,P:P,"*/12/2026")/(SUMIFS(R:R,P:P,"*/12/2026")+SUMIFS(S:S,P:P,"*/12/2026")+SUMIFS(T:T,P:P,"*/12/2026")),"")</f>
        <v/>
      </c>
      <c r="L13" s="1">
        <f>IFERROR(SUMIFS(R:R,P:P,"*/12/2026")/(SUMIFS(R:R,P:P,"*/12/2026")+SUMIFS(S:S,P:P,"*/12/2026")+SUMIFS(T:T,P:P,"*/12/2026")),"")</f>
        <v/>
      </c>
      <c r="M13" s="1">
        <f>IFERROR(SUMIFS(T:T,P:P,"*/12/2026")/(SUMIFS(R:R,P:P,"*/12/2026")+SUMIFS(S:S,P:P,"*/12/2026")+SUMIFS(T:T,P:P,"*/12/2026")),"")</f>
        <v/>
      </c>
      <c r="O13" t="n">
        <v>12</v>
      </c>
      <c r="P13" t="inlineStr">
        <is>
          <t>07/01/2026</t>
        </is>
      </c>
      <c r="Q13" t="inlineStr">
        <is>
          <t>CN</t>
        </is>
      </c>
      <c r="R13" t="n">
        <v>80</v>
      </c>
      <c r="S13" t="n">
        <v>51</v>
      </c>
      <c r="T13" t="n">
        <v>1308</v>
      </c>
    </row>
    <row r="14">
      <c r="A14" t="n">
        <v>13</v>
      </c>
      <c r="B14" t="inlineStr">
        <is>
          <t>07/04/2026</t>
        </is>
      </c>
      <c r="C14" t="inlineStr">
        <is>
          <t>CN</t>
        </is>
      </c>
      <c r="D14" t="n">
        <v>421</v>
      </c>
      <c r="E14" t="n">
        <v>488</v>
      </c>
      <c r="F14" t="n">
        <v>529</v>
      </c>
      <c r="H14">
        <f>IF(B2="","",TEXT(B2,"dd/mm")&amp; "-" &amp;IF(UPPER(TRIM(C2))="CN",1,IF(UPPER(TRIM(C2))="CD",2,"")))</f>
        <v/>
      </c>
      <c r="I14" s="1" t="n">
        <v>0.38</v>
      </c>
      <c r="J14" s="1" t="n">
        <v>0.5364705882352941</v>
      </c>
      <c r="K14" s="1">
        <f>IFERROR($E2/SUM($D2:$F2),"")</f>
        <v/>
      </c>
      <c r="L14" s="1">
        <f>IFERROR($D2/SUM($D2:$F2),"")</f>
        <v/>
      </c>
      <c r="M14" s="1">
        <f>IFERROR($F2/SUM($D2:$F2),"")</f>
        <v/>
      </c>
      <c r="O14" t="n">
        <v>13</v>
      </c>
      <c r="P14" t="inlineStr">
        <is>
          <t>07/01/2026</t>
        </is>
      </c>
      <c r="Q14" t="inlineStr">
        <is>
          <t>CD</t>
        </is>
      </c>
      <c r="R14" t="n">
        <v>0</v>
      </c>
      <c r="S14" t="n">
        <v>0</v>
      </c>
      <c r="T14" t="n">
        <v>1440</v>
      </c>
    </row>
    <row r="15">
      <c r="A15" t="n">
        <v>14</v>
      </c>
      <c r="B15" t="inlineStr">
        <is>
          <t>07/04/2026</t>
        </is>
      </c>
      <c r="C15" t="inlineStr">
        <is>
          <t>CD</t>
        </is>
      </c>
      <c r="D15" t="n">
        <v>338</v>
      </c>
      <c r="E15" t="n">
        <v>304</v>
      </c>
      <c r="F15" t="n">
        <v>793</v>
      </c>
      <c r="H15">
        <f>IF(B3="","",TEXT(B3,"dd/mm") &amp; "-" &amp; IF(UPPER(TRIM(C3))="CN",1,IF(UPPER(TRIM(C3))="CD",2,"")))</f>
        <v/>
      </c>
      <c r="I15" s="1" t="n">
        <v>0.38</v>
      </c>
      <c r="J15" s="1" t="n">
        <v>0.5364705882352941</v>
      </c>
      <c r="K15" s="1">
        <f>IFERROR($E3/SUM($D3:$F3),"")</f>
        <v/>
      </c>
      <c r="L15" s="1">
        <f>IFERROR($D3/SUM($D3:$F3),"")</f>
        <v/>
      </c>
      <c r="M15" s="1">
        <f>IFERROR($F3/SUM($D3:$F3),"")</f>
        <v/>
      </c>
      <c r="O15" t="n">
        <v>14</v>
      </c>
      <c r="P15" t="inlineStr">
        <is>
          <t>08/01/2026</t>
        </is>
      </c>
      <c r="Q15" t="inlineStr">
        <is>
          <t>CN</t>
        </is>
      </c>
      <c r="R15" t="n">
        <v>278</v>
      </c>
      <c r="S15" t="n">
        <v>298</v>
      </c>
      <c r="T15" t="n">
        <v>861</v>
      </c>
    </row>
    <row r="16">
      <c r="A16" t="n">
        <v>15</v>
      </c>
      <c r="B16" t="inlineStr">
        <is>
          <t>08/04/2026</t>
        </is>
      </c>
      <c r="C16" t="inlineStr">
        <is>
          <t>CN</t>
        </is>
      </c>
      <c r="D16" t="n">
        <v>374</v>
      </c>
      <c r="E16" t="n">
        <v>537</v>
      </c>
      <c r="F16" t="n">
        <v>528</v>
      </c>
      <c r="H16">
        <f>IF(B4="","",TEXT(B4,"dd/mm") &amp; "-" &amp; IF(UPPER(TRIM(C4))="CN",1,IF(UPPER(TRIM(C4))="CD",2,"")))</f>
        <v/>
      </c>
      <c r="I16" s="1" t="n">
        <v>0.38</v>
      </c>
      <c r="J16" s="1" t="n">
        <v>0.5364705882352941</v>
      </c>
      <c r="K16" s="1">
        <f>IFERROR($E4/SUM($D4:$F4),"")</f>
        <v/>
      </c>
      <c r="L16" s="1">
        <f>IFERROR($D4/SUM($D4:$F4),"")</f>
        <v/>
      </c>
      <c r="M16" s="1">
        <f>IFERROR($F4/SUM($D4:$F4),"")</f>
        <v/>
      </c>
      <c r="O16" t="n">
        <v>15</v>
      </c>
      <c r="P16" t="inlineStr">
        <is>
          <t>08/01/2026</t>
        </is>
      </c>
      <c r="Q16" t="inlineStr">
        <is>
          <t>CD</t>
        </is>
      </c>
      <c r="R16" t="n">
        <v>313</v>
      </c>
      <c r="S16" t="n">
        <v>320</v>
      </c>
      <c r="T16" t="n">
        <v>805</v>
      </c>
    </row>
    <row r="17">
      <c r="A17" t="n">
        <v>16</v>
      </c>
      <c r="B17" t="inlineStr">
        <is>
          <t>08/04/2026</t>
        </is>
      </c>
      <c r="C17" t="inlineStr">
        <is>
          <t>CD</t>
        </is>
      </c>
      <c r="D17" t="n">
        <v>351</v>
      </c>
      <c r="E17" t="n">
        <v>292</v>
      </c>
      <c r="F17" t="n">
        <v>793</v>
      </c>
      <c r="H17">
        <f>IF(B5="","",TEXT(B5,"dd/mm") &amp; "-" &amp; IF(UPPER(TRIM(C5))="CN",1,IF(UPPER(TRIM(C5))="CD",2,"")))</f>
        <v/>
      </c>
      <c r="I17" s="1" t="n">
        <v>0.38</v>
      </c>
      <c r="J17" s="1" t="n">
        <v>0.5364705882352941</v>
      </c>
      <c r="K17" s="1">
        <f>IFERROR($E5/SUM($D5:$F5),"")</f>
        <v/>
      </c>
      <c r="L17" s="1">
        <f>IFERROR($D5/SUM($D5:$F5),"")</f>
        <v/>
      </c>
      <c r="M17" s="1">
        <f>IFERROR($F5/SUM($D5:$F5),"")</f>
        <v/>
      </c>
      <c r="O17" t="n">
        <v>16</v>
      </c>
      <c r="P17" t="inlineStr">
        <is>
          <t>09/01/2026</t>
        </is>
      </c>
      <c r="Q17" t="inlineStr">
        <is>
          <t>CN</t>
        </is>
      </c>
      <c r="R17" t="n">
        <v>292</v>
      </c>
      <c r="S17" t="n">
        <v>279</v>
      </c>
      <c r="T17" t="n">
        <v>867</v>
      </c>
    </row>
    <row r="18">
      <c r="A18" t="n">
        <v>17</v>
      </c>
      <c r="B18" t="inlineStr">
        <is>
          <t>09/04/2026</t>
        </is>
      </c>
      <c r="C18" t="inlineStr">
        <is>
          <t>CN</t>
        </is>
      </c>
      <c r="D18" t="n">
        <v>353</v>
      </c>
      <c r="E18" t="n">
        <v>556</v>
      </c>
      <c r="F18" t="n">
        <v>527</v>
      </c>
      <c r="H18">
        <f>IF(B6="","",TEXT(B6,"dd/mm") &amp; "-" &amp; IF(UPPER(TRIM(C6))="CN",1,IF(UPPER(TRIM(C6))="CD",2,"")))</f>
        <v/>
      </c>
      <c r="I18" s="1" t="n">
        <v>0.38</v>
      </c>
      <c r="J18" s="1" t="n">
        <v>0.5364705882352941</v>
      </c>
      <c r="K18" s="1">
        <f>IFERROR($E6/SUM($D6:$F6),"")</f>
        <v/>
      </c>
      <c r="L18" s="1">
        <f>IFERROR($D6/SUM($D6:$F6),"")</f>
        <v/>
      </c>
      <c r="M18" s="1">
        <f>IFERROR($F6/SUM($D6:$F6),"")</f>
        <v/>
      </c>
      <c r="O18" t="n">
        <v>17</v>
      </c>
      <c r="P18" t="inlineStr">
        <is>
          <t>09/01/2026</t>
        </is>
      </c>
      <c r="Q18" t="inlineStr">
        <is>
          <t>CD</t>
        </is>
      </c>
      <c r="R18" t="n">
        <v>270</v>
      </c>
      <c r="S18" t="n">
        <v>358</v>
      </c>
      <c r="T18" t="n">
        <v>809</v>
      </c>
    </row>
    <row r="19">
      <c r="A19" t="n">
        <v>18</v>
      </c>
      <c r="B19" t="inlineStr">
        <is>
          <t>09/04/2026</t>
        </is>
      </c>
      <c r="C19" t="inlineStr">
        <is>
          <t>CD</t>
        </is>
      </c>
      <c r="D19" t="n">
        <v>291</v>
      </c>
      <c r="E19" t="n">
        <v>344</v>
      </c>
      <c r="F19" t="n">
        <v>802</v>
      </c>
      <c r="H19">
        <f>IF(B7="","",TEXT(B7,"dd/mm") &amp; "-" &amp; IF(UPPER(TRIM(C7))="CN",1,IF(UPPER(TRIM(C7))="CD",2,"")))</f>
        <v/>
      </c>
      <c r="I19" s="1" t="n">
        <v>0.38</v>
      </c>
      <c r="J19" s="1" t="n">
        <v>0.5364705882352941</v>
      </c>
      <c r="K19" s="1">
        <f>IFERROR($E7/SUM($D7:$F7),"")</f>
        <v/>
      </c>
      <c r="L19" s="1">
        <f>IFERROR($D7/SUM($D7:$F7),"")</f>
        <v/>
      </c>
      <c r="M19" s="1">
        <f>IFERROR($F7/SUM($D7:$F7),"")</f>
        <v/>
      </c>
      <c r="O19" t="n">
        <v>18</v>
      </c>
      <c r="P19" t="inlineStr">
        <is>
          <t>10/01/2026</t>
        </is>
      </c>
      <c r="Q19" t="inlineStr">
        <is>
          <t>CN</t>
        </is>
      </c>
      <c r="R19" t="n">
        <v>216</v>
      </c>
      <c r="S19" t="n">
        <v>264</v>
      </c>
      <c r="T19" t="n">
        <v>959</v>
      </c>
    </row>
    <row r="20">
      <c r="A20" t="n">
        <v>19</v>
      </c>
      <c r="B20" t="inlineStr">
        <is>
          <t>10/04/2026</t>
        </is>
      </c>
      <c r="C20" t="inlineStr">
        <is>
          <t>CN</t>
        </is>
      </c>
      <c r="D20" t="n">
        <v>470</v>
      </c>
      <c r="E20" t="n">
        <v>437</v>
      </c>
      <c r="F20" t="n">
        <v>529</v>
      </c>
      <c r="H20">
        <f>IF(B8="","",TEXT(B8,"dd/mm") &amp; "-" &amp; IF(UPPER(TRIM(C8))="CN",1,IF(UPPER(TRIM(C8))="CD",2,"")))</f>
        <v/>
      </c>
      <c r="I20" s="1" t="n">
        <v>0.38</v>
      </c>
      <c r="J20" s="1" t="n">
        <v>0.5364705882352941</v>
      </c>
      <c r="K20" s="1">
        <f>IFERROR($E8/SUM($D8:$F8),"")</f>
        <v/>
      </c>
      <c r="L20" s="1">
        <f>IFERROR($D8/SUM($D8:$F8),"")</f>
        <v/>
      </c>
      <c r="M20" s="1">
        <f>IFERROR($F8/SUM($D8:$F8),"")</f>
        <v/>
      </c>
      <c r="O20" t="n">
        <v>19</v>
      </c>
      <c r="P20" t="inlineStr">
        <is>
          <t>10/01/2026</t>
        </is>
      </c>
      <c r="Q20" t="inlineStr">
        <is>
          <t>CD</t>
        </is>
      </c>
      <c r="R20" t="n">
        <v>0</v>
      </c>
      <c r="S20" t="n">
        <v>0</v>
      </c>
      <c r="T20" t="n">
        <v>1440</v>
      </c>
    </row>
    <row r="21">
      <c r="A21" t="n">
        <v>20</v>
      </c>
      <c r="B21" t="inlineStr">
        <is>
          <t>10/04/2026</t>
        </is>
      </c>
      <c r="C21" t="inlineStr">
        <is>
          <t>CD</t>
        </is>
      </c>
      <c r="D21" t="n">
        <v>259</v>
      </c>
      <c r="E21" t="n">
        <v>384</v>
      </c>
      <c r="F21" t="n">
        <v>793</v>
      </c>
      <c r="H21">
        <f>IF(B9="","",TEXT(B9,"dd/mm") &amp; "-" &amp; IF(UPPER(TRIM(C9))="CN",1,IF(UPPER(TRIM(C9))="CD",2,"")))</f>
        <v/>
      </c>
      <c r="I21" s="1" t="n">
        <v>0.38</v>
      </c>
      <c r="J21" s="1" t="n">
        <v>0.5364705882352941</v>
      </c>
      <c r="K21" s="1">
        <f>IFERROR($E9/SUM($D9:$F9),"")</f>
        <v/>
      </c>
      <c r="L21" s="1">
        <f>IFERROR($D9/SUM($D9:$F9),"")</f>
        <v/>
      </c>
      <c r="M21" s="1">
        <f>IFERROR($F9/SUM($D9:$F9),"")</f>
        <v/>
      </c>
      <c r="O21" t="n">
        <v>20</v>
      </c>
      <c r="P21" t="inlineStr">
        <is>
          <t>11/01/2026</t>
        </is>
      </c>
      <c r="Q21" t="inlineStr">
        <is>
          <t>CN</t>
        </is>
      </c>
      <c r="R21" t="n">
        <v>0</v>
      </c>
      <c r="S21" t="n">
        <v>0</v>
      </c>
      <c r="T21" t="n">
        <v>1440</v>
      </c>
    </row>
    <row r="22">
      <c r="A22" t="n">
        <v>21</v>
      </c>
      <c r="B22" t="inlineStr">
        <is>
          <t>11/04/2026</t>
        </is>
      </c>
      <c r="C22" t="inlineStr">
        <is>
          <t>CN</t>
        </is>
      </c>
      <c r="D22" t="n">
        <v>401</v>
      </c>
      <c r="E22" t="n">
        <v>478</v>
      </c>
      <c r="F22" t="n">
        <v>559</v>
      </c>
      <c r="H22">
        <f>IF(B10="","",TEXT(B10,"dd/mm") &amp; "-" &amp; IF(UPPER(TRIM(C10))="CN",1,IF(UPPER(TRIM(C10))="CD",2,"")))</f>
        <v/>
      </c>
      <c r="I22" s="1" t="n">
        <v>0.38</v>
      </c>
      <c r="J22" s="1" t="n">
        <v>0.5364705882352941</v>
      </c>
      <c r="K22" s="1">
        <f>IFERROR($E10/SUM($D10:$F10),"")</f>
        <v/>
      </c>
      <c r="L22" s="1">
        <f>IFERROR($D10/SUM($D10:$F10),"")</f>
        <v/>
      </c>
      <c r="M22" s="1">
        <f>IFERROR($F10/SUM($D10:$F10),"")</f>
        <v/>
      </c>
      <c r="O22" t="n">
        <v>21</v>
      </c>
      <c r="P22" t="inlineStr">
        <is>
          <t>11/01/2026</t>
        </is>
      </c>
      <c r="Q22" t="inlineStr">
        <is>
          <t>CD</t>
        </is>
      </c>
      <c r="R22" t="n">
        <v>0</v>
      </c>
      <c r="S22" t="n">
        <v>0</v>
      </c>
      <c r="T22" t="n">
        <v>1440</v>
      </c>
    </row>
    <row r="23">
      <c r="A23" t="n">
        <v>22</v>
      </c>
      <c r="B23" t="inlineStr">
        <is>
          <t>11/04/2026</t>
        </is>
      </c>
      <c r="C23" t="inlineStr">
        <is>
          <t>CD</t>
        </is>
      </c>
      <c r="D23" t="n">
        <v>300</v>
      </c>
      <c r="E23" t="n">
        <v>286</v>
      </c>
      <c r="F23" t="n">
        <v>850</v>
      </c>
      <c r="H23">
        <f>IF(B11="","",TEXT(B11,"dd/mm") &amp; "-" &amp; IF(UPPER(TRIM(C11))="CN",1,IF(UPPER(TRIM(C11))="CD",2,"")))</f>
        <v/>
      </c>
      <c r="I23" s="1" t="n">
        <v>0.38</v>
      </c>
      <c r="J23" s="1" t="n">
        <v>0.5364705882352941</v>
      </c>
      <c r="K23" s="1">
        <f>IFERROR($E11/SUM($D11:$F11),"")</f>
        <v/>
      </c>
      <c r="L23" s="1">
        <f>IFERROR($D11/SUM($D11:$F11),"")</f>
        <v/>
      </c>
      <c r="M23" s="1">
        <f>IFERROR($F11/SUM($D11:$F11),"")</f>
        <v/>
      </c>
      <c r="O23" t="n">
        <v>22</v>
      </c>
      <c r="P23" t="inlineStr">
        <is>
          <t>12/01/2026</t>
        </is>
      </c>
      <c r="Q23" t="inlineStr">
        <is>
          <t>CN</t>
        </is>
      </c>
      <c r="R23" t="n">
        <v>346</v>
      </c>
      <c r="S23" t="n">
        <v>189</v>
      </c>
      <c r="T23" t="n">
        <v>900</v>
      </c>
    </row>
    <row r="24">
      <c r="A24" t="n">
        <v>23</v>
      </c>
      <c r="B24" t="inlineStr">
        <is>
          <t>12/04/2026</t>
        </is>
      </c>
      <c r="C24" t="inlineStr">
        <is>
          <t>CN</t>
        </is>
      </c>
      <c r="D24" t="n">
        <v>0</v>
      </c>
      <c r="E24" t="n">
        <v>0</v>
      </c>
      <c r="F24" t="n">
        <v>1440</v>
      </c>
      <c r="H24">
        <f>IF(B12="","",TEXT(B12,"dd/mm") &amp; "-" &amp; IF(UPPER(TRIM(C12))="CN",1,IF(UPPER(TRIM(C12))="CD",2,"")))</f>
        <v/>
      </c>
      <c r="I24" s="1" t="n">
        <v>0.38</v>
      </c>
      <c r="J24" s="1" t="n">
        <v>0.5364705882352941</v>
      </c>
      <c r="K24" s="1">
        <f>IFERROR($E12/SUM($D12:$F12),"")</f>
        <v/>
      </c>
      <c r="L24" s="1">
        <f>IFERROR($D12/SUM($D12:$F12),"")</f>
        <v/>
      </c>
      <c r="M24" s="1">
        <f>IFERROR($F12/SUM($D12:$F12),"")</f>
        <v/>
      </c>
      <c r="O24" t="n">
        <v>23</v>
      </c>
      <c r="P24" t="inlineStr">
        <is>
          <t>12/01/2026</t>
        </is>
      </c>
      <c r="Q24" t="inlineStr">
        <is>
          <t>CD</t>
        </is>
      </c>
      <c r="R24" t="n">
        <v>618</v>
      </c>
      <c r="S24" t="n">
        <v>340</v>
      </c>
      <c r="T24" t="n">
        <v>479</v>
      </c>
    </row>
    <row r="25">
      <c r="A25" t="n">
        <v>24</v>
      </c>
      <c r="B25" t="inlineStr">
        <is>
          <t>12/04/2026</t>
        </is>
      </c>
      <c r="C25" t="inlineStr">
        <is>
          <t>CD</t>
        </is>
      </c>
      <c r="D25" t="n">
        <v>0</v>
      </c>
      <c r="E25" t="n">
        <v>0</v>
      </c>
      <c r="F25" t="n">
        <v>1440</v>
      </c>
      <c r="H25">
        <f>IF(B13="","",TEXT(B13,"dd/mm") &amp; "-" &amp; IF(UPPER(TRIM(C13))="CN",1,IF(UPPER(TRIM(C13))="CD",2,"")))</f>
        <v/>
      </c>
      <c r="I25" s="1" t="n">
        <v>0.38</v>
      </c>
      <c r="J25" s="1" t="n">
        <v>0.5364705882352941</v>
      </c>
      <c r="K25" s="1">
        <f>IFERROR($E13/SUM($D13:$F13),"")</f>
        <v/>
      </c>
      <c r="L25" s="1">
        <f>IFERROR($D13/SUM($D13:$F13),"")</f>
        <v/>
      </c>
      <c r="M25" s="1">
        <f>IFERROR($F13/SUM($D13:$F13),"")</f>
        <v/>
      </c>
      <c r="O25" t="n">
        <v>24</v>
      </c>
      <c r="P25" t="inlineStr">
        <is>
          <t>13/01/2026</t>
        </is>
      </c>
      <c r="Q25" t="inlineStr">
        <is>
          <t>CN</t>
        </is>
      </c>
      <c r="R25" t="n">
        <v>300</v>
      </c>
      <c r="S25" t="n">
        <v>271</v>
      </c>
      <c r="T25" t="n">
        <v>863</v>
      </c>
    </row>
    <row r="26">
      <c r="A26" t="n">
        <v>25</v>
      </c>
      <c r="B26" t="inlineStr">
        <is>
          <t>13/04/2026</t>
        </is>
      </c>
      <c r="C26" t="inlineStr">
        <is>
          <t>CN</t>
        </is>
      </c>
      <c r="D26" t="n">
        <v>437</v>
      </c>
      <c r="E26" t="n">
        <v>473</v>
      </c>
      <c r="F26" t="n">
        <v>529</v>
      </c>
      <c r="H26">
        <f>IF(B14="","",TEXT(B14,"dd/mm") &amp; "-" &amp; IF(UPPER(TRIM(C14))="CN",1,IF(UPPER(TRIM(C14))="CD",2,"")))</f>
        <v/>
      </c>
      <c r="I26" s="1" t="n">
        <v>0.38</v>
      </c>
      <c r="J26" s="1" t="n">
        <v>0.5364705882352941</v>
      </c>
      <c r="K26" s="1">
        <f>IFERROR($E14/SUM($D14:$F14),"")</f>
        <v/>
      </c>
      <c r="L26" s="1">
        <f>IFERROR($D14/SUM($D14:$F14),"")</f>
        <v/>
      </c>
      <c r="M26" s="1">
        <f>IFERROR($F14/SUM($D14:$F14),"")</f>
        <v/>
      </c>
      <c r="O26" t="n">
        <v>25</v>
      </c>
      <c r="P26" t="inlineStr">
        <is>
          <t>13/01/2026</t>
        </is>
      </c>
      <c r="Q26" t="inlineStr">
        <is>
          <t>CD</t>
        </is>
      </c>
      <c r="R26" t="n">
        <v>251</v>
      </c>
      <c r="S26" t="n">
        <v>374</v>
      </c>
      <c r="T26" t="n">
        <v>813</v>
      </c>
    </row>
    <row r="27">
      <c r="A27" t="n">
        <v>26</v>
      </c>
      <c r="B27" t="inlineStr">
        <is>
          <t>13/04/2026</t>
        </is>
      </c>
      <c r="C27" t="inlineStr">
        <is>
          <t>CD</t>
        </is>
      </c>
      <c r="D27" t="n">
        <v>252</v>
      </c>
      <c r="E27" t="n">
        <v>329</v>
      </c>
      <c r="F27" t="n">
        <v>856</v>
      </c>
      <c r="H27">
        <f>IF(B15="","",TEXT(B15,"dd/mm") &amp; "-" &amp; IF(UPPER(TRIM(C15))="CN",1,IF(UPPER(TRIM(C15))="CD",2,"")))</f>
        <v/>
      </c>
      <c r="I27" s="1" t="n">
        <v>0.38</v>
      </c>
      <c r="J27" s="1" t="n">
        <v>0.5364705882352941</v>
      </c>
      <c r="K27" s="1">
        <f>IFERROR($E15/SUM($D15:$F15),"")</f>
        <v/>
      </c>
      <c r="L27" s="1">
        <f>IFERROR($D15/SUM($D15:$F15),"")</f>
        <v/>
      </c>
      <c r="M27" s="1">
        <f>IFERROR($F15/SUM($D15:$F15),"")</f>
        <v/>
      </c>
      <c r="O27" t="n">
        <v>26</v>
      </c>
      <c r="P27" t="inlineStr">
        <is>
          <t>14/01/2026</t>
        </is>
      </c>
      <c r="Q27" t="inlineStr">
        <is>
          <t>CN</t>
        </is>
      </c>
      <c r="R27" t="n">
        <v>356</v>
      </c>
      <c r="S27" t="n">
        <v>217</v>
      </c>
      <c r="T27" t="n">
        <v>864</v>
      </c>
    </row>
    <row r="28">
      <c r="A28" t="n">
        <v>27</v>
      </c>
      <c r="B28" t="inlineStr">
        <is>
          <t>14/04/2026</t>
        </is>
      </c>
      <c r="C28" t="inlineStr">
        <is>
          <t>CN</t>
        </is>
      </c>
      <c r="D28" t="n">
        <v>485</v>
      </c>
      <c r="E28" t="n">
        <v>425</v>
      </c>
      <c r="F28" t="n">
        <v>526</v>
      </c>
      <c r="H28">
        <f>IF(B16="","",TEXT(B16,"dd/mm") &amp; "-" &amp; IF(UPPER(TRIM(C16))="CN",1,IF(UPPER(TRIM(C16))="CD",2,"")))</f>
        <v/>
      </c>
      <c r="I28" s="1" t="n">
        <v>0.38</v>
      </c>
      <c r="J28" s="1" t="n">
        <v>0.5364705882352941</v>
      </c>
      <c r="K28" s="1">
        <f>IFERROR($E16/SUM($D16:$F16),"")</f>
        <v/>
      </c>
      <c r="L28" s="1">
        <f>IFERROR($D16/SUM($D16:$F16),"")</f>
        <v/>
      </c>
      <c r="M28" s="1">
        <f>IFERROR($F16/SUM($D16:$F16),"")</f>
        <v/>
      </c>
      <c r="O28" t="n">
        <v>27</v>
      </c>
      <c r="P28" t="inlineStr">
        <is>
          <t>14/01/2026</t>
        </is>
      </c>
      <c r="Q28" t="inlineStr">
        <is>
          <t>CD</t>
        </is>
      </c>
      <c r="R28" t="n">
        <v>280</v>
      </c>
      <c r="S28" t="n">
        <v>344</v>
      </c>
      <c r="T28" t="n">
        <v>813</v>
      </c>
    </row>
    <row r="29">
      <c r="A29" t="n">
        <v>28</v>
      </c>
      <c r="B29" t="inlineStr">
        <is>
          <t>14/04/2026</t>
        </is>
      </c>
      <c r="C29" t="inlineStr">
        <is>
          <t>CD</t>
        </is>
      </c>
      <c r="D29" t="n">
        <v>271</v>
      </c>
      <c r="E29" t="n">
        <v>368</v>
      </c>
      <c r="F29" t="n">
        <v>798</v>
      </c>
      <c r="H29">
        <f>IF(B17="","",TEXT(B17,"dd/mm") &amp; "-" &amp; IF(UPPER(TRIM(C17))="CN",1,IF(UPPER(TRIM(C17))="CD",2,"")))</f>
        <v/>
      </c>
      <c r="I29" s="1" t="n">
        <v>0.38</v>
      </c>
      <c r="J29" s="1" t="n">
        <v>0.5364705882352941</v>
      </c>
      <c r="K29" s="1">
        <f>IFERROR($E17/SUM($D17:$F17),"")</f>
        <v/>
      </c>
      <c r="L29" s="1">
        <f>IFERROR($D17/SUM($D17:$F17),"")</f>
        <v/>
      </c>
      <c r="M29" s="1">
        <f>IFERROR($F17/SUM($D17:$F17),"")</f>
        <v/>
      </c>
      <c r="O29" t="n">
        <v>28</v>
      </c>
      <c r="P29" t="inlineStr">
        <is>
          <t>15/01/2026</t>
        </is>
      </c>
      <c r="Q29" t="inlineStr">
        <is>
          <t>CN</t>
        </is>
      </c>
      <c r="R29" t="n">
        <v>23</v>
      </c>
      <c r="S29" t="n">
        <v>38</v>
      </c>
      <c r="T29" t="n">
        <v>1378</v>
      </c>
    </row>
    <row r="30">
      <c r="A30" t="n">
        <v>29</v>
      </c>
      <c r="B30" t="inlineStr">
        <is>
          <t>15/04/2026</t>
        </is>
      </c>
      <c r="C30" t="inlineStr">
        <is>
          <t>CN</t>
        </is>
      </c>
      <c r="D30" t="n">
        <v>424</v>
      </c>
      <c r="E30" t="n">
        <v>487</v>
      </c>
      <c r="F30" t="n">
        <v>526</v>
      </c>
      <c r="H30">
        <f>IF(B18="","",TEXT(B18,"dd/mm") &amp; "-" &amp; IF(UPPER(TRIM(C18))="CN",1,IF(UPPER(TRIM(C18))="CD",2,"")))</f>
        <v/>
      </c>
      <c r="I30" s="1" t="n">
        <v>0.38</v>
      </c>
      <c r="J30" s="1" t="n">
        <v>0.5364705882352941</v>
      </c>
      <c r="K30" s="1">
        <f>IFERROR($E18/SUM($D18:$F18),"")</f>
        <v/>
      </c>
      <c r="L30" s="1">
        <f>IFERROR($D18/SUM($D18:$F18),"")</f>
        <v/>
      </c>
      <c r="M30" s="1">
        <f>IFERROR($F18/SUM($D18:$F18),"")</f>
        <v/>
      </c>
      <c r="O30" t="n">
        <v>29</v>
      </c>
      <c r="P30" t="inlineStr">
        <is>
          <t>15/01/2026</t>
        </is>
      </c>
      <c r="Q30" t="inlineStr">
        <is>
          <t>CD</t>
        </is>
      </c>
      <c r="R30" t="n">
        <v>249</v>
      </c>
      <c r="S30" t="n">
        <v>316</v>
      </c>
      <c r="T30" t="n">
        <v>873</v>
      </c>
    </row>
    <row r="31">
      <c r="A31" t="n">
        <v>30</v>
      </c>
      <c r="B31" t="inlineStr">
        <is>
          <t>15/04/2026</t>
        </is>
      </c>
      <c r="C31" t="inlineStr">
        <is>
          <t>CD</t>
        </is>
      </c>
      <c r="D31" t="n">
        <v>268</v>
      </c>
      <c r="E31" t="n">
        <v>369</v>
      </c>
      <c r="F31" t="n">
        <v>800</v>
      </c>
      <c r="H31">
        <f>IF(B19="","",TEXT(B19,"dd/mm") &amp; "-" &amp; IF(UPPER(TRIM(C19))="CN",1,IF(UPPER(TRIM(C19))="CD",2,"")))</f>
        <v/>
      </c>
      <c r="I31" s="1" t="n">
        <v>0.38</v>
      </c>
      <c r="J31" s="1" t="n">
        <v>0.5364705882352941</v>
      </c>
      <c r="K31" s="1">
        <f>IFERROR($E19/SUM($D19:$F19),"")</f>
        <v/>
      </c>
      <c r="L31" s="1">
        <f>IFERROR($D19/SUM($D19:$F19),"")</f>
        <v/>
      </c>
      <c r="M31" s="1">
        <f>IFERROR($F19/SUM($D19:$F19),"")</f>
        <v/>
      </c>
      <c r="O31" t="n">
        <v>30</v>
      </c>
      <c r="P31" t="inlineStr">
        <is>
          <t>16/01/2026</t>
        </is>
      </c>
      <c r="Q31" t="inlineStr">
        <is>
          <t>CN</t>
        </is>
      </c>
      <c r="R31" t="n">
        <v>286</v>
      </c>
      <c r="S31" t="n">
        <v>290</v>
      </c>
      <c r="T31" t="n">
        <v>862</v>
      </c>
    </row>
    <row r="32">
      <c r="A32" t="n">
        <v>31</v>
      </c>
      <c r="B32" t="inlineStr">
        <is>
          <t>16/04/2026</t>
        </is>
      </c>
      <c r="C32" t="inlineStr">
        <is>
          <t>CN</t>
        </is>
      </c>
      <c r="D32" t="n">
        <v>467</v>
      </c>
      <c r="E32" t="n">
        <v>441</v>
      </c>
      <c r="F32" t="n">
        <v>526</v>
      </c>
      <c r="H32">
        <f>IF(B20="","",TEXT(B20,"dd/mm") &amp; "-" &amp; IF(UPPER(TRIM(C20))="CN",1,IF(UPPER(TRIM(C20))="CD",2,"")))</f>
        <v/>
      </c>
      <c r="I32" s="1" t="n">
        <v>0.38</v>
      </c>
      <c r="J32" s="1" t="n">
        <v>0.5364705882352941</v>
      </c>
      <c r="K32" s="1">
        <f>IFERROR($E20/SUM($D20:$F20),"")</f>
        <v/>
      </c>
      <c r="L32" s="1">
        <f>IFERROR($D20/SUM($D20:$F20),"")</f>
        <v/>
      </c>
      <c r="M32" s="1">
        <f>IFERROR($F20/SUM($D20:$F20),"")</f>
        <v/>
      </c>
      <c r="O32" t="n">
        <v>31</v>
      </c>
      <c r="P32" t="inlineStr">
        <is>
          <t>16/01/2026</t>
        </is>
      </c>
      <c r="Q32" t="inlineStr">
        <is>
          <t>CD</t>
        </is>
      </c>
      <c r="R32" t="n">
        <v>207</v>
      </c>
      <c r="S32" t="n">
        <v>311</v>
      </c>
      <c r="T32" t="n">
        <v>919</v>
      </c>
    </row>
    <row r="33">
      <c r="A33" t="n">
        <v>32</v>
      </c>
      <c r="B33" t="inlineStr">
        <is>
          <t>16/04/2026</t>
        </is>
      </c>
      <c r="C33" t="inlineStr">
        <is>
          <t>CD</t>
        </is>
      </c>
      <c r="D33" t="n">
        <v>278</v>
      </c>
      <c r="E33" t="n">
        <v>362</v>
      </c>
      <c r="F33" t="n">
        <v>798</v>
      </c>
      <c r="H33">
        <f>IF(B21="","",TEXT(B21,"dd/mm") &amp; "-" &amp; IF(UPPER(TRIM(C21))="CN",1,IF(UPPER(TRIM(C21))="CD",2,"")))</f>
        <v/>
      </c>
      <c r="I33" s="1" t="n">
        <v>0.38</v>
      </c>
      <c r="J33" s="1" t="n">
        <v>0.5364705882352941</v>
      </c>
      <c r="K33" s="1">
        <f>IFERROR($E21/SUM($D21:$F21),"")</f>
        <v/>
      </c>
      <c r="L33" s="1">
        <f>IFERROR($D21/SUM($D21:$F21),"")</f>
        <v/>
      </c>
      <c r="M33" s="1">
        <f>IFERROR($F21/SUM($D21:$F21),"")</f>
        <v/>
      </c>
      <c r="O33" t="n">
        <v>32</v>
      </c>
      <c r="P33" t="inlineStr">
        <is>
          <t>17/01/2026</t>
        </is>
      </c>
      <c r="Q33" t="inlineStr">
        <is>
          <t>CN</t>
        </is>
      </c>
      <c r="R33" t="n">
        <v>268</v>
      </c>
      <c r="S33" t="n">
        <v>249</v>
      </c>
      <c r="T33" t="n">
        <v>920</v>
      </c>
    </row>
    <row r="34">
      <c r="A34" t="n">
        <v>33</v>
      </c>
      <c r="B34" t="inlineStr">
        <is>
          <t>17/04/2026</t>
        </is>
      </c>
      <c r="C34" t="inlineStr">
        <is>
          <t>CN</t>
        </is>
      </c>
      <c r="D34" t="n">
        <v>445</v>
      </c>
      <c r="E34" t="n">
        <v>460</v>
      </c>
      <c r="F34" t="n">
        <v>530</v>
      </c>
      <c r="H34">
        <f>IF(B22="","",TEXT(B22,"dd/mm") &amp; "-" &amp; IF(UPPER(TRIM(C22))="CN",1,IF(UPPER(TRIM(C22))="CD",2,"")))</f>
        <v/>
      </c>
      <c r="I34" s="1" t="n">
        <v>0.38</v>
      </c>
      <c r="J34" s="1" t="n">
        <v>0.5364705882352941</v>
      </c>
      <c r="K34" s="1">
        <f>IFERROR($E22/SUM($D22:$F22),"")</f>
        <v/>
      </c>
      <c r="L34" s="1">
        <f>IFERROR($D22/SUM($D22:$F22),"")</f>
        <v/>
      </c>
      <c r="M34" s="1">
        <f>IFERROR($F22/SUM($D22:$F22),"")</f>
        <v/>
      </c>
      <c r="O34" t="n">
        <v>33</v>
      </c>
      <c r="P34" t="inlineStr">
        <is>
          <t>17/01/2026</t>
        </is>
      </c>
      <c r="Q34" t="inlineStr">
        <is>
          <t>CD</t>
        </is>
      </c>
      <c r="R34" t="n">
        <v>243</v>
      </c>
      <c r="S34" t="n">
        <v>293</v>
      </c>
      <c r="T34" t="n">
        <v>902</v>
      </c>
    </row>
    <row r="35">
      <c r="A35" t="n">
        <v>34</v>
      </c>
      <c r="B35" t="inlineStr">
        <is>
          <t>17/04/2026</t>
        </is>
      </c>
      <c r="C35" t="inlineStr">
        <is>
          <t>CD</t>
        </is>
      </c>
      <c r="D35" t="n">
        <v>330</v>
      </c>
      <c r="E35" t="n">
        <v>254</v>
      </c>
      <c r="F35" t="n">
        <v>853</v>
      </c>
      <c r="H35">
        <f>IF(B23="","",TEXT(B23,"dd/mm") &amp; "-" &amp; IF(UPPER(TRIM(C23))="CN",1,IF(UPPER(TRIM(C23))="CD",2,"")))</f>
        <v/>
      </c>
      <c r="I35" s="1" t="n">
        <v>0.38</v>
      </c>
      <c r="J35" s="1" t="n">
        <v>0.5364705882352941</v>
      </c>
      <c r="K35" s="1">
        <f>IFERROR($E23/SUM($D23:$F23),"")</f>
        <v/>
      </c>
      <c r="L35" s="1">
        <f>IFERROR($D23/SUM($D23:$F23),"")</f>
        <v/>
      </c>
      <c r="M35" s="1">
        <f>IFERROR($F23/SUM($D23:$F23),"")</f>
        <v/>
      </c>
      <c r="O35" t="n">
        <v>34</v>
      </c>
      <c r="P35" t="inlineStr">
        <is>
          <t>18/01/2026</t>
        </is>
      </c>
      <c r="Q35" t="inlineStr">
        <is>
          <t>CN</t>
        </is>
      </c>
      <c r="R35" t="n">
        <v>0</v>
      </c>
      <c r="S35" t="n">
        <v>0</v>
      </c>
      <c r="T35" t="n">
        <v>1440</v>
      </c>
    </row>
    <row r="36">
      <c r="A36" t="n">
        <v>35</v>
      </c>
      <c r="B36" t="inlineStr">
        <is>
          <t>18/04/2026</t>
        </is>
      </c>
      <c r="C36" t="inlineStr">
        <is>
          <t>CN</t>
        </is>
      </c>
      <c r="D36" t="n">
        <v>284</v>
      </c>
      <c r="E36" t="n">
        <v>200</v>
      </c>
      <c r="F36" t="n">
        <v>955</v>
      </c>
      <c r="H36">
        <f>IF(B24="","",TEXT(B24,"dd/mm") &amp; "-" &amp; IF(UPPER(TRIM(C24))="CN",1,IF(UPPER(TRIM(C24))="CD",2,"")))</f>
        <v/>
      </c>
      <c r="I36" s="1" t="n">
        <v>0.38</v>
      </c>
      <c r="J36" s="1" t="n">
        <v>0.5364705882352941</v>
      </c>
      <c r="K36" s="1">
        <f>IFERROR($E24/SUM($D24:$F24),"")</f>
        <v/>
      </c>
      <c r="L36" s="1">
        <f>IFERROR($D24/SUM($D24:$F24),"")</f>
        <v/>
      </c>
      <c r="M36" s="1">
        <f>IFERROR($F24/SUM($D24:$F24),"")</f>
        <v/>
      </c>
      <c r="O36" t="n">
        <v>35</v>
      </c>
      <c r="P36" t="inlineStr">
        <is>
          <t>18/01/2026</t>
        </is>
      </c>
      <c r="Q36" t="inlineStr">
        <is>
          <t>CD</t>
        </is>
      </c>
      <c r="R36" t="n">
        <v>0</v>
      </c>
      <c r="S36" t="n">
        <v>0</v>
      </c>
      <c r="T36" t="n">
        <v>1440</v>
      </c>
    </row>
    <row r="37">
      <c r="A37" t="n">
        <v>36</v>
      </c>
      <c r="B37" t="inlineStr">
        <is>
          <t>18/04/2026</t>
        </is>
      </c>
      <c r="C37" t="inlineStr">
        <is>
          <t>CD</t>
        </is>
      </c>
      <c r="D37" t="n">
        <v>227</v>
      </c>
      <c r="E37" t="n">
        <v>232</v>
      </c>
      <c r="F37" t="n">
        <v>979</v>
      </c>
      <c r="H37">
        <f>IF(B25="","",TEXT(B25,"dd/mm") &amp; "-" &amp; IF(UPPER(TRIM(C25))="CN",1,IF(UPPER(TRIM(C25))="CD",2,"")))</f>
        <v/>
      </c>
      <c r="I37" s="1" t="n">
        <v>0.38</v>
      </c>
      <c r="J37" s="1" t="n">
        <v>0.5364705882352941</v>
      </c>
      <c r="K37" s="1">
        <f>IFERROR($E25/SUM($D25:$F25),"")</f>
        <v/>
      </c>
      <c r="L37" s="1">
        <f>IFERROR($D25/SUM($D25:$F25),"")</f>
        <v/>
      </c>
      <c r="M37" s="1">
        <f>IFERROR($F25/SUM($D25:$F25),"")</f>
        <v/>
      </c>
      <c r="O37" t="n">
        <v>36</v>
      </c>
      <c r="P37" t="inlineStr">
        <is>
          <t>19/01/2026</t>
        </is>
      </c>
      <c r="Q37" t="inlineStr">
        <is>
          <t>CN</t>
        </is>
      </c>
      <c r="R37" t="n">
        <v>301</v>
      </c>
      <c r="S37" t="n">
        <v>276</v>
      </c>
      <c r="T37" t="n">
        <v>861</v>
      </c>
    </row>
    <row r="38">
      <c r="A38" t="n">
        <v>37</v>
      </c>
      <c r="B38" t="inlineStr">
        <is>
          <t>19/04/2026</t>
        </is>
      </c>
      <c r="C38" t="inlineStr">
        <is>
          <t>CN</t>
        </is>
      </c>
      <c r="D38" t="n">
        <v>0</v>
      </c>
      <c r="E38" t="n">
        <v>0</v>
      </c>
      <c r="F38" t="n">
        <v>1440</v>
      </c>
      <c r="H38">
        <f>IF(B26="","",TEXT(B26,"dd/mm") &amp; "-" &amp; IF(UPPER(TRIM(C26))="CN",1,IF(UPPER(TRIM(C26))="CD",2,"")))</f>
        <v/>
      </c>
      <c r="I38" s="1" t="n">
        <v>0.38</v>
      </c>
      <c r="J38" s="1" t="n">
        <v>0.5364705882352941</v>
      </c>
      <c r="K38" s="1">
        <f>IFERROR($E26/SUM($D26:$F26),"")</f>
        <v/>
      </c>
      <c r="L38" s="1">
        <f>IFERROR($D26/SUM($D26:$F26),"")</f>
        <v/>
      </c>
      <c r="M38" s="1">
        <f>IFERROR($F26/SUM($D26:$F26),"")</f>
        <v/>
      </c>
      <c r="O38" t="n">
        <v>37</v>
      </c>
      <c r="P38" t="inlineStr">
        <is>
          <t>19/01/2026</t>
        </is>
      </c>
      <c r="Q38" t="inlineStr">
        <is>
          <t>CD</t>
        </is>
      </c>
      <c r="R38" t="n">
        <v>410</v>
      </c>
      <c r="S38" t="n">
        <v>340</v>
      </c>
      <c r="T38" t="n">
        <v>687</v>
      </c>
    </row>
    <row r="39">
      <c r="A39" t="n">
        <v>38</v>
      </c>
      <c r="B39" t="inlineStr">
        <is>
          <t>19/04/2026</t>
        </is>
      </c>
      <c r="C39" t="inlineStr">
        <is>
          <t>CD</t>
        </is>
      </c>
      <c r="D39" t="n">
        <v>0</v>
      </c>
      <c r="E39" t="n">
        <v>0</v>
      </c>
      <c r="F39" t="n">
        <v>1440</v>
      </c>
      <c r="H39">
        <f>IF(B27="","",TEXT(B27,"dd/mm") &amp; "-" &amp; IF(UPPER(TRIM(C27))="CN",1,IF(UPPER(TRIM(C27))="CD",2,"")))</f>
        <v/>
      </c>
      <c r="I39" s="1" t="n">
        <v>0.38</v>
      </c>
      <c r="J39" s="1" t="n">
        <v>0.5364705882352941</v>
      </c>
      <c r="K39" s="1">
        <f>IFERROR($E27/SUM($D27:$F27),"")</f>
        <v/>
      </c>
      <c r="L39" s="1">
        <f>IFERROR($D27/SUM($D27:$F27),"")</f>
        <v/>
      </c>
      <c r="M39" s="1">
        <f>IFERROR($F27/SUM($D27:$F27),"")</f>
        <v/>
      </c>
      <c r="O39" t="n">
        <v>38</v>
      </c>
      <c r="P39" t="inlineStr">
        <is>
          <t>20/01/2026</t>
        </is>
      </c>
      <c r="Q39" t="inlineStr">
        <is>
          <t>CN</t>
        </is>
      </c>
      <c r="R39" t="n">
        <v>277</v>
      </c>
      <c r="S39" t="n">
        <v>302</v>
      </c>
      <c r="T39" t="n">
        <v>859</v>
      </c>
    </row>
    <row r="40">
      <c r="A40" t="n">
        <v>39</v>
      </c>
      <c r="B40" t="inlineStr">
        <is>
          <t>20/04/2026</t>
        </is>
      </c>
      <c r="C40" t="inlineStr">
        <is>
          <t>CN</t>
        </is>
      </c>
      <c r="D40" t="n">
        <v>335</v>
      </c>
      <c r="E40" t="n">
        <v>572</v>
      </c>
      <c r="F40" t="n">
        <v>531</v>
      </c>
      <c r="H40">
        <f>IF(B28="","",TEXT(B28,"dd/mm") &amp; "-" &amp; IF(UPPER(TRIM(C28))="CN",1,IF(UPPER(TRIM(C28))="CD",2,"")))</f>
        <v/>
      </c>
      <c r="I40" s="1" t="n">
        <v>0.38</v>
      </c>
      <c r="J40" s="1" t="n">
        <v>0.5364705882352941</v>
      </c>
      <c r="K40" s="1">
        <f>IFERROR($E28/SUM($D28:$F28),"")</f>
        <v/>
      </c>
      <c r="L40" s="1">
        <f>IFERROR($D28/SUM($D28:$F28),"")</f>
        <v/>
      </c>
      <c r="M40" s="1">
        <f>IFERROR($F28/SUM($D28:$F28),"")</f>
        <v/>
      </c>
      <c r="O40" t="n">
        <v>39</v>
      </c>
      <c r="P40" t="inlineStr">
        <is>
          <t>20/01/2026</t>
        </is>
      </c>
      <c r="Q40" t="inlineStr">
        <is>
          <t>CD</t>
        </is>
      </c>
      <c r="R40" t="n">
        <v>236</v>
      </c>
      <c r="S40" t="n">
        <v>320</v>
      </c>
      <c r="T40" t="n">
        <v>881</v>
      </c>
    </row>
    <row r="41">
      <c r="A41" t="n">
        <v>40</v>
      </c>
      <c r="B41" t="inlineStr">
        <is>
          <t>20/04/2026</t>
        </is>
      </c>
      <c r="C41" t="inlineStr">
        <is>
          <t>CD</t>
        </is>
      </c>
      <c r="D41" t="n">
        <v>357</v>
      </c>
      <c r="E41" t="n">
        <v>288</v>
      </c>
      <c r="F41" t="n">
        <v>792</v>
      </c>
      <c r="H41">
        <f>IF(B29="","",TEXT(B29,"dd/mm") &amp; "-" &amp; IF(UPPER(TRIM(C29))="CN",1,IF(UPPER(TRIM(C29))="CD",2,"")))</f>
        <v/>
      </c>
      <c r="I41" s="1" t="n">
        <v>0.38</v>
      </c>
      <c r="J41" s="1" t="n">
        <v>0.5364705882352941</v>
      </c>
      <c r="K41" s="1">
        <f>IFERROR($E29/SUM($D29:$F29),"")</f>
        <v/>
      </c>
      <c r="L41" s="1">
        <f>IFERROR($D29/SUM($D29:$F29),"")</f>
        <v/>
      </c>
      <c r="M41" s="1">
        <f>IFERROR($F29/SUM($D29:$F29),"")</f>
        <v/>
      </c>
      <c r="O41" t="n">
        <v>40</v>
      </c>
      <c r="P41" t="inlineStr">
        <is>
          <t>21/01/2026</t>
        </is>
      </c>
      <c r="Q41" t="inlineStr">
        <is>
          <t>CN</t>
        </is>
      </c>
      <c r="R41" t="n">
        <v>306</v>
      </c>
      <c r="S41" t="n">
        <v>272</v>
      </c>
      <c r="T41" t="n">
        <v>859</v>
      </c>
    </row>
    <row r="42">
      <c r="A42" t="n">
        <v>41</v>
      </c>
      <c r="B42" t="inlineStr">
        <is>
          <t>21/04/2026</t>
        </is>
      </c>
      <c r="C42" t="inlineStr">
        <is>
          <t>CN</t>
        </is>
      </c>
      <c r="D42" t="n">
        <v>411</v>
      </c>
      <c r="E42" t="n">
        <v>497</v>
      </c>
      <c r="F42" t="n">
        <v>530</v>
      </c>
      <c r="H42">
        <f>IF(B30="","",TEXT(B30,"dd/mm") &amp; "-" &amp; IF(UPPER(TRIM(C30))="CN",1,IF(UPPER(TRIM(C30))="CD",2,"")))</f>
        <v/>
      </c>
      <c r="I42" s="1" t="n">
        <v>0.38</v>
      </c>
      <c r="J42" s="1" t="n">
        <v>0.5364705882352941</v>
      </c>
      <c r="K42" s="1">
        <f>IFERROR($E30/SUM($D30:$F30),"")</f>
        <v/>
      </c>
      <c r="L42" s="1">
        <f>IFERROR($D30/SUM($D30:$F30),"")</f>
        <v/>
      </c>
      <c r="M42" s="1">
        <f>IFERROR($F30/SUM($D30:$F30),"")</f>
        <v/>
      </c>
      <c r="O42" t="n">
        <v>41</v>
      </c>
      <c r="P42" t="inlineStr">
        <is>
          <t>21/01/2026</t>
        </is>
      </c>
      <c r="Q42" t="inlineStr">
        <is>
          <t>CD</t>
        </is>
      </c>
      <c r="R42" t="n">
        <v>314</v>
      </c>
      <c r="S42" t="n">
        <v>310</v>
      </c>
      <c r="T42" t="n">
        <v>813</v>
      </c>
    </row>
    <row r="43">
      <c r="A43" t="n">
        <v>42</v>
      </c>
      <c r="B43" t="inlineStr">
        <is>
          <t>21/04/2026</t>
        </is>
      </c>
      <c r="C43" t="inlineStr">
        <is>
          <t>CD</t>
        </is>
      </c>
      <c r="D43" t="n">
        <v>365</v>
      </c>
      <c r="E43" t="n">
        <v>272</v>
      </c>
      <c r="F43" t="n">
        <v>797</v>
      </c>
      <c r="H43">
        <f>IF(B31="","",TEXT(B31,"dd/mm") &amp; "-" &amp; IF(UPPER(TRIM(C31))="CN",1,IF(UPPER(TRIM(C31))="CD",2,"")))</f>
        <v/>
      </c>
      <c r="I43" s="1" t="n">
        <v>0.38</v>
      </c>
      <c r="J43" s="1" t="n">
        <v>0.5364705882352941</v>
      </c>
      <c r="K43" s="1">
        <f>IFERROR($E31/SUM($D31:$F31),"")</f>
        <v/>
      </c>
      <c r="L43" s="1">
        <f>IFERROR($D31/SUM($D31:$F31),"")</f>
        <v/>
      </c>
      <c r="M43" s="1">
        <f>IFERROR($F31/SUM($D31:$F31),"")</f>
        <v/>
      </c>
      <c r="O43" t="n">
        <v>42</v>
      </c>
      <c r="P43" t="inlineStr">
        <is>
          <t>22/01/2026</t>
        </is>
      </c>
      <c r="Q43" t="inlineStr">
        <is>
          <t>CN</t>
        </is>
      </c>
      <c r="R43" t="n">
        <v>274</v>
      </c>
      <c r="S43" t="n">
        <v>297</v>
      </c>
      <c r="T43" t="n">
        <v>867</v>
      </c>
    </row>
    <row r="44">
      <c r="A44" t="n">
        <v>43</v>
      </c>
      <c r="B44" t="inlineStr">
        <is>
          <t>22/04/2026</t>
        </is>
      </c>
      <c r="C44" t="inlineStr">
        <is>
          <t>CN</t>
        </is>
      </c>
      <c r="D44" t="n">
        <v>432</v>
      </c>
      <c r="E44" t="n">
        <v>475</v>
      </c>
      <c r="F44" t="n">
        <v>530</v>
      </c>
      <c r="H44">
        <f>IF(B32="","",TEXT(B32,"dd/mm") &amp; "-" &amp; IF(UPPER(TRIM(C32))="CN",1,IF(UPPER(TRIM(C32))="CD",2,"")))</f>
        <v/>
      </c>
      <c r="I44" s="1" t="n">
        <v>0.38</v>
      </c>
      <c r="J44" s="1" t="n">
        <v>0.5364705882352941</v>
      </c>
      <c r="K44" s="1">
        <f>IFERROR($E32/SUM($D32:$F32),"")</f>
        <v/>
      </c>
      <c r="L44" s="1">
        <f>IFERROR($D32/SUM($D32:$F32),"")</f>
        <v/>
      </c>
      <c r="M44" s="1">
        <f>IFERROR($F32/SUM($D32:$F32),"")</f>
        <v/>
      </c>
      <c r="O44" t="n">
        <v>43</v>
      </c>
      <c r="P44" t="inlineStr">
        <is>
          <t>22/01/2026</t>
        </is>
      </c>
      <c r="Q44" t="inlineStr">
        <is>
          <t>CD</t>
        </is>
      </c>
      <c r="R44" t="n">
        <v>300</v>
      </c>
      <c r="S44" t="n">
        <v>321</v>
      </c>
      <c r="T44" t="n">
        <v>816</v>
      </c>
    </row>
    <row r="45">
      <c r="A45" t="n">
        <v>44</v>
      </c>
      <c r="B45" t="inlineStr">
        <is>
          <t>22/04/2026</t>
        </is>
      </c>
      <c r="C45" t="inlineStr">
        <is>
          <t>CD</t>
        </is>
      </c>
      <c r="D45" t="n">
        <v>351</v>
      </c>
      <c r="E45" t="n">
        <v>294</v>
      </c>
      <c r="F45" t="n">
        <v>792</v>
      </c>
      <c r="H45">
        <f>IF(B33="","",TEXT(B33,"dd/mm") &amp; "-" &amp; IF(UPPER(TRIM(C33))="CN",1,IF(UPPER(TRIM(C33))="CD",2,"")))</f>
        <v/>
      </c>
      <c r="I45" s="1" t="n">
        <v>0.38</v>
      </c>
      <c r="J45" s="1" t="n">
        <v>0.5364705882352941</v>
      </c>
      <c r="K45" s="1">
        <f>IFERROR($E33/SUM($D33:$F33),"")</f>
        <v/>
      </c>
      <c r="L45" s="1">
        <f>IFERROR($D33/SUM($D33:$F33),"")</f>
        <v/>
      </c>
      <c r="M45" s="1">
        <f>IFERROR($F33/SUM($D33:$F33),"")</f>
        <v/>
      </c>
      <c r="O45" t="n">
        <v>44</v>
      </c>
      <c r="P45" t="inlineStr">
        <is>
          <t>23/01/2026</t>
        </is>
      </c>
      <c r="Q45" t="inlineStr">
        <is>
          <t>CN</t>
        </is>
      </c>
      <c r="R45" t="n">
        <v>253</v>
      </c>
      <c r="S45" t="n">
        <v>323</v>
      </c>
      <c r="T45" t="n">
        <v>860</v>
      </c>
    </row>
    <row r="46">
      <c r="A46" t="n">
        <v>45</v>
      </c>
      <c r="B46" t="inlineStr">
        <is>
          <t>23/04/2026</t>
        </is>
      </c>
      <c r="C46" t="inlineStr">
        <is>
          <t>CN</t>
        </is>
      </c>
      <c r="D46" t="n">
        <v>429</v>
      </c>
      <c r="E46" t="n">
        <v>477</v>
      </c>
      <c r="F46" t="n">
        <v>531</v>
      </c>
      <c r="H46">
        <f>IF(B34="","",TEXT(B34,"dd/mm") &amp; "-" &amp; IF(UPPER(TRIM(C34))="CN",1,IF(UPPER(TRIM(C34))="CD",2,"")))</f>
        <v/>
      </c>
      <c r="I46" s="1" t="n">
        <v>0.38</v>
      </c>
      <c r="J46" s="1" t="n">
        <v>0.5364705882352941</v>
      </c>
      <c r="K46" s="1">
        <f>IFERROR($E34/SUM($D34:$F34),"")</f>
        <v/>
      </c>
      <c r="L46" s="1">
        <f>IFERROR($D34/SUM($D34:$F34),"")</f>
        <v/>
      </c>
      <c r="M46" s="1">
        <f>IFERROR($F34/SUM($D34:$F34),"")</f>
        <v/>
      </c>
      <c r="O46" t="n">
        <v>45</v>
      </c>
      <c r="P46" t="inlineStr">
        <is>
          <t>23/01/2026</t>
        </is>
      </c>
      <c r="Q46" t="inlineStr">
        <is>
          <t>CD</t>
        </is>
      </c>
      <c r="R46" t="n">
        <v>294</v>
      </c>
      <c r="S46" t="n">
        <v>325</v>
      </c>
      <c r="T46" t="n">
        <v>819</v>
      </c>
    </row>
    <row r="47">
      <c r="A47" t="n">
        <v>46</v>
      </c>
      <c r="B47" t="inlineStr">
        <is>
          <t>23/04/2026</t>
        </is>
      </c>
      <c r="C47" t="inlineStr">
        <is>
          <t>CD</t>
        </is>
      </c>
      <c r="D47" t="n">
        <v>490</v>
      </c>
      <c r="E47" t="n">
        <v>630</v>
      </c>
      <c r="F47" t="n">
        <v>317</v>
      </c>
      <c r="H47">
        <f>IF(B35="","",TEXT(B35,"dd/mm") &amp; "-" &amp; IF(UPPER(TRIM(C35))="CN",1,IF(UPPER(TRIM(C35))="CD",2,"")))</f>
        <v/>
      </c>
      <c r="I47" s="1" t="n">
        <v>0.38</v>
      </c>
      <c r="J47" s="1" t="n">
        <v>0.5364705882352941</v>
      </c>
      <c r="K47" s="1">
        <f>IFERROR($E35/SUM($D35:$F35),"")</f>
        <v/>
      </c>
      <c r="L47" s="1">
        <f>IFERROR($D35/SUM($D35:$F35),"")</f>
        <v/>
      </c>
      <c r="M47" s="1">
        <f>IFERROR($F35/SUM($D35:$F35),"")</f>
        <v/>
      </c>
      <c r="O47" t="n">
        <v>46</v>
      </c>
      <c r="P47" t="inlineStr">
        <is>
          <t>24/01/2026</t>
        </is>
      </c>
      <c r="Q47" t="inlineStr">
        <is>
          <t>CN</t>
        </is>
      </c>
      <c r="R47" t="n">
        <v>266</v>
      </c>
      <c r="S47" t="n">
        <v>217</v>
      </c>
      <c r="T47" t="n">
        <v>956</v>
      </c>
    </row>
    <row r="48">
      <c r="A48" t="n">
        <v>47</v>
      </c>
      <c r="B48" t="inlineStr">
        <is>
          <t>24/04/2026</t>
        </is>
      </c>
      <c r="C48" t="inlineStr">
        <is>
          <t>CN</t>
        </is>
      </c>
      <c r="D48" t="n">
        <v>439</v>
      </c>
      <c r="E48" t="n">
        <v>469</v>
      </c>
      <c r="F48" t="n">
        <v>529</v>
      </c>
      <c r="H48">
        <f>IF(B36="","",TEXT(B36,"dd/mm") &amp; "-" &amp; IF(UPPER(TRIM(C36))="CN",1,IF(UPPER(TRIM(C36))="CD",2,"")))</f>
        <v/>
      </c>
      <c r="I48" s="1" t="n">
        <v>0.38</v>
      </c>
      <c r="J48" s="1" t="n">
        <v>0.5364705882352941</v>
      </c>
      <c r="K48" s="1">
        <f>IFERROR($E36/SUM($D36:$F36),"")</f>
        <v/>
      </c>
      <c r="L48" s="1">
        <f>IFERROR($D36/SUM($D36:$F36),"")</f>
        <v/>
      </c>
      <c r="M48" s="1">
        <f>IFERROR($F36/SUM($D36:$F36),"")</f>
        <v/>
      </c>
      <c r="O48" t="n">
        <v>47</v>
      </c>
      <c r="P48" t="inlineStr">
        <is>
          <t>24/01/2026</t>
        </is>
      </c>
      <c r="Q48" t="inlineStr">
        <is>
          <t>CD</t>
        </is>
      </c>
      <c r="R48" t="n">
        <v>198</v>
      </c>
      <c r="S48" t="n">
        <v>265</v>
      </c>
      <c r="T48" t="n">
        <v>975</v>
      </c>
    </row>
    <row r="49">
      <c r="A49" t="n">
        <v>48</v>
      </c>
      <c r="B49" t="inlineStr">
        <is>
          <t>24/04/2026</t>
        </is>
      </c>
      <c r="C49" t="inlineStr">
        <is>
          <t>CD</t>
        </is>
      </c>
      <c r="D49" t="n">
        <v>548</v>
      </c>
      <c r="E49" t="n">
        <v>571</v>
      </c>
      <c r="F49" t="n">
        <v>316</v>
      </c>
      <c r="H49">
        <f>IF(B37="","",TEXT(B37,"dd/mm") &amp; "-" &amp; IF(UPPER(TRIM(C37))="CN",1,IF(UPPER(TRIM(C37))="CD",2,"")))</f>
        <v/>
      </c>
      <c r="I49" s="1" t="n">
        <v>0.38</v>
      </c>
      <c r="J49" s="1" t="n">
        <v>0.5364705882352941</v>
      </c>
      <c r="K49" s="1">
        <f>IFERROR($E37/SUM($D37:$F37),"")</f>
        <v/>
      </c>
      <c r="L49" s="1">
        <f>IFERROR($D37/SUM($D37:$F37),"")</f>
        <v/>
      </c>
      <c r="M49" s="1">
        <f>IFERROR($F37/SUM($D37:$F37),"")</f>
        <v/>
      </c>
      <c r="O49" t="n">
        <v>48</v>
      </c>
      <c r="P49" t="inlineStr">
        <is>
          <t>25/01/2026</t>
        </is>
      </c>
      <c r="Q49" t="inlineStr">
        <is>
          <t>CN</t>
        </is>
      </c>
      <c r="R49" t="n">
        <v>163</v>
      </c>
      <c r="S49" t="n">
        <v>321</v>
      </c>
      <c r="T49" t="n">
        <v>954</v>
      </c>
    </row>
    <row r="50">
      <c r="A50" t="n">
        <v>49</v>
      </c>
      <c r="B50" t="inlineStr">
        <is>
          <t>25/04/2026</t>
        </is>
      </c>
      <c r="C50" t="inlineStr">
        <is>
          <t>CN</t>
        </is>
      </c>
      <c r="D50" t="n">
        <v>204</v>
      </c>
      <c r="E50" t="n">
        <v>280</v>
      </c>
      <c r="F50" t="n">
        <v>954</v>
      </c>
      <c r="H50">
        <f>IF(B38="","",TEXT(B38,"dd/mm") &amp; "-" &amp; IF(UPPER(TRIM(C38))="CN",1,IF(UPPER(TRIM(C38))="CD",2,"")))</f>
        <v/>
      </c>
      <c r="I50" s="1" t="n">
        <v>0.38</v>
      </c>
      <c r="J50" s="1" t="n">
        <v>0.5364705882352941</v>
      </c>
      <c r="K50" s="1">
        <f>IFERROR($E38/SUM($D38:$F38),"")</f>
        <v/>
      </c>
      <c r="L50" s="1">
        <f>IFERROR($D38/SUM($D38:$F38),"")</f>
        <v/>
      </c>
      <c r="M50" s="1">
        <f>IFERROR($F38/SUM($D38:$F38),"")</f>
        <v/>
      </c>
      <c r="O50" t="n">
        <v>49</v>
      </c>
      <c r="P50" t="inlineStr">
        <is>
          <t>25/01/2026</t>
        </is>
      </c>
      <c r="Q50" t="inlineStr">
        <is>
          <t>CD</t>
        </is>
      </c>
      <c r="R50" t="n">
        <v>0</v>
      </c>
      <c r="S50" t="n">
        <v>0</v>
      </c>
      <c r="T50" t="n">
        <v>1440</v>
      </c>
    </row>
    <row r="51">
      <c r="A51" t="n">
        <v>50</v>
      </c>
      <c r="B51" t="inlineStr">
        <is>
          <t>25/04/2026</t>
        </is>
      </c>
      <c r="C51" t="inlineStr">
        <is>
          <t>CD</t>
        </is>
      </c>
      <c r="D51" t="n">
        <v>254</v>
      </c>
      <c r="E51" t="n">
        <v>209</v>
      </c>
      <c r="F51" t="n">
        <v>970</v>
      </c>
      <c r="H51">
        <f>IF(B39="","",TEXT(B39,"dd/mm") &amp; "-" &amp; IF(UPPER(TRIM(C39))="CN",1,IF(UPPER(TRIM(C39))="CD",2,"")))</f>
        <v/>
      </c>
      <c r="I51" s="1" t="n">
        <v>0.38</v>
      </c>
      <c r="J51" s="1" t="n">
        <v>0.5364705882352941</v>
      </c>
      <c r="K51" s="1">
        <f>IFERROR($E39/SUM($D39:$F39),"")</f>
        <v/>
      </c>
      <c r="L51" s="1">
        <f>IFERROR($D39/SUM($D39:$F39),"")</f>
        <v/>
      </c>
      <c r="M51" s="1">
        <f>IFERROR($F39/SUM($D39:$F39),"")</f>
        <v/>
      </c>
      <c r="O51" t="n">
        <v>50</v>
      </c>
      <c r="P51" t="inlineStr">
        <is>
          <t>26/01/2026</t>
        </is>
      </c>
      <c r="Q51" t="inlineStr">
        <is>
          <t>CN</t>
        </is>
      </c>
      <c r="R51" t="n">
        <v>321</v>
      </c>
      <c r="S51" t="n">
        <v>254</v>
      </c>
      <c r="T51" t="n">
        <v>862</v>
      </c>
    </row>
    <row r="52">
      <c r="A52" t="n">
        <v>51</v>
      </c>
      <c r="B52" t="inlineStr">
        <is>
          <t>26/04/2026</t>
        </is>
      </c>
      <c r="C52" t="inlineStr">
        <is>
          <t>CN</t>
        </is>
      </c>
      <c r="D52" t="n">
        <v>0</v>
      </c>
      <c r="E52" t="n">
        <v>0</v>
      </c>
      <c r="F52" t="n">
        <v>1440</v>
      </c>
      <c r="H52">
        <f>IF(B40="","",TEXT(B40,"dd/mm") &amp; "-" &amp; IF(UPPER(TRIM(C40))="CN",1,IF(UPPER(TRIM(C40))="CD",2,"")))</f>
        <v/>
      </c>
      <c r="I52" s="1" t="n">
        <v>0.38</v>
      </c>
      <c r="J52" s="1" t="n">
        <v>0.5364705882352941</v>
      </c>
      <c r="K52" s="1">
        <f>IFERROR($E40/SUM($D40:$F40),"")</f>
        <v/>
      </c>
      <c r="L52" s="1">
        <f>IFERROR($D40/SUM($D40:$F40),"")</f>
        <v/>
      </c>
      <c r="M52" s="1">
        <f>IFERROR($F40/SUM($D40:$F40),"")</f>
        <v/>
      </c>
      <c r="O52" t="n">
        <v>51</v>
      </c>
      <c r="P52" t="inlineStr">
        <is>
          <t>26/01/2026</t>
        </is>
      </c>
      <c r="Q52" t="inlineStr">
        <is>
          <t>CD</t>
        </is>
      </c>
      <c r="R52" t="n">
        <v>330</v>
      </c>
      <c r="S52" t="n">
        <v>350</v>
      </c>
      <c r="T52" t="n">
        <v>757</v>
      </c>
    </row>
    <row r="53">
      <c r="A53" t="n">
        <v>52</v>
      </c>
      <c r="B53" t="inlineStr">
        <is>
          <t>26/04/2026</t>
        </is>
      </c>
      <c r="C53" t="inlineStr">
        <is>
          <t>CD</t>
        </is>
      </c>
      <c r="D53" t="n">
        <v>0</v>
      </c>
      <c r="E53" t="n">
        <v>0</v>
      </c>
      <c r="F53" t="n">
        <v>1440</v>
      </c>
      <c r="H53">
        <f>IF(B41="","",TEXT(B41,"dd/mm") &amp; "-" &amp; IF(UPPER(TRIM(C41))="CN",1,IF(UPPER(TRIM(C41))="CD",2,"")))</f>
        <v/>
      </c>
      <c r="I53" s="1" t="n">
        <v>0.38</v>
      </c>
      <c r="J53" s="1" t="n">
        <v>0.5364705882352941</v>
      </c>
      <c r="K53" s="1">
        <f>IFERROR($E41/SUM($D41:$F41),"")</f>
        <v/>
      </c>
      <c r="L53" s="1">
        <f>IFERROR($D41/SUM($D41:$F41),"")</f>
        <v/>
      </c>
      <c r="M53" s="1">
        <f>IFERROR($F41/SUM($D41:$F41),"")</f>
        <v/>
      </c>
      <c r="O53" t="n">
        <v>52</v>
      </c>
      <c r="P53" t="inlineStr">
        <is>
          <t>27/01/2026</t>
        </is>
      </c>
      <c r="Q53" t="inlineStr">
        <is>
          <t>CN</t>
        </is>
      </c>
      <c r="R53" t="n">
        <v>280</v>
      </c>
      <c r="S53" t="n">
        <v>293</v>
      </c>
      <c r="T53" t="n">
        <v>864</v>
      </c>
    </row>
    <row r="54">
      <c r="A54" t="n">
        <v>53</v>
      </c>
      <c r="B54" t="inlineStr">
        <is>
          <t>27/04/2026</t>
        </is>
      </c>
      <c r="C54" t="inlineStr">
        <is>
          <t>CN</t>
        </is>
      </c>
      <c r="D54" t="n">
        <v>357</v>
      </c>
      <c r="E54" t="n">
        <v>544</v>
      </c>
      <c r="F54" t="n">
        <v>537</v>
      </c>
      <c r="H54">
        <f>IF(B42="","",TEXT(B42,"dd/mm") &amp; "-" &amp; IF(UPPER(TRIM(C42))="CN",1,IF(UPPER(TRIM(C42))="CD",2,"")))</f>
        <v/>
      </c>
      <c r="I54" s="1" t="n">
        <v>0.38</v>
      </c>
      <c r="J54" s="1" t="n">
        <v>0.5364705882352941</v>
      </c>
      <c r="K54" s="1">
        <f>IFERROR($E42/SUM($D42:$F42),"")</f>
        <v/>
      </c>
      <c r="L54" s="1">
        <f>IFERROR($D42/SUM($D42:$F42),"")</f>
        <v/>
      </c>
      <c r="M54" s="1">
        <f>IFERROR($F42/SUM($D42:$F42),"")</f>
        <v/>
      </c>
      <c r="O54" t="n">
        <v>53</v>
      </c>
      <c r="P54" t="inlineStr">
        <is>
          <t>27/01/2026</t>
        </is>
      </c>
      <c r="Q54" t="inlineStr">
        <is>
          <t>CD</t>
        </is>
      </c>
      <c r="R54" t="n">
        <v>322</v>
      </c>
      <c r="S54" t="n">
        <v>355</v>
      </c>
      <c r="T54" t="n">
        <v>760</v>
      </c>
    </row>
    <row r="55">
      <c r="A55" t="n">
        <v>54</v>
      </c>
      <c r="B55" t="inlineStr">
        <is>
          <t>27/04/2026</t>
        </is>
      </c>
      <c r="C55" t="inlineStr">
        <is>
          <t>CD</t>
        </is>
      </c>
      <c r="D55" t="n">
        <v>271</v>
      </c>
      <c r="E55" t="n">
        <v>373</v>
      </c>
      <c r="F55" t="n">
        <v>794</v>
      </c>
      <c r="H55">
        <f>IF(B43="","",TEXT(B43,"dd/mm") &amp; "-" &amp; IF(UPPER(TRIM(C43))="CN",1,IF(UPPER(TRIM(C43))="CD",2,"")))</f>
        <v/>
      </c>
      <c r="I55" s="1" t="n">
        <v>0.38</v>
      </c>
      <c r="J55" s="1" t="n">
        <v>0.5364705882352941</v>
      </c>
      <c r="K55" s="1">
        <f>IFERROR($E43/SUM($D43:$F43),"")</f>
        <v/>
      </c>
      <c r="L55" s="1">
        <f>IFERROR($D43/SUM($D43:$F43),"")</f>
        <v/>
      </c>
      <c r="M55" s="1">
        <f>IFERROR($F43/SUM($D43:$F43),"")</f>
        <v/>
      </c>
      <c r="O55" t="n">
        <v>54</v>
      </c>
      <c r="P55" t="inlineStr">
        <is>
          <t>28/01/2026</t>
        </is>
      </c>
      <c r="Q55" t="inlineStr">
        <is>
          <t>CN</t>
        </is>
      </c>
      <c r="R55" t="n">
        <v>320</v>
      </c>
      <c r="S55" t="n">
        <v>254</v>
      </c>
      <c r="T55" t="n">
        <v>862</v>
      </c>
    </row>
    <row r="56">
      <c r="H56">
        <f>IF(B44="","",TEXT(B44,"dd/mm") &amp; "-" &amp; IF(UPPER(TRIM(C44))="CN",1,IF(UPPER(TRIM(C44))="CD",2,"")))</f>
        <v/>
      </c>
      <c r="I56" s="1" t="n">
        <v>0.38</v>
      </c>
      <c r="J56" s="1" t="n">
        <v>0.5364705882352941</v>
      </c>
      <c r="K56" s="1">
        <f>IFERROR($E44/SUM($D44:$F44),"")</f>
        <v/>
      </c>
      <c r="L56" s="1">
        <f>IFERROR($D44/SUM($D44:$F44),"")</f>
        <v/>
      </c>
      <c r="M56" s="1">
        <f>IFERROR($F44/SUM($D44:$F44),"")</f>
        <v/>
      </c>
      <c r="O56" t="n">
        <v>55</v>
      </c>
      <c r="P56" t="inlineStr">
        <is>
          <t>28/01/2026</t>
        </is>
      </c>
      <c r="Q56" t="inlineStr">
        <is>
          <t>CD</t>
        </is>
      </c>
      <c r="R56" t="n">
        <v>281</v>
      </c>
      <c r="S56" t="n">
        <v>404</v>
      </c>
      <c r="T56" t="n">
        <v>752</v>
      </c>
    </row>
    <row r="57">
      <c r="H57">
        <f>IF(B45="","",TEXT(B45,"dd/mm") &amp; "-" &amp; IF(UPPER(TRIM(C45))="CN",1,IF(UPPER(TRIM(C45))="CD",2,"")))</f>
        <v/>
      </c>
      <c r="I57" s="1" t="n">
        <v>0.38</v>
      </c>
      <c r="J57" s="1" t="n">
        <v>0.5364705882352941</v>
      </c>
      <c r="K57" s="1">
        <f>IFERROR($E45/SUM($D45:$F45),"")</f>
        <v/>
      </c>
      <c r="L57" s="1">
        <f>IFERROR($D45/SUM($D45:$F45),"")</f>
        <v/>
      </c>
      <c r="M57" s="1">
        <f>IFERROR($F45/SUM($D45:$F45),"")</f>
        <v/>
      </c>
      <c r="O57" t="n">
        <v>56</v>
      </c>
      <c r="P57" t="inlineStr">
        <is>
          <t>29/01/2026</t>
        </is>
      </c>
      <c r="Q57" t="inlineStr">
        <is>
          <t>CN</t>
        </is>
      </c>
      <c r="R57" t="n">
        <v>202</v>
      </c>
      <c r="S57" t="n">
        <v>292</v>
      </c>
      <c r="T57" t="n">
        <v>943</v>
      </c>
    </row>
    <row r="58">
      <c r="H58">
        <f>IF(B46="","",TEXT(B46,"dd/mm") &amp; "-" &amp; IF(UPPER(TRIM(C46))="CN",1,IF(UPPER(TRIM(C46))="CD",2,"")))</f>
        <v/>
      </c>
      <c r="I58" s="1" t="n">
        <v>0.38</v>
      </c>
      <c r="J58" s="1" t="n">
        <v>0.5364705882352941</v>
      </c>
      <c r="K58" s="1">
        <f>IFERROR($E46/SUM($D46:$F46),"")</f>
        <v/>
      </c>
      <c r="L58" s="1">
        <f>IFERROR($D46/SUM($D46:$F46),"")</f>
        <v/>
      </c>
      <c r="M58" s="1">
        <f>IFERROR($F46/SUM($D46:$F46),"")</f>
        <v/>
      </c>
      <c r="O58" t="n">
        <v>57</v>
      </c>
      <c r="P58" t="inlineStr">
        <is>
          <t>29/01/2026</t>
        </is>
      </c>
      <c r="Q58" t="inlineStr">
        <is>
          <t>CD</t>
        </is>
      </c>
      <c r="R58" t="n">
        <v>282</v>
      </c>
      <c r="S58" t="n">
        <v>287</v>
      </c>
      <c r="T58" t="n">
        <v>868</v>
      </c>
    </row>
    <row r="59">
      <c r="H59">
        <f>IF(B47="","",TEXT(B47,"dd/mm") &amp; "-" &amp; IF(UPPER(TRIM(C47))="CN",1,IF(UPPER(TRIM(C47))="CD",2,"")))</f>
        <v/>
      </c>
      <c r="I59" s="1" t="n">
        <v>0.38</v>
      </c>
      <c r="J59" s="1" t="n">
        <v>0.5364705882352941</v>
      </c>
      <c r="K59" s="1">
        <f>IFERROR($E47/SUM($D47:$F47),"")</f>
        <v/>
      </c>
      <c r="L59" s="1">
        <f>IFERROR($D47/SUM($D47:$F47),"")</f>
        <v/>
      </c>
      <c r="M59" s="1">
        <f>IFERROR($F47/SUM($D47:$F47),"")</f>
        <v/>
      </c>
      <c r="O59" t="n">
        <v>58</v>
      </c>
      <c r="P59" t="inlineStr">
        <is>
          <t>30/01/2026</t>
        </is>
      </c>
      <c r="Q59" t="inlineStr">
        <is>
          <t>CN</t>
        </is>
      </c>
      <c r="R59" t="n">
        <v>329</v>
      </c>
      <c r="S59" t="n">
        <v>282</v>
      </c>
      <c r="T59" t="n">
        <v>827</v>
      </c>
    </row>
    <row r="60">
      <c r="H60">
        <f>IF(B48="","",TEXT(B48,"dd/mm") &amp; "-" &amp; IF(UPPER(TRIM(C48))="CN",1,IF(UPPER(TRIM(C48))="CD",2,"")))</f>
        <v/>
      </c>
      <c r="I60" s="1" t="n">
        <v>0.38</v>
      </c>
      <c r="J60" s="1" t="n">
        <v>0.5364705882352941</v>
      </c>
      <c r="K60" s="1">
        <f>IFERROR($E48/SUM($D48:$F48),"")</f>
        <v/>
      </c>
      <c r="L60" s="1">
        <f>IFERROR($D48/SUM($D48:$F48),"")</f>
        <v/>
      </c>
      <c r="M60" s="1">
        <f>IFERROR($F48/SUM($D48:$F48),"")</f>
        <v/>
      </c>
      <c r="O60" t="n">
        <v>59</v>
      </c>
      <c r="P60" t="inlineStr">
        <is>
          <t>30/01/2026</t>
        </is>
      </c>
      <c r="Q60" t="inlineStr">
        <is>
          <t>CD</t>
        </is>
      </c>
      <c r="R60" t="n">
        <v>303</v>
      </c>
      <c r="S60" t="n">
        <v>318</v>
      </c>
      <c r="T60" t="n">
        <v>818</v>
      </c>
    </row>
    <row r="61">
      <c r="H61">
        <f>IF(B49="","",TEXT(B49,"dd/mm") &amp; "-" &amp; IF(UPPER(TRIM(C49))="CN",1,IF(UPPER(TRIM(C49))="CD",2,"")))</f>
        <v/>
      </c>
      <c r="I61" s="1" t="n">
        <v>0.38</v>
      </c>
      <c r="J61" s="1" t="n">
        <v>0.5364705882352941</v>
      </c>
      <c r="K61" s="1">
        <f>IFERROR($E49/SUM($D49:$F49),"")</f>
        <v/>
      </c>
      <c r="L61" s="1">
        <f>IFERROR($D49/SUM($D49:$F49),"")</f>
        <v/>
      </c>
      <c r="M61" s="1">
        <f>IFERROR($F49/SUM($D49:$F49),"")</f>
        <v/>
      </c>
      <c r="O61" t="n">
        <v>60</v>
      </c>
      <c r="P61" t="inlineStr">
        <is>
          <t>31/01/2026</t>
        </is>
      </c>
      <c r="Q61" t="inlineStr">
        <is>
          <t>CN</t>
        </is>
      </c>
      <c r="R61" t="n">
        <v>490</v>
      </c>
      <c r="S61" t="n">
        <v>268</v>
      </c>
      <c r="T61" t="n">
        <v>679</v>
      </c>
    </row>
    <row r="62">
      <c r="H62">
        <f>IF(B50="","",TEXT(B50,"dd/mm") &amp; "-" &amp; IF(UPPER(TRIM(C50))="CN",1,IF(UPPER(TRIM(C50))="CD",2,"")))</f>
        <v/>
      </c>
      <c r="I62" s="1" t="n">
        <v>0.38</v>
      </c>
      <c r="J62" s="1" t="n">
        <v>0.5364705882352941</v>
      </c>
      <c r="K62" s="1">
        <f>IFERROR($E50/SUM($D50:$F50),"")</f>
        <v/>
      </c>
      <c r="L62" s="1">
        <f>IFERROR($D50/SUM($D50:$F50),"")</f>
        <v/>
      </c>
      <c r="M62" s="1">
        <f>IFERROR($F50/SUM($D50:$F50),"")</f>
        <v/>
      </c>
      <c r="O62" t="n">
        <v>61</v>
      </c>
      <c r="P62" t="inlineStr">
        <is>
          <t>31/01/2026</t>
        </is>
      </c>
      <c r="Q62" t="inlineStr">
        <is>
          <t>CD</t>
        </is>
      </c>
      <c r="R62" t="n">
        <v>210</v>
      </c>
      <c r="S62" t="n">
        <v>262</v>
      </c>
      <c r="T62" t="n">
        <v>966</v>
      </c>
    </row>
    <row r="63">
      <c r="H63">
        <f>IF(B51="","",TEXT(B51,"dd/mm") &amp; "-" &amp; IF(UPPER(TRIM(C51))="CN",1,IF(UPPER(TRIM(C51))="CD",2,"")))</f>
        <v/>
      </c>
      <c r="I63" s="1" t="n">
        <v>0.38</v>
      </c>
      <c r="J63" s="1" t="n">
        <v>0.5364705882352941</v>
      </c>
      <c r="K63" s="1">
        <f>IFERROR($E51/SUM($D51:$F51),"")</f>
        <v/>
      </c>
      <c r="L63" s="1">
        <f>IFERROR($D51/SUM($D51:$F51),"")</f>
        <v/>
      </c>
      <c r="M63" s="1">
        <f>IFERROR($F51/SUM($D51:$F51),"")</f>
        <v/>
      </c>
      <c r="O63" t="n">
        <v>62</v>
      </c>
      <c r="P63" t="inlineStr">
        <is>
          <t>01/02/2026</t>
        </is>
      </c>
      <c r="Q63" t="inlineStr">
        <is>
          <t>CN</t>
        </is>
      </c>
      <c r="R63" t="n">
        <v>0</v>
      </c>
      <c r="S63" t="n">
        <v>0</v>
      </c>
      <c r="T63" t="n">
        <v>1440</v>
      </c>
    </row>
    <row r="64">
      <c r="H64">
        <f>IF(B52="","",TEXT(B52,"dd/mm") &amp; "-" &amp; IF(UPPER(TRIM(C52))="CN",1,IF(UPPER(TRIM(C52))="CD",2,"")))</f>
        <v/>
      </c>
      <c r="I64" s="1" t="n">
        <v>0.38</v>
      </c>
      <c r="J64" s="1" t="n">
        <v>0.5364705882352941</v>
      </c>
      <c r="K64" s="1">
        <f>IFERROR($E52/SUM($D52:$F52),"")</f>
        <v/>
      </c>
      <c r="L64" s="1">
        <f>IFERROR($D52/SUM($D52:$F52),"")</f>
        <v/>
      </c>
      <c r="M64" s="1">
        <f>IFERROR($F52/SUM($D52:$F52),"")</f>
        <v/>
      </c>
      <c r="O64" t="n">
        <v>63</v>
      </c>
      <c r="P64" t="inlineStr">
        <is>
          <t>01/02/2026</t>
        </is>
      </c>
      <c r="Q64" t="inlineStr">
        <is>
          <t>CD</t>
        </is>
      </c>
      <c r="R64" t="n">
        <v>0</v>
      </c>
      <c r="S64" t="n">
        <v>0</v>
      </c>
      <c r="T64" t="n">
        <v>1440</v>
      </c>
    </row>
    <row r="65">
      <c r="H65">
        <f>IF(B53="","",TEXT(B53,"dd/mm") &amp; "-" &amp; IF(UPPER(TRIM(C53))="CN",1,IF(UPPER(TRIM(C53))="CD",2,"")))</f>
        <v/>
      </c>
      <c r="I65" s="1" t="n">
        <v>0.38</v>
      </c>
      <c r="J65" s="1" t="n">
        <v>0.5364705882352941</v>
      </c>
      <c r="K65" s="1">
        <f>IFERROR($E53/SUM($D53:$F53),"")</f>
        <v/>
      </c>
      <c r="L65" s="1">
        <f>IFERROR($D53/SUM($D53:$F53),"")</f>
        <v/>
      </c>
      <c r="M65" s="1">
        <f>IFERROR($F53/SUM($D53:$F53),"")</f>
        <v/>
      </c>
      <c r="O65" t="n">
        <v>64</v>
      </c>
      <c r="P65" t="inlineStr">
        <is>
          <t>02/02/2026</t>
        </is>
      </c>
      <c r="Q65" t="inlineStr">
        <is>
          <t>CN</t>
        </is>
      </c>
      <c r="R65" t="n">
        <v>217</v>
      </c>
      <c r="S65" t="n">
        <v>248</v>
      </c>
      <c r="T65" t="n">
        <v>973</v>
      </c>
    </row>
    <row r="66">
      <c r="H66">
        <f>IF(B54="","",TEXT(B54,"dd/mm") &amp; "-" &amp; IF(UPPER(TRIM(C54))="CN",1,IF(UPPER(TRIM(C54))="CD",2,"")))</f>
        <v/>
      </c>
      <c r="I66" s="1" t="n">
        <v>0.38</v>
      </c>
      <c r="J66" s="1" t="n">
        <v>0.5364705882352941</v>
      </c>
      <c r="K66" s="1">
        <f>IFERROR($E54/SUM($D54:$F54),"")</f>
        <v/>
      </c>
      <c r="L66" s="1">
        <f>IFERROR($D54/SUM($D54:$F54),"")</f>
        <v/>
      </c>
      <c r="M66" s="1">
        <f>IFERROR($F54/SUM($D54:$F54),"")</f>
        <v/>
      </c>
      <c r="O66" t="n">
        <v>65</v>
      </c>
      <c r="P66" t="inlineStr">
        <is>
          <t>02/02/2026</t>
        </is>
      </c>
      <c r="Q66" t="inlineStr">
        <is>
          <t>CD</t>
        </is>
      </c>
      <c r="R66" t="n">
        <v>401</v>
      </c>
      <c r="S66" t="n">
        <v>250</v>
      </c>
      <c r="T66" t="n">
        <v>787</v>
      </c>
    </row>
    <row r="67">
      <c r="H67">
        <f>IF(B55="","",TEXT(B55,"dd/mm") &amp; "-" &amp; IF(UPPER(TRIM(C55))="CN",1,IF(UPPER(TRIM(C55))="CD",2,"")))</f>
        <v/>
      </c>
      <c r="I67" s="1" t="n">
        <v>0.38</v>
      </c>
      <c r="J67" s="1" t="n">
        <v>0.5364705882352941</v>
      </c>
      <c r="K67" s="1">
        <f>IFERROR($E55/SUM($D55:$F55),"")</f>
        <v/>
      </c>
      <c r="L67" s="1">
        <f>IFERROR($D55/SUM($D55:$F55),"")</f>
        <v/>
      </c>
      <c r="M67" s="1">
        <f>IFERROR($F55/SUM($D55:$F55),"")</f>
        <v/>
      </c>
      <c r="O67" t="n">
        <v>66</v>
      </c>
      <c r="P67" t="inlineStr">
        <is>
          <t>03/02/2026</t>
        </is>
      </c>
      <c r="Q67" t="inlineStr">
        <is>
          <t>CN</t>
        </is>
      </c>
      <c r="R67" t="n">
        <v>312</v>
      </c>
      <c r="S67" t="n">
        <v>270</v>
      </c>
      <c r="T67" t="n">
        <v>856</v>
      </c>
    </row>
    <row r="68">
      <c r="H68">
        <f>IF(B56="","",TEXT(B56,"dd/mm") &amp; "-" &amp; IF(UPPER(TRIM(C56))="CN",1,IF(UPPER(TRIM(C56))="CD",2,"")))</f>
        <v/>
      </c>
      <c r="I68" s="1" t="n"/>
      <c r="J68" s="1" t="n"/>
      <c r="K68" s="1">
        <f>IFERROR($E56/SUM($D56:$F56),"")</f>
        <v/>
      </c>
      <c r="L68" s="1">
        <f>IFERROR($D56/SUM($D56:$F56),"")</f>
        <v/>
      </c>
      <c r="M68" s="1">
        <f>IFERROR($F56/SUM($D56:$F56),"")</f>
        <v/>
      </c>
      <c r="O68" t="n">
        <v>67</v>
      </c>
      <c r="P68" t="inlineStr">
        <is>
          <t>03/02/2026</t>
        </is>
      </c>
      <c r="Q68" t="inlineStr">
        <is>
          <t>CD</t>
        </is>
      </c>
      <c r="R68" t="n">
        <v>268</v>
      </c>
      <c r="S68" t="n">
        <v>359</v>
      </c>
      <c r="T68" t="n">
        <v>810</v>
      </c>
    </row>
    <row r="69">
      <c r="H69">
        <f>IF(B57="","",TEXT(B57,"dd/mm") &amp; "-" &amp; IF(UPPER(TRIM(C57))="CN",1,IF(UPPER(TRIM(C57))="CD",2,"")))</f>
        <v/>
      </c>
      <c r="I69" s="1" t="n"/>
      <c r="J69" s="1" t="n"/>
      <c r="K69" s="1">
        <f>IFERROR($E57/SUM($D57:$F57),"")</f>
        <v/>
      </c>
      <c r="L69" s="1">
        <f>IFERROR($D57/SUM($D57:$F57),"")</f>
        <v/>
      </c>
      <c r="M69" s="1">
        <f>IFERROR($F57/SUM($D57:$F57),"")</f>
        <v/>
      </c>
      <c r="O69" t="n">
        <v>68</v>
      </c>
      <c r="P69" t="inlineStr">
        <is>
          <t>04/02/2026</t>
        </is>
      </c>
      <c r="Q69" t="inlineStr">
        <is>
          <t>CN</t>
        </is>
      </c>
      <c r="R69" t="n">
        <v>231</v>
      </c>
      <c r="S69" t="n">
        <v>349</v>
      </c>
      <c r="T69" t="n">
        <v>858</v>
      </c>
    </row>
    <row r="70">
      <c r="H70">
        <f>IF(B58="","",TEXT(B58,"dd/mm") &amp; "-" &amp; IF(UPPER(TRIM(C58))="CN",1,IF(UPPER(TRIM(C58))="CD",2,"")))</f>
        <v/>
      </c>
      <c r="I70" s="1" t="n"/>
      <c r="J70" s="1" t="n"/>
      <c r="K70" s="1">
        <f>IFERROR($E58/SUM($D58:$F58),"")</f>
        <v/>
      </c>
      <c r="L70" s="1">
        <f>IFERROR($D58/SUM($D58:$F58),"")</f>
        <v/>
      </c>
      <c r="M70" s="1">
        <f>IFERROR($F58/SUM($D58:$F58),"")</f>
        <v/>
      </c>
      <c r="O70" t="n">
        <v>69</v>
      </c>
      <c r="P70" t="inlineStr">
        <is>
          <t>04/02/2026</t>
        </is>
      </c>
      <c r="Q70" t="inlineStr">
        <is>
          <t>CD</t>
        </is>
      </c>
      <c r="R70" t="n">
        <v>293</v>
      </c>
      <c r="S70" t="n">
        <v>333</v>
      </c>
      <c r="T70" t="n">
        <v>812</v>
      </c>
    </row>
    <row r="71">
      <c r="H71">
        <f>IF(B59="","",TEXT(B59,"dd/mm") &amp; "-" &amp; IF(UPPER(TRIM(C59))="CN",1,IF(UPPER(TRIM(C59))="CD",2,"")))</f>
        <v/>
      </c>
      <c r="I71" s="1" t="n"/>
      <c r="J71" s="1" t="n"/>
      <c r="K71" s="1">
        <f>IFERROR($E59/SUM($D59:$F59),"")</f>
        <v/>
      </c>
      <c r="L71" s="1">
        <f>IFERROR($D59/SUM($D59:$F59),"")</f>
        <v/>
      </c>
      <c r="M71" s="1">
        <f>IFERROR($F59/SUM($D59:$F59),"")</f>
        <v/>
      </c>
      <c r="O71" t="n">
        <v>70</v>
      </c>
      <c r="P71" t="inlineStr">
        <is>
          <t>05/02/2026</t>
        </is>
      </c>
      <c r="Q71" t="inlineStr">
        <is>
          <t>CN</t>
        </is>
      </c>
      <c r="R71" t="n">
        <v>278</v>
      </c>
      <c r="S71" t="n">
        <v>299</v>
      </c>
      <c r="T71" t="n">
        <v>859</v>
      </c>
    </row>
    <row r="72">
      <c r="H72">
        <f>IF(B60="","",TEXT(B60,"dd/mm") &amp; "-" &amp; IF(UPPER(TRIM(C60))="CN",1,IF(UPPER(TRIM(C60))="CD",2,"")))</f>
        <v/>
      </c>
      <c r="I72" s="1" t="n"/>
      <c r="J72" s="1" t="n"/>
      <c r="K72" s="1">
        <f>IFERROR($E60/SUM($D60:$F60),"")</f>
        <v/>
      </c>
      <c r="L72" s="1">
        <f>IFERROR($D60/SUM($D60:$F60),"")</f>
        <v/>
      </c>
      <c r="M72" s="1">
        <f>IFERROR($F60/SUM($D60:$F60),"")</f>
        <v/>
      </c>
      <c r="O72" t="n">
        <v>71</v>
      </c>
      <c r="P72" t="inlineStr">
        <is>
          <t>05/02/2026</t>
        </is>
      </c>
      <c r="Q72" t="inlineStr">
        <is>
          <t>CD</t>
        </is>
      </c>
      <c r="R72" t="n">
        <v>358</v>
      </c>
      <c r="S72" t="n">
        <v>274</v>
      </c>
      <c r="T72" t="n">
        <v>805</v>
      </c>
    </row>
    <row r="73">
      <c r="H73">
        <f>IF(B61="","",TEXT(B61,"dd/mm") &amp; "-" &amp; IF(UPPER(TRIM(C61))="CN",1,IF(UPPER(TRIM(C61))="CD",2,"")))</f>
        <v/>
      </c>
      <c r="I73" s="1" t="n"/>
      <c r="J73" s="1" t="n"/>
      <c r="K73" s="1">
        <f>IFERROR($E61/SUM($D61:$F61),"")</f>
        <v/>
      </c>
      <c r="L73" s="1">
        <f>IFERROR($D61/SUM($D61:$F61),"")</f>
        <v/>
      </c>
      <c r="M73" s="1">
        <f>IFERROR($F61/SUM($D61:$F61),"")</f>
        <v/>
      </c>
      <c r="O73" t="n">
        <v>72</v>
      </c>
      <c r="P73" t="inlineStr">
        <is>
          <t>06/02/2026</t>
        </is>
      </c>
      <c r="Q73" t="inlineStr">
        <is>
          <t>CN</t>
        </is>
      </c>
      <c r="R73" t="n">
        <v>262</v>
      </c>
      <c r="S73" t="n">
        <v>317</v>
      </c>
      <c r="T73" t="n">
        <v>859</v>
      </c>
    </row>
    <row r="74">
      <c r="H74">
        <f>IF(B62="","",TEXT(B62,"dd/mm") &amp; "-" &amp; IF(UPPER(TRIM(C62))="CN",1,IF(UPPER(TRIM(C62))="CD",2,"")))</f>
        <v/>
      </c>
      <c r="I74" s="1" t="n"/>
      <c r="J74" s="1" t="n"/>
      <c r="K74" s="1">
        <f>IFERROR($E62/SUM($D62:$F62),"")</f>
        <v/>
      </c>
      <c r="L74" s="1">
        <f>IFERROR($D62/SUM($D62:$F62),"")</f>
        <v/>
      </c>
      <c r="M74" s="1">
        <f>IFERROR($F62/SUM($D62:$F62),"")</f>
        <v/>
      </c>
      <c r="O74" t="n">
        <v>73</v>
      </c>
      <c r="P74" t="inlineStr">
        <is>
          <t>06/02/2026</t>
        </is>
      </c>
      <c r="Q74" t="inlineStr">
        <is>
          <t>CD</t>
        </is>
      </c>
      <c r="R74" t="n">
        <v>371</v>
      </c>
      <c r="S74" t="n">
        <v>250</v>
      </c>
      <c r="T74" t="n">
        <v>814</v>
      </c>
    </row>
    <row r="75">
      <c r="H75">
        <f>IF(B63="","",TEXT(B63,"dd/mm") &amp; "-" &amp; IF(UPPER(TRIM(C63))="CN",1,IF(UPPER(TRIM(C63))="CD",2,"")))</f>
        <v/>
      </c>
      <c r="I75" s="1" t="n"/>
      <c r="J75" s="1" t="n"/>
      <c r="K75" s="1">
        <f>IFERROR($E63/SUM($D63:$F63),"")</f>
        <v/>
      </c>
      <c r="L75" s="1">
        <f>IFERROR($D63/SUM($D63:$F63),"")</f>
        <v/>
      </c>
      <c r="M75" s="1">
        <f>IFERROR($F63/SUM($D63:$F63),"")</f>
        <v/>
      </c>
      <c r="O75" t="n">
        <v>74</v>
      </c>
      <c r="P75" t="inlineStr">
        <is>
          <t>07/02/2026</t>
        </is>
      </c>
      <c r="Q75" t="inlineStr">
        <is>
          <t>CN</t>
        </is>
      </c>
      <c r="R75" t="n">
        <v>350</v>
      </c>
      <c r="S75" t="n">
        <v>594</v>
      </c>
      <c r="T75" t="n">
        <v>492</v>
      </c>
    </row>
    <row r="76">
      <c r="I76" s="1" t="n"/>
      <c r="J76" s="1" t="n"/>
      <c r="K76" s="1" t="n"/>
      <c r="L76" s="1" t="n"/>
      <c r="M76" s="1" t="n"/>
      <c r="O76" t="n">
        <v>75</v>
      </c>
      <c r="P76" t="inlineStr">
        <is>
          <t>07/02/2026</t>
        </is>
      </c>
      <c r="Q76" t="inlineStr">
        <is>
          <t>CD</t>
        </is>
      </c>
      <c r="R76" t="n">
        <v>230</v>
      </c>
      <c r="S76" t="n">
        <v>246</v>
      </c>
      <c r="T76" t="n">
        <v>963</v>
      </c>
    </row>
    <row r="77">
      <c r="I77" s="1" t="n"/>
      <c r="J77" s="1" t="n"/>
      <c r="K77" s="1" t="n"/>
      <c r="L77" s="1" t="n"/>
      <c r="M77" s="1" t="n"/>
      <c r="O77" t="n">
        <v>76</v>
      </c>
      <c r="P77" t="inlineStr">
        <is>
          <t>08/02/2026</t>
        </is>
      </c>
      <c r="Q77" t="inlineStr">
        <is>
          <t>CN</t>
        </is>
      </c>
      <c r="R77" t="n">
        <v>0</v>
      </c>
      <c r="S77" t="n">
        <v>0</v>
      </c>
      <c r="T77" t="n">
        <v>1440</v>
      </c>
    </row>
    <row r="78">
      <c r="I78" s="1" t="n"/>
      <c r="J78" s="1" t="n"/>
      <c r="K78" s="1" t="n"/>
      <c r="L78" s="1" t="n"/>
      <c r="M78" s="1" t="n"/>
      <c r="O78" t="n">
        <v>77</v>
      </c>
      <c r="P78" t="inlineStr">
        <is>
          <t>08/02/2026</t>
        </is>
      </c>
      <c r="Q78" t="inlineStr">
        <is>
          <t>CD</t>
        </is>
      </c>
      <c r="R78" t="n">
        <v>0</v>
      </c>
      <c r="S78" t="n">
        <v>0</v>
      </c>
      <c r="T78" t="n">
        <v>1441</v>
      </c>
    </row>
    <row r="79">
      <c r="I79" s="1" t="n"/>
      <c r="J79" s="1" t="n"/>
      <c r="K79" s="1" t="n"/>
      <c r="L79" s="1" t="n"/>
      <c r="M79" s="1" t="n"/>
      <c r="O79" t="n">
        <v>78</v>
      </c>
      <c r="P79" t="inlineStr">
        <is>
          <t>09/02/2026</t>
        </is>
      </c>
      <c r="Q79" t="inlineStr">
        <is>
          <t>CN</t>
        </is>
      </c>
      <c r="R79" t="n">
        <v>362</v>
      </c>
      <c r="S79" t="n">
        <v>220</v>
      </c>
      <c r="T79" t="n">
        <v>853</v>
      </c>
    </row>
    <row r="80">
      <c r="I80" s="1" t="n"/>
      <c r="J80" s="1" t="n"/>
      <c r="K80" s="1" t="n"/>
      <c r="L80" s="1" t="n"/>
      <c r="M80" s="1" t="n"/>
      <c r="O80" t="n">
        <v>79</v>
      </c>
      <c r="P80" t="inlineStr">
        <is>
          <t>09/02/2026</t>
        </is>
      </c>
      <c r="Q80" t="inlineStr">
        <is>
          <t>CD</t>
        </is>
      </c>
      <c r="R80" t="n">
        <v>287</v>
      </c>
      <c r="S80" t="n">
        <v>331</v>
      </c>
      <c r="T80" t="n">
        <v>818</v>
      </c>
    </row>
    <row r="81">
      <c r="I81" s="1" t="n"/>
      <c r="J81" s="1" t="n"/>
      <c r="K81" s="1" t="n"/>
      <c r="L81" s="1" t="n"/>
      <c r="M81" s="1" t="n"/>
      <c r="O81" t="n">
        <v>80</v>
      </c>
      <c r="P81" t="inlineStr">
        <is>
          <t>10/02/2026</t>
        </is>
      </c>
      <c r="Q81" t="inlineStr">
        <is>
          <t>CN</t>
        </is>
      </c>
      <c r="R81" t="n">
        <v>322</v>
      </c>
      <c r="S81" t="n">
        <v>253</v>
      </c>
      <c r="T81" t="n">
        <v>862</v>
      </c>
    </row>
    <row r="82">
      <c r="I82" s="1" t="n"/>
      <c r="J82" s="1" t="n"/>
      <c r="K82" s="1" t="n"/>
      <c r="L82" s="1" t="n"/>
      <c r="M82" s="1" t="n"/>
      <c r="O82" t="n">
        <v>81</v>
      </c>
      <c r="P82" t="inlineStr">
        <is>
          <t>10/02/2026</t>
        </is>
      </c>
      <c r="Q82" t="inlineStr">
        <is>
          <t>CD</t>
        </is>
      </c>
      <c r="R82" t="n">
        <v>260</v>
      </c>
      <c r="S82" t="n">
        <v>352</v>
      </c>
      <c r="T82" t="n">
        <v>825</v>
      </c>
    </row>
    <row r="83">
      <c r="I83" s="1" t="n"/>
      <c r="J83" s="1" t="n"/>
      <c r="K83" s="1" t="n"/>
      <c r="L83" s="1" t="n"/>
      <c r="M83" s="1" t="n"/>
      <c r="O83" t="n">
        <v>82</v>
      </c>
      <c r="P83" t="inlineStr">
        <is>
          <t>11/02/2026</t>
        </is>
      </c>
      <c r="Q83" t="inlineStr">
        <is>
          <t>CN</t>
        </is>
      </c>
      <c r="R83" t="n">
        <v>226</v>
      </c>
      <c r="S83" t="n">
        <v>352</v>
      </c>
      <c r="T83" t="n">
        <v>859</v>
      </c>
    </row>
    <row r="84">
      <c r="I84" s="1" t="n"/>
      <c r="J84" s="1" t="n"/>
      <c r="K84" s="1" t="n"/>
      <c r="L84" s="1" t="n"/>
      <c r="M84" s="1" t="n"/>
      <c r="O84" t="n">
        <v>83</v>
      </c>
      <c r="P84" t="inlineStr">
        <is>
          <t>11/02/2026</t>
        </is>
      </c>
      <c r="Q84" t="inlineStr">
        <is>
          <t>CD</t>
        </is>
      </c>
      <c r="R84" t="n">
        <v>275</v>
      </c>
      <c r="S84" t="n">
        <v>357</v>
      </c>
      <c r="T84" t="n">
        <v>804</v>
      </c>
    </row>
    <row r="85">
      <c r="I85" s="1" t="n"/>
      <c r="J85" s="1" t="n"/>
      <c r="K85" s="1" t="n"/>
      <c r="L85" s="1" t="n"/>
      <c r="M85" s="1" t="n"/>
      <c r="O85" t="n">
        <v>84</v>
      </c>
      <c r="P85" t="inlineStr">
        <is>
          <t>12/02/2026</t>
        </is>
      </c>
      <c r="Q85" t="inlineStr">
        <is>
          <t>CN</t>
        </is>
      </c>
      <c r="R85" t="n">
        <v>304</v>
      </c>
      <c r="S85" t="n">
        <v>209</v>
      </c>
      <c r="T85" t="n">
        <v>926</v>
      </c>
    </row>
    <row r="86">
      <c r="I86" s="1" t="n"/>
      <c r="J86" s="1" t="n"/>
      <c r="K86" s="1" t="n"/>
      <c r="L86" s="1" t="n"/>
      <c r="M86" s="1" t="n"/>
      <c r="O86" t="n">
        <v>85</v>
      </c>
      <c r="P86" t="inlineStr">
        <is>
          <t>12/02/2026</t>
        </is>
      </c>
      <c r="Q86" t="inlineStr">
        <is>
          <t>CD</t>
        </is>
      </c>
      <c r="R86" t="n">
        <v>232</v>
      </c>
      <c r="S86" t="n">
        <v>330</v>
      </c>
      <c r="T86" t="n">
        <v>876</v>
      </c>
    </row>
    <row r="87">
      <c r="I87" s="1" t="n"/>
      <c r="J87" s="1" t="n"/>
      <c r="K87" s="1" t="n"/>
      <c r="L87" s="1" t="n"/>
      <c r="M87" s="1" t="n"/>
      <c r="O87" t="n">
        <v>86</v>
      </c>
      <c r="P87" t="inlineStr">
        <is>
          <t>13/02/2026</t>
        </is>
      </c>
      <c r="Q87" t="inlineStr">
        <is>
          <t>CN</t>
        </is>
      </c>
      <c r="R87" t="n">
        <v>272</v>
      </c>
      <c r="S87" t="n">
        <v>240</v>
      </c>
      <c r="T87" t="n">
        <v>925</v>
      </c>
    </row>
    <row r="88">
      <c r="I88" s="1" t="n"/>
      <c r="J88" s="1" t="n"/>
      <c r="K88" s="1" t="n"/>
      <c r="L88" s="1" t="n"/>
      <c r="M88" s="1" t="n"/>
      <c r="O88" t="n">
        <v>87</v>
      </c>
      <c r="P88" t="inlineStr">
        <is>
          <t>13/02/2026</t>
        </is>
      </c>
      <c r="Q88" t="inlineStr">
        <is>
          <t>CD</t>
        </is>
      </c>
      <c r="R88" t="n">
        <v>123</v>
      </c>
      <c r="S88" t="n">
        <v>129</v>
      </c>
      <c r="T88" t="n">
        <v>1187</v>
      </c>
    </row>
    <row r="89">
      <c r="I89" s="1" t="n"/>
      <c r="J89" s="1" t="n"/>
      <c r="K89" s="1" t="n"/>
      <c r="L89" s="1" t="n"/>
      <c r="M89" s="1" t="n"/>
      <c r="O89" t="n">
        <v>88</v>
      </c>
      <c r="P89" t="inlineStr">
        <is>
          <t>14/02/2026</t>
        </is>
      </c>
      <c r="Q89" t="inlineStr">
        <is>
          <t>CN</t>
        </is>
      </c>
      <c r="R89" t="n">
        <v>0</v>
      </c>
      <c r="S89" t="n">
        <v>0</v>
      </c>
      <c r="T89" t="n">
        <v>1440</v>
      </c>
    </row>
    <row r="90">
      <c r="I90" s="1" t="n"/>
      <c r="J90" s="1" t="n"/>
      <c r="K90" s="1" t="n"/>
      <c r="L90" s="1" t="n"/>
      <c r="M90" s="1" t="n"/>
      <c r="O90" t="n">
        <v>89</v>
      </c>
      <c r="P90" t="inlineStr">
        <is>
          <t>14/02/2026</t>
        </is>
      </c>
      <c r="Q90" t="inlineStr">
        <is>
          <t>CD</t>
        </is>
      </c>
      <c r="R90" t="n">
        <v>0</v>
      </c>
      <c r="S90" t="n">
        <v>0</v>
      </c>
      <c r="T90" t="n">
        <v>1440</v>
      </c>
    </row>
    <row r="91">
      <c r="I91" s="1" t="n"/>
      <c r="J91" s="1" t="n"/>
      <c r="K91" s="1" t="n"/>
      <c r="L91" s="1" t="n"/>
      <c r="M91" s="1" t="n"/>
      <c r="O91" t="n">
        <v>90</v>
      </c>
      <c r="P91" t="inlineStr">
        <is>
          <t>15/02/2026</t>
        </is>
      </c>
      <c r="Q91" t="inlineStr">
        <is>
          <t>CN</t>
        </is>
      </c>
      <c r="R91" t="n">
        <v>0</v>
      </c>
      <c r="S91" t="n">
        <v>0</v>
      </c>
      <c r="T91" t="n">
        <v>1440</v>
      </c>
    </row>
    <row r="92">
      <c r="I92" s="1" t="n"/>
      <c r="J92" s="1" t="n"/>
      <c r="K92" s="1" t="n"/>
      <c r="L92" s="1" t="n"/>
      <c r="M92" s="1" t="n"/>
      <c r="O92" t="n">
        <v>91</v>
      </c>
      <c r="P92" t="inlineStr">
        <is>
          <t>15/02/2026</t>
        </is>
      </c>
      <c r="Q92" t="inlineStr">
        <is>
          <t>CD</t>
        </is>
      </c>
      <c r="R92" t="n">
        <v>0</v>
      </c>
      <c r="S92" t="n">
        <v>0</v>
      </c>
      <c r="T92" t="n">
        <v>1440</v>
      </c>
    </row>
    <row r="93">
      <c r="I93" s="1" t="n"/>
      <c r="J93" s="1" t="n"/>
      <c r="K93" s="1" t="n"/>
      <c r="L93" s="1" t="n"/>
      <c r="M93" s="1" t="n"/>
      <c r="O93" t="n">
        <v>92</v>
      </c>
      <c r="P93" t="inlineStr">
        <is>
          <t>16/02/2026</t>
        </is>
      </c>
      <c r="Q93" t="inlineStr">
        <is>
          <t>CN</t>
        </is>
      </c>
      <c r="R93" t="n">
        <v>0</v>
      </c>
      <c r="S93" t="n">
        <v>0</v>
      </c>
      <c r="T93" t="n">
        <v>1440</v>
      </c>
    </row>
    <row r="94">
      <c r="I94" s="1" t="n"/>
      <c r="J94" s="1" t="n"/>
      <c r="K94" s="1" t="n"/>
      <c r="L94" s="1" t="n"/>
      <c r="M94" s="1" t="n"/>
      <c r="O94" t="n">
        <v>93</v>
      </c>
      <c r="P94" t="inlineStr">
        <is>
          <t>16/02/2026</t>
        </is>
      </c>
      <c r="Q94" t="inlineStr">
        <is>
          <t>CD</t>
        </is>
      </c>
      <c r="R94" t="n">
        <v>0</v>
      </c>
      <c r="S94" t="n">
        <v>0</v>
      </c>
      <c r="T94" t="n">
        <v>1440</v>
      </c>
    </row>
    <row r="95">
      <c r="I95" s="1" t="n"/>
      <c r="J95" s="1" t="n"/>
      <c r="K95" s="1" t="n"/>
      <c r="L95" s="1" t="n"/>
      <c r="M95" s="1" t="n"/>
      <c r="O95" t="n">
        <v>94</v>
      </c>
      <c r="P95" t="inlineStr">
        <is>
          <t>17/02/2026</t>
        </is>
      </c>
      <c r="Q95" t="inlineStr">
        <is>
          <t>CN</t>
        </is>
      </c>
      <c r="R95" t="n">
        <v>0</v>
      </c>
      <c r="S95" t="n">
        <v>0</v>
      </c>
      <c r="T95" t="n">
        <v>1441</v>
      </c>
    </row>
    <row r="96">
      <c r="I96" s="1" t="n"/>
      <c r="J96" s="1" t="n"/>
      <c r="K96" s="1" t="n"/>
      <c r="L96" s="1" t="n"/>
      <c r="M96" s="1" t="n"/>
      <c r="O96" t="n">
        <v>95</v>
      </c>
      <c r="P96" t="inlineStr">
        <is>
          <t>17/02/2026</t>
        </is>
      </c>
      <c r="Q96" t="inlineStr">
        <is>
          <t>CD</t>
        </is>
      </c>
      <c r="R96" t="n">
        <v>0</v>
      </c>
      <c r="S96" t="n">
        <v>0</v>
      </c>
      <c r="T96" t="n">
        <v>1440</v>
      </c>
    </row>
    <row r="97">
      <c r="I97" s="1" t="n"/>
      <c r="J97" s="1" t="n"/>
      <c r="K97" s="1" t="n"/>
      <c r="L97" s="1" t="n"/>
      <c r="M97" s="1" t="n"/>
      <c r="O97" t="n">
        <v>96</v>
      </c>
      <c r="P97" t="inlineStr">
        <is>
          <t>18/02/2026</t>
        </is>
      </c>
      <c r="Q97" t="inlineStr">
        <is>
          <t>CN</t>
        </is>
      </c>
      <c r="R97" t="n">
        <v>0</v>
      </c>
      <c r="S97" t="n">
        <v>0</v>
      </c>
      <c r="T97" t="n">
        <v>1440</v>
      </c>
    </row>
    <row r="98">
      <c r="I98" s="1" t="n"/>
      <c r="J98" s="1" t="n"/>
      <c r="K98" s="1" t="n"/>
      <c r="L98" s="1" t="n"/>
      <c r="M98" s="1" t="n"/>
      <c r="O98" t="n">
        <v>97</v>
      </c>
      <c r="P98" t="inlineStr">
        <is>
          <t>18/02/2026</t>
        </is>
      </c>
      <c r="Q98" t="inlineStr">
        <is>
          <t>CD</t>
        </is>
      </c>
      <c r="R98" t="n">
        <v>0</v>
      </c>
      <c r="S98" t="n">
        <v>0</v>
      </c>
      <c r="T98" t="n">
        <v>1440</v>
      </c>
    </row>
    <row r="99">
      <c r="I99" s="1" t="n"/>
      <c r="J99" s="1" t="n"/>
      <c r="K99" s="1" t="n"/>
      <c r="L99" s="1" t="n"/>
      <c r="M99" s="1" t="n"/>
      <c r="O99" t="n">
        <v>98</v>
      </c>
      <c r="P99" t="inlineStr">
        <is>
          <t>19/02/2026</t>
        </is>
      </c>
      <c r="Q99" t="inlineStr">
        <is>
          <t>CN</t>
        </is>
      </c>
      <c r="R99" t="n">
        <v>0</v>
      </c>
      <c r="S99" t="n">
        <v>0</v>
      </c>
      <c r="T99" t="n">
        <v>1440</v>
      </c>
    </row>
    <row r="100">
      <c r="I100" s="1" t="n"/>
      <c r="J100" s="1" t="n"/>
      <c r="K100" s="1" t="n"/>
      <c r="L100" s="1" t="n"/>
      <c r="M100" s="1" t="n"/>
      <c r="O100" t="n">
        <v>99</v>
      </c>
      <c r="P100" t="inlineStr">
        <is>
          <t>19/02/2026</t>
        </is>
      </c>
      <c r="Q100" t="inlineStr">
        <is>
          <t>CD</t>
        </is>
      </c>
      <c r="R100" t="n">
        <v>0</v>
      </c>
      <c r="S100" t="n">
        <v>0</v>
      </c>
      <c r="T100" t="n">
        <v>1440</v>
      </c>
    </row>
    <row r="101">
      <c r="I101" s="1" t="n"/>
      <c r="J101" s="1" t="n"/>
      <c r="K101" s="1" t="n"/>
      <c r="L101" s="1" t="n"/>
      <c r="M101" s="1" t="n"/>
      <c r="O101" t="n">
        <v>100</v>
      </c>
      <c r="P101" t="inlineStr">
        <is>
          <t>20/02/2026</t>
        </is>
      </c>
      <c r="Q101" t="inlineStr">
        <is>
          <t>CN</t>
        </is>
      </c>
      <c r="R101" t="n">
        <v>0</v>
      </c>
      <c r="S101" t="n">
        <v>0</v>
      </c>
      <c r="T101" t="n">
        <v>1440</v>
      </c>
    </row>
    <row r="102">
      <c r="O102" t="n">
        <v>101</v>
      </c>
      <c r="P102" t="inlineStr">
        <is>
          <t>20/02/2026</t>
        </is>
      </c>
      <c r="Q102" t="inlineStr">
        <is>
          <t>CD</t>
        </is>
      </c>
      <c r="R102" t="n">
        <v>0</v>
      </c>
      <c r="S102" t="n">
        <v>0</v>
      </c>
      <c r="T102" t="n">
        <v>1440</v>
      </c>
    </row>
    <row r="103">
      <c r="O103" t="n">
        <v>102</v>
      </c>
      <c r="P103" t="inlineStr">
        <is>
          <t>21/02/2026</t>
        </is>
      </c>
      <c r="Q103" t="inlineStr">
        <is>
          <t>CN</t>
        </is>
      </c>
      <c r="R103" t="n">
        <v>0</v>
      </c>
      <c r="S103" t="n">
        <v>0</v>
      </c>
      <c r="T103" t="n">
        <v>1440</v>
      </c>
    </row>
    <row r="104">
      <c r="O104" t="n">
        <v>103</v>
      </c>
      <c r="P104" t="inlineStr">
        <is>
          <t>21/02/2026</t>
        </is>
      </c>
      <c r="Q104" t="inlineStr">
        <is>
          <t>CD</t>
        </is>
      </c>
      <c r="R104" t="n">
        <v>0</v>
      </c>
      <c r="S104" t="n">
        <v>0</v>
      </c>
      <c r="T104" t="n">
        <v>1440</v>
      </c>
    </row>
    <row r="105">
      <c r="O105" t="n">
        <v>104</v>
      </c>
      <c r="P105" t="inlineStr">
        <is>
          <t>22/02/2026</t>
        </is>
      </c>
      <c r="Q105" t="inlineStr">
        <is>
          <t>CN</t>
        </is>
      </c>
      <c r="R105" t="n">
        <v>0</v>
      </c>
      <c r="S105" t="n">
        <v>0</v>
      </c>
      <c r="T105" t="n">
        <v>1440</v>
      </c>
    </row>
    <row r="106">
      <c r="O106" t="n">
        <v>105</v>
      </c>
      <c r="P106" t="inlineStr">
        <is>
          <t>22/02/2026</t>
        </is>
      </c>
      <c r="Q106" t="inlineStr">
        <is>
          <t>CD</t>
        </is>
      </c>
      <c r="R106" t="n">
        <v>0</v>
      </c>
      <c r="S106" t="n">
        <v>0</v>
      </c>
      <c r="T106" t="n">
        <v>1440</v>
      </c>
    </row>
    <row r="107">
      <c r="O107" t="n">
        <v>106</v>
      </c>
      <c r="P107" t="inlineStr">
        <is>
          <t>23/02/2026</t>
        </is>
      </c>
      <c r="Q107" t="inlineStr">
        <is>
          <t>CN</t>
        </is>
      </c>
      <c r="R107" t="n">
        <v>281</v>
      </c>
      <c r="S107" t="n">
        <v>365</v>
      </c>
      <c r="T107" t="n">
        <v>790</v>
      </c>
    </row>
    <row r="108">
      <c r="O108" t="n">
        <v>107</v>
      </c>
      <c r="P108" t="inlineStr">
        <is>
          <t>23/02/2026</t>
        </is>
      </c>
      <c r="Q108" t="inlineStr">
        <is>
          <t>CD</t>
        </is>
      </c>
      <c r="R108" t="n">
        <v>264</v>
      </c>
      <c r="S108" t="n">
        <v>297</v>
      </c>
      <c r="T108" t="n">
        <v>877</v>
      </c>
    </row>
    <row r="109">
      <c r="O109" t="n">
        <v>108</v>
      </c>
      <c r="P109" t="inlineStr">
        <is>
          <t>24/02/2026</t>
        </is>
      </c>
      <c r="Q109" t="inlineStr">
        <is>
          <t>CN</t>
        </is>
      </c>
      <c r="R109" t="n">
        <v>328</v>
      </c>
      <c r="S109" t="n">
        <v>251</v>
      </c>
      <c r="T109" t="n">
        <v>858</v>
      </c>
    </row>
    <row r="110">
      <c r="O110" t="n">
        <v>109</v>
      </c>
      <c r="P110" t="inlineStr">
        <is>
          <t>24/02/2026</t>
        </is>
      </c>
      <c r="Q110" t="inlineStr">
        <is>
          <t>CD</t>
        </is>
      </c>
      <c r="R110" t="n">
        <v>297</v>
      </c>
      <c r="S110" t="n">
        <v>316</v>
      </c>
      <c r="T110" t="n">
        <v>824</v>
      </c>
    </row>
    <row r="111">
      <c r="O111" t="n">
        <v>110</v>
      </c>
      <c r="P111" t="inlineStr">
        <is>
          <t>25/02/2026</t>
        </is>
      </c>
      <c r="Q111" t="inlineStr">
        <is>
          <t>CN</t>
        </is>
      </c>
      <c r="R111" t="n">
        <v>305</v>
      </c>
      <c r="S111" t="n">
        <v>274</v>
      </c>
      <c r="T111" t="n">
        <v>858</v>
      </c>
    </row>
    <row r="112">
      <c r="O112" t="n">
        <v>111</v>
      </c>
      <c r="P112" t="inlineStr">
        <is>
          <t>25/02/2026</t>
        </is>
      </c>
      <c r="Q112" t="inlineStr">
        <is>
          <t>CD</t>
        </is>
      </c>
      <c r="R112" t="n">
        <v>270</v>
      </c>
      <c r="S112" t="n">
        <v>338</v>
      </c>
      <c r="T112" t="n">
        <v>829</v>
      </c>
    </row>
    <row r="113">
      <c r="O113" t="n">
        <v>112</v>
      </c>
      <c r="P113" t="inlineStr">
        <is>
          <t>26/02/2026</t>
        </is>
      </c>
      <c r="Q113" t="inlineStr">
        <is>
          <t>CN</t>
        </is>
      </c>
      <c r="R113" t="n">
        <v>269</v>
      </c>
      <c r="S113" t="n">
        <v>308</v>
      </c>
      <c r="T113" t="n">
        <v>856</v>
      </c>
    </row>
    <row r="114">
      <c r="O114" t="n">
        <v>113</v>
      </c>
      <c r="P114" t="inlineStr">
        <is>
          <t>26/02/2026</t>
        </is>
      </c>
      <c r="Q114" t="inlineStr">
        <is>
          <t>CD</t>
        </is>
      </c>
      <c r="R114" t="n">
        <v>322</v>
      </c>
      <c r="S114" t="n">
        <v>287</v>
      </c>
      <c r="T114" t="n">
        <v>828</v>
      </c>
    </row>
    <row r="115">
      <c r="O115" t="n">
        <v>114</v>
      </c>
      <c r="P115" t="inlineStr">
        <is>
          <t>27/02/2026</t>
        </is>
      </c>
      <c r="Q115" t="inlineStr">
        <is>
          <t>CN</t>
        </is>
      </c>
      <c r="R115" t="n">
        <v>311</v>
      </c>
      <c r="S115" t="n">
        <v>266</v>
      </c>
      <c r="T115" t="n">
        <v>860</v>
      </c>
    </row>
    <row r="116">
      <c r="O116" t="n">
        <v>115</v>
      </c>
      <c r="P116" t="inlineStr">
        <is>
          <t>27/02/2026</t>
        </is>
      </c>
      <c r="Q116" t="inlineStr">
        <is>
          <t>CD</t>
        </is>
      </c>
      <c r="R116" t="n">
        <v>252</v>
      </c>
      <c r="S116" t="n">
        <v>312</v>
      </c>
      <c r="T116" t="n">
        <v>874</v>
      </c>
    </row>
    <row r="117">
      <c r="O117" t="n">
        <v>116</v>
      </c>
      <c r="P117" t="inlineStr">
        <is>
          <t>28/02/2026</t>
        </is>
      </c>
      <c r="Q117" t="inlineStr">
        <is>
          <t>CN</t>
        </is>
      </c>
      <c r="R117" t="n">
        <v>186</v>
      </c>
      <c r="S117" t="n">
        <v>304</v>
      </c>
      <c r="T117" t="n">
        <v>947</v>
      </c>
    </row>
    <row r="118">
      <c r="O118" t="n">
        <v>117</v>
      </c>
      <c r="P118" t="inlineStr">
        <is>
          <t>28/02/2026</t>
        </is>
      </c>
      <c r="Q118" t="inlineStr">
        <is>
          <t>CD</t>
        </is>
      </c>
      <c r="R118" t="n">
        <v>483</v>
      </c>
      <c r="S118" t="n">
        <v>461</v>
      </c>
      <c r="T118" t="n">
        <v>494</v>
      </c>
    </row>
    <row r="119">
      <c r="O119" t="n">
        <v>118</v>
      </c>
      <c r="P119" t="inlineStr">
        <is>
          <t>01/03/2026</t>
        </is>
      </c>
      <c r="Q119" t="inlineStr">
        <is>
          <t>CN</t>
        </is>
      </c>
      <c r="R119" t="n">
        <v>0</v>
      </c>
      <c r="S119" t="n">
        <v>0</v>
      </c>
      <c r="T119" t="n">
        <v>1153</v>
      </c>
    </row>
    <row r="120">
      <c r="O120" t="n">
        <v>119</v>
      </c>
      <c r="P120" t="inlineStr">
        <is>
          <t>01/03/2026</t>
        </is>
      </c>
      <c r="Q120" t="inlineStr">
        <is>
          <t>CD</t>
        </is>
      </c>
      <c r="R120" t="n">
        <v>0</v>
      </c>
      <c r="S120" t="n">
        <v>0</v>
      </c>
      <c r="T120" t="n">
        <v>1440</v>
      </c>
    </row>
    <row r="121">
      <c r="O121" t="n">
        <v>120</v>
      </c>
      <c r="P121" t="inlineStr">
        <is>
          <t>02/03/2026</t>
        </is>
      </c>
      <c r="Q121" t="inlineStr">
        <is>
          <t>CN</t>
        </is>
      </c>
      <c r="R121" t="n">
        <v>379</v>
      </c>
      <c r="S121" t="n">
        <v>648</v>
      </c>
      <c r="T121" t="n">
        <v>411</v>
      </c>
    </row>
    <row r="122">
      <c r="O122" t="n">
        <v>121</v>
      </c>
      <c r="P122" t="inlineStr">
        <is>
          <t>02/03/2026</t>
        </is>
      </c>
      <c r="Q122" t="inlineStr">
        <is>
          <t>CD</t>
        </is>
      </c>
      <c r="R122" t="n">
        <v>292</v>
      </c>
      <c r="S122" t="n">
        <v>284</v>
      </c>
      <c r="T122" t="n">
        <v>862</v>
      </c>
    </row>
    <row r="123">
      <c r="O123" t="n">
        <v>122</v>
      </c>
      <c r="P123" t="inlineStr">
        <is>
          <t>03/03/2026</t>
        </is>
      </c>
      <c r="Q123" t="inlineStr">
        <is>
          <t>CN</t>
        </is>
      </c>
      <c r="R123" t="n">
        <v>474</v>
      </c>
      <c r="S123" t="n">
        <v>541</v>
      </c>
      <c r="T123" t="n">
        <v>421</v>
      </c>
    </row>
    <row r="124">
      <c r="O124" t="n">
        <v>123</v>
      </c>
      <c r="P124" t="inlineStr">
        <is>
          <t>03/03/2026</t>
        </is>
      </c>
      <c r="Q124" t="inlineStr">
        <is>
          <t>CD</t>
        </is>
      </c>
      <c r="R124" t="n">
        <v>259</v>
      </c>
      <c r="S124" t="n">
        <v>304</v>
      </c>
      <c r="T124" t="n">
        <v>875</v>
      </c>
    </row>
    <row r="125">
      <c r="O125" t="n">
        <v>124</v>
      </c>
      <c r="P125" t="inlineStr">
        <is>
          <t>04/03/2026</t>
        </is>
      </c>
      <c r="Q125" t="inlineStr">
        <is>
          <t>CN</t>
        </is>
      </c>
      <c r="R125" t="n">
        <v>451</v>
      </c>
      <c r="S125" t="n">
        <v>575</v>
      </c>
      <c r="T125" t="n">
        <v>410</v>
      </c>
    </row>
    <row r="126">
      <c r="O126" t="n">
        <v>125</v>
      </c>
      <c r="P126" t="inlineStr">
        <is>
          <t>04/03/2026</t>
        </is>
      </c>
      <c r="Q126" t="inlineStr">
        <is>
          <t>CD</t>
        </is>
      </c>
      <c r="R126" t="n">
        <v>347</v>
      </c>
      <c r="S126" t="n">
        <v>268</v>
      </c>
      <c r="T126" t="n">
        <v>821</v>
      </c>
    </row>
    <row r="127">
      <c r="O127" t="n">
        <v>126</v>
      </c>
      <c r="P127" t="inlineStr">
        <is>
          <t>05/03/2026</t>
        </is>
      </c>
      <c r="Q127" t="inlineStr">
        <is>
          <t>CN</t>
        </is>
      </c>
      <c r="R127" t="n">
        <v>437</v>
      </c>
      <c r="S127" t="n">
        <v>580</v>
      </c>
      <c r="T127" t="n">
        <v>421</v>
      </c>
    </row>
    <row r="128">
      <c r="O128" t="n">
        <v>127</v>
      </c>
      <c r="P128" t="inlineStr">
        <is>
          <t>05/03/2026</t>
        </is>
      </c>
      <c r="Q128" t="inlineStr">
        <is>
          <t>CD</t>
        </is>
      </c>
      <c r="R128" t="n">
        <v>240</v>
      </c>
      <c r="S128" t="n">
        <v>320</v>
      </c>
      <c r="T128" t="n">
        <v>876</v>
      </c>
    </row>
    <row r="129">
      <c r="O129" t="n">
        <v>128</v>
      </c>
      <c r="P129" t="inlineStr">
        <is>
          <t>06/03/2026</t>
        </is>
      </c>
      <c r="Q129" t="inlineStr">
        <is>
          <t>CN</t>
        </is>
      </c>
      <c r="R129" t="n">
        <v>403</v>
      </c>
      <c r="S129" t="n">
        <v>603</v>
      </c>
      <c r="T129" t="n">
        <v>431</v>
      </c>
    </row>
    <row r="130">
      <c r="O130" t="n">
        <v>129</v>
      </c>
      <c r="P130" t="inlineStr">
        <is>
          <t>06/03/2026</t>
        </is>
      </c>
      <c r="Q130" t="inlineStr">
        <is>
          <t>CD</t>
        </is>
      </c>
      <c r="R130" t="n">
        <v>223</v>
      </c>
      <c r="S130" t="n">
        <v>335</v>
      </c>
      <c r="T130" t="n">
        <v>881</v>
      </c>
    </row>
    <row r="131">
      <c r="O131" t="n">
        <v>130</v>
      </c>
      <c r="P131" t="inlineStr">
        <is>
          <t>07/03/2026</t>
        </is>
      </c>
      <c r="Q131" t="inlineStr">
        <is>
          <t>CN</t>
        </is>
      </c>
      <c r="R131" t="n">
        <v>382</v>
      </c>
      <c r="S131" t="n">
        <v>578</v>
      </c>
      <c r="T131" t="n">
        <v>477</v>
      </c>
    </row>
    <row r="132">
      <c r="O132" t="n">
        <v>131</v>
      </c>
      <c r="P132" t="inlineStr">
        <is>
          <t>07/03/2026</t>
        </is>
      </c>
      <c r="Q132" t="inlineStr">
        <is>
          <t>CD</t>
        </is>
      </c>
      <c r="R132" t="n">
        <v>216</v>
      </c>
      <c r="S132" t="n">
        <v>251</v>
      </c>
      <c r="T132" t="n">
        <v>972</v>
      </c>
    </row>
    <row r="133">
      <c r="O133" t="n">
        <v>132</v>
      </c>
      <c r="P133" t="inlineStr">
        <is>
          <t>08/03/2026</t>
        </is>
      </c>
      <c r="Q133" t="inlineStr">
        <is>
          <t>CN</t>
        </is>
      </c>
      <c r="R133" t="n">
        <v>0</v>
      </c>
      <c r="S133" t="n">
        <v>0</v>
      </c>
      <c r="T133" t="n">
        <v>1440</v>
      </c>
    </row>
    <row r="134">
      <c r="O134" t="n">
        <v>133</v>
      </c>
      <c r="P134" t="inlineStr">
        <is>
          <t>08/03/2026</t>
        </is>
      </c>
      <c r="Q134" t="inlineStr">
        <is>
          <t>CD</t>
        </is>
      </c>
      <c r="R134" t="n">
        <v>0</v>
      </c>
      <c r="S134" t="n">
        <v>0</v>
      </c>
      <c r="T134" t="n">
        <v>1440</v>
      </c>
    </row>
    <row r="135">
      <c r="O135" t="n">
        <v>134</v>
      </c>
      <c r="P135" t="inlineStr">
        <is>
          <t>09/03/2026</t>
        </is>
      </c>
      <c r="Q135" t="inlineStr">
        <is>
          <t>CN</t>
        </is>
      </c>
      <c r="R135" t="n">
        <v>3</v>
      </c>
      <c r="S135" t="n">
        <v>0</v>
      </c>
      <c r="T135" t="n">
        <v>1437</v>
      </c>
    </row>
    <row r="136">
      <c r="O136" t="n">
        <v>135</v>
      </c>
      <c r="P136" t="inlineStr">
        <is>
          <t>09/03/2026</t>
        </is>
      </c>
      <c r="Q136" t="inlineStr">
        <is>
          <t>CD</t>
        </is>
      </c>
      <c r="R136" t="n">
        <v>407</v>
      </c>
      <c r="S136" t="n">
        <v>710</v>
      </c>
      <c r="T136" t="n">
        <v>318</v>
      </c>
    </row>
    <row r="137">
      <c r="O137" t="n">
        <v>136</v>
      </c>
      <c r="P137" t="inlineStr">
        <is>
          <t>10/03/2026</t>
        </is>
      </c>
      <c r="Q137" t="inlineStr">
        <is>
          <t>CN</t>
        </is>
      </c>
      <c r="R137" t="n">
        <v>264</v>
      </c>
      <c r="S137" t="n">
        <v>252</v>
      </c>
      <c r="T137" t="n">
        <v>920</v>
      </c>
    </row>
    <row r="138">
      <c r="O138" t="n">
        <v>137</v>
      </c>
      <c r="P138" t="inlineStr">
        <is>
          <t>10/03/2026</t>
        </is>
      </c>
      <c r="Q138" t="inlineStr">
        <is>
          <t>CD</t>
        </is>
      </c>
      <c r="R138" t="n">
        <v>523</v>
      </c>
      <c r="S138" t="n">
        <v>595</v>
      </c>
      <c r="T138" t="n">
        <v>316</v>
      </c>
    </row>
    <row r="139">
      <c r="O139" t="n">
        <v>138</v>
      </c>
      <c r="P139" t="inlineStr">
        <is>
          <t>11/03/2026</t>
        </is>
      </c>
      <c r="Q139" t="inlineStr">
        <is>
          <t>CN</t>
        </is>
      </c>
      <c r="R139" t="n">
        <v>253</v>
      </c>
      <c r="S139" t="n">
        <v>265</v>
      </c>
      <c r="T139" t="n">
        <v>918</v>
      </c>
    </row>
    <row r="140">
      <c r="O140" t="n">
        <v>139</v>
      </c>
      <c r="P140" t="inlineStr">
        <is>
          <t>11/03/2026</t>
        </is>
      </c>
      <c r="Q140" t="inlineStr">
        <is>
          <t>CD</t>
        </is>
      </c>
      <c r="R140" t="n">
        <v>470</v>
      </c>
      <c r="S140" t="n">
        <v>651</v>
      </c>
      <c r="T140" t="n">
        <v>312</v>
      </c>
    </row>
    <row r="141">
      <c r="O141" t="n">
        <v>140</v>
      </c>
      <c r="P141" t="inlineStr">
        <is>
          <t>12/03/2026</t>
        </is>
      </c>
      <c r="Q141" t="inlineStr">
        <is>
          <t>CN</t>
        </is>
      </c>
      <c r="R141" t="n">
        <v>447</v>
      </c>
      <c r="S141" t="n">
        <v>459</v>
      </c>
      <c r="T141" t="n">
        <v>531</v>
      </c>
    </row>
    <row r="142">
      <c r="O142" t="n">
        <v>141</v>
      </c>
      <c r="P142" t="inlineStr">
        <is>
          <t>12/03/2026</t>
        </is>
      </c>
      <c r="Q142" t="inlineStr">
        <is>
          <t>CD</t>
        </is>
      </c>
      <c r="R142" t="n">
        <v>429</v>
      </c>
      <c r="S142" t="n">
        <v>656</v>
      </c>
      <c r="T142" t="n">
        <v>352</v>
      </c>
    </row>
    <row r="143">
      <c r="O143" t="n">
        <v>142</v>
      </c>
      <c r="P143" t="inlineStr">
        <is>
          <t>13/03/2026</t>
        </is>
      </c>
      <c r="Q143" t="inlineStr">
        <is>
          <t>CN</t>
        </is>
      </c>
      <c r="R143" t="n">
        <v>457</v>
      </c>
      <c r="S143" t="n">
        <v>445</v>
      </c>
      <c r="T143" t="n">
        <v>534</v>
      </c>
    </row>
    <row r="144">
      <c r="O144" t="n">
        <v>143</v>
      </c>
      <c r="P144" t="inlineStr">
        <is>
          <t>13/03/2026</t>
        </is>
      </c>
      <c r="Q144" t="inlineStr">
        <is>
          <t>CD</t>
        </is>
      </c>
      <c r="R144" t="n">
        <v>482</v>
      </c>
      <c r="S144" t="n">
        <v>656</v>
      </c>
      <c r="T144" t="n">
        <v>299</v>
      </c>
    </row>
    <row r="145">
      <c r="O145" t="n">
        <v>144</v>
      </c>
      <c r="P145" t="inlineStr">
        <is>
          <t>14/03/2026</t>
        </is>
      </c>
      <c r="Q145" t="inlineStr">
        <is>
          <t>CN</t>
        </is>
      </c>
      <c r="R145" t="n">
        <v>350</v>
      </c>
      <c r="S145" t="n">
        <v>527</v>
      </c>
      <c r="T145" t="n">
        <v>559</v>
      </c>
    </row>
    <row r="146">
      <c r="O146" t="n">
        <v>145</v>
      </c>
      <c r="P146" t="inlineStr">
        <is>
          <t>14/03/2026</t>
        </is>
      </c>
      <c r="Q146" t="inlineStr">
        <is>
          <t>CD</t>
        </is>
      </c>
      <c r="R146" t="n">
        <v>289</v>
      </c>
      <c r="S146" t="n">
        <v>291</v>
      </c>
      <c r="T146" t="n">
        <v>857</v>
      </c>
    </row>
    <row r="147">
      <c r="O147" t="n">
        <v>146</v>
      </c>
      <c r="P147" t="inlineStr">
        <is>
          <t>15/03/2026</t>
        </is>
      </c>
      <c r="Q147" t="inlineStr">
        <is>
          <t>CN</t>
        </is>
      </c>
      <c r="R147" t="n">
        <v>0</v>
      </c>
      <c r="S147" t="n">
        <v>0</v>
      </c>
      <c r="T147" t="n">
        <v>1440</v>
      </c>
    </row>
    <row r="148">
      <c r="O148" t="n">
        <v>147</v>
      </c>
      <c r="P148" t="inlineStr">
        <is>
          <t>15/03/2026</t>
        </is>
      </c>
      <c r="Q148" t="inlineStr">
        <is>
          <t>CD</t>
        </is>
      </c>
      <c r="R148" t="n">
        <v>0</v>
      </c>
      <c r="S148" t="n">
        <v>0</v>
      </c>
      <c r="T148" t="n">
        <v>1440</v>
      </c>
    </row>
    <row r="149">
      <c r="O149" t="n">
        <v>148</v>
      </c>
      <c r="P149" t="inlineStr">
        <is>
          <t>16/03/2026</t>
        </is>
      </c>
      <c r="Q149" t="inlineStr">
        <is>
          <t>CN</t>
        </is>
      </c>
      <c r="R149" t="n">
        <v>379</v>
      </c>
      <c r="S149" t="n">
        <v>528</v>
      </c>
      <c r="T149" t="n">
        <v>529</v>
      </c>
    </row>
    <row r="150">
      <c r="O150" t="n">
        <v>149</v>
      </c>
      <c r="P150" t="inlineStr">
        <is>
          <t>16/03/2026</t>
        </is>
      </c>
      <c r="Q150" t="inlineStr">
        <is>
          <t>CD</t>
        </is>
      </c>
      <c r="R150" t="n">
        <v>324</v>
      </c>
      <c r="S150" t="n">
        <v>316</v>
      </c>
      <c r="T150" t="n">
        <v>797</v>
      </c>
    </row>
    <row r="151">
      <c r="O151" t="n">
        <v>150</v>
      </c>
      <c r="P151" t="inlineStr">
        <is>
          <t>17/03/2026</t>
        </is>
      </c>
      <c r="Q151" t="inlineStr">
        <is>
          <t>CN</t>
        </is>
      </c>
      <c r="R151" t="n">
        <v>371</v>
      </c>
      <c r="S151" t="n">
        <v>538</v>
      </c>
      <c r="T151" t="n">
        <v>528</v>
      </c>
    </row>
    <row r="152">
      <c r="O152" t="n">
        <v>151</v>
      </c>
      <c r="P152" t="inlineStr">
        <is>
          <t>17/03/2026</t>
        </is>
      </c>
      <c r="Q152" t="inlineStr">
        <is>
          <t>CD</t>
        </is>
      </c>
      <c r="R152" t="n">
        <v>311</v>
      </c>
      <c r="S152" t="n">
        <v>330</v>
      </c>
      <c r="T152" t="n">
        <v>793</v>
      </c>
    </row>
    <row r="153">
      <c r="O153" t="n">
        <v>152</v>
      </c>
      <c r="P153" t="inlineStr">
        <is>
          <t>18/03/2026</t>
        </is>
      </c>
      <c r="Q153" t="inlineStr">
        <is>
          <t>CN</t>
        </is>
      </c>
      <c r="R153" t="n">
        <v>336</v>
      </c>
      <c r="S153" t="n">
        <v>570</v>
      </c>
      <c r="T153" t="n">
        <v>531</v>
      </c>
    </row>
    <row r="154">
      <c r="O154" t="n">
        <v>153</v>
      </c>
      <c r="P154" t="inlineStr">
        <is>
          <t>18/03/2026</t>
        </is>
      </c>
      <c r="Q154" t="inlineStr">
        <is>
          <t>CD</t>
        </is>
      </c>
      <c r="R154" t="n">
        <v>297</v>
      </c>
      <c r="S154" t="n">
        <v>348</v>
      </c>
      <c r="T154" t="n">
        <v>792</v>
      </c>
    </row>
    <row r="155">
      <c r="O155" t="n">
        <v>154</v>
      </c>
      <c r="P155" t="inlineStr">
        <is>
          <t>19/03/2026</t>
        </is>
      </c>
      <c r="Q155" t="inlineStr">
        <is>
          <t>CN</t>
        </is>
      </c>
      <c r="R155" t="n">
        <v>352</v>
      </c>
      <c r="S155" t="n">
        <v>553</v>
      </c>
      <c r="T155" t="n">
        <v>531</v>
      </c>
    </row>
    <row r="156">
      <c r="O156" t="n">
        <v>155</v>
      </c>
      <c r="P156" t="inlineStr">
        <is>
          <t>19/03/2026</t>
        </is>
      </c>
      <c r="Q156" t="inlineStr">
        <is>
          <t>CD</t>
        </is>
      </c>
      <c r="R156" t="n">
        <v>286</v>
      </c>
      <c r="S156" t="n">
        <v>302</v>
      </c>
      <c r="T156" t="n">
        <v>849</v>
      </c>
    </row>
    <row r="157">
      <c r="O157" t="n">
        <v>156</v>
      </c>
      <c r="P157" t="inlineStr">
        <is>
          <t>20/03/2026</t>
        </is>
      </c>
      <c r="Q157" t="inlineStr">
        <is>
          <t>CN</t>
        </is>
      </c>
      <c r="R157" t="n">
        <v>381</v>
      </c>
      <c r="S157" t="n">
        <v>523</v>
      </c>
      <c r="T157" t="n">
        <v>533</v>
      </c>
    </row>
    <row r="158">
      <c r="O158" t="n">
        <v>157</v>
      </c>
      <c r="P158" t="inlineStr">
        <is>
          <t>20/03/2026</t>
        </is>
      </c>
      <c r="Q158" t="inlineStr">
        <is>
          <t>CD</t>
        </is>
      </c>
      <c r="R158" t="n">
        <v>341</v>
      </c>
      <c r="S158" t="n">
        <v>302</v>
      </c>
      <c r="T158" t="n">
        <v>793</v>
      </c>
    </row>
    <row r="159">
      <c r="O159" t="n">
        <v>158</v>
      </c>
      <c r="P159" t="inlineStr">
        <is>
          <t>21/03/2026</t>
        </is>
      </c>
      <c r="Q159" t="inlineStr">
        <is>
          <t>CN</t>
        </is>
      </c>
      <c r="R159" t="n">
        <v>286</v>
      </c>
      <c r="S159" t="n">
        <v>250</v>
      </c>
      <c r="T159" t="n">
        <v>902</v>
      </c>
    </row>
    <row r="160">
      <c r="O160" t="n">
        <v>159</v>
      </c>
      <c r="P160" t="inlineStr">
        <is>
          <t>21/03/2026</t>
        </is>
      </c>
      <c r="Q160" t="inlineStr">
        <is>
          <t>CD</t>
        </is>
      </c>
      <c r="R160" t="n">
        <v>191</v>
      </c>
      <c r="S160" t="n">
        <v>270</v>
      </c>
      <c r="T160" t="n">
        <v>977</v>
      </c>
    </row>
    <row r="161">
      <c r="O161" t="n">
        <v>160</v>
      </c>
      <c r="P161" t="inlineStr">
        <is>
          <t>22/03/2026</t>
        </is>
      </c>
      <c r="Q161" t="inlineStr">
        <is>
          <t>CD</t>
        </is>
      </c>
      <c r="R161" t="n">
        <v>0</v>
      </c>
      <c r="S161" t="n">
        <v>0</v>
      </c>
      <c r="T161" t="n">
        <v>1829</v>
      </c>
    </row>
    <row r="162">
      <c r="O162" t="n">
        <v>161</v>
      </c>
      <c r="P162" t="inlineStr">
        <is>
          <t>23/03/2026</t>
        </is>
      </c>
      <c r="Q162" t="inlineStr">
        <is>
          <t>CN</t>
        </is>
      </c>
      <c r="R162" t="n">
        <v>458</v>
      </c>
      <c r="S162" t="n">
        <v>441</v>
      </c>
      <c r="T162" t="n">
        <v>535</v>
      </c>
    </row>
    <row r="163">
      <c r="O163" t="n">
        <v>162</v>
      </c>
      <c r="P163" t="inlineStr">
        <is>
          <t>23/03/2026</t>
        </is>
      </c>
      <c r="Q163" t="inlineStr">
        <is>
          <t>CD</t>
        </is>
      </c>
      <c r="R163" t="n">
        <v>290</v>
      </c>
      <c r="S163" t="n">
        <v>358</v>
      </c>
      <c r="T163" t="n">
        <v>788</v>
      </c>
    </row>
    <row r="164">
      <c r="O164" t="n">
        <v>163</v>
      </c>
      <c r="P164" t="inlineStr">
        <is>
          <t>24/03/2026</t>
        </is>
      </c>
      <c r="Q164" t="inlineStr">
        <is>
          <t>CN</t>
        </is>
      </c>
      <c r="R164" t="n">
        <v>398</v>
      </c>
      <c r="S164" t="n">
        <v>510</v>
      </c>
      <c r="T164" t="n">
        <v>529</v>
      </c>
    </row>
    <row r="165">
      <c r="O165" t="n">
        <v>164</v>
      </c>
      <c r="P165" t="inlineStr">
        <is>
          <t>24/03/2026</t>
        </is>
      </c>
      <c r="Q165" t="inlineStr">
        <is>
          <t>CD</t>
        </is>
      </c>
      <c r="R165" t="n">
        <v>370</v>
      </c>
      <c r="S165" t="n">
        <v>281</v>
      </c>
      <c r="T165" t="n">
        <v>786</v>
      </c>
    </row>
    <row r="166">
      <c r="O166" t="n">
        <v>165</v>
      </c>
      <c r="P166" t="inlineStr">
        <is>
          <t>25/03/2026</t>
        </is>
      </c>
      <c r="Q166" t="inlineStr">
        <is>
          <t>CN</t>
        </is>
      </c>
      <c r="R166" t="n">
        <v>630</v>
      </c>
      <c r="S166" t="n">
        <v>272</v>
      </c>
      <c r="T166" t="n">
        <v>535</v>
      </c>
    </row>
    <row r="167">
      <c r="O167" t="n">
        <v>166</v>
      </c>
      <c r="P167" t="inlineStr">
        <is>
          <t>25/03/2026</t>
        </is>
      </c>
      <c r="Q167" t="inlineStr">
        <is>
          <t>CD</t>
        </is>
      </c>
      <c r="R167" t="n">
        <v>322</v>
      </c>
      <c r="S167" t="n">
        <v>351</v>
      </c>
      <c r="T167" t="n">
        <v>762</v>
      </c>
    </row>
    <row r="168">
      <c r="O168" t="n">
        <v>167</v>
      </c>
      <c r="P168" t="inlineStr">
        <is>
          <t>26/03/2026</t>
        </is>
      </c>
      <c r="Q168" t="inlineStr">
        <is>
          <t>CN</t>
        </is>
      </c>
      <c r="R168" t="n">
        <v>418</v>
      </c>
      <c r="S168" t="n">
        <v>487</v>
      </c>
      <c r="T168" t="n">
        <v>532</v>
      </c>
    </row>
    <row r="169">
      <c r="O169" t="n">
        <v>168</v>
      </c>
      <c r="P169" t="inlineStr">
        <is>
          <t>26/03/2026</t>
        </is>
      </c>
      <c r="Q169" t="inlineStr">
        <is>
          <t>CD</t>
        </is>
      </c>
      <c r="R169" t="n">
        <v>404</v>
      </c>
      <c r="S169" t="n">
        <v>239</v>
      </c>
      <c r="T169" t="n">
        <v>794</v>
      </c>
    </row>
    <row r="170">
      <c r="O170" t="n">
        <v>169</v>
      </c>
      <c r="P170" t="inlineStr">
        <is>
          <t>27/03/2026</t>
        </is>
      </c>
      <c r="Q170" t="inlineStr">
        <is>
          <t>CN</t>
        </is>
      </c>
      <c r="R170" t="n">
        <v>417</v>
      </c>
      <c r="S170" t="n">
        <v>486</v>
      </c>
      <c r="T170" t="n">
        <v>533</v>
      </c>
    </row>
    <row r="171">
      <c r="O171" t="n">
        <v>170</v>
      </c>
      <c r="P171" t="inlineStr">
        <is>
          <t>27/03/2026</t>
        </is>
      </c>
      <c r="Q171" t="inlineStr">
        <is>
          <t>CD</t>
        </is>
      </c>
      <c r="R171" t="n">
        <v>338</v>
      </c>
      <c r="S171" t="n">
        <v>302</v>
      </c>
      <c r="T171" t="n">
        <v>798</v>
      </c>
    </row>
    <row r="172">
      <c r="O172" t="n">
        <v>171</v>
      </c>
      <c r="P172" t="inlineStr">
        <is>
          <t>28/03/2026</t>
        </is>
      </c>
      <c r="Q172" t="inlineStr">
        <is>
          <t>CN</t>
        </is>
      </c>
      <c r="R172" t="n">
        <v>308</v>
      </c>
      <c r="S172" t="n">
        <v>521</v>
      </c>
      <c r="T172" t="n">
        <v>608</v>
      </c>
    </row>
    <row r="173">
      <c r="O173" t="n">
        <v>172</v>
      </c>
      <c r="P173" t="inlineStr">
        <is>
          <t>28/03/2026</t>
        </is>
      </c>
      <c r="Q173" t="inlineStr">
        <is>
          <t>CD</t>
        </is>
      </c>
      <c r="R173" t="n">
        <v>268</v>
      </c>
      <c r="S173" t="n">
        <v>315</v>
      </c>
      <c r="T173" t="n">
        <v>854</v>
      </c>
    </row>
    <row r="174">
      <c r="O174" t="n">
        <v>173</v>
      </c>
      <c r="P174" t="inlineStr">
        <is>
          <t>29/03/2026</t>
        </is>
      </c>
      <c r="Q174" t="inlineStr">
        <is>
          <t>CN</t>
        </is>
      </c>
      <c r="R174" t="n">
        <v>0</v>
      </c>
      <c r="S174" t="n">
        <v>0</v>
      </c>
      <c r="T174" t="n">
        <v>1440</v>
      </c>
    </row>
    <row r="175">
      <c r="O175" t="n">
        <v>174</v>
      </c>
      <c r="P175" t="inlineStr">
        <is>
          <t>29/03/2026</t>
        </is>
      </c>
      <c r="Q175" t="inlineStr">
        <is>
          <t>CD</t>
        </is>
      </c>
      <c r="R175" t="n">
        <v>0</v>
      </c>
      <c r="S175" t="n">
        <v>0</v>
      </c>
      <c r="T175" t="n">
        <v>1440</v>
      </c>
    </row>
    <row r="176">
      <c r="O176" t="n">
        <v>175</v>
      </c>
      <c r="P176" t="inlineStr">
        <is>
          <t>30/03/2026</t>
        </is>
      </c>
      <c r="Q176" t="inlineStr">
        <is>
          <t>CN</t>
        </is>
      </c>
      <c r="R176" t="n">
        <v>433</v>
      </c>
      <c r="S176" t="n">
        <v>472</v>
      </c>
      <c r="T176" t="n">
        <v>532</v>
      </c>
    </row>
    <row r="177">
      <c r="O177" t="n">
        <v>176</v>
      </c>
      <c r="P177" t="inlineStr">
        <is>
          <t>30/03/2026</t>
        </is>
      </c>
      <c r="Q177" t="inlineStr">
        <is>
          <t>CD</t>
        </is>
      </c>
      <c r="R177" t="n">
        <v>294</v>
      </c>
      <c r="S177" t="n">
        <v>288</v>
      </c>
      <c r="T177" t="n">
        <v>854</v>
      </c>
    </row>
    <row r="178">
      <c r="O178" t="n">
        <v>177</v>
      </c>
      <c r="P178" t="inlineStr">
        <is>
          <t>31/03/2026</t>
        </is>
      </c>
      <c r="Q178" t="inlineStr">
        <is>
          <t>CN</t>
        </is>
      </c>
      <c r="R178" t="n">
        <v>428</v>
      </c>
      <c r="S178" t="n">
        <v>480</v>
      </c>
      <c r="T178" t="n">
        <v>530</v>
      </c>
    </row>
    <row r="179">
      <c r="O179" t="n">
        <v>178</v>
      </c>
      <c r="P179" t="inlineStr">
        <is>
          <t>31/03/2026</t>
        </is>
      </c>
      <c r="Q179" t="inlineStr">
        <is>
          <t>CD</t>
        </is>
      </c>
      <c r="R179" t="n">
        <v>293</v>
      </c>
      <c r="S179" t="n">
        <v>354</v>
      </c>
      <c r="T179" t="n">
        <v>791</v>
      </c>
    </row>
    <row r="180">
      <c r="O180" t="n">
        <v>179</v>
      </c>
      <c r="P180" t="inlineStr">
        <is>
          <t>01/04/2026</t>
        </is>
      </c>
      <c r="Q180" t="inlineStr">
        <is>
          <t>CN</t>
        </is>
      </c>
      <c r="R180" t="n">
        <v>419</v>
      </c>
      <c r="S180" t="n">
        <v>486</v>
      </c>
      <c r="T180" t="n">
        <v>529</v>
      </c>
    </row>
    <row r="181">
      <c r="O181" t="n">
        <v>180</v>
      </c>
      <c r="P181" t="inlineStr">
        <is>
          <t>01/04/2026</t>
        </is>
      </c>
      <c r="Q181" t="inlineStr">
        <is>
          <t>CD</t>
        </is>
      </c>
      <c r="R181" t="n">
        <v>331</v>
      </c>
      <c r="S181" t="n">
        <v>313</v>
      </c>
      <c r="T181" t="n">
        <v>796</v>
      </c>
    </row>
    <row r="182">
      <c r="O182" t="n">
        <v>181</v>
      </c>
      <c r="P182" t="inlineStr">
        <is>
          <t>02/04/2026</t>
        </is>
      </c>
      <c r="Q182" t="inlineStr">
        <is>
          <t>CN</t>
        </is>
      </c>
      <c r="R182" t="n">
        <v>192</v>
      </c>
      <c r="S182" t="n">
        <v>207</v>
      </c>
      <c r="T182" t="n">
        <v>1040</v>
      </c>
    </row>
    <row r="183">
      <c r="O183" t="n">
        <v>182</v>
      </c>
      <c r="P183" t="inlineStr">
        <is>
          <t>02/04/2026</t>
        </is>
      </c>
      <c r="Q183" t="inlineStr">
        <is>
          <t>CD</t>
        </is>
      </c>
      <c r="R183" t="n">
        <v>225</v>
      </c>
      <c r="S183" t="n">
        <v>414</v>
      </c>
      <c r="T183" t="n">
        <v>799</v>
      </c>
    </row>
    <row r="184">
      <c r="O184" t="n">
        <v>183</v>
      </c>
      <c r="P184" t="inlineStr">
        <is>
          <t>03/04/2026</t>
        </is>
      </c>
      <c r="Q184" t="inlineStr">
        <is>
          <t>CN</t>
        </is>
      </c>
      <c r="R184" t="n">
        <v>159</v>
      </c>
      <c r="S184" t="n">
        <v>244</v>
      </c>
      <c r="T184" t="n">
        <v>1035</v>
      </c>
    </row>
    <row r="185">
      <c r="O185" t="n">
        <v>184</v>
      </c>
      <c r="P185" t="inlineStr">
        <is>
          <t>03/04/2026</t>
        </is>
      </c>
      <c r="Q185" t="inlineStr">
        <is>
          <t>CD</t>
        </is>
      </c>
      <c r="R185" t="n">
        <v>279</v>
      </c>
      <c r="S185" t="n">
        <v>296</v>
      </c>
      <c r="T185" t="n">
        <v>862</v>
      </c>
    </row>
    <row r="186">
      <c r="O186" t="n">
        <v>185</v>
      </c>
      <c r="P186" t="inlineStr">
        <is>
          <t>04/04/2026</t>
        </is>
      </c>
      <c r="Q186" t="inlineStr">
        <is>
          <t>CN</t>
        </is>
      </c>
      <c r="R186" t="n">
        <v>158</v>
      </c>
      <c r="S186" t="n">
        <v>242</v>
      </c>
      <c r="T186" t="n">
        <v>1039</v>
      </c>
    </row>
    <row r="187">
      <c r="O187" t="n">
        <v>186</v>
      </c>
      <c r="P187" t="inlineStr">
        <is>
          <t>04/04/2026</t>
        </is>
      </c>
      <c r="Q187" t="inlineStr">
        <is>
          <t>CD</t>
        </is>
      </c>
      <c r="R187" t="n">
        <v>248</v>
      </c>
      <c r="S187" t="n">
        <v>339</v>
      </c>
      <c r="T187" t="n">
        <v>850</v>
      </c>
    </row>
    <row r="188">
      <c r="O188" t="n">
        <v>187</v>
      </c>
      <c r="P188" t="inlineStr">
        <is>
          <t>05/04/2026</t>
        </is>
      </c>
      <c r="Q188" t="inlineStr">
        <is>
          <t>CN</t>
        </is>
      </c>
      <c r="R188" t="n">
        <v>0</v>
      </c>
      <c r="S188" t="n">
        <v>0</v>
      </c>
      <c r="T188" t="n">
        <v>1440</v>
      </c>
    </row>
    <row r="189">
      <c r="O189" t="n">
        <v>188</v>
      </c>
      <c r="P189" t="inlineStr">
        <is>
          <t>05/04/2026</t>
        </is>
      </c>
      <c r="Q189" t="inlineStr">
        <is>
          <t>CD</t>
        </is>
      </c>
      <c r="R189" t="n">
        <v>0</v>
      </c>
      <c r="S189" t="n">
        <v>0</v>
      </c>
      <c r="T189" t="n">
        <v>1440</v>
      </c>
    </row>
    <row r="190">
      <c r="O190" t="n">
        <v>189</v>
      </c>
      <c r="P190" t="inlineStr">
        <is>
          <t>06/04/2026</t>
        </is>
      </c>
      <c r="Q190" t="inlineStr">
        <is>
          <t>CN</t>
        </is>
      </c>
      <c r="R190" t="n">
        <v>365</v>
      </c>
      <c r="S190" t="n">
        <v>543</v>
      </c>
      <c r="T190" t="n">
        <v>529</v>
      </c>
    </row>
    <row r="191">
      <c r="O191" t="n">
        <v>190</v>
      </c>
      <c r="P191" t="inlineStr">
        <is>
          <t>06/04/2026</t>
        </is>
      </c>
      <c r="Q191" t="inlineStr">
        <is>
          <t>CD</t>
        </is>
      </c>
      <c r="R191" t="n">
        <v>334</v>
      </c>
      <c r="S191" t="n">
        <v>304</v>
      </c>
      <c r="T191" t="n">
        <v>798</v>
      </c>
    </row>
    <row r="192">
      <c r="O192" t="n">
        <v>191</v>
      </c>
      <c r="P192" t="inlineStr">
        <is>
          <t>07/04/2026</t>
        </is>
      </c>
      <c r="Q192" t="inlineStr">
        <is>
          <t>CN</t>
        </is>
      </c>
      <c r="R192" t="n">
        <v>421</v>
      </c>
      <c r="S192" t="n">
        <v>488</v>
      </c>
      <c r="T192" t="n">
        <v>529</v>
      </c>
    </row>
    <row r="193">
      <c r="O193" t="n">
        <v>192</v>
      </c>
      <c r="P193" t="inlineStr">
        <is>
          <t>07/04/2026</t>
        </is>
      </c>
      <c r="Q193" t="inlineStr">
        <is>
          <t>CD</t>
        </is>
      </c>
      <c r="R193" t="n">
        <v>338</v>
      </c>
      <c r="S193" t="n">
        <v>304</v>
      </c>
      <c r="T193" t="n">
        <v>793</v>
      </c>
    </row>
    <row r="194">
      <c r="O194" t="n">
        <v>193</v>
      </c>
      <c r="P194" t="inlineStr">
        <is>
          <t>08/04/2026</t>
        </is>
      </c>
      <c r="Q194" t="inlineStr">
        <is>
          <t>CN</t>
        </is>
      </c>
      <c r="R194" t="n">
        <v>374</v>
      </c>
      <c r="S194" t="n">
        <v>537</v>
      </c>
      <c r="T194" t="n">
        <v>528</v>
      </c>
    </row>
    <row r="195">
      <c r="O195" t="n">
        <v>194</v>
      </c>
      <c r="P195" t="inlineStr">
        <is>
          <t>08/04/2026</t>
        </is>
      </c>
      <c r="Q195" t="inlineStr">
        <is>
          <t>CD</t>
        </is>
      </c>
      <c r="R195" t="n">
        <v>351</v>
      </c>
      <c r="S195" t="n">
        <v>292</v>
      </c>
      <c r="T195" t="n">
        <v>793</v>
      </c>
    </row>
    <row r="196">
      <c r="O196" t="n">
        <v>195</v>
      </c>
      <c r="P196" t="inlineStr">
        <is>
          <t>09/04/2026</t>
        </is>
      </c>
      <c r="Q196" t="inlineStr">
        <is>
          <t>CN</t>
        </is>
      </c>
      <c r="R196" t="n">
        <v>353</v>
      </c>
      <c r="S196" t="n">
        <v>556</v>
      </c>
      <c r="T196" t="n">
        <v>527</v>
      </c>
    </row>
    <row r="197">
      <c r="O197" t="n">
        <v>196</v>
      </c>
      <c r="P197" t="inlineStr">
        <is>
          <t>09/04/2026</t>
        </is>
      </c>
      <c r="Q197" t="inlineStr">
        <is>
          <t>CD</t>
        </is>
      </c>
      <c r="R197" t="n">
        <v>291</v>
      </c>
      <c r="S197" t="n">
        <v>344</v>
      </c>
      <c r="T197" t="n">
        <v>802</v>
      </c>
    </row>
    <row r="198">
      <c r="O198" t="n">
        <v>197</v>
      </c>
      <c r="P198" t="inlineStr">
        <is>
          <t>10/04/2026</t>
        </is>
      </c>
      <c r="Q198" t="inlineStr">
        <is>
          <t>CN</t>
        </is>
      </c>
      <c r="R198" t="n">
        <v>470</v>
      </c>
      <c r="S198" t="n">
        <v>437</v>
      </c>
      <c r="T198" t="n">
        <v>529</v>
      </c>
    </row>
    <row r="199">
      <c r="O199" t="n">
        <v>198</v>
      </c>
      <c r="P199" t="inlineStr">
        <is>
          <t>10/04/2026</t>
        </is>
      </c>
      <c r="Q199" t="inlineStr">
        <is>
          <t>CD</t>
        </is>
      </c>
      <c r="R199" t="n">
        <v>259</v>
      </c>
      <c r="S199" t="n">
        <v>384</v>
      </c>
      <c r="T199" t="n">
        <v>793</v>
      </c>
    </row>
    <row r="200">
      <c r="O200" t="n">
        <v>199</v>
      </c>
      <c r="P200" t="inlineStr">
        <is>
          <t>11/04/2026</t>
        </is>
      </c>
      <c r="Q200" t="inlineStr">
        <is>
          <t>CN</t>
        </is>
      </c>
      <c r="R200" t="n">
        <v>401</v>
      </c>
      <c r="S200" t="n">
        <v>478</v>
      </c>
      <c r="T200" t="n">
        <v>559</v>
      </c>
    </row>
    <row r="201">
      <c r="O201" t="n">
        <v>200</v>
      </c>
      <c r="P201" t="inlineStr">
        <is>
          <t>11/04/2026</t>
        </is>
      </c>
      <c r="Q201" t="inlineStr">
        <is>
          <t>CD</t>
        </is>
      </c>
      <c r="R201" t="n">
        <v>300</v>
      </c>
      <c r="S201" t="n">
        <v>286</v>
      </c>
      <c r="T201" t="n">
        <v>850</v>
      </c>
    </row>
    <row r="202">
      <c r="O202" t="n">
        <v>201</v>
      </c>
      <c r="P202" t="inlineStr">
        <is>
          <t>12/04/2026</t>
        </is>
      </c>
      <c r="Q202" t="inlineStr">
        <is>
          <t>CN</t>
        </is>
      </c>
      <c r="R202" t="n">
        <v>0</v>
      </c>
      <c r="S202" t="n">
        <v>0</v>
      </c>
      <c r="T202" t="n">
        <v>1440</v>
      </c>
    </row>
    <row r="203">
      <c r="O203" t="n">
        <v>202</v>
      </c>
      <c r="P203" t="inlineStr">
        <is>
          <t>12/04/2026</t>
        </is>
      </c>
      <c r="Q203" t="inlineStr">
        <is>
          <t>CD</t>
        </is>
      </c>
      <c r="R203" t="n">
        <v>0</v>
      </c>
      <c r="S203" t="n">
        <v>0</v>
      </c>
      <c r="T203" t="n">
        <v>1440</v>
      </c>
    </row>
    <row r="204">
      <c r="O204" t="n">
        <v>203</v>
      </c>
      <c r="P204" t="inlineStr">
        <is>
          <t>13/04/2026</t>
        </is>
      </c>
      <c r="Q204" t="inlineStr">
        <is>
          <t>CN</t>
        </is>
      </c>
      <c r="R204" t="n">
        <v>437</v>
      </c>
      <c r="S204" t="n">
        <v>473</v>
      </c>
      <c r="T204" t="n">
        <v>529</v>
      </c>
    </row>
    <row r="205">
      <c r="O205" t="n">
        <v>204</v>
      </c>
      <c r="P205" t="inlineStr">
        <is>
          <t>13/04/2026</t>
        </is>
      </c>
      <c r="Q205" t="inlineStr">
        <is>
          <t>CD</t>
        </is>
      </c>
      <c r="R205" t="n">
        <v>252</v>
      </c>
      <c r="S205" t="n">
        <v>329</v>
      </c>
      <c r="T205" t="n">
        <v>856</v>
      </c>
    </row>
    <row r="206">
      <c r="O206" t="n">
        <v>205</v>
      </c>
      <c r="P206" t="inlineStr">
        <is>
          <t>14/04/2026</t>
        </is>
      </c>
      <c r="Q206" t="inlineStr">
        <is>
          <t>CN</t>
        </is>
      </c>
      <c r="R206" t="n">
        <v>485</v>
      </c>
      <c r="S206" t="n">
        <v>425</v>
      </c>
      <c r="T206" t="n">
        <v>526</v>
      </c>
    </row>
    <row r="207">
      <c r="O207" t="n">
        <v>206</v>
      </c>
      <c r="P207" t="inlineStr">
        <is>
          <t>14/04/2026</t>
        </is>
      </c>
      <c r="Q207" t="inlineStr">
        <is>
          <t>CD</t>
        </is>
      </c>
      <c r="R207" t="n">
        <v>271</v>
      </c>
      <c r="S207" t="n">
        <v>368</v>
      </c>
      <c r="T207" t="n">
        <v>798</v>
      </c>
    </row>
    <row r="208">
      <c r="O208" t="n">
        <v>207</v>
      </c>
      <c r="P208" t="inlineStr">
        <is>
          <t>15/04/2026</t>
        </is>
      </c>
      <c r="Q208" t="inlineStr">
        <is>
          <t>CN</t>
        </is>
      </c>
      <c r="R208" t="n">
        <v>424</v>
      </c>
      <c r="S208" t="n">
        <v>487</v>
      </c>
      <c r="T208" t="n">
        <v>526</v>
      </c>
    </row>
    <row r="209">
      <c r="O209" t="n">
        <v>208</v>
      </c>
      <c r="P209" t="inlineStr">
        <is>
          <t>15/04/2026</t>
        </is>
      </c>
      <c r="Q209" t="inlineStr">
        <is>
          <t>CD</t>
        </is>
      </c>
      <c r="R209" t="n">
        <v>268</v>
      </c>
      <c r="S209" t="n">
        <v>369</v>
      </c>
      <c r="T209" t="n">
        <v>800</v>
      </c>
    </row>
    <row r="210">
      <c r="O210" t="n">
        <v>209</v>
      </c>
      <c r="P210" t="inlineStr">
        <is>
          <t>16/04/2026</t>
        </is>
      </c>
      <c r="Q210" t="inlineStr">
        <is>
          <t>CN</t>
        </is>
      </c>
      <c r="R210" t="n">
        <v>467</v>
      </c>
      <c r="S210" t="n">
        <v>441</v>
      </c>
      <c r="T210" t="n">
        <v>526</v>
      </c>
    </row>
    <row r="211">
      <c r="O211" t="n">
        <v>210</v>
      </c>
      <c r="P211" t="inlineStr">
        <is>
          <t>16/04/2026</t>
        </is>
      </c>
      <c r="Q211" t="inlineStr">
        <is>
          <t>CD</t>
        </is>
      </c>
      <c r="R211" t="n">
        <v>278</v>
      </c>
      <c r="S211" t="n">
        <v>362</v>
      </c>
      <c r="T211" t="n">
        <v>798</v>
      </c>
    </row>
    <row r="212">
      <c r="O212" t="n">
        <v>211</v>
      </c>
      <c r="P212" t="inlineStr">
        <is>
          <t>17/04/2026</t>
        </is>
      </c>
      <c r="Q212" t="inlineStr">
        <is>
          <t>CN</t>
        </is>
      </c>
      <c r="R212" t="n">
        <v>445</v>
      </c>
      <c r="S212" t="n">
        <v>460</v>
      </c>
      <c r="T212" t="n">
        <v>530</v>
      </c>
    </row>
    <row r="213">
      <c r="O213" t="n">
        <v>212</v>
      </c>
      <c r="P213" t="inlineStr">
        <is>
          <t>17/04/2026</t>
        </is>
      </c>
      <c r="Q213" t="inlineStr">
        <is>
          <t>CD</t>
        </is>
      </c>
      <c r="R213" t="n">
        <v>330</v>
      </c>
      <c r="S213" t="n">
        <v>254</v>
      </c>
      <c r="T213" t="n">
        <v>853</v>
      </c>
    </row>
    <row r="214">
      <c r="O214" t="n">
        <v>213</v>
      </c>
      <c r="P214" t="inlineStr">
        <is>
          <t>18/04/2026</t>
        </is>
      </c>
      <c r="Q214" t="inlineStr">
        <is>
          <t>CN</t>
        </is>
      </c>
      <c r="R214" t="n">
        <v>284</v>
      </c>
      <c r="S214" t="n">
        <v>200</v>
      </c>
      <c r="T214" t="n">
        <v>955</v>
      </c>
    </row>
    <row r="215">
      <c r="O215" t="n">
        <v>214</v>
      </c>
      <c r="P215" t="inlineStr">
        <is>
          <t>18/04/2026</t>
        </is>
      </c>
      <c r="Q215" t="inlineStr">
        <is>
          <t>CD</t>
        </is>
      </c>
      <c r="R215" t="n">
        <v>227</v>
      </c>
      <c r="S215" t="n">
        <v>232</v>
      </c>
      <c r="T215" t="n">
        <v>979</v>
      </c>
    </row>
    <row r="216">
      <c r="O216" t="n">
        <v>215</v>
      </c>
      <c r="P216" t="inlineStr">
        <is>
          <t>19/04/2026</t>
        </is>
      </c>
      <c r="Q216" t="inlineStr">
        <is>
          <t>CN</t>
        </is>
      </c>
      <c r="R216" t="n">
        <v>0</v>
      </c>
      <c r="S216" t="n">
        <v>0</v>
      </c>
      <c r="T216" t="n">
        <v>1440</v>
      </c>
    </row>
    <row r="217">
      <c r="O217" t="n">
        <v>216</v>
      </c>
      <c r="P217" t="inlineStr">
        <is>
          <t>19/04/2026</t>
        </is>
      </c>
      <c r="Q217" t="inlineStr">
        <is>
          <t>CD</t>
        </is>
      </c>
      <c r="R217" t="n">
        <v>0</v>
      </c>
      <c r="S217" t="n">
        <v>0</v>
      </c>
      <c r="T217" t="n">
        <v>1440</v>
      </c>
    </row>
    <row r="218">
      <c r="O218" t="n">
        <v>217</v>
      </c>
      <c r="P218" t="inlineStr">
        <is>
          <t>20/04/2026</t>
        </is>
      </c>
      <c r="Q218" t="inlineStr">
        <is>
          <t>CN</t>
        </is>
      </c>
      <c r="R218" t="n">
        <v>335</v>
      </c>
      <c r="S218" t="n">
        <v>572</v>
      </c>
      <c r="T218" t="n">
        <v>531</v>
      </c>
    </row>
    <row r="219">
      <c r="O219" t="n">
        <v>218</v>
      </c>
      <c r="P219" t="inlineStr">
        <is>
          <t>20/04/2026</t>
        </is>
      </c>
      <c r="Q219" t="inlineStr">
        <is>
          <t>CD</t>
        </is>
      </c>
      <c r="R219" t="n">
        <v>357</v>
      </c>
      <c r="S219" t="n">
        <v>288</v>
      </c>
      <c r="T219" t="n">
        <v>792</v>
      </c>
    </row>
    <row r="220">
      <c r="O220" t="n">
        <v>219</v>
      </c>
      <c r="P220" t="inlineStr">
        <is>
          <t>21/04/2026</t>
        </is>
      </c>
      <c r="Q220" t="inlineStr">
        <is>
          <t>CN</t>
        </is>
      </c>
      <c r="R220" t="n">
        <v>411</v>
      </c>
      <c r="S220" t="n">
        <v>497</v>
      </c>
      <c r="T220" t="n">
        <v>530</v>
      </c>
    </row>
    <row r="221">
      <c r="O221" t="n">
        <v>220</v>
      </c>
      <c r="P221" t="inlineStr">
        <is>
          <t>21/04/2026</t>
        </is>
      </c>
      <c r="Q221" t="inlineStr">
        <is>
          <t>CD</t>
        </is>
      </c>
      <c r="R221" t="n">
        <v>365</v>
      </c>
      <c r="S221" t="n">
        <v>272</v>
      </c>
      <c r="T221" t="n">
        <v>797</v>
      </c>
    </row>
    <row r="222">
      <c r="O222" t="n">
        <v>221</v>
      </c>
      <c r="P222" t="inlineStr">
        <is>
          <t>22/04/2026</t>
        </is>
      </c>
      <c r="Q222" t="inlineStr">
        <is>
          <t>CN</t>
        </is>
      </c>
      <c r="R222" t="n">
        <v>432</v>
      </c>
      <c r="S222" t="n">
        <v>475</v>
      </c>
      <c r="T222" t="n">
        <v>530</v>
      </c>
    </row>
    <row r="223">
      <c r="O223" t="n">
        <v>222</v>
      </c>
      <c r="P223" t="inlineStr">
        <is>
          <t>22/04/2026</t>
        </is>
      </c>
      <c r="Q223" t="inlineStr">
        <is>
          <t>CD</t>
        </is>
      </c>
      <c r="R223" t="n">
        <v>351</v>
      </c>
      <c r="S223" t="n">
        <v>294</v>
      </c>
      <c r="T223" t="n">
        <v>792</v>
      </c>
    </row>
    <row r="224">
      <c r="O224" t="n">
        <v>223</v>
      </c>
      <c r="P224" t="inlineStr">
        <is>
          <t>23/04/2026</t>
        </is>
      </c>
      <c r="Q224" t="inlineStr">
        <is>
          <t>CN</t>
        </is>
      </c>
      <c r="R224" t="n">
        <v>429</v>
      </c>
      <c r="S224" t="n">
        <v>477</v>
      </c>
      <c r="T224" t="n">
        <v>531</v>
      </c>
    </row>
    <row r="225">
      <c r="O225" t="n">
        <v>224</v>
      </c>
      <c r="P225" t="inlineStr">
        <is>
          <t>23/04/2026</t>
        </is>
      </c>
      <c r="Q225" t="inlineStr">
        <is>
          <t>CD</t>
        </is>
      </c>
      <c r="R225" t="n">
        <v>490</v>
      </c>
      <c r="S225" t="n">
        <v>630</v>
      </c>
      <c r="T225" t="n">
        <v>317</v>
      </c>
    </row>
    <row r="226">
      <c r="O226" t="n">
        <v>225</v>
      </c>
      <c r="P226" t="inlineStr">
        <is>
          <t>24/04/2026</t>
        </is>
      </c>
      <c r="Q226" t="inlineStr">
        <is>
          <t>CN</t>
        </is>
      </c>
      <c r="R226" t="n">
        <v>439</v>
      </c>
      <c r="S226" t="n">
        <v>469</v>
      </c>
      <c r="T226" t="n">
        <v>529</v>
      </c>
    </row>
    <row r="227">
      <c r="O227" t="n">
        <v>226</v>
      </c>
      <c r="P227" t="inlineStr">
        <is>
          <t>24/04/2026</t>
        </is>
      </c>
      <c r="Q227" t="inlineStr">
        <is>
          <t>CD</t>
        </is>
      </c>
      <c r="R227" t="n">
        <v>548</v>
      </c>
      <c r="S227" t="n">
        <v>571</v>
      </c>
      <c r="T227" t="n">
        <v>316</v>
      </c>
    </row>
    <row r="228">
      <c r="O228" t="n">
        <v>227</v>
      </c>
      <c r="P228" t="inlineStr">
        <is>
          <t>25/04/2026</t>
        </is>
      </c>
      <c r="Q228" t="inlineStr">
        <is>
          <t>CN</t>
        </is>
      </c>
      <c r="R228" t="n">
        <v>204</v>
      </c>
      <c r="S228" t="n">
        <v>280</v>
      </c>
      <c r="T228" t="n">
        <v>954</v>
      </c>
    </row>
    <row r="229">
      <c r="O229" t="n">
        <v>228</v>
      </c>
      <c r="P229" t="inlineStr">
        <is>
          <t>25/04/2026</t>
        </is>
      </c>
      <c r="Q229" t="inlineStr">
        <is>
          <t>CD</t>
        </is>
      </c>
      <c r="R229" t="n">
        <v>254</v>
      </c>
      <c r="S229" t="n">
        <v>209</v>
      </c>
      <c r="T229" t="n">
        <v>970</v>
      </c>
    </row>
    <row r="230">
      <c r="O230" t="n">
        <v>229</v>
      </c>
      <c r="P230" t="inlineStr">
        <is>
          <t>26/04/2026</t>
        </is>
      </c>
      <c r="Q230" t="inlineStr">
        <is>
          <t>CN</t>
        </is>
      </c>
      <c r="R230" t="n">
        <v>0</v>
      </c>
      <c r="S230" t="n">
        <v>0</v>
      </c>
      <c r="T230" t="n">
        <v>1440</v>
      </c>
    </row>
    <row r="231">
      <c r="O231" t="n">
        <v>230</v>
      </c>
      <c r="P231" t="inlineStr">
        <is>
          <t>26/04/2026</t>
        </is>
      </c>
      <c r="Q231" t="inlineStr">
        <is>
          <t>CD</t>
        </is>
      </c>
      <c r="R231" t="n">
        <v>0</v>
      </c>
      <c r="S231" t="n">
        <v>0</v>
      </c>
      <c r="T231" t="n">
        <v>1440</v>
      </c>
    </row>
    <row r="232">
      <c r="O232" t="n">
        <v>231</v>
      </c>
      <c r="P232" t="inlineStr">
        <is>
          <t>27/04/2026</t>
        </is>
      </c>
      <c r="Q232" t="inlineStr">
        <is>
          <t>CN</t>
        </is>
      </c>
      <c r="R232" t="n">
        <v>357</v>
      </c>
      <c r="S232" t="n">
        <v>544</v>
      </c>
      <c r="T232" t="n">
        <v>537</v>
      </c>
    </row>
    <row r="233">
      <c r="O233" t="n">
        <v>232</v>
      </c>
      <c r="P233" t="inlineStr">
        <is>
          <t>27/04/2026</t>
        </is>
      </c>
      <c r="Q233" t="inlineStr">
        <is>
          <t>CD</t>
        </is>
      </c>
      <c r="R233" t="n">
        <v>271</v>
      </c>
      <c r="S233" t="n">
        <v>373</v>
      </c>
      <c r="T233" t="n">
        <v>794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T233"/>
  <sheetViews>
    <sheetView topLeftCell="E22" workbookViewId="0">
      <selection activeCell="I2" sqref="I2:J75"/>
    </sheetView>
  </sheetViews>
  <sheetFormatPr baseColWidth="8" defaultRowHeight="14.75"/>
  <cols>
    <col width="3" bestFit="1" customWidth="1" min="1" max="1"/>
    <col width="10.86328125" bestFit="1" customWidth="1" min="2" max="3"/>
    <col width="34.08984375" bestFit="1" customWidth="1" min="4" max="4"/>
    <col width="30.54296875" bestFit="1" customWidth="1" min="5" max="5"/>
    <col width="22.6796875" bestFit="1" customWidth="1" min="6" max="6"/>
    <col width="11.6796875" bestFit="1" customWidth="1" min="9" max="10"/>
    <col width="8.31640625" bestFit="1" customWidth="1" min="11" max="11"/>
    <col width="11.54296875" bestFit="1" customWidth="1" min="12" max="12"/>
    <col width="10" bestFit="1" customWidth="1" min="13" max="13"/>
  </cols>
  <sheetData>
    <row r="1" customFormat="1" s="2">
      <c r="A1" s="3" t="inlineStr">
        <is>
          <t>ID</t>
        </is>
      </c>
      <c r="B1" s="3" t="inlineStr">
        <is>
          <t>Ngày tháng</t>
        </is>
      </c>
      <c r="C1" s="3" t="inlineStr">
        <is>
          <t>Ca làm việc</t>
        </is>
      </c>
      <c r="D1" s="3" t="inlineStr">
        <is>
          <t>Thời gian hoạt động không tải (phút)</t>
        </is>
      </c>
      <c r="E1" s="3" t="inlineStr">
        <is>
          <t>Thời gian hoạt động có tải (phút)</t>
        </is>
      </c>
      <c r="F1" s="3" t="inlineStr">
        <is>
          <t>Thời gian tắt máy (phút)</t>
        </is>
      </c>
      <c r="H1" s="3" t="inlineStr">
        <is>
          <t>Ngày - Ca</t>
        </is>
      </c>
      <c r="I1" s="3" t="inlineStr">
        <is>
          <t>Mục Tiêu C1</t>
        </is>
      </c>
      <c r="J1" s="3" t="inlineStr">
        <is>
          <t>Mục Tiêu C2</t>
        </is>
      </c>
      <c r="K1" s="3" t="inlineStr">
        <is>
          <t>% Có Tải</t>
        </is>
      </c>
      <c r="L1" s="3" t="inlineStr">
        <is>
          <t>% Không Tải</t>
        </is>
      </c>
      <c r="M1" s="3" t="inlineStr">
        <is>
          <t>% Tắt Máy</t>
        </is>
      </c>
    </row>
    <row r="2">
      <c r="A2" t="n">
        <v>1</v>
      </c>
      <c r="B2" t="inlineStr">
        <is>
          <t>01/04/2026</t>
        </is>
      </c>
      <c r="C2" t="inlineStr">
        <is>
          <t>CN</t>
        </is>
      </c>
      <c r="D2" t="n">
        <v>424</v>
      </c>
      <c r="E2" t="n">
        <v>807</v>
      </c>
      <c r="F2" t="n">
        <v>206</v>
      </c>
      <c r="H2" t="inlineStr">
        <is>
          <t>T1</t>
        </is>
      </c>
      <c r="I2" s="1" t="n">
        <v>0.65</v>
      </c>
      <c r="J2" s="1" t="n">
        <v>0.8</v>
      </c>
      <c r="K2" s="1">
        <f>IFERROR(SUMIFS(S:S,P:P,"*/01/2026")/(SUMIFS(R:R,P:P,"*/01/2026")+SUMIFS(S:S,P:P,"*/01/2026")+SUMIFS(T:T,P:P,"*/01/2026")),"")</f>
        <v/>
      </c>
      <c r="L2" s="1">
        <f>IFERROR(SUMIFS(R:R,P:P,"*/01/2026")/(SUMIFS(R:R,P:P,"*/01/2026")+SUMIFS(S:S,P:P,"*/01/2026")+SUMIFS(T:T,P:P,"*/01/2026")),"")</f>
        <v/>
      </c>
      <c r="M2" s="1">
        <f>IFERROR(SUMIFS(T:T,P:P,"*/01/2026")/(SUMIFS(R:R,P:P,"*/01/2026")+SUMIFS(S:S,P:P,"*/01/2026")+SUMIFS(T:T,P:P,"*/01/2026")),"")</f>
        <v/>
      </c>
      <c r="O2" t="n">
        <v>1</v>
      </c>
      <c r="P2" t="inlineStr">
        <is>
          <t>01/01/2026</t>
        </is>
      </c>
      <c r="Q2" t="inlineStr">
        <is>
          <t>CN</t>
        </is>
      </c>
      <c r="R2" t="n">
        <v>0</v>
      </c>
      <c r="S2" t="n">
        <v>0</v>
      </c>
      <c r="T2" t="n">
        <v>1440</v>
      </c>
    </row>
    <row r="3">
      <c r="A3" t="n">
        <v>2</v>
      </c>
      <c r="B3" t="inlineStr">
        <is>
          <t>01/04/2026</t>
        </is>
      </c>
      <c r="C3" t="inlineStr">
        <is>
          <t>CD</t>
        </is>
      </c>
      <c r="D3" t="n">
        <v>294</v>
      </c>
      <c r="E3" t="n">
        <v>985</v>
      </c>
      <c r="F3" t="n">
        <v>156</v>
      </c>
      <c r="H3" t="inlineStr">
        <is>
          <t>T2</t>
        </is>
      </c>
      <c r="I3" s="1" t="n">
        <v>0.65</v>
      </c>
      <c r="J3" s="1" t="n">
        <v>0.8</v>
      </c>
      <c r="K3" s="1">
        <f>IFERROR(SUMIFS(S:S,P:P,"*/02/2026")/(SUMIFS(R:R,P:P,"*/02/2026")+SUMIFS(S:S,P:P,"*/02/2026")+SUMIFS(T:T,P:P,"*/02/2026")),"")</f>
        <v/>
      </c>
      <c r="L3" s="1">
        <f>IFERROR(SUMIFS(R:R,P:P,"*/02/2026")/(SUMIFS(R:R,P:P,"*/02/2026")+SUMIFS(S:S,P:P,"*/02/2026")+SUMIFS(T:T,P:P,"*/02/2026")),"")</f>
        <v/>
      </c>
      <c r="M3" s="1">
        <f>IFERROR(SUMIFS(T:T,P:P,"*/02/2026")/(SUMIFS(R:R,P:P,"*/02/2026")+SUMIFS(S:S,P:P,"*/02/2026")+SUMIFS(T:T,P:P,"*/02/2026")),"")</f>
        <v/>
      </c>
      <c r="O3" t="n">
        <v>2</v>
      </c>
      <c r="P3" t="inlineStr">
        <is>
          <t>01/01/2026</t>
        </is>
      </c>
      <c r="Q3" t="inlineStr">
        <is>
          <t>CD</t>
        </is>
      </c>
      <c r="R3" t="n">
        <v>57</v>
      </c>
      <c r="S3" t="n">
        <v>84</v>
      </c>
      <c r="T3" t="n">
        <v>1297</v>
      </c>
    </row>
    <row r="4">
      <c r="A4" t="n">
        <v>3</v>
      </c>
      <c r="B4" t="inlineStr">
        <is>
          <t>02/04/2026</t>
        </is>
      </c>
      <c r="C4" t="inlineStr">
        <is>
          <t>CN</t>
        </is>
      </c>
      <c r="D4" t="n">
        <v>408</v>
      </c>
      <c r="E4" t="n">
        <v>824</v>
      </c>
      <c r="F4" t="n">
        <v>205</v>
      </c>
      <c r="H4" t="inlineStr">
        <is>
          <t>T3</t>
        </is>
      </c>
      <c r="I4" s="1" t="n">
        <v>0.65</v>
      </c>
      <c r="J4" s="1" t="n">
        <v>0.8</v>
      </c>
      <c r="K4" s="1">
        <f>IFERROR(SUMIFS(S:S,P:P,"*/03/2026")/(SUMIFS(R:R,P:P,"*/03/2026")+SUMIFS(S:S,P:P,"*/03/2026")+SUMIFS(T:T,P:P,"*/03/2026")),"")</f>
        <v/>
      </c>
      <c r="L4" s="1">
        <f>IFERROR(SUMIFS(R:R,P:P,"*/03/2026")/(SUMIFS(R:R,P:P,"*/03/2026")+SUMIFS(S:S,P:P,"*/03/2026")+SUMIFS(T:T,P:P,"*/03/2026")),"")</f>
        <v/>
      </c>
      <c r="M4" s="1">
        <f>IFERROR(SUMIFS(T:T,P:P,"*/03/2026")/(SUMIFS(R:R,P:P,"*/03/2026")+SUMIFS(S:S,P:P,"*/03/2026")+SUMIFS(T:T,P:P,"*/03/2026")),"")</f>
        <v/>
      </c>
      <c r="O4" t="n">
        <v>3</v>
      </c>
      <c r="P4" t="inlineStr">
        <is>
          <t>02/01/2026</t>
        </is>
      </c>
      <c r="Q4" t="inlineStr">
        <is>
          <t>CN</t>
        </is>
      </c>
      <c r="R4" t="n">
        <v>471</v>
      </c>
      <c r="S4" t="n">
        <v>963</v>
      </c>
      <c r="T4" t="n">
        <v>0</v>
      </c>
    </row>
    <row r="5">
      <c r="A5" t="n">
        <v>4</v>
      </c>
      <c r="B5" t="inlineStr">
        <is>
          <t>02/04/2026</t>
        </is>
      </c>
      <c r="C5" t="inlineStr">
        <is>
          <t>CD</t>
        </is>
      </c>
      <c r="D5" t="n">
        <v>444</v>
      </c>
      <c r="E5" t="n">
        <v>834</v>
      </c>
      <c r="F5" t="n">
        <v>157</v>
      </c>
      <c r="H5" t="inlineStr">
        <is>
          <t>T4</t>
        </is>
      </c>
      <c r="I5" s="1" t="n">
        <v>0.65</v>
      </c>
      <c r="J5" s="1" t="n">
        <v>0.8</v>
      </c>
      <c r="K5" s="1">
        <f>IFERROR(SUMIFS(S:S,P:P,"*/04/2026")/(SUMIFS(R:R,P:P,"*/04/2026")+SUMIFS(S:S,P:P,"*/04/2026")+SUMIFS(T:T,P:P,"*/04/2026")),"")</f>
        <v/>
      </c>
      <c r="L5" s="1">
        <f>IFERROR(SUMIFS(R:R,P:P,"*/04/2026")/(SUMIFS(R:R,P:P,"*/04/2026")+SUMIFS(S:S,P:P,"*/04/2026")+SUMIFS(T:T,P:P,"*/04/2026")),"")</f>
        <v/>
      </c>
      <c r="M5" s="1">
        <f>IFERROR(SUMIFS(T:T,P:P,"*/04/2026")/(SUMIFS(R:R,P:P,"*/04/2026")+SUMIFS(S:S,P:P,"*/04/2026")+SUMIFS(T:T,P:P,"*/04/2026")),"")</f>
        <v/>
      </c>
      <c r="O5" t="n">
        <v>4</v>
      </c>
      <c r="P5" t="inlineStr">
        <is>
          <t>02/01/2026</t>
        </is>
      </c>
      <c r="Q5" t="inlineStr">
        <is>
          <t>CD</t>
        </is>
      </c>
      <c r="R5" t="n">
        <v>300</v>
      </c>
      <c r="S5" t="n">
        <v>420</v>
      </c>
      <c r="T5" t="n">
        <v>714</v>
      </c>
    </row>
    <row r="6">
      <c r="A6" t="n">
        <v>5</v>
      </c>
      <c r="B6" t="inlineStr">
        <is>
          <t>03/04/2026</t>
        </is>
      </c>
      <c r="C6" t="inlineStr">
        <is>
          <t>CN</t>
        </is>
      </c>
      <c r="D6" t="n">
        <v>452</v>
      </c>
      <c r="E6" t="n">
        <v>777</v>
      </c>
      <c r="F6" t="n">
        <v>207</v>
      </c>
      <c r="H6" t="inlineStr">
        <is>
          <t>T5</t>
        </is>
      </c>
      <c r="I6" s="1" t="n">
        <v>0.65</v>
      </c>
      <c r="J6" s="1" t="n">
        <v>0.8</v>
      </c>
      <c r="K6" s="1">
        <f>IFERROR(SUMIFS(S:S,P:P,"*/05/2026")/(SUMIFS(R:R,P:P,"*/05/2026")+SUMIFS(S:S,P:P,"*/05/2026")+SUMIFS(T:T,P:P,"*/05/2026")),"")</f>
        <v/>
      </c>
      <c r="L6" s="1">
        <f>IFERROR(SUMIFS(R:R,P:P,"*/05/2026")/(SUMIFS(R:R,P:P,"*/05/2026")+SUMIFS(S:S,P:P,"*/05/2026")+SUMIFS(T:T,P:P,"*/05/2026")),"")</f>
        <v/>
      </c>
      <c r="M6" s="1">
        <f>IFERROR(SUMIFS(T:T,P:P,"*/05/2026")/(SUMIFS(R:R,P:P,"*/05/2026")+SUMIFS(S:S,P:P,"*/05/2026")+SUMIFS(T:T,P:P,"*/05/2026")),"")</f>
        <v/>
      </c>
      <c r="O6" t="n">
        <v>5</v>
      </c>
      <c r="P6" t="inlineStr">
        <is>
          <t>03/01/2026</t>
        </is>
      </c>
      <c r="Q6" t="inlineStr">
        <is>
          <t>CD</t>
        </is>
      </c>
      <c r="R6" t="n">
        <v>433</v>
      </c>
      <c r="S6" t="n">
        <v>1584</v>
      </c>
      <c r="T6" t="n">
        <v>319</v>
      </c>
    </row>
    <row r="7">
      <c r="A7" t="n">
        <v>6</v>
      </c>
      <c r="B7" t="inlineStr">
        <is>
          <t>03/04/2026</t>
        </is>
      </c>
      <c r="C7" t="inlineStr">
        <is>
          <t>CD</t>
        </is>
      </c>
      <c r="D7" t="n">
        <v>451</v>
      </c>
      <c r="E7" t="n">
        <v>826</v>
      </c>
      <c r="F7" t="n">
        <v>158</v>
      </c>
      <c r="H7" t="inlineStr">
        <is>
          <t>T6</t>
        </is>
      </c>
      <c r="I7" s="1" t="n">
        <v>0.65</v>
      </c>
      <c r="J7" s="1" t="n">
        <v>0.8</v>
      </c>
      <c r="K7" s="1">
        <f>IFERROR(SUMIFS(S:S,P:P,"*/06/2026")/(SUMIFS(R:R,P:P,"*/06/2026")+SUMIFS(S:S,P:P,"*/06/2026")+SUMIFS(T:T,P:P,"*/06/2026")),"")</f>
        <v/>
      </c>
      <c r="L7" s="1">
        <f>IFERROR(SUMIFS(R:R,P:P,"*/06/2026")/(SUMIFS(R:R,P:P,"*/06/2026")+SUMIFS(S:S,P:P,"*/06/2026")+SUMIFS(T:T,P:P,"*/06/2026")),"")</f>
        <v/>
      </c>
      <c r="M7" s="1">
        <f>IFERROR(SUMIFS(T:T,P:P,"*/06/2026")/(SUMIFS(R:R,P:P,"*/06/2026")+SUMIFS(S:S,P:P,"*/06/2026")+SUMIFS(T:T,P:P,"*/06/2026")),"")</f>
        <v/>
      </c>
      <c r="O7" t="n">
        <v>6</v>
      </c>
      <c r="P7" t="inlineStr">
        <is>
          <t>04/01/2026</t>
        </is>
      </c>
      <c r="Q7" t="inlineStr">
        <is>
          <t>CN</t>
        </is>
      </c>
      <c r="R7" t="n">
        <v>0</v>
      </c>
      <c r="S7" t="n">
        <v>0</v>
      </c>
      <c r="T7" t="n">
        <v>1440</v>
      </c>
    </row>
    <row r="8">
      <c r="A8" t="n">
        <v>7</v>
      </c>
      <c r="B8" t="inlineStr">
        <is>
          <t>04/04/2026</t>
        </is>
      </c>
      <c r="C8" t="inlineStr">
        <is>
          <t>CN</t>
        </is>
      </c>
      <c r="D8" t="n">
        <v>488</v>
      </c>
      <c r="E8" t="n">
        <v>712</v>
      </c>
      <c r="F8" t="n">
        <v>236</v>
      </c>
      <c r="H8" t="inlineStr">
        <is>
          <t>T7</t>
        </is>
      </c>
      <c r="I8" s="1" t="n">
        <v>0.65</v>
      </c>
      <c r="J8" s="1" t="n">
        <v>0.8</v>
      </c>
      <c r="K8" s="1">
        <f>IFERROR(SUMIFS(S:S,P:P,"*/07/2026")/(SUMIFS(R:R,P:P,"*/07/2026")+SUMIFS(S:S,P:P,"*/07/2026")+SUMIFS(T:T,P:P,"*/07/2026")),"")</f>
        <v/>
      </c>
      <c r="L8" s="1">
        <f>IFERROR(SUMIFS(R:R,P:P,"*/07/2026")/(SUMIFS(R:R,P:P,"*/07/2026")+SUMIFS(S:S,P:P,"*/07/2026")+SUMIFS(T:T,P:P,"*/07/2026")),"")</f>
        <v/>
      </c>
      <c r="M8" s="1">
        <f>IFERROR(SUMIFS(T:T,P:P,"*/07/2026")/(SUMIFS(R:R,P:P,"*/07/2026")+SUMIFS(S:S,P:P,"*/07/2026")+SUMIFS(T:T,P:P,"*/07/2026")),"")</f>
        <v/>
      </c>
      <c r="O8" t="n">
        <v>7</v>
      </c>
      <c r="P8" t="inlineStr">
        <is>
          <t>04/01/2026</t>
        </is>
      </c>
      <c r="Q8" t="inlineStr">
        <is>
          <t>CD</t>
        </is>
      </c>
      <c r="R8" t="n">
        <v>0</v>
      </c>
      <c r="S8" t="n">
        <v>0</v>
      </c>
      <c r="T8" t="n">
        <v>1440</v>
      </c>
    </row>
    <row r="9">
      <c r="A9" t="n">
        <v>8</v>
      </c>
      <c r="B9" t="inlineStr">
        <is>
          <t>04/04/2026</t>
        </is>
      </c>
      <c r="C9" t="inlineStr">
        <is>
          <t>CD</t>
        </is>
      </c>
      <c r="D9" t="n">
        <v>418</v>
      </c>
      <c r="E9" t="n">
        <v>771</v>
      </c>
      <c r="F9" t="n">
        <v>248</v>
      </c>
      <c r="H9" t="inlineStr">
        <is>
          <t>T8</t>
        </is>
      </c>
      <c r="I9" s="1" t="n">
        <v>0.65</v>
      </c>
      <c r="J9" s="1" t="n">
        <v>0.8</v>
      </c>
      <c r="K9" s="1">
        <f>IFERROR(SUMIFS(S:S,P:P,"*/08/2026")/(SUMIFS(R:R,P:P,"*/08/2026")+SUMIFS(S:S,P:P,"*/08/2026")+SUMIFS(T:T,P:P,"*/08/2026")),"")</f>
        <v/>
      </c>
      <c r="L9" s="1">
        <f>IFERROR(SUMIFS(R:R,P:P,"*/08/2026")/(SUMIFS(R:R,P:P,"*/08/2026")+SUMIFS(S:S,P:P,"*/08/2026")+SUMIFS(T:T,P:P,"*/08/2026")),"")</f>
        <v/>
      </c>
      <c r="M9" s="1">
        <f>IFERROR(SUMIFS(T:T,P:P,"*/08/2026")/(SUMIFS(R:R,P:P,"*/08/2026")+SUMIFS(S:S,P:P,"*/08/2026")+SUMIFS(T:T,P:P,"*/08/2026")),"")</f>
        <v/>
      </c>
      <c r="O9" t="n">
        <v>8</v>
      </c>
      <c r="P9" t="inlineStr">
        <is>
          <t>05/01/2026</t>
        </is>
      </c>
      <c r="Q9" t="inlineStr">
        <is>
          <t>CN</t>
        </is>
      </c>
      <c r="R9" t="n">
        <v>333</v>
      </c>
      <c r="S9" t="n">
        <v>702</v>
      </c>
      <c r="T9" t="n">
        <v>400</v>
      </c>
    </row>
    <row r="10">
      <c r="A10" t="n">
        <v>9</v>
      </c>
      <c r="B10" t="inlineStr">
        <is>
          <t>05/04/2026</t>
        </is>
      </c>
      <c r="C10" t="inlineStr">
        <is>
          <t>CN</t>
        </is>
      </c>
      <c r="D10" t="n">
        <v>363</v>
      </c>
      <c r="E10" t="n">
        <v>833</v>
      </c>
      <c r="F10" t="n">
        <v>242</v>
      </c>
      <c r="H10" t="inlineStr">
        <is>
          <t>T9</t>
        </is>
      </c>
      <c r="I10" s="1" t="n">
        <v>0.65</v>
      </c>
      <c r="J10" s="1" t="n">
        <v>0.8</v>
      </c>
      <c r="K10" s="1">
        <f>IFERROR(SUMIFS(S:S,P:P,"*/09/2026")/(SUMIFS(R:R,P:P,"*/09/2026")+SUMIFS(S:S,P:P,"*/09/2026")+SUMIFS(T:T,P:P,"*/09/2026")),"")</f>
        <v/>
      </c>
      <c r="L10" s="1">
        <f>IFERROR(SUMIFS(R:R,P:P,"*/09/2026")/(SUMIFS(R:R,P:P,"*/09/2026")+SUMIFS(S:S,P:P,"*/09/2026")+SUMIFS(T:T,P:P,"*/09/2026")),"")</f>
        <v/>
      </c>
      <c r="M10" s="1">
        <f>IFERROR(SUMIFS(T:T,P:P,"*/09/2026")/(SUMIFS(R:R,P:P,"*/09/2026")+SUMIFS(S:S,P:P,"*/09/2026")+SUMIFS(T:T,P:P,"*/09/2026")),"")</f>
        <v/>
      </c>
      <c r="O10" t="n">
        <v>9</v>
      </c>
      <c r="P10" t="inlineStr">
        <is>
          <t>05/01/2026</t>
        </is>
      </c>
      <c r="Q10" t="inlineStr">
        <is>
          <t>CD</t>
        </is>
      </c>
      <c r="R10" t="n">
        <v>291</v>
      </c>
      <c r="S10" t="n">
        <v>824</v>
      </c>
      <c r="T10" t="n">
        <v>304</v>
      </c>
    </row>
    <row r="11">
      <c r="A11" t="n">
        <v>10</v>
      </c>
      <c r="B11" t="inlineStr">
        <is>
          <t>05/04/2026</t>
        </is>
      </c>
      <c r="C11" t="inlineStr">
        <is>
          <t>CD</t>
        </is>
      </c>
      <c r="D11" t="n">
        <v>0</v>
      </c>
      <c r="E11" t="n">
        <v>0</v>
      </c>
      <c r="F11" t="n">
        <v>1440</v>
      </c>
      <c r="H11" t="inlineStr">
        <is>
          <t>T10</t>
        </is>
      </c>
      <c r="I11" s="1" t="n">
        <v>0.65</v>
      </c>
      <c r="J11" s="1" t="n">
        <v>0.8</v>
      </c>
      <c r="K11" s="1">
        <f>IFERROR(SUMIFS(S:S,P:P,"*/10/2026")/(SUMIFS(R:R,P:P,"*/10/2026")+SUMIFS(S:S,P:P,"*/10/2026")+SUMIFS(T:T,P:P,"*/10/2026")),"")</f>
        <v/>
      </c>
      <c r="L11" s="1">
        <f>IFERROR(SUMIFS(R:R,P:P,"*/10/2026")/(SUMIFS(R:R,P:P,"*/10/2026")+SUMIFS(S:S,P:P,"*/10/2026")+SUMIFS(T:T,P:P,"*/10/2026")),"")</f>
        <v/>
      </c>
      <c r="M11" s="1">
        <f>IFERROR(SUMIFS(T:T,P:P,"*/10/2026")/(SUMIFS(R:R,P:P,"*/10/2026")+SUMIFS(S:S,P:P,"*/10/2026")+SUMIFS(T:T,P:P,"*/10/2026")),"")</f>
        <v/>
      </c>
      <c r="O11" t="n">
        <v>10</v>
      </c>
      <c r="P11" t="inlineStr">
        <is>
          <t>06/01/2026</t>
        </is>
      </c>
      <c r="Q11" t="inlineStr">
        <is>
          <t>CN</t>
        </is>
      </c>
      <c r="R11" t="n">
        <v>217</v>
      </c>
      <c r="S11" t="n">
        <v>804</v>
      </c>
      <c r="T11" t="n">
        <v>414</v>
      </c>
    </row>
    <row r="12">
      <c r="A12" t="n">
        <v>11</v>
      </c>
      <c r="B12" t="inlineStr">
        <is>
          <t>06/04/2026</t>
        </is>
      </c>
      <c r="C12" t="inlineStr">
        <is>
          <t>CN</t>
        </is>
      </c>
      <c r="D12" t="n">
        <v>330</v>
      </c>
      <c r="E12" t="n">
        <v>694</v>
      </c>
      <c r="F12" t="n">
        <v>412</v>
      </c>
      <c r="H12" t="inlineStr">
        <is>
          <t>T11</t>
        </is>
      </c>
      <c r="I12" s="1" t="n">
        <v>0.65</v>
      </c>
      <c r="J12" s="1" t="n">
        <v>0.8</v>
      </c>
      <c r="K12" s="1">
        <f>IFERROR(SUMIFS(S:S,P:P,"*/11/2026")/(SUMIFS(R:R,P:P,"*/11/2026")+SUMIFS(S:S,P:P,"*/11/2026")+SUMIFS(T:T,P:P,"*/11/2026")),"")</f>
        <v/>
      </c>
      <c r="L12" s="1">
        <f>IFERROR(SUMIFS(R:R,P:P,"*/11/2026")/(SUMIFS(R:R,P:P,"*/11/2026")+SUMIFS(S:S,P:P,"*/11/2026")+SUMIFS(T:T,P:P,"*/11/2026")),"")</f>
        <v/>
      </c>
      <c r="M12" s="1">
        <f>IFERROR(SUMIFS(T:T,P:P,"*/11/2026")/(SUMIFS(R:R,P:P,"*/11/2026")+SUMIFS(S:S,P:P,"*/11/2026")+SUMIFS(T:T,P:P,"*/11/2026")),"")</f>
        <v/>
      </c>
      <c r="O12" t="n">
        <v>11</v>
      </c>
      <c r="P12" t="inlineStr">
        <is>
          <t>06/01/2026</t>
        </is>
      </c>
      <c r="Q12" t="inlineStr">
        <is>
          <t>CD</t>
        </is>
      </c>
      <c r="R12" t="n">
        <v>283</v>
      </c>
      <c r="S12" t="n">
        <v>850</v>
      </c>
      <c r="T12" t="n">
        <v>303</v>
      </c>
    </row>
    <row r="13">
      <c r="A13" t="n">
        <v>12</v>
      </c>
      <c r="B13" t="inlineStr">
        <is>
          <t>06/04/2026</t>
        </is>
      </c>
      <c r="C13" t="inlineStr">
        <is>
          <t>CD</t>
        </is>
      </c>
      <c r="D13" t="n">
        <v>348</v>
      </c>
      <c r="E13" t="n">
        <v>777</v>
      </c>
      <c r="F13" t="n">
        <v>309</v>
      </c>
      <c r="H13" t="inlineStr">
        <is>
          <t>T12</t>
        </is>
      </c>
      <c r="I13" s="1" t="n">
        <v>0.65</v>
      </c>
      <c r="J13" s="1" t="n">
        <v>0.8</v>
      </c>
      <c r="K13" s="1">
        <f>IFERROR(SUMIFS(S:S,P:P,"*/12/2026")/(SUMIFS(R:R,P:P,"*/12/2026")+SUMIFS(S:S,P:P,"*/12/2026")+SUMIFS(T:T,P:P,"*/12/2026")),"")</f>
        <v/>
      </c>
      <c r="L13" s="1">
        <f>IFERROR(SUMIFS(R:R,P:P,"*/12/2026")/(SUMIFS(R:R,P:P,"*/12/2026")+SUMIFS(S:S,P:P,"*/12/2026")+SUMIFS(T:T,P:P,"*/12/2026")),"")</f>
        <v/>
      </c>
      <c r="M13" s="1">
        <f>IFERROR(SUMIFS(T:T,P:P,"*/12/2026")/(SUMIFS(R:R,P:P,"*/12/2026")+SUMIFS(S:S,P:P,"*/12/2026")+SUMIFS(T:T,P:P,"*/12/2026")),"")</f>
        <v/>
      </c>
      <c r="O13" t="n">
        <v>12</v>
      </c>
      <c r="P13" t="inlineStr">
        <is>
          <t>07/01/2026</t>
        </is>
      </c>
      <c r="Q13" t="inlineStr">
        <is>
          <t>CN</t>
        </is>
      </c>
      <c r="R13" t="n">
        <v>81</v>
      </c>
      <c r="S13" t="n">
        <v>181</v>
      </c>
      <c r="T13" t="n">
        <v>1178</v>
      </c>
    </row>
    <row r="14">
      <c r="A14" t="n">
        <v>13</v>
      </c>
      <c r="B14" t="inlineStr">
        <is>
          <t>07/04/2026</t>
        </is>
      </c>
      <c r="C14" t="inlineStr">
        <is>
          <t>CN</t>
        </is>
      </c>
      <c r="D14" t="n">
        <v>239</v>
      </c>
      <c r="E14" t="n">
        <v>790</v>
      </c>
      <c r="F14" t="n">
        <v>407</v>
      </c>
      <c r="H14">
        <f>IF(B2="","",TEXT(B2,"dd/mm")&amp; "-" &amp;IF(UPPER(TRIM(C2))="CN",1,IF(UPPER(TRIM(C2))="CD",2,"")))</f>
        <v/>
      </c>
      <c r="I14" s="1" t="n">
        <v>0.65</v>
      </c>
      <c r="J14" s="1" t="n">
        <v>0.8</v>
      </c>
      <c r="K14" s="1">
        <f>IFERROR($E2/SUM($D2:$F2),"")</f>
        <v/>
      </c>
      <c r="L14" s="1">
        <f>IFERROR($D2/SUM($D2:$F2),"")</f>
        <v/>
      </c>
      <c r="M14" s="1">
        <f>IFERROR($F2/SUM($D2:$F2),"")</f>
        <v/>
      </c>
      <c r="O14" t="n">
        <v>13</v>
      </c>
      <c r="P14" t="inlineStr">
        <is>
          <t>07/01/2026</t>
        </is>
      </c>
      <c r="Q14" t="inlineStr">
        <is>
          <t>CD</t>
        </is>
      </c>
      <c r="R14" t="n">
        <v>0</v>
      </c>
      <c r="S14" t="n">
        <v>0</v>
      </c>
      <c r="T14" t="n">
        <v>1440</v>
      </c>
    </row>
    <row r="15">
      <c r="A15" t="n">
        <v>14</v>
      </c>
      <c r="B15" t="inlineStr">
        <is>
          <t>07/04/2026</t>
        </is>
      </c>
      <c r="C15" t="inlineStr">
        <is>
          <t>CD</t>
        </is>
      </c>
      <c r="D15" t="n">
        <v>314</v>
      </c>
      <c r="E15" t="n">
        <v>809</v>
      </c>
      <c r="F15" t="n">
        <v>308</v>
      </c>
      <c r="H15">
        <f>IF(B3="","",TEXT(B3,"dd/mm") &amp; "-" &amp; IF(UPPER(TRIM(C3))="CN",1,IF(UPPER(TRIM(C3))="CD",2,"")))</f>
        <v/>
      </c>
      <c r="I15" s="1" t="n">
        <v>0.65</v>
      </c>
      <c r="J15" s="1" t="n">
        <v>0.8</v>
      </c>
      <c r="K15" s="1">
        <f>IFERROR($E3/SUM($D3:$F3),"")</f>
        <v/>
      </c>
      <c r="L15" s="1">
        <f>IFERROR($D3/SUM($D3:$F3),"")</f>
        <v/>
      </c>
      <c r="M15" s="1">
        <f>IFERROR($F3/SUM($D3:$F3),"")</f>
        <v/>
      </c>
      <c r="O15" t="n">
        <v>14</v>
      </c>
      <c r="P15" t="inlineStr">
        <is>
          <t>08/01/2026</t>
        </is>
      </c>
      <c r="Q15" t="inlineStr">
        <is>
          <t>CN</t>
        </is>
      </c>
      <c r="R15" t="n">
        <v>401</v>
      </c>
      <c r="S15" t="n">
        <v>618</v>
      </c>
      <c r="T15" t="n">
        <v>418</v>
      </c>
    </row>
    <row r="16">
      <c r="A16" t="n">
        <v>15</v>
      </c>
      <c r="B16" t="inlineStr">
        <is>
          <t>08/04/2026</t>
        </is>
      </c>
      <c r="C16" t="inlineStr">
        <is>
          <t>CN</t>
        </is>
      </c>
      <c r="D16" t="n">
        <v>294</v>
      </c>
      <c r="E16" t="n">
        <v>736</v>
      </c>
      <c r="F16" t="n">
        <v>406</v>
      </c>
      <c r="H16">
        <f>IF(B4="","",TEXT(B4,"dd/mm") &amp; "-" &amp; IF(UPPER(TRIM(C4))="CN",1,IF(UPPER(TRIM(C4))="CD",2,"")))</f>
        <v/>
      </c>
      <c r="I16" s="1" t="n">
        <v>0.65</v>
      </c>
      <c r="J16" s="1" t="n">
        <v>0.8</v>
      </c>
      <c r="K16" s="1">
        <f>IFERROR($E4/SUM($D4:$F4),"")</f>
        <v/>
      </c>
      <c r="L16" s="1">
        <f>IFERROR($D4/SUM($D4:$F4),"")</f>
        <v/>
      </c>
      <c r="M16" s="1">
        <f>IFERROR($F4/SUM($D4:$F4),"")</f>
        <v/>
      </c>
      <c r="O16" t="n">
        <v>15</v>
      </c>
      <c r="P16" t="inlineStr">
        <is>
          <t>08/01/2026</t>
        </is>
      </c>
      <c r="Q16" t="inlineStr">
        <is>
          <t>CD</t>
        </is>
      </c>
      <c r="R16" t="n">
        <v>413</v>
      </c>
      <c r="S16" t="n">
        <v>722</v>
      </c>
      <c r="T16" t="n">
        <v>300</v>
      </c>
    </row>
    <row r="17">
      <c r="A17" t="n">
        <v>16</v>
      </c>
      <c r="B17" t="inlineStr">
        <is>
          <t>08/04/2026</t>
        </is>
      </c>
      <c r="C17" t="inlineStr">
        <is>
          <t>CD</t>
        </is>
      </c>
      <c r="D17" t="n">
        <v>118</v>
      </c>
      <c r="E17" t="n">
        <v>1010</v>
      </c>
      <c r="F17" t="n">
        <v>309</v>
      </c>
      <c r="H17">
        <f>IF(B5="","",TEXT(B5,"dd/mm") &amp; "-" &amp; IF(UPPER(TRIM(C5))="CN",1,IF(UPPER(TRIM(C5))="CD",2,"")))</f>
        <v/>
      </c>
      <c r="I17" s="1" t="n">
        <v>0.65</v>
      </c>
      <c r="J17" s="1" t="n">
        <v>0.8</v>
      </c>
      <c r="K17" s="1">
        <f>IFERROR($E5/SUM($D5:$F5),"")</f>
        <v/>
      </c>
      <c r="L17" s="1">
        <f>IFERROR($D5/SUM($D5:$F5),"")</f>
        <v/>
      </c>
      <c r="M17" s="1">
        <f>IFERROR($F5/SUM($D5:$F5),"")</f>
        <v/>
      </c>
      <c r="O17" t="n">
        <v>16</v>
      </c>
      <c r="P17" t="inlineStr">
        <is>
          <t>09/01/2026</t>
        </is>
      </c>
      <c r="Q17" t="inlineStr">
        <is>
          <t>CN</t>
        </is>
      </c>
      <c r="R17" t="n">
        <v>478</v>
      </c>
      <c r="S17" t="n">
        <v>540</v>
      </c>
      <c r="T17" t="n">
        <v>417</v>
      </c>
    </row>
    <row r="18">
      <c r="A18" t="n">
        <v>17</v>
      </c>
      <c r="B18" t="inlineStr">
        <is>
          <t>09/04/2026</t>
        </is>
      </c>
      <c r="C18" t="inlineStr">
        <is>
          <t>CN</t>
        </is>
      </c>
      <c r="D18" t="n">
        <v>238</v>
      </c>
      <c r="E18" t="n">
        <v>792</v>
      </c>
      <c r="F18" t="n">
        <v>406</v>
      </c>
      <c r="H18">
        <f>IF(B6="","",TEXT(B6,"dd/mm") &amp; "-" &amp; IF(UPPER(TRIM(C6))="CN",1,IF(UPPER(TRIM(C6))="CD",2,"")))</f>
        <v/>
      </c>
      <c r="I18" s="1" t="n">
        <v>0.65</v>
      </c>
      <c r="J18" s="1" t="n">
        <v>0.8</v>
      </c>
      <c r="K18" s="1">
        <f>IFERROR($E6/SUM($D6:$F6),"")</f>
        <v/>
      </c>
      <c r="L18" s="1">
        <f>IFERROR($D6/SUM($D6:$F6),"")</f>
        <v/>
      </c>
      <c r="M18" s="1">
        <f>IFERROR($F6/SUM($D6:$F6),"")</f>
        <v/>
      </c>
      <c r="O18" t="n">
        <v>17</v>
      </c>
      <c r="P18" t="inlineStr">
        <is>
          <t>09/01/2026</t>
        </is>
      </c>
      <c r="Q18" t="inlineStr">
        <is>
          <t>CD</t>
        </is>
      </c>
      <c r="R18" t="n">
        <v>326</v>
      </c>
      <c r="S18" t="n">
        <v>799</v>
      </c>
      <c r="T18" t="n">
        <v>310</v>
      </c>
    </row>
    <row r="19">
      <c r="A19" t="n">
        <v>18</v>
      </c>
      <c r="B19" t="inlineStr">
        <is>
          <t>09/04/2026</t>
        </is>
      </c>
      <c r="C19" t="inlineStr">
        <is>
          <t>CD</t>
        </is>
      </c>
      <c r="D19" t="n">
        <v>218</v>
      </c>
      <c r="E19" t="n">
        <v>909</v>
      </c>
      <c r="F19" t="n">
        <v>309</v>
      </c>
      <c r="H19">
        <f>IF(B7="","",TEXT(B7,"dd/mm") &amp; "-" &amp; IF(UPPER(TRIM(C7))="CN",1,IF(UPPER(TRIM(C7))="CD",2,"")))</f>
        <v/>
      </c>
      <c r="I19" s="1" t="n">
        <v>0.65</v>
      </c>
      <c r="J19" s="1" t="n">
        <v>0.8</v>
      </c>
      <c r="K19" s="1">
        <f>IFERROR($E7/SUM($D7:$F7),"")</f>
        <v/>
      </c>
      <c r="L19" s="1">
        <f>IFERROR($D7/SUM($D7:$F7),"")</f>
        <v/>
      </c>
      <c r="M19" s="1">
        <f>IFERROR($F7/SUM($D7:$F7),"")</f>
        <v/>
      </c>
      <c r="O19" t="n">
        <v>18</v>
      </c>
      <c r="P19" t="inlineStr">
        <is>
          <t>10/01/2026</t>
        </is>
      </c>
      <c r="Q19" t="inlineStr">
        <is>
          <t>CN</t>
        </is>
      </c>
      <c r="R19" t="n">
        <v>159</v>
      </c>
      <c r="S19" t="n">
        <v>795</v>
      </c>
      <c r="T19" t="n">
        <v>480</v>
      </c>
    </row>
    <row r="20">
      <c r="A20" t="n">
        <v>19</v>
      </c>
      <c r="B20" t="inlineStr">
        <is>
          <t>10/04/2026</t>
        </is>
      </c>
      <c r="C20" t="inlineStr">
        <is>
          <t>CN</t>
        </is>
      </c>
      <c r="D20" t="n">
        <v>281</v>
      </c>
      <c r="E20" t="n">
        <v>751</v>
      </c>
      <c r="F20" t="n">
        <v>403</v>
      </c>
      <c r="H20">
        <f>IF(B8="","",TEXT(B8,"dd/mm") &amp; "-" &amp; IF(UPPER(TRIM(C8))="CN",1,IF(UPPER(TRIM(C8))="CD",2,"")))</f>
        <v/>
      </c>
      <c r="I20" s="1" t="n">
        <v>0.65</v>
      </c>
      <c r="J20" s="1" t="n">
        <v>0.8</v>
      </c>
      <c r="K20" s="1">
        <f>IFERROR($E8/SUM($D8:$F8),"")</f>
        <v/>
      </c>
      <c r="L20" s="1">
        <f>IFERROR($D8/SUM($D8:$F8),"")</f>
        <v/>
      </c>
      <c r="M20" s="1">
        <f>IFERROR($F8/SUM($D8:$F8),"")</f>
        <v/>
      </c>
      <c r="O20" t="n">
        <v>19</v>
      </c>
      <c r="P20" t="inlineStr">
        <is>
          <t>10/01/2026</t>
        </is>
      </c>
      <c r="Q20" t="inlineStr">
        <is>
          <t>CD</t>
        </is>
      </c>
      <c r="R20" t="n">
        <v>0</v>
      </c>
      <c r="S20" t="n">
        <v>0</v>
      </c>
      <c r="T20" t="n">
        <v>1440</v>
      </c>
    </row>
    <row r="21">
      <c r="A21" t="n">
        <v>20</v>
      </c>
      <c r="B21" t="inlineStr">
        <is>
          <t>10/04/2026</t>
        </is>
      </c>
      <c r="C21" t="inlineStr">
        <is>
          <t>CD</t>
        </is>
      </c>
      <c r="D21" t="n">
        <v>230</v>
      </c>
      <c r="E21" t="n">
        <v>898</v>
      </c>
      <c r="F21" t="n">
        <v>306</v>
      </c>
      <c r="H21">
        <f>IF(B9="","",TEXT(B9,"dd/mm") &amp; "-" &amp; IF(UPPER(TRIM(C9))="CN",1,IF(UPPER(TRIM(C9))="CD",2,"")))</f>
        <v/>
      </c>
      <c r="I21" s="1" t="n">
        <v>0.65</v>
      </c>
      <c r="J21" s="1" t="n">
        <v>0.8</v>
      </c>
      <c r="K21" s="1">
        <f>IFERROR($E9/SUM($D9:$F9),"")</f>
        <v/>
      </c>
      <c r="L21" s="1">
        <f>IFERROR($D9/SUM($D9:$F9),"")</f>
        <v/>
      </c>
      <c r="M21" s="1">
        <f>IFERROR($F9/SUM($D9:$F9),"")</f>
        <v/>
      </c>
      <c r="O21" t="n">
        <v>20</v>
      </c>
      <c r="P21" t="inlineStr">
        <is>
          <t>11/01/2026</t>
        </is>
      </c>
      <c r="Q21" t="inlineStr">
        <is>
          <t>CN</t>
        </is>
      </c>
      <c r="R21" t="n">
        <v>0</v>
      </c>
      <c r="S21" t="n">
        <v>0</v>
      </c>
      <c r="T21" t="n">
        <v>1440</v>
      </c>
    </row>
    <row r="22">
      <c r="A22" t="n">
        <v>21</v>
      </c>
      <c r="B22" t="inlineStr">
        <is>
          <t>11/04/2026</t>
        </is>
      </c>
      <c r="C22" t="inlineStr">
        <is>
          <t>CN</t>
        </is>
      </c>
      <c r="D22" t="n">
        <v>268</v>
      </c>
      <c r="E22" t="n">
        <v>699</v>
      </c>
      <c r="F22" t="n">
        <v>466</v>
      </c>
      <c r="H22">
        <f>IF(B10="","",TEXT(B10,"dd/mm") &amp; "-" &amp; IF(UPPER(TRIM(C10))="CN",1,IF(UPPER(TRIM(C10))="CD",2,"")))</f>
        <v/>
      </c>
      <c r="I22" s="1" t="n">
        <v>0.65</v>
      </c>
      <c r="J22" s="1" t="n">
        <v>0.8</v>
      </c>
      <c r="K22" s="1">
        <f>IFERROR($E10/SUM($D10:$F10),"")</f>
        <v/>
      </c>
      <c r="L22" s="1">
        <f>IFERROR($D10/SUM($D10:$F10),"")</f>
        <v/>
      </c>
      <c r="M22" s="1">
        <f>IFERROR($F10/SUM($D10:$F10),"")</f>
        <v/>
      </c>
      <c r="O22" t="n">
        <v>21</v>
      </c>
      <c r="P22" t="inlineStr">
        <is>
          <t>11/01/2026</t>
        </is>
      </c>
      <c r="Q22" t="inlineStr">
        <is>
          <t>CD</t>
        </is>
      </c>
      <c r="R22" t="n">
        <v>0</v>
      </c>
      <c r="S22" t="n">
        <v>0</v>
      </c>
      <c r="T22" t="n">
        <v>1440</v>
      </c>
    </row>
    <row r="23">
      <c r="A23" t="n">
        <v>22</v>
      </c>
      <c r="B23" t="inlineStr">
        <is>
          <t>11/04/2026</t>
        </is>
      </c>
      <c r="C23" t="inlineStr">
        <is>
          <t>CD</t>
        </is>
      </c>
      <c r="D23" t="n">
        <v>219</v>
      </c>
      <c r="E23" t="n">
        <v>728</v>
      </c>
      <c r="F23" t="n">
        <v>490</v>
      </c>
      <c r="H23">
        <f>IF(B11="","",TEXT(B11,"dd/mm") &amp; "-" &amp; IF(UPPER(TRIM(C11))="CN",1,IF(UPPER(TRIM(C11))="CD",2,"")))</f>
        <v/>
      </c>
      <c r="I23" s="1" t="n">
        <v>0.65</v>
      </c>
      <c r="J23" s="1" t="n">
        <v>0.8</v>
      </c>
      <c r="K23" s="1">
        <f>IFERROR($E11/SUM($D11:$F11),"")</f>
        <v/>
      </c>
      <c r="L23" s="1">
        <f>IFERROR($D11/SUM($D11:$F11),"")</f>
        <v/>
      </c>
      <c r="M23" s="1">
        <f>IFERROR($F11/SUM($D11:$F11),"")</f>
        <v/>
      </c>
      <c r="O23" t="n">
        <v>22</v>
      </c>
      <c r="P23" t="inlineStr">
        <is>
          <t>12/01/2026</t>
        </is>
      </c>
      <c r="Q23" t="inlineStr">
        <is>
          <t>CN</t>
        </is>
      </c>
      <c r="R23" t="n">
        <v>168</v>
      </c>
      <c r="S23" t="n">
        <v>853</v>
      </c>
      <c r="T23" t="n">
        <v>414</v>
      </c>
    </row>
    <row r="24">
      <c r="A24" t="n">
        <v>23</v>
      </c>
      <c r="B24" t="inlineStr">
        <is>
          <t>12/04/2026</t>
        </is>
      </c>
      <c r="C24" t="inlineStr">
        <is>
          <t>CN</t>
        </is>
      </c>
      <c r="D24" t="n">
        <v>376</v>
      </c>
      <c r="E24" t="n">
        <v>584</v>
      </c>
      <c r="F24" t="n">
        <v>476</v>
      </c>
      <c r="H24">
        <f>IF(B12="","",TEXT(B12,"dd/mm") &amp; "-" &amp; IF(UPPER(TRIM(C12))="CN",1,IF(UPPER(TRIM(C12))="CD",2,"")))</f>
        <v/>
      </c>
      <c r="I24" s="1" t="n">
        <v>0.65</v>
      </c>
      <c r="J24" s="1" t="n">
        <v>0.8</v>
      </c>
      <c r="K24" s="1">
        <f>IFERROR($E12/SUM($D12:$F12),"")</f>
        <v/>
      </c>
      <c r="L24" s="1">
        <f>IFERROR($D12/SUM($D12:$F12),"")</f>
        <v/>
      </c>
      <c r="M24" s="1">
        <f>IFERROR($F12/SUM($D12:$F12),"")</f>
        <v/>
      </c>
      <c r="O24" t="n">
        <v>23</v>
      </c>
      <c r="P24" t="inlineStr">
        <is>
          <t>12/01/2026</t>
        </is>
      </c>
      <c r="Q24" t="inlineStr">
        <is>
          <t>CD</t>
        </is>
      </c>
      <c r="R24" t="n">
        <v>202</v>
      </c>
      <c r="S24" t="n">
        <v>927</v>
      </c>
      <c r="T24" t="n">
        <v>303</v>
      </c>
    </row>
    <row r="25">
      <c r="A25" t="n">
        <v>24</v>
      </c>
      <c r="B25" t="inlineStr">
        <is>
          <t>12/04/2026</t>
        </is>
      </c>
      <c r="C25" t="inlineStr">
        <is>
          <t>CD</t>
        </is>
      </c>
      <c r="D25" t="n">
        <v>0</v>
      </c>
      <c r="E25" t="n">
        <v>0</v>
      </c>
      <c r="F25" t="n">
        <v>1440</v>
      </c>
      <c r="H25">
        <f>IF(B13="","",TEXT(B13,"dd/mm") &amp; "-" &amp; IF(UPPER(TRIM(C13))="CN",1,IF(UPPER(TRIM(C13))="CD",2,"")))</f>
        <v/>
      </c>
      <c r="I25" s="1" t="n">
        <v>0.65</v>
      </c>
      <c r="J25" s="1" t="n">
        <v>0.8</v>
      </c>
      <c r="K25" s="1">
        <f>IFERROR($E13/SUM($D13:$F13),"")</f>
        <v/>
      </c>
      <c r="L25" s="1">
        <f>IFERROR($D13/SUM($D13:$F13),"")</f>
        <v/>
      </c>
      <c r="M25" s="1">
        <f>IFERROR($F13/SUM($D13:$F13),"")</f>
        <v/>
      </c>
      <c r="O25" t="n">
        <v>24</v>
      </c>
      <c r="P25" t="inlineStr">
        <is>
          <t>13/01/2026</t>
        </is>
      </c>
      <c r="Q25" t="inlineStr">
        <is>
          <t>CN</t>
        </is>
      </c>
      <c r="R25" t="n">
        <v>416</v>
      </c>
      <c r="S25" t="n">
        <v>605</v>
      </c>
      <c r="T25" t="n">
        <v>413</v>
      </c>
    </row>
    <row r="26">
      <c r="A26" t="n">
        <v>25</v>
      </c>
      <c r="B26" t="inlineStr">
        <is>
          <t>13/04/2026</t>
        </is>
      </c>
      <c r="C26" t="inlineStr">
        <is>
          <t>CN</t>
        </is>
      </c>
      <c r="D26" t="n">
        <v>342</v>
      </c>
      <c r="E26" t="n">
        <v>685</v>
      </c>
      <c r="F26" t="n">
        <v>408</v>
      </c>
      <c r="H26">
        <f>IF(B14="","",TEXT(B14,"dd/mm") &amp; "-" &amp; IF(UPPER(TRIM(C14))="CN",1,IF(UPPER(TRIM(C14))="CD",2,"")))</f>
        <v/>
      </c>
      <c r="I26" s="1" t="n">
        <v>0.65</v>
      </c>
      <c r="J26" s="1" t="n">
        <v>0.8</v>
      </c>
      <c r="K26" s="1">
        <f>IFERROR($E14/SUM($D14:$F14),"")</f>
        <v/>
      </c>
      <c r="L26" s="1">
        <f>IFERROR($D14/SUM($D14:$F14),"")</f>
        <v/>
      </c>
      <c r="M26" s="1">
        <f>IFERROR($F14/SUM($D14:$F14),"")</f>
        <v/>
      </c>
      <c r="O26" t="n">
        <v>25</v>
      </c>
      <c r="P26" t="inlineStr">
        <is>
          <t>13/01/2026</t>
        </is>
      </c>
      <c r="Q26" t="inlineStr">
        <is>
          <t>CD</t>
        </is>
      </c>
      <c r="R26" t="n">
        <v>187</v>
      </c>
      <c r="S26" t="n">
        <v>943</v>
      </c>
      <c r="T26" t="n">
        <v>306</v>
      </c>
    </row>
    <row r="27">
      <c r="A27" t="n">
        <v>26</v>
      </c>
      <c r="B27" t="inlineStr">
        <is>
          <t>13/04/2026</t>
        </is>
      </c>
      <c r="C27" t="inlineStr">
        <is>
          <t>CD</t>
        </is>
      </c>
      <c r="D27" t="n">
        <v>357</v>
      </c>
      <c r="E27" t="n">
        <v>924</v>
      </c>
      <c r="F27" t="n">
        <v>155</v>
      </c>
      <c r="H27">
        <f>IF(B15="","",TEXT(B15,"dd/mm") &amp; "-" &amp; IF(UPPER(TRIM(C15))="CN",1,IF(UPPER(TRIM(C15))="CD",2,"")))</f>
        <v/>
      </c>
      <c r="I27" s="1" t="n">
        <v>0.65</v>
      </c>
      <c r="J27" s="1" t="n">
        <v>0.8</v>
      </c>
      <c r="K27" s="1">
        <f>IFERROR($E15/SUM($D15:$F15),"")</f>
        <v/>
      </c>
      <c r="L27" s="1">
        <f>IFERROR($D15/SUM($D15:$F15),"")</f>
        <v/>
      </c>
      <c r="M27" s="1">
        <f>IFERROR($F15/SUM($D15:$F15),"")</f>
        <v/>
      </c>
      <c r="O27" t="n">
        <v>26</v>
      </c>
      <c r="P27" t="inlineStr">
        <is>
          <t>14/01/2026</t>
        </is>
      </c>
      <c r="Q27" t="inlineStr">
        <is>
          <t>CN</t>
        </is>
      </c>
      <c r="R27" t="n">
        <v>344</v>
      </c>
      <c r="S27" t="n">
        <v>678</v>
      </c>
      <c r="T27" t="n">
        <v>413</v>
      </c>
    </row>
    <row r="28">
      <c r="A28" t="n">
        <v>27</v>
      </c>
      <c r="B28" t="inlineStr">
        <is>
          <t>14/04/2026</t>
        </is>
      </c>
      <c r="C28" t="inlineStr">
        <is>
          <t>CN</t>
        </is>
      </c>
      <c r="D28" t="n">
        <v>398</v>
      </c>
      <c r="E28" t="n">
        <v>835</v>
      </c>
      <c r="F28" t="n">
        <v>203</v>
      </c>
      <c r="H28">
        <f>IF(B16="","",TEXT(B16,"dd/mm") &amp; "-" &amp; IF(UPPER(TRIM(C16))="CN",1,IF(UPPER(TRIM(C16))="CD",2,"")))</f>
        <v/>
      </c>
      <c r="I28" s="1" t="n">
        <v>0.65</v>
      </c>
      <c r="J28" s="1" t="n">
        <v>0.8</v>
      </c>
      <c r="K28" s="1">
        <f>IFERROR($E16/SUM($D16:$F16),"")</f>
        <v/>
      </c>
      <c r="L28" s="1">
        <f>IFERROR($D16/SUM($D16:$F16),"")</f>
        <v/>
      </c>
      <c r="M28" s="1">
        <f>IFERROR($F16/SUM($D16:$F16),"")</f>
        <v/>
      </c>
      <c r="O28" t="n">
        <v>27</v>
      </c>
      <c r="P28" t="inlineStr">
        <is>
          <t>14/01/2026</t>
        </is>
      </c>
      <c r="Q28" t="inlineStr">
        <is>
          <t>CD</t>
        </is>
      </c>
      <c r="R28" t="n">
        <v>249</v>
      </c>
      <c r="S28" t="n">
        <v>884</v>
      </c>
      <c r="T28" t="n">
        <v>301</v>
      </c>
    </row>
    <row r="29">
      <c r="A29" t="n">
        <v>28</v>
      </c>
      <c r="B29" t="inlineStr">
        <is>
          <t>14/04/2026</t>
        </is>
      </c>
      <c r="C29" t="inlineStr">
        <is>
          <t>CD</t>
        </is>
      </c>
      <c r="D29" t="n">
        <v>278</v>
      </c>
      <c r="E29" t="n">
        <v>1002</v>
      </c>
      <c r="F29" t="n">
        <v>156</v>
      </c>
      <c r="H29">
        <f>IF(B17="","",TEXT(B17,"dd/mm") &amp; "-" &amp; IF(UPPER(TRIM(C17))="CN",1,IF(UPPER(TRIM(C17))="CD",2,"")))</f>
        <v/>
      </c>
      <c r="I29" s="1" t="n">
        <v>0.65</v>
      </c>
      <c r="J29" s="1" t="n">
        <v>0.8</v>
      </c>
      <c r="K29" s="1">
        <f>IFERROR($E17/SUM($D17:$F17),"")</f>
        <v/>
      </c>
      <c r="L29" s="1">
        <f>IFERROR($D17/SUM($D17:$F17),"")</f>
        <v/>
      </c>
      <c r="M29" s="1">
        <f>IFERROR($F17/SUM($D17:$F17),"")</f>
        <v/>
      </c>
      <c r="O29" t="n">
        <v>28</v>
      </c>
      <c r="P29" t="inlineStr">
        <is>
          <t>15/01/2026</t>
        </is>
      </c>
      <c r="Q29" t="inlineStr">
        <is>
          <t>CN</t>
        </is>
      </c>
      <c r="R29" t="n">
        <v>408</v>
      </c>
      <c r="S29" t="n">
        <v>615</v>
      </c>
      <c r="T29" t="n">
        <v>412</v>
      </c>
    </row>
    <row r="30">
      <c r="A30" t="n">
        <v>29</v>
      </c>
      <c r="B30" t="inlineStr">
        <is>
          <t>15/04/2026</t>
        </is>
      </c>
      <c r="C30" t="inlineStr">
        <is>
          <t>CN</t>
        </is>
      </c>
      <c r="D30" t="n">
        <v>353</v>
      </c>
      <c r="E30" t="n">
        <v>879</v>
      </c>
      <c r="F30" t="n">
        <v>203</v>
      </c>
      <c r="H30">
        <f>IF(B18="","",TEXT(B18,"dd/mm") &amp; "-" &amp; IF(UPPER(TRIM(C18))="CN",1,IF(UPPER(TRIM(C18))="CD",2,"")))</f>
        <v/>
      </c>
      <c r="I30" s="1" t="n">
        <v>0.65</v>
      </c>
      <c r="J30" s="1" t="n">
        <v>0.8</v>
      </c>
      <c r="K30" s="1">
        <f>IFERROR($E18/SUM($D18:$F18),"")</f>
        <v/>
      </c>
      <c r="L30" s="1">
        <f>IFERROR($D18/SUM($D18:$F18),"")</f>
        <v/>
      </c>
      <c r="M30" s="1">
        <f>IFERROR($F18/SUM($D18:$F18),"")</f>
        <v/>
      </c>
      <c r="O30" t="n">
        <v>29</v>
      </c>
      <c r="P30" t="inlineStr">
        <is>
          <t>15/01/2026</t>
        </is>
      </c>
      <c r="Q30" t="inlineStr">
        <is>
          <t>CD</t>
        </is>
      </c>
      <c r="R30" t="n">
        <v>227</v>
      </c>
      <c r="S30" t="n">
        <v>905</v>
      </c>
      <c r="T30" t="n">
        <v>300</v>
      </c>
    </row>
    <row r="31">
      <c r="A31" t="n">
        <v>30</v>
      </c>
      <c r="B31" t="inlineStr">
        <is>
          <t>15/04/2026</t>
        </is>
      </c>
      <c r="C31" t="inlineStr">
        <is>
          <t>CD</t>
        </is>
      </c>
      <c r="D31" t="n">
        <v>211</v>
      </c>
      <c r="E31" t="n">
        <v>1066</v>
      </c>
      <c r="F31" t="n">
        <v>159</v>
      </c>
      <c r="H31">
        <f>IF(B19="","",TEXT(B19,"dd/mm") &amp; "-" &amp; IF(UPPER(TRIM(C19))="CN",1,IF(UPPER(TRIM(C19))="CD",2,"")))</f>
        <v/>
      </c>
      <c r="I31" s="1" t="n">
        <v>0.65</v>
      </c>
      <c r="J31" s="1" t="n">
        <v>0.8</v>
      </c>
      <c r="K31" s="1">
        <f>IFERROR($E19/SUM($D19:$F19),"")</f>
        <v/>
      </c>
      <c r="L31" s="1">
        <f>IFERROR($D19/SUM($D19:$F19),"")</f>
        <v/>
      </c>
      <c r="M31" s="1">
        <f>IFERROR($F19/SUM($D19:$F19),"")</f>
        <v/>
      </c>
      <c r="O31" t="n">
        <v>30</v>
      </c>
      <c r="P31" t="inlineStr">
        <is>
          <t>16/01/2026</t>
        </is>
      </c>
      <c r="Q31" t="inlineStr">
        <is>
          <t>CN</t>
        </is>
      </c>
      <c r="R31" t="n">
        <v>335</v>
      </c>
      <c r="S31" t="n">
        <v>684</v>
      </c>
      <c r="T31" t="n">
        <v>416</v>
      </c>
    </row>
    <row r="32">
      <c r="A32" t="n">
        <v>31</v>
      </c>
      <c r="B32" t="inlineStr">
        <is>
          <t>16/04/2026</t>
        </is>
      </c>
      <c r="C32" t="inlineStr">
        <is>
          <t>CN</t>
        </is>
      </c>
      <c r="D32" t="n">
        <v>363</v>
      </c>
      <c r="E32" t="n">
        <v>866</v>
      </c>
      <c r="F32" t="n">
        <v>205</v>
      </c>
      <c r="H32">
        <f>IF(B20="","",TEXT(B20,"dd/mm") &amp; "-" &amp; IF(UPPER(TRIM(C20))="CN",1,IF(UPPER(TRIM(C20))="CD",2,"")))</f>
        <v/>
      </c>
      <c r="I32" s="1" t="n">
        <v>0.65</v>
      </c>
      <c r="J32" s="1" t="n">
        <v>0.8</v>
      </c>
      <c r="K32" s="1">
        <f>IFERROR($E20/SUM($D20:$F20),"")</f>
        <v/>
      </c>
      <c r="L32" s="1">
        <f>IFERROR($D20/SUM($D20:$F20),"")</f>
        <v/>
      </c>
      <c r="M32" s="1">
        <f>IFERROR($F20/SUM($D20:$F20),"")</f>
        <v/>
      </c>
      <c r="O32" t="n">
        <v>31</v>
      </c>
      <c r="P32" t="inlineStr">
        <is>
          <t>16/01/2026</t>
        </is>
      </c>
      <c r="Q32" t="inlineStr">
        <is>
          <t>CD</t>
        </is>
      </c>
      <c r="R32" t="n">
        <v>218</v>
      </c>
      <c r="S32" t="n">
        <v>796</v>
      </c>
      <c r="T32" t="n">
        <v>422</v>
      </c>
    </row>
    <row r="33">
      <c r="A33" t="n">
        <v>32</v>
      </c>
      <c r="B33" t="inlineStr">
        <is>
          <t>16/04/2026</t>
        </is>
      </c>
      <c r="C33" t="inlineStr">
        <is>
          <t>CD</t>
        </is>
      </c>
      <c r="D33" t="n">
        <v>255</v>
      </c>
      <c r="E33" t="n">
        <v>1022</v>
      </c>
      <c r="F33" t="n">
        <v>156</v>
      </c>
      <c r="H33">
        <f>IF(B21="","",TEXT(B21,"dd/mm") &amp; "-" &amp; IF(UPPER(TRIM(C21))="CN",1,IF(UPPER(TRIM(C21))="CD",2,"")))</f>
        <v/>
      </c>
      <c r="I33" s="1" t="n">
        <v>0.65</v>
      </c>
      <c r="J33" s="1" t="n">
        <v>0.8</v>
      </c>
      <c r="K33" s="1">
        <f>IFERROR($E21/SUM($D21:$F21),"")</f>
        <v/>
      </c>
      <c r="L33" s="1">
        <f>IFERROR($D21/SUM($D21:$F21),"")</f>
        <v/>
      </c>
      <c r="M33" s="1">
        <f>IFERROR($F21/SUM($D21:$F21),"")</f>
        <v/>
      </c>
      <c r="O33" t="n">
        <v>32</v>
      </c>
      <c r="P33" t="inlineStr">
        <is>
          <t>17/01/2026</t>
        </is>
      </c>
      <c r="Q33" t="inlineStr">
        <is>
          <t>CN</t>
        </is>
      </c>
      <c r="R33" t="n">
        <v>306</v>
      </c>
      <c r="S33" t="n">
        <v>715</v>
      </c>
      <c r="T33" t="n">
        <v>413</v>
      </c>
    </row>
    <row r="34">
      <c r="A34" t="n">
        <v>33</v>
      </c>
      <c r="B34" t="inlineStr">
        <is>
          <t>17/04/2026</t>
        </is>
      </c>
      <c r="C34" t="inlineStr">
        <is>
          <t>CN</t>
        </is>
      </c>
      <c r="D34" t="n">
        <v>398</v>
      </c>
      <c r="E34" t="n">
        <v>832</v>
      </c>
      <c r="F34" t="n">
        <v>205</v>
      </c>
      <c r="H34">
        <f>IF(B22="","",TEXT(B22,"dd/mm") &amp; "-" &amp; IF(UPPER(TRIM(C22))="CN",1,IF(UPPER(TRIM(C22))="CD",2,"")))</f>
        <v/>
      </c>
      <c r="I34" s="1" t="n">
        <v>0.65</v>
      </c>
      <c r="J34" s="1" t="n">
        <v>0.8</v>
      </c>
      <c r="K34" s="1">
        <f>IFERROR($E22/SUM($D22:$F22),"")</f>
        <v/>
      </c>
      <c r="L34" s="1">
        <f>IFERROR($D22/SUM($D22:$F22),"")</f>
        <v/>
      </c>
      <c r="M34" s="1">
        <f>IFERROR($F22/SUM($D22:$F22),"")</f>
        <v/>
      </c>
      <c r="O34" t="n">
        <v>33</v>
      </c>
      <c r="P34" t="inlineStr">
        <is>
          <t>17/01/2026</t>
        </is>
      </c>
      <c r="Q34" t="inlineStr">
        <is>
          <t>CD</t>
        </is>
      </c>
      <c r="R34" t="n">
        <v>73</v>
      </c>
      <c r="S34" t="n">
        <v>882</v>
      </c>
      <c r="T34" t="n">
        <v>483</v>
      </c>
    </row>
    <row r="35">
      <c r="A35" t="n">
        <v>34</v>
      </c>
      <c r="B35" t="inlineStr">
        <is>
          <t>17/04/2026</t>
        </is>
      </c>
      <c r="C35" t="inlineStr">
        <is>
          <t>CD</t>
        </is>
      </c>
      <c r="D35" t="n">
        <v>277</v>
      </c>
      <c r="E35" t="n">
        <v>1002</v>
      </c>
      <c r="F35" t="n">
        <v>156</v>
      </c>
      <c r="H35">
        <f>IF(B23="","",TEXT(B23,"dd/mm") &amp; "-" &amp; IF(UPPER(TRIM(C23))="CN",1,IF(UPPER(TRIM(C23))="CD",2,"")))</f>
        <v/>
      </c>
      <c r="I35" s="1" t="n">
        <v>0.65</v>
      </c>
      <c r="J35" s="1" t="n">
        <v>0.8</v>
      </c>
      <c r="K35" s="1">
        <f>IFERROR($E23/SUM($D23:$F23),"")</f>
        <v/>
      </c>
      <c r="L35" s="1">
        <f>IFERROR($D23/SUM($D23:$F23),"")</f>
        <v/>
      </c>
      <c r="M35" s="1">
        <f>IFERROR($F23/SUM($D23:$F23),"")</f>
        <v/>
      </c>
      <c r="O35" t="n">
        <v>34</v>
      </c>
      <c r="P35" t="inlineStr">
        <is>
          <t>18/01/2026</t>
        </is>
      </c>
      <c r="Q35" t="inlineStr">
        <is>
          <t>CN</t>
        </is>
      </c>
      <c r="R35" t="n">
        <v>258</v>
      </c>
      <c r="S35" t="n">
        <v>537</v>
      </c>
      <c r="T35" t="n">
        <v>641</v>
      </c>
    </row>
    <row r="36">
      <c r="A36" t="n">
        <v>35</v>
      </c>
      <c r="B36" t="inlineStr">
        <is>
          <t>18/04/2026</t>
        </is>
      </c>
      <c r="C36" t="inlineStr">
        <is>
          <t>CN</t>
        </is>
      </c>
      <c r="D36" t="n">
        <v>290</v>
      </c>
      <c r="E36" t="n">
        <v>913</v>
      </c>
      <c r="F36" t="n">
        <v>234</v>
      </c>
      <c r="H36">
        <f>IF(B24="","",TEXT(B24,"dd/mm") &amp; "-" &amp; IF(UPPER(TRIM(C24))="CN",1,IF(UPPER(TRIM(C24))="CD",2,"")))</f>
        <v/>
      </c>
      <c r="I36" s="1" t="n">
        <v>0.65</v>
      </c>
      <c r="J36" s="1" t="n">
        <v>0.8</v>
      </c>
      <c r="K36" s="1">
        <f>IFERROR($E24/SUM($D24:$F24),"")</f>
        <v/>
      </c>
      <c r="L36" s="1">
        <f>IFERROR($D24/SUM($D24:$F24),"")</f>
        <v/>
      </c>
      <c r="M36" s="1">
        <f>IFERROR($F24/SUM($D24:$F24),"")</f>
        <v/>
      </c>
      <c r="O36" t="n">
        <v>35</v>
      </c>
      <c r="P36" t="inlineStr">
        <is>
          <t>18/01/2026</t>
        </is>
      </c>
      <c r="Q36" t="inlineStr">
        <is>
          <t>CD</t>
        </is>
      </c>
      <c r="R36" t="n">
        <v>42</v>
      </c>
      <c r="S36" t="n">
        <v>126</v>
      </c>
      <c r="T36" t="n">
        <v>1270</v>
      </c>
    </row>
    <row r="37">
      <c r="A37" t="n">
        <v>36</v>
      </c>
      <c r="B37" t="inlineStr">
        <is>
          <t>18/04/2026</t>
        </is>
      </c>
      <c r="C37" t="inlineStr">
        <is>
          <t>CD</t>
        </is>
      </c>
      <c r="D37" t="n">
        <v>160</v>
      </c>
      <c r="E37" t="n">
        <v>1027</v>
      </c>
      <c r="F37" t="n">
        <v>249</v>
      </c>
      <c r="H37">
        <f>IF(B25="","",TEXT(B25,"dd/mm") &amp; "-" &amp; IF(UPPER(TRIM(C25))="CN",1,IF(UPPER(TRIM(C25))="CD",2,"")))</f>
        <v/>
      </c>
      <c r="I37" s="1" t="n">
        <v>0.65</v>
      </c>
      <c r="J37" s="1" t="n">
        <v>0.8</v>
      </c>
      <c r="K37" s="1">
        <f>IFERROR($E25/SUM($D25:$F25),"")</f>
        <v/>
      </c>
      <c r="L37" s="1">
        <f>IFERROR($D25/SUM($D25:$F25),"")</f>
        <v/>
      </c>
      <c r="M37" s="1">
        <f>IFERROR($F25/SUM($D25:$F25),"")</f>
        <v/>
      </c>
      <c r="O37" t="n">
        <v>36</v>
      </c>
      <c r="P37" t="inlineStr">
        <is>
          <t>19/01/2026</t>
        </is>
      </c>
      <c r="Q37" t="inlineStr">
        <is>
          <t>CN</t>
        </is>
      </c>
      <c r="R37" t="n">
        <v>198</v>
      </c>
      <c r="S37" t="n">
        <v>821</v>
      </c>
      <c r="T37" t="n">
        <v>417</v>
      </c>
    </row>
    <row r="38">
      <c r="A38" t="n">
        <v>37</v>
      </c>
      <c r="B38" t="inlineStr">
        <is>
          <t>19/04/2026</t>
        </is>
      </c>
      <c r="C38" t="inlineStr">
        <is>
          <t>CN</t>
        </is>
      </c>
      <c r="D38" t="n">
        <v>366</v>
      </c>
      <c r="E38" t="n">
        <v>825</v>
      </c>
      <c r="F38" t="n">
        <v>245</v>
      </c>
      <c r="H38">
        <f>IF(B26="","",TEXT(B26,"dd/mm") &amp; "-" &amp; IF(UPPER(TRIM(C26))="CN",1,IF(UPPER(TRIM(C26))="CD",2,"")))</f>
        <v/>
      </c>
      <c r="I38" s="1" t="n">
        <v>0.65</v>
      </c>
      <c r="J38" s="1" t="n">
        <v>0.8</v>
      </c>
      <c r="K38" s="1">
        <f>IFERROR($E26/SUM($D26:$F26),"")</f>
        <v/>
      </c>
      <c r="L38" s="1">
        <f>IFERROR($D26/SUM($D26:$F26),"")</f>
        <v/>
      </c>
      <c r="M38" s="1">
        <f>IFERROR($F26/SUM($D26:$F26),"")</f>
        <v/>
      </c>
      <c r="O38" t="n">
        <v>37</v>
      </c>
      <c r="P38" t="inlineStr">
        <is>
          <t>19/01/2026</t>
        </is>
      </c>
      <c r="Q38" t="inlineStr">
        <is>
          <t>CD</t>
        </is>
      </c>
      <c r="R38" t="n">
        <v>322</v>
      </c>
      <c r="S38" t="n">
        <v>960</v>
      </c>
      <c r="T38" t="n">
        <v>154</v>
      </c>
    </row>
    <row r="39">
      <c r="A39" t="n">
        <v>38</v>
      </c>
      <c r="B39" t="inlineStr">
        <is>
          <t>19/04/2026</t>
        </is>
      </c>
      <c r="C39" t="inlineStr">
        <is>
          <t>CD</t>
        </is>
      </c>
      <c r="D39" t="n">
        <v>0</v>
      </c>
      <c r="E39" t="n">
        <v>0</v>
      </c>
      <c r="F39" t="n">
        <v>1441</v>
      </c>
      <c r="H39">
        <f>IF(B27="","",TEXT(B27,"dd/mm") &amp; "-" &amp; IF(UPPER(TRIM(C27))="CN",1,IF(UPPER(TRIM(C27))="CD",2,"")))</f>
        <v/>
      </c>
      <c r="I39" s="1" t="n">
        <v>0.65</v>
      </c>
      <c r="J39" s="1" t="n">
        <v>0.8</v>
      </c>
      <c r="K39" s="1">
        <f>IFERROR($E27/SUM($D27:$F27),"")</f>
        <v/>
      </c>
      <c r="L39" s="1">
        <f>IFERROR($D27/SUM($D27:$F27),"")</f>
        <v/>
      </c>
      <c r="M39" s="1">
        <f>IFERROR($F27/SUM($D27:$F27),"")</f>
        <v/>
      </c>
      <c r="O39" t="n">
        <v>38</v>
      </c>
      <c r="P39" t="inlineStr">
        <is>
          <t>20/01/2026</t>
        </is>
      </c>
      <c r="Q39" t="inlineStr">
        <is>
          <t>CN</t>
        </is>
      </c>
      <c r="R39" t="n">
        <v>301</v>
      </c>
      <c r="S39" t="n">
        <v>928</v>
      </c>
      <c r="T39" t="n">
        <v>208</v>
      </c>
    </row>
    <row r="40">
      <c r="A40" t="n">
        <v>39</v>
      </c>
      <c r="B40" t="inlineStr">
        <is>
          <t>20/04/2026</t>
        </is>
      </c>
      <c r="C40" t="inlineStr">
        <is>
          <t>CN</t>
        </is>
      </c>
      <c r="D40" t="n">
        <v>236</v>
      </c>
      <c r="E40" t="n">
        <v>796</v>
      </c>
      <c r="F40" t="n">
        <v>405</v>
      </c>
      <c r="H40">
        <f>IF(B28="","",TEXT(B28,"dd/mm") &amp; "-" &amp; IF(UPPER(TRIM(C28))="CN",1,IF(UPPER(TRIM(C28))="CD",2,"")))</f>
        <v/>
      </c>
      <c r="I40" s="1" t="n">
        <v>0.65</v>
      </c>
      <c r="J40" s="1" t="n">
        <v>0.8</v>
      </c>
      <c r="K40" s="1">
        <f>IFERROR($E28/SUM($D28:$F28),"")</f>
        <v/>
      </c>
      <c r="L40" s="1">
        <f>IFERROR($D28/SUM($D28:$F28),"")</f>
        <v/>
      </c>
      <c r="M40" s="1">
        <f>IFERROR($F28/SUM($D28:$F28),"")</f>
        <v/>
      </c>
      <c r="O40" t="n">
        <v>39</v>
      </c>
      <c r="P40" t="inlineStr">
        <is>
          <t>20/01/2026</t>
        </is>
      </c>
      <c r="Q40" t="inlineStr">
        <is>
          <t>CD</t>
        </is>
      </c>
      <c r="R40" t="n">
        <v>304</v>
      </c>
      <c r="S40" t="n">
        <v>1134</v>
      </c>
      <c r="T40" t="n">
        <v>0</v>
      </c>
    </row>
    <row r="41">
      <c r="A41" t="n">
        <v>40</v>
      </c>
      <c r="B41" t="inlineStr">
        <is>
          <t>20/04/2026</t>
        </is>
      </c>
      <c r="C41" t="inlineStr">
        <is>
          <t>CD</t>
        </is>
      </c>
      <c r="D41" t="n">
        <v>173</v>
      </c>
      <c r="E41" t="n">
        <v>1106</v>
      </c>
      <c r="F41" t="n">
        <v>156</v>
      </c>
      <c r="H41">
        <f>IF(B29="","",TEXT(B29,"dd/mm") &amp; "-" &amp; IF(UPPER(TRIM(C29))="CN",1,IF(UPPER(TRIM(C29))="CD",2,"")))</f>
        <v/>
      </c>
      <c r="I41" s="1" t="n">
        <v>0.65</v>
      </c>
      <c r="J41" s="1" t="n">
        <v>0.8</v>
      </c>
      <c r="K41" s="1">
        <f>IFERROR($E29/SUM($D29:$F29),"")</f>
        <v/>
      </c>
      <c r="L41" s="1">
        <f>IFERROR($D29/SUM($D29:$F29),"")</f>
        <v/>
      </c>
      <c r="M41" s="1">
        <f>IFERROR($F29/SUM($D29:$F29),"")</f>
        <v/>
      </c>
      <c r="O41" t="n">
        <v>40</v>
      </c>
      <c r="P41" t="inlineStr">
        <is>
          <t>21/01/2026</t>
        </is>
      </c>
      <c r="Q41" t="inlineStr">
        <is>
          <t>CN</t>
        </is>
      </c>
      <c r="R41" t="n">
        <v>487</v>
      </c>
      <c r="S41" t="n">
        <v>951</v>
      </c>
      <c r="T41" t="n">
        <v>0</v>
      </c>
    </row>
    <row r="42">
      <c r="A42" t="n">
        <v>41</v>
      </c>
      <c r="B42" t="inlineStr">
        <is>
          <t>21/04/2026</t>
        </is>
      </c>
      <c r="C42" t="inlineStr">
        <is>
          <t>CN</t>
        </is>
      </c>
      <c r="D42" t="n">
        <v>212</v>
      </c>
      <c r="E42" t="n">
        <v>1019</v>
      </c>
      <c r="F42" t="n">
        <v>204</v>
      </c>
      <c r="H42">
        <f>IF(B30="","",TEXT(B30,"dd/mm") &amp; "-" &amp; IF(UPPER(TRIM(C30))="CN",1,IF(UPPER(TRIM(C30))="CD",2,"")))</f>
        <v/>
      </c>
      <c r="I42" s="1" t="n">
        <v>0.65</v>
      </c>
      <c r="J42" s="1" t="n">
        <v>0.8</v>
      </c>
      <c r="K42" s="1">
        <f>IFERROR($E30/SUM($D30:$F30),"")</f>
        <v/>
      </c>
      <c r="L42" s="1">
        <f>IFERROR($D30/SUM($D30:$F30),"")</f>
        <v/>
      </c>
      <c r="M42" s="1">
        <f>IFERROR($F30/SUM($D30:$F30),"")</f>
        <v/>
      </c>
      <c r="O42" t="n">
        <v>41</v>
      </c>
      <c r="P42" t="inlineStr">
        <is>
          <t>21/01/2026</t>
        </is>
      </c>
      <c r="Q42" t="inlineStr">
        <is>
          <t>CD</t>
        </is>
      </c>
      <c r="R42" t="n">
        <v>170</v>
      </c>
      <c r="S42" t="n">
        <v>1267</v>
      </c>
      <c r="T42" t="n">
        <v>0</v>
      </c>
    </row>
    <row r="43">
      <c r="A43" t="n">
        <v>42</v>
      </c>
      <c r="B43" t="inlineStr">
        <is>
          <t>21/04/2026</t>
        </is>
      </c>
      <c r="C43" t="inlineStr">
        <is>
          <t>CD</t>
        </is>
      </c>
      <c r="D43" t="n">
        <v>161</v>
      </c>
      <c r="E43" t="n">
        <v>966</v>
      </c>
      <c r="F43" t="n">
        <v>308</v>
      </c>
      <c r="H43">
        <f>IF(B31="","",TEXT(B31,"dd/mm") &amp; "-" &amp; IF(UPPER(TRIM(C31))="CN",1,IF(UPPER(TRIM(C31))="CD",2,"")))</f>
        <v/>
      </c>
      <c r="I43" s="1" t="n">
        <v>0.65</v>
      </c>
      <c r="J43" s="1" t="n">
        <v>0.8</v>
      </c>
      <c r="K43" s="1">
        <f>IFERROR($E31/SUM($D31:$F31),"")</f>
        <v/>
      </c>
      <c r="L43" s="1">
        <f>IFERROR($D31/SUM($D31:$F31),"")</f>
        <v/>
      </c>
      <c r="M43" s="1">
        <f>IFERROR($F31/SUM($D31:$F31),"")</f>
        <v/>
      </c>
      <c r="O43" t="n">
        <v>42</v>
      </c>
      <c r="P43" t="inlineStr">
        <is>
          <t>22/01/2026</t>
        </is>
      </c>
      <c r="Q43" t="inlineStr">
        <is>
          <t>CN</t>
        </is>
      </c>
      <c r="R43" t="n">
        <v>466</v>
      </c>
      <c r="S43" t="n">
        <v>972</v>
      </c>
      <c r="T43" t="n">
        <v>0</v>
      </c>
    </row>
    <row r="44">
      <c r="A44" t="n">
        <v>43</v>
      </c>
      <c r="B44" t="inlineStr">
        <is>
          <t>22/04/2026</t>
        </is>
      </c>
      <c r="C44" t="inlineStr">
        <is>
          <t>CN</t>
        </is>
      </c>
      <c r="D44" t="n">
        <v>330</v>
      </c>
      <c r="E44" t="n">
        <v>698</v>
      </c>
      <c r="F44" t="n">
        <v>407</v>
      </c>
      <c r="H44">
        <f>IF(B32="","",TEXT(B32,"dd/mm") &amp; "-" &amp; IF(UPPER(TRIM(C32))="CN",1,IF(UPPER(TRIM(C32))="CD",2,"")))</f>
        <v/>
      </c>
      <c r="I44" s="1" t="n">
        <v>0.65</v>
      </c>
      <c r="J44" s="1" t="n">
        <v>0.8</v>
      </c>
      <c r="K44" s="1">
        <f>IFERROR($E32/SUM($D32:$F32),"")</f>
        <v/>
      </c>
      <c r="L44" s="1">
        <f>IFERROR($D32/SUM($D32:$F32),"")</f>
        <v/>
      </c>
      <c r="M44" s="1">
        <f>IFERROR($F32/SUM($D32:$F32),"")</f>
        <v/>
      </c>
      <c r="O44" t="n">
        <v>43</v>
      </c>
      <c r="P44" t="inlineStr">
        <is>
          <t>22/01/2026</t>
        </is>
      </c>
      <c r="Q44" t="inlineStr">
        <is>
          <t>CD</t>
        </is>
      </c>
      <c r="R44" t="n">
        <v>170</v>
      </c>
      <c r="S44" t="n">
        <v>1266</v>
      </c>
      <c r="T44" t="n">
        <v>0</v>
      </c>
    </row>
    <row r="45">
      <c r="A45" t="n">
        <v>44</v>
      </c>
      <c r="B45" t="inlineStr">
        <is>
          <t>22/04/2026</t>
        </is>
      </c>
      <c r="C45" t="inlineStr">
        <is>
          <t>CD</t>
        </is>
      </c>
      <c r="D45" t="n">
        <v>243</v>
      </c>
      <c r="E45" t="n">
        <v>1040</v>
      </c>
      <c r="F45" t="n">
        <v>155</v>
      </c>
      <c r="H45">
        <f>IF(B33="","",TEXT(B33,"dd/mm") &amp; "-" &amp; IF(UPPER(TRIM(C33))="CN",1,IF(UPPER(TRIM(C33))="CD",2,"")))</f>
        <v/>
      </c>
      <c r="I45" s="1" t="n">
        <v>0.65</v>
      </c>
      <c r="J45" s="1" t="n">
        <v>0.8</v>
      </c>
      <c r="K45" s="1">
        <f>IFERROR($E33/SUM($D33:$F33),"")</f>
        <v/>
      </c>
      <c r="L45" s="1">
        <f>IFERROR($D33/SUM($D33:$F33),"")</f>
        <v/>
      </c>
      <c r="M45" s="1">
        <f>IFERROR($F33/SUM($D33:$F33),"")</f>
        <v/>
      </c>
      <c r="O45" t="n">
        <v>44</v>
      </c>
      <c r="P45" t="inlineStr">
        <is>
          <t>23/01/2026</t>
        </is>
      </c>
      <c r="Q45" t="inlineStr">
        <is>
          <t>CN</t>
        </is>
      </c>
      <c r="R45" t="n">
        <v>370</v>
      </c>
      <c r="S45" t="n">
        <v>1067</v>
      </c>
      <c r="T45" t="n">
        <v>0</v>
      </c>
    </row>
    <row r="46">
      <c r="A46" t="n">
        <v>45</v>
      </c>
      <c r="B46" t="inlineStr">
        <is>
          <t>23/04/2026</t>
        </is>
      </c>
      <c r="C46" t="inlineStr">
        <is>
          <t>CN</t>
        </is>
      </c>
      <c r="D46" t="n">
        <v>408</v>
      </c>
      <c r="E46" t="n">
        <v>836</v>
      </c>
      <c r="F46" t="n">
        <v>192</v>
      </c>
      <c r="H46">
        <f>IF(B34="","",TEXT(B34,"dd/mm") &amp; "-" &amp; IF(UPPER(TRIM(C34))="CN",1,IF(UPPER(TRIM(C34))="CD",2,"")))</f>
        <v/>
      </c>
      <c r="I46" s="1" t="n">
        <v>0.65</v>
      </c>
      <c r="J46" s="1" t="n">
        <v>0.8</v>
      </c>
      <c r="K46" s="1">
        <f>IFERROR($E34/SUM($D34:$F34),"")</f>
        <v/>
      </c>
      <c r="L46" s="1">
        <f>IFERROR($D34/SUM($D34:$F34),"")</f>
        <v/>
      </c>
      <c r="M46" s="1">
        <f>IFERROR($F34/SUM($D34:$F34),"")</f>
        <v/>
      </c>
      <c r="O46" t="n">
        <v>45</v>
      </c>
      <c r="P46" t="inlineStr">
        <is>
          <t>23/01/2026</t>
        </is>
      </c>
      <c r="Q46" t="inlineStr">
        <is>
          <t>CD</t>
        </is>
      </c>
      <c r="R46" t="n">
        <v>207</v>
      </c>
      <c r="S46" t="n">
        <v>1229</v>
      </c>
      <c r="T46" t="n">
        <v>0</v>
      </c>
    </row>
    <row r="47">
      <c r="A47" t="n">
        <v>46</v>
      </c>
      <c r="B47" t="inlineStr">
        <is>
          <t>23/04/2026</t>
        </is>
      </c>
      <c r="C47" t="inlineStr">
        <is>
          <t>CD</t>
        </is>
      </c>
      <c r="D47" t="n">
        <v>204</v>
      </c>
      <c r="E47" t="n">
        <v>1078</v>
      </c>
      <c r="F47" t="n">
        <v>152</v>
      </c>
      <c r="H47">
        <f>IF(B35="","",TEXT(B35,"dd/mm") &amp; "-" &amp; IF(UPPER(TRIM(C35))="CN",1,IF(UPPER(TRIM(C35))="CD",2,"")))</f>
        <v/>
      </c>
      <c r="I47" s="1" t="n">
        <v>0.65</v>
      </c>
      <c r="J47" s="1" t="n">
        <v>0.8</v>
      </c>
      <c r="K47" s="1">
        <f>IFERROR($E35/SUM($D35:$F35),"")</f>
        <v/>
      </c>
      <c r="L47" s="1">
        <f>IFERROR($D35/SUM($D35:$F35),"")</f>
        <v/>
      </c>
      <c r="M47" s="1">
        <f>IFERROR($F35/SUM($D35:$F35),"")</f>
        <v/>
      </c>
      <c r="O47" t="n">
        <v>46</v>
      </c>
      <c r="P47" t="inlineStr">
        <is>
          <t>24/01/2026</t>
        </is>
      </c>
      <c r="Q47" t="inlineStr">
        <is>
          <t>CN</t>
        </is>
      </c>
      <c r="R47" t="n">
        <v>514</v>
      </c>
      <c r="S47" t="n">
        <v>924</v>
      </c>
      <c r="T47" t="n">
        <v>0</v>
      </c>
    </row>
    <row r="48">
      <c r="A48" t="n">
        <v>47</v>
      </c>
      <c r="B48" t="inlineStr">
        <is>
          <t>24/04/2026</t>
        </is>
      </c>
      <c r="C48" t="inlineStr">
        <is>
          <t>CN</t>
        </is>
      </c>
      <c r="D48" t="n">
        <v>392</v>
      </c>
      <c r="E48" t="n">
        <v>842</v>
      </c>
      <c r="F48" t="n">
        <v>203</v>
      </c>
      <c r="H48">
        <f>IF(B36="","",TEXT(B36,"dd/mm") &amp; "-" &amp; IF(UPPER(TRIM(C36))="CN",1,IF(UPPER(TRIM(C36))="CD",2,"")))</f>
        <v/>
      </c>
      <c r="I48" s="1" t="n">
        <v>0.65</v>
      </c>
      <c r="J48" s="1" t="n">
        <v>0.8</v>
      </c>
      <c r="K48" s="1">
        <f>IFERROR($E36/SUM($D36:$F36),"")</f>
        <v/>
      </c>
      <c r="L48" s="1">
        <f>IFERROR($D36/SUM($D36:$F36),"")</f>
        <v/>
      </c>
      <c r="M48" s="1">
        <f>IFERROR($F36/SUM($D36:$F36),"")</f>
        <v/>
      </c>
      <c r="O48" t="n">
        <v>47</v>
      </c>
      <c r="P48" t="inlineStr">
        <is>
          <t>24/01/2026</t>
        </is>
      </c>
      <c r="Q48" t="inlineStr">
        <is>
          <t>CD</t>
        </is>
      </c>
      <c r="R48" t="n">
        <v>124</v>
      </c>
      <c r="S48" t="n">
        <v>1068</v>
      </c>
      <c r="T48" t="n">
        <v>246</v>
      </c>
    </row>
    <row r="49">
      <c r="A49" t="n">
        <v>48</v>
      </c>
      <c r="B49" t="inlineStr">
        <is>
          <t>24/04/2026</t>
        </is>
      </c>
      <c r="C49" t="inlineStr">
        <is>
          <t>CD</t>
        </is>
      </c>
      <c r="D49" t="n">
        <v>176</v>
      </c>
      <c r="E49" t="n">
        <v>1106</v>
      </c>
      <c r="F49" t="n">
        <v>154</v>
      </c>
      <c r="H49">
        <f>IF(B37="","",TEXT(B37,"dd/mm") &amp; "-" &amp; IF(UPPER(TRIM(C37))="CN",1,IF(UPPER(TRIM(C37))="CD",2,"")))</f>
        <v/>
      </c>
      <c r="I49" s="1" t="n">
        <v>0.65</v>
      </c>
      <c r="J49" s="1" t="n">
        <v>0.8</v>
      </c>
      <c r="K49" s="1">
        <f>IFERROR($E37/SUM($D37:$F37),"")</f>
        <v/>
      </c>
      <c r="L49" s="1">
        <f>IFERROR($D37/SUM($D37:$F37),"")</f>
        <v/>
      </c>
      <c r="M49" s="1">
        <f>IFERROR($F37/SUM($D37:$F37),"")</f>
        <v/>
      </c>
      <c r="O49" t="n">
        <v>48</v>
      </c>
      <c r="P49" t="inlineStr">
        <is>
          <t>25/01/2026</t>
        </is>
      </c>
      <c r="Q49" t="inlineStr">
        <is>
          <t>CN</t>
        </is>
      </c>
      <c r="R49" t="n">
        <v>362</v>
      </c>
      <c r="S49" t="n">
        <v>835</v>
      </c>
      <c r="T49" t="n">
        <v>238</v>
      </c>
    </row>
    <row r="50">
      <c r="A50" t="n">
        <v>49</v>
      </c>
      <c r="B50" t="inlineStr">
        <is>
          <t>25/04/2026</t>
        </is>
      </c>
      <c r="C50" t="inlineStr">
        <is>
          <t>CN</t>
        </is>
      </c>
      <c r="D50" t="n">
        <v>427</v>
      </c>
      <c r="E50" t="n">
        <v>776</v>
      </c>
      <c r="F50" t="n">
        <v>233</v>
      </c>
      <c r="H50">
        <f>IF(B38="","",TEXT(B38,"dd/mm") &amp; "-" &amp; IF(UPPER(TRIM(C38))="CN",1,IF(UPPER(TRIM(C38))="CD",2,"")))</f>
        <v/>
      </c>
      <c r="I50" s="1" t="n">
        <v>0.65</v>
      </c>
      <c r="J50" s="1" t="n">
        <v>0.8</v>
      </c>
      <c r="K50" s="1">
        <f>IFERROR($E38/SUM($D38:$F38),"")</f>
        <v/>
      </c>
      <c r="L50" s="1">
        <f>IFERROR($D38/SUM($D38:$F38),"")</f>
        <v/>
      </c>
      <c r="M50" s="1">
        <f>IFERROR($F38/SUM($D38:$F38),"")</f>
        <v/>
      </c>
      <c r="O50" t="n">
        <v>49</v>
      </c>
      <c r="P50" t="inlineStr">
        <is>
          <t>25/01/2026</t>
        </is>
      </c>
      <c r="Q50" t="inlineStr">
        <is>
          <t>CD</t>
        </is>
      </c>
      <c r="R50" t="n">
        <v>0</v>
      </c>
      <c r="S50" t="n">
        <v>0</v>
      </c>
      <c r="T50" t="n">
        <v>1440</v>
      </c>
    </row>
    <row r="51">
      <c r="A51" t="n">
        <v>50</v>
      </c>
      <c r="B51" t="inlineStr">
        <is>
          <t>25/04/2026</t>
        </is>
      </c>
      <c r="C51" t="inlineStr">
        <is>
          <t>CD</t>
        </is>
      </c>
      <c r="D51" t="n">
        <v>133</v>
      </c>
      <c r="E51" t="n">
        <v>811</v>
      </c>
      <c r="F51" t="n">
        <v>492</v>
      </c>
      <c r="H51">
        <f>IF(B39="","",TEXT(B39,"dd/mm") &amp; "-" &amp; IF(UPPER(TRIM(C39))="CN",1,IF(UPPER(TRIM(C39))="CD",2,"")))</f>
        <v/>
      </c>
      <c r="I51" s="1" t="n">
        <v>0.65</v>
      </c>
      <c r="J51" s="1" t="n">
        <v>0.8</v>
      </c>
      <c r="K51" s="1">
        <f>IFERROR($E39/SUM($D39:$F39),"")</f>
        <v/>
      </c>
      <c r="L51" s="1">
        <f>IFERROR($D39/SUM($D39:$F39),"")</f>
        <v/>
      </c>
      <c r="M51" s="1">
        <f>IFERROR($F39/SUM($D39:$F39),"")</f>
        <v/>
      </c>
      <c r="O51" t="n">
        <v>50</v>
      </c>
      <c r="P51" t="inlineStr">
        <is>
          <t>26/01/2026</t>
        </is>
      </c>
      <c r="Q51" t="inlineStr">
        <is>
          <t>CN</t>
        </is>
      </c>
      <c r="R51" t="n">
        <v>210</v>
      </c>
      <c r="S51" t="n">
        <v>812</v>
      </c>
      <c r="T51" t="n">
        <v>413</v>
      </c>
    </row>
    <row r="52">
      <c r="A52" t="n">
        <v>51</v>
      </c>
      <c r="B52" t="inlineStr">
        <is>
          <t>26/04/2026</t>
        </is>
      </c>
      <c r="C52" t="inlineStr">
        <is>
          <t>CN</t>
        </is>
      </c>
      <c r="D52" t="n">
        <v>0</v>
      </c>
      <c r="E52" t="n">
        <v>0</v>
      </c>
      <c r="F52" t="n">
        <v>1440</v>
      </c>
      <c r="H52">
        <f>IF(B40="","",TEXT(B40,"dd/mm") &amp; "-" &amp; IF(UPPER(TRIM(C40))="CN",1,IF(UPPER(TRIM(C40))="CD",2,"")))</f>
        <v/>
      </c>
      <c r="I52" s="1" t="n">
        <v>0.65</v>
      </c>
      <c r="J52" s="1" t="n">
        <v>0.8</v>
      </c>
      <c r="K52" s="1">
        <f>IFERROR($E40/SUM($D40:$F40),"")</f>
        <v/>
      </c>
      <c r="L52" s="1">
        <f>IFERROR($D40/SUM($D40:$F40),"")</f>
        <v/>
      </c>
      <c r="M52" s="1">
        <f>IFERROR($F40/SUM($D40:$F40),"")</f>
        <v/>
      </c>
      <c r="O52" t="n">
        <v>51</v>
      </c>
      <c r="P52" t="inlineStr">
        <is>
          <t>26/01/2026</t>
        </is>
      </c>
      <c r="Q52" t="inlineStr">
        <is>
          <t>CD</t>
        </is>
      </c>
      <c r="R52" t="n">
        <v>162</v>
      </c>
      <c r="S52" t="n">
        <v>1120</v>
      </c>
      <c r="T52" t="n">
        <v>151</v>
      </c>
    </row>
    <row r="53">
      <c r="A53" t="n">
        <v>52</v>
      </c>
      <c r="B53" t="inlineStr">
        <is>
          <t>26/04/2026</t>
        </is>
      </c>
      <c r="C53" t="inlineStr">
        <is>
          <t>CD</t>
        </is>
      </c>
      <c r="D53" t="n">
        <v>0</v>
      </c>
      <c r="E53" t="n">
        <v>0</v>
      </c>
      <c r="F53" t="n">
        <v>1440</v>
      </c>
      <c r="H53">
        <f>IF(B41="","",TEXT(B41,"dd/mm") &amp; "-" &amp; IF(UPPER(TRIM(C41))="CN",1,IF(UPPER(TRIM(C41))="CD",2,"")))</f>
        <v/>
      </c>
      <c r="I53" s="1" t="n">
        <v>0.65</v>
      </c>
      <c r="J53" s="1" t="n">
        <v>0.8</v>
      </c>
      <c r="K53" s="1">
        <f>IFERROR($E41/SUM($D41:$F41),"")</f>
        <v/>
      </c>
      <c r="L53" s="1">
        <f>IFERROR($D41/SUM($D41:$F41),"")</f>
        <v/>
      </c>
      <c r="M53" s="1">
        <f>IFERROR($F41/SUM($D41:$F41),"")</f>
        <v/>
      </c>
      <c r="O53" t="n">
        <v>52</v>
      </c>
      <c r="P53" t="inlineStr">
        <is>
          <t>27/01/2026</t>
        </is>
      </c>
      <c r="Q53" t="inlineStr">
        <is>
          <t>CN</t>
        </is>
      </c>
      <c r="R53" t="n">
        <v>331</v>
      </c>
      <c r="S53" t="n">
        <v>896</v>
      </c>
      <c r="T53" t="n">
        <v>208</v>
      </c>
    </row>
    <row r="54">
      <c r="A54" t="n">
        <v>53</v>
      </c>
      <c r="B54" t="inlineStr">
        <is>
          <t>27/04/2026</t>
        </is>
      </c>
      <c r="C54" t="inlineStr">
        <is>
          <t>CN</t>
        </is>
      </c>
      <c r="D54" t="n">
        <v>224</v>
      </c>
      <c r="E54" t="n">
        <v>805</v>
      </c>
      <c r="F54" t="n">
        <v>408</v>
      </c>
      <c r="H54">
        <f>IF(B42="","",TEXT(B42,"dd/mm") &amp; "-" &amp; IF(UPPER(TRIM(C42))="CN",1,IF(UPPER(TRIM(C42))="CD",2,"")))</f>
        <v/>
      </c>
      <c r="I54" s="1" t="n">
        <v>0.65</v>
      </c>
      <c r="J54" s="1" t="n">
        <v>0.8</v>
      </c>
      <c r="K54" s="1">
        <f>IFERROR($E42/SUM($D42:$F42),"")</f>
        <v/>
      </c>
      <c r="L54" s="1">
        <f>IFERROR($D42/SUM($D42:$F42),"")</f>
        <v/>
      </c>
      <c r="M54" s="1">
        <f>IFERROR($F42/SUM($D42:$F42),"")</f>
        <v/>
      </c>
      <c r="O54" t="n">
        <v>53</v>
      </c>
      <c r="P54" t="inlineStr">
        <is>
          <t>27/01/2026</t>
        </is>
      </c>
      <c r="Q54" t="inlineStr">
        <is>
          <t>CD</t>
        </is>
      </c>
      <c r="R54" t="n">
        <v>191</v>
      </c>
      <c r="S54" t="n">
        <v>1091</v>
      </c>
      <c r="T54" t="n">
        <v>153</v>
      </c>
    </row>
    <row r="55">
      <c r="A55" t="n">
        <v>54</v>
      </c>
      <c r="B55" t="inlineStr">
        <is>
          <t>27/04/2026</t>
        </is>
      </c>
      <c r="C55" t="inlineStr">
        <is>
          <t>CD</t>
        </is>
      </c>
      <c r="D55" t="n">
        <v>158</v>
      </c>
      <c r="E55" t="n">
        <v>1276</v>
      </c>
      <c r="F55" t="n">
        <v>0</v>
      </c>
      <c r="H55">
        <f>IF(B43="","",TEXT(B43,"dd/mm") &amp; "-" &amp; IF(UPPER(TRIM(C43))="CN",1,IF(UPPER(TRIM(C43))="CD",2,"")))</f>
        <v/>
      </c>
      <c r="I55" s="1" t="n">
        <v>0.65</v>
      </c>
      <c r="J55" s="1" t="n">
        <v>0.8</v>
      </c>
      <c r="K55" s="1">
        <f>IFERROR($E43/SUM($D43:$F43),"")</f>
        <v/>
      </c>
      <c r="L55" s="1">
        <f>IFERROR($D43/SUM($D43:$F43),"")</f>
        <v/>
      </c>
      <c r="M55" s="1">
        <f>IFERROR($F43/SUM($D43:$F43),"")</f>
        <v/>
      </c>
      <c r="O55" t="n">
        <v>54</v>
      </c>
      <c r="P55" t="inlineStr">
        <is>
          <t>28/01/2026</t>
        </is>
      </c>
      <c r="Q55" t="inlineStr">
        <is>
          <t>CN</t>
        </is>
      </c>
      <c r="R55" t="n">
        <v>307</v>
      </c>
      <c r="S55" t="n">
        <v>921</v>
      </c>
      <c r="T55" t="n">
        <v>207</v>
      </c>
    </row>
    <row r="56">
      <c r="H56">
        <f>IF(B44="","",TEXT(B44,"dd/mm") &amp; "-" &amp; IF(UPPER(TRIM(C44))="CN",1,IF(UPPER(TRIM(C44))="CD",2,"")))</f>
        <v/>
      </c>
      <c r="I56" s="1" t="n">
        <v>0.65</v>
      </c>
      <c r="J56" s="1" t="n">
        <v>0.8</v>
      </c>
      <c r="K56" s="1">
        <f>IFERROR($E44/SUM($D44:$F44),"")</f>
        <v/>
      </c>
      <c r="L56" s="1">
        <f>IFERROR($D44/SUM($D44:$F44),"")</f>
        <v/>
      </c>
      <c r="M56" s="1">
        <f>IFERROR($F44/SUM($D44:$F44),"")</f>
        <v/>
      </c>
      <c r="O56" t="n">
        <v>55</v>
      </c>
      <c r="P56" t="inlineStr">
        <is>
          <t>28/01/2026</t>
        </is>
      </c>
      <c r="Q56" t="inlineStr">
        <is>
          <t>CD</t>
        </is>
      </c>
      <c r="R56" t="n">
        <v>259</v>
      </c>
      <c r="S56" t="n">
        <v>1027</v>
      </c>
      <c r="T56" t="n">
        <v>151</v>
      </c>
    </row>
    <row r="57">
      <c r="H57">
        <f>IF(B45="","",TEXT(B45,"dd/mm") &amp; "-" &amp; IF(UPPER(TRIM(C45))="CN",1,IF(UPPER(TRIM(C45))="CD",2,"")))</f>
        <v/>
      </c>
      <c r="I57" s="1" t="n">
        <v>0.65</v>
      </c>
      <c r="J57" s="1" t="n">
        <v>0.8</v>
      </c>
      <c r="K57" s="1">
        <f>IFERROR($E45/SUM($D45:$F45),"")</f>
        <v/>
      </c>
      <c r="L57" s="1">
        <f>IFERROR($D45/SUM($D45:$F45),"")</f>
        <v/>
      </c>
      <c r="M57" s="1">
        <f>IFERROR($F45/SUM($D45:$F45),"")</f>
        <v/>
      </c>
      <c r="O57" t="n">
        <v>56</v>
      </c>
      <c r="P57" t="inlineStr">
        <is>
          <t>29/01/2026</t>
        </is>
      </c>
      <c r="Q57" t="inlineStr">
        <is>
          <t>CN</t>
        </is>
      </c>
      <c r="R57" t="n">
        <v>388</v>
      </c>
      <c r="S57" t="n">
        <v>841</v>
      </c>
      <c r="T57" t="n">
        <v>208</v>
      </c>
    </row>
    <row r="58">
      <c r="H58">
        <f>IF(B46="","",TEXT(B46,"dd/mm") &amp; "-" &amp; IF(UPPER(TRIM(C46))="CN",1,IF(UPPER(TRIM(C46))="CD",2,"")))</f>
        <v/>
      </c>
      <c r="I58" s="1" t="n">
        <v>0.65</v>
      </c>
      <c r="J58" s="1" t="n">
        <v>0.8</v>
      </c>
      <c r="K58" s="1">
        <f>IFERROR($E46/SUM($D46:$F46),"")</f>
        <v/>
      </c>
      <c r="L58" s="1">
        <f>IFERROR($D46/SUM($D46:$F46),"")</f>
        <v/>
      </c>
      <c r="M58" s="1">
        <f>IFERROR($F46/SUM($D46:$F46),"")</f>
        <v/>
      </c>
      <c r="O58" t="n">
        <v>57</v>
      </c>
      <c r="P58" t="inlineStr">
        <is>
          <t>29/01/2026</t>
        </is>
      </c>
      <c r="Q58" t="inlineStr">
        <is>
          <t>CD</t>
        </is>
      </c>
      <c r="R58" t="n">
        <v>147</v>
      </c>
      <c r="S58" t="n">
        <v>1137</v>
      </c>
      <c r="T58" t="n">
        <v>152</v>
      </c>
    </row>
    <row r="59">
      <c r="H59">
        <f>IF(B47="","",TEXT(B47,"dd/mm") &amp; "-" &amp; IF(UPPER(TRIM(C47))="CN",1,IF(UPPER(TRIM(C47))="CD",2,"")))</f>
        <v/>
      </c>
      <c r="I59" s="1" t="n">
        <v>0.65</v>
      </c>
      <c r="J59" s="1" t="n">
        <v>0.8</v>
      </c>
      <c r="K59" s="1">
        <f>IFERROR($E47/SUM($D47:$F47),"")</f>
        <v/>
      </c>
      <c r="L59" s="1">
        <f>IFERROR($D47/SUM($D47:$F47),"")</f>
        <v/>
      </c>
      <c r="M59" s="1">
        <f>IFERROR($F47/SUM($D47:$F47),"")</f>
        <v/>
      </c>
      <c r="O59" t="n">
        <v>58</v>
      </c>
      <c r="P59" t="inlineStr">
        <is>
          <t>30/01/2026</t>
        </is>
      </c>
      <c r="Q59" t="inlineStr">
        <is>
          <t>CN</t>
        </is>
      </c>
      <c r="R59" t="n">
        <v>395</v>
      </c>
      <c r="S59" t="n">
        <v>834</v>
      </c>
      <c r="T59" t="n">
        <v>208</v>
      </c>
    </row>
    <row r="60">
      <c r="H60">
        <f>IF(B48="","",TEXT(B48,"dd/mm") &amp; "-" &amp; IF(UPPER(TRIM(C48))="CN",1,IF(UPPER(TRIM(C48))="CD",2,"")))</f>
        <v/>
      </c>
      <c r="I60" s="1" t="n">
        <v>0.65</v>
      </c>
      <c r="J60" s="1" t="n">
        <v>0.8</v>
      </c>
      <c r="K60" s="1">
        <f>IFERROR($E48/SUM($D48:$F48),"")</f>
        <v/>
      </c>
      <c r="L60" s="1">
        <f>IFERROR($D48/SUM($D48:$F48),"")</f>
        <v/>
      </c>
      <c r="M60" s="1">
        <f>IFERROR($F48/SUM($D48:$F48),"")</f>
        <v/>
      </c>
      <c r="O60" t="n">
        <v>59</v>
      </c>
      <c r="P60" t="inlineStr">
        <is>
          <t>30/01/2026</t>
        </is>
      </c>
      <c r="Q60" t="inlineStr">
        <is>
          <t>CD</t>
        </is>
      </c>
      <c r="R60" t="n">
        <v>331</v>
      </c>
      <c r="S60" t="n">
        <v>954</v>
      </c>
      <c r="T60" t="n">
        <v>151</v>
      </c>
    </row>
    <row r="61">
      <c r="H61">
        <f>IF(B49="","",TEXT(B49,"dd/mm") &amp; "-" &amp; IF(UPPER(TRIM(C49))="CN",1,IF(UPPER(TRIM(C49))="CD",2,"")))</f>
        <v/>
      </c>
      <c r="I61" s="1" t="n">
        <v>0.65</v>
      </c>
      <c r="J61" s="1" t="n">
        <v>0.8</v>
      </c>
      <c r="K61" s="1">
        <f>IFERROR($E49/SUM($D49:$F49),"")</f>
        <v/>
      </c>
      <c r="L61" s="1">
        <f>IFERROR($D49/SUM($D49:$F49),"")</f>
        <v/>
      </c>
      <c r="M61" s="1">
        <f>IFERROR($F49/SUM($D49:$F49),"")</f>
        <v/>
      </c>
      <c r="O61" t="n">
        <v>60</v>
      </c>
      <c r="P61" t="inlineStr">
        <is>
          <t>31/01/2026</t>
        </is>
      </c>
      <c r="Q61" t="inlineStr">
        <is>
          <t>CN</t>
        </is>
      </c>
      <c r="R61" t="n">
        <v>389</v>
      </c>
      <c r="S61" t="n">
        <v>814</v>
      </c>
      <c r="T61" t="n">
        <v>235</v>
      </c>
    </row>
    <row r="62">
      <c r="H62">
        <f>IF(B50="","",TEXT(B50,"dd/mm") &amp; "-" &amp; IF(UPPER(TRIM(C50))="CN",1,IF(UPPER(TRIM(C50))="CD",2,"")))</f>
        <v/>
      </c>
      <c r="I62" s="1" t="n">
        <v>0.65</v>
      </c>
      <c r="J62" s="1" t="n">
        <v>0.8</v>
      </c>
      <c r="K62" s="1">
        <f>IFERROR($E50/SUM($D50:$F50),"")</f>
        <v/>
      </c>
      <c r="L62" s="1">
        <f>IFERROR($D50/SUM($D50:$F50),"")</f>
        <v/>
      </c>
      <c r="M62" s="1">
        <f>IFERROR($F50/SUM($D50:$F50),"")</f>
        <v/>
      </c>
      <c r="O62" t="n">
        <v>61</v>
      </c>
      <c r="P62" t="inlineStr">
        <is>
          <t>31/01/2026</t>
        </is>
      </c>
      <c r="Q62" t="inlineStr">
        <is>
          <t>CD</t>
        </is>
      </c>
      <c r="R62" t="n">
        <v>141</v>
      </c>
      <c r="S62" t="n">
        <v>814</v>
      </c>
      <c r="T62" t="n">
        <v>480</v>
      </c>
    </row>
    <row r="63">
      <c r="H63">
        <f>IF(B51="","",TEXT(B51,"dd/mm") &amp; "-" &amp; IF(UPPER(TRIM(C51))="CN",1,IF(UPPER(TRIM(C51))="CD",2,"")))</f>
        <v/>
      </c>
      <c r="I63" s="1" t="n">
        <v>0.65</v>
      </c>
      <c r="J63" s="1" t="n">
        <v>0.8</v>
      </c>
      <c r="K63" s="1">
        <f>IFERROR($E51/SUM($D51:$F51),"")</f>
        <v/>
      </c>
      <c r="L63" s="1">
        <f>IFERROR($D51/SUM($D51:$F51),"")</f>
        <v/>
      </c>
      <c r="M63" s="1">
        <f>IFERROR($F51/SUM($D51:$F51),"")</f>
        <v/>
      </c>
      <c r="O63" t="n">
        <v>62</v>
      </c>
      <c r="P63" t="inlineStr">
        <is>
          <t>01/02/2026</t>
        </is>
      </c>
      <c r="Q63" t="inlineStr">
        <is>
          <t>CN</t>
        </is>
      </c>
      <c r="R63" t="n">
        <v>0</v>
      </c>
      <c r="S63" t="n">
        <v>0</v>
      </c>
      <c r="T63" t="n">
        <v>1440</v>
      </c>
    </row>
    <row r="64">
      <c r="H64">
        <f>IF(B52="","",TEXT(B52,"dd/mm") &amp; "-" &amp; IF(UPPER(TRIM(C52))="CN",1,IF(UPPER(TRIM(C52))="CD",2,"")))</f>
        <v/>
      </c>
      <c r="I64" s="1" t="n">
        <v>0.65</v>
      </c>
      <c r="J64" s="1" t="n">
        <v>0.8</v>
      </c>
      <c r="K64" s="1">
        <f>IFERROR($E52/SUM($D52:$F52),"")</f>
        <v/>
      </c>
      <c r="L64" s="1">
        <f>IFERROR($D52/SUM($D52:$F52),"")</f>
        <v/>
      </c>
      <c r="M64" s="1">
        <f>IFERROR($F52/SUM($D52:$F52),"")</f>
        <v/>
      </c>
      <c r="O64" t="n">
        <v>63</v>
      </c>
      <c r="P64" t="inlineStr">
        <is>
          <t>01/02/2026</t>
        </is>
      </c>
      <c r="Q64" t="inlineStr">
        <is>
          <t>CD</t>
        </is>
      </c>
      <c r="R64" t="n">
        <v>0</v>
      </c>
      <c r="S64" t="n">
        <v>0</v>
      </c>
      <c r="T64" t="n">
        <v>1440</v>
      </c>
    </row>
    <row r="65">
      <c r="H65">
        <f>IF(B53="","",TEXT(B53,"dd/mm") &amp; "-" &amp; IF(UPPER(TRIM(C53))="CN",1,IF(UPPER(TRIM(C53))="CD",2,"")))</f>
        <v/>
      </c>
      <c r="I65" s="1" t="n">
        <v>0.65</v>
      </c>
      <c r="J65" s="1" t="n">
        <v>0.8</v>
      </c>
      <c r="K65" s="1">
        <f>IFERROR($E53/SUM($D53:$F53),"")</f>
        <v/>
      </c>
      <c r="L65" s="1">
        <f>IFERROR($D53/SUM($D53:$F53),"")</f>
        <v/>
      </c>
      <c r="M65" s="1">
        <f>IFERROR($F53/SUM($D53:$F53),"")</f>
        <v/>
      </c>
      <c r="O65" t="n">
        <v>64</v>
      </c>
      <c r="P65" t="inlineStr">
        <is>
          <t>02/02/2026</t>
        </is>
      </c>
      <c r="Q65" t="inlineStr">
        <is>
          <t>CN</t>
        </is>
      </c>
      <c r="R65" t="n">
        <v>163</v>
      </c>
      <c r="S65" t="n">
        <v>862</v>
      </c>
      <c r="T65" t="n">
        <v>412</v>
      </c>
    </row>
    <row r="66">
      <c r="H66">
        <f>IF(B54="","",TEXT(B54,"dd/mm") &amp; "-" &amp; IF(UPPER(TRIM(C54))="CN",1,IF(UPPER(TRIM(C54))="CD",2,"")))</f>
        <v/>
      </c>
      <c r="I66" s="1" t="n">
        <v>0.65</v>
      </c>
      <c r="J66" s="1" t="n">
        <v>0.8</v>
      </c>
      <c r="K66" s="1">
        <f>IFERROR($E54/SUM($D54:$F54),"")</f>
        <v/>
      </c>
      <c r="L66" s="1">
        <f>IFERROR($D54/SUM($D54:$F54),"")</f>
        <v/>
      </c>
      <c r="M66" s="1">
        <f>IFERROR($F54/SUM($D54:$F54),"")</f>
        <v/>
      </c>
      <c r="O66" t="n">
        <v>65</v>
      </c>
      <c r="P66" t="inlineStr">
        <is>
          <t>02/02/2026</t>
        </is>
      </c>
      <c r="Q66" t="inlineStr">
        <is>
          <t>CD</t>
        </is>
      </c>
      <c r="R66" t="n">
        <v>366</v>
      </c>
      <c r="S66" t="n">
        <v>917</v>
      </c>
      <c r="T66" t="n">
        <v>153</v>
      </c>
    </row>
    <row r="67">
      <c r="H67">
        <f>IF(B55="","",TEXT(B55,"dd/mm") &amp; "-" &amp; IF(UPPER(TRIM(C55))="CN",1,IF(UPPER(TRIM(C55))="CD",2,"")))</f>
        <v/>
      </c>
      <c r="I67" s="1" t="n">
        <v>0.65</v>
      </c>
      <c r="J67" s="1" t="n">
        <v>0.8</v>
      </c>
      <c r="K67" s="1">
        <f>IFERROR($E55/SUM($D55:$F55),"")</f>
        <v/>
      </c>
      <c r="L67" s="1">
        <f>IFERROR($D55/SUM($D55:$F55),"")</f>
        <v/>
      </c>
      <c r="M67" s="1">
        <f>IFERROR($F55/SUM($D55:$F55),"")</f>
        <v/>
      </c>
      <c r="O67" t="n">
        <v>66</v>
      </c>
      <c r="P67" t="inlineStr">
        <is>
          <t>03/02/2026</t>
        </is>
      </c>
      <c r="Q67" t="inlineStr">
        <is>
          <t>CN</t>
        </is>
      </c>
      <c r="R67" t="n">
        <v>413</v>
      </c>
      <c r="S67" t="n">
        <v>816</v>
      </c>
      <c r="T67" t="n">
        <v>207</v>
      </c>
    </row>
    <row r="68">
      <c r="H68">
        <f>IF(B56="","",TEXT(B56,"dd/mm") &amp; "-" &amp; IF(UPPER(TRIM(C56))="CN",1,IF(UPPER(TRIM(C56))="CD",2,"")))</f>
        <v/>
      </c>
      <c r="I68" s="1" t="n"/>
      <c r="J68" s="1" t="n"/>
      <c r="K68" s="1">
        <f>IFERROR($E56/SUM($D56:$F56),"")</f>
        <v/>
      </c>
      <c r="L68" s="1">
        <f>IFERROR($D56/SUM($D56:$F56),"")</f>
        <v/>
      </c>
      <c r="M68" s="1">
        <f>IFERROR($F56/SUM($D56:$F56),"")</f>
        <v/>
      </c>
      <c r="O68" t="n">
        <v>67</v>
      </c>
      <c r="P68" t="inlineStr">
        <is>
          <t>03/02/2026</t>
        </is>
      </c>
      <c r="Q68" t="inlineStr">
        <is>
          <t>CD</t>
        </is>
      </c>
      <c r="R68" t="n">
        <v>305</v>
      </c>
      <c r="S68" t="n">
        <v>974</v>
      </c>
      <c r="T68" t="n">
        <v>155</v>
      </c>
    </row>
    <row r="69">
      <c r="H69">
        <f>IF(B57="","",TEXT(B57,"dd/mm") &amp; "-" &amp; IF(UPPER(TRIM(C57))="CN",1,IF(UPPER(TRIM(C57))="CD",2,"")))</f>
        <v/>
      </c>
      <c r="I69" s="1" t="n"/>
      <c r="J69" s="1" t="n"/>
      <c r="K69" s="1">
        <f>IFERROR($E57/SUM($D57:$F57),"")</f>
        <v/>
      </c>
      <c r="L69" s="1">
        <f>IFERROR($D57/SUM($D57:$F57),"")</f>
        <v/>
      </c>
      <c r="M69" s="1">
        <f>IFERROR($F57/SUM($D57:$F57),"")</f>
        <v/>
      </c>
      <c r="O69" t="n">
        <v>68</v>
      </c>
      <c r="P69" t="inlineStr">
        <is>
          <t>04/02/2026</t>
        </is>
      </c>
      <c r="Q69" t="inlineStr">
        <is>
          <t>CN</t>
        </is>
      </c>
      <c r="R69" t="n">
        <v>438</v>
      </c>
      <c r="S69" t="n">
        <v>791</v>
      </c>
      <c r="T69" t="n">
        <v>206</v>
      </c>
    </row>
    <row r="70">
      <c r="H70">
        <f>IF(B58="","",TEXT(B58,"dd/mm") &amp; "-" &amp; IF(UPPER(TRIM(C58))="CN",1,IF(UPPER(TRIM(C58))="CD",2,"")))</f>
        <v/>
      </c>
      <c r="I70" s="1" t="n"/>
      <c r="J70" s="1" t="n"/>
      <c r="K70" s="1">
        <f>IFERROR($E58/SUM($D58:$F58),"")</f>
        <v/>
      </c>
      <c r="L70" s="1">
        <f>IFERROR($D58/SUM($D58:$F58),"")</f>
        <v/>
      </c>
      <c r="M70" s="1">
        <f>IFERROR($F58/SUM($D58:$F58),"")</f>
        <v/>
      </c>
      <c r="O70" t="n">
        <v>69</v>
      </c>
      <c r="P70" t="inlineStr">
        <is>
          <t>04/02/2026</t>
        </is>
      </c>
      <c r="Q70" t="inlineStr">
        <is>
          <t>CD</t>
        </is>
      </c>
      <c r="R70" t="n">
        <v>261</v>
      </c>
      <c r="S70" t="n">
        <v>1019</v>
      </c>
      <c r="T70" t="n">
        <v>155</v>
      </c>
    </row>
    <row r="71">
      <c r="H71">
        <f>IF(B59="","",TEXT(B59,"dd/mm") &amp; "-" &amp; IF(UPPER(TRIM(C59))="CN",1,IF(UPPER(TRIM(C59))="CD",2,"")))</f>
        <v/>
      </c>
      <c r="I71" s="1" t="n"/>
      <c r="J71" s="1" t="n"/>
      <c r="K71" s="1">
        <f>IFERROR($E59/SUM($D59:$F59),"")</f>
        <v/>
      </c>
      <c r="L71" s="1">
        <f>IFERROR($D59/SUM($D59:$F59),"")</f>
        <v/>
      </c>
      <c r="M71" s="1">
        <f>IFERROR($F59/SUM($D59:$F59),"")</f>
        <v/>
      </c>
      <c r="O71" t="n">
        <v>70</v>
      </c>
      <c r="P71" t="inlineStr">
        <is>
          <t>05/02/2026</t>
        </is>
      </c>
      <c r="Q71" t="inlineStr">
        <is>
          <t>CN</t>
        </is>
      </c>
      <c r="R71" t="n">
        <v>257</v>
      </c>
      <c r="S71" t="n">
        <v>970</v>
      </c>
      <c r="T71" t="n">
        <v>209</v>
      </c>
    </row>
    <row r="72">
      <c r="H72">
        <f>IF(B60="","",TEXT(B60,"dd/mm") &amp; "-" &amp; IF(UPPER(TRIM(C60))="CN",1,IF(UPPER(TRIM(C60))="CD",2,"")))</f>
        <v/>
      </c>
      <c r="I72" s="1" t="n"/>
      <c r="J72" s="1" t="n"/>
      <c r="K72" s="1">
        <f>IFERROR($E60/SUM($D60:$F60),"")</f>
        <v/>
      </c>
      <c r="L72" s="1">
        <f>IFERROR($D60/SUM($D60:$F60),"")</f>
        <v/>
      </c>
      <c r="M72" s="1">
        <f>IFERROR($F60/SUM($D60:$F60),"")</f>
        <v/>
      </c>
      <c r="O72" t="n">
        <v>71</v>
      </c>
      <c r="P72" t="inlineStr">
        <is>
          <t>05/02/2026</t>
        </is>
      </c>
      <c r="Q72" t="inlineStr">
        <is>
          <t>CD</t>
        </is>
      </c>
      <c r="R72" t="n">
        <v>250</v>
      </c>
      <c r="S72" t="n">
        <v>1032</v>
      </c>
      <c r="T72" t="n">
        <v>153</v>
      </c>
    </row>
    <row r="73">
      <c r="H73">
        <f>IF(B61="","",TEXT(B61,"dd/mm") &amp; "-" &amp; IF(UPPER(TRIM(C61))="CN",1,IF(UPPER(TRIM(C61))="CD",2,"")))</f>
        <v/>
      </c>
      <c r="I73" s="1" t="n"/>
      <c r="J73" s="1" t="n"/>
      <c r="K73" s="1">
        <f>IFERROR($E61/SUM($D61:$F61),"")</f>
        <v/>
      </c>
      <c r="L73" s="1">
        <f>IFERROR($D61/SUM($D61:$F61),"")</f>
        <v/>
      </c>
      <c r="M73" s="1">
        <f>IFERROR($F61/SUM($D61:$F61),"")</f>
        <v/>
      </c>
      <c r="O73" t="n">
        <v>72</v>
      </c>
      <c r="P73" t="inlineStr">
        <is>
          <t>06/02/2026</t>
        </is>
      </c>
      <c r="Q73" t="inlineStr">
        <is>
          <t>CN</t>
        </is>
      </c>
      <c r="R73" t="n">
        <v>230</v>
      </c>
      <c r="S73" t="n">
        <v>996</v>
      </c>
      <c r="T73" t="n">
        <v>212</v>
      </c>
    </row>
    <row r="74">
      <c r="H74">
        <f>IF(B62="","",TEXT(B62,"dd/mm") &amp; "-" &amp; IF(UPPER(TRIM(C62))="CN",1,IF(UPPER(TRIM(C62))="CD",2,"")))</f>
        <v/>
      </c>
      <c r="I74" s="1" t="n"/>
      <c r="J74" s="1" t="n"/>
      <c r="K74" s="1">
        <f>IFERROR($E62/SUM($D62:$F62),"")</f>
        <v/>
      </c>
      <c r="L74" s="1">
        <f>IFERROR($D62/SUM($D62:$F62),"")</f>
        <v/>
      </c>
      <c r="M74" s="1">
        <f>IFERROR($F62/SUM($D62:$F62),"")</f>
        <v/>
      </c>
      <c r="O74" t="n">
        <v>73</v>
      </c>
      <c r="P74" t="inlineStr">
        <is>
          <t>06/02/2026</t>
        </is>
      </c>
      <c r="Q74" t="inlineStr">
        <is>
          <t>CD</t>
        </is>
      </c>
      <c r="R74" t="n">
        <v>358</v>
      </c>
      <c r="S74" t="n">
        <v>923</v>
      </c>
      <c r="T74" t="n">
        <v>154</v>
      </c>
    </row>
    <row r="75">
      <c r="H75">
        <f>IF(B63="","",TEXT(B63,"dd/mm") &amp; "-" &amp; IF(UPPER(TRIM(C63))="CN",1,IF(UPPER(TRIM(C63))="CD",2,"")))</f>
        <v/>
      </c>
      <c r="I75" s="1" t="n"/>
      <c r="J75" s="1" t="n"/>
      <c r="K75" s="1">
        <f>IFERROR($E63/SUM($D63:$F63),"")</f>
        <v/>
      </c>
      <c r="L75" s="1">
        <f>IFERROR($D63/SUM($D63:$F63),"")</f>
        <v/>
      </c>
      <c r="M75" s="1">
        <f>IFERROR($F63/SUM($D63:$F63),"")</f>
        <v/>
      </c>
      <c r="O75" t="n">
        <v>74</v>
      </c>
      <c r="P75" t="inlineStr">
        <is>
          <t>07/02/2026</t>
        </is>
      </c>
      <c r="Q75" t="inlineStr">
        <is>
          <t>CN</t>
        </is>
      </c>
      <c r="R75" t="n">
        <v>508</v>
      </c>
      <c r="S75" t="n">
        <v>691</v>
      </c>
      <c r="T75" t="n">
        <v>238</v>
      </c>
    </row>
    <row r="76">
      <c r="I76" s="1" t="n"/>
      <c r="J76" s="1" t="n"/>
      <c r="K76" s="1" t="n"/>
      <c r="L76" s="1" t="n"/>
      <c r="M76" s="1" t="n"/>
      <c r="O76" t="n">
        <v>75</v>
      </c>
      <c r="P76" t="inlineStr">
        <is>
          <t>07/02/2026</t>
        </is>
      </c>
      <c r="Q76" t="inlineStr">
        <is>
          <t>CD</t>
        </is>
      </c>
      <c r="R76" t="n">
        <v>461</v>
      </c>
      <c r="S76" t="n">
        <v>730</v>
      </c>
      <c r="T76" t="n">
        <v>244</v>
      </c>
    </row>
    <row r="77">
      <c r="I77" s="1" t="n"/>
      <c r="J77" s="1" t="n"/>
      <c r="K77" s="1" t="n"/>
      <c r="L77" s="1" t="n"/>
      <c r="M77" s="1" t="n"/>
      <c r="O77" t="n">
        <v>76</v>
      </c>
      <c r="P77" t="inlineStr">
        <is>
          <t>08/02/2026</t>
        </is>
      </c>
      <c r="Q77" t="inlineStr">
        <is>
          <t>CN</t>
        </is>
      </c>
      <c r="R77" t="n">
        <v>362</v>
      </c>
      <c r="S77" t="n">
        <v>838</v>
      </c>
      <c r="T77" t="n">
        <v>237</v>
      </c>
    </row>
    <row r="78">
      <c r="I78" s="1" t="n"/>
      <c r="J78" s="1" t="n"/>
      <c r="K78" s="1" t="n"/>
      <c r="L78" s="1" t="n"/>
      <c r="M78" s="1" t="n"/>
      <c r="O78" t="n">
        <v>77</v>
      </c>
      <c r="P78" t="inlineStr">
        <is>
          <t>08/02/2026</t>
        </is>
      </c>
      <c r="Q78" t="inlineStr">
        <is>
          <t>CD</t>
        </is>
      </c>
      <c r="R78" t="n">
        <v>0</v>
      </c>
      <c r="S78" t="n">
        <v>0</v>
      </c>
      <c r="T78" t="n">
        <v>1440</v>
      </c>
    </row>
    <row r="79">
      <c r="I79" s="1" t="n"/>
      <c r="J79" s="1" t="n"/>
      <c r="K79" s="1" t="n"/>
      <c r="L79" s="1" t="n"/>
      <c r="M79" s="1" t="n"/>
      <c r="O79" t="n">
        <v>78</v>
      </c>
      <c r="P79" t="inlineStr">
        <is>
          <t>09/02/2026</t>
        </is>
      </c>
      <c r="Q79" t="inlineStr">
        <is>
          <t>CN</t>
        </is>
      </c>
      <c r="R79" t="n">
        <v>185</v>
      </c>
      <c r="S79" t="n">
        <v>834</v>
      </c>
      <c r="T79" t="n">
        <v>416</v>
      </c>
    </row>
    <row r="80">
      <c r="I80" s="1" t="n"/>
      <c r="J80" s="1" t="n"/>
      <c r="K80" s="1" t="n"/>
      <c r="L80" s="1" t="n"/>
      <c r="M80" s="1" t="n"/>
      <c r="O80" t="n">
        <v>79</v>
      </c>
      <c r="P80" t="inlineStr">
        <is>
          <t>09/02/2026</t>
        </is>
      </c>
      <c r="Q80" t="inlineStr">
        <is>
          <t>CD</t>
        </is>
      </c>
      <c r="R80" t="n">
        <v>225</v>
      </c>
      <c r="S80" t="n">
        <v>1058</v>
      </c>
      <c r="T80" t="n">
        <v>152</v>
      </c>
    </row>
    <row r="81">
      <c r="I81" s="1" t="n"/>
      <c r="J81" s="1" t="n"/>
      <c r="K81" s="1" t="n"/>
      <c r="L81" s="1" t="n"/>
      <c r="M81" s="1" t="n"/>
      <c r="O81" t="n">
        <v>80</v>
      </c>
      <c r="P81" t="inlineStr">
        <is>
          <t>10/02/2026</t>
        </is>
      </c>
      <c r="Q81" t="inlineStr">
        <is>
          <t>CN</t>
        </is>
      </c>
      <c r="R81" t="n">
        <v>527</v>
      </c>
      <c r="S81" t="n">
        <v>590</v>
      </c>
      <c r="T81" t="n">
        <v>321</v>
      </c>
    </row>
    <row r="82">
      <c r="I82" s="1" t="n"/>
      <c r="J82" s="1" t="n"/>
      <c r="K82" s="1" t="n"/>
      <c r="L82" s="1" t="n"/>
      <c r="M82" s="1" t="n"/>
      <c r="O82" t="n">
        <v>81</v>
      </c>
      <c r="P82" t="inlineStr">
        <is>
          <t>10/02/2026</t>
        </is>
      </c>
      <c r="Q82" t="inlineStr">
        <is>
          <t>CD</t>
        </is>
      </c>
      <c r="R82" t="n">
        <v>585</v>
      </c>
      <c r="S82" t="n">
        <v>696</v>
      </c>
      <c r="T82" t="n">
        <v>153</v>
      </c>
    </row>
    <row r="83">
      <c r="I83" s="1" t="n"/>
      <c r="J83" s="1" t="n"/>
      <c r="K83" s="1" t="n"/>
      <c r="L83" s="1" t="n"/>
      <c r="M83" s="1" t="n"/>
      <c r="O83" t="n">
        <v>82</v>
      </c>
      <c r="P83" t="inlineStr">
        <is>
          <t>11/02/2026</t>
        </is>
      </c>
      <c r="Q83" t="inlineStr">
        <is>
          <t>CN</t>
        </is>
      </c>
      <c r="R83" t="n">
        <v>401</v>
      </c>
      <c r="S83" t="n">
        <v>821</v>
      </c>
      <c r="T83" t="n">
        <v>213</v>
      </c>
    </row>
    <row r="84">
      <c r="I84" s="1" t="n"/>
      <c r="J84" s="1" t="n"/>
      <c r="K84" s="1" t="n"/>
      <c r="L84" s="1" t="n"/>
      <c r="M84" s="1" t="n"/>
      <c r="O84" t="n">
        <v>83</v>
      </c>
      <c r="P84" t="inlineStr">
        <is>
          <t>11/02/2026</t>
        </is>
      </c>
      <c r="Q84" t="inlineStr">
        <is>
          <t>CD</t>
        </is>
      </c>
      <c r="R84" t="n">
        <v>172</v>
      </c>
      <c r="S84" t="n">
        <v>1109</v>
      </c>
      <c r="T84" t="n">
        <v>153</v>
      </c>
    </row>
    <row r="85">
      <c r="I85" s="1" t="n"/>
      <c r="J85" s="1" t="n"/>
      <c r="K85" s="1" t="n"/>
      <c r="L85" s="1" t="n"/>
      <c r="M85" s="1" t="n"/>
      <c r="O85" t="n">
        <v>84</v>
      </c>
      <c r="P85" t="inlineStr">
        <is>
          <t>12/02/2026</t>
        </is>
      </c>
      <c r="Q85" t="inlineStr">
        <is>
          <t>CN</t>
        </is>
      </c>
      <c r="R85" t="n">
        <v>453</v>
      </c>
      <c r="S85" t="n">
        <v>775</v>
      </c>
      <c r="T85" t="n">
        <v>208</v>
      </c>
    </row>
    <row r="86">
      <c r="I86" s="1" t="n"/>
      <c r="J86" s="1" t="n"/>
      <c r="K86" s="1" t="n"/>
      <c r="L86" s="1" t="n"/>
      <c r="M86" s="1" t="n"/>
      <c r="O86" t="n">
        <v>85</v>
      </c>
      <c r="P86" t="inlineStr">
        <is>
          <t>12/02/2026</t>
        </is>
      </c>
      <c r="Q86" t="inlineStr">
        <is>
          <t>CD</t>
        </is>
      </c>
      <c r="R86" t="n">
        <v>407</v>
      </c>
      <c r="S86" t="n">
        <v>873</v>
      </c>
      <c r="T86" t="n">
        <v>152</v>
      </c>
    </row>
    <row r="87">
      <c r="I87" s="1" t="n"/>
      <c r="J87" s="1" t="n"/>
      <c r="K87" s="1" t="n"/>
      <c r="L87" s="1" t="n"/>
      <c r="M87" s="1" t="n"/>
      <c r="O87" t="n">
        <v>86</v>
      </c>
      <c r="P87" t="inlineStr">
        <is>
          <t>13/02/2026</t>
        </is>
      </c>
      <c r="Q87" t="inlineStr">
        <is>
          <t>CN</t>
        </is>
      </c>
      <c r="R87" t="n">
        <v>450</v>
      </c>
      <c r="S87" t="n">
        <v>779</v>
      </c>
      <c r="T87" t="n">
        <v>205</v>
      </c>
    </row>
    <row r="88">
      <c r="I88" s="1" t="n"/>
      <c r="J88" s="1" t="n"/>
      <c r="K88" s="1" t="n"/>
      <c r="L88" s="1" t="n"/>
      <c r="M88" s="1" t="n"/>
      <c r="O88" t="n">
        <v>87</v>
      </c>
      <c r="P88" t="inlineStr">
        <is>
          <t>13/02/2026</t>
        </is>
      </c>
      <c r="Q88" t="inlineStr">
        <is>
          <t>CD</t>
        </is>
      </c>
      <c r="R88" t="n">
        <v>368</v>
      </c>
      <c r="S88" t="n">
        <v>624</v>
      </c>
      <c r="T88" t="n">
        <v>442</v>
      </c>
    </row>
    <row r="89">
      <c r="I89" s="1" t="n"/>
      <c r="J89" s="1" t="n"/>
      <c r="K89" s="1" t="n"/>
      <c r="L89" s="1" t="n"/>
      <c r="M89" s="1" t="n"/>
      <c r="O89" t="n">
        <v>88</v>
      </c>
      <c r="P89" t="inlineStr">
        <is>
          <t>14/02/2026</t>
        </is>
      </c>
      <c r="Q89" t="inlineStr">
        <is>
          <t>CN</t>
        </is>
      </c>
      <c r="R89" t="n">
        <v>0</v>
      </c>
      <c r="S89" t="n">
        <v>0</v>
      </c>
      <c r="T89" t="n">
        <v>1440</v>
      </c>
    </row>
    <row r="90">
      <c r="I90" s="1" t="n"/>
      <c r="J90" s="1" t="n"/>
      <c r="K90" s="1" t="n"/>
      <c r="L90" s="1" t="n"/>
      <c r="M90" s="1" t="n"/>
      <c r="O90" t="n">
        <v>89</v>
      </c>
      <c r="P90" t="inlineStr">
        <is>
          <t>14/02/2026</t>
        </is>
      </c>
      <c r="Q90" t="inlineStr">
        <is>
          <t>CD</t>
        </is>
      </c>
      <c r="R90" t="n">
        <v>0</v>
      </c>
      <c r="S90" t="n">
        <v>0</v>
      </c>
      <c r="T90" t="n">
        <v>1440</v>
      </c>
    </row>
    <row r="91">
      <c r="I91" s="1" t="n"/>
      <c r="J91" s="1" t="n"/>
      <c r="K91" s="1" t="n"/>
      <c r="L91" s="1" t="n"/>
      <c r="M91" s="1" t="n"/>
      <c r="O91" t="n">
        <v>90</v>
      </c>
      <c r="P91" t="inlineStr">
        <is>
          <t>15/02/2026</t>
        </is>
      </c>
      <c r="Q91" t="inlineStr">
        <is>
          <t>CN</t>
        </is>
      </c>
      <c r="R91" t="n">
        <v>0</v>
      </c>
      <c r="S91" t="n">
        <v>0</v>
      </c>
      <c r="T91" t="n">
        <v>1440</v>
      </c>
    </row>
    <row r="92">
      <c r="I92" s="1" t="n"/>
      <c r="J92" s="1" t="n"/>
      <c r="K92" s="1" t="n"/>
      <c r="L92" s="1" t="n"/>
      <c r="M92" s="1" t="n"/>
      <c r="O92" t="n">
        <v>91</v>
      </c>
      <c r="P92" t="inlineStr">
        <is>
          <t>15/02/2026</t>
        </is>
      </c>
      <c r="Q92" t="inlineStr">
        <is>
          <t>CD</t>
        </is>
      </c>
      <c r="R92" t="n">
        <v>0</v>
      </c>
      <c r="S92" t="n">
        <v>0</v>
      </c>
      <c r="T92" t="n">
        <v>1440</v>
      </c>
    </row>
    <row r="93">
      <c r="I93" s="1" t="n"/>
      <c r="J93" s="1" t="n"/>
      <c r="K93" s="1" t="n"/>
      <c r="L93" s="1" t="n"/>
      <c r="M93" s="1" t="n"/>
      <c r="O93" t="n">
        <v>92</v>
      </c>
      <c r="P93" t="inlineStr">
        <is>
          <t>16/02/2026</t>
        </is>
      </c>
      <c r="Q93" t="inlineStr">
        <is>
          <t>CN</t>
        </is>
      </c>
      <c r="R93" t="n">
        <v>0</v>
      </c>
      <c r="S93" t="n">
        <v>0</v>
      </c>
      <c r="T93" t="n">
        <v>1440</v>
      </c>
    </row>
    <row r="94">
      <c r="I94" s="1" t="n"/>
      <c r="J94" s="1" t="n"/>
      <c r="K94" s="1" t="n"/>
      <c r="L94" s="1" t="n"/>
      <c r="M94" s="1" t="n"/>
      <c r="O94" t="n">
        <v>93</v>
      </c>
      <c r="P94" t="inlineStr">
        <is>
          <t>16/02/2026</t>
        </is>
      </c>
      <c r="Q94" t="inlineStr">
        <is>
          <t>CD</t>
        </is>
      </c>
      <c r="R94" t="n">
        <v>0</v>
      </c>
      <c r="S94" t="n">
        <v>0</v>
      </c>
      <c r="T94" t="n">
        <v>1440</v>
      </c>
    </row>
    <row r="95">
      <c r="I95" s="1" t="n"/>
      <c r="J95" s="1" t="n"/>
      <c r="K95" s="1" t="n"/>
      <c r="L95" s="1" t="n"/>
      <c r="M95" s="1" t="n"/>
      <c r="O95" t="n">
        <v>94</v>
      </c>
      <c r="P95" t="inlineStr">
        <is>
          <t>17/02/2026</t>
        </is>
      </c>
      <c r="Q95" t="inlineStr">
        <is>
          <t>CN</t>
        </is>
      </c>
      <c r="R95" t="n">
        <v>0</v>
      </c>
      <c r="S95" t="n">
        <v>0</v>
      </c>
      <c r="T95" t="n">
        <v>1440</v>
      </c>
    </row>
    <row r="96">
      <c r="I96" s="1" t="n"/>
      <c r="J96" s="1" t="n"/>
      <c r="K96" s="1" t="n"/>
      <c r="L96" s="1" t="n"/>
      <c r="M96" s="1" t="n"/>
      <c r="O96" t="n">
        <v>95</v>
      </c>
      <c r="P96" t="inlineStr">
        <is>
          <t>17/02/2026</t>
        </is>
      </c>
      <c r="Q96" t="inlineStr">
        <is>
          <t>CD</t>
        </is>
      </c>
      <c r="R96" t="n">
        <v>0</v>
      </c>
      <c r="S96" t="n">
        <v>0</v>
      </c>
      <c r="T96" t="n">
        <v>1440</v>
      </c>
    </row>
    <row r="97">
      <c r="I97" s="1" t="n"/>
      <c r="J97" s="1" t="n"/>
      <c r="K97" s="1" t="n"/>
      <c r="L97" s="1" t="n"/>
      <c r="M97" s="1" t="n"/>
      <c r="O97" t="n">
        <v>96</v>
      </c>
      <c r="P97" t="inlineStr">
        <is>
          <t>18/02/2026</t>
        </is>
      </c>
      <c r="Q97" t="inlineStr">
        <is>
          <t>CN</t>
        </is>
      </c>
      <c r="R97" t="n">
        <v>0</v>
      </c>
      <c r="S97" t="n">
        <v>0</v>
      </c>
      <c r="T97" t="n">
        <v>1440</v>
      </c>
    </row>
    <row r="98">
      <c r="I98" s="1" t="n"/>
      <c r="J98" s="1" t="n"/>
      <c r="K98" s="1" t="n"/>
      <c r="L98" s="1" t="n"/>
      <c r="M98" s="1" t="n"/>
      <c r="O98" t="n">
        <v>97</v>
      </c>
      <c r="P98" t="inlineStr">
        <is>
          <t>18/02/2026</t>
        </is>
      </c>
      <c r="Q98" t="inlineStr">
        <is>
          <t>CD</t>
        </is>
      </c>
      <c r="R98" t="n">
        <v>0</v>
      </c>
      <c r="S98" t="n">
        <v>0</v>
      </c>
      <c r="T98" t="n">
        <v>1441</v>
      </c>
    </row>
    <row r="99">
      <c r="I99" s="1" t="n"/>
      <c r="J99" s="1" t="n"/>
      <c r="K99" s="1" t="n"/>
      <c r="L99" s="1" t="n"/>
      <c r="M99" s="1" t="n"/>
      <c r="O99" t="n">
        <v>98</v>
      </c>
      <c r="P99" t="inlineStr">
        <is>
          <t>19/02/2026</t>
        </is>
      </c>
      <c r="Q99" t="inlineStr">
        <is>
          <t>CN</t>
        </is>
      </c>
      <c r="R99" t="n">
        <v>0</v>
      </c>
      <c r="S99" t="n">
        <v>0</v>
      </c>
      <c r="T99" t="n">
        <v>1440</v>
      </c>
    </row>
    <row r="100">
      <c r="I100" s="1" t="n"/>
      <c r="J100" s="1" t="n"/>
      <c r="K100" s="1" t="n"/>
      <c r="L100" s="1" t="n"/>
      <c r="M100" s="1" t="n"/>
      <c r="O100" t="n">
        <v>99</v>
      </c>
      <c r="P100" t="inlineStr">
        <is>
          <t>19/02/2026</t>
        </is>
      </c>
      <c r="Q100" t="inlineStr">
        <is>
          <t>CD</t>
        </is>
      </c>
      <c r="R100" t="n">
        <v>0</v>
      </c>
      <c r="S100" t="n">
        <v>0</v>
      </c>
      <c r="T100" t="n">
        <v>1440</v>
      </c>
    </row>
    <row r="101">
      <c r="I101" s="1" t="n"/>
      <c r="J101" s="1" t="n"/>
      <c r="K101" s="1" t="n"/>
      <c r="L101" s="1" t="n"/>
      <c r="M101" s="1" t="n"/>
      <c r="O101" t="n">
        <v>100</v>
      </c>
      <c r="P101" t="inlineStr">
        <is>
          <t>20/02/2026</t>
        </is>
      </c>
      <c r="Q101" t="inlineStr">
        <is>
          <t>CN</t>
        </is>
      </c>
      <c r="R101" t="n">
        <v>0</v>
      </c>
      <c r="S101" t="n">
        <v>0</v>
      </c>
      <c r="T101" t="n">
        <v>1440</v>
      </c>
    </row>
    <row r="102">
      <c r="O102" t="n">
        <v>101</v>
      </c>
      <c r="P102" t="inlineStr">
        <is>
          <t>20/02/2026</t>
        </is>
      </c>
      <c r="Q102" t="inlineStr">
        <is>
          <t>CD</t>
        </is>
      </c>
      <c r="R102" t="n">
        <v>0</v>
      </c>
      <c r="S102" t="n">
        <v>0</v>
      </c>
      <c r="T102" t="n">
        <v>1440</v>
      </c>
    </row>
    <row r="103">
      <c r="O103" t="n">
        <v>102</v>
      </c>
      <c r="P103" t="inlineStr">
        <is>
          <t>21/02/2026</t>
        </is>
      </c>
      <c r="Q103" t="inlineStr">
        <is>
          <t>CN</t>
        </is>
      </c>
      <c r="R103" t="n">
        <v>0</v>
      </c>
      <c r="S103" t="n">
        <v>0</v>
      </c>
      <c r="T103" t="n">
        <v>1440</v>
      </c>
    </row>
    <row r="104">
      <c r="O104" t="n">
        <v>103</v>
      </c>
      <c r="P104" t="inlineStr">
        <is>
          <t>21/02/2026</t>
        </is>
      </c>
      <c r="Q104" t="inlineStr">
        <is>
          <t>CD</t>
        </is>
      </c>
      <c r="R104" t="n">
        <v>0</v>
      </c>
      <c r="S104" t="n">
        <v>0</v>
      </c>
      <c r="T104" t="n">
        <v>1440</v>
      </c>
    </row>
    <row r="105">
      <c r="O105" t="n">
        <v>104</v>
      </c>
      <c r="P105" t="inlineStr">
        <is>
          <t>22/02/2026</t>
        </is>
      </c>
      <c r="Q105" t="inlineStr">
        <is>
          <t>CN</t>
        </is>
      </c>
      <c r="R105" t="n">
        <v>0</v>
      </c>
      <c r="S105" t="n">
        <v>0</v>
      </c>
      <c r="T105" t="n">
        <v>1440</v>
      </c>
    </row>
    <row r="106">
      <c r="O106" t="n">
        <v>105</v>
      </c>
      <c r="P106" t="inlineStr">
        <is>
          <t>22/02/2026</t>
        </is>
      </c>
      <c r="Q106" t="inlineStr">
        <is>
          <t>CD</t>
        </is>
      </c>
      <c r="R106" t="n">
        <v>0</v>
      </c>
      <c r="S106" t="n">
        <v>0</v>
      </c>
      <c r="T106" t="n">
        <v>1441</v>
      </c>
    </row>
    <row r="107">
      <c r="O107" t="n">
        <v>106</v>
      </c>
      <c r="P107" t="inlineStr">
        <is>
          <t>23/02/2026</t>
        </is>
      </c>
      <c r="Q107" t="inlineStr">
        <is>
          <t>CN</t>
        </is>
      </c>
      <c r="R107" t="n">
        <v>420</v>
      </c>
      <c r="S107" t="n">
        <v>594</v>
      </c>
      <c r="T107" t="n">
        <v>422</v>
      </c>
    </row>
    <row r="108">
      <c r="O108" t="n">
        <v>107</v>
      </c>
      <c r="P108" t="inlineStr">
        <is>
          <t>23/02/2026</t>
        </is>
      </c>
      <c r="Q108" t="inlineStr">
        <is>
          <t>CD</t>
        </is>
      </c>
      <c r="R108" t="n">
        <v>170</v>
      </c>
      <c r="S108" t="n">
        <v>1108</v>
      </c>
      <c r="T108" t="n">
        <v>154</v>
      </c>
    </row>
    <row r="109">
      <c r="O109" t="n">
        <v>108</v>
      </c>
      <c r="P109" t="inlineStr">
        <is>
          <t>24/02/2026</t>
        </is>
      </c>
      <c r="Q109" t="inlineStr">
        <is>
          <t>CN</t>
        </is>
      </c>
      <c r="R109" t="n">
        <v>439</v>
      </c>
      <c r="S109" t="n">
        <v>787</v>
      </c>
      <c r="T109" t="n">
        <v>208</v>
      </c>
    </row>
    <row r="110">
      <c r="O110" t="n">
        <v>109</v>
      </c>
      <c r="P110" t="inlineStr">
        <is>
          <t>24/02/2026</t>
        </is>
      </c>
      <c r="Q110" t="inlineStr">
        <is>
          <t>CD</t>
        </is>
      </c>
      <c r="R110" t="n">
        <v>183</v>
      </c>
      <c r="S110" t="n">
        <v>1250</v>
      </c>
      <c r="T110" t="n">
        <v>0</v>
      </c>
    </row>
    <row r="111">
      <c r="O111" t="n">
        <v>110</v>
      </c>
      <c r="P111" t="inlineStr">
        <is>
          <t>25/02/2026</t>
        </is>
      </c>
      <c r="Q111" t="inlineStr">
        <is>
          <t>CN</t>
        </is>
      </c>
      <c r="R111" t="n">
        <v>342</v>
      </c>
      <c r="S111" t="n">
        <v>1092</v>
      </c>
      <c r="T111" t="n">
        <v>0</v>
      </c>
    </row>
    <row r="112">
      <c r="O112" t="n">
        <v>111</v>
      </c>
      <c r="P112" t="inlineStr">
        <is>
          <t>25/02/2026</t>
        </is>
      </c>
      <c r="Q112" t="inlineStr">
        <is>
          <t>CD</t>
        </is>
      </c>
      <c r="R112" t="n">
        <v>259</v>
      </c>
      <c r="S112" t="n">
        <v>1022</v>
      </c>
      <c r="T112" t="n">
        <v>153</v>
      </c>
    </row>
    <row r="113">
      <c r="O113" t="n">
        <v>112</v>
      </c>
      <c r="P113" t="inlineStr">
        <is>
          <t>26/02/2026</t>
        </is>
      </c>
      <c r="Q113" t="inlineStr">
        <is>
          <t>CN</t>
        </is>
      </c>
      <c r="R113" t="n">
        <v>373</v>
      </c>
      <c r="S113" t="n">
        <v>852</v>
      </c>
      <c r="T113" t="n">
        <v>208</v>
      </c>
    </row>
    <row r="114">
      <c r="O114" t="n">
        <v>113</v>
      </c>
      <c r="P114" t="inlineStr">
        <is>
          <t>26/02/2026</t>
        </is>
      </c>
      <c r="Q114" t="inlineStr">
        <is>
          <t>CD</t>
        </is>
      </c>
      <c r="R114" t="n">
        <v>227</v>
      </c>
      <c r="S114" t="n">
        <v>1207</v>
      </c>
      <c r="T114" t="n">
        <v>0</v>
      </c>
    </row>
    <row r="115">
      <c r="O115" t="n">
        <v>114</v>
      </c>
      <c r="P115" t="inlineStr">
        <is>
          <t>27/02/2026</t>
        </is>
      </c>
      <c r="Q115" t="inlineStr">
        <is>
          <t>CN</t>
        </is>
      </c>
      <c r="R115" t="n">
        <v>454</v>
      </c>
      <c r="S115" t="n">
        <v>978</v>
      </c>
      <c r="T115" t="n">
        <v>0</v>
      </c>
    </row>
    <row r="116">
      <c r="O116" t="n">
        <v>115</v>
      </c>
      <c r="P116" t="inlineStr">
        <is>
          <t>27/02/2026</t>
        </is>
      </c>
      <c r="Q116" t="inlineStr">
        <is>
          <t>CD</t>
        </is>
      </c>
      <c r="R116" t="n">
        <v>366</v>
      </c>
      <c r="S116" t="n">
        <v>856</v>
      </c>
      <c r="T116" t="n">
        <v>212</v>
      </c>
    </row>
    <row r="117">
      <c r="O117" t="n">
        <v>116</v>
      </c>
      <c r="P117" t="inlineStr">
        <is>
          <t>28/02/2026</t>
        </is>
      </c>
      <c r="Q117" t="inlineStr">
        <is>
          <t>CN</t>
        </is>
      </c>
      <c r="R117" t="n">
        <v>504</v>
      </c>
      <c r="S117" t="n">
        <v>696</v>
      </c>
      <c r="T117" t="n">
        <v>235</v>
      </c>
    </row>
    <row r="118">
      <c r="O118" t="n">
        <v>117</v>
      </c>
      <c r="P118" t="inlineStr">
        <is>
          <t>28/02/2026</t>
        </is>
      </c>
      <c r="Q118" t="inlineStr">
        <is>
          <t>CD</t>
        </is>
      </c>
      <c r="R118" t="n">
        <v>221</v>
      </c>
      <c r="S118" t="n">
        <v>729</v>
      </c>
      <c r="T118" t="n">
        <v>484</v>
      </c>
    </row>
    <row r="119">
      <c r="O119" t="n">
        <v>118</v>
      </c>
      <c r="P119" t="inlineStr">
        <is>
          <t>01/03/2026</t>
        </is>
      </c>
      <c r="Q119" t="inlineStr">
        <is>
          <t>CN</t>
        </is>
      </c>
      <c r="R119" t="n">
        <v>0</v>
      </c>
      <c r="S119" t="n">
        <v>0</v>
      </c>
      <c r="T119" t="n">
        <v>1154</v>
      </c>
    </row>
    <row r="120">
      <c r="O120" t="n">
        <v>119</v>
      </c>
      <c r="P120" t="inlineStr">
        <is>
          <t>01/03/2026</t>
        </is>
      </c>
      <c r="Q120" t="inlineStr">
        <is>
          <t>CD</t>
        </is>
      </c>
      <c r="R120" t="n">
        <v>0</v>
      </c>
      <c r="S120" t="n">
        <v>0</v>
      </c>
      <c r="T120" t="n">
        <v>1440</v>
      </c>
    </row>
    <row r="121">
      <c r="O121" t="n">
        <v>120</v>
      </c>
      <c r="P121" t="inlineStr">
        <is>
          <t>02/03/2026</t>
        </is>
      </c>
      <c r="Q121" t="inlineStr">
        <is>
          <t>CN</t>
        </is>
      </c>
      <c r="R121" t="n">
        <v>247</v>
      </c>
      <c r="S121" t="n">
        <v>783</v>
      </c>
      <c r="T121" t="n">
        <v>404</v>
      </c>
    </row>
    <row r="122">
      <c r="O122" t="n">
        <v>121</v>
      </c>
      <c r="P122" t="inlineStr">
        <is>
          <t>02/03/2026</t>
        </is>
      </c>
      <c r="Q122" t="inlineStr">
        <is>
          <t>CD</t>
        </is>
      </c>
      <c r="R122" t="n">
        <v>297</v>
      </c>
      <c r="S122" t="n">
        <v>981</v>
      </c>
      <c r="T122" t="n">
        <v>158</v>
      </c>
    </row>
    <row r="123">
      <c r="O123" t="n">
        <v>122</v>
      </c>
      <c r="P123" t="inlineStr">
        <is>
          <t>03/03/2026</t>
        </is>
      </c>
      <c r="Q123" t="inlineStr">
        <is>
          <t>CN</t>
        </is>
      </c>
      <c r="R123" t="n">
        <v>389</v>
      </c>
      <c r="S123" t="n">
        <v>842</v>
      </c>
      <c r="T123" t="n">
        <v>206</v>
      </c>
    </row>
    <row r="124">
      <c r="O124" t="n">
        <v>123</v>
      </c>
      <c r="P124" t="inlineStr">
        <is>
          <t>03/03/2026</t>
        </is>
      </c>
      <c r="Q124" t="inlineStr">
        <is>
          <t>CD</t>
        </is>
      </c>
      <c r="R124" t="n">
        <v>308</v>
      </c>
      <c r="S124" t="n">
        <v>970</v>
      </c>
      <c r="T124" t="n">
        <v>156</v>
      </c>
    </row>
    <row r="125">
      <c r="O125" t="n">
        <v>124</v>
      </c>
      <c r="P125" t="inlineStr">
        <is>
          <t>04/03/2026</t>
        </is>
      </c>
      <c r="Q125" t="inlineStr">
        <is>
          <t>CN</t>
        </is>
      </c>
      <c r="R125" t="n">
        <v>340</v>
      </c>
      <c r="S125" t="n">
        <v>889</v>
      </c>
      <c r="T125" t="n">
        <v>206</v>
      </c>
    </row>
    <row r="126">
      <c r="O126" t="n">
        <v>125</v>
      </c>
      <c r="P126" t="inlineStr">
        <is>
          <t>04/03/2026</t>
        </is>
      </c>
      <c r="Q126" t="inlineStr">
        <is>
          <t>CD</t>
        </is>
      </c>
      <c r="R126" t="n">
        <v>246</v>
      </c>
      <c r="S126" t="n">
        <v>1034</v>
      </c>
      <c r="T126" t="n">
        <v>156</v>
      </c>
    </row>
    <row r="127">
      <c r="O127" t="n">
        <v>126</v>
      </c>
      <c r="P127" t="inlineStr">
        <is>
          <t>05/03/2026</t>
        </is>
      </c>
      <c r="Q127" t="inlineStr">
        <is>
          <t>CN</t>
        </is>
      </c>
      <c r="R127" t="n">
        <v>404</v>
      </c>
      <c r="S127" t="n">
        <v>826</v>
      </c>
      <c r="T127" t="n">
        <v>205</v>
      </c>
    </row>
    <row r="128">
      <c r="O128" t="n">
        <v>127</v>
      </c>
      <c r="P128" t="inlineStr">
        <is>
          <t>05/03/2026</t>
        </is>
      </c>
      <c r="Q128" t="inlineStr">
        <is>
          <t>CD</t>
        </is>
      </c>
      <c r="R128" t="n">
        <v>221</v>
      </c>
      <c r="S128" t="n">
        <v>1058</v>
      </c>
      <c r="T128" t="n">
        <v>156</v>
      </c>
    </row>
    <row r="129">
      <c r="O129" t="n">
        <v>128</v>
      </c>
      <c r="P129" t="inlineStr">
        <is>
          <t>06/03/2026</t>
        </is>
      </c>
      <c r="Q129" t="inlineStr">
        <is>
          <t>CN</t>
        </is>
      </c>
      <c r="R129" t="n">
        <v>386</v>
      </c>
      <c r="S129" t="n">
        <v>842</v>
      </c>
      <c r="T129" t="n">
        <v>206</v>
      </c>
    </row>
    <row r="130">
      <c r="O130" t="n">
        <v>129</v>
      </c>
      <c r="P130" t="inlineStr">
        <is>
          <t>06/03/2026</t>
        </is>
      </c>
      <c r="Q130" t="inlineStr">
        <is>
          <t>CD</t>
        </is>
      </c>
      <c r="R130" t="n">
        <v>353</v>
      </c>
      <c r="S130" t="n">
        <v>926</v>
      </c>
      <c r="T130" t="n">
        <v>157</v>
      </c>
    </row>
    <row r="131">
      <c r="O131" t="n">
        <v>130</v>
      </c>
      <c r="P131" t="inlineStr">
        <is>
          <t>07/03/2026</t>
        </is>
      </c>
      <c r="Q131" t="inlineStr">
        <is>
          <t>CN</t>
        </is>
      </c>
      <c r="R131" t="n">
        <v>135</v>
      </c>
      <c r="S131" t="n">
        <v>1066</v>
      </c>
      <c r="T131" t="n">
        <v>236</v>
      </c>
    </row>
    <row r="132">
      <c r="O132" t="n">
        <v>131</v>
      </c>
      <c r="P132" t="inlineStr">
        <is>
          <t>07/03/2026</t>
        </is>
      </c>
      <c r="Q132" t="inlineStr">
        <is>
          <t>CD</t>
        </is>
      </c>
      <c r="R132" t="n">
        <v>388</v>
      </c>
      <c r="S132" t="n">
        <v>805</v>
      </c>
      <c r="T132" t="n">
        <v>242</v>
      </c>
    </row>
    <row r="133">
      <c r="O133" t="n">
        <v>132</v>
      </c>
      <c r="P133" t="inlineStr">
        <is>
          <t>08/03/2026</t>
        </is>
      </c>
      <c r="Q133" t="inlineStr">
        <is>
          <t>CN</t>
        </is>
      </c>
      <c r="R133" t="n">
        <v>391</v>
      </c>
      <c r="S133" t="n">
        <v>806</v>
      </c>
      <c r="T133" t="n">
        <v>240</v>
      </c>
    </row>
    <row r="134">
      <c r="O134" t="n">
        <v>133</v>
      </c>
      <c r="P134" t="inlineStr">
        <is>
          <t>08/03/2026</t>
        </is>
      </c>
      <c r="Q134" t="inlineStr">
        <is>
          <t>CD</t>
        </is>
      </c>
      <c r="R134" t="n">
        <v>0</v>
      </c>
      <c r="S134" t="n">
        <v>0</v>
      </c>
      <c r="T134" t="n">
        <v>1440</v>
      </c>
    </row>
    <row r="135">
      <c r="O135" t="n">
        <v>134</v>
      </c>
      <c r="P135" t="inlineStr">
        <is>
          <t>09/03/2026</t>
        </is>
      </c>
      <c r="Q135" t="inlineStr">
        <is>
          <t>CN</t>
        </is>
      </c>
      <c r="R135" t="n">
        <v>270</v>
      </c>
      <c r="S135" t="n">
        <v>756</v>
      </c>
      <c r="T135" t="n">
        <v>411</v>
      </c>
    </row>
    <row r="136">
      <c r="O136" t="n">
        <v>135</v>
      </c>
      <c r="P136" t="inlineStr">
        <is>
          <t>09/03/2026</t>
        </is>
      </c>
      <c r="Q136" t="inlineStr">
        <is>
          <t>CD</t>
        </is>
      </c>
      <c r="R136" t="n">
        <v>214</v>
      </c>
      <c r="S136" t="n">
        <v>1069</v>
      </c>
      <c r="T136" t="n">
        <v>153</v>
      </c>
    </row>
    <row r="137">
      <c r="O137" t="n">
        <v>136</v>
      </c>
      <c r="P137" t="inlineStr">
        <is>
          <t>10/03/2026</t>
        </is>
      </c>
      <c r="Q137" t="inlineStr">
        <is>
          <t>CN</t>
        </is>
      </c>
      <c r="R137" t="n">
        <v>423</v>
      </c>
      <c r="S137" t="n">
        <v>809</v>
      </c>
      <c r="T137" t="n">
        <v>204</v>
      </c>
    </row>
    <row r="138">
      <c r="O138" t="n">
        <v>137</v>
      </c>
      <c r="P138" t="inlineStr">
        <is>
          <t>10/03/2026</t>
        </is>
      </c>
      <c r="Q138" t="inlineStr">
        <is>
          <t>CD</t>
        </is>
      </c>
      <c r="R138" t="n">
        <v>190</v>
      </c>
      <c r="S138" t="n">
        <v>1092</v>
      </c>
      <c r="T138" t="n">
        <v>154</v>
      </c>
    </row>
    <row r="139">
      <c r="O139" t="n">
        <v>138</v>
      </c>
      <c r="P139" t="inlineStr">
        <is>
          <t>11/03/2026</t>
        </is>
      </c>
      <c r="Q139" t="inlineStr">
        <is>
          <t>CN</t>
        </is>
      </c>
      <c r="R139" t="n">
        <v>309</v>
      </c>
      <c r="S139" t="n">
        <v>922</v>
      </c>
      <c r="T139" t="n">
        <v>206</v>
      </c>
    </row>
    <row r="140">
      <c r="O140" t="n">
        <v>139</v>
      </c>
      <c r="P140" t="inlineStr">
        <is>
          <t>11/03/2026</t>
        </is>
      </c>
      <c r="Q140" t="inlineStr">
        <is>
          <t>CD</t>
        </is>
      </c>
      <c r="R140" t="n">
        <v>233</v>
      </c>
      <c r="S140" t="n">
        <v>1048</v>
      </c>
      <c r="T140" t="n">
        <v>154</v>
      </c>
    </row>
    <row r="141">
      <c r="O141" t="n">
        <v>140</v>
      </c>
      <c r="P141" t="inlineStr">
        <is>
          <t>12/03/2026</t>
        </is>
      </c>
      <c r="Q141" t="inlineStr">
        <is>
          <t>CN</t>
        </is>
      </c>
      <c r="R141" t="n">
        <v>483</v>
      </c>
      <c r="S141" t="n">
        <v>748</v>
      </c>
      <c r="T141" t="n">
        <v>205</v>
      </c>
    </row>
    <row r="142">
      <c r="O142" t="n">
        <v>141</v>
      </c>
      <c r="P142" t="inlineStr">
        <is>
          <t>12/03/2026</t>
        </is>
      </c>
      <c r="Q142" t="inlineStr">
        <is>
          <t>CD</t>
        </is>
      </c>
      <c r="R142" t="n">
        <v>331</v>
      </c>
      <c r="S142" t="n">
        <v>950</v>
      </c>
      <c r="T142" t="n">
        <v>155</v>
      </c>
    </row>
    <row r="143">
      <c r="O143" t="n">
        <v>142</v>
      </c>
      <c r="P143" t="inlineStr">
        <is>
          <t>13/03/2026</t>
        </is>
      </c>
      <c r="Q143" t="inlineStr">
        <is>
          <t>CN</t>
        </is>
      </c>
      <c r="R143" t="n">
        <v>451</v>
      </c>
      <c r="S143" t="n">
        <v>781</v>
      </c>
      <c r="T143" t="n">
        <v>204</v>
      </c>
    </row>
    <row r="144">
      <c r="O144" t="n">
        <v>143</v>
      </c>
      <c r="P144" t="inlineStr">
        <is>
          <t>13/03/2026</t>
        </is>
      </c>
      <c r="Q144" t="inlineStr">
        <is>
          <t>CD</t>
        </is>
      </c>
      <c r="R144" t="n">
        <v>219</v>
      </c>
      <c r="S144" t="n">
        <v>1061</v>
      </c>
      <c r="T144" t="n">
        <v>155</v>
      </c>
    </row>
    <row r="145">
      <c r="O145" t="n">
        <v>144</v>
      </c>
      <c r="P145" t="inlineStr">
        <is>
          <t>14/03/2026</t>
        </is>
      </c>
      <c r="Q145" t="inlineStr">
        <is>
          <t>CN</t>
        </is>
      </c>
      <c r="R145" t="n">
        <v>385</v>
      </c>
      <c r="S145" t="n">
        <v>816</v>
      </c>
      <c r="T145" t="n">
        <v>235</v>
      </c>
    </row>
    <row r="146">
      <c r="O146" t="n">
        <v>145</v>
      </c>
      <c r="P146" t="inlineStr">
        <is>
          <t>14/03/2026</t>
        </is>
      </c>
      <c r="Q146" t="inlineStr">
        <is>
          <t>CD</t>
        </is>
      </c>
      <c r="R146" t="n">
        <v>223</v>
      </c>
      <c r="S146" t="n">
        <v>727</v>
      </c>
      <c r="T146" t="n">
        <v>487</v>
      </c>
    </row>
    <row r="147">
      <c r="O147" t="n">
        <v>146</v>
      </c>
      <c r="P147" t="inlineStr">
        <is>
          <t>15/03/2026</t>
        </is>
      </c>
      <c r="Q147" t="inlineStr">
        <is>
          <t>CN</t>
        </is>
      </c>
      <c r="R147" t="n">
        <v>0</v>
      </c>
      <c r="S147" t="n">
        <v>0</v>
      </c>
      <c r="T147" t="n">
        <v>1440</v>
      </c>
    </row>
    <row r="148">
      <c r="O148" t="n">
        <v>147</v>
      </c>
      <c r="P148" t="inlineStr">
        <is>
          <t>15/03/2026</t>
        </is>
      </c>
      <c r="Q148" t="inlineStr">
        <is>
          <t>CD</t>
        </is>
      </c>
      <c r="R148" t="n">
        <v>0</v>
      </c>
      <c r="S148" t="n">
        <v>0</v>
      </c>
      <c r="T148" t="n">
        <v>1440</v>
      </c>
    </row>
    <row r="149">
      <c r="O149" t="n">
        <v>148</v>
      </c>
      <c r="P149" t="inlineStr">
        <is>
          <t>16/03/2026</t>
        </is>
      </c>
      <c r="Q149" t="inlineStr">
        <is>
          <t>CN</t>
        </is>
      </c>
      <c r="R149" t="n">
        <v>277</v>
      </c>
      <c r="S149" t="n">
        <v>745</v>
      </c>
      <c r="T149" t="n">
        <v>411</v>
      </c>
    </row>
    <row r="150">
      <c r="O150" t="n">
        <v>149</v>
      </c>
      <c r="P150" t="inlineStr">
        <is>
          <t>16/03/2026</t>
        </is>
      </c>
      <c r="Q150" t="inlineStr">
        <is>
          <t>CD</t>
        </is>
      </c>
      <c r="R150" t="n">
        <v>343</v>
      </c>
      <c r="S150" t="n">
        <v>935</v>
      </c>
      <c r="T150" t="n">
        <v>156</v>
      </c>
    </row>
    <row r="151">
      <c r="O151" t="n">
        <v>150</v>
      </c>
      <c r="P151" t="inlineStr">
        <is>
          <t>17/03/2026</t>
        </is>
      </c>
      <c r="Q151" t="inlineStr">
        <is>
          <t>CN</t>
        </is>
      </c>
      <c r="R151" t="n">
        <v>516</v>
      </c>
      <c r="S151" t="n">
        <v>714</v>
      </c>
      <c r="T151" t="n">
        <v>205</v>
      </c>
    </row>
    <row r="152">
      <c r="O152" t="n">
        <v>151</v>
      </c>
      <c r="P152" t="inlineStr">
        <is>
          <t>17/03/2026</t>
        </is>
      </c>
      <c r="Q152" t="inlineStr">
        <is>
          <t>CD</t>
        </is>
      </c>
      <c r="R152" t="n">
        <v>362</v>
      </c>
      <c r="S152" t="n">
        <v>915</v>
      </c>
      <c r="T152" t="n">
        <v>158</v>
      </c>
    </row>
    <row r="153">
      <c r="O153" t="n">
        <v>152</v>
      </c>
      <c r="P153" t="inlineStr">
        <is>
          <t>18/03/2026</t>
        </is>
      </c>
      <c r="Q153" t="inlineStr">
        <is>
          <t>CN</t>
        </is>
      </c>
      <c r="R153" t="n">
        <v>460</v>
      </c>
      <c r="S153" t="n">
        <v>765</v>
      </c>
      <c r="T153" t="n">
        <v>210</v>
      </c>
    </row>
    <row r="154">
      <c r="O154" t="n">
        <v>153</v>
      </c>
      <c r="P154" t="inlineStr">
        <is>
          <t>18/03/2026</t>
        </is>
      </c>
      <c r="Q154" t="inlineStr">
        <is>
          <t>CD</t>
        </is>
      </c>
      <c r="R154" t="n">
        <v>446</v>
      </c>
      <c r="S154" t="n">
        <v>835</v>
      </c>
      <c r="T154" t="n">
        <v>154</v>
      </c>
    </row>
    <row r="155">
      <c r="O155" t="n">
        <v>154</v>
      </c>
      <c r="P155" t="inlineStr">
        <is>
          <t>19/03/2026</t>
        </is>
      </c>
      <c r="Q155" t="inlineStr">
        <is>
          <t>CN</t>
        </is>
      </c>
      <c r="R155" t="n">
        <v>424</v>
      </c>
      <c r="S155" t="n">
        <v>806</v>
      </c>
      <c r="T155" t="n">
        <v>207</v>
      </c>
    </row>
    <row r="156">
      <c r="O156" t="n">
        <v>155</v>
      </c>
      <c r="P156" t="inlineStr">
        <is>
          <t>19/03/2026</t>
        </is>
      </c>
      <c r="Q156" t="inlineStr">
        <is>
          <t>CD</t>
        </is>
      </c>
      <c r="R156" t="n">
        <v>360</v>
      </c>
      <c r="S156" t="n">
        <v>921</v>
      </c>
      <c r="T156" t="n">
        <v>155</v>
      </c>
    </row>
    <row r="157">
      <c r="O157" t="n">
        <v>156</v>
      </c>
      <c r="P157" t="inlineStr">
        <is>
          <t>20/03/2026</t>
        </is>
      </c>
      <c r="Q157" t="inlineStr">
        <is>
          <t>CN</t>
        </is>
      </c>
      <c r="R157" t="n">
        <v>366</v>
      </c>
      <c r="S157" t="n">
        <v>866</v>
      </c>
      <c r="T157" t="n">
        <v>205</v>
      </c>
    </row>
    <row r="158">
      <c r="O158" t="n">
        <v>157</v>
      </c>
      <c r="P158" t="inlineStr">
        <is>
          <t>20/03/2026</t>
        </is>
      </c>
      <c r="Q158" t="inlineStr">
        <is>
          <t>CD</t>
        </is>
      </c>
      <c r="R158" t="n">
        <v>251</v>
      </c>
      <c r="S158" t="n">
        <v>1027</v>
      </c>
      <c r="T158" t="n">
        <v>157</v>
      </c>
    </row>
    <row r="159">
      <c r="O159" t="n">
        <v>158</v>
      </c>
      <c r="P159" t="inlineStr">
        <is>
          <t>21/03/2026</t>
        </is>
      </c>
      <c r="Q159" t="inlineStr">
        <is>
          <t>CN</t>
        </is>
      </c>
      <c r="R159" t="n">
        <v>243</v>
      </c>
      <c r="S159" t="n">
        <v>959</v>
      </c>
      <c r="T159" t="n">
        <v>235</v>
      </c>
    </row>
    <row r="160">
      <c r="O160" t="n">
        <v>159</v>
      </c>
      <c r="P160" t="inlineStr">
        <is>
          <t>21/03/2026</t>
        </is>
      </c>
      <c r="Q160" t="inlineStr">
        <is>
          <t>CD</t>
        </is>
      </c>
      <c r="R160" t="n">
        <v>182</v>
      </c>
      <c r="S160" t="n">
        <v>1006</v>
      </c>
      <c r="T160" t="n">
        <v>248</v>
      </c>
    </row>
    <row r="161">
      <c r="O161" t="n">
        <v>160</v>
      </c>
      <c r="P161" t="inlineStr">
        <is>
          <t>22/03/2026</t>
        </is>
      </c>
      <c r="Q161" t="inlineStr">
        <is>
          <t>CD</t>
        </is>
      </c>
      <c r="R161" t="n">
        <v>276</v>
      </c>
      <c r="S161" t="n">
        <v>85</v>
      </c>
      <c r="T161" t="n">
        <v>1465</v>
      </c>
    </row>
    <row r="162">
      <c r="O162" t="n">
        <v>161</v>
      </c>
      <c r="P162" t="inlineStr">
        <is>
          <t>23/03/2026</t>
        </is>
      </c>
      <c r="Q162" t="inlineStr">
        <is>
          <t>CN</t>
        </is>
      </c>
      <c r="R162" t="n">
        <v>215</v>
      </c>
      <c r="S162" t="n">
        <v>814</v>
      </c>
      <c r="T162" t="n">
        <v>408</v>
      </c>
    </row>
    <row r="163">
      <c r="O163" t="n">
        <v>162</v>
      </c>
      <c r="P163" t="inlineStr">
        <is>
          <t>23/03/2026</t>
        </is>
      </c>
      <c r="Q163" t="inlineStr">
        <is>
          <t>CD</t>
        </is>
      </c>
      <c r="R163" t="n">
        <v>258</v>
      </c>
      <c r="S163" t="n">
        <v>1024</v>
      </c>
      <c r="T163" t="n">
        <v>155</v>
      </c>
    </row>
    <row r="164">
      <c r="O164" t="n">
        <v>163</v>
      </c>
      <c r="P164" t="inlineStr">
        <is>
          <t>24/03/2026</t>
        </is>
      </c>
      <c r="Q164" t="inlineStr">
        <is>
          <t>CN</t>
        </is>
      </c>
      <c r="R164" t="n">
        <v>389</v>
      </c>
      <c r="S164" t="n">
        <v>844</v>
      </c>
      <c r="T164" t="n">
        <v>204</v>
      </c>
    </row>
    <row r="165">
      <c r="O165" t="n">
        <v>164</v>
      </c>
      <c r="P165" t="inlineStr">
        <is>
          <t>24/03/2026</t>
        </is>
      </c>
      <c r="Q165" t="inlineStr">
        <is>
          <t>CD</t>
        </is>
      </c>
      <c r="R165" t="n">
        <v>201</v>
      </c>
      <c r="S165" t="n">
        <v>1080</v>
      </c>
      <c r="T165" t="n">
        <v>154</v>
      </c>
    </row>
    <row r="166">
      <c r="O166" t="n">
        <v>165</v>
      </c>
      <c r="P166" t="inlineStr">
        <is>
          <t>25/03/2026</t>
        </is>
      </c>
      <c r="Q166" t="inlineStr">
        <is>
          <t>CN</t>
        </is>
      </c>
      <c r="R166" t="n">
        <v>396</v>
      </c>
      <c r="S166" t="n">
        <v>833</v>
      </c>
      <c r="T166" t="n">
        <v>205</v>
      </c>
    </row>
    <row r="167">
      <c r="O167" t="n">
        <v>166</v>
      </c>
      <c r="P167" t="inlineStr">
        <is>
          <t>25/03/2026</t>
        </is>
      </c>
      <c r="Q167" t="inlineStr">
        <is>
          <t>CD</t>
        </is>
      </c>
      <c r="R167" t="n">
        <v>265</v>
      </c>
      <c r="S167" t="n">
        <v>1011</v>
      </c>
      <c r="T167" t="n">
        <v>154</v>
      </c>
    </row>
    <row r="168">
      <c r="O168" t="n">
        <v>167</v>
      </c>
      <c r="P168" t="inlineStr">
        <is>
          <t>26/03/2026</t>
        </is>
      </c>
      <c r="Q168" t="inlineStr">
        <is>
          <t>CN</t>
        </is>
      </c>
      <c r="R168" t="n">
        <v>313</v>
      </c>
      <c r="S168" t="n">
        <v>917</v>
      </c>
      <c r="T168" t="n">
        <v>206</v>
      </c>
    </row>
    <row r="169">
      <c r="O169" t="n">
        <v>168</v>
      </c>
      <c r="P169" t="inlineStr">
        <is>
          <t>26/03/2026</t>
        </is>
      </c>
      <c r="Q169" t="inlineStr">
        <is>
          <t>CD</t>
        </is>
      </c>
      <c r="R169" t="n">
        <v>192</v>
      </c>
      <c r="S169" t="n">
        <v>1088</v>
      </c>
      <c r="T169" t="n">
        <v>155</v>
      </c>
    </row>
    <row r="170">
      <c r="O170" t="n">
        <v>169</v>
      </c>
      <c r="P170" t="inlineStr">
        <is>
          <t>27/03/2026</t>
        </is>
      </c>
      <c r="Q170" t="inlineStr">
        <is>
          <t>CN</t>
        </is>
      </c>
      <c r="R170" t="n">
        <v>402</v>
      </c>
      <c r="S170" t="n">
        <v>827</v>
      </c>
      <c r="T170" t="n">
        <v>206</v>
      </c>
    </row>
    <row r="171">
      <c r="O171" t="n">
        <v>170</v>
      </c>
      <c r="P171" t="inlineStr">
        <is>
          <t>27/03/2026</t>
        </is>
      </c>
      <c r="Q171" t="inlineStr">
        <is>
          <t>CD</t>
        </is>
      </c>
      <c r="R171" t="n">
        <v>184</v>
      </c>
      <c r="S171" t="n">
        <v>948</v>
      </c>
      <c r="T171" t="n">
        <v>304</v>
      </c>
    </row>
    <row r="172">
      <c r="O172" t="n">
        <v>171</v>
      </c>
      <c r="P172" t="inlineStr">
        <is>
          <t>28/03/2026</t>
        </is>
      </c>
      <c r="Q172" t="inlineStr">
        <is>
          <t>CN</t>
        </is>
      </c>
      <c r="R172" t="n">
        <v>434</v>
      </c>
      <c r="S172" t="n">
        <v>535</v>
      </c>
      <c r="T172" t="n">
        <v>466</v>
      </c>
    </row>
    <row r="173">
      <c r="O173" t="n">
        <v>172</v>
      </c>
      <c r="P173" t="inlineStr">
        <is>
          <t>28/03/2026</t>
        </is>
      </c>
      <c r="Q173" t="inlineStr">
        <is>
          <t>CD</t>
        </is>
      </c>
      <c r="R173" t="n">
        <v>132</v>
      </c>
      <c r="S173" t="n">
        <v>817</v>
      </c>
      <c r="T173" t="n">
        <v>488</v>
      </c>
    </row>
    <row r="174">
      <c r="O174" t="n">
        <v>173</v>
      </c>
      <c r="P174" t="inlineStr">
        <is>
          <t>29/03/2026</t>
        </is>
      </c>
      <c r="Q174" t="inlineStr">
        <is>
          <t>CN</t>
        </is>
      </c>
      <c r="R174" t="n">
        <v>176</v>
      </c>
      <c r="S174" t="n">
        <v>784</v>
      </c>
      <c r="T174" t="n">
        <v>474</v>
      </c>
    </row>
    <row r="175">
      <c r="O175" t="n">
        <v>174</v>
      </c>
      <c r="P175" t="inlineStr">
        <is>
          <t>29/03/2026</t>
        </is>
      </c>
      <c r="Q175" t="inlineStr">
        <is>
          <t>CD</t>
        </is>
      </c>
      <c r="R175" t="n">
        <v>0</v>
      </c>
      <c r="S175" t="n">
        <v>0</v>
      </c>
      <c r="T175" t="n">
        <v>1440</v>
      </c>
    </row>
    <row r="176">
      <c r="O176" t="n">
        <v>175</v>
      </c>
      <c r="P176" t="inlineStr">
        <is>
          <t>30/03/2026</t>
        </is>
      </c>
      <c r="Q176" t="inlineStr">
        <is>
          <t>CN</t>
        </is>
      </c>
      <c r="R176" t="n">
        <v>218</v>
      </c>
      <c r="S176" t="n">
        <v>807</v>
      </c>
      <c r="T176" t="n">
        <v>411</v>
      </c>
    </row>
    <row r="177">
      <c r="O177" t="n">
        <v>176</v>
      </c>
      <c r="P177" t="inlineStr">
        <is>
          <t>30/03/2026</t>
        </is>
      </c>
      <c r="Q177" t="inlineStr">
        <is>
          <t>CD</t>
        </is>
      </c>
      <c r="R177" t="n">
        <v>391</v>
      </c>
      <c r="S177" t="n">
        <v>733</v>
      </c>
      <c r="T177" t="n">
        <v>311</v>
      </c>
    </row>
    <row r="178">
      <c r="O178" t="n">
        <v>177</v>
      </c>
      <c r="P178" t="inlineStr">
        <is>
          <t>31/03/2026</t>
        </is>
      </c>
      <c r="Q178" t="inlineStr">
        <is>
          <t>CN</t>
        </is>
      </c>
      <c r="R178" t="n">
        <v>285</v>
      </c>
      <c r="S178" t="n">
        <v>738</v>
      </c>
      <c r="T178" t="n">
        <v>412</v>
      </c>
    </row>
    <row r="179">
      <c r="O179" t="n">
        <v>178</v>
      </c>
      <c r="P179" t="inlineStr">
        <is>
          <t>31/03/2026</t>
        </is>
      </c>
      <c r="Q179" t="inlineStr">
        <is>
          <t>CD</t>
        </is>
      </c>
      <c r="R179" t="n">
        <v>290</v>
      </c>
      <c r="S179" t="n">
        <v>990</v>
      </c>
      <c r="T179" t="n">
        <v>155</v>
      </c>
    </row>
    <row r="180">
      <c r="O180" t="n">
        <v>179</v>
      </c>
      <c r="P180" t="inlineStr">
        <is>
          <t>01/04/2026</t>
        </is>
      </c>
      <c r="Q180" t="inlineStr">
        <is>
          <t>CN</t>
        </is>
      </c>
      <c r="R180" t="n">
        <v>424</v>
      </c>
      <c r="S180" t="n">
        <v>807</v>
      </c>
      <c r="T180" t="n">
        <v>206</v>
      </c>
    </row>
    <row r="181">
      <c r="O181" t="n">
        <v>180</v>
      </c>
      <c r="P181" t="inlineStr">
        <is>
          <t>01/04/2026</t>
        </is>
      </c>
      <c r="Q181" t="inlineStr">
        <is>
          <t>CD</t>
        </is>
      </c>
      <c r="R181" t="n">
        <v>294</v>
      </c>
      <c r="S181" t="n">
        <v>985</v>
      </c>
      <c r="T181" t="n">
        <v>156</v>
      </c>
    </row>
    <row r="182">
      <c r="O182" t="n">
        <v>181</v>
      </c>
      <c r="P182" t="inlineStr">
        <is>
          <t>02/04/2026</t>
        </is>
      </c>
      <c r="Q182" t="inlineStr">
        <is>
          <t>CN</t>
        </is>
      </c>
      <c r="R182" t="n">
        <v>408</v>
      </c>
      <c r="S182" t="n">
        <v>824</v>
      </c>
      <c r="T182" t="n">
        <v>205</v>
      </c>
    </row>
    <row r="183">
      <c r="O183" t="n">
        <v>182</v>
      </c>
      <c r="P183" t="inlineStr">
        <is>
          <t>02/04/2026</t>
        </is>
      </c>
      <c r="Q183" t="inlineStr">
        <is>
          <t>CD</t>
        </is>
      </c>
      <c r="R183" t="n">
        <v>444</v>
      </c>
      <c r="S183" t="n">
        <v>834</v>
      </c>
      <c r="T183" t="n">
        <v>157</v>
      </c>
    </row>
    <row r="184">
      <c r="O184" t="n">
        <v>183</v>
      </c>
      <c r="P184" t="inlineStr">
        <is>
          <t>03/04/2026</t>
        </is>
      </c>
      <c r="Q184" t="inlineStr">
        <is>
          <t>CN</t>
        </is>
      </c>
      <c r="R184" t="n">
        <v>452</v>
      </c>
      <c r="S184" t="n">
        <v>777</v>
      </c>
      <c r="T184" t="n">
        <v>207</v>
      </c>
    </row>
    <row r="185">
      <c r="O185" t="n">
        <v>184</v>
      </c>
      <c r="P185" t="inlineStr">
        <is>
          <t>03/04/2026</t>
        </is>
      </c>
      <c r="Q185" t="inlineStr">
        <is>
          <t>CD</t>
        </is>
      </c>
      <c r="R185" t="n">
        <v>451</v>
      </c>
      <c r="S185" t="n">
        <v>826</v>
      </c>
      <c r="T185" t="n">
        <v>158</v>
      </c>
    </row>
    <row r="186">
      <c r="O186" t="n">
        <v>185</v>
      </c>
      <c r="P186" t="inlineStr">
        <is>
          <t>04/04/2026</t>
        </is>
      </c>
      <c r="Q186" t="inlineStr">
        <is>
          <t>CN</t>
        </is>
      </c>
      <c r="R186" t="n">
        <v>488</v>
      </c>
      <c r="S186" t="n">
        <v>712</v>
      </c>
      <c r="T186" t="n">
        <v>236</v>
      </c>
    </row>
    <row r="187">
      <c r="O187" t="n">
        <v>186</v>
      </c>
      <c r="P187" t="inlineStr">
        <is>
          <t>04/04/2026</t>
        </is>
      </c>
      <c r="Q187" t="inlineStr">
        <is>
          <t>CD</t>
        </is>
      </c>
      <c r="R187" t="n">
        <v>418</v>
      </c>
      <c r="S187" t="n">
        <v>771</v>
      </c>
      <c r="T187" t="n">
        <v>248</v>
      </c>
    </row>
    <row r="188">
      <c r="O188" t="n">
        <v>187</v>
      </c>
      <c r="P188" t="inlineStr">
        <is>
          <t>05/04/2026</t>
        </is>
      </c>
      <c r="Q188" t="inlineStr">
        <is>
          <t>CN</t>
        </is>
      </c>
      <c r="R188" t="n">
        <v>363</v>
      </c>
      <c r="S188" t="n">
        <v>833</v>
      </c>
      <c r="T188" t="n">
        <v>242</v>
      </c>
    </row>
    <row r="189">
      <c r="O189" t="n">
        <v>188</v>
      </c>
      <c r="P189" t="inlineStr">
        <is>
          <t>05/04/2026</t>
        </is>
      </c>
      <c r="Q189" t="inlineStr">
        <is>
          <t>CD</t>
        </is>
      </c>
      <c r="R189" t="n">
        <v>0</v>
      </c>
      <c r="S189" t="n">
        <v>0</v>
      </c>
      <c r="T189" t="n">
        <v>1440</v>
      </c>
    </row>
    <row r="190">
      <c r="O190" t="n">
        <v>189</v>
      </c>
      <c r="P190" t="inlineStr">
        <is>
          <t>06/04/2026</t>
        </is>
      </c>
      <c r="Q190" t="inlineStr">
        <is>
          <t>CN</t>
        </is>
      </c>
      <c r="R190" t="n">
        <v>330</v>
      </c>
      <c r="S190" t="n">
        <v>694</v>
      </c>
      <c r="T190" t="n">
        <v>412</v>
      </c>
    </row>
    <row r="191">
      <c r="O191" t="n">
        <v>190</v>
      </c>
      <c r="P191" t="inlineStr">
        <is>
          <t>06/04/2026</t>
        </is>
      </c>
      <c r="Q191" t="inlineStr">
        <is>
          <t>CD</t>
        </is>
      </c>
      <c r="R191" t="n">
        <v>348</v>
      </c>
      <c r="S191" t="n">
        <v>777</v>
      </c>
      <c r="T191" t="n">
        <v>309</v>
      </c>
    </row>
    <row r="192">
      <c r="O192" t="n">
        <v>191</v>
      </c>
      <c r="P192" t="inlineStr">
        <is>
          <t>07/04/2026</t>
        </is>
      </c>
      <c r="Q192" t="inlineStr">
        <is>
          <t>CN</t>
        </is>
      </c>
      <c r="R192" t="n">
        <v>239</v>
      </c>
      <c r="S192" t="n">
        <v>790</v>
      </c>
      <c r="T192" t="n">
        <v>407</v>
      </c>
    </row>
    <row r="193">
      <c r="O193" t="n">
        <v>192</v>
      </c>
      <c r="P193" t="inlineStr">
        <is>
          <t>07/04/2026</t>
        </is>
      </c>
      <c r="Q193" t="inlineStr">
        <is>
          <t>CD</t>
        </is>
      </c>
      <c r="R193" t="n">
        <v>314</v>
      </c>
      <c r="S193" t="n">
        <v>809</v>
      </c>
      <c r="T193" t="n">
        <v>308</v>
      </c>
    </row>
    <row r="194">
      <c r="O194" t="n">
        <v>193</v>
      </c>
      <c r="P194" t="inlineStr">
        <is>
          <t>08/04/2026</t>
        </is>
      </c>
      <c r="Q194" t="inlineStr">
        <is>
          <t>CN</t>
        </is>
      </c>
      <c r="R194" t="n">
        <v>294</v>
      </c>
      <c r="S194" t="n">
        <v>736</v>
      </c>
      <c r="T194" t="n">
        <v>406</v>
      </c>
    </row>
    <row r="195">
      <c r="O195" t="n">
        <v>194</v>
      </c>
      <c r="P195" t="inlineStr">
        <is>
          <t>08/04/2026</t>
        </is>
      </c>
      <c r="Q195" t="inlineStr">
        <is>
          <t>CD</t>
        </is>
      </c>
      <c r="R195" t="n">
        <v>118</v>
      </c>
      <c r="S195" t="n">
        <v>1010</v>
      </c>
      <c r="T195" t="n">
        <v>309</v>
      </c>
    </row>
    <row r="196">
      <c r="O196" t="n">
        <v>195</v>
      </c>
      <c r="P196" t="inlineStr">
        <is>
          <t>09/04/2026</t>
        </is>
      </c>
      <c r="Q196" t="inlineStr">
        <is>
          <t>CN</t>
        </is>
      </c>
      <c r="R196" t="n">
        <v>238</v>
      </c>
      <c r="S196" t="n">
        <v>792</v>
      </c>
      <c r="T196" t="n">
        <v>406</v>
      </c>
    </row>
    <row r="197">
      <c r="O197" t="n">
        <v>196</v>
      </c>
      <c r="P197" t="inlineStr">
        <is>
          <t>09/04/2026</t>
        </is>
      </c>
      <c r="Q197" t="inlineStr">
        <is>
          <t>CD</t>
        </is>
      </c>
      <c r="R197" t="n">
        <v>218</v>
      </c>
      <c r="S197" t="n">
        <v>909</v>
      </c>
      <c r="T197" t="n">
        <v>309</v>
      </c>
    </row>
    <row r="198">
      <c r="O198" t="n">
        <v>197</v>
      </c>
      <c r="P198" t="inlineStr">
        <is>
          <t>10/04/2026</t>
        </is>
      </c>
      <c r="Q198" t="inlineStr">
        <is>
          <t>CN</t>
        </is>
      </c>
      <c r="R198" t="n">
        <v>281</v>
      </c>
      <c r="S198" t="n">
        <v>751</v>
      </c>
      <c r="T198" t="n">
        <v>403</v>
      </c>
    </row>
    <row r="199">
      <c r="O199" t="n">
        <v>198</v>
      </c>
      <c r="P199" t="inlineStr">
        <is>
          <t>10/04/2026</t>
        </is>
      </c>
      <c r="Q199" t="inlineStr">
        <is>
          <t>CD</t>
        </is>
      </c>
      <c r="R199" t="n">
        <v>230</v>
      </c>
      <c r="S199" t="n">
        <v>898</v>
      </c>
      <c r="T199" t="n">
        <v>306</v>
      </c>
    </row>
    <row r="200">
      <c r="O200" t="n">
        <v>199</v>
      </c>
      <c r="P200" t="inlineStr">
        <is>
          <t>11/04/2026</t>
        </is>
      </c>
      <c r="Q200" t="inlineStr">
        <is>
          <t>CN</t>
        </is>
      </c>
      <c r="R200" t="n">
        <v>268</v>
      </c>
      <c r="S200" t="n">
        <v>699</v>
      </c>
      <c r="T200" t="n">
        <v>466</v>
      </c>
    </row>
    <row r="201">
      <c r="O201" t="n">
        <v>200</v>
      </c>
      <c r="P201" t="inlineStr">
        <is>
          <t>11/04/2026</t>
        </is>
      </c>
      <c r="Q201" t="inlineStr">
        <is>
          <t>CD</t>
        </is>
      </c>
      <c r="R201" t="n">
        <v>219</v>
      </c>
      <c r="S201" t="n">
        <v>728</v>
      </c>
      <c r="T201" t="n">
        <v>490</v>
      </c>
    </row>
    <row r="202">
      <c r="O202" t="n">
        <v>201</v>
      </c>
      <c r="P202" t="inlineStr">
        <is>
          <t>12/04/2026</t>
        </is>
      </c>
      <c r="Q202" t="inlineStr">
        <is>
          <t>CN</t>
        </is>
      </c>
      <c r="R202" t="n">
        <v>376</v>
      </c>
      <c r="S202" t="n">
        <v>584</v>
      </c>
      <c r="T202" t="n">
        <v>476</v>
      </c>
    </row>
    <row r="203">
      <c r="O203" t="n">
        <v>202</v>
      </c>
      <c r="P203" t="inlineStr">
        <is>
          <t>12/04/2026</t>
        </is>
      </c>
      <c r="Q203" t="inlineStr">
        <is>
          <t>CD</t>
        </is>
      </c>
      <c r="R203" t="n">
        <v>0</v>
      </c>
      <c r="S203" t="n">
        <v>0</v>
      </c>
      <c r="T203" t="n">
        <v>1440</v>
      </c>
    </row>
    <row r="204">
      <c r="O204" t="n">
        <v>203</v>
      </c>
      <c r="P204" t="inlineStr">
        <is>
          <t>13/04/2026</t>
        </is>
      </c>
      <c r="Q204" t="inlineStr">
        <is>
          <t>CN</t>
        </is>
      </c>
      <c r="R204" t="n">
        <v>342</v>
      </c>
      <c r="S204" t="n">
        <v>685</v>
      </c>
      <c r="T204" t="n">
        <v>408</v>
      </c>
    </row>
    <row r="205">
      <c r="O205" t="n">
        <v>204</v>
      </c>
      <c r="P205" t="inlineStr">
        <is>
          <t>13/04/2026</t>
        </is>
      </c>
      <c r="Q205" t="inlineStr">
        <is>
          <t>CD</t>
        </is>
      </c>
      <c r="R205" t="n">
        <v>357</v>
      </c>
      <c r="S205" t="n">
        <v>924</v>
      </c>
      <c r="T205" t="n">
        <v>155</v>
      </c>
    </row>
    <row r="206">
      <c r="O206" t="n">
        <v>205</v>
      </c>
      <c r="P206" t="inlineStr">
        <is>
          <t>14/04/2026</t>
        </is>
      </c>
      <c r="Q206" t="inlineStr">
        <is>
          <t>CN</t>
        </is>
      </c>
      <c r="R206" t="n">
        <v>398</v>
      </c>
      <c r="S206" t="n">
        <v>835</v>
      </c>
      <c r="T206" t="n">
        <v>203</v>
      </c>
    </row>
    <row r="207">
      <c r="O207" t="n">
        <v>206</v>
      </c>
      <c r="P207" t="inlineStr">
        <is>
          <t>14/04/2026</t>
        </is>
      </c>
      <c r="Q207" t="inlineStr">
        <is>
          <t>CD</t>
        </is>
      </c>
      <c r="R207" t="n">
        <v>278</v>
      </c>
      <c r="S207" t="n">
        <v>1002</v>
      </c>
      <c r="T207" t="n">
        <v>156</v>
      </c>
    </row>
    <row r="208">
      <c r="O208" t="n">
        <v>207</v>
      </c>
      <c r="P208" t="inlineStr">
        <is>
          <t>15/04/2026</t>
        </is>
      </c>
      <c r="Q208" t="inlineStr">
        <is>
          <t>CN</t>
        </is>
      </c>
      <c r="R208" t="n">
        <v>353</v>
      </c>
      <c r="S208" t="n">
        <v>879</v>
      </c>
      <c r="T208" t="n">
        <v>203</v>
      </c>
    </row>
    <row r="209">
      <c r="O209" t="n">
        <v>208</v>
      </c>
      <c r="P209" t="inlineStr">
        <is>
          <t>15/04/2026</t>
        </is>
      </c>
      <c r="Q209" t="inlineStr">
        <is>
          <t>CD</t>
        </is>
      </c>
      <c r="R209" t="n">
        <v>211</v>
      </c>
      <c r="S209" t="n">
        <v>1066</v>
      </c>
      <c r="T209" t="n">
        <v>159</v>
      </c>
    </row>
    <row r="210">
      <c r="O210" t="n">
        <v>209</v>
      </c>
      <c r="P210" t="inlineStr">
        <is>
          <t>16/04/2026</t>
        </is>
      </c>
      <c r="Q210" t="inlineStr">
        <is>
          <t>CN</t>
        </is>
      </c>
      <c r="R210" t="n">
        <v>363</v>
      </c>
      <c r="S210" t="n">
        <v>866</v>
      </c>
      <c r="T210" t="n">
        <v>205</v>
      </c>
    </row>
    <row r="211">
      <c r="O211" t="n">
        <v>210</v>
      </c>
      <c r="P211" t="inlineStr">
        <is>
          <t>16/04/2026</t>
        </is>
      </c>
      <c r="Q211" t="inlineStr">
        <is>
          <t>CD</t>
        </is>
      </c>
      <c r="R211" t="n">
        <v>255</v>
      </c>
      <c r="S211" t="n">
        <v>1022</v>
      </c>
      <c r="T211" t="n">
        <v>156</v>
      </c>
    </row>
    <row r="212">
      <c r="O212" t="n">
        <v>211</v>
      </c>
      <c r="P212" t="inlineStr">
        <is>
          <t>17/04/2026</t>
        </is>
      </c>
      <c r="Q212" t="inlineStr">
        <is>
          <t>CN</t>
        </is>
      </c>
      <c r="R212" t="n">
        <v>398</v>
      </c>
      <c r="S212" t="n">
        <v>832</v>
      </c>
      <c r="T212" t="n">
        <v>205</v>
      </c>
    </row>
    <row r="213">
      <c r="O213" t="n">
        <v>212</v>
      </c>
      <c r="P213" t="inlineStr">
        <is>
          <t>17/04/2026</t>
        </is>
      </c>
      <c r="Q213" t="inlineStr">
        <is>
          <t>CD</t>
        </is>
      </c>
      <c r="R213" t="n">
        <v>277</v>
      </c>
      <c r="S213" t="n">
        <v>1002</v>
      </c>
      <c r="T213" t="n">
        <v>156</v>
      </c>
    </row>
    <row r="214">
      <c r="O214" t="n">
        <v>213</v>
      </c>
      <c r="P214" t="inlineStr">
        <is>
          <t>18/04/2026</t>
        </is>
      </c>
      <c r="Q214" t="inlineStr">
        <is>
          <t>CN</t>
        </is>
      </c>
      <c r="R214" t="n">
        <v>290</v>
      </c>
      <c r="S214" t="n">
        <v>913</v>
      </c>
      <c r="T214" t="n">
        <v>234</v>
      </c>
    </row>
    <row r="215">
      <c r="O215" t="n">
        <v>214</v>
      </c>
      <c r="P215" t="inlineStr">
        <is>
          <t>18/04/2026</t>
        </is>
      </c>
      <c r="Q215" t="inlineStr">
        <is>
          <t>CD</t>
        </is>
      </c>
      <c r="R215" t="n">
        <v>160</v>
      </c>
      <c r="S215" t="n">
        <v>1027</v>
      </c>
      <c r="T215" t="n">
        <v>249</v>
      </c>
    </row>
    <row r="216">
      <c r="O216" t="n">
        <v>215</v>
      </c>
      <c r="P216" t="inlineStr">
        <is>
          <t>19/04/2026</t>
        </is>
      </c>
      <c r="Q216" t="inlineStr">
        <is>
          <t>CN</t>
        </is>
      </c>
      <c r="R216" t="n">
        <v>366</v>
      </c>
      <c r="S216" t="n">
        <v>825</v>
      </c>
      <c r="T216" t="n">
        <v>245</v>
      </c>
    </row>
    <row r="217">
      <c r="O217" t="n">
        <v>216</v>
      </c>
      <c r="P217" t="inlineStr">
        <is>
          <t>19/04/2026</t>
        </is>
      </c>
      <c r="Q217" t="inlineStr">
        <is>
          <t>CD</t>
        </is>
      </c>
      <c r="R217" t="n">
        <v>0</v>
      </c>
      <c r="S217" t="n">
        <v>0</v>
      </c>
      <c r="T217" t="n">
        <v>1441</v>
      </c>
    </row>
    <row r="218">
      <c r="O218" t="n">
        <v>217</v>
      </c>
      <c r="P218" t="inlineStr">
        <is>
          <t>20/04/2026</t>
        </is>
      </c>
      <c r="Q218" t="inlineStr">
        <is>
          <t>CN</t>
        </is>
      </c>
      <c r="R218" t="n">
        <v>236</v>
      </c>
      <c r="S218" t="n">
        <v>796</v>
      </c>
      <c r="T218" t="n">
        <v>405</v>
      </c>
    </row>
    <row r="219">
      <c r="O219" t="n">
        <v>218</v>
      </c>
      <c r="P219" t="inlineStr">
        <is>
          <t>20/04/2026</t>
        </is>
      </c>
      <c r="Q219" t="inlineStr">
        <is>
          <t>CD</t>
        </is>
      </c>
      <c r="R219" t="n">
        <v>173</v>
      </c>
      <c r="S219" t="n">
        <v>1106</v>
      </c>
      <c r="T219" t="n">
        <v>156</v>
      </c>
    </row>
    <row r="220">
      <c r="O220" t="n">
        <v>219</v>
      </c>
      <c r="P220" t="inlineStr">
        <is>
          <t>21/04/2026</t>
        </is>
      </c>
      <c r="Q220" t="inlineStr">
        <is>
          <t>CN</t>
        </is>
      </c>
      <c r="R220" t="n">
        <v>212</v>
      </c>
      <c r="S220" t="n">
        <v>1019</v>
      </c>
      <c r="T220" t="n">
        <v>204</v>
      </c>
    </row>
    <row r="221">
      <c r="O221" t="n">
        <v>220</v>
      </c>
      <c r="P221" t="inlineStr">
        <is>
          <t>21/04/2026</t>
        </is>
      </c>
      <c r="Q221" t="inlineStr">
        <is>
          <t>CD</t>
        </is>
      </c>
      <c r="R221" t="n">
        <v>161</v>
      </c>
      <c r="S221" t="n">
        <v>966</v>
      </c>
      <c r="T221" t="n">
        <v>308</v>
      </c>
    </row>
    <row r="222">
      <c r="O222" t="n">
        <v>221</v>
      </c>
      <c r="P222" t="inlineStr">
        <is>
          <t>22/04/2026</t>
        </is>
      </c>
      <c r="Q222" t="inlineStr">
        <is>
          <t>CN</t>
        </is>
      </c>
      <c r="R222" t="n">
        <v>330</v>
      </c>
      <c r="S222" t="n">
        <v>698</v>
      </c>
      <c r="T222" t="n">
        <v>407</v>
      </c>
    </row>
    <row r="223">
      <c r="O223" t="n">
        <v>222</v>
      </c>
      <c r="P223" t="inlineStr">
        <is>
          <t>22/04/2026</t>
        </is>
      </c>
      <c r="Q223" t="inlineStr">
        <is>
          <t>CD</t>
        </is>
      </c>
      <c r="R223" t="n">
        <v>243</v>
      </c>
      <c r="S223" t="n">
        <v>1040</v>
      </c>
      <c r="T223" t="n">
        <v>155</v>
      </c>
    </row>
    <row r="224">
      <c r="O224" t="n">
        <v>223</v>
      </c>
      <c r="P224" t="inlineStr">
        <is>
          <t>23/04/2026</t>
        </is>
      </c>
      <c r="Q224" t="inlineStr">
        <is>
          <t>CN</t>
        </is>
      </c>
      <c r="R224" t="n">
        <v>408</v>
      </c>
      <c r="S224" t="n">
        <v>836</v>
      </c>
      <c r="T224" t="n">
        <v>192</v>
      </c>
    </row>
    <row r="225">
      <c r="O225" t="n">
        <v>224</v>
      </c>
      <c r="P225" t="inlineStr">
        <is>
          <t>23/04/2026</t>
        </is>
      </c>
      <c r="Q225" t="inlineStr">
        <is>
          <t>CD</t>
        </is>
      </c>
      <c r="R225" t="n">
        <v>204</v>
      </c>
      <c r="S225" t="n">
        <v>1078</v>
      </c>
      <c r="T225" t="n">
        <v>152</v>
      </c>
    </row>
    <row r="226">
      <c r="O226" t="n">
        <v>225</v>
      </c>
      <c r="P226" t="inlineStr">
        <is>
          <t>24/04/2026</t>
        </is>
      </c>
      <c r="Q226" t="inlineStr">
        <is>
          <t>CN</t>
        </is>
      </c>
      <c r="R226" t="n">
        <v>392</v>
      </c>
      <c r="S226" t="n">
        <v>842</v>
      </c>
      <c r="T226" t="n">
        <v>203</v>
      </c>
    </row>
    <row r="227">
      <c r="O227" t="n">
        <v>226</v>
      </c>
      <c r="P227" t="inlineStr">
        <is>
          <t>24/04/2026</t>
        </is>
      </c>
      <c r="Q227" t="inlineStr">
        <is>
          <t>CD</t>
        </is>
      </c>
      <c r="R227" t="n">
        <v>176</v>
      </c>
      <c r="S227" t="n">
        <v>1106</v>
      </c>
      <c r="T227" t="n">
        <v>154</v>
      </c>
    </row>
    <row r="228">
      <c r="O228" t="n">
        <v>227</v>
      </c>
      <c r="P228" t="inlineStr">
        <is>
          <t>25/04/2026</t>
        </is>
      </c>
      <c r="Q228" t="inlineStr">
        <is>
          <t>CN</t>
        </is>
      </c>
      <c r="R228" t="n">
        <v>427</v>
      </c>
      <c r="S228" t="n">
        <v>776</v>
      </c>
      <c r="T228" t="n">
        <v>233</v>
      </c>
    </row>
    <row r="229">
      <c r="O229" t="n">
        <v>228</v>
      </c>
      <c r="P229" t="inlineStr">
        <is>
          <t>25/04/2026</t>
        </is>
      </c>
      <c r="Q229" t="inlineStr">
        <is>
          <t>CD</t>
        </is>
      </c>
      <c r="R229" t="n">
        <v>133</v>
      </c>
      <c r="S229" t="n">
        <v>811</v>
      </c>
      <c r="T229" t="n">
        <v>492</v>
      </c>
    </row>
    <row r="230">
      <c r="O230" t="n">
        <v>229</v>
      </c>
      <c r="P230" t="inlineStr">
        <is>
          <t>26/04/2026</t>
        </is>
      </c>
      <c r="Q230" t="inlineStr">
        <is>
          <t>CN</t>
        </is>
      </c>
      <c r="R230" t="n">
        <v>0</v>
      </c>
      <c r="S230" t="n">
        <v>0</v>
      </c>
      <c r="T230" t="n">
        <v>1440</v>
      </c>
    </row>
    <row r="231">
      <c r="O231" t="n">
        <v>230</v>
      </c>
      <c r="P231" t="inlineStr">
        <is>
          <t>26/04/2026</t>
        </is>
      </c>
      <c r="Q231" t="inlineStr">
        <is>
          <t>CD</t>
        </is>
      </c>
      <c r="R231" t="n">
        <v>0</v>
      </c>
      <c r="S231" t="n">
        <v>0</v>
      </c>
      <c r="T231" t="n">
        <v>1440</v>
      </c>
    </row>
    <row r="232">
      <c r="O232" t="n">
        <v>231</v>
      </c>
      <c r="P232" t="inlineStr">
        <is>
          <t>27/04/2026</t>
        </is>
      </c>
      <c r="Q232" t="inlineStr">
        <is>
          <t>CN</t>
        </is>
      </c>
      <c r="R232" t="n">
        <v>224</v>
      </c>
      <c r="S232" t="n">
        <v>805</v>
      </c>
      <c r="T232" t="n">
        <v>408</v>
      </c>
    </row>
    <row r="233">
      <c r="O233" t="n">
        <v>232</v>
      </c>
      <c r="P233" t="inlineStr">
        <is>
          <t>27/04/2026</t>
        </is>
      </c>
      <c r="Q233" t="inlineStr">
        <is>
          <t>CD</t>
        </is>
      </c>
      <c r="R233" t="n">
        <v>158</v>
      </c>
      <c r="S233" t="n">
        <v>1276</v>
      </c>
      <c r="T233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T233"/>
  <sheetViews>
    <sheetView topLeftCell="G1" workbookViewId="0">
      <selection activeCell="I2" sqref="I2:J75"/>
    </sheetView>
  </sheetViews>
  <sheetFormatPr baseColWidth="8" defaultRowHeight="14.75"/>
  <cols>
    <col width="3" bestFit="1" customWidth="1" min="1" max="1"/>
    <col width="10.86328125" bestFit="1" customWidth="1" min="2" max="3"/>
    <col width="34.08984375" bestFit="1" customWidth="1" min="4" max="4"/>
    <col width="30.54296875" bestFit="1" customWidth="1" min="5" max="5"/>
    <col width="22.6796875" bestFit="1" customWidth="1" min="6" max="6"/>
    <col width="9.08984375" bestFit="1" customWidth="1" min="10" max="10"/>
    <col width="8.31640625" bestFit="1" customWidth="1" min="11" max="11"/>
    <col width="11.54296875" bestFit="1" customWidth="1" min="12" max="12"/>
    <col width="10" bestFit="1" customWidth="1" min="13" max="13"/>
  </cols>
  <sheetData>
    <row r="1" customFormat="1" s="2">
      <c r="A1" s="3" t="inlineStr">
        <is>
          <t>ID</t>
        </is>
      </c>
      <c r="B1" s="3" t="inlineStr">
        <is>
          <t>Ngày tháng</t>
        </is>
      </c>
      <c r="C1" s="3" t="inlineStr">
        <is>
          <t>Ca làm việc</t>
        </is>
      </c>
      <c r="D1" s="3" t="inlineStr">
        <is>
          <t>Thời gian hoạt động không tải (phút)</t>
        </is>
      </c>
      <c r="E1" s="3" t="inlineStr">
        <is>
          <t>Thời gian hoạt động có tải (phút)</t>
        </is>
      </c>
      <c r="F1" s="3" t="inlineStr">
        <is>
          <t>Thời gian tắt máy (phút)</t>
        </is>
      </c>
      <c r="H1" s="3" t="inlineStr">
        <is>
          <t>Ngày - Ca</t>
        </is>
      </c>
      <c r="I1" s="3" t="inlineStr">
        <is>
          <t>Mục Tiêu C1</t>
        </is>
      </c>
      <c r="J1" s="3" t="inlineStr">
        <is>
          <t>Mục Tiêu C2</t>
        </is>
      </c>
      <c r="K1" s="3" t="inlineStr">
        <is>
          <t>% Có Tải</t>
        </is>
      </c>
      <c r="L1" s="3" t="inlineStr">
        <is>
          <t>% Không Tải</t>
        </is>
      </c>
      <c r="M1" s="3" t="inlineStr">
        <is>
          <t>% Tắt Máy</t>
        </is>
      </c>
    </row>
    <row r="2">
      <c r="A2" t="n">
        <v>1</v>
      </c>
      <c r="B2" t="inlineStr">
        <is>
          <t>01/04/2026</t>
        </is>
      </c>
      <c r="C2" t="inlineStr">
        <is>
          <t>CN</t>
        </is>
      </c>
      <c r="D2" t="n">
        <v>796</v>
      </c>
      <c r="E2" t="n">
        <v>1147</v>
      </c>
      <c r="F2" t="n">
        <v>206</v>
      </c>
      <c r="H2" t="inlineStr">
        <is>
          <t>T1</t>
        </is>
      </c>
      <c r="I2" s="1" t="n">
        <v>0.65</v>
      </c>
      <c r="J2" s="1" t="n">
        <v>0.8</v>
      </c>
      <c r="K2" s="1">
        <f>IFERROR(SUMIFS(S:S,P:P,"*/01/2026")/(SUMIFS(R:R,P:P,"*/01/2026")+SUMIFS(S:S,P:P,"*/01/2026")+SUMIFS(T:T,P:P,"*/01/2026")),"")</f>
        <v/>
      </c>
      <c r="L2" s="1">
        <f>IFERROR(SUMIFS(R:R,P:P,"*/01/2026")/(SUMIFS(R:R,P:P,"*/01/2026")+SUMIFS(S:S,P:P,"*/01/2026")+SUMIFS(T:T,P:P,"*/01/2026")),"")</f>
        <v/>
      </c>
      <c r="M2" s="1">
        <f>IFERROR(SUMIFS(T:T,P:P,"*/01/2026")/(SUMIFS(R:R,P:P,"*/01/2026")+SUMIFS(S:S,P:P,"*/01/2026")+SUMIFS(T:T,P:P,"*/01/2026")),"")</f>
        <v/>
      </c>
      <c r="O2" t="n">
        <v>1</v>
      </c>
      <c r="P2" t="inlineStr">
        <is>
          <t>01/01/2026</t>
        </is>
      </c>
      <c r="Q2" t="inlineStr">
        <is>
          <t>CN</t>
        </is>
      </c>
      <c r="R2" t="n">
        <v>0</v>
      </c>
      <c r="S2" t="n">
        <v>0</v>
      </c>
      <c r="T2" t="n">
        <v>2160</v>
      </c>
    </row>
    <row r="3">
      <c r="A3" t="n">
        <v>2</v>
      </c>
      <c r="B3" t="inlineStr">
        <is>
          <t>01/04/2026</t>
        </is>
      </c>
      <c r="C3" t="inlineStr">
        <is>
          <t>CD</t>
        </is>
      </c>
      <c r="D3" t="n">
        <v>517</v>
      </c>
      <c r="E3" t="n">
        <v>1481</v>
      </c>
      <c r="F3" t="n">
        <v>156</v>
      </c>
      <c r="H3" t="inlineStr">
        <is>
          <t>T2</t>
        </is>
      </c>
      <c r="I3" s="1" t="n">
        <v>0.65</v>
      </c>
      <c r="J3" s="1" t="n">
        <v>0.8</v>
      </c>
      <c r="K3" s="1">
        <f>IFERROR(SUMIFS(S:S,P:P,"*/02/2026")/(SUMIFS(R:R,P:P,"*/02/2026")+SUMIFS(S:S,P:P,"*/02/2026")+SUMIFS(T:T,P:P,"*/02/2026")),"")</f>
        <v/>
      </c>
      <c r="L3" s="1">
        <f>IFERROR(SUMIFS(R:R,P:P,"*/02/2026")/(SUMIFS(R:R,P:P,"*/02/2026")+SUMIFS(S:S,P:P,"*/02/2026")+SUMIFS(T:T,P:P,"*/02/2026")),"")</f>
        <v/>
      </c>
      <c r="M3" s="1">
        <f>IFERROR(SUMIFS(T:T,P:P,"*/02/2026")/(SUMIFS(R:R,P:P,"*/02/2026")+SUMIFS(S:S,P:P,"*/02/2026")+SUMIFS(T:T,P:P,"*/02/2026")),"")</f>
        <v/>
      </c>
      <c r="O3" t="n">
        <v>2</v>
      </c>
      <c r="P3" t="inlineStr">
        <is>
          <t>01/01/2026</t>
        </is>
      </c>
      <c r="Q3" t="inlineStr">
        <is>
          <t>CD</t>
        </is>
      </c>
      <c r="R3" t="n">
        <v>60</v>
      </c>
      <c r="S3" t="n">
        <v>156</v>
      </c>
      <c r="T3" t="n">
        <v>1942</v>
      </c>
    </row>
    <row r="4">
      <c r="A4" t="n">
        <v>3</v>
      </c>
      <c r="B4" t="inlineStr">
        <is>
          <t>02/04/2026</t>
        </is>
      </c>
      <c r="C4" t="inlineStr">
        <is>
          <t>CN</t>
        </is>
      </c>
      <c r="D4" t="n">
        <v>964</v>
      </c>
      <c r="E4" t="n">
        <v>978</v>
      </c>
      <c r="F4" t="n">
        <v>207</v>
      </c>
      <c r="H4" t="inlineStr">
        <is>
          <t>T3</t>
        </is>
      </c>
      <c r="I4" s="1" t="n">
        <v>0.65</v>
      </c>
      <c r="J4" s="1" t="n">
        <v>0.8</v>
      </c>
      <c r="K4" s="1">
        <f>IFERROR(SUMIFS(S:S,P:P,"*/03/2026")/(SUMIFS(R:R,P:P,"*/03/2026")+SUMIFS(S:S,P:P,"*/03/2026")+SUMIFS(T:T,P:P,"*/03/2026")),"")</f>
        <v/>
      </c>
      <c r="L4" s="1">
        <f>IFERROR(SUMIFS(R:R,P:P,"*/03/2026")/(SUMIFS(R:R,P:P,"*/03/2026")+SUMIFS(S:S,P:P,"*/03/2026")+SUMIFS(T:T,P:P,"*/03/2026")),"")</f>
        <v/>
      </c>
      <c r="M4" s="1">
        <f>IFERROR(SUMIFS(T:T,P:P,"*/03/2026")/(SUMIFS(R:R,P:P,"*/03/2026")+SUMIFS(S:S,P:P,"*/03/2026")+SUMIFS(T:T,P:P,"*/03/2026")),"")</f>
        <v/>
      </c>
      <c r="O4" t="n">
        <v>3</v>
      </c>
      <c r="P4" t="inlineStr">
        <is>
          <t>02/01/2026</t>
        </is>
      </c>
      <c r="Q4" t="inlineStr">
        <is>
          <t>CN</t>
        </is>
      </c>
      <c r="R4" t="n">
        <v>521</v>
      </c>
      <c r="S4" t="n">
        <v>1628</v>
      </c>
      <c r="T4" t="n">
        <v>0</v>
      </c>
    </row>
    <row r="5">
      <c r="A5" t="n">
        <v>4</v>
      </c>
      <c r="B5" t="inlineStr">
        <is>
          <t>02/04/2026</t>
        </is>
      </c>
      <c r="C5" t="inlineStr">
        <is>
          <t>CD</t>
        </is>
      </c>
      <c r="D5" t="n">
        <v>716</v>
      </c>
      <c r="E5" t="n">
        <v>1280</v>
      </c>
      <c r="F5" t="n">
        <v>155</v>
      </c>
      <c r="H5" t="inlineStr">
        <is>
          <t>T4</t>
        </is>
      </c>
      <c r="I5" s="1" t="n">
        <v>0.65</v>
      </c>
      <c r="J5" s="1" t="n">
        <v>0.8</v>
      </c>
      <c r="K5" s="1">
        <f>IFERROR(SUMIFS(S:S,P:P,"*/04/2026")/(SUMIFS(R:R,P:P,"*/04/2026")+SUMIFS(S:S,P:P,"*/04/2026")+SUMIFS(T:T,P:P,"*/04/2026")),"")</f>
        <v/>
      </c>
      <c r="L5" s="1">
        <f>IFERROR(SUMIFS(R:R,P:P,"*/04/2026")/(SUMIFS(R:R,P:P,"*/04/2026")+SUMIFS(S:S,P:P,"*/04/2026")+SUMIFS(T:T,P:P,"*/04/2026")),"")</f>
        <v/>
      </c>
      <c r="M5" s="1">
        <f>IFERROR(SUMIFS(T:T,P:P,"*/04/2026")/(SUMIFS(R:R,P:P,"*/04/2026")+SUMIFS(S:S,P:P,"*/04/2026")+SUMIFS(T:T,P:P,"*/04/2026")),"")</f>
        <v/>
      </c>
      <c r="O5" t="n">
        <v>4</v>
      </c>
      <c r="P5" t="inlineStr">
        <is>
          <t>02/01/2026</t>
        </is>
      </c>
      <c r="Q5" t="inlineStr">
        <is>
          <t>CD</t>
        </is>
      </c>
      <c r="R5" t="n">
        <v>1152</v>
      </c>
      <c r="S5" t="n">
        <v>1000</v>
      </c>
      <c r="T5" t="n">
        <v>1</v>
      </c>
    </row>
    <row r="6">
      <c r="A6" t="n">
        <v>5</v>
      </c>
      <c r="B6" t="inlineStr">
        <is>
          <t>03/04/2026</t>
        </is>
      </c>
      <c r="C6" t="inlineStr">
        <is>
          <t>CN</t>
        </is>
      </c>
      <c r="D6" t="n">
        <v>739</v>
      </c>
      <c r="E6" t="n">
        <v>1202</v>
      </c>
      <c r="F6" t="n">
        <v>207</v>
      </c>
      <c r="H6" t="inlineStr">
        <is>
          <t>T5</t>
        </is>
      </c>
      <c r="I6" s="1" t="n">
        <v>0.65</v>
      </c>
      <c r="J6" s="1" t="n">
        <v>0.8</v>
      </c>
      <c r="K6" s="1">
        <f>IFERROR(SUMIFS(S:S,P:P,"*/05/2026")/(SUMIFS(R:R,P:P,"*/05/2026")+SUMIFS(S:S,P:P,"*/05/2026")+SUMIFS(T:T,P:P,"*/05/2026")),"")</f>
        <v/>
      </c>
      <c r="L6" s="1">
        <f>IFERROR(SUMIFS(R:R,P:P,"*/05/2026")/(SUMIFS(R:R,P:P,"*/05/2026")+SUMIFS(S:S,P:P,"*/05/2026")+SUMIFS(T:T,P:P,"*/05/2026")),"")</f>
        <v/>
      </c>
      <c r="M6" s="1">
        <f>IFERROR(SUMIFS(T:T,P:P,"*/05/2026")/(SUMIFS(R:R,P:P,"*/05/2026")+SUMIFS(S:S,P:P,"*/05/2026")+SUMIFS(T:T,P:P,"*/05/2026")),"")</f>
        <v/>
      </c>
      <c r="O6" t="n">
        <v>5</v>
      </c>
      <c r="P6" t="inlineStr">
        <is>
          <t>03/01/2026</t>
        </is>
      </c>
      <c r="Q6" t="inlineStr">
        <is>
          <t>CD</t>
        </is>
      </c>
      <c r="R6" t="n">
        <v>763</v>
      </c>
      <c r="S6" t="n">
        <v>2271</v>
      </c>
      <c r="T6" t="n">
        <v>461</v>
      </c>
    </row>
    <row r="7">
      <c r="A7" t="n">
        <v>6</v>
      </c>
      <c r="B7" t="inlineStr">
        <is>
          <t>03/04/2026</t>
        </is>
      </c>
      <c r="C7" t="inlineStr">
        <is>
          <t>CD</t>
        </is>
      </c>
      <c r="D7" t="n">
        <v>650</v>
      </c>
      <c r="E7" t="n">
        <v>1341</v>
      </c>
      <c r="F7" t="n">
        <v>160</v>
      </c>
      <c r="H7" t="inlineStr">
        <is>
          <t>T6</t>
        </is>
      </c>
      <c r="I7" s="1" t="n">
        <v>0.65</v>
      </c>
      <c r="J7" s="1" t="n">
        <v>0.8</v>
      </c>
      <c r="K7" s="1">
        <f>IFERROR(SUMIFS(S:S,P:P,"*/06/2026")/(SUMIFS(R:R,P:P,"*/06/2026")+SUMIFS(S:S,P:P,"*/06/2026")+SUMIFS(T:T,P:P,"*/06/2026")),"")</f>
        <v/>
      </c>
      <c r="L7" s="1">
        <f>IFERROR(SUMIFS(R:R,P:P,"*/06/2026")/(SUMIFS(R:R,P:P,"*/06/2026")+SUMIFS(S:S,P:P,"*/06/2026")+SUMIFS(T:T,P:P,"*/06/2026")),"")</f>
        <v/>
      </c>
      <c r="M7" s="1">
        <f>IFERROR(SUMIFS(T:T,P:P,"*/06/2026")/(SUMIFS(R:R,P:P,"*/06/2026")+SUMIFS(S:S,P:P,"*/06/2026")+SUMIFS(T:T,P:P,"*/06/2026")),"")</f>
        <v/>
      </c>
      <c r="O7" t="n">
        <v>6</v>
      </c>
      <c r="P7" t="inlineStr">
        <is>
          <t>04/01/2026</t>
        </is>
      </c>
      <c r="Q7" t="inlineStr">
        <is>
          <t>CN</t>
        </is>
      </c>
      <c r="R7" t="n">
        <v>0</v>
      </c>
      <c r="S7" t="n">
        <v>0</v>
      </c>
      <c r="T7" t="n">
        <v>2160</v>
      </c>
    </row>
    <row r="8">
      <c r="A8" t="n">
        <v>7</v>
      </c>
      <c r="B8" t="inlineStr">
        <is>
          <t>04/04/2026</t>
        </is>
      </c>
      <c r="C8" t="inlineStr">
        <is>
          <t>CN</t>
        </is>
      </c>
      <c r="D8" t="n">
        <v>893</v>
      </c>
      <c r="E8" t="n">
        <v>756</v>
      </c>
      <c r="F8" t="n">
        <v>506</v>
      </c>
      <c r="H8" t="inlineStr">
        <is>
          <t>T7</t>
        </is>
      </c>
      <c r="I8" s="1" t="n">
        <v>0.65</v>
      </c>
      <c r="J8" s="1" t="n">
        <v>0.8</v>
      </c>
      <c r="K8" s="1">
        <f>IFERROR(SUMIFS(S:S,P:P,"*/07/2026")/(SUMIFS(R:R,P:P,"*/07/2026")+SUMIFS(S:S,P:P,"*/07/2026")+SUMIFS(T:T,P:P,"*/07/2026")),"")</f>
        <v/>
      </c>
      <c r="L8" s="1">
        <f>IFERROR(SUMIFS(R:R,P:P,"*/07/2026")/(SUMIFS(R:R,P:P,"*/07/2026")+SUMIFS(S:S,P:P,"*/07/2026")+SUMIFS(T:T,P:P,"*/07/2026")),"")</f>
        <v/>
      </c>
      <c r="M8" s="1">
        <f>IFERROR(SUMIFS(T:T,P:P,"*/07/2026")/(SUMIFS(R:R,P:P,"*/07/2026")+SUMIFS(S:S,P:P,"*/07/2026")+SUMIFS(T:T,P:P,"*/07/2026")),"")</f>
        <v/>
      </c>
      <c r="O8" t="n">
        <v>7</v>
      </c>
      <c r="P8" t="inlineStr">
        <is>
          <t>04/01/2026</t>
        </is>
      </c>
      <c r="Q8" t="inlineStr">
        <is>
          <t>CD</t>
        </is>
      </c>
      <c r="R8" t="n">
        <v>0</v>
      </c>
      <c r="S8" t="n">
        <v>0</v>
      </c>
      <c r="T8" t="n">
        <v>2160</v>
      </c>
    </row>
    <row r="9">
      <c r="A9" t="n">
        <v>8</v>
      </c>
      <c r="B9" t="inlineStr">
        <is>
          <t>04/04/2026</t>
        </is>
      </c>
      <c r="C9" t="inlineStr">
        <is>
          <t>CD</t>
        </is>
      </c>
      <c r="D9" t="n">
        <v>631</v>
      </c>
      <c r="E9" t="n">
        <v>1025</v>
      </c>
      <c r="F9" t="n">
        <v>498</v>
      </c>
      <c r="H9" t="inlineStr">
        <is>
          <t>T8</t>
        </is>
      </c>
      <c r="I9" s="1" t="n">
        <v>0.65</v>
      </c>
      <c r="J9" s="1" t="n">
        <v>0.8</v>
      </c>
      <c r="K9" s="1">
        <f>IFERROR(SUMIFS(S:S,P:P,"*/08/2026")/(SUMIFS(R:R,P:P,"*/08/2026")+SUMIFS(S:S,P:P,"*/08/2026")+SUMIFS(T:T,P:P,"*/08/2026")),"")</f>
        <v/>
      </c>
      <c r="L9" s="1">
        <f>IFERROR(SUMIFS(R:R,P:P,"*/08/2026")/(SUMIFS(R:R,P:P,"*/08/2026")+SUMIFS(S:S,P:P,"*/08/2026")+SUMIFS(T:T,P:P,"*/08/2026")),"")</f>
        <v/>
      </c>
      <c r="M9" s="1">
        <f>IFERROR(SUMIFS(T:T,P:P,"*/08/2026")/(SUMIFS(R:R,P:P,"*/08/2026")+SUMIFS(S:S,P:P,"*/08/2026")+SUMIFS(T:T,P:P,"*/08/2026")),"")</f>
        <v/>
      </c>
      <c r="O9" t="n">
        <v>8</v>
      </c>
      <c r="P9" t="inlineStr">
        <is>
          <t>05/01/2026</t>
        </is>
      </c>
      <c r="Q9" t="inlineStr">
        <is>
          <t>CN</t>
        </is>
      </c>
      <c r="R9" t="n">
        <v>404</v>
      </c>
      <c r="S9" t="n">
        <v>1147</v>
      </c>
      <c r="T9" t="n">
        <v>596</v>
      </c>
    </row>
    <row r="10">
      <c r="A10" t="n">
        <v>9</v>
      </c>
      <c r="B10" t="inlineStr">
        <is>
          <t>05/04/2026</t>
        </is>
      </c>
      <c r="C10" t="inlineStr">
        <is>
          <t>CN</t>
        </is>
      </c>
      <c r="D10" t="n">
        <v>604</v>
      </c>
      <c r="E10" t="n">
        <v>1062</v>
      </c>
      <c r="F10" t="n">
        <v>482</v>
      </c>
      <c r="H10" t="inlineStr">
        <is>
          <t>T9</t>
        </is>
      </c>
      <c r="I10" s="1" t="n">
        <v>0.65</v>
      </c>
      <c r="J10" s="1" t="n">
        <v>0.8</v>
      </c>
      <c r="K10" s="1">
        <f>IFERROR(SUMIFS(S:S,P:P,"*/09/2026")/(SUMIFS(R:R,P:P,"*/09/2026")+SUMIFS(S:S,P:P,"*/09/2026")+SUMIFS(T:T,P:P,"*/09/2026")),"")</f>
        <v/>
      </c>
      <c r="L10" s="1">
        <f>IFERROR(SUMIFS(R:R,P:P,"*/09/2026")/(SUMIFS(R:R,P:P,"*/09/2026")+SUMIFS(S:S,P:P,"*/09/2026")+SUMIFS(T:T,P:P,"*/09/2026")),"")</f>
        <v/>
      </c>
      <c r="M10" s="1">
        <f>IFERROR(SUMIFS(T:T,P:P,"*/09/2026")/(SUMIFS(R:R,P:P,"*/09/2026")+SUMIFS(S:S,P:P,"*/09/2026")+SUMIFS(T:T,P:P,"*/09/2026")),"")</f>
        <v/>
      </c>
      <c r="O10" t="n">
        <v>9</v>
      </c>
      <c r="P10" t="inlineStr">
        <is>
          <t>05/01/2026</t>
        </is>
      </c>
      <c r="Q10" t="inlineStr">
        <is>
          <t>CD</t>
        </is>
      </c>
      <c r="R10" t="n">
        <v>660</v>
      </c>
      <c r="S10" t="n">
        <v>1128</v>
      </c>
      <c r="T10" t="n">
        <v>338</v>
      </c>
    </row>
    <row r="11">
      <c r="A11" t="n">
        <v>10</v>
      </c>
      <c r="B11" t="inlineStr">
        <is>
          <t>05/04/2026</t>
        </is>
      </c>
      <c r="C11" t="inlineStr">
        <is>
          <t>CD</t>
        </is>
      </c>
      <c r="D11" t="n">
        <v>0</v>
      </c>
      <c r="E11" t="n">
        <v>0</v>
      </c>
      <c r="F11" t="n">
        <v>2160</v>
      </c>
      <c r="H11" t="inlineStr">
        <is>
          <t>T10</t>
        </is>
      </c>
      <c r="I11" s="1" t="n">
        <v>0.65</v>
      </c>
      <c r="J11" s="1" t="n">
        <v>0.8</v>
      </c>
      <c r="K11" s="1">
        <f>IFERROR(SUMIFS(S:S,P:P,"*/10/2026")/(SUMIFS(R:R,P:P,"*/10/2026")+SUMIFS(S:S,P:P,"*/10/2026")+SUMIFS(T:T,P:P,"*/10/2026")),"")</f>
        <v/>
      </c>
      <c r="L11" s="1">
        <f>IFERROR(SUMIFS(R:R,P:P,"*/10/2026")/(SUMIFS(R:R,P:P,"*/10/2026")+SUMIFS(S:S,P:P,"*/10/2026")+SUMIFS(T:T,P:P,"*/10/2026")),"")</f>
        <v/>
      </c>
      <c r="M11" s="1">
        <f>IFERROR(SUMIFS(T:T,P:P,"*/10/2026")/(SUMIFS(R:R,P:P,"*/10/2026")+SUMIFS(S:S,P:P,"*/10/2026")+SUMIFS(T:T,P:P,"*/10/2026")),"")</f>
        <v/>
      </c>
      <c r="O11" t="n">
        <v>10</v>
      </c>
      <c r="P11" t="inlineStr">
        <is>
          <t>06/01/2026</t>
        </is>
      </c>
      <c r="Q11" t="inlineStr">
        <is>
          <t>CN</t>
        </is>
      </c>
      <c r="R11" t="n">
        <v>717</v>
      </c>
      <c r="S11" t="n">
        <v>836</v>
      </c>
      <c r="T11" t="n">
        <v>592</v>
      </c>
    </row>
    <row r="12">
      <c r="A12" t="n">
        <v>11</v>
      </c>
      <c r="B12" t="inlineStr">
        <is>
          <t>06/04/2026</t>
        </is>
      </c>
      <c r="C12" t="inlineStr">
        <is>
          <t>CN</t>
        </is>
      </c>
      <c r="D12" t="n">
        <v>503</v>
      </c>
      <c r="E12" t="n">
        <v>1044</v>
      </c>
      <c r="F12" t="n">
        <v>604</v>
      </c>
      <c r="H12" t="inlineStr">
        <is>
          <t>T11</t>
        </is>
      </c>
      <c r="I12" s="1" t="n">
        <v>0.65</v>
      </c>
      <c r="J12" s="1" t="n">
        <v>0.8</v>
      </c>
      <c r="K12" s="1">
        <f>IFERROR(SUMIFS(S:S,P:P,"*/11/2026")/(SUMIFS(R:R,P:P,"*/11/2026")+SUMIFS(S:S,P:P,"*/11/2026")+SUMIFS(T:T,P:P,"*/11/2026")),"")</f>
        <v/>
      </c>
      <c r="L12" s="1">
        <f>IFERROR(SUMIFS(R:R,P:P,"*/11/2026")/(SUMIFS(R:R,P:P,"*/11/2026")+SUMIFS(S:S,P:P,"*/11/2026")+SUMIFS(T:T,P:P,"*/11/2026")),"")</f>
        <v/>
      </c>
      <c r="M12" s="1">
        <f>IFERROR(SUMIFS(T:T,P:P,"*/11/2026")/(SUMIFS(R:R,P:P,"*/11/2026")+SUMIFS(S:S,P:P,"*/11/2026")+SUMIFS(T:T,P:P,"*/11/2026")),"")</f>
        <v/>
      </c>
      <c r="O12" t="n">
        <v>11</v>
      </c>
      <c r="P12" t="inlineStr">
        <is>
          <t>06/01/2026</t>
        </is>
      </c>
      <c r="Q12" t="inlineStr">
        <is>
          <t>CD</t>
        </is>
      </c>
      <c r="R12" t="n">
        <v>753</v>
      </c>
      <c r="S12" t="n">
        <v>1246</v>
      </c>
      <c r="T12" t="n">
        <v>152</v>
      </c>
    </row>
    <row r="13">
      <c r="A13" t="n">
        <v>12</v>
      </c>
      <c r="B13" t="inlineStr">
        <is>
          <t>06/04/2026</t>
        </is>
      </c>
      <c r="C13" t="inlineStr">
        <is>
          <t>CD</t>
        </is>
      </c>
      <c r="D13" t="n">
        <v>623</v>
      </c>
      <c r="E13" t="n">
        <v>1522</v>
      </c>
      <c r="F13" t="n">
        <v>0</v>
      </c>
      <c r="H13" t="inlineStr">
        <is>
          <t>T12</t>
        </is>
      </c>
      <c r="I13" s="1" t="n">
        <v>0.65</v>
      </c>
      <c r="J13" s="1" t="n">
        <v>0.8</v>
      </c>
      <c r="K13" s="1">
        <f>IFERROR(SUMIFS(S:S,P:P,"*/12/2026")/(SUMIFS(R:R,P:P,"*/12/2026")+SUMIFS(S:S,P:P,"*/12/2026")+SUMIFS(T:T,P:P,"*/12/2026")),"")</f>
        <v/>
      </c>
      <c r="L13" s="1">
        <f>IFERROR(SUMIFS(R:R,P:P,"*/12/2026")/(SUMIFS(R:R,P:P,"*/12/2026")+SUMIFS(S:S,P:P,"*/12/2026")+SUMIFS(T:T,P:P,"*/12/2026")),"")</f>
        <v/>
      </c>
      <c r="M13" s="1">
        <f>IFERROR(SUMIFS(T:T,P:P,"*/12/2026")/(SUMIFS(R:R,P:P,"*/12/2026")+SUMIFS(S:S,P:P,"*/12/2026")+SUMIFS(T:T,P:P,"*/12/2026")),"")</f>
        <v/>
      </c>
      <c r="O13" t="n">
        <v>12</v>
      </c>
      <c r="P13" t="inlineStr">
        <is>
          <t>07/01/2026</t>
        </is>
      </c>
      <c r="Q13" t="inlineStr">
        <is>
          <t>CN</t>
        </is>
      </c>
      <c r="R13" t="n">
        <v>513</v>
      </c>
      <c r="S13" t="n">
        <v>294</v>
      </c>
      <c r="T13" t="n">
        <v>1347</v>
      </c>
    </row>
    <row r="14">
      <c r="A14" t="n">
        <v>13</v>
      </c>
      <c r="B14" t="inlineStr">
        <is>
          <t>07/04/2026</t>
        </is>
      </c>
      <c r="C14" t="inlineStr">
        <is>
          <t>CN</t>
        </is>
      </c>
      <c r="D14" t="n">
        <v>1159</v>
      </c>
      <c r="E14" t="n">
        <v>993</v>
      </c>
      <c r="F14" t="n">
        <v>0</v>
      </c>
      <c r="H14">
        <f>IF(B2="","",TEXT(B2,"dd/mm")&amp; "-" &amp;IF(UPPER(TRIM(C2))="CN",1,IF(UPPER(TRIM(C2))="CD",2,"")))</f>
        <v/>
      </c>
      <c r="I14" s="1" t="n">
        <v>0.65</v>
      </c>
      <c r="J14" s="1" t="n">
        <v>0.8</v>
      </c>
      <c r="K14" s="1">
        <f>IFERROR($E2/SUM($D2:$F2),"")</f>
        <v/>
      </c>
      <c r="L14" s="1">
        <f>IFERROR($D2/SUM($D2:$F2),"")</f>
        <v/>
      </c>
      <c r="M14" s="1">
        <f>IFERROR($F2/SUM($D2:$F2),"")</f>
        <v/>
      </c>
      <c r="O14" t="n">
        <v>13</v>
      </c>
      <c r="P14" t="inlineStr">
        <is>
          <t>07/01/2026</t>
        </is>
      </c>
      <c r="Q14" t="inlineStr">
        <is>
          <t>CD</t>
        </is>
      </c>
      <c r="R14" t="n">
        <v>0</v>
      </c>
      <c r="S14" t="n">
        <v>0</v>
      </c>
      <c r="T14" t="n">
        <v>2160</v>
      </c>
    </row>
    <row r="15">
      <c r="A15" t="n">
        <v>14</v>
      </c>
      <c r="B15" t="inlineStr">
        <is>
          <t>07/04/2026</t>
        </is>
      </c>
      <c r="C15" t="inlineStr">
        <is>
          <t>CD</t>
        </is>
      </c>
      <c r="D15" t="n">
        <v>548</v>
      </c>
      <c r="E15" t="n">
        <v>1600</v>
      </c>
      <c r="F15" t="n">
        <v>0</v>
      </c>
      <c r="H15">
        <f>IF(B3="","",TEXT(B3,"dd/mm") &amp; "-" &amp; IF(UPPER(TRIM(C3))="CN",1,IF(UPPER(TRIM(C3))="CD",2,"")))</f>
        <v/>
      </c>
      <c r="I15" s="1" t="n">
        <v>0.65</v>
      </c>
      <c r="J15" s="1" t="n">
        <v>0.8</v>
      </c>
      <c r="K15" s="1">
        <f>IFERROR($E3/SUM($D3:$F3),"")</f>
        <v/>
      </c>
      <c r="L15" s="1">
        <f>IFERROR($D3/SUM($D3:$F3),"")</f>
        <v/>
      </c>
      <c r="M15" s="1">
        <f>IFERROR($F3/SUM($D3:$F3),"")</f>
        <v/>
      </c>
      <c r="O15" t="n">
        <v>14</v>
      </c>
      <c r="P15" t="inlineStr">
        <is>
          <t>08/01/2026</t>
        </is>
      </c>
      <c r="Q15" t="inlineStr">
        <is>
          <t>CN</t>
        </is>
      </c>
      <c r="R15" t="n">
        <v>550</v>
      </c>
      <c r="S15" t="n">
        <v>964</v>
      </c>
      <c r="T15" t="n">
        <v>631</v>
      </c>
    </row>
    <row r="16">
      <c r="A16" t="n">
        <v>15</v>
      </c>
      <c r="B16" t="inlineStr">
        <is>
          <t>08/04/2026</t>
        </is>
      </c>
      <c r="C16" t="inlineStr">
        <is>
          <t>CN</t>
        </is>
      </c>
      <c r="D16" t="n">
        <v>1028</v>
      </c>
      <c r="E16" t="n">
        <v>1123</v>
      </c>
      <c r="F16" t="n">
        <v>0</v>
      </c>
      <c r="H16">
        <f>IF(B4="","",TEXT(B4,"dd/mm") &amp; "-" &amp; IF(UPPER(TRIM(C4))="CN",1,IF(UPPER(TRIM(C4))="CD",2,"")))</f>
        <v/>
      </c>
      <c r="I16" s="1" t="n">
        <v>0.65</v>
      </c>
      <c r="J16" s="1" t="n">
        <v>0.8</v>
      </c>
      <c r="K16" s="1">
        <f>IFERROR($E4/SUM($D4:$F4),"")</f>
        <v/>
      </c>
      <c r="L16" s="1">
        <f>IFERROR($D4/SUM($D4:$F4),"")</f>
        <v/>
      </c>
      <c r="M16" s="1">
        <f>IFERROR($F4/SUM($D4:$F4),"")</f>
        <v/>
      </c>
      <c r="O16" t="n">
        <v>15</v>
      </c>
      <c r="P16" t="inlineStr">
        <is>
          <t>08/01/2026</t>
        </is>
      </c>
      <c r="Q16" t="inlineStr">
        <is>
          <t>CD</t>
        </is>
      </c>
      <c r="R16" t="n">
        <v>673</v>
      </c>
      <c r="S16" t="n">
        <v>1173</v>
      </c>
      <c r="T16" t="n">
        <v>305</v>
      </c>
    </row>
    <row r="17">
      <c r="A17" t="n">
        <v>16</v>
      </c>
      <c r="B17" t="inlineStr">
        <is>
          <t>08/04/2026</t>
        </is>
      </c>
      <c r="C17" t="inlineStr">
        <is>
          <t>CD</t>
        </is>
      </c>
      <c r="D17" t="n">
        <v>592</v>
      </c>
      <c r="E17" t="n">
        <v>1549</v>
      </c>
      <c r="F17" t="n">
        <v>0</v>
      </c>
      <c r="H17">
        <f>IF(B5="","",TEXT(B5,"dd/mm") &amp; "-" &amp; IF(UPPER(TRIM(C5))="CN",1,IF(UPPER(TRIM(C5))="CD",2,"")))</f>
        <v/>
      </c>
      <c r="I17" s="1" t="n">
        <v>0.65</v>
      </c>
      <c r="J17" s="1" t="n">
        <v>0.8</v>
      </c>
      <c r="K17" s="1">
        <f>IFERROR($E5/SUM($D5:$F5),"")</f>
        <v/>
      </c>
      <c r="L17" s="1">
        <f>IFERROR($D5/SUM($D5:$F5),"")</f>
        <v/>
      </c>
      <c r="M17" s="1">
        <f>IFERROR($F5/SUM($D5:$F5),"")</f>
        <v/>
      </c>
      <c r="O17" t="n">
        <v>16</v>
      </c>
      <c r="P17" t="inlineStr">
        <is>
          <t>09/01/2026</t>
        </is>
      </c>
      <c r="Q17" t="inlineStr">
        <is>
          <t>CN</t>
        </is>
      </c>
      <c r="R17" t="n">
        <v>687</v>
      </c>
      <c r="S17" t="n">
        <v>1038</v>
      </c>
      <c r="T17" t="n">
        <v>416</v>
      </c>
    </row>
    <row r="18">
      <c r="A18" t="n">
        <v>17</v>
      </c>
      <c r="B18" t="inlineStr">
        <is>
          <t>09/04/2026</t>
        </is>
      </c>
      <c r="C18" t="inlineStr">
        <is>
          <t>CN</t>
        </is>
      </c>
      <c r="D18" t="n">
        <v>1078</v>
      </c>
      <c r="E18" t="n">
        <v>1055</v>
      </c>
      <c r="F18" t="n">
        <v>19</v>
      </c>
      <c r="H18">
        <f>IF(B6="","",TEXT(B6,"dd/mm") &amp; "-" &amp; IF(UPPER(TRIM(C6))="CN",1,IF(UPPER(TRIM(C6))="CD",2,"")))</f>
        <v/>
      </c>
      <c r="I18" s="1" t="n">
        <v>0.65</v>
      </c>
      <c r="J18" s="1" t="n">
        <v>0.8</v>
      </c>
      <c r="K18" s="1">
        <f>IFERROR($E6/SUM($D6:$F6),"")</f>
        <v/>
      </c>
      <c r="L18" s="1">
        <f>IFERROR($D6/SUM($D6:$F6),"")</f>
        <v/>
      </c>
      <c r="M18" s="1">
        <f>IFERROR($F6/SUM($D6:$F6),"")</f>
        <v/>
      </c>
      <c r="O18" t="n">
        <v>17</v>
      </c>
      <c r="P18" t="inlineStr">
        <is>
          <t>09/01/2026</t>
        </is>
      </c>
      <c r="Q18" t="inlineStr">
        <is>
          <t>CD</t>
        </is>
      </c>
      <c r="R18" t="n">
        <v>396</v>
      </c>
      <c r="S18" t="n">
        <v>1300</v>
      </c>
      <c r="T18" t="n">
        <v>459</v>
      </c>
    </row>
    <row r="19">
      <c r="A19" t="n">
        <v>18</v>
      </c>
      <c r="B19" t="inlineStr">
        <is>
          <t>09/04/2026</t>
        </is>
      </c>
      <c r="C19" t="inlineStr">
        <is>
          <t>CD</t>
        </is>
      </c>
      <c r="D19" t="n">
        <v>736</v>
      </c>
      <c r="E19" t="n">
        <v>1409</v>
      </c>
      <c r="F19" t="n">
        <v>0</v>
      </c>
      <c r="H19">
        <f>IF(B7="","",TEXT(B7,"dd/mm") &amp; "-" &amp; IF(UPPER(TRIM(C7))="CN",1,IF(UPPER(TRIM(C7))="CD",2,"")))</f>
        <v/>
      </c>
      <c r="I19" s="1" t="n">
        <v>0.65</v>
      </c>
      <c r="J19" s="1" t="n">
        <v>0.8</v>
      </c>
      <c r="K19" s="1">
        <f>IFERROR($E7/SUM($D7:$F7),"")</f>
        <v/>
      </c>
      <c r="L19" s="1">
        <f>IFERROR($D7/SUM($D7:$F7),"")</f>
        <v/>
      </c>
      <c r="M19" s="1">
        <f>IFERROR($F7/SUM($D7:$F7),"")</f>
        <v/>
      </c>
      <c r="O19" t="n">
        <v>18</v>
      </c>
      <c r="P19" t="inlineStr">
        <is>
          <t>10/01/2026</t>
        </is>
      </c>
      <c r="Q19" t="inlineStr">
        <is>
          <t>CN</t>
        </is>
      </c>
      <c r="R19" t="n">
        <v>524</v>
      </c>
      <c r="S19" t="n">
        <v>918</v>
      </c>
      <c r="T19" t="n">
        <v>706</v>
      </c>
    </row>
    <row r="20">
      <c r="A20" t="n">
        <v>19</v>
      </c>
      <c r="B20" t="inlineStr">
        <is>
          <t>10/04/2026</t>
        </is>
      </c>
      <c r="C20" t="inlineStr">
        <is>
          <t>CN</t>
        </is>
      </c>
      <c r="D20" t="n">
        <v>1077</v>
      </c>
      <c r="E20" t="n">
        <v>1074</v>
      </c>
      <c r="F20" t="n">
        <v>0</v>
      </c>
      <c r="H20">
        <f>IF(B8="","",TEXT(B8,"dd/mm") &amp; "-" &amp; IF(UPPER(TRIM(C8))="CN",1,IF(UPPER(TRIM(C8))="CD",2,"")))</f>
        <v/>
      </c>
      <c r="I20" s="1" t="n">
        <v>0.65</v>
      </c>
      <c r="J20" s="1" t="n">
        <v>0.8</v>
      </c>
      <c r="K20" s="1">
        <f>IFERROR($E8/SUM($D8:$F8),"")</f>
        <v/>
      </c>
      <c r="L20" s="1">
        <f>IFERROR($D8/SUM($D8:$F8),"")</f>
        <v/>
      </c>
      <c r="M20" s="1">
        <f>IFERROR($F8/SUM($D8:$F8),"")</f>
        <v/>
      </c>
      <c r="O20" t="n">
        <v>19</v>
      </c>
      <c r="P20" t="inlineStr">
        <is>
          <t>10/01/2026</t>
        </is>
      </c>
      <c r="Q20" t="inlineStr">
        <is>
          <t>CD</t>
        </is>
      </c>
      <c r="R20" t="n">
        <v>2</v>
      </c>
      <c r="S20" t="n">
        <v>0</v>
      </c>
      <c r="T20" t="n">
        <v>2157</v>
      </c>
    </row>
    <row r="21">
      <c r="A21" t="n">
        <v>20</v>
      </c>
      <c r="B21" t="inlineStr">
        <is>
          <t>10/04/2026</t>
        </is>
      </c>
      <c r="C21" t="inlineStr">
        <is>
          <t>CD</t>
        </is>
      </c>
      <c r="D21" t="n">
        <v>892</v>
      </c>
      <c r="E21" t="n">
        <v>1253</v>
      </c>
      <c r="F21" t="n">
        <v>0</v>
      </c>
      <c r="H21">
        <f>IF(B9="","",TEXT(B9,"dd/mm") &amp; "-" &amp; IF(UPPER(TRIM(C9))="CN",1,IF(UPPER(TRIM(C9))="CD",2,"")))</f>
        <v/>
      </c>
      <c r="I21" s="1" t="n">
        <v>0.65</v>
      </c>
      <c r="J21" s="1" t="n">
        <v>0.8</v>
      </c>
      <c r="K21" s="1">
        <f>IFERROR($E9/SUM($D9:$F9),"")</f>
        <v/>
      </c>
      <c r="L21" s="1">
        <f>IFERROR($D9/SUM($D9:$F9),"")</f>
        <v/>
      </c>
      <c r="M21" s="1">
        <f>IFERROR($F9/SUM($D9:$F9),"")</f>
        <v/>
      </c>
      <c r="O21" t="n">
        <v>20</v>
      </c>
      <c r="P21" t="inlineStr">
        <is>
          <t>11/01/2026</t>
        </is>
      </c>
      <c r="Q21" t="inlineStr">
        <is>
          <t>CN</t>
        </is>
      </c>
      <c r="R21" t="n">
        <v>0</v>
      </c>
      <c r="S21" t="n">
        <v>0</v>
      </c>
      <c r="T21" t="n">
        <v>2160</v>
      </c>
    </row>
    <row r="22">
      <c r="A22" t="n">
        <v>21</v>
      </c>
      <c r="B22" t="inlineStr">
        <is>
          <t>11/04/2026</t>
        </is>
      </c>
      <c r="C22" t="inlineStr">
        <is>
          <t>CN</t>
        </is>
      </c>
      <c r="D22" t="n">
        <v>972</v>
      </c>
      <c r="E22" t="n">
        <v>643</v>
      </c>
      <c r="F22" t="n">
        <v>542</v>
      </c>
      <c r="H22">
        <f>IF(B10="","",TEXT(B10,"dd/mm") &amp; "-" &amp; IF(UPPER(TRIM(C10))="CN",1,IF(UPPER(TRIM(C10))="CD",2,"")))</f>
        <v/>
      </c>
      <c r="I22" s="1" t="n">
        <v>0.65</v>
      </c>
      <c r="J22" s="1" t="n">
        <v>0.8</v>
      </c>
      <c r="K22" s="1">
        <f>IFERROR($E10/SUM($D10:$F10),"")</f>
        <v/>
      </c>
      <c r="L22" s="1">
        <f>IFERROR($D10/SUM($D10:$F10),"")</f>
        <v/>
      </c>
      <c r="M22" s="1">
        <f>IFERROR($F10/SUM($D10:$F10),"")</f>
        <v/>
      </c>
      <c r="O22" t="n">
        <v>21</v>
      </c>
      <c r="P22" t="inlineStr">
        <is>
          <t>11/01/2026</t>
        </is>
      </c>
      <c r="Q22" t="inlineStr">
        <is>
          <t>CD</t>
        </is>
      </c>
      <c r="R22" t="n">
        <v>0</v>
      </c>
      <c r="S22" t="n">
        <v>0</v>
      </c>
      <c r="T22" t="n">
        <v>2160</v>
      </c>
    </row>
    <row r="23">
      <c r="A23" t="n">
        <v>22</v>
      </c>
      <c r="B23" t="inlineStr">
        <is>
          <t>11/04/2026</t>
        </is>
      </c>
      <c r="C23" t="inlineStr">
        <is>
          <t>CD</t>
        </is>
      </c>
      <c r="D23" t="n">
        <v>525</v>
      </c>
      <c r="E23" t="n">
        <v>1058</v>
      </c>
      <c r="F23" t="n">
        <v>569</v>
      </c>
      <c r="H23">
        <f>IF(B11="","",TEXT(B11,"dd/mm") &amp; "-" &amp; IF(UPPER(TRIM(C11))="CN",1,IF(UPPER(TRIM(C11))="CD",2,"")))</f>
        <v/>
      </c>
      <c r="I23" s="1" t="n">
        <v>0.65</v>
      </c>
      <c r="J23" s="1" t="n">
        <v>0.8</v>
      </c>
      <c r="K23" s="1">
        <f>IFERROR($E11/SUM($D11:$F11),"")</f>
        <v/>
      </c>
      <c r="L23" s="1">
        <f>IFERROR($D11/SUM($D11:$F11),"")</f>
        <v/>
      </c>
      <c r="M23" s="1">
        <f>IFERROR($F11/SUM($D11:$F11),"")</f>
        <v/>
      </c>
      <c r="O23" t="n">
        <v>22</v>
      </c>
      <c r="P23" t="inlineStr">
        <is>
          <t>12/01/2026</t>
        </is>
      </c>
      <c r="Q23" t="inlineStr">
        <is>
          <t>CN</t>
        </is>
      </c>
      <c r="R23" t="n">
        <v>585</v>
      </c>
      <c r="S23" t="n">
        <v>947</v>
      </c>
      <c r="T23" t="n">
        <v>617</v>
      </c>
    </row>
    <row r="24">
      <c r="A24" t="n">
        <v>23</v>
      </c>
      <c r="B24" t="inlineStr">
        <is>
          <t>12/04/2026</t>
        </is>
      </c>
      <c r="C24" t="inlineStr">
        <is>
          <t>CN</t>
        </is>
      </c>
      <c r="D24" t="n">
        <v>724</v>
      </c>
      <c r="E24" t="n">
        <v>899</v>
      </c>
      <c r="F24" t="n">
        <v>527</v>
      </c>
      <c r="H24">
        <f>IF(B12="","",TEXT(B12,"dd/mm") &amp; "-" &amp; IF(UPPER(TRIM(C12))="CN",1,IF(UPPER(TRIM(C12))="CD",2,"")))</f>
        <v/>
      </c>
      <c r="I24" s="1" t="n">
        <v>0.65</v>
      </c>
      <c r="J24" s="1" t="n">
        <v>0.8</v>
      </c>
      <c r="K24" s="1">
        <f>IFERROR($E12/SUM($D12:$F12),"")</f>
        <v/>
      </c>
      <c r="L24" s="1">
        <f>IFERROR($D12/SUM($D12:$F12),"")</f>
        <v/>
      </c>
      <c r="M24" s="1">
        <f>IFERROR($F12/SUM($D12:$F12),"")</f>
        <v/>
      </c>
      <c r="O24" t="n">
        <v>23</v>
      </c>
      <c r="P24" t="inlineStr">
        <is>
          <t>12/01/2026</t>
        </is>
      </c>
      <c r="Q24" t="inlineStr">
        <is>
          <t>CD</t>
        </is>
      </c>
      <c r="R24" t="n">
        <v>636</v>
      </c>
      <c r="S24" t="n">
        <v>1061</v>
      </c>
      <c r="T24" t="n">
        <v>446</v>
      </c>
    </row>
    <row r="25">
      <c r="A25" t="n">
        <v>24</v>
      </c>
      <c r="B25" t="inlineStr">
        <is>
          <t>12/04/2026</t>
        </is>
      </c>
      <c r="C25" t="inlineStr">
        <is>
          <t>CD</t>
        </is>
      </c>
      <c r="D25" t="n">
        <v>0</v>
      </c>
      <c r="E25" t="n">
        <v>0</v>
      </c>
      <c r="F25" t="n">
        <v>2160</v>
      </c>
      <c r="H25">
        <f>IF(B13="","",TEXT(B13,"dd/mm") &amp; "-" &amp; IF(UPPER(TRIM(C13))="CN",1,IF(UPPER(TRIM(C13))="CD",2,"")))</f>
        <v/>
      </c>
      <c r="I25" s="1" t="n">
        <v>0.65</v>
      </c>
      <c r="J25" s="1" t="n">
        <v>0.8</v>
      </c>
      <c r="K25" s="1">
        <f>IFERROR($E13/SUM($D13:$F13),"")</f>
        <v/>
      </c>
      <c r="L25" s="1">
        <f>IFERROR($D13/SUM($D13:$F13),"")</f>
        <v/>
      </c>
      <c r="M25" s="1">
        <f>IFERROR($F13/SUM($D13:$F13),"")</f>
        <v/>
      </c>
      <c r="O25" t="n">
        <v>24</v>
      </c>
      <c r="P25" t="inlineStr">
        <is>
          <t>13/01/2026</t>
        </is>
      </c>
      <c r="Q25" t="inlineStr">
        <is>
          <t>CN</t>
        </is>
      </c>
      <c r="R25" t="n">
        <v>518</v>
      </c>
      <c r="S25" t="n">
        <v>1012</v>
      </c>
      <c r="T25" t="n">
        <v>618</v>
      </c>
    </row>
    <row r="26">
      <c r="A26" t="n">
        <v>25</v>
      </c>
      <c r="B26" t="inlineStr">
        <is>
          <t>13/04/2026</t>
        </is>
      </c>
      <c r="C26" t="inlineStr">
        <is>
          <t>CN</t>
        </is>
      </c>
      <c r="D26" t="n">
        <v>531</v>
      </c>
      <c r="E26" t="n">
        <v>1007</v>
      </c>
      <c r="F26" t="n">
        <v>606</v>
      </c>
      <c r="H26">
        <f>IF(B14="","",TEXT(B14,"dd/mm") &amp; "-" &amp; IF(UPPER(TRIM(C14))="CN",1,IF(UPPER(TRIM(C14))="CD",2,"")))</f>
        <v/>
      </c>
      <c r="I26" s="1" t="n">
        <v>0.65</v>
      </c>
      <c r="J26" s="1" t="n">
        <v>0.8</v>
      </c>
      <c r="K26" s="1">
        <f>IFERROR($E14/SUM($D14:$F14),"")</f>
        <v/>
      </c>
      <c r="L26" s="1">
        <f>IFERROR($D14/SUM($D14:$F14),"")</f>
        <v/>
      </c>
      <c r="M26" s="1">
        <f>IFERROR($F14/SUM($D14:$F14),"")</f>
        <v/>
      </c>
      <c r="O26" t="n">
        <v>25</v>
      </c>
      <c r="P26" t="inlineStr">
        <is>
          <t>13/01/2026</t>
        </is>
      </c>
      <c r="Q26" t="inlineStr">
        <is>
          <t>CD</t>
        </is>
      </c>
      <c r="R26" t="n">
        <v>602</v>
      </c>
      <c r="S26" t="n">
        <v>1392</v>
      </c>
      <c r="T26" t="n">
        <v>152</v>
      </c>
    </row>
    <row r="27">
      <c r="A27" t="n">
        <v>26</v>
      </c>
      <c r="B27" t="inlineStr">
        <is>
          <t>13/04/2026</t>
        </is>
      </c>
      <c r="C27" t="inlineStr">
        <is>
          <t>CD</t>
        </is>
      </c>
      <c r="D27" t="n">
        <v>549</v>
      </c>
      <c r="E27" t="n">
        <v>1290</v>
      </c>
      <c r="F27" t="n">
        <v>311</v>
      </c>
      <c r="H27">
        <f>IF(B15="","",TEXT(B15,"dd/mm") &amp; "-" &amp; IF(UPPER(TRIM(C15))="CN",1,IF(UPPER(TRIM(C15))="CD",2,"")))</f>
        <v/>
      </c>
      <c r="I27" s="1" t="n">
        <v>0.65</v>
      </c>
      <c r="J27" s="1" t="n">
        <v>0.8</v>
      </c>
      <c r="K27" s="1">
        <f>IFERROR($E15/SUM($D15:$F15),"")</f>
        <v/>
      </c>
      <c r="L27" s="1">
        <f>IFERROR($D15/SUM($D15:$F15),"")</f>
        <v/>
      </c>
      <c r="M27" s="1">
        <f>IFERROR($F15/SUM($D15:$F15),"")</f>
        <v/>
      </c>
      <c r="O27" t="n">
        <v>26</v>
      </c>
      <c r="P27" t="inlineStr">
        <is>
          <t>14/01/2026</t>
        </is>
      </c>
      <c r="Q27" t="inlineStr">
        <is>
          <t>CN</t>
        </is>
      </c>
      <c r="R27" t="n">
        <v>970</v>
      </c>
      <c r="S27" t="n">
        <v>967</v>
      </c>
      <c r="T27" t="n">
        <v>213</v>
      </c>
    </row>
    <row r="28">
      <c r="A28" t="n">
        <v>27</v>
      </c>
      <c r="B28" t="inlineStr">
        <is>
          <t>14/04/2026</t>
        </is>
      </c>
      <c r="C28" t="inlineStr">
        <is>
          <t>CN</t>
        </is>
      </c>
      <c r="D28" t="n">
        <v>623</v>
      </c>
      <c r="E28" t="n">
        <v>1117</v>
      </c>
      <c r="F28" t="n">
        <v>409</v>
      </c>
      <c r="H28">
        <f>IF(B16="","",TEXT(B16,"dd/mm") &amp; "-" &amp; IF(UPPER(TRIM(C16))="CN",1,IF(UPPER(TRIM(C16))="CD",2,"")))</f>
        <v/>
      </c>
      <c r="I28" s="1" t="n">
        <v>0.65</v>
      </c>
      <c r="J28" s="1" t="n">
        <v>0.8</v>
      </c>
      <c r="K28" s="1">
        <f>IFERROR($E16/SUM($D16:$F16),"")</f>
        <v/>
      </c>
      <c r="L28" s="1">
        <f>IFERROR($D16/SUM($D16:$F16),"")</f>
        <v/>
      </c>
      <c r="M28" s="1">
        <f>IFERROR($F16/SUM($D16:$F16),"")</f>
        <v/>
      </c>
      <c r="O28" t="n">
        <v>27</v>
      </c>
      <c r="P28" t="inlineStr">
        <is>
          <t>14/01/2026</t>
        </is>
      </c>
      <c r="Q28" t="inlineStr">
        <is>
          <t>CD</t>
        </is>
      </c>
      <c r="R28" t="n">
        <v>677</v>
      </c>
      <c r="S28" t="n">
        <v>1162</v>
      </c>
      <c r="T28" t="n">
        <v>302</v>
      </c>
    </row>
    <row r="29">
      <c r="A29" t="n">
        <v>28</v>
      </c>
      <c r="B29" t="inlineStr">
        <is>
          <t>14/04/2026</t>
        </is>
      </c>
      <c r="C29" t="inlineStr">
        <is>
          <t>CD</t>
        </is>
      </c>
      <c r="D29" t="n">
        <v>699</v>
      </c>
      <c r="E29" t="n">
        <v>1296</v>
      </c>
      <c r="F29" t="n">
        <v>156</v>
      </c>
      <c r="H29">
        <f>IF(B17="","",TEXT(B17,"dd/mm") &amp; "-" &amp; IF(UPPER(TRIM(C17))="CN",1,IF(UPPER(TRIM(C17))="CD",2,"")))</f>
        <v/>
      </c>
      <c r="I29" s="1" t="n">
        <v>0.65</v>
      </c>
      <c r="J29" s="1" t="n">
        <v>0.8</v>
      </c>
      <c r="K29" s="1">
        <f>IFERROR($E17/SUM($D17:$F17),"")</f>
        <v/>
      </c>
      <c r="L29" s="1">
        <f>IFERROR($D17/SUM($D17:$F17),"")</f>
        <v/>
      </c>
      <c r="M29" s="1">
        <f>IFERROR($F17/SUM($D17:$F17),"")</f>
        <v/>
      </c>
      <c r="O29" t="n">
        <v>28</v>
      </c>
      <c r="P29" t="inlineStr">
        <is>
          <t>15/01/2026</t>
        </is>
      </c>
      <c r="Q29" t="inlineStr">
        <is>
          <t>CN</t>
        </is>
      </c>
      <c r="R29" t="n">
        <v>912</v>
      </c>
      <c r="S29" t="n">
        <v>827</v>
      </c>
      <c r="T29" t="n">
        <v>413</v>
      </c>
    </row>
    <row r="30">
      <c r="A30" t="n">
        <v>29</v>
      </c>
      <c r="B30" t="inlineStr">
        <is>
          <t>15/04/2026</t>
        </is>
      </c>
      <c r="C30" t="inlineStr">
        <is>
          <t>CN</t>
        </is>
      </c>
      <c r="D30" t="n">
        <v>861</v>
      </c>
      <c r="E30" t="n">
        <v>1082</v>
      </c>
      <c r="F30" t="n">
        <v>205</v>
      </c>
      <c r="H30">
        <f>IF(B18="","",TEXT(B18,"dd/mm") &amp; "-" &amp; IF(UPPER(TRIM(C18))="CN",1,IF(UPPER(TRIM(C18))="CD",2,"")))</f>
        <v/>
      </c>
      <c r="I30" s="1" t="n">
        <v>0.65</v>
      </c>
      <c r="J30" s="1" t="n">
        <v>0.8</v>
      </c>
      <c r="K30" s="1">
        <f>IFERROR($E18/SUM($D18:$F18),"")</f>
        <v/>
      </c>
      <c r="L30" s="1">
        <f>IFERROR($D18/SUM($D18:$F18),"")</f>
        <v/>
      </c>
      <c r="M30" s="1">
        <f>IFERROR($F18/SUM($D18:$F18),"")</f>
        <v/>
      </c>
      <c r="O30" t="n">
        <v>29</v>
      </c>
      <c r="P30" t="inlineStr">
        <is>
          <t>15/01/2026</t>
        </is>
      </c>
      <c r="Q30" t="inlineStr">
        <is>
          <t>CD</t>
        </is>
      </c>
      <c r="R30" t="n">
        <v>755</v>
      </c>
      <c r="S30" t="n">
        <v>1387</v>
      </c>
      <c r="T30" t="n">
        <v>0</v>
      </c>
    </row>
    <row r="31">
      <c r="A31" t="n">
        <v>30</v>
      </c>
      <c r="B31" t="inlineStr">
        <is>
          <t>15/04/2026</t>
        </is>
      </c>
      <c r="C31" t="inlineStr">
        <is>
          <t>CD</t>
        </is>
      </c>
      <c r="D31" t="n">
        <v>657</v>
      </c>
      <c r="E31" t="n">
        <v>1336</v>
      </c>
      <c r="F31" t="n">
        <v>157</v>
      </c>
      <c r="H31">
        <f>IF(B19="","",TEXT(B19,"dd/mm") &amp; "-" &amp; IF(UPPER(TRIM(C19))="CN",1,IF(UPPER(TRIM(C19))="CD",2,"")))</f>
        <v/>
      </c>
      <c r="I31" s="1" t="n">
        <v>0.65</v>
      </c>
      <c r="J31" s="1" t="n">
        <v>0.8</v>
      </c>
      <c r="K31" s="1">
        <f>IFERROR($E19/SUM($D19:$F19),"")</f>
        <v/>
      </c>
      <c r="L31" s="1">
        <f>IFERROR($D19/SUM($D19:$F19),"")</f>
        <v/>
      </c>
      <c r="M31" s="1">
        <f>IFERROR($F19/SUM($D19:$F19),"")</f>
        <v/>
      </c>
      <c r="O31" t="n">
        <v>30</v>
      </c>
      <c r="P31" t="inlineStr">
        <is>
          <t>16/01/2026</t>
        </is>
      </c>
      <c r="Q31" t="inlineStr">
        <is>
          <t>CN</t>
        </is>
      </c>
      <c r="R31" t="n">
        <v>1141</v>
      </c>
      <c r="S31" t="n">
        <v>1010</v>
      </c>
      <c r="T31" t="n">
        <v>0</v>
      </c>
    </row>
    <row r="32">
      <c r="A32" t="n">
        <v>31</v>
      </c>
      <c r="B32" t="inlineStr">
        <is>
          <t>16/04/2026</t>
        </is>
      </c>
      <c r="C32" t="inlineStr">
        <is>
          <t>CN</t>
        </is>
      </c>
      <c r="D32" t="n">
        <v>795</v>
      </c>
      <c r="E32" t="n">
        <v>1145</v>
      </c>
      <c r="F32" t="n">
        <v>205</v>
      </c>
      <c r="H32">
        <f>IF(B20="","",TEXT(B20,"dd/mm") &amp; "-" &amp; IF(UPPER(TRIM(C20))="CN",1,IF(UPPER(TRIM(C20))="CD",2,"")))</f>
        <v/>
      </c>
      <c r="I32" s="1" t="n">
        <v>0.65</v>
      </c>
      <c r="J32" s="1" t="n">
        <v>0.8</v>
      </c>
      <c r="K32" s="1">
        <f>IFERROR($E20/SUM($D20:$F20),"")</f>
        <v/>
      </c>
      <c r="L32" s="1">
        <f>IFERROR($D20/SUM($D20:$F20),"")</f>
        <v/>
      </c>
      <c r="M32" s="1">
        <f>IFERROR($F20/SUM($D20:$F20),"")</f>
        <v/>
      </c>
      <c r="O32" t="n">
        <v>31</v>
      </c>
      <c r="P32" t="inlineStr">
        <is>
          <t>16/01/2026</t>
        </is>
      </c>
      <c r="Q32" t="inlineStr">
        <is>
          <t>CD</t>
        </is>
      </c>
      <c r="R32" t="n">
        <v>876</v>
      </c>
      <c r="S32" t="n">
        <v>1059</v>
      </c>
      <c r="T32" t="n">
        <v>211</v>
      </c>
    </row>
    <row r="33">
      <c r="A33" t="n">
        <v>32</v>
      </c>
      <c r="B33" t="inlineStr">
        <is>
          <t>16/04/2026</t>
        </is>
      </c>
      <c r="C33" t="inlineStr">
        <is>
          <t>CD</t>
        </is>
      </c>
      <c r="D33" t="n">
        <v>669</v>
      </c>
      <c r="E33" t="n">
        <v>1481</v>
      </c>
      <c r="F33" t="n">
        <v>0</v>
      </c>
      <c r="H33">
        <f>IF(B21="","",TEXT(B21,"dd/mm") &amp; "-" &amp; IF(UPPER(TRIM(C21))="CN",1,IF(UPPER(TRIM(C21))="CD",2,"")))</f>
        <v/>
      </c>
      <c r="I33" s="1" t="n">
        <v>0.65</v>
      </c>
      <c r="J33" s="1" t="n">
        <v>0.8</v>
      </c>
      <c r="K33" s="1">
        <f>IFERROR($E21/SUM($D21:$F21),"")</f>
        <v/>
      </c>
      <c r="L33" s="1">
        <f>IFERROR($D21/SUM($D21:$F21),"")</f>
        <v/>
      </c>
      <c r="M33" s="1">
        <f>IFERROR($F21/SUM($D21:$F21),"")</f>
        <v/>
      </c>
      <c r="O33" t="n">
        <v>32</v>
      </c>
      <c r="P33" t="inlineStr">
        <is>
          <t>17/01/2026</t>
        </is>
      </c>
      <c r="Q33" t="inlineStr">
        <is>
          <t>CN</t>
        </is>
      </c>
      <c r="R33" t="n">
        <v>1066</v>
      </c>
      <c r="S33" t="n">
        <v>868</v>
      </c>
      <c r="T33" t="n">
        <v>215</v>
      </c>
    </row>
    <row r="34">
      <c r="A34" t="n">
        <v>33</v>
      </c>
      <c r="B34" t="inlineStr">
        <is>
          <t>17/04/2026</t>
        </is>
      </c>
      <c r="C34" t="inlineStr">
        <is>
          <t>CN</t>
        </is>
      </c>
      <c r="D34" t="n">
        <v>874</v>
      </c>
      <c r="E34" t="n">
        <v>1274</v>
      </c>
      <c r="F34" t="n">
        <v>0</v>
      </c>
      <c r="H34">
        <f>IF(B22="","",TEXT(B22,"dd/mm") &amp; "-" &amp; IF(UPPER(TRIM(C22))="CN",1,IF(UPPER(TRIM(C22))="CD",2,"")))</f>
        <v/>
      </c>
      <c r="I34" s="1" t="n">
        <v>0.65</v>
      </c>
      <c r="J34" s="1" t="n">
        <v>0.8</v>
      </c>
      <c r="K34" s="1">
        <f>IFERROR($E22/SUM($D22:$F22),"")</f>
        <v/>
      </c>
      <c r="L34" s="1">
        <f>IFERROR($D22/SUM($D22:$F22),"")</f>
        <v/>
      </c>
      <c r="M34" s="1">
        <f>IFERROR($F22/SUM($D22:$F22),"")</f>
        <v/>
      </c>
      <c r="O34" t="n">
        <v>33</v>
      </c>
      <c r="P34" t="inlineStr">
        <is>
          <t>17/01/2026</t>
        </is>
      </c>
      <c r="Q34" t="inlineStr">
        <is>
          <t>CD</t>
        </is>
      </c>
      <c r="R34" t="n">
        <v>785</v>
      </c>
      <c r="S34" t="n">
        <v>1123</v>
      </c>
      <c r="T34" t="n">
        <v>241</v>
      </c>
    </row>
    <row r="35">
      <c r="A35" t="n">
        <v>34</v>
      </c>
      <c r="B35" t="inlineStr">
        <is>
          <t>17/04/2026</t>
        </is>
      </c>
      <c r="C35" t="inlineStr">
        <is>
          <t>CD</t>
        </is>
      </c>
      <c r="D35" t="n">
        <v>499</v>
      </c>
      <c r="E35" t="n">
        <v>1496</v>
      </c>
      <c r="F35" t="n">
        <v>156</v>
      </c>
      <c r="H35">
        <f>IF(B23="","",TEXT(B23,"dd/mm") &amp; "-" &amp; IF(UPPER(TRIM(C23))="CN",1,IF(UPPER(TRIM(C23))="CD",2,"")))</f>
        <v/>
      </c>
      <c r="I35" s="1" t="n">
        <v>0.65</v>
      </c>
      <c r="J35" s="1" t="n">
        <v>0.8</v>
      </c>
      <c r="K35" s="1">
        <f>IFERROR($E23/SUM($D23:$F23),"")</f>
        <v/>
      </c>
      <c r="L35" s="1">
        <f>IFERROR($D23/SUM($D23:$F23),"")</f>
        <v/>
      </c>
      <c r="M35" s="1">
        <f>IFERROR($F23/SUM($D23:$F23),"")</f>
        <v/>
      </c>
      <c r="O35" t="n">
        <v>34</v>
      </c>
      <c r="P35" t="inlineStr">
        <is>
          <t>18/01/2026</t>
        </is>
      </c>
      <c r="Q35" t="inlineStr">
        <is>
          <t>CN</t>
        </is>
      </c>
      <c r="R35" t="n">
        <v>979</v>
      </c>
      <c r="S35" t="n">
        <v>848</v>
      </c>
      <c r="T35" t="n">
        <v>327</v>
      </c>
    </row>
    <row r="36">
      <c r="A36" t="n">
        <v>35</v>
      </c>
      <c r="B36" t="inlineStr">
        <is>
          <t>18/04/2026</t>
        </is>
      </c>
      <c r="C36" t="inlineStr">
        <is>
          <t>CN</t>
        </is>
      </c>
      <c r="D36" t="n">
        <v>695</v>
      </c>
      <c r="E36" t="n">
        <v>1218</v>
      </c>
      <c r="F36" t="n">
        <v>234</v>
      </c>
      <c r="H36">
        <f>IF(B24="","",TEXT(B24,"dd/mm") &amp; "-" &amp; IF(UPPER(TRIM(C24))="CN",1,IF(UPPER(TRIM(C24))="CD",2,"")))</f>
        <v/>
      </c>
      <c r="I36" s="1" t="n">
        <v>0.65</v>
      </c>
      <c r="J36" s="1" t="n">
        <v>0.8</v>
      </c>
      <c r="K36" s="1">
        <f>IFERROR($E24/SUM($D24:$F24),"")</f>
        <v/>
      </c>
      <c r="L36" s="1">
        <f>IFERROR($D24/SUM($D24:$F24),"")</f>
        <v/>
      </c>
      <c r="M36" s="1">
        <f>IFERROR($F24/SUM($D24:$F24),"")</f>
        <v/>
      </c>
      <c r="O36" t="n">
        <v>35</v>
      </c>
      <c r="P36" t="inlineStr">
        <is>
          <t>18/01/2026</t>
        </is>
      </c>
      <c r="Q36" t="inlineStr">
        <is>
          <t>CD</t>
        </is>
      </c>
      <c r="R36" t="n">
        <v>76</v>
      </c>
      <c r="S36" t="n">
        <v>161</v>
      </c>
      <c r="T36" t="n">
        <v>1920</v>
      </c>
    </row>
    <row r="37">
      <c r="A37" t="n">
        <v>36</v>
      </c>
      <c r="B37" t="inlineStr">
        <is>
          <t>18/04/2026</t>
        </is>
      </c>
      <c r="C37" t="inlineStr">
        <is>
          <t>CD</t>
        </is>
      </c>
      <c r="D37" t="n">
        <v>612</v>
      </c>
      <c r="E37" t="n">
        <v>1293</v>
      </c>
      <c r="F37" t="n">
        <v>246</v>
      </c>
      <c r="H37">
        <f>IF(B25="","",TEXT(B25,"dd/mm") &amp; "-" &amp; IF(UPPER(TRIM(C25))="CN",1,IF(UPPER(TRIM(C25))="CD",2,"")))</f>
        <v/>
      </c>
      <c r="I37" s="1" t="n">
        <v>0.65</v>
      </c>
      <c r="J37" s="1" t="n">
        <v>0.8</v>
      </c>
      <c r="K37" s="1">
        <f>IFERROR($E25/SUM($D25:$F25),"")</f>
        <v/>
      </c>
      <c r="L37" s="1">
        <f>IFERROR($D25/SUM($D25:$F25),"")</f>
        <v/>
      </c>
      <c r="M37" s="1">
        <f>IFERROR($F25/SUM($D25:$F25),"")</f>
        <v/>
      </c>
      <c r="O37" t="n">
        <v>36</v>
      </c>
      <c r="P37" t="inlineStr">
        <is>
          <t>19/01/2026</t>
        </is>
      </c>
      <c r="Q37" t="inlineStr">
        <is>
          <t>CN</t>
        </is>
      </c>
      <c r="R37" t="n">
        <v>445</v>
      </c>
      <c r="S37" t="n">
        <v>1088</v>
      </c>
      <c r="T37" t="n">
        <v>612</v>
      </c>
    </row>
    <row r="38">
      <c r="A38" t="n">
        <v>37</v>
      </c>
      <c r="B38" t="inlineStr">
        <is>
          <t>19/04/2026</t>
        </is>
      </c>
      <c r="C38" t="inlineStr">
        <is>
          <t>CN</t>
        </is>
      </c>
      <c r="D38" t="n">
        <v>850</v>
      </c>
      <c r="E38" t="n">
        <v>1052</v>
      </c>
      <c r="F38" t="n">
        <v>248</v>
      </c>
      <c r="H38">
        <f>IF(B26="","",TEXT(B26,"dd/mm") &amp; "-" &amp; IF(UPPER(TRIM(C26))="CN",1,IF(UPPER(TRIM(C26))="CD",2,"")))</f>
        <v/>
      </c>
      <c r="I38" s="1" t="n">
        <v>0.65</v>
      </c>
      <c r="J38" s="1" t="n">
        <v>0.8</v>
      </c>
      <c r="K38" s="1">
        <f>IFERROR($E26/SUM($D26:$F26),"")</f>
        <v/>
      </c>
      <c r="L38" s="1">
        <f>IFERROR($D26/SUM($D26:$F26),"")</f>
        <v/>
      </c>
      <c r="M38" s="1">
        <f>IFERROR($F26/SUM($D26:$F26),"")</f>
        <v/>
      </c>
      <c r="O38" t="n">
        <v>37</v>
      </c>
      <c r="P38" t="inlineStr">
        <is>
          <t>19/01/2026</t>
        </is>
      </c>
      <c r="Q38" t="inlineStr">
        <is>
          <t>CD</t>
        </is>
      </c>
      <c r="R38" t="n">
        <v>600</v>
      </c>
      <c r="S38" t="n">
        <v>1249</v>
      </c>
      <c r="T38" t="n">
        <v>299</v>
      </c>
    </row>
    <row r="39">
      <c r="A39" t="n">
        <v>38</v>
      </c>
      <c r="B39" t="inlineStr">
        <is>
          <t>19/04/2026</t>
        </is>
      </c>
      <c r="C39" t="inlineStr">
        <is>
          <t>CD</t>
        </is>
      </c>
      <c r="D39" t="n">
        <v>0</v>
      </c>
      <c r="E39" t="n">
        <v>0</v>
      </c>
      <c r="F39" t="n">
        <v>2160</v>
      </c>
      <c r="H39">
        <f>IF(B27="","",TEXT(B27,"dd/mm") &amp; "-" &amp; IF(UPPER(TRIM(C27))="CN",1,IF(UPPER(TRIM(C27))="CD",2,"")))</f>
        <v/>
      </c>
      <c r="I39" s="1" t="n">
        <v>0.65</v>
      </c>
      <c r="J39" s="1" t="n">
        <v>0.8</v>
      </c>
      <c r="K39" s="1">
        <f>IFERROR($E27/SUM($D27:$F27),"")</f>
        <v/>
      </c>
      <c r="L39" s="1">
        <f>IFERROR($D27/SUM($D27:$F27),"")</f>
        <v/>
      </c>
      <c r="M39" s="1">
        <f>IFERROR($F27/SUM($D27:$F27),"")</f>
        <v/>
      </c>
      <c r="O39" t="n">
        <v>38</v>
      </c>
      <c r="P39" t="inlineStr">
        <is>
          <t>20/01/2026</t>
        </is>
      </c>
      <c r="Q39" t="inlineStr">
        <is>
          <t>CN</t>
        </is>
      </c>
      <c r="R39" t="n">
        <v>663</v>
      </c>
      <c r="S39" t="n">
        <v>1072</v>
      </c>
      <c r="T39" t="n">
        <v>412</v>
      </c>
    </row>
    <row r="40">
      <c r="A40" t="n">
        <v>39</v>
      </c>
      <c r="B40" t="inlineStr">
        <is>
          <t>20/04/2026</t>
        </is>
      </c>
      <c r="C40" t="inlineStr">
        <is>
          <t>CN</t>
        </is>
      </c>
      <c r="D40" t="n">
        <v>480</v>
      </c>
      <c r="E40" t="n">
        <v>1069</v>
      </c>
      <c r="F40" t="n">
        <v>604</v>
      </c>
      <c r="H40">
        <f>IF(B28="","",TEXT(B28,"dd/mm") &amp; "-" &amp; IF(UPPER(TRIM(C28))="CN",1,IF(UPPER(TRIM(C28))="CD",2,"")))</f>
        <v/>
      </c>
      <c r="I40" s="1" t="n">
        <v>0.65</v>
      </c>
      <c r="J40" s="1" t="n">
        <v>0.8</v>
      </c>
      <c r="K40" s="1">
        <f>IFERROR($E28/SUM($D28:$F28),"")</f>
        <v/>
      </c>
      <c r="L40" s="1">
        <f>IFERROR($D28/SUM($D28:$F28),"")</f>
        <v/>
      </c>
      <c r="M40" s="1">
        <f>IFERROR($F28/SUM($D28:$F28),"")</f>
        <v/>
      </c>
      <c r="O40" t="n">
        <v>39</v>
      </c>
      <c r="P40" t="inlineStr">
        <is>
          <t>20/01/2026</t>
        </is>
      </c>
      <c r="Q40" t="inlineStr">
        <is>
          <t>CD</t>
        </is>
      </c>
      <c r="R40" t="n">
        <v>927</v>
      </c>
      <c r="S40" t="n">
        <v>1012</v>
      </c>
      <c r="T40" t="n">
        <v>214</v>
      </c>
    </row>
    <row r="41">
      <c r="A41" t="n">
        <v>40</v>
      </c>
      <c r="B41" t="inlineStr">
        <is>
          <t>20/04/2026</t>
        </is>
      </c>
      <c r="C41" t="inlineStr">
        <is>
          <t>CD</t>
        </is>
      </c>
      <c r="D41" t="n">
        <v>696</v>
      </c>
      <c r="E41" t="n">
        <v>1448</v>
      </c>
      <c r="F41" t="n">
        <v>0</v>
      </c>
      <c r="H41">
        <f>IF(B29="","",TEXT(B29,"dd/mm") &amp; "-" &amp; IF(UPPER(TRIM(C29))="CN",1,IF(UPPER(TRIM(C29))="CD",2,"")))</f>
        <v/>
      </c>
      <c r="I41" s="1" t="n">
        <v>0.65</v>
      </c>
      <c r="J41" s="1" t="n">
        <v>0.8</v>
      </c>
      <c r="K41" s="1">
        <f>IFERROR($E29/SUM($D29:$F29),"")</f>
        <v/>
      </c>
      <c r="L41" s="1">
        <f>IFERROR($D29/SUM($D29:$F29),"")</f>
        <v/>
      </c>
      <c r="M41" s="1">
        <f>IFERROR($F29/SUM($D29:$F29),"")</f>
        <v/>
      </c>
      <c r="O41" t="n">
        <v>40</v>
      </c>
      <c r="P41" t="inlineStr">
        <is>
          <t>21/01/2026</t>
        </is>
      </c>
      <c r="Q41" t="inlineStr">
        <is>
          <t>CN</t>
        </is>
      </c>
      <c r="R41" t="n">
        <v>909</v>
      </c>
      <c r="S41" t="n">
        <v>1034</v>
      </c>
      <c r="T41" t="n">
        <v>204</v>
      </c>
    </row>
    <row r="42">
      <c r="A42" t="n">
        <v>41</v>
      </c>
      <c r="B42" t="inlineStr">
        <is>
          <t>21/04/2026</t>
        </is>
      </c>
      <c r="C42" t="inlineStr">
        <is>
          <t>CN</t>
        </is>
      </c>
      <c r="D42" t="n">
        <v>963</v>
      </c>
      <c r="E42" t="n">
        <v>1188</v>
      </c>
      <c r="F42" t="n">
        <v>0</v>
      </c>
      <c r="H42">
        <f>IF(B30="","",TEXT(B30,"dd/mm") &amp; "-" &amp; IF(UPPER(TRIM(C30))="CN",1,IF(UPPER(TRIM(C30))="CD",2,"")))</f>
        <v/>
      </c>
      <c r="I42" s="1" t="n">
        <v>0.65</v>
      </c>
      <c r="J42" s="1" t="n">
        <v>0.8</v>
      </c>
      <c r="K42" s="1">
        <f>IFERROR($E30/SUM($D30:$F30),"")</f>
        <v/>
      </c>
      <c r="L42" s="1">
        <f>IFERROR($D30/SUM($D30:$F30),"")</f>
        <v/>
      </c>
      <c r="M42" s="1">
        <f>IFERROR($F30/SUM($D30:$F30),"")</f>
        <v/>
      </c>
      <c r="O42" t="n">
        <v>41</v>
      </c>
      <c r="P42" t="inlineStr">
        <is>
          <t>21/01/2026</t>
        </is>
      </c>
      <c r="Q42" t="inlineStr">
        <is>
          <t>CD</t>
        </is>
      </c>
      <c r="R42" t="n">
        <v>752</v>
      </c>
      <c r="S42" t="n">
        <v>1095</v>
      </c>
      <c r="T42" t="n">
        <v>302</v>
      </c>
    </row>
    <row r="43">
      <c r="A43" t="n">
        <v>42</v>
      </c>
      <c r="B43" t="inlineStr">
        <is>
          <t>21/04/2026</t>
        </is>
      </c>
      <c r="C43" t="inlineStr">
        <is>
          <t>CD</t>
        </is>
      </c>
      <c r="D43" t="n">
        <v>719</v>
      </c>
      <c r="E43" t="n">
        <v>1422</v>
      </c>
      <c r="F43" t="n">
        <v>1</v>
      </c>
      <c r="H43">
        <f>IF(B31="","",TEXT(B31,"dd/mm") &amp; "-" &amp; IF(UPPER(TRIM(C31))="CN",1,IF(UPPER(TRIM(C31))="CD",2,"")))</f>
        <v/>
      </c>
      <c r="I43" s="1" t="n">
        <v>0.65</v>
      </c>
      <c r="J43" s="1" t="n">
        <v>0.8</v>
      </c>
      <c r="K43" s="1">
        <f>IFERROR($E31/SUM($D31:$F31),"")</f>
        <v/>
      </c>
      <c r="L43" s="1">
        <f>IFERROR($D31/SUM($D31:$F31),"")</f>
        <v/>
      </c>
      <c r="M43" s="1">
        <f>IFERROR($F31/SUM($D31:$F31),"")</f>
        <v/>
      </c>
      <c r="O43" t="n">
        <v>42</v>
      </c>
      <c r="P43" t="inlineStr">
        <is>
          <t>22/01/2026</t>
        </is>
      </c>
      <c r="Q43" t="inlineStr">
        <is>
          <t>CN</t>
        </is>
      </c>
      <c r="R43" t="n">
        <v>765</v>
      </c>
      <c r="S43" t="n">
        <v>967</v>
      </c>
      <c r="T43" t="n">
        <v>413</v>
      </c>
    </row>
    <row r="44">
      <c r="A44" t="n">
        <v>43</v>
      </c>
      <c r="B44" t="inlineStr">
        <is>
          <t>22/04/2026</t>
        </is>
      </c>
      <c r="C44" t="inlineStr">
        <is>
          <t>CN</t>
        </is>
      </c>
      <c r="D44" t="n">
        <v>952</v>
      </c>
      <c r="E44" t="n">
        <v>1198</v>
      </c>
      <c r="F44" t="n">
        <v>0</v>
      </c>
      <c r="H44">
        <f>IF(B32="","",TEXT(B32,"dd/mm") &amp; "-" &amp; IF(UPPER(TRIM(C32))="CN",1,IF(UPPER(TRIM(C32))="CD",2,"")))</f>
        <v/>
      </c>
      <c r="I44" s="1" t="n">
        <v>0.65</v>
      </c>
      <c r="J44" s="1" t="n">
        <v>0.8</v>
      </c>
      <c r="K44" s="1">
        <f>IFERROR($E32/SUM($D32:$F32),"")</f>
        <v/>
      </c>
      <c r="L44" s="1">
        <f>IFERROR($D32/SUM($D32:$F32),"")</f>
        <v/>
      </c>
      <c r="M44" s="1">
        <f>IFERROR($F32/SUM($D32:$F32),"")</f>
        <v/>
      </c>
      <c r="O44" t="n">
        <v>43</v>
      </c>
      <c r="P44" t="inlineStr">
        <is>
          <t>22/01/2026</t>
        </is>
      </c>
      <c r="Q44" t="inlineStr">
        <is>
          <t>CD</t>
        </is>
      </c>
      <c r="R44" t="n">
        <v>704</v>
      </c>
      <c r="S44" t="n">
        <v>1141</v>
      </c>
      <c r="T44" t="n">
        <v>305</v>
      </c>
    </row>
    <row r="45">
      <c r="A45" t="n">
        <v>44</v>
      </c>
      <c r="B45" t="inlineStr">
        <is>
          <t>22/04/2026</t>
        </is>
      </c>
      <c r="C45" t="inlineStr">
        <is>
          <t>CD</t>
        </is>
      </c>
      <c r="D45" t="n">
        <v>636</v>
      </c>
      <c r="E45" t="n">
        <v>1227</v>
      </c>
      <c r="F45" t="n">
        <v>281</v>
      </c>
      <c r="H45">
        <f>IF(B33="","",TEXT(B33,"dd/mm") &amp; "-" &amp; IF(UPPER(TRIM(C33))="CN",1,IF(UPPER(TRIM(C33))="CD",2,"")))</f>
        <v/>
      </c>
      <c r="I45" s="1" t="n">
        <v>0.65</v>
      </c>
      <c r="J45" s="1" t="n">
        <v>0.8</v>
      </c>
      <c r="K45" s="1">
        <f>IFERROR($E33/SUM($D33:$F33),"")</f>
        <v/>
      </c>
      <c r="L45" s="1">
        <f>IFERROR($D33/SUM($D33:$F33),"")</f>
        <v/>
      </c>
      <c r="M45" s="1">
        <f>IFERROR($F33/SUM($D33:$F33),"")</f>
        <v/>
      </c>
      <c r="O45" t="n">
        <v>44</v>
      </c>
      <c r="P45" t="inlineStr">
        <is>
          <t>23/01/2026</t>
        </is>
      </c>
      <c r="Q45" t="inlineStr">
        <is>
          <t>CN</t>
        </is>
      </c>
      <c r="R45" t="n">
        <v>699</v>
      </c>
      <c r="S45" t="n">
        <v>1027</v>
      </c>
      <c r="T45" t="n">
        <v>416</v>
      </c>
    </row>
    <row r="46">
      <c r="A46" t="n">
        <v>45</v>
      </c>
      <c r="B46" t="inlineStr">
        <is>
          <t>23/04/2026</t>
        </is>
      </c>
      <c r="C46" t="inlineStr">
        <is>
          <t>CN</t>
        </is>
      </c>
      <c r="D46" t="n">
        <v>572</v>
      </c>
      <c r="E46" t="n">
        <v>1187</v>
      </c>
      <c r="F46" t="n">
        <v>394</v>
      </c>
      <c r="H46">
        <f>IF(B34="","",TEXT(B34,"dd/mm") &amp; "-" &amp; IF(UPPER(TRIM(C34))="CN",1,IF(UPPER(TRIM(C34))="CD",2,"")))</f>
        <v/>
      </c>
      <c r="I46" s="1" t="n">
        <v>0.65</v>
      </c>
      <c r="J46" s="1" t="n">
        <v>0.8</v>
      </c>
      <c r="K46" s="1">
        <f>IFERROR($E34/SUM($D34:$F34),"")</f>
        <v/>
      </c>
      <c r="L46" s="1">
        <f>IFERROR($D34/SUM($D34:$F34),"")</f>
        <v/>
      </c>
      <c r="M46" s="1">
        <f>IFERROR($F34/SUM($D34:$F34),"")</f>
        <v/>
      </c>
      <c r="O46" t="n">
        <v>45</v>
      </c>
      <c r="P46" t="inlineStr">
        <is>
          <t>23/01/2026</t>
        </is>
      </c>
      <c r="Q46" t="inlineStr">
        <is>
          <t>CD</t>
        </is>
      </c>
      <c r="R46" t="n">
        <v>789</v>
      </c>
      <c r="S46" t="n">
        <v>1210</v>
      </c>
      <c r="T46" t="n">
        <v>151</v>
      </c>
    </row>
    <row r="47">
      <c r="A47" t="n">
        <v>46</v>
      </c>
      <c r="B47" t="inlineStr">
        <is>
          <t>23/04/2026</t>
        </is>
      </c>
      <c r="C47" t="inlineStr">
        <is>
          <t>CD</t>
        </is>
      </c>
      <c r="D47" t="n">
        <v>769</v>
      </c>
      <c r="E47" t="n">
        <v>1373</v>
      </c>
      <c r="F47" t="n">
        <v>0</v>
      </c>
      <c r="H47">
        <f>IF(B35="","",TEXT(B35,"dd/mm") &amp; "-" &amp; IF(UPPER(TRIM(C35))="CN",1,IF(UPPER(TRIM(C35))="CD",2,"")))</f>
        <v/>
      </c>
      <c r="I47" s="1" t="n">
        <v>0.65</v>
      </c>
      <c r="J47" s="1" t="n">
        <v>0.8</v>
      </c>
      <c r="K47" s="1">
        <f>IFERROR($E35/SUM($D35:$F35),"")</f>
        <v/>
      </c>
      <c r="L47" s="1">
        <f>IFERROR($D35/SUM($D35:$F35),"")</f>
        <v/>
      </c>
      <c r="M47" s="1">
        <f>IFERROR($F35/SUM($D35:$F35),"")</f>
        <v/>
      </c>
      <c r="O47" t="n">
        <v>46</v>
      </c>
      <c r="P47" t="inlineStr">
        <is>
          <t>24/01/2026</t>
        </is>
      </c>
      <c r="Q47" t="inlineStr">
        <is>
          <t>CN</t>
        </is>
      </c>
      <c r="R47" t="n">
        <v>875</v>
      </c>
      <c r="S47" t="n">
        <v>799</v>
      </c>
      <c r="T47" t="n">
        <v>478</v>
      </c>
    </row>
    <row r="48">
      <c r="A48" t="n">
        <v>47</v>
      </c>
      <c r="B48" t="inlineStr">
        <is>
          <t>24/04/2026</t>
        </is>
      </c>
      <c r="C48" t="inlineStr">
        <is>
          <t>CN</t>
        </is>
      </c>
      <c r="D48" t="n">
        <v>1081</v>
      </c>
      <c r="E48" t="n">
        <v>1071</v>
      </c>
      <c r="F48" t="n">
        <v>0</v>
      </c>
      <c r="H48">
        <f>IF(B36="","",TEXT(B36,"dd/mm") &amp; "-" &amp; IF(UPPER(TRIM(C36))="CN",1,IF(UPPER(TRIM(C36))="CD",2,"")))</f>
        <v/>
      </c>
      <c r="I48" s="1" t="n">
        <v>0.65</v>
      </c>
      <c r="J48" s="1" t="n">
        <v>0.8</v>
      </c>
      <c r="K48" s="1">
        <f>IFERROR($E36/SUM($D36:$F36),"")</f>
        <v/>
      </c>
      <c r="L48" s="1">
        <f>IFERROR($D36/SUM($D36:$F36),"")</f>
        <v/>
      </c>
      <c r="M48" s="1">
        <f>IFERROR($F36/SUM($D36:$F36),"")</f>
        <v/>
      </c>
      <c r="O48" t="n">
        <v>47</v>
      </c>
      <c r="P48" t="inlineStr">
        <is>
          <t>24/01/2026</t>
        </is>
      </c>
      <c r="Q48" t="inlineStr">
        <is>
          <t>CD</t>
        </is>
      </c>
      <c r="R48" t="n">
        <v>1072</v>
      </c>
      <c r="S48" t="n">
        <v>1081</v>
      </c>
      <c r="T48" t="n">
        <v>1</v>
      </c>
    </row>
    <row r="49">
      <c r="A49" t="n">
        <v>48</v>
      </c>
      <c r="B49" t="inlineStr">
        <is>
          <t>24/04/2026</t>
        </is>
      </c>
      <c r="C49" t="inlineStr">
        <is>
          <t>CD</t>
        </is>
      </c>
      <c r="D49" t="n">
        <v>684</v>
      </c>
      <c r="E49" t="n">
        <v>1306</v>
      </c>
      <c r="F49" t="n">
        <v>156</v>
      </c>
      <c r="H49">
        <f>IF(B37="","",TEXT(B37,"dd/mm") &amp; "-" &amp; IF(UPPER(TRIM(C37))="CN",1,IF(UPPER(TRIM(C37))="CD",2,"")))</f>
        <v/>
      </c>
      <c r="I49" s="1" t="n">
        <v>0.65</v>
      </c>
      <c r="J49" s="1" t="n">
        <v>0.8</v>
      </c>
      <c r="K49" s="1">
        <f>IFERROR($E37/SUM($D37:$F37),"")</f>
        <v/>
      </c>
      <c r="L49" s="1">
        <f>IFERROR($D37/SUM($D37:$F37),"")</f>
        <v/>
      </c>
      <c r="M49" s="1">
        <f>IFERROR($F37/SUM($D37:$F37),"")</f>
        <v/>
      </c>
      <c r="O49" t="n">
        <v>48</v>
      </c>
      <c r="P49" t="inlineStr">
        <is>
          <t>25/01/2026</t>
        </is>
      </c>
      <c r="Q49" t="inlineStr">
        <is>
          <t>CN</t>
        </is>
      </c>
      <c r="R49" t="n">
        <v>969</v>
      </c>
      <c r="S49" t="n">
        <v>828</v>
      </c>
      <c r="T49" t="n">
        <v>355</v>
      </c>
    </row>
    <row r="50">
      <c r="A50" t="n">
        <v>49</v>
      </c>
      <c r="B50" t="inlineStr">
        <is>
          <t>25/04/2026</t>
        </is>
      </c>
      <c r="C50" t="inlineStr">
        <is>
          <t>CN</t>
        </is>
      </c>
      <c r="D50" t="n">
        <v>806</v>
      </c>
      <c r="E50" t="n">
        <v>1114</v>
      </c>
      <c r="F50" t="n">
        <v>231</v>
      </c>
      <c r="H50">
        <f>IF(B38="","",TEXT(B38,"dd/mm") &amp; "-" &amp; IF(UPPER(TRIM(C38))="CN",1,IF(UPPER(TRIM(C38))="CD",2,"")))</f>
        <v/>
      </c>
      <c r="I50" s="1" t="n">
        <v>0.65</v>
      </c>
      <c r="J50" s="1" t="n">
        <v>0.8</v>
      </c>
      <c r="K50" s="1">
        <f>IFERROR($E38/SUM($D38:$F38),"")</f>
        <v/>
      </c>
      <c r="L50" s="1">
        <f>IFERROR($D38/SUM($D38:$F38),"")</f>
        <v/>
      </c>
      <c r="M50" s="1">
        <f>IFERROR($F38/SUM($D38:$F38),"")</f>
        <v/>
      </c>
      <c r="O50" t="n">
        <v>49</v>
      </c>
      <c r="P50" t="inlineStr">
        <is>
          <t>25/01/2026</t>
        </is>
      </c>
      <c r="Q50" t="inlineStr">
        <is>
          <t>CD</t>
        </is>
      </c>
      <c r="R50" t="n">
        <v>1</v>
      </c>
      <c r="S50" t="n">
        <v>0</v>
      </c>
      <c r="T50" t="n">
        <v>2159</v>
      </c>
    </row>
    <row r="51">
      <c r="A51" t="n">
        <v>50</v>
      </c>
      <c r="B51" t="inlineStr">
        <is>
          <t>25/04/2026</t>
        </is>
      </c>
      <c r="C51" t="inlineStr">
        <is>
          <t>CD</t>
        </is>
      </c>
      <c r="D51" t="n">
        <v>386</v>
      </c>
      <c r="E51" t="n">
        <v>1029</v>
      </c>
      <c r="F51" t="n">
        <v>735</v>
      </c>
      <c r="H51">
        <f>IF(B39="","",TEXT(B39,"dd/mm") &amp; "-" &amp; IF(UPPER(TRIM(C39))="CN",1,IF(UPPER(TRIM(C39))="CD",2,"")))</f>
        <v/>
      </c>
      <c r="I51" s="1" t="n">
        <v>0.65</v>
      </c>
      <c r="J51" s="1" t="n">
        <v>0.8</v>
      </c>
      <c r="K51" s="1">
        <f>IFERROR($E39/SUM($D39:$F39),"")</f>
        <v/>
      </c>
      <c r="L51" s="1">
        <f>IFERROR($D39/SUM($D39:$F39),"")</f>
        <v/>
      </c>
      <c r="M51" s="1">
        <f>IFERROR($F39/SUM($D39:$F39),"")</f>
        <v/>
      </c>
      <c r="O51" t="n">
        <v>50</v>
      </c>
      <c r="P51" t="inlineStr">
        <is>
          <t>26/01/2026</t>
        </is>
      </c>
      <c r="Q51" t="inlineStr">
        <is>
          <t>CN</t>
        </is>
      </c>
      <c r="R51" t="n">
        <v>539</v>
      </c>
      <c r="S51" t="n">
        <v>856</v>
      </c>
      <c r="T51" t="n">
        <v>758</v>
      </c>
    </row>
    <row r="52">
      <c r="A52" t="n">
        <v>51</v>
      </c>
      <c r="B52" t="inlineStr">
        <is>
          <t>26/04/2026</t>
        </is>
      </c>
      <c r="C52" t="inlineStr">
        <is>
          <t>CN</t>
        </is>
      </c>
      <c r="D52" t="n">
        <v>0</v>
      </c>
      <c r="E52" t="n">
        <v>0</v>
      </c>
      <c r="F52" t="n">
        <v>2161</v>
      </c>
      <c r="H52">
        <f>IF(B40="","",TEXT(B40,"dd/mm") &amp; "-" &amp; IF(UPPER(TRIM(C40))="CN",1,IF(UPPER(TRIM(C40))="CD",2,"")))</f>
        <v/>
      </c>
      <c r="I52" s="1" t="n">
        <v>0.65</v>
      </c>
      <c r="J52" s="1" t="n">
        <v>0.8</v>
      </c>
      <c r="K52" s="1">
        <f>IFERROR($E40/SUM($D40:$F40),"")</f>
        <v/>
      </c>
      <c r="L52" s="1">
        <f>IFERROR($D40/SUM($D40:$F40),"")</f>
        <v/>
      </c>
      <c r="M52" s="1">
        <f>IFERROR($F40/SUM($D40:$F40),"")</f>
        <v/>
      </c>
      <c r="O52" t="n">
        <v>51</v>
      </c>
      <c r="P52" t="inlineStr">
        <is>
          <t>26/01/2026</t>
        </is>
      </c>
      <c r="Q52" t="inlineStr">
        <is>
          <t>CD</t>
        </is>
      </c>
      <c r="R52" t="n">
        <v>664</v>
      </c>
      <c r="S52" t="n">
        <v>1186</v>
      </c>
      <c r="T52" t="n">
        <v>297</v>
      </c>
    </row>
    <row r="53">
      <c r="A53" t="n">
        <v>52</v>
      </c>
      <c r="B53" t="inlineStr">
        <is>
          <t>26/04/2026</t>
        </is>
      </c>
      <c r="C53" t="inlineStr">
        <is>
          <t>CD</t>
        </is>
      </c>
      <c r="D53" t="n">
        <v>0</v>
      </c>
      <c r="E53" t="n">
        <v>0</v>
      </c>
      <c r="F53" t="n">
        <v>2160</v>
      </c>
      <c r="H53">
        <f>IF(B41="","",TEXT(B41,"dd/mm") &amp; "-" &amp; IF(UPPER(TRIM(C41))="CN",1,IF(UPPER(TRIM(C41))="CD",2,"")))</f>
        <v/>
      </c>
      <c r="I53" s="1" t="n">
        <v>0.65</v>
      </c>
      <c r="J53" s="1" t="n">
        <v>0.8</v>
      </c>
      <c r="K53" s="1">
        <f>IFERROR($E41/SUM($D41:$F41),"")</f>
        <v/>
      </c>
      <c r="L53" s="1">
        <f>IFERROR($D41/SUM($D41:$F41),"")</f>
        <v/>
      </c>
      <c r="M53" s="1">
        <f>IFERROR($F41/SUM($D41:$F41),"")</f>
        <v/>
      </c>
      <c r="O53" t="n">
        <v>52</v>
      </c>
      <c r="P53" t="inlineStr">
        <is>
          <t>27/01/2026</t>
        </is>
      </c>
      <c r="Q53" t="inlineStr">
        <is>
          <t>CN</t>
        </is>
      </c>
      <c r="R53" t="n">
        <v>533</v>
      </c>
      <c r="S53" t="n">
        <v>1198</v>
      </c>
      <c r="T53" t="n">
        <v>423</v>
      </c>
    </row>
    <row r="54">
      <c r="A54" t="n">
        <v>53</v>
      </c>
      <c r="B54" t="inlineStr">
        <is>
          <t>27/04/2026</t>
        </is>
      </c>
      <c r="C54" t="inlineStr">
        <is>
          <t>CN</t>
        </is>
      </c>
      <c r="D54" t="n">
        <v>496</v>
      </c>
      <c r="E54" t="n">
        <v>1044</v>
      </c>
      <c r="F54" t="n">
        <v>608</v>
      </c>
      <c r="H54">
        <f>IF(B42="","",TEXT(B42,"dd/mm") &amp; "-" &amp; IF(UPPER(TRIM(C42))="CN",1,IF(UPPER(TRIM(C42))="CD",2,"")))</f>
        <v/>
      </c>
      <c r="I54" s="1" t="n">
        <v>0.65</v>
      </c>
      <c r="J54" s="1" t="n">
        <v>0.8</v>
      </c>
      <c r="K54" s="1">
        <f>IFERROR($E42/SUM($D42:$F42),"")</f>
        <v/>
      </c>
      <c r="L54" s="1">
        <f>IFERROR($D42/SUM($D42:$F42),"")</f>
        <v/>
      </c>
      <c r="M54" s="1">
        <f>IFERROR($F42/SUM($D42:$F42),"")</f>
        <v/>
      </c>
      <c r="O54" t="n">
        <v>53</v>
      </c>
      <c r="P54" t="inlineStr">
        <is>
          <t>27/01/2026</t>
        </is>
      </c>
      <c r="Q54" t="inlineStr">
        <is>
          <t>CD</t>
        </is>
      </c>
      <c r="R54" t="n">
        <v>502</v>
      </c>
      <c r="S54" t="n">
        <v>1652</v>
      </c>
      <c r="T54" t="n">
        <v>0</v>
      </c>
    </row>
    <row r="55">
      <c r="A55" t="n">
        <v>54</v>
      </c>
      <c r="B55" t="inlineStr">
        <is>
          <t>27/04/2026</t>
        </is>
      </c>
      <c r="C55" t="inlineStr">
        <is>
          <t>CD</t>
        </is>
      </c>
      <c r="D55" t="n">
        <v>653</v>
      </c>
      <c r="E55" t="n">
        <v>1497</v>
      </c>
      <c r="F55" t="n">
        <v>0</v>
      </c>
      <c r="H55">
        <f>IF(B43="","",TEXT(B43,"dd/mm") &amp; "-" &amp; IF(UPPER(TRIM(C43))="CN",1,IF(UPPER(TRIM(C43))="CD",2,"")))</f>
        <v/>
      </c>
      <c r="I55" s="1" t="n">
        <v>0.65</v>
      </c>
      <c r="J55" s="1" t="n">
        <v>0.8</v>
      </c>
      <c r="K55" s="1">
        <f>IFERROR($E43/SUM($D43:$F43),"")</f>
        <v/>
      </c>
      <c r="L55" s="1">
        <f>IFERROR($D43/SUM($D43:$F43),"")</f>
        <v/>
      </c>
      <c r="M55" s="1">
        <f>IFERROR($F43/SUM($D43:$F43),"")</f>
        <v/>
      </c>
      <c r="O55" t="n">
        <v>54</v>
      </c>
      <c r="P55" t="inlineStr">
        <is>
          <t>28/01/2026</t>
        </is>
      </c>
      <c r="Q55" t="inlineStr">
        <is>
          <t>CN</t>
        </is>
      </c>
      <c r="R55" t="n">
        <v>927</v>
      </c>
      <c r="S55" t="n">
        <v>1227</v>
      </c>
      <c r="T55" t="n">
        <v>0</v>
      </c>
    </row>
    <row r="56">
      <c r="H56">
        <f>IF(B44="","",TEXT(B44,"dd/mm") &amp; "-" &amp; IF(UPPER(TRIM(C44))="CN",1,IF(UPPER(TRIM(C44))="CD",2,"")))</f>
        <v/>
      </c>
      <c r="I56" s="1" t="n">
        <v>0.65</v>
      </c>
      <c r="J56" s="1" t="n">
        <v>0.8</v>
      </c>
      <c r="K56" s="1">
        <f>IFERROR($E44/SUM($D44:$F44),"")</f>
        <v/>
      </c>
      <c r="L56" s="1">
        <f>IFERROR($D44/SUM($D44:$F44),"")</f>
        <v/>
      </c>
      <c r="M56" s="1">
        <f>IFERROR($F44/SUM($D44:$F44),"")</f>
        <v/>
      </c>
      <c r="O56" t="n">
        <v>55</v>
      </c>
      <c r="P56" t="inlineStr">
        <is>
          <t>28/01/2026</t>
        </is>
      </c>
      <c r="Q56" t="inlineStr">
        <is>
          <t>CD</t>
        </is>
      </c>
      <c r="R56" t="n">
        <v>411</v>
      </c>
      <c r="S56" t="n">
        <v>1430</v>
      </c>
      <c r="T56" t="n">
        <v>304</v>
      </c>
    </row>
    <row r="57">
      <c r="H57">
        <f>IF(B45="","",TEXT(B45,"dd/mm") &amp; "-" &amp; IF(UPPER(TRIM(C45))="CN",1,IF(UPPER(TRIM(C45))="CD",2,"")))</f>
        <v/>
      </c>
      <c r="I57" s="1" t="n">
        <v>0.65</v>
      </c>
      <c r="J57" s="1" t="n">
        <v>0.8</v>
      </c>
      <c r="K57" s="1">
        <f>IFERROR($E45/SUM($D45:$F45),"")</f>
        <v/>
      </c>
      <c r="L57" s="1">
        <f>IFERROR($D45/SUM($D45:$F45),"")</f>
        <v/>
      </c>
      <c r="M57" s="1">
        <f>IFERROR($F45/SUM($D45:$F45),"")</f>
        <v/>
      </c>
      <c r="O57" t="n">
        <v>56</v>
      </c>
      <c r="P57" t="inlineStr">
        <is>
          <t>29/01/2026</t>
        </is>
      </c>
      <c r="Q57" t="inlineStr">
        <is>
          <t>CN</t>
        </is>
      </c>
      <c r="R57" t="n">
        <v>686</v>
      </c>
      <c r="S57" t="n">
        <v>1051</v>
      </c>
      <c r="T57" t="n">
        <v>412</v>
      </c>
    </row>
    <row r="58">
      <c r="H58">
        <f>IF(B46="","",TEXT(B46,"dd/mm") &amp; "-" &amp; IF(UPPER(TRIM(C46))="CN",1,IF(UPPER(TRIM(C46))="CD",2,"")))</f>
        <v/>
      </c>
      <c r="I58" s="1" t="n">
        <v>0.65</v>
      </c>
      <c r="J58" s="1" t="n">
        <v>0.8</v>
      </c>
      <c r="K58" s="1">
        <f>IFERROR($E46/SUM($D46:$F46),"")</f>
        <v/>
      </c>
      <c r="L58" s="1">
        <f>IFERROR($D46/SUM($D46:$F46),"")</f>
        <v/>
      </c>
      <c r="M58" s="1">
        <f>IFERROR($F46/SUM($D46:$F46),"")</f>
        <v/>
      </c>
      <c r="O58" t="n">
        <v>57</v>
      </c>
      <c r="P58" t="inlineStr">
        <is>
          <t>29/01/2026</t>
        </is>
      </c>
      <c r="Q58" t="inlineStr">
        <is>
          <t>CD</t>
        </is>
      </c>
      <c r="R58" t="n">
        <v>583</v>
      </c>
      <c r="S58" t="n">
        <v>1250</v>
      </c>
      <c r="T58" t="n">
        <v>305</v>
      </c>
    </row>
    <row r="59">
      <c r="H59">
        <f>IF(B47="","",TEXT(B47,"dd/mm") &amp; "-" &amp; IF(UPPER(TRIM(C47))="CN",1,IF(UPPER(TRIM(C47))="CD",2,"")))</f>
        <v/>
      </c>
      <c r="I59" s="1" t="n">
        <v>0.65</v>
      </c>
      <c r="J59" s="1" t="n">
        <v>0.8</v>
      </c>
      <c r="K59" s="1">
        <f>IFERROR($E47/SUM($D47:$F47),"")</f>
        <v/>
      </c>
      <c r="L59" s="1">
        <f>IFERROR($D47/SUM($D47:$F47),"")</f>
        <v/>
      </c>
      <c r="M59" s="1">
        <f>IFERROR($F47/SUM($D47:$F47),"")</f>
        <v/>
      </c>
      <c r="O59" t="n">
        <v>58</v>
      </c>
      <c r="P59" t="inlineStr">
        <is>
          <t>30/01/2026</t>
        </is>
      </c>
      <c r="Q59" t="inlineStr">
        <is>
          <t>CN</t>
        </is>
      </c>
      <c r="R59" t="n">
        <v>746</v>
      </c>
      <c r="S59" t="n">
        <v>989</v>
      </c>
      <c r="T59" t="n">
        <v>416</v>
      </c>
    </row>
    <row r="60">
      <c r="H60">
        <f>IF(B48="","",TEXT(B48,"dd/mm") &amp; "-" &amp; IF(UPPER(TRIM(C48))="CN",1,IF(UPPER(TRIM(C48))="CD",2,"")))</f>
        <v/>
      </c>
      <c r="I60" s="1" t="n">
        <v>0.65</v>
      </c>
      <c r="J60" s="1" t="n">
        <v>0.8</v>
      </c>
      <c r="K60" s="1">
        <f>IFERROR($E48/SUM($D48:$F48),"")</f>
        <v/>
      </c>
      <c r="L60" s="1">
        <f>IFERROR($D48/SUM($D48:$F48),"")</f>
        <v/>
      </c>
      <c r="M60" s="1">
        <f>IFERROR($F48/SUM($D48:$F48),"")</f>
        <v/>
      </c>
      <c r="O60" t="n">
        <v>59</v>
      </c>
      <c r="P60" t="inlineStr">
        <is>
          <t>30/01/2026</t>
        </is>
      </c>
      <c r="Q60" t="inlineStr">
        <is>
          <t>CD</t>
        </is>
      </c>
      <c r="R60" t="n">
        <v>452</v>
      </c>
      <c r="S60" t="n">
        <v>1387</v>
      </c>
      <c r="T60" t="n">
        <v>303</v>
      </c>
    </row>
    <row r="61">
      <c r="H61">
        <f>IF(B49="","",TEXT(B49,"dd/mm") &amp; "-" &amp; IF(UPPER(TRIM(C49))="CN",1,IF(UPPER(TRIM(C49))="CD",2,"")))</f>
        <v/>
      </c>
      <c r="I61" s="1" t="n">
        <v>0.65</v>
      </c>
      <c r="J61" s="1" t="n">
        <v>0.8</v>
      </c>
      <c r="K61" s="1">
        <f>IFERROR($E49/SUM($D49:$F49),"")</f>
        <v/>
      </c>
      <c r="L61" s="1">
        <f>IFERROR($D49/SUM($D49:$F49),"")</f>
        <v/>
      </c>
      <c r="M61" s="1">
        <f>IFERROR($F49/SUM($D49:$F49),"")</f>
        <v/>
      </c>
      <c r="O61" t="n">
        <v>60</v>
      </c>
      <c r="P61" t="inlineStr">
        <is>
          <t>31/01/2026</t>
        </is>
      </c>
      <c r="Q61" t="inlineStr">
        <is>
          <t>CN</t>
        </is>
      </c>
      <c r="R61" t="n">
        <v>654</v>
      </c>
      <c r="S61" t="n">
        <v>1025</v>
      </c>
      <c r="T61" t="n">
        <v>474</v>
      </c>
    </row>
    <row r="62">
      <c r="H62">
        <f>IF(B50="","",TEXT(B50,"dd/mm") &amp; "-" &amp; IF(UPPER(TRIM(C50))="CN",1,IF(UPPER(TRIM(C50))="CD",2,"")))</f>
        <v/>
      </c>
      <c r="I62" s="1" t="n">
        <v>0.65</v>
      </c>
      <c r="J62" s="1" t="n">
        <v>0.8</v>
      </c>
      <c r="K62" s="1">
        <f>IFERROR($E50/SUM($D50:$F50),"")</f>
        <v/>
      </c>
      <c r="L62" s="1">
        <f>IFERROR($D50/SUM($D50:$F50),"")</f>
        <v/>
      </c>
      <c r="M62" s="1">
        <f>IFERROR($F50/SUM($D50:$F50),"")</f>
        <v/>
      </c>
      <c r="O62" t="n">
        <v>61</v>
      </c>
      <c r="P62" t="inlineStr">
        <is>
          <t>31/01/2026</t>
        </is>
      </c>
      <c r="Q62" t="inlineStr">
        <is>
          <t>CD</t>
        </is>
      </c>
      <c r="R62" t="n">
        <v>334</v>
      </c>
      <c r="S62" t="n">
        <v>1091</v>
      </c>
      <c r="T62" t="n">
        <v>722</v>
      </c>
    </row>
    <row r="63">
      <c r="H63">
        <f>IF(B51="","",TEXT(B51,"dd/mm") &amp; "-" &amp; IF(UPPER(TRIM(C51))="CN",1,IF(UPPER(TRIM(C51))="CD",2,"")))</f>
        <v/>
      </c>
      <c r="I63" s="1" t="n">
        <v>0.65</v>
      </c>
      <c r="J63" s="1" t="n">
        <v>0.8</v>
      </c>
      <c r="K63" s="1">
        <f>IFERROR($E51/SUM($D51:$F51),"")</f>
        <v/>
      </c>
      <c r="L63" s="1">
        <f>IFERROR($D51/SUM($D51:$F51),"")</f>
        <v/>
      </c>
      <c r="M63" s="1">
        <f>IFERROR($F51/SUM($D51:$F51),"")</f>
        <v/>
      </c>
      <c r="O63" t="n">
        <v>62</v>
      </c>
      <c r="P63" t="inlineStr">
        <is>
          <t>01/02/2026</t>
        </is>
      </c>
      <c r="Q63" t="inlineStr">
        <is>
          <t>CN</t>
        </is>
      </c>
      <c r="R63" t="n">
        <v>0</v>
      </c>
      <c r="S63" t="n">
        <v>0</v>
      </c>
      <c r="T63" t="n">
        <v>2160</v>
      </c>
    </row>
    <row r="64">
      <c r="H64">
        <f>IF(B52="","",TEXT(B52,"dd/mm") &amp; "-" &amp; IF(UPPER(TRIM(C52))="CN",1,IF(UPPER(TRIM(C52))="CD",2,"")))</f>
        <v/>
      </c>
      <c r="I64" s="1" t="n">
        <v>0.65</v>
      </c>
      <c r="J64" s="1" t="n">
        <v>0.8</v>
      </c>
      <c r="K64" s="1">
        <f>IFERROR($E52/SUM($D52:$F52),"")</f>
        <v/>
      </c>
      <c r="L64" s="1">
        <f>IFERROR($D52/SUM($D52:$F52),"")</f>
        <v/>
      </c>
      <c r="M64" s="1">
        <f>IFERROR($F52/SUM($D52:$F52),"")</f>
        <v/>
      </c>
      <c r="O64" t="n">
        <v>63</v>
      </c>
      <c r="P64" t="inlineStr">
        <is>
          <t>01/02/2026</t>
        </is>
      </c>
      <c r="Q64" t="inlineStr">
        <is>
          <t>CD</t>
        </is>
      </c>
      <c r="R64" t="n">
        <v>0</v>
      </c>
      <c r="S64" t="n">
        <v>0</v>
      </c>
      <c r="T64" t="n">
        <v>2160</v>
      </c>
    </row>
    <row r="65">
      <c r="H65">
        <f>IF(B53="","",TEXT(B53,"dd/mm") &amp; "-" &amp; IF(UPPER(TRIM(C53))="CN",1,IF(UPPER(TRIM(C53))="CD",2,"")))</f>
        <v/>
      </c>
      <c r="I65" s="1" t="n">
        <v>0.65</v>
      </c>
      <c r="J65" s="1" t="n">
        <v>0.8</v>
      </c>
      <c r="K65" s="1">
        <f>IFERROR($E53/SUM($D53:$F53),"")</f>
        <v/>
      </c>
      <c r="L65" s="1">
        <f>IFERROR($D53/SUM($D53:$F53),"")</f>
        <v/>
      </c>
      <c r="M65" s="1">
        <f>IFERROR($F53/SUM($D53:$F53),"")</f>
        <v/>
      </c>
      <c r="O65" t="n">
        <v>64</v>
      </c>
      <c r="P65" t="inlineStr">
        <is>
          <t>02/02/2026</t>
        </is>
      </c>
      <c r="Q65" t="inlineStr">
        <is>
          <t>CN</t>
        </is>
      </c>
      <c r="R65" t="n">
        <v>469</v>
      </c>
      <c r="S65" t="n">
        <v>1061</v>
      </c>
      <c r="T65" t="n">
        <v>612</v>
      </c>
    </row>
    <row r="66">
      <c r="H66">
        <f>IF(B54="","",TEXT(B54,"dd/mm") &amp; "-" &amp; IF(UPPER(TRIM(C54))="CN",1,IF(UPPER(TRIM(C54))="CD",2,"")))</f>
        <v/>
      </c>
      <c r="I66" s="1" t="n">
        <v>0.65</v>
      </c>
      <c r="J66" s="1" t="n">
        <v>0.8</v>
      </c>
      <c r="K66" s="1">
        <f>IFERROR($E54/SUM($D54:$F54),"")</f>
        <v/>
      </c>
      <c r="L66" s="1">
        <f>IFERROR($D54/SUM($D54:$F54),"")</f>
        <v/>
      </c>
      <c r="M66" s="1">
        <f>IFERROR($F54/SUM($D54:$F54),"")</f>
        <v/>
      </c>
      <c r="O66" t="n">
        <v>65</v>
      </c>
      <c r="P66" t="inlineStr">
        <is>
          <t>02/02/2026</t>
        </is>
      </c>
      <c r="Q66" t="inlineStr">
        <is>
          <t>CD</t>
        </is>
      </c>
      <c r="R66" t="n">
        <v>775</v>
      </c>
      <c r="S66" t="n">
        <v>1377</v>
      </c>
      <c r="T66" t="n">
        <v>0</v>
      </c>
    </row>
    <row r="67">
      <c r="H67">
        <f>IF(B55="","",TEXT(B55,"dd/mm") &amp; "-" &amp; IF(UPPER(TRIM(C55))="CN",1,IF(UPPER(TRIM(C55))="CD",2,"")))</f>
        <v/>
      </c>
      <c r="I67" s="1" t="n">
        <v>0.65</v>
      </c>
      <c r="J67" s="1" t="n">
        <v>0.8</v>
      </c>
      <c r="K67" s="1">
        <f>IFERROR($E55/SUM($D55:$F55),"")</f>
        <v/>
      </c>
      <c r="L67" s="1">
        <f>IFERROR($D55/SUM($D55:$F55),"")</f>
        <v/>
      </c>
      <c r="M67" s="1">
        <f>IFERROR($F55/SUM($D55:$F55),"")</f>
        <v/>
      </c>
      <c r="O67" t="n">
        <v>66</v>
      </c>
      <c r="P67" t="inlineStr">
        <is>
          <t>03/02/2026</t>
        </is>
      </c>
      <c r="Q67" t="inlineStr">
        <is>
          <t>CN</t>
        </is>
      </c>
      <c r="R67" t="n">
        <v>1056</v>
      </c>
      <c r="S67" t="n">
        <v>1092</v>
      </c>
      <c r="T67" t="n">
        <v>0</v>
      </c>
    </row>
    <row r="68">
      <c r="H68">
        <f>IF(B56="","",TEXT(B56,"dd/mm") &amp; "-" &amp; IF(UPPER(TRIM(C56))="CN",1,IF(UPPER(TRIM(C56))="CD",2,"")))</f>
        <v/>
      </c>
      <c r="I68" s="1" t="n"/>
      <c r="J68" s="1" t="n"/>
      <c r="K68" s="1">
        <f>IFERROR($E56/SUM($D56:$F56),"")</f>
        <v/>
      </c>
      <c r="L68" s="1">
        <f>IFERROR($D56/SUM($D56:$F56),"")</f>
        <v/>
      </c>
      <c r="M68" s="1">
        <f>IFERROR($F56/SUM($D56:$F56),"")</f>
        <v/>
      </c>
      <c r="O68" t="n">
        <v>67</v>
      </c>
      <c r="P68" t="inlineStr">
        <is>
          <t>03/02/2026</t>
        </is>
      </c>
      <c r="Q68" t="inlineStr">
        <is>
          <t>CD</t>
        </is>
      </c>
      <c r="R68" t="n">
        <v>546</v>
      </c>
      <c r="S68" t="n">
        <v>1299</v>
      </c>
      <c r="T68" t="n">
        <v>306</v>
      </c>
    </row>
    <row r="69">
      <c r="H69">
        <f>IF(B57="","",TEXT(B57,"dd/mm") &amp; "-" &amp; IF(UPPER(TRIM(C57))="CN",1,IF(UPPER(TRIM(C57))="CD",2,"")))</f>
        <v/>
      </c>
      <c r="I69" s="1" t="n"/>
      <c r="J69" s="1" t="n"/>
      <c r="K69" s="1">
        <f>IFERROR($E57/SUM($D57:$F57),"")</f>
        <v/>
      </c>
      <c r="L69" s="1">
        <f>IFERROR($D57/SUM($D57:$F57),"")</f>
        <v/>
      </c>
      <c r="M69" s="1">
        <f>IFERROR($F57/SUM($D57:$F57),"")</f>
        <v/>
      </c>
      <c r="O69" t="n">
        <v>68</v>
      </c>
      <c r="P69" t="inlineStr">
        <is>
          <t>04/02/2026</t>
        </is>
      </c>
      <c r="Q69" t="inlineStr">
        <is>
          <t>CN</t>
        </is>
      </c>
      <c r="R69" t="n">
        <v>643</v>
      </c>
      <c r="S69" t="n">
        <v>1091</v>
      </c>
      <c r="T69" t="n">
        <v>411</v>
      </c>
    </row>
    <row r="70">
      <c r="H70">
        <f>IF(B58="","",TEXT(B58,"dd/mm") &amp; "-" &amp; IF(UPPER(TRIM(C58))="CN",1,IF(UPPER(TRIM(C58))="CD",2,"")))</f>
        <v/>
      </c>
      <c r="I70" s="1" t="n"/>
      <c r="J70" s="1" t="n"/>
      <c r="K70" s="1">
        <f>IFERROR($E58/SUM($D58:$F58),"")</f>
        <v/>
      </c>
      <c r="L70" s="1">
        <f>IFERROR($D58/SUM($D58:$F58),"")</f>
        <v/>
      </c>
      <c r="M70" s="1">
        <f>IFERROR($F58/SUM($D58:$F58),"")</f>
        <v/>
      </c>
      <c r="O70" t="n">
        <v>69</v>
      </c>
      <c r="P70" t="inlineStr">
        <is>
          <t>04/02/2026</t>
        </is>
      </c>
      <c r="Q70" t="inlineStr">
        <is>
          <t>CD</t>
        </is>
      </c>
      <c r="R70" t="n">
        <v>553</v>
      </c>
      <c r="S70" t="n">
        <v>1292</v>
      </c>
      <c r="T70" t="n">
        <v>306</v>
      </c>
    </row>
    <row r="71">
      <c r="H71">
        <f>IF(B59="","",TEXT(B59,"dd/mm") &amp; "-" &amp; IF(UPPER(TRIM(C59))="CN",1,IF(UPPER(TRIM(C59))="CD",2,"")))</f>
        <v/>
      </c>
      <c r="I71" s="1" t="n"/>
      <c r="J71" s="1" t="n"/>
      <c r="K71" s="1">
        <f>IFERROR($E59/SUM($D59:$F59),"")</f>
        <v/>
      </c>
      <c r="L71" s="1">
        <f>IFERROR($D59/SUM($D59:$F59),"")</f>
        <v/>
      </c>
      <c r="M71" s="1">
        <f>IFERROR($F59/SUM($D59:$F59),"")</f>
        <v/>
      </c>
      <c r="O71" t="n">
        <v>70</v>
      </c>
      <c r="P71" t="inlineStr">
        <is>
          <t>05/02/2026</t>
        </is>
      </c>
      <c r="Q71" t="inlineStr">
        <is>
          <t>CN</t>
        </is>
      </c>
      <c r="R71" t="n">
        <v>746</v>
      </c>
      <c r="S71" t="n">
        <v>988</v>
      </c>
      <c r="T71" t="n">
        <v>407</v>
      </c>
    </row>
    <row r="72">
      <c r="H72">
        <f>IF(B60="","",TEXT(B60,"dd/mm") &amp; "-" &amp; IF(UPPER(TRIM(C60))="CN",1,IF(UPPER(TRIM(C60))="CD",2,"")))</f>
        <v/>
      </c>
      <c r="I72" s="1" t="n"/>
      <c r="J72" s="1" t="n"/>
      <c r="K72" s="1">
        <f>IFERROR($E60/SUM($D60:$F60),"")</f>
        <v/>
      </c>
      <c r="L72" s="1">
        <f>IFERROR($D60/SUM($D60:$F60),"")</f>
        <v/>
      </c>
      <c r="M72" s="1">
        <f>IFERROR($F60/SUM($D60:$F60),"")</f>
        <v/>
      </c>
      <c r="O72" t="n">
        <v>71</v>
      </c>
      <c r="P72" t="inlineStr">
        <is>
          <t>05/02/2026</t>
        </is>
      </c>
      <c r="Q72" t="inlineStr">
        <is>
          <t>CD</t>
        </is>
      </c>
      <c r="R72" t="n">
        <v>685</v>
      </c>
      <c r="S72" t="n">
        <v>1313</v>
      </c>
      <c r="T72" t="n">
        <v>153</v>
      </c>
    </row>
    <row r="73">
      <c r="H73">
        <f>IF(B61="","",TEXT(B61,"dd/mm") &amp; "-" &amp; IF(UPPER(TRIM(C61))="CN",1,IF(UPPER(TRIM(C61))="CD",2,"")))</f>
        <v/>
      </c>
      <c r="I73" s="1" t="n"/>
      <c r="J73" s="1" t="n"/>
      <c r="K73" s="1">
        <f>IFERROR($E61/SUM($D61:$F61),"")</f>
        <v/>
      </c>
      <c r="L73" s="1">
        <f>IFERROR($D61/SUM($D61:$F61),"")</f>
        <v/>
      </c>
      <c r="M73" s="1">
        <f>IFERROR($F61/SUM($D61:$F61),"")</f>
        <v/>
      </c>
      <c r="O73" t="n">
        <v>72</v>
      </c>
      <c r="P73" t="inlineStr">
        <is>
          <t>06/02/2026</t>
        </is>
      </c>
      <c r="Q73" t="inlineStr">
        <is>
          <t>CN</t>
        </is>
      </c>
      <c r="R73" t="n">
        <v>833</v>
      </c>
      <c r="S73" t="n">
        <v>1109</v>
      </c>
      <c r="T73" t="n">
        <v>204</v>
      </c>
    </row>
    <row r="74">
      <c r="H74">
        <f>IF(B62="","",TEXT(B62,"dd/mm") &amp; "-" &amp; IF(UPPER(TRIM(C62))="CN",1,IF(UPPER(TRIM(C62))="CD",2,"")))</f>
        <v/>
      </c>
      <c r="I74" s="1" t="n"/>
      <c r="J74" s="1" t="n"/>
      <c r="K74" s="1">
        <f>IFERROR($E62/SUM($D62:$F62),"")</f>
        <v/>
      </c>
      <c r="L74" s="1">
        <f>IFERROR($D62/SUM($D62:$F62),"")</f>
        <v/>
      </c>
      <c r="M74" s="1">
        <f>IFERROR($F62/SUM($D62:$F62),"")</f>
        <v/>
      </c>
      <c r="O74" t="n">
        <v>73</v>
      </c>
      <c r="P74" t="inlineStr">
        <is>
          <t>06/02/2026</t>
        </is>
      </c>
      <c r="Q74" t="inlineStr">
        <is>
          <t>CD</t>
        </is>
      </c>
      <c r="R74" t="n">
        <v>530</v>
      </c>
      <c r="S74" t="n">
        <v>1620</v>
      </c>
      <c r="T74" t="n">
        <v>5</v>
      </c>
    </row>
    <row r="75">
      <c r="H75">
        <f>IF(B63="","",TEXT(B63,"dd/mm") &amp; "-" &amp; IF(UPPER(TRIM(C63))="CN",1,IF(UPPER(TRIM(C63))="CD",2,"")))</f>
        <v/>
      </c>
      <c r="I75" s="1" t="n"/>
      <c r="J75" s="1" t="n"/>
      <c r="K75" s="1">
        <f>IFERROR($E63/SUM($D63:$F63),"")</f>
        <v/>
      </c>
      <c r="L75" s="1">
        <f>IFERROR($D63/SUM($D63:$F63),"")</f>
        <v/>
      </c>
      <c r="M75" s="1">
        <f>IFERROR($F63/SUM($D63:$F63),"")</f>
        <v/>
      </c>
      <c r="O75" t="n">
        <v>74</v>
      </c>
      <c r="P75" t="inlineStr">
        <is>
          <t>07/02/2026</t>
        </is>
      </c>
      <c r="Q75" t="inlineStr">
        <is>
          <t>CN</t>
        </is>
      </c>
      <c r="R75" t="n">
        <v>1004</v>
      </c>
      <c r="S75" t="n">
        <v>1147</v>
      </c>
      <c r="T75" t="n">
        <v>0</v>
      </c>
    </row>
    <row r="76">
      <c r="I76" s="1" t="n"/>
      <c r="J76" s="1" t="n"/>
      <c r="K76" s="1" t="n"/>
      <c r="L76" s="1" t="n"/>
      <c r="M76" s="1" t="n"/>
      <c r="O76" t="n">
        <v>75</v>
      </c>
      <c r="P76" t="inlineStr">
        <is>
          <t>07/02/2026</t>
        </is>
      </c>
      <c r="Q76" t="inlineStr">
        <is>
          <t>CD</t>
        </is>
      </c>
      <c r="R76" t="n">
        <v>686</v>
      </c>
      <c r="S76" t="n">
        <v>1226</v>
      </c>
      <c r="T76" t="n">
        <v>242</v>
      </c>
    </row>
    <row r="77">
      <c r="I77" s="1" t="n"/>
      <c r="J77" s="1" t="n"/>
      <c r="K77" s="1" t="n"/>
      <c r="L77" s="1" t="n"/>
      <c r="M77" s="1" t="n"/>
      <c r="O77" t="n">
        <v>76</v>
      </c>
      <c r="P77" t="inlineStr">
        <is>
          <t>08/02/2026</t>
        </is>
      </c>
      <c r="Q77" t="inlineStr">
        <is>
          <t>CN</t>
        </is>
      </c>
      <c r="R77" t="n">
        <v>765</v>
      </c>
      <c r="S77" t="n">
        <v>1145</v>
      </c>
      <c r="T77" t="n">
        <v>239</v>
      </c>
    </row>
    <row r="78">
      <c r="I78" s="1" t="n"/>
      <c r="J78" s="1" t="n"/>
      <c r="K78" s="1" t="n"/>
      <c r="L78" s="1" t="n"/>
      <c r="M78" s="1" t="n"/>
      <c r="O78" t="n">
        <v>77</v>
      </c>
      <c r="P78" t="inlineStr">
        <is>
          <t>08/02/2026</t>
        </is>
      </c>
      <c r="Q78" t="inlineStr">
        <is>
          <t>CD</t>
        </is>
      </c>
      <c r="R78" t="n">
        <v>1</v>
      </c>
      <c r="S78" t="n">
        <v>4</v>
      </c>
      <c r="T78" t="n">
        <v>2155</v>
      </c>
    </row>
    <row r="79">
      <c r="I79" s="1" t="n"/>
      <c r="J79" s="1" t="n"/>
      <c r="K79" s="1" t="n"/>
      <c r="L79" s="1" t="n"/>
      <c r="M79" s="1" t="n"/>
      <c r="O79" t="n">
        <v>78</v>
      </c>
      <c r="P79" t="inlineStr">
        <is>
          <t>09/02/2026</t>
        </is>
      </c>
      <c r="Q79" t="inlineStr">
        <is>
          <t>CN</t>
        </is>
      </c>
      <c r="R79" t="n">
        <v>573</v>
      </c>
      <c r="S79" t="n">
        <v>962</v>
      </c>
      <c r="T79" t="n">
        <v>614</v>
      </c>
    </row>
    <row r="80">
      <c r="I80" s="1" t="n"/>
      <c r="J80" s="1" t="n"/>
      <c r="K80" s="1" t="n"/>
      <c r="L80" s="1" t="n"/>
      <c r="M80" s="1" t="n"/>
      <c r="O80" t="n">
        <v>79</v>
      </c>
      <c r="P80" t="inlineStr">
        <is>
          <t>09/02/2026</t>
        </is>
      </c>
      <c r="Q80" t="inlineStr">
        <is>
          <t>CD</t>
        </is>
      </c>
      <c r="R80" t="n">
        <v>631</v>
      </c>
      <c r="S80" t="n">
        <v>1352</v>
      </c>
      <c r="T80" t="n">
        <v>166</v>
      </c>
    </row>
    <row r="81">
      <c r="I81" s="1" t="n"/>
      <c r="J81" s="1" t="n"/>
      <c r="K81" s="1" t="n"/>
      <c r="L81" s="1" t="n"/>
      <c r="M81" s="1" t="n"/>
      <c r="O81" t="n">
        <v>80</v>
      </c>
      <c r="P81" t="inlineStr">
        <is>
          <t>10/02/2026</t>
        </is>
      </c>
      <c r="Q81" t="inlineStr">
        <is>
          <t>CN</t>
        </is>
      </c>
      <c r="R81" t="n">
        <v>782</v>
      </c>
      <c r="S81" t="n">
        <v>1154</v>
      </c>
      <c r="T81" t="n">
        <v>218</v>
      </c>
    </row>
    <row r="82">
      <c r="I82" s="1" t="n"/>
      <c r="J82" s="1" t="n"/>
      <c r="K82" s="1" t="n"/>
      <c r="L82" s="1" t="n"/>
      <c r="M82" s="1" t="n"/>
      <c r="O82" t="n">
        <v>81</v>
      </c>
      <c r="P82" t="inlineStr">
        <is>
          <t>10/02/2026</t>
        </is>
      </c>
      <c r="Q82" t="inlineStr">
        <is>
          <t>CD</t>
        </is>
      </c>
      <c r="R82" t="n">
        <v>548</v>
      </c>
      <c r="S82" t="n">
        <v>1295</v>
      </c>
      <c r="T82" t="n">
        <v>305</v>
      </c>
    </row>
    <row r="83">
      <c r="I83" s="1" t="n"/>
      <c r="J83" s="1" t="n"/>
      <c r="K83" s="1" t="n"/>
      <c r="L83" s="1" t="n"/>
      <c r="M83" s="1" t="n"/>
      <c r="O83" t="n">
        <v>82</v>
      </c>
      <c r="P83" t="inlineStr">
        <is>
          <t>11/02/2026</t>
        </is>
      </c>
      <c r="Q83" t="inlineStr">
        <is>
          <t>CN</t>
        </is>
      </c>
      <c r="R83" t="n">
        <v>524</v>
      </c>
      <c r="S83" t="n">
        <v>949</v>
      </c>
      <c r="T83" t="n">
        <v>684</v>
      </c>
    </row>
    <row r="84">
      <c r="I84" s="1" t="n"/>
      <c r="J84" s="1" t="n"/>
      <c r="K84" s="1" t="n"/>
      <c r="L84" s="1" t="n"/>
      <c r="M84" s="1" t="n"/>
      <c r="O84" t="n">
        <v>83</v>
      </c>
      <c r="P84" t="inlineStr">
        <is>
          <t>11/02/2026</t>
        </is>
      </c>
      <c r="Q84" t="inlineStr">
        <is>
          <t>CD</t>
        </is>
      </c>
      <c r="R84" t="n">
        <v>582</v>
      </c>
      <c r="S84" t="n">
        <v>1259</v>
      </c>
      <c r="T84" t="n">
        <v>304</v>
      </c>
    </row>
    <row r="85">
      <c r="I85" s="1" t="n"/>
      <c r="J85" s="1" t="n"/>
      <c r="K85" s="1" t="n"/>
      <c r="L85" s="1" t="n"/>
      <c r="M85" s="1" t="n"/>
      <c r="O85" t="n">
        <v>84</v>
      </c>
      <c r="P85" t="inlineStr">
        <is>
          <t>12/02/2026</t>
        </is>
      </c>
      <c r="Q85" t="inlineStr">
        <is>
          <t>CN</t>
        </is>
      </c>
      <c r="R85" t="n">
        <v>719</v>
      </c>
      <c r="S85" t="n">
        <v>770</v>
      </c>
      <c r="T85" t="n">
        <v>663</v>
      </c>
    </row>
    <row r="86">
      <c r="I86" s="1" t="n"/>
      <c r="J86" s="1" t="n"/>
      <c r="K86" s="1" t="n"/>
      <c r="L86" s="1" t="n"/>
      <c r="M86" s="1" t="n"/>
      <c r="O86" t="n">
        <v>85</v>
      </c>
      <c r="P86" t="inlineStr">
        <is>
          <t>12/02/2026</t>
        </is>
      </c>
      <c r="Q86" t="inlineStr">
        <is>
          <t>CD</t>
        </is>
      </c>
      <c r="R86" t="n">
        <v>534</v>
      </c>
      <c r="S86" t="n">
        <v>1458</v>
      </c>
      <c r="T86" t="n">
        <v>155</v>
      </c>
    </row>
    <row r="87">
      <c r="I87" s="1" t="n"/>
      <c r="J87" s="1" t="n"/>
      <c r="K87" s="1" t="n"/>
      <c r="L87" s="1" t="n"/>
      <c r="M87" s="1" t="n"/>
      <c r="O87" t="n">
        <v>86</v>
      </c>
      <c r="P87" t="inlineStr">
        <is>
          <t>13/02/2026</t>
        </is>
      </c>
      <c r="Q87" t="inlineStr">
        <is>
          <t>CN</t>
        </is>
      </c>
      <c r="R87" t="n">
        <v>791</v>
      </c>
      <c r="S87" t="n">
        <v>1107</v>
      </c>
      <c r="T87" t="n">
        <v>253</v>
      </c>
    </row>
    <row r="88">
      <c r="I88" s="1" t="n"/>
      <c r="J88" s="1" t="n"/>
      <c r="K88" s="1" t="n"/>
      <c r="L88" s="1" t="n"/>
      <c r="M88" s="1" t="n"/>
      <c r="O88" t="n">
        <v>87</v>
      </c>
      <c r="P88" t="inlineStr">
        <is>
          <t>13/02/2026</t>
        </is>
      </c>
      <c r="Q88" t="inlineStr">
        <is>
          <t>CD</t>
        </is>
      </c>
      <c r="R88" t="n">
        <v>476</v>
      </c>
      <c r="S88" t="n">
        <v>948</v>
      </c>
      <c r="T88" t="n">
        <v>728</v>
      </c>
    </row>
    <row r="89">
      <c r="I89" s="1" t="n"/>
      <c r="J89" s="1" t="n"/>
      <c r="K89" s="1" t="n"/>
      <c r="L89" s="1" t="n"/>
      <c r="M89" s="1" t="n"/>
      <c r="O89" t="n">
        <v>88</v>
      </c>
      <c r="P89" t="inlineStr">
        <is>
          <t>14/02/2026</t>
        </is>
      </c>
      <c r="Q89" t="inlineStr">
        <is>
          <t>CN</t>
        </is>
      </c>
      <c r="R89" t="n">
        <v>0</v>
      </c>
      <c r="S89" t="n">
        <v>0</v>
      </c>
      <c r="T89" t="n">
        <v>2160</v>
      </c>
    </row>
    <row r="90">
      <c r="I90" s="1" t="n"/>
      <c r="J90" s="1" t="n"/>
      <c r="K90" s="1" t="n"/>
      <c r="L90" s="1" t="n"/>
      <c r="M90" s="1" t="n"/>
      <c r="O90" t="n">
        <v>89</v>
      </c>
      <c r="P90" t="inlineStr">
        <is>
          <t>14/02/2026</t>
        </is>
      </c>
      <c r="Q90" t="inlineStr">
        <is>
          <t>CD</t>
        </is>
      </c>
      <c r="R90" t="n">
        <v>0</v>
      </c>
      <c r="S90" t="n">
        <v>0</v>
      </c>
      <c r="T90" t="n">
        <v>2160</v>
      </c>
    </row>
    <row r="91">
      <c r="I91" s="1" t="n"/>
      <c r="J91" s="1" t="n"/>
      <c r="K91" s="1" t="n"/>
      <c r="L91" s="1" t="n"/>
      <c r="M91" s="1" t="n"/>
      <c r="O91" t="n">
        <v>90</v>
      </c>
      <c r="P91" t="inlineStr">
        <is>
          <t>15/02/2026</t>
        </is>
      </c>
      <c r="Q91" t="inlineStr">
        <is>
          <t>CN</t>
        </is>
      </c>
      <c r="R91" t="n">
        <v>0</v>
      </c>
      <c r="S91" t="n">
        <v>0</v>
      </c>
      <c r="T91" t="n">
        <v>2160</v>
      </c>
    </row>
    <row r="92">
      <c r="I92" s="1" t="n"/>
      <c r="J92" s="1" t="n"/>
      <c r="K92" s="1" t="n"/>
      <c r="L92" s="1" t="n"/>
      <c r="M92" s="1" t="n"/>
      <c r="O92" t="n">
        <v>91</v>
      </c>
      <c r="P92" t="inlineStr">
        <is>
          <t>15/02/2026</t>
        </is>
      </c>
      <c r="Q92" t="inlineStr">
        <is>
          <t>CD</t>
        </is>
      </c>
      <c r="R92" t="n">
        <v>0</v>
      </c>
      <c r="S92" t="n">
        <v>0</v>
      </c>
      <c r="T92" t="n">
        <v>2160</v>
      </c>
    </row>
    <row r="93">
      <c r="I93" s="1" t="n"/>
      <c r="J93" s="1" t="n"/>
      <c r="K93" s="1" t="n"/>
      <c r="L93" s="1" t="n"/>
      <c r="M93" s="1" t="n"/>
      <c r="O93" t="n">
        <v>92</v>
      </c>
      <c r="P93" t="inlineStr">
        <is>
          <t>16/02/2026</t>
        </is>
      </c>
      <c r="Q93" t="inlineStr">
        <is>
          <t>CN</t>
        </is>
      </c>
      <c r="R93" t="n">
        <v>0</v>
      </c>
      <c r="S93" t="n">
        <v>0</v>
      </c>
      <c r="T93" t="n">
        <v>2160</v>
      </c>
    </row>
    <row r="94">
      <c r="I94" s="1" t="n"/>
      <c r="J94" s="1" t="n"/>
      <c r="K94" s="1" t="n"/>
      <c r="L94" s="1" t="n"/>
      <c r="M94" s="1" t="n"/>
      <c r="O94" t="n">
        <v>93</v>
      </c>
      <c r="P94" t="inlineStr">
        <is>
          <t>16/02/2026</t>
        </is>
      </c>
      <c r="Q94" t="inlineStr">
        <is>
          <t>CD</t>
        </is>
      </c>
      <c r="R94" t="n">
        <v>0</v>
      </c>
      <c r="S94" t="n">
        <v>0</v>
      </c>
      <c r="T94" t="n">
        <v>2160</v>
      </c>
    </row>
    <row r="95">
      <c r="I95" s="1" t="n"/>
      <c r="J95" s="1" t="n"/>
      <c r="K95" s="1" t="n"/>
      <c r="L95" s="1" t="n"/>
      <c r="M95" s="1" t="n"/>
      <c r="O95" t="n">
        <v>94</v>
      </c>
      <c r="P95" t="inlineStr">
        <is>
          <t>17/02/2026</t>
        </is>
      </c>
      <c r="Q95" t="inlineStr">
        <is>
          <t>CN</t>
        </is>
      </c>
      <c r="R95" t="n">
        <v>0</v>
      </c>
      <c r="S95" t="n">
        <v>0</v>
      </c>
      <c r="T95" t="n">
        <v>2160</v>
      </c>
    </row>
    <row r="96">
      <c r="I96" s="1" t="n"/>
      <c r="J96" s="1" t="n"/>
      <c r="K96" s="1" t="n"/>
      <c r="L96" s="1" t="n"/>
      <c r="M96" s="1" t="n"/>
      <c r="O96" t="n">
        <v>95</v>
      </c>
      <c r="P96" t="inlineStr">
        <is>
          <t>17/02/2026</t>
        </is>
      </c>
      <c r="Q96" t="inlineStr">
        <is>
          <t>CD</t>
        </is>
      </c>
      <c r="R96" t="n">
        <v>0</v>
      </c>
      <c r="S96" t="n">
        <v>0</v>
      </c>
      <c r="T96" t="n">
        <v>2160</v>
      </c>
    </row>
    <row r="97">
      <c r="I97" s="1" t="n"/>
      <c r="J97" s="1" t="n"/>
      <c r="K97" s="1" t="n"/>
      <c r="L97" s="1" t="n"/>
      <c r="M97" s="1" t="n"/>
      <c r="O97" t="n">
        <v>96</v>
      </c>
      <c r="P97" t="inlineStr">
        <is>
          <t>18/02/2026</t>
        </is>
      </c>
      <c r="Q97" t="inlineStr">
        <is>
          <t>CN</t>
        </is>
      </c>
      <c r="R97" t="n">
        <v>0</v>
      </c>
      <c r="S97" t="n">
        <v>0</v>
      </c>
      <c r="T97" t="n">
        <v>2160</v>
      </c>
    </row>
    <row r="98">
      <c r="I98" s="1" t="n"/>
      <c r="J98" s="1" t="n"/>
      <c r="K98" s="1" t="n"/>
      <c r="L98" s="1" t="n"/>
      <c r="M98" s="1" t="n"/>
      <c r="O98" t="n">
        <v>97</v>
      </c>
      <c r="P98" t="inlineStr">
        <is>
          <t>18/02/2026</t>
        </is>
      </c>
      <c r="Q98" t="inlineStr">
        <is>
          <t>CD</t>
        </is>
      </c>
      <c r="R98" t="n">
        <v>0</v>
      </c>
      <c r="S98" t="n">
        <v>0</v>
      </c>
      <c r="T98" t="n">
        <v>2160</v>
      </c>
    </row>
    <row r="99">
      <c r="I99" s="1" t="n"/>
      <c r="J99" s="1" t="n"/>
      <c r="K99" s="1" t="n"/>
      <c r="L99" s="1" t="n"/>
      <c r="M99" s="1" t="n"/>
      <c r="O99" t="n">
        <v>98</v>
      </c>
      <c r="P99" t="inlineStr">
        <is>
          <t>19/02/2026</t>
        </is>
      </c>
      <c r="Q99" t="inlineStr">
        <is>
          <t>CN</t>
        </is>
      </c>
      <c r="R99" t="n">
        <v>0</v>
      </c>
      <c r="S99" t="n">
        <v>0</v>
      </c>
      <c r="T99" t="n">
        <v>2160</v>
      </c>
    </row>
    <row r="100">
      <c r="I100" s="1" t="n"/>
      <c r="J100" s="1" t="n"/>
      <c r="K100" s="1" t="n"/>
      <c r="L100" s="1" t="n"/>
      <c r="M100" s="1" t="n"/>
      <c r="O100" t="n">
        <v>99</v>
      </c>
      <c r="P100" t="inlineStr">
        <is>
          <t>19/02/2026</t>
        </is>
      </c>
      <c r="Q100" t="inlineStr">
        <is>
          <t>CD</t>
        </is>
      </c>
      <c r="R100" t="n">
        <v>0</v>
      </c>
      <c r="S100" t="n">
        <v>0</v>
      </c>
      <c r="T100" t="n">
        <v>2160</v>
      </c>
    </row>
    <row r="101">
      <c r="I101" s="1" t="n"/>
      <c r="J101" s="1" t="n"/>
      <c r="K101" s="1" t="n"/>
      <c r="L101" s="1" t="n"/>
      <c r="M101" s="1" t="n"/>
      <c r="O101" t="n">
        <v>100</v>
      </c>
      <c r="P101" t="inlineStr">
        <is>
          <t>20/02/2026</t>
        </is>
      </c>
      <c r="Q101" t="inlineStr">
        <is>
          <t>CN</t>
        </is>
      </c>
      <c r="R101" t="n">
        <v>0</v>
      </c>
      <c r="S101" t="n">
        <v>0</v>
      </c>
      <c r="T101" t="n">
        <v>2160</v>
      </c>
    </row>
    <row r="102">
      <c r="O102" t="n">
        <v>101</v>
      </c>
      <c r="P102" t="inlineStr">
        <is>
          <t>20/02/2026</t>
        </is>
      </c>
      <c r="Q102" t="inlineStr">
        <is>
          <t>CD</t>
        </is>
      </c>
      <c r="R102" t="n">
        <v>0</v>
      </c>
      <c r="S102" t="n">
        <v>0</v>
      </c>
      <c r="T102" t="n">
        <v>2160</v>
      </c>
    </row>
    <row r="103">
      <c r="O103" t="n">
        <v>102</v>
      </c>
      <c r="P103" t="inlineStr">
        <is>
          <t>21/02/2026</t>
        </is>
      </c>
      <c r="Q103" t="inlineStr">
        <is>
          <t>CN</t>
        </is>
      </c>
      <c r="R103" t="n">
        <v>0</v>
      </c>
      <c r="S103" t="n">
        <v>0</v>
      </c>
      <c r="T103" t="n">
        <v>2160</v>
      </c>
    </row>
    <row r="104">
      <c r="O104" t="n">
        <v>103</v>
      </c>
      <c r="P104" t="inlineStr">
        <is>
          <t>21/02/2026</t>
        </is>
      </c>
      <c r="Q104" t="inlineStr">
        <is>
          <t>CD</t>
        </is>
      </c>
      <c r="R104" t="n">
        <v>0</v>
      </c>
      <c r="S104" t="n">
        <v>0</v>
      </c>
      <c r="T104" t="n">
        <v>2160</v>
      </c>
    </row>
    <row r="105">
      <c r="O105" t="n">
        <v>104</v>
      </c>
      <c r="P105" t="inlineStr">
        <is>
          <t>22/02/2026</t>
        </is>
      </c>
      <c r="Q105" t="inlineStr">
        <is>
          <t>CN</t>
        </is>
      </c>
      <c r="R105" t="n">
        <v>0</v>
      </c>
      <c r="S105" t="n">
        <v>0</v>
      </c>
      <c r="T105" t="n">
        <v>2160</v>
      </c>
    </row>
    <row r="106">
      <c r="O106" t="n">
        <v>105</v>
      </c>
      <c r="P106" t="inlineStr">
        <is>
          <t>22/02/2026</t>
        </is>
      </c>
      <c r="Q106" t="inlineStr">
        <is>
          <t>CD</t>
        </is>
      </c>
      <c r="R106" t="n">
        <v>0</v>
      </c>
      <c r="S106" t="n">
        <v>0</v>
      </c>
      <c r="T106" t="n">
        <v>2160</v>
      </c>
    </row>
    <row r="107">
      <c r="O107" t="n">
        <v>106</v>
      </c>
      <c r="P107" t="inlineStr">
        <is>
          <t>23/02/2026</t>
        </is>
      </c>
      <c r="Q107" t="inlineStr">
        <is>
          <t>CN</t>
        </is>
      </c>
      <c r="R107" t="n">
        <v>500</v>
      </c>
      <c r="S107" t="n">
        <v>1018</v>
      </c>
      <c r="T107" t="n">
        <v>633</v>
      </c>
    </row>
    <row r="108">
      <c r="O108" t="n">
        <v>107</v>
      </c>
      <c r="P108" t="inlineStr">
        <is>
          <t>23/02/2026</t>
        </is>
      </c>
      <c r="Q108" t="inlineStr">
        <is>
          <t>CD</t>
        </is>
      </c>
      <c r="R108" t="n">
        <v>502</v>
      </c>
      <c r="S108" t="n">
        <v>1331</v>
      </c>
      <c r="T108" t="n">
        <v>308</v>
      </c>
    </row>
    <row r="109">
      <c r="O109" t="n">
        <v>108</v>
      </c>
      <c r="P109" t="inlineStr">
        <is>
          <t>24/02/2026</t>
        </is>
      </c>
      <c r="Q109" t="inlineStr">
        <is>
          <t>CN</t>
        </is>
      </c>
      <c r="R109" t="n">
        <v>745</v>
      </c>
      <c r="S109" t="n">
        <v>992</v>
      </c>
      <c r="T109" t="n">
        <v>411</v>
      </c>
    </row>
    <row r="110">
      <c r="O110" t="n">
        <v>109</v>
      </c>
      <c r="P110" t="inlineStr">
        <is>
          <t>24/02/2026</t>
        </is>
      </c>
      <c r="Q110" t="inlineStr">
        <is>
          <t>CD</t>
        </is>
      </c>
      <c r="R110" t="n">
        <v>315</v>
      </c>
      <c r="S110" t="n">
        <v>1678</v>
      </c>
      <c r="T110" t="n">
        <v>154</v>
      </c>
    </row>
    <row r="111">
      <c r="O111" t="n">
        <v>110</v>
      </c>
      <c r="P111" t="inlineStr">
        <is>
          <t>25/02/2026</t>
        </is>
      </c>
      <c r="Q111" t="inlineStr">
        <is>
          <t>CN</t>
        </is>
      </c>
      <c r="R111" t="n">
        <v>685</v>
      </c>
      <c r="S111" t="n">
        <v>1258</v>
      </c>
      <c r="T111" t="n">
        <v>208</v>
      </c>
    </row>
    <row r="112">
      <c r="O112" t="n">
        <v>111</v>
      </c>
      <c r="P112" t="inlineStr">
        <is>
          <t>25/02/2026</t>
        </is>
      </c>
      <c r="Q112" t="inlineStr">
        <is>
          <t>CD</t>
        </is>
      </c>
      <c r="R112" t="n">
        <v>433</v>
      </c>
      <c r="S112" t="n">
        <v>1553</v>
      </c>
      <c r="T112" t="n">
        <v>160</v>
      </c>
    </row>
    <row r="113">
      <c r="O113" t="n">
        <v>112</v>
      </c>
      <c r="P113" t="inlineStr">
        <is>
          <t>26/02/2026</t>
        </is>
      </c>
      <c r="Q113" t="inlineStr">
        <is>
          <t>CN</t>
        </is>
      </c>
      <c r="R113" t="n">
        <v>618</v>
      </c>
      <c r="S113" t="n">
        <v>1275</v>
      </c>
      <c r="T113" t="n">
        <v>255</v>
      </c>
    </row>
    <row r="114">
      <c r="O114" t="n">
        <v>113</v>
      </c>
      <c r="P114" t="inlineStr">
        <is>
          <t>26/02/2026</t>
        </is>
      </c>
      <c r="Q114" t="inlineStr">
        <is>
          <t>CD</t>
        </is>
      </c>
      <c r="R114" t="n">
        <v>627</v>
      </c>
      <c r="S114" t="n">
        <v>1360</v>
      </c>
      <c r="T114" t="n">
        <v>153</v>
      </c>
    </row>
    <row r="115">
      <c r="O115" t="n">
        <v>114</v>
      </c>
      <c r="P115" t="inlineStr">
        <is>
          <t>27/02/2026</t>
        </is>
      </c>
      <c r="Q115" t="inlineStr">
        <is>
          <t>CN</t>
        </is>
      </c>
      <c r="R115" t="n">
        <v>563</v>
      </c>
      <c r="S115" t="n">
        <v>1375</v>
      </c>
      <c r="T115" t="n">
        <v>214</v>
      </c>
    </row>
    <row r="116">
      <c r="O116" t="n">
        <v>115</v>
      </c>
      <c r="P116" t="inlineStr">
        <is>
          <t>27/02/2026</t>
        </is>
      </c>
      <c r="Q116" t="inlineStr">
        <is>
          <t>CD</t>
        </is>
      </c>
      <c r="R116" t="n">
        <v>628</v>
      </c>
      <c r="S116" t="n">
        <v>1302</v>
      </c>
      <c r="T116" t="n">
        <v>214</v>
      </c>
    </row>
    <row r="117">
      <c r="O117" t="n">
        <v>116</v>
      </c>
      <c r="P117" t="inlineStr">
        <is>
          <t>28/02/2026</t>
        </is>
      </c>
      <c r="Q117" t="inlineStr">
        <is>
          <t>CN</t>
        </is>
      </c>
      <c r="R117" t="n">
        <v>821</v>
      </c>
      <c r="S117" t="n">
        <v>1097</v>
      </c>
      <c r="T117" t="n">
        <v>237</v>
      </c>
    </row>
    <row r="118">
      <c r="O118" t="n">
        <v>117</v>
      </c>
      <c r="P118" t="inlineStr">
        <is>
          <t>28/02/2026</t>
        </is>
      </c>
      <c r="Q118" t="inlineStr">
        <is>
          <t>CD</t>
        </is>
      </c>
      <c r="R118" t="n">
        <v>415</v>
      </c>
      <c r="S118" t="n">
        <v>1017</v>
      </c>
      <c r="T118" t="n">
        <v>714</v>
      </c>
    </row>
    <row r="119">
      <c r="O119" t="n">
        <v>118</v>
      </c>
      <c r="P119" t="inlineStr">
        <is>
          <t>01/03/2026</t>
        </is>
      </c>
      <c r="Q119" t="inlineStr">
        <is>
          <t>CN</t>
        </is>
      </c>
      <c r="R119" t="n">
        <v>0</v>
      </c>
      <c r="S119" t="n">
        <v>0</v>
      </c>
      <c r="T119" t="n">
        <v>1731</v>
      </c>
    </row>
    <row r="120">
      <c r="O120" t="n">
        <v>119</v>
      </c>
      <c r="P120" t="inlineStr">
        <is>
          <t>01/03/2026</t>
        </is>
      </c>
      <c r="Q120" t="inlineStr">
        <is>
          <t>CD</t>
        </is>
      </c>
      <c r="R120" t="n">
        <v>0</v>
      </c>
      <c r="S120" t="n">
        <v>0</v>
      </c>
      <c r="T120" t="n">
        <v>2160</v>
      </c>
    </row>
    <row r="121">
      <c r="O121" t="n">
        <v>120</v>
      </c>
      <c r="P121" t="inlineStr">
        <is>
          <t>02/03/2026</t>
        </is>
      </c>
      <c r="Q121" t="inlineStr">
        <is>
          <t>CN</t>
        </is>
      </c>
      <c r="R121" t="n">
        <v>755</v>
      </c>
      <c r="S121" t="n">
        <v>788</v>
      </c>
      <c r="T121" t="n">
        <v>603</v>
      </c>
    </row>
    <row r="122">
      <c r="O122" t="n">
        <v>121</v>
      </c>
      <c r="P122" t="inlineStr">
        <is>
          <t>02/03/2026</t>
        </is>
      </c>
      <c r="Q122" t="inlineStr">
        <is>
          <t>CD</t>
        </is>
      </c>
      <c r="R122" t="n">
        <v>782</v>
      </c>
      <c r="S122" t="n">
        <v>1212</v>
      </c>
      <c r="T122" t="n">
        <v>154</v>
      </c>
    </row>
    <row r="123">
      <c r="O123" t="n">
        <v>122</v>
      </c>
      <c r="P123" t="inlineStr">
        <is>
          <t>03/03/2026</t>
        </is>
      </c>
      <c r="Q123" t="inlineStr">
        <is>
          <t>CN</t>
        </is>
      </c>
      <c r="R123" t="n">
        <v>757</v>
      </c>
      <c r="S123" t="n">
        <v>1185</v>
      </c>
      <c r="T123" t="n">
        <v>207</v>
      </c>
    </row>
    <row r="124">
      <c r="O124" t="n">
        <v>123</v>
      </c>
      <c r="P124" t="inlineStr">
        <is>
          <t>03/03/2026</t>
        </is>
      </c>
      <c r="Q124" t="inlineStr">
        <is>
          <t>CD</t>
        </is>
      </c>
      <c r="R124" t="n">
        <v>797</v>
      </c>
      <c r="S124" t="n">
        <v>1199</v>
      </c>
      <c r="T124" t="n">
        <v>154</v>
      </c>
    </row>
    <row r="125">
      <c r="O125" t="n">
        <v>124</v>
      </c>
      <c r="P125" t="inlineStr">
        <is>
          <t>04/03/2026</t>
        </is>
      </c>
      <c r="Q125" t="inlineStr">
        <is>
          <t>CN</t>
        </is>
      </c>
      <c r="R125" t="n">
        <v>901</v>
      </c>
      <c r="S125" t="n">
        <v>1039</v>
      </c>
      <c r="T125" t="n">
        <v>206</v>
      </c>
    </row>
    <row r="126">
      <c r="O126" t="n">
        <v>125</v>
      </c>
      <c r="P126" t="inlineStr">
        <is>
          <t>04/03/2026</t>
        </is>
      </c>
      <c r="Q126" t="inlineStr">
        <is>
          <t>CD</t>
        </is>
      </c>
      <c r="R126" t="n">
        <v>653</v>
      </c>
      <c r="S126" t="n">
        <v>1359</v>
      </c>
      <c r="T126" t="n">
        <v>141</v>
      </c>
    </row>
    <row r="127">
      <c r="O127" t="n">
        <v>126</v>
      </c>
      <c r="P127" t="inlineStr">
        <is>
          <t>05/03/2026</t>
        </is>
      </c>
      <c r="Q127" t="inlineStr">
        <is>
          <t>CN</t>
        </is>
      </c>
      <c r="R127" t="n">
        <v>853</v>
      </c>
      <c r="S127" t="n">
        <v>1089</v>
      </c>
      <c r="T127" t="n">
        <v>208</v>
      </c>
    </row>
    <row r="128">
      <c r="O128" t="n">
        <v>127</v>
      </c>
      <c r="P128" t="inlineStr">
        <is>
          <t>05/03/2026</t>
        </is>
      </c>
      <c r="Q128" t="inlineStr">
        <is>
          <t>CD</t>
        </is>
      </c>
      <c r="R128" t="n">
        <v>739</v>
      </c>
      <c r="S128" t="n">
        <v>1255</v>
      </c>
      <c r="T128" t="n">
        <v>157</v>
      </c>
    </row>
    <row r="129">
      <c r="O129" t="n">
        <v>128</v>
      </c>
      <c r="P129" t="inlineStr">
        <is>
          <t>06/03/2026</t>
        </is>
      </c>
      <c r="Q129" t="inlineStr">
        <is>
          <t>CN</t>
        </is>
      </c>
      <c r="R129" t="n">
        <v>779</v>
      </c>
      <c r="S129" t="n">
        <v>1163</v>
      </c>
      <c r="T129" t="n">
        <v>205</v>
      </c>
    </row>
    <row r="130">
      <c r="O130" t="n">
        <v>129</v>
      </c>
      <c r="P130" t="inlineStr">
        <is>
          <t>06/03/2026</t>
        </is>
      </c>
      <c r="Q130" t="inlineStr">
        <is>
          <t>CD</t>
        </is>
      </c>
      <c r="R130" t="n">
        <v>481</v>
      </c>
      <c r="S130" t="n">
        <v>1520</v>
      </c>
      <c r="T130" t="n">
        <v>154</v>
      </c>
    </row>
    <row r="131">
      <c r="O131" t="n">
        <v>130</v>
      </c>
      <c r="P131" t="inlineStr">
        <is>
          <t>07/03/2026</t>
        </is>
      </c>
      <c r="Q131" t="inlineStr">
        <is>
          <t>CN</t>
        </is>
      </c>
      <c r="R131" t="n">
        <v>850</v>
      </c>
      <c r="S131" t="n">
        <v>1065</v>
      </c>
      <c r="T131" t="n">
        <v>237</v>
      </c>
    </row>
    <row r="132">
      <c r="O132" t="n">
        <v>131</v>
      </c>
      <c r="P132" t="inlineStr">
        <is>
          <t>07/03/2026</t>
        </is>
      </c>
      <c r="Q132" t="inlineStr">
        <is>
          <t>CD</t>
        </is>
      </c>
      <c r="R132" t="n">
        <v>781</v>
      </c>
      <c r="S132" t="n">
        <v>1128</v>
      </c>
      <c r="T132" t="n">
        <v>244</v>
      </c>
    </row>
    <row r="133">
      <c r="O133" t="n">
        <v>132</v>
      </c>
      <c r="P133" t="inlineStr">
        <is>
          <t>08/03/2026</t>
        </is>
      </c>
      <c r="Q133" t="inlineStr">
        <is>
          <t>CN</t>
        </is>
      </c>
      <c r="R133" t="n">
        <v>1009</v>
      </c>
      <c r="S133" t="n">
        <v>900</v>
      </c>
      <c r="T133" t="n">
        <v>241</v>
      </c>
    </row>
    <row r="134">
      <c r="O134" t="n">
        <v>133</v>
      </c>
      <c r="P134" t="inlineStr">
        <is>
          <t>08/03/2026</t>
        </is>
      </c>
      <c r="Q134" t="inlineStr">
        <is>
          <t>CD</t>
        </is>
      </c>
      <c r="R134" t="n">
        <v>0</v>
      </c>
      <c r="S134" t="n">
        <v>0</v>
      </c>
      <c r="T134" t="n">
        <v>2160</v>
      </c>
    </row>
    <row r="135">
      <c r="O135" t="n">
        <v>134</v>
      </c>
      <c r="P135" t="inlineStr">
        <is>
          <t>09/03/2026</t>
        </is>
      </c>
      <c r="Q135" t="inlineStr">
        <is>
          <t>CN</t>
        </is>
      </c>
      <c r="R135" t="n">
        <v>556</v>
      </c>
      <c r="S135" t="n">
        <v>974</v>
      </c>
      <c r="T135" t="n">
        <v>623</v>
      </c>
    </row>
    <row r="136">
      <c r="O136" t="n">
        <v>135</v>
      </c>
      <c r="P136" t="inlineStr">
        <is>
          <t>09/03/2026</t>
        </is>
      </c>
      <c r="Q136" t="inlineStr">
        <is>
          <t>CD</t>
        </is>
      </c>
      <c r="R136" t="n">
        <v>838</v>
      </c>
      <c r="S136" t="n">
        <v>1003</v>
      </c>
      <c r="T136" t="n">
        <v>302</v>
      </c>
    </row>
    <row r="137">
      <c r="O137" t="n">
        <v>136</v>
      </c>
      <c r="P137" t="inlineStr">
        <is>
          <t>10/03/2026</t>
        </is>
      </c>
      <c r="Q137" t="inlineStr">
        <is>
          <t>CN</t>
        </is>
      </c>
      <c r="R137" t="n">
        <v>847</v>
      </c>
      <c r="S137" t="n">
        <v>869</v>
      </c>
      <c r="T137" t="n">
        <v>432</v>
      </c>
    </row>
    <row r="138">
      <c r="O138" t="n">
        <v>137</v>
      </c>
      <c r="P138" t="inlineStr">
        <is>
          <t>10/03/2026</t>
        </is>
      </c>
      <c r="Q138" t="inlineStr">
        <is>
          <t>CD</t>
        </is>
      </c>
      <c r="R138" t="n">
        <v>731</v>
      </c>
      <c r="S138" t="n">
        <v>1021</v>
      </c>
      <c r="T138" t="n">
        <v>394</v>
      </c>
    </row>
    <row r="139">
      <c r="O139" t="n">
        <v>138</v>
      </c>
      <c r="P139" t="inlineStr">
        <is>
          <t>11/03/2026</t>
        </is>
      </c>
      <c r="Q139" t="inlineStr">
        <is>
          <t>CN</t>
        </is>
      </c>
      <c r="R139" t="n">
        <v>610</v>
      </c>
      <c r="S139" t="n">
        <v>1124</v>
      </c>
      <c r="T139" t="n">
        <v>417</v>
      </c>
    </row>
    <row r="140">
      <c r="O140" t="n">
        <v>139</v>
      </c>
      <c r="P140" t="inlineStr">
        <is>
          <t>11/03/2026</t>
        </is>
      </c>
      <c r="Q140" t="inlineStr">
        <is>
          <t>CD</t>
        </is>
      </c>
      <c r="R140" t="n">
        <v>944</v>
      </c>
      <c r="S140" t="n">
        <v>1048</v>
      </c>
      <c r="T140" t="n">
        <v>155</v>
      </c>
    </row>
    <row r="141">
      <c r="O141" t="n">
        <v>140</v>
      </c>
      <c r="P141" t="inlineStr">
        <is>
          <t>12/03/2026</t>
        </is>
      </c>
      <c r="Q141" t="inlineStr">
        <is>
          <t>CN</t>
        </is>
      </c>
      <c r="R141" t="n">
        <v>1041</v>
      </c>
      <c r="S141" t="n">
        <v>642</v>
      </c>
      <c r="T141" t="n">
        <v>468</v>
      </c>
    </row>
    <row r="142">
      <c r="O142" t="n">
        <v>141</v>
      </c>
      <c r="P142" t="inlineStr">
        <is>
          <t>12/03/2026</t>
        </is>
      </c>
      <c r="Q142" t="inlineStr">
        <is>
          <t>CD</t>
        </is>
      </c>
      <c r="R142" t="n">
        <v>631</v>
      </c>
      <c r="S142" t="n">
        <v>1285</v>
      </c>
      <c r="T142" t="n">
        <v>234</v>
      </c>
    </row>
    <row r="143">
      <c r="O143" t="n">
        <v>142</v>
      </c>
      <c r="P143" t="inlineStr">
        <is>
          <t>13/03/2026</t>
        </is>
      </c>
      <c r="Q143" t="inlineStr">
        <is>
          <t>CN</t>
        </is>
      </c>
      <c r="R143" t="n">
        <v>758</v>
      </c>
      <c r="S143" t="n">
        <v>1183</v>
      </c>
      <c r="T143" t="n">
        <v>208</v>
      </c>
    </row>
    <row r="144">
      <c r="O144" t="n">
        <v>143</v>
      </c>
      <c r="P144" t="inlineStr">
        <is>
          <t>13/03/2026</t>
        </is>
      </c>
      <c r="Q144" t="inlineStr">
        <is>
          <t>CD</t>
        </is>
      </c>
      <c r="R144" t="n">
        <v>635</v>
      </c>
      <c r="S144" t="n">
        <v>1353</v>
      </c>
      <c r="T144" t="n">
        <v>155</v>
      </c>
    </row>
    <row r="145">
      <c r="O145" t="n">
        <v>144</v>
      </c>
      <c r="P145" t="inlineStr">
        <is>
          <t>14/03/2026</t>
        </is>
      </c>
      <c r="Q145" t="inlineStr">
        <is>
          <t>CN</t>
        </is>
      </c>
      <c r="R145" t="n">
        <v>861</v>
      </c>
      <c r="S145" t="n">
        <v>1054</v>
      </c>
      <c r="T145" t="n">
        <v>236</v>
      </c>
    </row>
    <row r="146">
      <c r="O146" t="n">
        <v>145</v>
      </c>
      <c r="P146" t="inlineStr">
        <is>
          <t>14/03/2026</t>
        </is>
      </c>
      <c r="Q146" t="inlineStr">
        <is>
          <t>CD</t>
        </is>
      </c>
      <c r="R146" t="n">
        <v>440</v>
      </c>
      <c r="S146" t="n">
        <v>982</v>
      </c>
      <c r="T146" t="n">
        <v>729</v>
      </c>
    </row>
    <row r="147">
      <c r="O147" t="n">
        <v>146</v>
      </c>
      <c r="P147" t="inlineStr">
        <is>
          <t>15/03/2026</t>
        </is>
      </c>
      <c r="Q147" t="inlineStr">
        <is>
          <t>CN</t>
        </is>
      </c>
      <c r="R147" t="n">
        <v>0</v>
      </c>
      <c r="S147" t="n">
        <v>0</v>
      </c>
      <c r="T147" t="n">
        <v>2160</v>
      </c>
    </row>
    <row r="148">
      <c r="O148" t="n">
        <v>147</v>
      </c>
      <c r="P148" t="inlineStr">
        <is>
          <t>15/03/2026</t>
        </is>
      </c>
      <c r="Q148" t="inlineStr">
        <is>
          <t>CD</t>
        </is>
      </c>
      <c r="R148" t="n">
        <v>0</v>
      </c>
      <c r="S148" t="n">
        <v>0</v>
      </c>
      <c r="T148" t="n">
        <v>2160</v>
      </c>
    </row>
    <row r="149">
      <c r="O149" t="n">
        <v>148</v>
      </c>
      <c r="P149" t="inlineStr">
        <is>
          <t>16/03/2026</t>
        </is>
      </c>
      <c r="Q149" t="inlineStr">
        <is>
          <t>CN</t>
        </is>
      </c>
      <c r="R149" t="n">
        <v>387</v>
      </c>
      <c r="S149" t="n">
        <v>1152</v>
      </c>
      <c r="T149" t="n">
        <v>612</v>
      </c>
    </row>
    <row r="150">
      <c r="O150" t="n">
        <v>149</v>
      </c>
      <c r="P150" t="inlineStr">
        <is>
          <t>16/03/2026</t>
        </is>
      </c>
      <c r="Q150" t="inlineStr">
        <is>
          <t>CD</t>
        </is>
      </c>
      <c r="R150" t="n">
        <v>1006</v>
      </c>
      <c r="S150" t="n">
        <v>1144</v>
      </c>
      <c r="T150" t="n">
        <v>0</v>
      </c>
    </row>
    <row r="151">
      <c r="O151" t="n">
        <v>150</v>
      </c>
      <c r="P151" t="inlineStr">
        <is>
          <t>17/03/2026</t>
        </is>
      </c>
      <c r="Q151" t="inlineStr">
        <is>
          <t>CN</t>
        </is>
      </c>
      <c r="R151" t="n">
        <v>1069</v>
      </c>
      <c r="S151" t="n">
        <v>1079</v>
      </c>
      <c r="T151" t="n">
        <v>0</v>
      </c>
    </row>
    <row r="152">
      <c r="O152" t="n">
        <v>151</v>
      </c>
      <c r="P152" t="inlineStr">
        <is>
          <t>17/03/2026</t>
        </is>
      </c>
      <c r="Q152" t="inlineStr">
        <is>
          <t>CD</t>
        </is>
      </c>
      <c r="R152" t="n">
        <v>624</v>
      </c>
      <c r="S152" t="n">
        <v>1372</v>
      </c>
      <c r="T152" t="n">
        <v>156</v>
      </c>
    </row>
    <row r="153">
      <c r="O153" t="n">
        <v>152</v>
      </c>
      <c r="P153" t="inlineStr">
        <is>
          <t>18/03/2026</t>
        </is>
      </c>
      <c r="Q153" t="inlineStr">
        <is>
          <t>CN</t>
        </is>
      </c>
      <c r="R153" t="n">
        <v>919</v>
      </c>
      <c r="S153" t="n">
        <v>1019</v>
      </c>
      <c r="T153" t="n">
        <v>208</v>
      </c>
    </row>
    <row r="154">
      <c r="O154" t="n">
        <v>153</v>
      </c>
      <c r="P154" t="inlineStr">
        <is>
          <t>18/03/2026</t>
        </is>
      </c>
      <c r="Q154" t="inlineStr">
        <is>
          <t>CD</t>
        </is>
      </c>
      <c r="R154" t="n">
        <v>718</v>
      </c>
      <c r="S154" t="n">
        <v>1277</v>
      </c>
      <c r="T154" t="n">
        <v>155</v>
      </c>
    </row>
    <row r="155">
      <c r="O155" t="n">
        <v>154</v>
      </c>
      <c r="P155" t="inlineStr">
        <is>
          <t>19/03/2026</t>
        </is>
      </c>
      <c r="Q155" t="inlineStr">
        <is>
          <t>CN</t>
        </is>
      </c>
      <c r="R155" t="n">
        <v>827</v>
      </c>
      <c r="S155" t="n">
        <v>1111</v>
      </c>
      <c r="T155" t="n">
        <v>208</v>
      </c>
    </row>
    <row r="156">
      <c r="O156" t="n">
        <v>155</v>
      </c>
      <c r="P156" t="inlineStr">
        <is>
          <t>19/03/2026</t>
        </is>
      </c>
      <c r="Q156" t="inlineStr">
        <is>
          <t>CD</t>
        </is>
      </c>
      <c r="R156" t="n">
        <v>767</v>
      </c>
      <c r="S156" t="n">
        <v>1235</v>
      </c>
      <c r="T156" t="n">
        <v>145</v>
      </c>
    </row>
    <row r="157">
      <c r="O157" t="n">
        <v>156</v>
      </c>
      <c r="P157" t="inlineStr">
        <is>
          <t>20/03/2026</t>
        </is>
      </c>
      <c r="Q157" t="inlineStr">
        <is>
          <t>CN</t>
        </is>
      </c>
      <c r="R157" t="n">
        <v>936</v>
      </c>
      <c r="S157" t="n">
        <v>1003</v>
      </c>
      <c r="T157" t="n">
        <v>206</v>
      </c>
    </row>
    <row r="158">
      <c r="O158" t="n">
        <v>157</v>
      </c>
      <c r="P158" t="inlineStr">
        <is>
          <t>20/03/2026</t>
        </is>
      </c>
      <c r="Q158" t="inlineStr">
        <is>
          <t>CD</t>
        </is>
      </c>
      <c r="R158" t="n">
        <v>789</v>
      </c>
      <c r="S158" t="n">
        <v>1208</v>
      </c>
      <c r="T158" t="n">
        <v>155</v>
      </c>
    </row>
    <row r="159">
      <c r="O159" t="n">
        <v>158</v>
      </c>
      <c r="P159" t="inlineStr">
        <is>
          <t>21/03/2026</t>
        </is>
      </c>
      <c r="Q159" t="inlineStr">
        <is>
          <t>CN</t>
        </is>
      </c>
      <c r="R159" t="n">
        <v>921</v>
      </c>
      <c r="S159" t="n">
        <v>984</v>
      </c>
      <c r="T159" t="n">
        <v>239</v>
      </c>
    </row>
    <row r="160">
      <c r="O160" t="n">
        <v>159</v>
      </c>
      <c r="P160" t="inlineStr">
        <is>
          <t>21/03/2026</t>
        </is>
      </c>
      <c r="Q160" t="inlineStr">
        <is>
          <t>CD</t>
        </is>
      </c>
      <c r="R160" t="n">
        <v>738</v>
      </c>
      <c r="S160" t="n">
        <v>1167</v>
      </c>
      <c r="T160" t="n">
        <v>246</v>
      </c>
    </row>
    <row r="161">
      <c r="O161" t="n">
        <v>160</v>
      </c>
      <c r="P161" t="inlineStr">
        <is>
          <t>22/03/2026</t>
        </is>
      </c>
      <c r="Q161" t="inlineStr">
        <is>
          <t>CD</t>
        </is>
      </c>
      <c r="R161" t="n">
        <v>528</v>
      </c>
      <c r="S161" t="n">
        <v>125</v>
      </c>
      <c r="T161" t="n">
        <v>2087</v>
      </c>
    </row>
    <row r="162">
      <c r="O162" t="n">
        <v>161</v>
      </c>
      <c r="P162" t="inlineStr">
        <is>
          <t>23/03/2026</t>
        </is>
      </c>
      <c r="Q162" t="inlineStr">
        <is>
          <t>CN</t>
        </is>
      </c>
      <c r="R162" t="n">
        <v>520</v>
      </c>
      <c r="S162" t="n">
        <v>1019</v>
      </c>
      <c r="T162" t="n">
        <v>611</v>
      </c>
    </row>
    <row r="163">
      <c r="O163" t="n">
        <v>162</v>
      </c>
      <c r="P163" t="inlineStr">
        <is>
          <t>23/03/2026</t>
        </is>
      </c>
      <c r="Q163" t="inlineStr">
        <is>
          <t>CD</t>
        </is>
      </c>
      <c r="R163" t="n">
        <v>589</v>
      </c>
      <c r="S163" t="n">
        <v>1406</v>
      </c>
      <c r="T163" t="n">
        <v>151</v>
      </c>
    </row>
    <row r="164">
      <c r="O164" t="n">
        <v>163</v>
      </c>
      <c r="P164" t="inlineStr">
        <is>
          <t>24/03/2026</t>
        </is>
      </c>
      <c r="Q164" t="inlineStr">
        <is>
          <t>CN</t>
        </is>
      </c>
      <c r="R164" t="n">
        <v>820</v>
      </c>
      <c r="S164" t="n">
        <v>1124</v>
      </c>
      <c r="T164" t="n">
        <v>206</v>
      </c>
    </row>
    <row r="165">
      <c r="O165" t="n">
        <v>164</v>
      </c>
      <c r="P165" t="inlineStr">
        <is>
          <t>24/03/2026</t>
        </is>
      </c>
      <c r="Q165" t="inlineStr">
        <is>
          <t>CD</t>
        </is>
      </c>
      <c r="R165" t="n">
        <v>519</v>
      </c>
      <c r="S165" t="n">
        <v>1476</v>
      </c>
      <c r="T165" t="n">
        <v>154</v>
      </c>
    </row>
    <row r="166">
      <c r="O166" t="n">
        <v>165</v>
      </c>
      <c r="P166" t="inlineStr">
        <is>
          <t>25/03/2026</t>
        </is>
      </c>
      <c r="Q166" t="inlineStr">
        <is>
          <t>CN</t>
        </is>
      </c>
      <c r="R166" t="n">
        <v>899</v>
      </c>
      <c r="S166" t="n">
        <v>1048</v>
      </c>
      <c r="T166" t="n">
        <v>205</v>
      </c>
    </row>
    <row r="167">
      <c r="O167" t="n">
        <v>166</v>
      </c>
      <c r="P167" t="inlineStr">
        <is>
          <t>25/03/2026</t>
        </is>
      </c>
      <c r="Q167" t="inlineStr">
        <is>
          <t>CD</t>
        </is>
      </c>
      <c r="R167" t="n">
        <v>530</v>
      </c>
      <c r="S167" t="n">
        <v>1612</v>
      </c>
      <c r="T167" t="n">
        <v>4</v>
      </c>
    </row>
    <row r="168">
      <c r="O168" t="n">
        <v>167</v>
      </c>
      <c r="P168" t="inlineStr">
        <is>
          <t>26/03/2026</t>
        </is>
      </c>
      <c r="Q168" t="inlineStr">
        <is>
          <t>CN</t>
        </is>
      </c>
      <c r="R168" t="n">
        <v>936</v>
      </c>
      <c r="S168" t="n">
        <v>1218</v>
      </c>
      <c r="T168" t="n">
        <v>0</v>
      </c>
    </row>
    <row r="169">
      <c r="O169" t="n">
        <v>168</v>
      </c>
      <c r="P169" t="inlineStr">
        <is>
          <t>26/03/2026</t>
        </is>
      </c>
      <c r="Q169" t="inlineStr">
        <is>
          <t>CD</t>
        </is>
      </c>
      <c r="R169" t="n">
        <v>602</v>
      </c>
      <c r="S169" t="n">
        <v>1387</v>
      </c>
      <c r="T169" t="n">
        <v>157</v>
      </c>
    </row>
    <row r="170">
      <c r="O170" t="n">
        <v>169</v>
      </c>
      <c r="P170" t="inlineStr">
        <is>
          <t>27/03/2026</t>
        </is>
      </c>
      <c r="Q170" t="inlineStr">
        <is>
          <t>CN</t>
        </is>
      </c>
      <c r="R170" t="n">
        <v>978</v>
      </c>
      <c r="S170" t="n">
        <v>969</v>
      </c>
      <c r="T170" t="n">
        <v>205</v>
      </c>
    </row>
    <row r="171">
      <c r="O171" t="n">
        <v>170</v>
      </c>
      <c r="P171" t="inlineStr">
        <is>
          <t>27/03/2026</t>
        </is>
      </c>
      <c r="Q171" t="inlineStr">
        <is>
          <t>CD</t>
        </is>
      </c>
      <c r="R171" t="n">
        <v>653</v>
      </c>
      <c r="S171" t="n">
        <v>1496</v>
      </c>
      <c r="T171" t="n">
        <v>0</v>
      </c>
    </row>
    <row r="172">
      <c r="O172" t="n">
        <v>171</v>
      </c>
      <c r="P172" t="inlineStr">
        <is>
          <t>28/03/2026</t>
        </is>
      </c>
      <c r="Q172" t="inlineStr">
        <is>
          <t>CN</t>
        </is>
      </c>
      <c r="R172" t="n">
        <v>1033</v>
      </c>
      <c r="S172" t="n">
        <v>1120</v>
      </c>
      <c r="T172" t="n">
        <v>0</v>
      </c>
    </row>
    <row r="173">
      <c r="O173" t="n">
        <v>172</v>
      </c>
      <c r="P173" t="inlineStr">
        <is>
          <t>28/03/2026</t>
        </is>
      </c>
      <c r="Q173" t="inlineStr">
        <is>
          <t>CD</t>
        </is>
      </c>
      <c r="R173" t="n">
        <v>453</v>
      </c>
      <c r="S173" t="n">
        <v>1450</v>
      </c>
      <c r="T173" t="n">
        <v>247</v>
      </c>
    </row>
    <row r="174">
      <c r="O174" t="n">
        <v>173</v>
      </c>
      <c r="P174" t="inlineStr">
        <is>
          <t>29/03/2026</t>
        </is>
      </c>
      <c r="Q174" t="inlineStr">
        <is>
          <t>CN</t>
        </is>
      </c>
      <c r="R174" t="n">
        <v>857</v>
      </c>
      <c r="S174" t="n">
        <v>1047</v>
      </c>
      <c r="T174" t="n">
        <v>250</v>
      </c>
    </row>
    <row r="175">
      <c r="O175" t="n">
        <v>174</v>
      </c>
      <c r="P175" t="inlineStr">
        <is>
          <t>29/03/2026</t>
        </is>
      </c>
      <c r="Q175" t="inlineStr">
        <is>
          <t>CD</t>
        </is>
      </c>
      <c r="R175" t="n">
        <v>0</v>
      </c>
      <c r="S175" t="n">
        <v>0</v>
      </c>
      <c r="T175" t="n">
        <v>2160</v>
      </c>
    </row>
    <row r="176">
      <c r="O176" t="n">
        <v>175</v>
      </c>
      <c r="P176" t="inlineStr">
        <is>
          <t>30/03/2026</t>
        </is>
      </c>
      <c r="Q176" t="inlineStr">
        <is>
          <t>CN</t>
        </is>
      </c>
      <c r="R176" t="n">
        <v>421</v>
      </c>
      <c r="S176" t="n">
        <v>1111</v>
      </c>
      <c r="T176" t="n">
        <v>616</v>
      </c>
    </row>
    <row r="177">
      <c r="O177" t="n">
        <v>176</v>
      </c>
      <c r="P177" t="inlineStr">
        <is>
          <t>30/03/2026</t>
        </is>
      </c>
      <c r="Q177" t="inlineStr">
        <is>
          <t>CD</t>
        </is>
      </c>
      <c r="R177" t="n">
        <v>552</v>
      </c>
      <c r="S177" t="n">
        <v>1445</v>
      </c>
      <c r="T177" t="n">
        <v>154</v>
      </c>
    </row>
    <row r="178">
      <c r="O178" t="n">
        <v>177</v>
      </c>
      <c r="P178" t="inlineStr">
        <is>
          <t>31/03/2026</t>
        </is>
      </c>
      <c r="Q178" t="inlineStr">
        <is>
          <t>CN</t>
        </is>
      </c>
      <c r="R178" t="n">
        <v>906</v>
      </c>
      <c r="S178" t="n">
        <v>1033</v>
      </c>
      <c r="T178" t="n">
        <v>207</v>
      </c>
    </row>
    <row r="179">
      <c r="O179" t="n">
        <v>178</v>
      </c>
      <c r="P179" t="inlineStr">
        <is>
          <t>31/03/2026</t>
        </is>
      </c>
      <c r="Q179" t="inlineStr">
        <is>
          <t>CD</t>
        </is>
      </c>
      <c r="R179" t="n">
        <v>530</v>
      </c>
      <c r="S179" t="n">
        <v>1467</v>
      </c>
      <c r="T179" t="n">
        <v>156</v>
      </c>
    </row>
    <row r="180">
      <c r="O180" t="n">
        <v>179</v>
      </c>
      <c r="P180" t="inlineStr">
        <is>
          <t>01/04/2026</t>
        </is>
      </c>
      <c r="Q180" t="inlineStr">
        <is>
          <t>CN</t>
        </is>
      </c>
      <c r="R180" t="n">
        <v>796</v>
      </c>
      <c r="S180" t="n">
        <v>1147</v>
      </c>
      <c r="T180" t="n">
        <v>206</v>
      </c>
    </row>
    <row r="181">
      <c r="O181" t="n">
        <v>180</v>
      </c>
      <c r="P181" t="inlineStr">
        <is>
          <t>01/04/2026</t>
        </is>
      </c>
      <c r="Q181" t="inlineStr">
        <is>
          <t>CD</t>
        </is>
      </c>
      <c r="R181" t="n">
        <v>517</v>
      </c>
      <c r="S181" t="n">
        <v>1481</v>
      </c>
      <c r="T181" t="n">
        <v>156</v>
      </c>
    </row>
    <row r="182">
      <c r="O182" t="n">
        <v>181</v>
      </c>
      <c r="P182" t="inlineStr">
        <is>
          <t>02/04/2026</t>
        </is>
      </c>
      <c r="Q182" t="inlineStr">
        <is>
          <t>CN</t>
        </is>
      </c>
      <c r="R182" t="n">
        <v>964</v>
      </c>
      <c r="S182" t="n">
        <v>978</v>
      </c>
      <c r="T182" t="n">
        <v>207</v>
      </c>
    </row>
    <row r="183">
      <c r="O183" t="n">
        <v>182</v>
      </c>
      <c r="P183" t="inlineStr">
        <is>
          <t>02/04/2026</t>
        </is>
      </c>
      <c r="Q183" t="inlineStr">
        <is>
          <t>CD</t>
        </is>
      </c>
      <c r="R183" t="n">
        <v>716</v>
      </c>
      <c r="S183" t="n">
        <v>1280</v>
      </c>
      <c r="T183" t="n">
        <v>155</v>
      </c>
    </row>
    <row r="184">
      <c r="O184" t="n">
        <v>183</v>
      </c>
      <c r="P184" t="inlineStr">
        <is>
          <t>03/04/2026</t>
        </is>
      </c>
      <c r="Q184" t="inlineStr">
        <is>
          <t>CN</t>
        </is>
      </c>
      <c r="R184" t="n">
        <v>739</v>
      </c>
      <c r="S184" t="n">
        <v>1202</v>
      </c>
      <c r="T184" t="n">
        <v>207</v>
      </c>
    </row>
    <row r="185">
      <c r="O185" t="n">
        <v>184</v>
      </c>
      <c r="P185" t="inlineStr">
        <is>
          <t>03/04/2026</t>
        </is>
      </c>
      <c r="Q185" t="inlineStr">
        <is>
          <t>CD</t>
        </is>
      </c>
      <c r="R185" t="n">
        <v>650</v>
      </c>
      <c r="S185" t="n">
        <v>1341</v>
      </c>
      <c r="T185" t="n">
        <v>160</v>
      </c>
    </row>
    <row r="186">
      <c r="O186" t="n">
        <v>185</v>
      </c>
      <c r="P186" t="inlineStr">
        <is>
          <t>04/04/2026</t>
        </is>
      </c>
      <c r="Q186" t="inlineStr">
        <is>
          <t>CN</t>
        </is>
      </c>
      <c r="R186" t="n">
        <v>893</v>
      </c>
      <c r="S186" t="n">
        <v>756</v>
      </c>
      <c r="T186" t="n">
        <v>506</v>
      </c>
    </row>
    <row r="187">
      <c r="O187" t="n">
        <v>186</v>
      </c>
      <c r="P187" t="inlineStr">
        <is>
          <t>04/04/2026</t>
        </is>
      </c>
      <c r="Q187" t="inlineStr">
        <is>
          <t>CD</t>
        </is>
      </c>
      <c r="R187" t="n">
        <v>631</v>
      </c>
      <c r="S187" t="n">
        <v>1025</v>
      </c>
      <c r="T187" t="n">
        <v>498</v>
      </c>
    </row>
    <row r="188">
      <c r="O188" t="n">
        <v>187</v>
      </c>
      <c r="P188" t="inlineStr">
        <is>
          <t>05/04/2026</t>
        </is>
      </c>
      <c r="Q188" t="inlineStr">
        <is>
          <t>CN</t>
        </is>
      </c>
      <c r="R188" t="n">
        <v>604</v>
      </c>
      <c r="S188" t="n">
        <v>1062</v>
      </c>
      <c r="T188" t="n">
        <v>482</v>
      </c>
    </row>
    <row r="189">
      <c r="O189" t="n">
        <v>188</v>
      </c>
      <c r="P189" t="inlineStr">
        <is>
          <t>05/04/2026</t>
        </is>
      </c>
      <c r="Q189" t="inlineStr">
        <is>
          <t>CD</t>
        </is>
      </c>
      <c r="R189" t="n">
        <v>0</v>
      </c>
      <c r="S189" t="n">
        <v>0</v>
      </c>
      <c r="T189" t="n">
        <v>2160</v>
      </c>
    </row>
    <row r="190">
      <c r="O190" t="n">
        <v>189</v>
      </c>
      <c r="P190" t="inlineStr">
        <is>
          <t>06/04/2026</t>
        </is>
      </c>
      <c r="Q190" t="inlineStr">
        <is>
          <t>CN</t>
        </is>
      </c>
      <c r="R190" t="n">
        <v>503</v>
      </c>
      <c r="S190" t="n">
        <v>1044</v>
      </c>
      <c r="T190" t="n">
        <v>604</v>
      </c>
    </row>
    <row r="191">
      <c r="O191" t="n">
        <v>190</v>
      </c>
      <c r="P191" t="inlineStr">
        <is>
          <t>06/04/2026</t>
        </is>
      </c>
      <c r="Q191" t="inlineStr">
        <is>
          <t>CD</t>
        </is>
      </c>
      <c r="R191" t="n">
        <v>623</v>
      </c>
      <c r="S191" t="n">
        <v>1522</v>
      </c>
      <c r="T191" t="n">
        <v>0</v>
      </c>
    </row>
    <row r="192">
      <c r="O192" t="n">
        <v>191</v>
      </c>
      <c r="P192" t="inlineStr">
        <is>
          <t>07/04/2026</t>
        </is>
      </c>
      <c r="Q192" t="inlineStr">
        <is>
          <t>CN</t>
        </is>
      </c>
      <c r="R192" t="n">
        <v>1159</v>
      </c>
      <c r="S192" t="n">
        <v>993</v>
      </c>
      <c r="T192" t="n">
        <v>0</v>
      </c>
    </row>
    <row r="193">
      <c r="O193" t="n">
        <v>192</v>
      </c>
      <c r="P193" t="inlineStr">
        <is>
          <t>07/04/2026</t>
        </is>
      </c>
      <c r="Q193" t="inlineStr">
        <is>
          <t>CD</t>
        </is>
      </c>
      <c r="R193" t="n">
        <v>548</v>
      </c>
      <c r="S193" t="n">
        <v>1600</v>
      </c>
      <c r="T193" t="n">
        <v>0</v>
      </c>
    </row>
    <row r="194">
      <c r="O194" t="n">
        <v>193</v>
      </c>
      <c r="P194" t="inlineStr">
        <is>
          <t>08/04/2026</t>
        </is>
      </c>
      <c r="Q194" t="inlineStr">
        <is>
          <t>CN</t>
        </is>
      </c>
      <c r="R194" t="n">
        <v>1028</v>
      </c>
      <c r="S194" t="n">
        <v>1123</v>
      </c>
      <c r="T194" t="n">
        <v>0</v>
      </c>
    </row>
    <row r="195">
      <c r="O195" t="n">
        <v>194</v>
      </c>
      <c r="P195" t="inlineStr">
        <is>
          <t>08/04/2026</t>
        </is>
      </c>
      <c r="Q195" t="inlineStr">
        <is>
          <t>CD</t>
        </is>
      </c>
      <c r="R195" t="n">
        <v>592</v>
      </c>
      <c r="S195" t="n">
        <v>1549</v>
      </c>
      <c r="T195" t="n">
        <v>0</v>
      </c>
    </row>
    <row r="196">
      <c r="O196" t="n">
        <v>195</v>
      </c>
      <c r="P196" t="inlineStr">
        <is>
          <t>09/04/2026</t>
        </is>
      </c>
      <c r="Q196" t="inlineStr">
        <is>
          <t>CN</t>
        </is>
      </c>
      <c r="R196" t="n">
        <v>1078</v>
      </c>
      <c r="S196" t="n">
        <v>1055</v>
      </c>
      <c r="T196" t="n">
        <v>19</v>
      </c>
    </row>
    <row r="197">
      <c r="O197" t="n">
        <v>196</v>
      </c>
      <c r="P197" t="inlineStr">
        <is>
          <t>09/04/2026</t>
        </is>
      </c>
      <c r="Q197" t="inlineStr">
        <is>
          <t>CD</t>
        </is>
      </c>
      <c r="R197" t="n">
        <v>736</v>
      </c>
      <c r="S197" t="n">
        <v>1409</v>
      </c>
      <c r="T197" t="n">
        <v>0</v>
      </c>
    </row>
    <row r="198">
      <c r="O198" t="n">
        <v>197</v>
      </c>
      <c r="P198" t="inlineStr">
        <is>
          <t>10/04/2026</t>
        </is>
      </c>
      <c r="Q198" t="inlineStr">
        <is>
          <t>CN</t>
        </is>
      </c>
      <c r="R198" t="n">
        <v>1077</v>
      </c>
      <c r="S198" t="n">
        <v>1074</v>
      </c>
      <c r="T198" t="n">
        <v>0</v>
      </c>
    </row>
    <row r="199">
      <c r="O199" t="n">
        <v>198</v>
      </c>
      <c r="P199" t="inlineStr">
        <is>
          <t>10/04/2026</t>
        </is>
      </c>
      <c r="Q199" t="inlineStr">
        <is>
          <t>CD</t>
        </is>
      </c>
      <c r="R199" t="n">
        <v>892</v>
      </c>
      <c r="S199" t="n">
        <v>1253</v>
      </c>
      <c r="T199" t="n">
        <v>0</v>
      </c>
    </row>
    <row r="200">
      <c r="O200" t="n">
        <v>199</v>
      </c>
      <c r="P200" t="inlineStr">
        <is>
          <t>11/04/2026</t>
        </is>
      </c>
      <c r="Q200" t="inlineStr">
        <is>
          <t>CN</t>
        </is>
      </c>
      <c r="R200" t="n">
        <v>972</v>
      </c>
      <c r="S200" t="n">
        <v>643</v>
      </c>
      <c r="T200" t="n">
        <v>542</v>
      </c>
    </row>
    <row r="201">
      <c r="O201" t="n">
        <v>200</v>
      </c>
      <c r="P201" t="inlineStr">
        <is>
          <t>11/04/2026</t>
        </is>
      </c>
      <c r="Q201" t="inlineStr">
        <is>
          <t>CD</t>
        </is>
      </c>
      <c r="R201" t="n">
        <v>525</v>
      </c>
      <c r="S201" t="n">
        <v>1058</v>
      </c>
      <c r="T201" t="n">
        <v>569</v>
      </c>
    </row>
    <row r="202">
      <c r="O202" t="n">
        <v>201</v>
      </c>
      <c r="P202" t="inlineStr">
        <is>
          <t>12/04/2026</t>
        </is>
      </c>
      <c r="Q202" t="inlineStr">
        <is>
          <t>CN</t>
        </is>
      </c>
      <c r="R202" t="n">
        <v>724</v>
      </c>
      <c r="S202" t="n">
        <v>899</v>
      </c>
      <c r="T202" t="n">
        <v>527</v>
      </c>
    </row>
    <row r="203">
      <c r="O203" t="n">
        <v>202</v>
      </c>
      <c r="P203" t="inlineStr">
        <is>
          <t>12/04/2026</t>
        </is>
      </c>
      <c r="Q203" t="inlineStr">
        <is>
          <t>CD</t>
        </is>
      </c>
      <c r="R203" t="n">
        <v>0</v>
      </c>
      <c r="S203" t="n">
        <v>0</v>
      </c>
      <c r="T203" t="n">
        <v>2160</v>
      </c>
    </row>
    <row r="204">
      <c r="O204" t="n">
        <v>203</v>
      </c>
      <c r="P204" t="inlineStr">
        <is>
          <t>13/04/2026</t>
        </is>
      </c>
      <c r="Q204" t="inlineStr">
        <is>
          <t>CN</t>
        </is>
      </c>
      <c r="R204" t="n">
        <v>531</v>
      </c>
      <c r="S204" t="n">
        <v>1007</v>
      </c>
      <c r="T204" t="n">
        <v>606</v>
      </c>
    </row>
    <row r="205">
      <c r="O205" t="n">
        <v>204</v>
      </c>
      <c r="P205" t="inlineStr">
        <is>
          <t>13/04/2026</t>
        </is>
      </c>
      <c r="Q205" t="inlineStr">
        <is>
          <t>CD</t>
        </is>
      </c>
      <c r="R205" t="n">
        <v>549</v>
      </c>
      <c r="S205" t="n">
        <v>1290</v>
      </c>
      <c r="T205" t="n">
        <v>311</v>
      </c>
    </row>
    <row r="206">
      <c r="O206" t="n">
        <v>205</v>
      </c>
      <c r="P206" t="inlineStr">
        <is>
          <t>14/04/2026</t>
        </is>
      </c>
      <c r="Q206" t="inlineStr">
        <is>
          <t>CN</t>
        </is>
      </c>
      <c r="R206" t="n">
        <v>623</v>
      </c>
      <c r="S206" t="n">
        <v>1117</v>
      </c>
      <c r="T206" t="n">
        <v>409</v>
      </c>
    </row>
    <row r="207">
      <c r="O207" t="n">
        <v>206</v>
      </c>
      <c r="P207" t="inlineStr">
        <is>
          <t>14/04/2026</t>
        </is>
      </c>
      <c r="Q207" t="inlineStr">
        <is>
          <t>CD</t>
        </is>
      </c>
      <c r="R207" t="n">
        <v>699</v>
      </c>
      <c r="S207" t="n">
        <v>1296</v>
      </c>
      <c r="T207" t="n">
        <v>156</v>
      </c>
    </row>
    <row r="208">
      <c r="O208" t="n">
        <v>207</v>
      </c>
      <c r="P208" t="inlineStr">
        <is>
          <t>15/04/2026</t>
        </is>
      </c>
      <c r="Q208" t="inlineStr">
        <is>
          <t>CN</t>
        </is>
      </c>
      <c r="R208" t="n">
        <v>861</v>
      </c>
      <c r="S208" t="n">
        <v>1082</v>
      </c>
      <c r="T208" t="n">
        <v>205</v>
      </c>
    </row>
    <row r="209">
      <c r="O209" t="n">
        <v>208</v>
      </c>
      <c r="P209" t="inlineStr">
        <is>
          <t>15/04/2026</t>
        </is>
      </c>
      <c r="Q209" t="inlineStr">
        <is>
          <t>CD</t>
        </is>
      </c>
      <c r="R209" t="n">
        <v>657</v>
      </c>
      <c r="S209" t="n">
        <v>1336</v>
      </c>
      <c r="T209" t="n">
        <v>157</v>
      </c>
    </row>
    <row r="210">
      <c r="O210" t="n">
        <v>209</v>
      </c>
      <c r="P210" t="inlineStr">
        <is>
          <t>16/04/2026</t>
        </is>
      </c>
      <c r="Q210" t="inlineStr">
        <is>
          <t>CN</t>
        </is>
      </c>
      <c r="R210" t="n">
        <v>795</v>
      </c>
      <c r="S210" t="n">
        <v>1145</v>
      </c>
      <c r="T210" t="n">
        <v>205</v>
      </c>
    </row>
    <row r="211">
      <c r="O211" t="n">
        <v>210</v>
      </c>
      <c r="P211" t="inlineStr">
        <is>
          <t>16/04/2026</t>
        </is>
      </c>
      <c r="Q211" t="inlineStr">
        <is>
          <t>CD</t>
        </is>
      </c>
      <c r="R211" t="n">
        <v>669</v>
      </c>
      <c r="S211" t="n">
        <v>1481</v>
      </c>
      <c r="T211" t="n">
        <v>0</v>
      </c>
    </row>
    <row r="212">
      <c r="O212" t="n">
        <v>211</v>
      </c>
      <c r="P212" t="inlineStr">
        <is>
          <t>17/04/2026</t>
        </is>
      </c>
      <c r="Q212" t="inlineStr">
        <is>
          <t>CN</t>
        </is>
      </c>
      <c r="R212" t="n">
        <v>874</v>
      </c>
      <c r="S212" t="n">
        <v>1274</v>
      </c>
      <c r="T212" t="n">
        <v>0</v>
      </c>
    </row>
    <row r="213">
      <c r="O213" t="n">
        <v>212</v>
      </c>
      <c r="P213" t="inlineStr">
        <is>
          <t>17/04/2026</t>
        </is>
      </c>
      <c r="Q213" t="inlineStr">
        <is>
          <t>CD</t>
        </is>
      </c>
      <c r="R213" t="n">
        <v>499</v>
      </c>
      <c r="S213" t="n">
        <v>1496</v>
      </c>
      <c r="T213" t="n">
        <v>156</v>
      </c>
    </row>
    <row r="214">
      <c r="O214" t="n">
        <v>213</v>
      </c>
      <c r="P214" t="inlineStr">
        <is>
          <t>18/04/2026</t>
        </is>
      </c>
      <c r="Q214" t="inlineStr">
        <is>
          <t>CN</t>
        </is>
      </c>
      <c r="R214" t="n">
        <v>695</v>
      </c>
      <c r="S214" t="n">
        <v>1218</v>
      </c>
      <c r="T214" t="n">
        <v>234</v>
      </c>
    </row>
    <row r="215">
      <c r="O215" t="n">
        <v>214</v>
      </c>
      <c r="P215" t="inlineStr">
        <is>
          <t>18/04/2026</t>
        </is>
      </c>
      <c r="Q215" t="inlineStr">
        <is>
          <t>CD</t>
        </is>
      </c>
      <c r="R215" t="n">
        <v>612</v>
      </c>
      <c r="S215" t="n">
        <v>1293</v>
      </c>
      <c r="T215" t="n">
        <v>246</v>
      </c>
    </row>
    <row r="216">
      <c r="O216" t="n">
        <v>215</v>
      </c>
      <c r="P216" t="inlineStr">
        <is>
          <t>19/04/2026</t>
        </is>
      </c>
      <c r="Q216" t="inlineStr">
        <is>
          <t>CN</t>
        </is>
      </c>
      <c r="R216" t="n">
        <v>850</v>
      </c>
      <c r="S216" t="n">
        <v>1052</v>
      </c>
      <c r="T216" t="n">
        <v>248</v>
      </c>
    </row>
    <row r="217">
      <c r="O217" t="n">
        <v>216</v>
      </c>
      <c r="P217" t="inlineStr">
        <is>
          <t>19/04/2026</t>
        </is>
      </c>
      <c r="Q217" t="inlineStr">
        <is>
          <t>CD</t>
        </is>
      </c>
      <c r="R217" t="n">
        <v>0</v>
      </c>
      <c r="S217" t="n">
        <v>0</v>
      </c>
      <c r="T217" t="n">
        <v>2160</v>
      </c>
    </row>
    <row r="218">
      <c r="O218" t="n">
        <v>217</v>
      </c>
      <c r="P218" t="inlineStr">
        <is>
          <t>20/04/2026</t>
        </is>
      </c>
      <c r="Q218" t="inlineStr">
        <is>
          <t>CN</t>
        </is>
      </c>
      <c r="R218" t="n">
        <v>480</v>
      </c>
      <c r="S218" t="n">
        <v>1069</v>
      </c>
      <c r="T218" t="n">
        <v>604</v>
      </c>
    </row>
    <row r="219">
      <c r="O219" t="n">
        <v>218</v>
      </c>
      <c r="P219" t="inlineStr">
        <is>
          <t>20/04/2026</t>
        </is>
      </c>
      <c r="Q219" t="inlineStr">
        <is>
          <t>CD</t>
        </is>
      </c>
      <c r="R219" t="n">
        <v>696</v>
      </c>
      <c r="S219" t="n">
        <v>1448</v>
      </c>
      <c r="T219" t="n">
        <v>0</v>
      </c>
    </row>
    <row r="220">
      <c r="O220" t="n">
        <v>219</v>
      </c>
      <c r="P220" t="inlineStr">
        <is>
          <t>21/04/2026</t>
        </is>
      </c>
      <c r="Q220" t="inlineStr">
        <is>
          <t>CN</t>
        </is>
      </c>
      <c r="R220" t="n">
        <v>963</v>
      </c>
      <c r="S220" t="n">
        <v>1188</v>
      </c>
      <c r="T220" t="n">
        <v>0</v>
      </c>
    </row>
    <row r="221">
      <c r="O221" t="n">
        <v>220</v>
      </c>
      <c r="P221" t="inlineStr">
        <is>
          <t>21/04/2026</t>
        </is>
      </c>
      <c r="Q221" t="inlineStr">
        <is>
          <t>CD</t>
        </is>
      </c>
      <c r="R221" t="n">
        <v>719</v>
      </c>
      <c r="S221" t="n">
        <v>1422</v>
      </c>
      <c r="T221" t="n">
        <v>1</v>
      </c>
    </row>
    <row r="222">
      <c r="O222" t="n">
        <v>221</v>
      </c>
      <c r="P222" t="inlineStr">
        <is>
          <t>22/04/2026</t>
        </is>
      </c>
      <c r="Q222" t="inlineStr">
        <is>
          <t>CN</t>
        </is>
      </c>
      <c r="R222" t="n">
        <v>952</v>
      </c>
      <c r="S222" t="n">
        <v>1198</v>
      </c>
      <c r="T222" t="n">
        <v>0</v>
      </c>
    </row>
    <row r="223">
      <c r="O223" t="n">
        <v>222</v>
      </c>
      <c r="P223" t="inlineStr">
        <is>
          <t>22/04/2026</t>
        </is>
      </c>
      <c r="Q223" t="inlineStr">
        <is>
          <t>CD</t>
        </is>
      </c>
      <c r="R223" t="n">
        <v>636</v>
      </c>
      <c r="S223" t="n">
        <v>1227</v>
      </c>
      <c r="T223" t="n">
        <v>281</v>
      </c>
    </row>
    <row r="224">
      <c r="O224" t="n">
        <v>223</v>
      </c>
      <c r="P224" t="inlineStr">
        <is>
          <t>23/04/2026</t>
        </is>
      </c>
      <c r="Q224" t="inlineStr">
        <is>
          <t>CN</t>
        </is>
      </c>
      <c r="R224" t="n">
        <v>572</v>
      </c>
      <c r="S224" t="n">
        <v>1187</v>
      </c>
      <c r="T224" t="n">
        <v>394</v>
      </c>
    </row>
    <row r="225">
      <c r="O225" t="n">
        <v>224</v>
      </c>
      <c r="P225" t="inlineStr">
        <is>
          <t>23/04/2026</t>
        </is>
      </c>
      <c r="Q225" t="inlineStr">
        <is>
          <t>CD</t>
        </is>
      </c>
      <c r="R225" t="n">
        <v>769</v>
      </c>
      <c r="S225" t="n">
        <v>1373</v>
      </c>
      <c r="T225" t="n">
        <v>0</v>
      </c>
    </row>
    <row r="226">
      <c r="O226" t="n">
        <v>225</v>
      </c>
      <c r="P226" t="inlineStr">
        <is>
          <t>24/04/2026</t>
        </is>
      </c>
      <c r="Q226" t="inlineStr">
        <is>
          <t>CN</t>
        </is>
      </c>
      <c r="R226" t="n">
        <v>1081</v>
      </c>
      <c r="S226" t="n">
        <v>1071</v>
      </c>
      <c r="T226" t="n">
        <v>0</v>
      </c>
    </row>
    <row r="227">
      <c r="O227" t="n">
        <v>226</v>
      </c>
      <c r="P227" t="inlineStr">
        <is>
          <t>24/04/2026</t>
        </is>
      </c>
      <c r="Q227" t="inlineStr">
        <is>
          <t>CD</t>
        </is>
      </c>
      <c r="R227" t="n">
        <v>684</v>
      </c>
      <c r="S227" t="n">
        <v>1306</v>
      </c>
      <c r="T227" t="n">
        <v>156</v>
      </c>
    </row>
    <row r="228">
      <c r="O228" t="n">
        <v>227</v>
      </c>
      <c r="P228" t="inlineStr">
        <is>
          <t>25/04/2026</t>
        </is>
      </c>
      <c r="Q228" t="inlineStr">
        <is>
          <t>CN</t>
        </is>
      </c>
      <c r="R228" t="n">
        <v>806</v>
      </c>
      <c r="S228" t="n">
        <v>1114</v>
      </c>
      <c r="T228" t="n">
        <v>231</v>
      </c>
    </row>
    <row r="229">
      <c r="O229" t="n">
        <v>228</v>
      </c>
      <c r="P229" t="inlineStr">
        <is>
          <t>25/04/2026</t>
        </is>
      </c>
      <c r="Q229" t="inlineStr">
        <is>
          <t>CD</t>
        </is>
      </c>
      <c r="R229" t="n">
        <v>386</v>
      </c>
      <c r="S229" t="n">
        <v>1029</v>
      </c>
      <c r="T229" t="n">
        <v>735</v>
      </c>
    </row>
    <row r="230">
      <c r="O230" t="n">
        <v>229</v>
      </c>
      <c r="P230" t="inlineStr">
        <is>
          <t>26/04/2026</t>
        </is>
      </c>
      <c r="Q230" t="inlineStr">
        <is>
          <t>CN</t>
        </is>
      </c>
      <c r="R230" t="n">
        <v>0</v>
      </c>
      <c r="S230" t="n">
        <v>0</v>
      </c>
      <c r="T230" t="n">
        <v>2161</v>
      </c>
    </row>
    <row r="231">
      <c r="O231" t="n">
        <v>230</v>
      </c>
      <c r="P231" t="inlineStr">
        <is>
          <t>26/04/2026</t>
        </is>
      </c>
      <c r="Q231" t="inlineStr">
        <is>
          <t>CD</t>
        </is>
      </c>
      <c r="R231" t="n">
        <v>0</v>
      </c>
      <c r="S231" t="n">
        <v>0</v>
      </c>
      <c r="T231" t="n">
        <v>2160</v>
      </c>
    </row>
    <row r="232">
      <c r="O232" t="n">
        <v>231</v>
      </c>
      <c r="P232" t="inlineStr">
        <is>
          <t>27/04/2026</t>
        </is>
      </c>
      <c r="Q232" t="inlineStr">
        <is>
          <t>CN</t>
        </is>
      </c>
      <c r="R232" t="n">
        <v>496</v>
      </c>
      <c r="S232" t="n">
        <v>1044</v>
      </c>
      <c r="T232" t="n">
        <v>608</v>
      </c>
    </row>
    <row r="233">
      <c r="O233" t="n">
        <v>232</v>
      </c>
      <c r="P233" t="inlineStr">
        <is>
          <t>27/04/2026</t>
        </is>
      </c>
      <c r="Q233" t="inlineStr">
        <is>
          <t>CD</t>
        </is>
      </c>
      <c r="R233" t="n">
        <v>653</v>
      </c>
      <c r="S233" t="n">
        <v>1497</v>
      </c>
      <c r="T233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T233"/>
  <sheetViews>
    <sheetView topLeftCell="E1" zoomScale="115" zoomScaleNormal="115" workbookViewId="0">
      <selection activeCell="Q24" sqref="Q24"/>
    </sheetView>
  </sheetViews>
  <sheetFormatPr baseColWidth="8" defaultRowHeight="14.75"/>
  <cols>
    <col width="3" bestFit="1" customWidth="1" min="1" max="1"/>
    <col width="11.86328125" bestFit="1" customWidth="1" min="2" max="2"/>
    <col width="10.86328125" bestFit="1" customWidth="1" min="3" max="3"/>
    <col width="34.08984375" bestFit="1" customWidth="1" min="4" max="4"/>
    <col width="30.54296875" bestFit="1" customWidth="1" min="5" max="5"/>
    <col width="22.6796875" bestFit="1" customWidth="1" min="6" max="6"/>
    <col width="8.31640625" bestFit="1" customWidth="1" min="11" max="11"/>
    <col width="11.54296875" bestFit="1" customWidth="1" min="12" max="12"/>
    <col width="10" bestFit="1" customWidth="1" min="13" max="13"/>
  </cols>
  <sheetData>
    <row r="1" customFormat="1" s="2">
      <c r="A1" s="3" t="inlineStr">
        <is>
          <t>ID</t>
        </is>
      </c>
      <c r="B1" s="3" t="inlineStr">
        <is>
          <t>Ngày tháng</t>
        </is>
      </c>
      <c r="C1" s="3" t="inlineStr">
        <is>
          <t>Ca làm việc</t>
        </is>
      </c>
      <c r="D1" s="3" t="inlineStr">
        <is>
          <t>Thời gian hoạt động không tải (phút)</t>
        </is>
      </c>
      <c r="E1" s="3" t="inlineStr">
        <is>
          <t>Thời gian hoạt động có tải (phút)</t>
        </is>
      </c>
      <c r="F1" s="3" t="inlineStr">
        <is>
          <t>Thời gian tắt máy (phút)</t>
        </is>
      </c>
      <c r="H1" s="3" t="inlineStr">
        <is>
          <t>Ngày - Ca</t>
        </is>
      </c>
      <c r="I1" s="3" t="inlineStr">
        <is>
          <t>Mục Tiêu C1</t>
        </is>
      </c>
      <c r="J1" s="3" t="inlineStr">
        <is>
          <t>Mục Tiêu C2</t>
        </is>
      </c>
      <c r="K1" s="3" t="inlineStr">
        <is>
          <t>% Có Tải</t>
        </is>
      </c>
      <c r="L1" s="3" t="inlineStr">
        <is>
          <t>% Không Tải</t>
        </is>
      </c>
      <c r="M1" s="3" t="inlineStr">
        <is>
          <t>% Tắt Máy</t>
        </is>
      </c>
    </row>
    <row r="2">
      <c r="A2" t="n">
        <v>1</v>
      </c>
      <c r="B2" t="inlineStr">
        <is>
          <t>01/04/2026</t>
        </is>
      </c>
      <c r="C2" t="inlineStr">
        <is>
          <t>CN</t>
        </is>
      </c>
      <c r="D2" t="n">
        <v>465</v>
      </c>
      <c r="E2" t="n">
        <v>694</v>
      </c>
      <c r="F2" t="n">
        <v>997</v>
      </c>
      <c r="H2" t="inlineStr">
        <is>
          <t>T1</t>
        </is>
      </c>
      <c r="I2" s="1" t="n">
        <v>0.3</v>
      </c>
      <c r="J2" s="1" t="n">
        <v>0.4235294117647059</v>
      </c>
      <c r="K2" s="1">
        <f>IFERROR(SUMIFS(S:S,P:P,"*/01/2026")/(SUMIFS(R:R,P:P,"*/01/2026")+SUMIFS(S:S,P:P,"*/01/2026")+SUMIFS(T:T,P:P,"*/01/2026")),"")</f>
        <v/>
      </c>
      <c r="L2" s="1">
        <f>IFERROR(SUMIFS(R:R,P:P,"*/01/2026")/(SUMIFS(R:R,P:P,"*/01/2026")+SUMIFS(S:S,P:P,"*/01/2026")+SUMIFS(T:T,P:P,"*/01/2026")),"")</f>
        <v/>
      </c>
      <c r="M2" s="1">
        <f>IFERROR(SUMIFS(T:T,P:P,"*/01/2026")/(SUMIFS(R:R,P:P,"*/01/2026")+SUMIFS(S:S,P:P,"*/01/2026")+SUMIFS(T:T,P:P,"*/01/2026")),"")</f>
        <v/>
      </c>
      <c r="O2" t="n">
        <v>1</v>
      </c>
      <c r="P2" t="inlineStr">
        <is>
          <t>01/01/2026</t>
        </is>
      </c>
      <c r="Q2" t="inlineStr">
        <is>
          <t>CN</t>
        </is>
      </c>
      <c r="R2" t="n">
        <v>0</v>
      </c>
      <c r="S2" t="n">
        <v>0</v>
      </c>
      <c r="T2" t="n">
        <v>2160</v>
      </c>
    </row>
    <row r="3">
      <c r="A3" t="n">
        <v>2</v>
      </c>
      <c r="B3" t="inlineStr">
        <is>
          <t>01/04/2026</t>
        </is>
      </c>
      <c r="C3" t="inlineStr">
        <is>
          <t>CD</t>
        </is>
      </c>
      <c r="D3" t="n">
        <v>723</v>
      </c>
      <c r="E3" t="n">
        <v>934</v>
      </c>
      <c r="F3" t="n">
        <v>496</v>
      </c>
      <c r="H3" t="inlineStr">
        <is>
          <t>T2</t>
        </is>
      </c>
      <c r="I3" s="1" t="n">
        <v>0.3</v>
      </c>
      <c r="J3" s="1" t="n">
        <v>0.4235294117647059</v>
      </c>
      <c r="K3" s="1">
        <f>IFERROR(SUMIFS(S:S,P:P,"*/02/2026")/(SUMIFS(R:R,P:P,"*/02/2026")+SUMIFS(S:S,P:P,"*/02/2026")+SUMIFS(T:T,P:P,"*/02/2026")),"")</f>
        <v/>
      </c>
      <c r="L3" s="1">
        <f>IFERROR(SUMIFS(R:R,P:P,"*/02/2026")/(SUMIFS(R:R,P:P,"*/02/2026")+SUMIFS(S:S,P:P,"*/02/2026")+SUMIFS(T:T,P:P,"*/02/2026")),"")</f>
        <v/>
      </c>
      <c r="M3" s="1">
        <f>IFERROR(SUMIFS(T:T,P:P,"*/02/2026")/(SUMIFS(R:R,P:P,"*/02/2026")+SUMIFS(S:S,P:P,"*/02/2026")+SUMIFS(T:T,P:P,"*/02/2026")),"")</f>
        <v/>
      </c>
      <c r="O3" t="n">
        <v>2</v>
      </c>
      <c r="P3" t="inlineStr">
        <is>
          <t>01/01/2026</t>
        </is>
      </c>
      <c r="Q3" t="inlineStr">
        <is>
          <t>CD</t>
        </is>
      </c>
      <c r="R3" t="n">
        <v>82</v>
      </c>
      <c r="S3" t="n">
        <v>114</v>
      </c>
      <c r="T3" t="n">
        <v>1961</v>
      </c>
    </row>
    <row r="4">
      <c r="A4" t="n">
        <v>3</v>
      </c>
      <c r="B4" t="inlineStr">
        <is>
          <t>02/04/2026</t>
        </is>
      </c>
      <c r="C4" t="inlineStr">
        <is>
          <t>CN</t>
        </is>
      </c>
      <c r="D4" t="n">
        <v>384</v>
      </c>
      <c r="E4" t="n">
        <v>641</v>
      </c>
      <c r="F4" t="n">
        <v>1132</v>
      </c>
      <c r="H4" t="inlineStr">
        <is>
          <t>T3</t>
        </is>
      </c>
      <c r="I4" s="1" t="n">
        <v>0.3</v>
      </c>
      <c r="J4" s="1" t="n">
        <v>0.4235294117647059</v>
      </c>
      <c r="K4" s="1">
        <f>IFERROR(SUMIFS(S:S,P:P,"*/03/2026")/(SUMIFS(R:R,P:P,"*/03/2026")+SUMIFS(S:S,P:P,"*/03/2026")+SUMIFS(T:T,P:P,"*/03/2026")),"")</f>
        <v/>
      </c>
      <c r="L4" s="1">
        <f>IFERROR(SUMIFS(R:R,P:P,"*/03/2026")/(SUMIFS(R:R,P:P,"*/03/2026")+SUMIFS(S:S,P:P,"*/03/2026")+SUMIFS(T:T,P:P,"*/03/2026")),"")</f>
        <v/>
      </c>
      <c r="M4" s="1">
        <f>IFERROR(SUMIFS(T:T,P:P,"*/03/2026")/(SUMIFS(R:R,P:P,"*/03/2026")+SUMIFS(S:S,P:P,"*/03/2026")+SUMIFS(T:T,P:P,"*/03/2026")),"")</f>
        <v/>
      </c>
      <c r="O4" t="n">
        <v>3</v>
      </c>
      <c r="P4" t="inlineStr">
        <is>
          <t>02/01/2026</t>
        </is>
      </c>
      <c r="Q4" t="inlineStr">
        <is>
          <t>CN</t>
        </is>
      </c>
      <c r="R4" t="n">
        <v>890</v>
      </c>
      <c r="S4" t="n">
        <v>950</v>
      </c>
      <c r="T4" t="n">
        <v>313</v>
      </c>
    </row>
    <row r="5">
      <c r="A5" t="n">
        <v>4</v>
      </c>
      <c r="B5" t="inlineStr">
        <is>
          <t>02/04/2026</t>
        </is>
      </c>
      <c r="C5" t="inlineStr">
        <is>
          <t>CD</t>
        </is>
      </c>
      <c r="D5" t="n">
        <v>666</v>
      </c>
      <c r="E5" t="n">
        <v>921</v>
      </c>
      <c r="F5" t="n">
        <v>566</v>
      </c>
      <c r="H5" t="inlineStr">
        <is>
          <t>T4</t>
        </is>
      </c>
      <c r="I5" s="1" t="n">
        <v>0.3</v>
      </c>
      <c r="J5" s="1" t="n">
        <v>0.4235294117647059</v>
      </c>
      <c r="K5" s="1">
        <f>IFERROR(SUMIFS(S:S,P:P,"*/04/2026")/(SUMIFS(R:R,P:P,"*/04/2026")+SUMIFS(S:S,P:P,"*/04/2026")+SUMIFS(T:T,P:P,"*/04/2026")),"")</f>
        <v/>
      </c>
      <c r="L5" s="1">
        <f>IFERROR(SUMIFS(R:R,P:P,"*/04/2026")/(SUMIFS(R:R,P:P,"*/04/2026")+SUMIFS(S:S,P:P,"*/04/2026")+SUMIFS(T:T,P:P,"*/04/2026")),"")</f>
        <v/>
      </c>
      <c r="M5" s="1">
        <f>IFERROR(SUMIFS(T:T,P:P,"*/04/2026")/(SUMIFS(R:R,P:P,"*/04/2026")+SUMIFS(S:S,P:P,"*/04/2026")+SUMIFS(T:T,P:P,"*/04/2026")),"")</f>
        <v/>
      </c>
      <c r="O5" t="n">
        <v>4</v>
      </c>
      <c r="P5" t="inlineStr">
        <is>
          <t>02/01/2026</t>
        </is>
      </c>
      <c r="Q5" t="inlineStr">
        <is>
          <t>CD</t>
        </is>
      </c>
      <c r="R5" t="n">
        <v>303</v>
      </c>
      <c r="S5" t="n">
        <v>485</v>
      </c>
      <c r="T5" t="n">
        <v>1369</v>
      </c>
    </row>
    <row r="6">
      <c r="A6" t="n">
        <v>5</v>
      </c>
      <c r="B6" t="inlineStr">
        <is>
          <t>03/04/2026</t>
        </is>
      </c>
      <c r="C6" t="inlineStr">
        <is>
          <t>CN</t>
        </is>
      </c>
      <c r="D6" t="n">
        <v>427</v>
      </c>
      <c r="E6" t="n">
        <v>594</v>
      </c>
      <c r="F6" t="n">
        <v>1137</v>
      </c>
      <c r="H6" t="inlineStr">
        <is>
          <t>T5</t>
        </is>
      </c>
      <c r="I6" s="1" t="n">
        <v>0.3</v>
      </c>
      <c r="J6" s="1" t="n">
        <v>0.4235294117647059</v>
      </c>
      <c r="K6" s="1">
        <f>IFERROR(SUMIFS(S:S,P:P,"*/05/2026")/(SUMIFS(R:R,P:P,"*/05/2026")+SUMIFS(S:S,P:P,"*/05/2026")+SUMIFS(T:T,P:P,"*/05/2026")),"")</f>
        <v/>
      </c>
      <c r="L6" s="1">
        <f>IFERROR(SUMIFS(R:R,P:P,"*/05/2026")/(SUMIFS(R:R,P:P,"*/05/2026")+SUMIFS(S:S,P:P,"*/05/2026")+SUMIFS(T:T,P:P,"*/05/2026")),"")</f>
        <v/>
      </c>
      <c r="M6" s="1">
        <f>IFERROR(SUMIFS(T:T,P:P,"*/05/2026")/(SUMIFS(R:R,P:P,"*/05/2026")+SUMIFS(S:S,P:P,"*/05/2026")+SUMIFS(T:T,P:P,"*/05/2026")),"")</f>
        <v/>
      </c>
      <c r="O6" t="n">
        <v>5</v>
      </c>
      <c r="P6" t="inlineStr">
        <is>
          <t>03/01/2026</t>
        </is>
      </c>
      <c r="Q6" t="inlineStr">
        <is>
          <t>CD</t>
        </is>
      </c>
      <c r="R6" t="n">
        <v>1709</v>
      </c>
      <c r="S6" t="n">
        <v>1241</v>
      </c>
      <c r="T6" t="n">
        <v>552</v>
      </c>
    </row>
    <row r="7">
      <c r="A7" t="n">
        <v>6</v>
      </c>
      <c r="B7" t="inlineStr">
        <is>
          <t>03/04/2026</t>
        </is>
      </c>
      <c r="C7" t="inlineStr">
        <is>
          <t>CD</t>
        </is>
      </c>
      <c r="D7" t="n">
        <v>596</v>
      </c>
      <c r="E7" t="n">
        <v>992</v>
      </c>
      <c r="F7" t="n">
        <v>568</v>
      </c>
      <c r="H7" t="inlineStr">
        <is>
          <t>T6</t>
        </is>
      </c>
      <c r="I7" s="1" t="n">
        <v>0.3</v>
      </c>
      <c r="J7" s="1" t="n">
        <v>0.4235294117647059</v>
      </c>
      <c r="K7" s="1">
        <f>IFERROR(SUMIFS(S:S,P:P,"*/06/2026")/(SUMIFS(R:R,P:P,"*/06/2026")+SUMIFS(S:S,P:P,"*/06/2026")+SUMIFS(T:T,P:P,"*/06/2026")),"")</f>
        <v/>
      </c>
      <c r="L7" s="1">
        <f>IFERROR(SUMIFS(R:R,P:P,"*/06/2026")/(SUMIFS(R:R,P:P,"*/06/2026")+SUMIFS(S:S,P:P,"*/06/2026")+SUMIFS(T:T,P:P,"*/06/2026")),"")</f>
        <v/>
      </c>
      <c r="M7" s="1">
        <f>IFERROR(SUMIFS(T:T,P:P,"*/06/2026")/(SUMIFS(R:R,P:P,"*/06/2026")+SUMIFS(S:S,P:P,"*/06/2026")+SUMIFS(T:T,P:P,"*/06/2026")),"")</f>
        <v/>
      </c>
      <c r="O7" t="n">
        <v>6</v>
      </c>
      <c r="P7" t="inlineStr">
        <is>
          <t>04/01/2026</t>
        </is>
      </c>
      <c r="Q7" t="inlineStr">
        <is>
          <t>CN</t>
        </is>
      </c>
      <c r="R7" t="n">
        <v>0</v>
      </c>
      <c r="S7" t="n">
        <v>0</v>
      </c>
      <c r="T7" t="n">
        <v>2160</v>
      </c>
    </row>
    <row r="8">
      <c r="A8" t="n">
        <v>7</v>
      </c>
      <c r="B8" t="inlineStr">
        <is>
          <t>04/04/2026</t>
        </is>
      </c>
      <c r="C8" t="inlineStr">
        <is>
          <t>CN</t>
        </is>
      </c>
      <c r="D8" t="n">
        <v>782</v>
      </c>
      <c r="E8" t="n">
        <v>602</v>
      </c>
      <c r="F8" t="n">
        <v>773</v>
      </c>
      <c r="H8" t="inlineStr">
        <is>
          <t>T7</t>
        </is>
      </c>
      <c r="I8" s="1" t="n">
        <v>0.3</v>
      </c>
      <c r="J8" s="1" t="n">
        <v>0.4235294117647059</v>
      </c>
      <c r="K8" s="1">
        <f>IFERROR(SUMIFS(S:S,P:P,"*/07/2026")/(SUMIFS(R:R,P:P,"*/07/2026")+SUMIFS(S:S,P:P,"*/07/2026")+SUMIFS(T:T,P:P,"*/07/2026")),"")</f>
        <v/>
      </c>
      <c r="L8" s="1">
        <f>IFERROR(SUMIFS(R:R,P:P,"*/07/2026")/(SUMIFS(R:R,P:P,"*/07/2026")+SUMIFS(S:S,P:P,"*/07/2026")+SUMIFS(T:T,P:P,"*/07/2026")),"")</f>
        <v/>
      </c>
      <c r="M8" s="1">
        <f>IFERROR(SUMIFS(T:T,P:P,"*/07/2026")/(SUMIFS(R:R,P:P,"*/07/2026")+SUMIFS(S:S,P:P,"*/07/2026")+SUMIFS(T:T,P:P,"*/07/2026")),"")</f>
        <v/>
      </c>
      <c r="O8" t="n">
        <v>7</v>
      </c>
      <c r="P8" t="inlineStr">
        <is>
          <t>04/01/2026</t>
        </is>
      </c>
      <c r="Q8" t="inlineStr">
        <is>
          <t>CD</t>
        </is>
      </c>
      <c r="R8" t="n">
        <v>0</v>
      </c>
      <c r="S8" t="n">
        <v>0</v>
      </c>
      <c r="T8" t="n">
        <v>2160</v>
      </c>
    </row>
    <row r="9">
      <c r="A9" t="n">
        <v>8</v>
      </c>
      <c r="B9" t="inlineStr">
        <is>
          <t>04/04/2026</t>
        </is>
      </c>
      <c r="C9" t="inlineStr">
        <is>
          <t>CD</t>
        </is>
      </c>
      <c r="D9" t="n">
        <v>775</v>
      </c>
      <c r="E9" t="n">
        <v>619</v>
      </c>
      <c r="F9" t="n">
        <v>762</v>
      </c>
      <c r="H9" t="inlineStr">
        <is>
          <t>T8</t>
        </is>
      </c>
      <c r="I9" s="1" t="n">
        <v>0.3</v>
      </c>
      <c r="J9" s="1" t="n">
        <v>0.4235294117647059</v>
      </c>
      <c r="K9" s="1">
        <f>IFERROR(SUMIFS(S:S,P:P,"*/08/2026")/(SUMIFS(R:R,P:P,"*/08/2026")+SUMIFS(S:S,P:P,"*/08/2026")+SUMIFS(T:T,P:P,"*/08/2026")),"")</f>
        <v/>
      </c>
      <c r="L9" s="1">
        <f>IFERROR(SUMIFS(R:R,P:P,"*/08/2026")/(SUMIFS(R:R,P:P,"*/08/2026")+SUMIFS(S:S,P:P,"*/08/2026")+SUMIFS(T:T,P:P,"*/08/2026")),"")</f>
        <v/>
      </c>
      <c r="M9" s="1">
        <f>IFERROR(SUMIFS(T:T,P:P,"*/08/2026")/(SUMIFS(R:R,P:P,"*/08/2026")+SUMIFS(S:S,P:P,"*/08/2026")+SUMIFS(T:T,P:P,"*/08/2026")),"")</f>
        <v/>
      </c>
      <c r="O9" t="n">
        <v>8</v>
      </c>
      <c r="P9" t="inlineStr">
        <is>
          <t>05/01/2026</t>
        </is>
      </c>
      <c r="Q9" t="inlineStr">
        <is>
          <t>CN</t>
        </is>
      </c>
      <c r="R9" t="n">
        <v>400</v>
      </c>
      <c r="S9" t="n">
        <v>633</v>
      </c>
      <c r="T9" t="n">
        <v>1123</v>
      </c>
    </row>
    <row r="10">
      <c r="A10" t="n">
        <v>9</v>
      </c>
      <c r="B10" t="inlineStr">
        <is>
          <t>05/04/2026</t>
        </is>
      </c>
      <c r="C10" t="inlineStr">
        <is>
          <t>CN</t>
        </is>
      </c>
      <c r="D10" t="n">
        <v>0</v>
      </c>
      <c r="E10" t="n">
        <v>0</v>
      </c>
      <c r="F10" t="n">
        <v>2160</v>
      </c>
      <c r="H10" t="inlineStr">
        <is>
          <t>T9</t>
        </is>
      </c>
      <c r="I10" s="1" t="n">
        <v>0.3</v>
      </c>
      <c r="J10" s="1" t="n">
        <v>0.4235294117647059</v>
      </c>
      <c r="K10" s="1">
        <f>IFERROR(SUMIFS(S:S,P:P,"*/09/2026")/(SUMIFS(R:R,P:P,"*/09/2026")+SUMIFS(S:S,P:P,"*/09/2026")+SUMIFS(T:T,P:P,"*/09/2026")),"")</f>
        <v/>
      </c>
      <c r="L10" s="1">
        <f>IFERROR(SUMIFS(R:R,P:P,"*/09/2026")/(SUMIFS(R:R,P:P,"*/09/2026")+SUMIFS(S:S,P:P,"*/09/2026")+SUMIFS(T:T,P:P,"*/09/2026")),"")</f>
        <v/>
      </c>
      <c r="M10" s="1">
        <f>IFERROR(SUMIFS(T:T,P:P,"*/09/2026")/(SUMIFS(R:R,P:P,"*/09/2026")+SUMIFS(S:S,P:P,"*/09/2026")+SUMIFS(T:T,P:P,"*/09/2026")),"")</f>
        <v/>
      </c>
      <c r="O10" t="n">
        <v>9</v>
      </c>
      <c r="P10" t="inlineStr">
        <is>
          <t>05/01/2026</t>
        </is>
      </c>
      <c r="Q10" t="inlineStr">
        <is>
          <t>CD</t>
        </is>
      </c>
      <c r="R10" t="n">
        <v>957</v>
      </c>
      <c r="S10" t="n">
        <v>692</v>
      </c>
      <c r="T10" t="n">
        <v>480</v>
      </c>
    </row>
    <row r="11">
      <c r="A11" t="n">
        <v>10</v>
      </c>
      <c r="B11" t="inlineStr">
        <is>
          <t>05/04/2026</t>
        </is>
      </c>
      <c r="C11" t="inlineStr">
        <is>
          <t>CD</t>
        </is>
      </c>
      <c r="D11" t="n">
        <v>0</v>
      </c>
      <c r="E11" t="n">
        <v>0</v>
      </c>
      <c r="F11" t="n">
        <v>2160</v>
      </c>
      <c r="H11" t="inlineStr">
        <is>
          <t>T10</t>
        </is>
      </c>
      <c r="I11" s="1" t="n">
        <v>0.3</v>
      </c>
      <c r="J11" s="1" t="n">
        <v>0.4235294117647059</v>
      </c>
      <c r="K11" s="1">
        <f>IFERROR(SUMIFS(S:S,P:P,"*/10/2026")/(SUMIFS(R:R,P:P,"*/10/2026")+SUMIFS(S:S,P:P,"*/10/2026")+SUMIFS(T:T,P:P,"*/10/2026")),"")</f>
        <v/>
      </c>
      <c r="L11" s="1">
        <f>IFERROR(SUMIFS(R:R,P:P,"*/10/2026")/(SUMIFS(R:R,P:P,"*/10/2026")+SUMIFS(S:S,P:P,"*/10/2026")+SUMIFS(T:T,P:P,"*/10/2026")),"")</f>
        <v/>
      </c>
      <c r="M11" s="1">
        <f>IFERROR(SUMIFS(T:T,P:P,"*/10/2026")/(SUMIFS(R:R,P:P,"*/10/2026")+SUMIFS(S:S,P:P,"*/10/2026")+SUMIFS(T:T,P:P,"*/10/2026")),"")</f>
        <v/>
      </c>
      <c r="O11" t="n">
        <v>10</v>
      </c>
      <c r="P11" t="inlineStr">
        <is>
          <t>06/01/2026</t>
        </is>
      </c>
      <c r="Q11" t="inlineStr">
        <is>
          <t>CN</t>
        </is>
      </c>
      <c r="R11" t="n">
        <v>373</v>
      </c>
      <c r="S11" t="n">
        <v>644</v>
      </c>
      <c r="T11" t="n">
        <v>1140</v>
      </c>
    </row>
    <row r="12">
      <c r="A12" t="n">
        <v>11</v>
      </c>
      <c r="B12" t="inlineStr">
        <is>
          <t>06/04/2026</t>
        </is>
      </c>
      <c r="C12" t="inlineStr">
        <is>
          <t>CN</t>
        </is>
      </c>
      <c r="D12" t="n">
        <v>733</v>
      </c>
      <c r="E12" t="n">
        <v>791</v>
      </c>
      <c r="F12" t="n">
        <v>630</v>
      </c>
      <c r="H12" t="inlineStr">
        <is>
          <t>T11</t>
        </is>
      </c>
      <c r="I12" s="1" t="n">
        <v>0.3</v>
      </c>
      <c r="J12" s="1" t="n">
        <v>0.4235294117647059</v>
      </c>
      <c r="K12" s="1">
        <f>IFERROR(SUMIFS(S:S,P:P,"*/11/2026")/(SUMIFS(R:R,P:P,"*/11/2026")+SUMIFS(S:S,P:P,"*/11/2026")+SUMIFS(T:T,P:P,"*/11/2026")),"")</f>
        <v/>
      </c>
      <c r="L12" s="1">
        <f>IFERROR(SUMIFS(R:R,P:P,"*/11/2026")/(SUMIFS(R:R,P:P,"*/11/2026")+SUMIFS(S:S,P:P,"*/11/2026")+SUMIFS(T:T,P:P,"*/11/2026")),"")</f>
        <v/>
      </c>
      <c r="M12" s="1">
        <f>IFERROR(SUMIFS(T:T,P:P,"*/11/2026")/(SUMIFS(R:R,P:P,"*/11/2026")+SUMIFS(S:S,P:P,"*/11/2026")+SUMIFS(T:T,P:P,"*/11/2026")),"")</f>
        <v/>
      </c>
      <c r="O12" t="n">
        <v>11</v>
      </c>
      <c r="P12" t="inlineStr">
        <is>
          <t>06/01/2026</t>
        </is>
      </c>
      <c r="Q12" t="inlineStr">
        <is>
          <t>CD</t>
        </is>
      </c>
      <c r="R12" t="n">
        <v>863</v>
      </c>
      <c r="S12" t="n">
        <v>799</v>
      </c>
      <c r="T12" t="n">
        <v>492</v>
      </c>
    </row>
    <row r="13">
      <c r="A13" t="n">
        <v>12</v>
      </c>
      <c r="B13" t="inlineStr">
        <is>
          <t>06/04/2026</t>
        </is>
      </c>
      <c r="C13" t="inlineStr">
        <is>
          <t>CD</t>
        </is>
      </c>
      <c r="D13" t="n">
        <v>381</v>
      </c>
      <c r="E13" t="n">
        <v>678</v>
      </c>
      <c r="F13" t="n">
        <v>1097</v>
      </c>
      <c r="H13" t="inlineStr">
        <is>
          <t>T12</t>
        </is>
      </c>
      <c r="I13" s="1" t="n">
        <v>0.3</v>
      </c>
      <c r="J13" s="1" t="n">
        <v>0.4235294117647059</v>
      </c>
      <c r="K13" s="1">
        <f>IFERROR(SUMIFS(S:S,P:P,"*/12/2026")/(SUMIFS(R:R,P:P,"*/12/2026")+SUMIFS(S:S,P:P,"*/12/2026")+SUMIFS(T:T,P:P,"*/12/2026")),"")</f>
        <v/>
      </c>
      <c r="L13" s="1">
        <f>IFERROR(SUMIFS(R:R,P:P,"*/12/2026")/(SUMIFS(R:R,P:P,"*/12/2026")+SUMIFS(S:S,P:P,"*/12/2026")+SUMIFS(T:T,P:P,"*/12/2026")),"")</f>
        <v/>
      </c>
      <c r="M13" s="1">
        <f>IFERROR(SUMIFS(T:T,P:P,"*/12/2026")/(SUMIFS(R:R,P:P,"*/12/2026")+SUMIFS(S:S,P:P,"*/12/2026")+SUMIFS(T:T,P:P,"*/12/2026")),"")</f>
        <v/>
      </c>
      <c r="O13" t="n">
        <v>12</v>
      </c>
      <c r="P13" t="inlineStr">
        <is>
          <t>07/01/2026</t>
        </is>
      </c>
      <c r="Q13" t="inlineStr">
        <is>
          <t>CN</t>
        </is>
      </c>
      <c r="R13" t="n">
        <v>169</v>
      </c>
      <c r="S13" t="n">
        <v>199</v>
      </c>
      <c r="T13" t="n">
        <v>1789</v>
      </c>
    </row>
    <row r="14">
      <c r="A14" t="n">
        <v>13</v>
      </c>
      <c r="B14" t="inlineStr">
        <is>
          <t>07/04/2026</t>
        </is>
      </c>
      <c r="C14" t="inlineStr">
        <is>
          <t>CN</t>
        </is>
      </c>
      <c r="D14" t="n">
        <v>799</v>
      </c>
      <c r="E14" t="n">
        <v>725</v>
      </c>
      <c r="F14" t="n">
        <v>630</v>
      </c>
      <c r="H14">
        <f>IF(B2="","",TEXT(B2,"dd/mm")&amp; "-" &amp;IF(UPPER(TRIM(C2))="CN",1,IF(UPPER(TRIM(C2))="CD",2,"")))</f>
        <v/>
      </c>
      <c r="I14" s="1" t="n">
        <v>0.3</v>
      </c>
      <c r="J14" s="1" t="n">
        <v>0.4235294117647059</v>
      </c>
      <c r="K14" s="1">
        <f>IFERROR($E2/SUM($D2:$F2),"")</f>
        <v/>
      </c>
      <c r="L14" s="1">
        <f>IFERROR($D2/SUM($D2:$F2),"")</f>
        <v/>
      </c>
      <c r="M14" s="1">
        <f>IFERROR($F2/SUM($D2:$F2),"")</f>
        <v/>
      </c>
      <c r="O14" t="n">
        <v>13</v>
      </c>
      <c r="P14" t="inlineStr">
        <is>
          <t>07/01/2026</t>
        </is>
      </c>
      <c r="Q14" t="inlineStr">
        <is>
          <t>CD</t>
        </is>
      </c>
      <c r="R14" t="n">
        <v>0</v>
      </c>
      <c r="S14" t="n">
        <v>0</v>
      </c>
      <c r="T14" t="n">
        <v>2160</v>
      </c>
    </row>
    <row r="15">
      <c r="A15" t="n">
        <v>14</v>
      </c>
      <c r="B15" t="inlineStr">
        <is>
          <t>07/04/2026</t>
        </is>
      </c>
      <c r="C15" t="inlineStr">
        <is>
          <t>CD</t>
        </is>
      </c>
      <c r="D15" t="n">
        <v>595</v>
      </c>
      <c r="E15" t="n">
        <v>665</v>
      </c>
      <c r="F15" t="n">
        <v>898</v>
      </c>
      <c r="H15">
        <f>IF(B3="","",TEXT(B3,"dd/mm") &amp; "-" &amp; IF(UPPER(TRIM(C3))="CN",1,IF(UPPER(TRIM(C3))="CD",2,"")))</f>
        <v/>
      </c>
      <c r="I15" s="1" t="n">
        <v>0.3</v>
      </c>
      <c r="J15" s="1" t="n">
        <v>0.4235294117647059</v>
      </c>
      <c r="K15" s="1">
        <f>IFERROR($E3/SUM($D3:$F3),"")</f>
        <v/>
      </c>
      <c r="L15" s="1">
        <f>IFERROR($D3/SUM($D3:$F3),"")</f>
        <v/>
      </c>
      <c r="M15" s="1">
        <f>IFERROR($F3/SUM($D3:$F3),"")</f>
        <v/>
      </c>
      <c r="O15" t="n">
        <v>14</v>
      </c>
      <c r="P15" t="inlineStr">
        <is>
          <t>08/01/2026</t>
        </is>
      </c>
      <c r="Q15" t="inlineStr">
        <is>
          <t>CN</t>
        </is>
      </c>
      <c r="R15" t="n">
        <v>640</v>
      </c>
      <c r="S15" t="n">
        <v>879</v>
      </c>
      <c r="T15" t="n">
        <v>635</v>
      </c>
    </row>
    <row r="16">
      <c r="A16" t="n">
        <v>15</v>
      </c>
      <c r="B16" t="inlineStr">
        <is>
          <t>08/04/2026</t>
        </is>
      </c>
      <c r="C16" t="inlineStr">
        <is>
          <t>CN</t>
        </is>
      </c>
      <c r="D16" t="n">
        <v>807</v>
      </c>
      <c r="E16" t="n">
        <v>713</v>
      </c>
      <c r="F16" t="n">
        <v>633</v>
      </c>
      <c r="H16">
        <f>IF(B4="","",TEXT(B4,"dd/mm") &amp; "-" &amp; IF(UPPER(TRIM(C4))="CN",1,IF(UPPER(TRIM(C4))="CD",2,"")))</f>
        <v/>
      </c>
      <c r="I16" s="1" t="n">
        <v>0.3</v>
      </c>
      <c r="J16" s="1" t="n">
        <v>0.4235294117647059</v>
      </c>
      <c r="K16" s="1">
        <f>IFERROR($E4/SUM($D4:$F4),"")</f>
        <v/>
      </c>
      <c r="L16" s="1">
        <f>IFERROR($D4/SUM($D4:$F4),"")</f>
        <v/>
      </c>
      <c r="M16" s="1">
        <f>IFERROR($F4/SUM($D4:$F4),"")</f>
        <v/>
      </c>
      <c r="O16" t="n">
        <v>15</v>
      </c>
      <c r="P16" t="inlineStr">
        <is>
          <t>08/01/2026</t>
        </is>
      </c>
      <c r="Q16" t="inlineStr">
        <is>
          <t>CD</t>
        </is>
      </c>
      <c r="R16" t="n">
        <v>879</v>
      </c>
      <c r="S16" t="n">
        <v>800</v>
      </c>
      <c r="T16" t="n">
        <v>474</v>
      </c>
    </row>
    <row r="17">
      <c r="A17" t="n">
        <v>16</v>
      </c>
      <c r="B17" t="inlineStr">
        <is>
          <t>08/04/2026</t>
        </is>
      </c>
      <c r="C17" t="inlineStr">
        <is>
          <t>CD</t>
        </is>
      </c>
      <c r="D17" t="n">
        <v>359</v>
      </c>
      <c r="E17" t="n">
        <v>764</v>
      </c>
      <c r="F17" t="n">
        <v>1033</v>
      </c>
      <c r="H17">
        <f>IF(B5="","",TEXT(B5,"dd/mm") &amp; "-" &amp; IF(UPPER(TRIM(C5))="CN",1,IF(UPPER(TRIM(C5))="CD",2,"")))</f>
        <v/>
      </c>
      <c r="I17" s="1" t="n">
        <v>0.3</v>
      </c>
      <c r="J17" s="1" t="n">
        <v>0.4235294117647059</v>
      </c>
      <c r="K17" s="1">
        <f>IFERROR($E5/SUM($D5:$F5),"")</f>
        <v/>
      </c>
      <c r="L17" s="1">
        <f>IFERROR($D5/SUM($D5:$F5),"")</f>
        <v/>
      </c>
      <c r="M17" s="1">
        <f>IFERROR($F5/SUM($D5:$F5),"")</f>
        <v/>
      </c>
      <c r="O17" t="n">
        <v>16</v>
      </c>
      <c r="P17" t="inlineStr">
        <is>
          <t>09/01/2026</t>
        </is>
      </c>
      <c r="Q17" t="inlineStr">
        <is>
          <t>CN</t>
        </is>
      </c>
      <c r="R17" t="n">
        <v>720</v>
      </c>
      <c r="S17" t="n">
        <v>800</v>
      </c>
      <c r="T17" t="n">
        <v>637</v>
      </c>
    </row>
    <row r="18">
      <c r="A18" t="n">
        <v>17</v>
      </c>
      <c r="B18" t="inlineStr">
        <is>
          <t>09/04/2026</t>
        </is>
      </c>
      <c r="C18" t="inlineStr">
        <is>
          <t>CN</t>
        </is>
      </c>
      <c r="D18" t="n">
        <v>807</v>
      </c>
      <c r="E18" t="n">
        <v>702</v>
      </c>
      <c r="F18" t="n">
        <v>644</v>
      </c>
      <c r="H18">
        <f>IF(B6="","",TEXT(B6,"dd/mm") &amp; "-" &amp; IF(UPPER(TRIM(C6))="CN",1,IF(UPPER(TRIM(C6))="CD",2,"")))</f>
        <v/>
      </c>
      <c r="I18" s="1" t="n">
        <v>0.3</v>
      </c>
      <c r="J18" s="1" t="n">
        <v>0.4235294117647059</v>
      </c>
      <c r="K18" s="1">
        <f>IFERROR($E6/SUM($D6:$F6),"")</f>
        <v/>
      </c>
      <c r="L18" s="1">
        <f>IFERROR($D6/SUM($D6:$F6),"")</f>
        <v/>
      </c>
      <c r="M18" s="1">
        <f>IFERROR($F6/SUM($D6:$F6),"")</f>
        <v/>
      </c>
      <c r="O18" t="n">
        <v>17</v>
      </c>
      <c r="P18" t="inlineStr">
        <is>
          <t>09/01/2026</t>
        </is>
      </c>
      <c r="Q18" t="inlineStr">
        <is>
          <t>CD</t>
        </is>
      </c>
      <c r="R18" t="n">
        <v>833</v>
      </c>
      <c r="S18" t="n">
        <v>831</v>
      </c>
      <c r="T18" t="n">
        <v>488</v>
      </c>
    </row>
    <row r="19">
      <c r="A19" t="n">
        <v>18</v>
      </c>
      <c r="B19" t="inlineStr">
        <is>
          <t>09/04/2026</t>
        </is>
      </c>
      <c r="C19" t="inlineStr">
        <is>
          <t>CD</t>
        </is>
      </c>
      <c r="D19" t="n">
        <v>420</v>
      </c>
      <c r="E19" t="n">
        <v>703</v>
      </c>
      <c r="F19" t="n">
        <v>1033</v>
      </c>
      <c r="H19">
        <f>IF(B7="","",TEXT(B7,"dd/mm") &amp; "-" &amp; IF(UPPER(TRIM(C7))="CN",1,IF(UPPER(TRIM(C7))="CD",2,"")))</f>
        <v/>
      </c>
      <c r="I19" s="1" t="n">
        <v>0.3</v>
      </c>
      <c r="J19" s="1" t="n">
        <v>0.4235294117647059</v>
      </c>
      <c r="K19" s="1">
        <f>IFERROR($E7/SUM($D7:$F7),"")</f>
        <v/>
      </c>
      <c r="L19" s="1">
        <f>IFERROR($D7/SUM($D7:$F7),"")</f>
        <v/>
      </c>
      <c r="M19" s="1">
        <f>IFERROR($F7/SUM($D7:$F7),"")</f>
        <v/>
      </c>
      <c r="O19" t="n">
        <v>18</v>
      </c>
      <c r="P19" t="inlineStr">
        <is>
          <t>10/01/2026</t>
        </is>
      </c>
      <c r="Q19" t="inlineStr">
        <is>
          <t>CN</t>
        </is>
      </c>
      <c r="R19" t="n">
        <v>429</v>
      </c>
      <c r="S19" t="n">
        <v>524</v>
      </c>
      <c r="T19" t="n">
        <v>1202</v>
      </c>
    </row>
    <row r="20">
      <c r="A20" t="n">
        <v>19</v>
      </c>
      <c r="B20" t="inlineStr">
        <is>
          <t>10/04/2026</t>
        </is>
      </c>
      <c r="C20" t="inlineStr">
        <is>
          <t>CN</t>
        </is>
      </c>
      <c r="D20" t="n">
        <v>703</v>
      </c>
      <c r="E20" t="n">
        <v>823</v>
      </c>
      <c r="F20" t="n">
        <v>629</v>
      </c>
      <c r="H20">
        <f>IF(B8="","",TEXT(B8,"dd/mm") &amp; "-" &amp; IF(UPPER(TRIM(C8))="CN",1,IF(UPPER(TRIM(C8))="CD",2,"")))</f>
        <v/>
      </c>
      <c r="I20" s="1" t="n">
        <v>0.3</v>
      </c>
      <c r="J20" s="1" t="n">
        <v>0.4235294117647059</v>
      </c>
      <c r="K20" s="1">
        <f>IFERROR($E8/SUM($D8:$F8),"")</f>
        <v/>
      </c>
      <c r="L20" s="1">
        <f>IFERROR($D8/SUM($D8:$F8),"")</f>
        <v/>
      </c>
      <c r="M20" s="1">
        <f>IFERROR($F8/SUM($D8:$F8),"")</f>
        <v/>
      </c>
      <c r="O20" t="n">
        <v>19</v>
      </c>
      <c r="P20" t="inlineStr">
        <is>
          <t>10/01/2026</t>
        </is>
      </c>
      <c r="Q20" t="inlineStr">
        <is>
          <t>CD</t>
        </is>
      </c>
      <c r="R20" t="n">
        <v>0</v>
      </c>
      <c r="S20" t="n">
        <v>0</v>
      </c>
      <c r="T20" t="n">
        <v>2160</v>
      </c>
    </row>
    <row r="21">
      <c r="A21" t="n">
        <v>20</v>
      </c>
      <c r="B21" t="inlineStr">
        <is>
          <t>10/04/2026</t>
        </is>
      </c>
      <c r="C21" t="inlineStr">
        <is>
          <t>CD</t>
        </is>
      </c>
      <c r="D21" t="n">
        <v>609</v>
      </c>
      <c r="E21" t="n">
        <v>874</v>
      </c>
      <c r="F21" t="n">
        <v>673</v>
      </c>
      <c r="H21">
        <f>IF(B9="","",TEXT(B9,"dd/mm") &amp; "-" &amp; IF(UPPER(TRIM(C9))="CN",1,IF(UPPER(TRIM(C9))="CD",2,"")))</f>
        <v/>
      </c>
      <c r="I21" s="1" t="n">
        <v>0.3</v>
      </c>
      <c r="J21" s="1" t="n">
        <v>0.4235294117647059</v>
      </c>
      <c r="K21" s="1">
        <f>IFERROR($E9/SUM($D9:$F9),"")</f>
        <v/>
      </c>
      <c r="L21" s="1">
        <f>IFERROR($D9/SUM($D9:$F9),"")</f>
        <v/>
      </c>
      <c r="M21" s="1">
        <f>IFERROR($F9/SUM($D9:$F9),"")</f>
        <v/>
      </c>
      <c r="O21" t="n">
        <v>20</v>
      </c>
      <c r="P21" t="inlineStr">
        <is>
          <t>11/01/2026</t>
        </is>
      </c>
      <c r="Q21" t="inlineStr">
        <is>
          <t>CN</t>
        </is>
      </c>
      <c r="R21" t="n">
        <v>0</v>
      </c>
      <c r="S21" t="n">
        <v>0</v>
      </c>
      <c r="T21" t="n">
        <v>2160</v>
      </c>
    </row>
    <row r="22">
      <c r="A22" t="n">
        <v>21</v>
      </c>
      <c r="B22" t="inlineStr">
        <is>
          <t>11/04/2026</t>
        </is>
      </c>
      <c r="C22" t="inlineStr">
        <is>
          <t>CN</t>
        </is>
      </c>
      <c r="D22" t="n">
        <v>676</v>
      </c>
      <c r="E22" t="n">
        <v>771</v>
      </c>
      <c r="F22" t="n">
        <v>707</v>
      </c>
      <c r="H22">
        <f>IF(B10="","",TEXT(B10,"dd/mm") &amp; "-" &amp; IF(UPPER(TRIM(C10))="CN",1,IF(UPPER(TRIM(C10))="CD",2,"")))</f>
        <v/>
      </c>
      <c r="I22" s="1" t="n">
        <v>0.3</v>
      </c>
      <c r="J22" s="1" t="n">
        <v>0.4235294117647059</v>
      </c>
      <c r="K22" s="1">
        <f>IFERROR($E10/SUM($D10:$F10),"")</f>
        <v/>
      </c>
      <c r="L22" s="1">
        <f>IFERROR($D10/SUM($D10:$F10),"")</f>
        <v/>
      </c>
      <c r="M22" s="1">
        <f>IFERROR($F10/SUM($D10:$F10),"")</f>
        <v/>
      </c>
      <c r="O22" t="n">
        <v>21</v>
      </c>
      <c r="P22" t="inlineStr">
        <is>
          <t>11/01/2026</t>
        </is>
      </c>
      <c r="Q22" t="inlineStr">
        <is>
          <t>CD</t>
        </is>
      </c>
      <c r="R22" t="n">
        <v>0</v>
      </c>
      <c r="S22" t="n">
        <v>0</v>
      </c>
      <c r="T22" t="n">
        <v>2161</v>
      </c>
    </row>
    <row r="23">
      <c r="A23" t="n">
        <v>22</v>
      </c>
      <c r="B23" t="inlineStr">
        <is>
          <t>11/04/2026</t>
        </is>
      </c>
      <c r="C23" t="inlineStr">
        <is>
          <t>CD</t>
        </is>
      </c>
      <c r="D23" t="n">
        <v>428</v>
      </c>
      <c r="E23" t="n">
        <v>962</v>
      </c>
      <c r="F23" t="n">
        <v>765</v>
      </c>
      <c r="H23">
        <f>IF(B11="","",TEXT(B11,"dd/mm") &amp; "-" &amp; IF(UPPER(TRIM(C11))="CN",1,IF(UPPER(TRIM(C11))="CD",2,"")))</f>
        <v/>
      </c>
      <c r="I23" s="1" t="n">
        <v>0.3</v>
      </c>
      <c r="J23" s="1" t="n">
        <v>0.4235294117647059</v>
      </c>
      <c r="K23" s="1">
        <f>IFERROR($E11/SUM($D11:$F11),"")</f>
        <v/>
      </c>
      <c r="L23" s="1">
        <f>IFERROR($D11/SUM($D11:$F11),"")</f>
        <v/>
      </c>
      <c r="M23" s="1">
        <f>IFERROR($F11/SUM($D11:$F11),"")</f>
        <v/>
      </c>
      <c r="O23" t="n">
        <v>22</v>
      </c>
      <c r="P23" t="inlineStr">
        <is>
          <t>12/01/2026</t>
        </is>
      </c>
      <c r="Q23" t="inlineStr">
        <is>
          <t>CN</t>
        </is>
      </c>
      <c r="R23" t="n">
        <v>787</v>
      </c>
      <c r="S23" t="n">
        <v>740</v>
      </c>
      <c r="T23" t="n">
        <v>627</v>
      </c>
    </row>
    <row r="24">
      <c r="A24" t="n">
        <v>23</v>
      </c>
      <c r="B24" t="inlineStr">
        <is>
          <t>12/04/2026</t>
        </is>
      </c>
      <c r="C24" t="inlineStr">
        <is>
          <t>CN</t>
        </is>
      </c>
      <c r="D24" t="n">
        <v>0</v>
      </c>
      <c r="E24" t="n">
        <v>0</v>
      </c>
      <c r="F24" t="n">
        <v>2160</v>
      </c>
      <c r="H24">
        <f>IF(B12="","",TEXT(B12,"dd/mm") &amp; "-" &amp; IF(UPPER(TRIM(C12))="CN",1,IF(UPPER(TRIM(C12))="CD",2,"")))</f>
        <v/>
      </c>
      <c r="I24" s="1" t="n">
        <v>0.3</v>
      </c>
      <c r="J24" s="1" t="n">
        <v>0.4235294117647059</v>
      </c>
      <c r="K24" s="1">
        <f>IFERROR($E12/SUM($D12:$F12),"")</f>
        <v/>
      </c>
      <c r="L24" s="1">
        <f>IFERROR($D12/SUM($D12:$F12),"")</f>
        <v/>
      </c>
      <c r="M24" s="1">
        <f>IFERROR($F12/SUM($D12:$F12),"")</f>
        <v/>
      </c>
      <c r="O24" t="n">
        <v>23</v>
      </c>
      <c r="P24" t="inlineStr">
        <is>
          <t>12/01/2026</t>
        </is>
      </c>
      <c r="Q24" t="inlineStr">
        <is>
          <t>CD</t>
        </is>
      </c>
      <c r="R24" t="n">
        <v>679</v>
      </c>
      <c r="S24" t="n">
        <v>974</v>
      </c>
      <c r="T24" t="n">
        <v>501</v>
      </c>
    </row>
    <row r="25">
      <c r="A25" t="n">
        <v>24</v>
      </c>
      <c r="B25" t="inlineStr">
        <is>
          <t>12/04/2026</t>
        </is>
      </c>
      <c r="C25" t="inlineStr">
        <is>
          <t>CD</t>
        </is>
      </c>
      <c r="D25" t="n">
        <v>0</v>
      </c>
      <c r="E25" t="n">
        <v>0</v>
      </c>
      <c r="F25" t="n">
        <v>2160</v>
      </c>
      <c r="H25">
        <f>IF(B13="","",TEXT(B13,"dd/mm") &amp; "-" &amp; IF(UPPER(TRIM(C13))="CN",1,IF(UPPER(TRIM(C13))="CD",2,"")))</f>
        <v/>
      </c>
      <c r="I25" s="1" t="n">
        <v>0.3</v>
      </c>
      <c r="J25" s="1" t="n">
        <v>0.4235294117647059</v>
      </c>
      <c r="K25" s="1">
        <f>IFERROR($E13/SUM($D13:$F13),"")</f>
        <v/>
      </c>
      <c r="L25" s="1">
        <f>IFERROR($D13/SUM($D13:$F13),"")</f>
        <v/>
      </c>
      <c r="M25" s="1">
        <f>IFERROR($F13/SUM($D13:$F13),"")</f>
        <v/>
      </c>
      <c r="O25" t="n">
        <v>24</v>
      </c>
      <c r="P25" t="inlineStr">
        <is>
          <t>13/01/2026</t>
        </is>
      </c>
      <c r="Q25" t="inlineStr">
        <is>
          <t>CN</t>
        </is>
      </c>
      <c r="R25" t="n">
        <v>885</v>
      </c>
      <c r="S25" t="n">
        <v>642</v>
      </c>
      <c r="T25" t="n">
        <v>626</v>
      </c>
    </row>
    <row r="26">
      <c r="A26" t="n">
        <v>25</v>
      </c>
      <c r="B26" t="inlineStr">
        <is>
          <t>13/04/2026</t>
        </is>
      </c>
      <c r="C26" t="inlineStr">
        <is>
          <t>CN</t>
        </is>
      </c>
      <c r="D26" t="n">
        <v>493</v>
      </c>
      <c r="E26" t="n">
        <v>1015</v>
      </c>
      <c r="F26" t="n">
        <v>648</v>
      </c>
      <c r="H26">
        <f>IF(B14="","",TEXT(B14,"dd/mm") &amp; "-" &amp; IF(UPPER(TRIM(C14))="CN",1,IF(UPPER(TRIM(C14))="CD",2,"")))</f>
        <v/>
      </c>
      <c r="I26" s="1" t="n">
        <v>0.3</v>
      </c>
      <c r="J26" s="1" t="n">
        <v>0.4235294117647059</v>
      </c>
      <c r="K26" s="1">
        <f>IFERROR($E14/SUM($D14:$F14),"")</f>
        <v/>
      </c>
      <c r="L26" s="1">
        <f>IFERROR($D14/SUM($D14:$F14),"")</f>
        <v/>
      </c>
      <c r="M26" s="1">
        <f>IFERROR($F14/SUM($D14:$F14),"")</f>
        <v/>
      </c>
      <c r="O26" t="n">
        <v>25</v>
      </c>
      <c r="P26" t="inlineStr">
        <is>
          <t>13/01/2026</t>
        </is>
      </c>
      <c r="Q26" t="inlineStr">
        <is>
          <t>CD</t>
        </is>
      </c>
      <c r="R26" t="n">
        <v>550</v>
      </c>
      <c r="S26" t="n">
        <v>1085</v>
      </c>
      <c r="T26" t="n">
        <v>520</v>
      </c>
    </row>
    <row r="27">
      <c r="A27" t="n">
        <v>26</v>
      </c>
      <c r="B27" t="inlineStr">
        <is>
          <t>13/04/2026</t>
        </is>
      </c>
      <c r="C27" t="inlineStr">
        <is>
          <t>CD</t>
        </is>
      </c>
      <c r="D27" t="n">
        <v>822</v>
      </c>
      <c r="E27" t="n">
        <v>803</v>
      </c>
      <c r="F27" t="n">
        <v>528</v>
      </c>
      <c r="H27">
        <f>IF(B15="","",TEXT(B15,"dd/mm") &amp; "-" &amp; IF(UPPER(TRIM(C15))="CN",1,IF(UPPER(TRIM(C15))="CD",2,"")))</f>
        <v/>
      </c>
      <c r="I27" s="1" t="n">
        <v>0.3</v>
      </c>
      <c r="J27" s="1" t="n">
        <v>0.4235294117647059</v>
      </c>
      <c r="K27" s="1">
        <f>IFERROR($E15/SUM($D15:$F15),"")</f>
        <v/>
      </c>
      <c r="L27" s="1">
        <f>IFERROR($D15/SUM($D15:$F15),"")</f>
        <v/>
      </c>
      <c r="M27" s="1">
        <f>IFERROR($F15/SUM($D15:$F15),"")</f>
        <v/>
      </c>
      <c r="O27" t="n">
        <v>26</v>
      </c>
      <c r="P27" t="inlineStr">
        <is>
          <t>14/01/2026</t>
        </is>
      </c>
      <c r="Q27" t="inlineStr">
        <is>
          <t>CN</t>
        </is>
      </c>
      <c r="R27" t="n">
        <v>810</v>
      </c>
      <c r="S27" t="n">
        <v>712</v>
      </c>
      <c r="T27" t="n">
        <v>631</v>
      </c>
    </row>
    <row r="28">
      <c r="A28" t="n">
        <v>27</v>
      </c>
      <c r="B28" t="inlineStr">
        <is>
          <t>14/04/2026</t>
        </is>
      </c>
      <c r="C28" t="inlineStr">
        <is>
          <t>CN</t>
        </is>
      </c>
      <c r="D28" t="n">
        <v>555</v>
      </c>
      <c r="E28" t="n">
        <v>976</v>
      </c>
      <c r="F28" t="n">
        <v>625</v>
      </c>
      <c r="H28">
        <f>IF(B16="","",TEXT(B16,"dd/mm") &amp; "-" &amp; IF(UPPER(TRIM(C16))="CN",1,IF(UPPER(TRIM(C16))="CD",2,"")))</f>
        <v/>
      </c>
      <c r="I28" s="1" t="n">
        <v>0.3</v>
      </c>
      <c r="J28" s="1" t="n">
        <v>0.4235294117647059</v>
      </c>
      <c r="K28" s="1">
        <f>IFERROR($E16/SUM($D16:$F16),"")</f>
        <v/>
      </c>
      <c r="L28" s="1">
        <f>IFERROR($D16/SUM($D16:$F16),"")</f>
        <v/>
      </c>
      <c r="M28" s="1">
        <f>IFERROR($F16/SUM($D16:$F16),"")</f>
        <v/>
      </c>
      <c r="O28" t="n">
        <v>27</v>
      </c>
      <c r="P28" t="inlineStr">
        <is>
          <t>14/01/2026</t>
        </is>
      </c>
      <c r="Q28" t="inlineStr">
        <is>
          <t>CD</t>
        </is>
      </c>
      <c r="R28" t="n">
        <v>651</v>
      </c>
      <c r="S28" t="n">
        <v>993</v>
      </c>
      <c r="T28" t="n">
        <v>511</v>
      </c>
    </row>
    <row r="29">
      <c r="A29" t="n">
        <v>28</v>
      </c>
      <c r="B29" t="inlineStr">
        <is>
          <t>14/04/2026</t>
        </is>
      </c>
      <c r="C29" t="inlineStr">
        <is>
          <t>CD</t>
        </is>
      </c>
      <c r="D29" t="n">
        <v>727</v>
      </c>
      <c r="E29" t="n">
        <v>871</v>
      </c>
      <c r="F29" t="n">
        <v>554</v>
      </c>
      <c r="H29">
        <f>IF(B17="","",TEXT(B17,"dd/mm") &amp; "-" &amp; IF(UPPER(TRIM(C17))="CN",1,IF(UPPER(TRIM(C17))="CD",2,"")))</f>
        <v/>
      </c>
      <c r="I29" s="1" t="n">
        <v>0.3</v>
      </c>
      <c r="J29" s="1" t="n">
        <v>0.4235294117647059</v>
      </c>
      <c r="K29" s="1">
        <f>IFERROR($E17/SUM($D17:$F17),"")</f>
        <v/>
      </c>
      <c r="L29" s="1">
        <f>IFERROR($D17/SUM($D17:$F17),"")</f>
        <v/>
      </c>
      <c r="M29" s="1">
        <f>IFERROR($F17/SUM($D17:$F17),"")</f>
        <v/>
      </c>
      <c r="O29" t="n">
        <v>28</v>
      </c>
      <c r="P29" t="inlineStr">
        <is>
          <t>15/01/2026</t>
        </is>
      </c>
      <c r="Q29" t="inlineStr">
        <is>
          <t>CN</t>
        </is>
      </c>
      <c r="R29" t="n">
        <v>968</v>
      </c>
      <c r="S29" t="n">
        <v>561</v>
      </c>
      <c r="T29" t="n">
        <v>625</v>
      </c>
    </row>
    <row r="30">
      <c r="A30" t="n">
        <v>29</v>
      </c>
      <c r="B30" t="inlineStr">
        <is>
          <t>15/04/2026</t>
        </is>
      </c>
      <c r="C30" t="inlineStr">
        <is>
          <t>CN</t>
        </is>
      </c>
      <c r="D30" t="n">
        <v>303</v>
      </c>
      <c r="E30" t="n">
        <v>724</v>
      </c>
      <c r="F30" t="n">
        <v>1131</v>
      </c>
      <c r="H30">
        <f>IF(B18="","",TEXT(B18,"dd/mm") &amp; "-" &amp; IF(UPPER(TRIM(C18))="CN",1,IF(UPPER(TRIM(C18))="CD",2,"")))</f>
        <v/>
      </c>
      <c r="I30" s="1" t="n">
        <v>0.3</v>
      </c>
      <c r="J30" s="1" t="n">
        <v>0.4235294117647059</v>
      </c>
      <c r="K30" s="1">
        <f>IFERROR($E18/SUM($D18:$F18),"")</f>
        <v/>
      </c>
      <c r="L30" s="1">
        <f>IFERROR($D18/SUM($D18:$F18),"")</f>
        <v/>
      </c>
      <c r="M30" s="1">
        <f>IFERROR($F18/SUM($D18:$F18),"")</f>
        <v/>
      </c>
      <c r="O30" t="n">
        <v>29</v>
      </c>
      <c r="P30" t="inlineStr">
        <is>
          <t>15/01/2026</t>
        </is>
      </c>
      <c r="Q30" t="inlineStr">
        <is>
          <t>CD</t>
        </is>
      </c>
      <c r="R30" t="n">
        <v>568</v>
      </c>
      <c r="S30" t="n">
        <v>1076</v>
      </c>
      <c r="T30" t="n">
        <v>510</v>
      </c>
    </row>
    <row r="31">
      <c r="A31" t="n">
        <v>30</v>
      </c>
      <c r="B31" t="inlineStr">
        <is>
          <t>15/04/2026</t>
        </is>
      </c>
      <c r="C31" t="inlineStr">
        <is>
          <t>CD</t>
        </is>
      </c>
      <c r="D31" t="n">
        <v>1075</v>
      </c>
      <c r="E31" t="n">
        <v>583</v>
      </c>
      <c r="F31" t="n">
        <v>496</v>
      </c>
      <c r="H31">
        <f>IF(B19="","",TEXT(B19,"dd/mm") &amp; "-" &amp; IF(UPPER(TRIM(C19))="CN",1,IF(UPPER(TRIM(C19))="CD",2,"")))</f>
        <v/>
      </c>
      <c r="I31" s="1" t="n">
        <v>0.3</v>
      </c>
      <c r="J31" s="1" t="n">
        <v>0.4235294117647059</v>
      </c>
      <c r="K31" s="1">
        <f>IFERROR($E19/SUM($D19:$F19),"")</f>
        <v/>
      </c>
      <c r="L31" s="1">
        <f>IFERROR($D19/SUM($D19:$F19),"")</f>
        <v/>
      </c>
      <c r="M31" s="1">
        <f>IFERROR($F19/SUM($D19:$F19),"")</f>
        <v/>
      </c>
      <c r="O31" t="n">
        <v>30</v>
      </c>
      <c r="P31" t="inlineStr">
        <is>
          <t>16/01/2026</t>
        </is>
      </c>
      <c r="Q31" t="inlineStr">
        <is>
          <t>CN</t>
        </is>
      </c>
      <c r="R31" t="n">
        <v>912</v>
      </c>
      <c r="S31" t="n">
        <v>618</v>
      </c>
      <c r="T31" t="n">
        <v>625</v>
      </c>
    </row>
    <row r="32">
      <c r="A32" t="n">
        <v>31</v>
      </c>
      <c r="B32" t="inlineStr">
        <is>
          <t>16/04/2026</t>
        </is>
      </c>
      <c r="C32" t="inlineStr">
        <is>
          <t>CN</t>
        </is>
      </c>
      <c r="D32" t="n">
        <v>648</v>
      </c>
      <c r="E32" t="n">
        <v>887</v>
      </c>
      <c r="F32" t="n">
        <v>618</v>
      </c>
      <c r="H32">
        <f>IF(B20="","",TEXT(B20,"dd/mm") &amp; "-" &amp; IF(UPPER(TRIM(C20))="CN",1,IF(UPPER(TRIM(C20))="CD",2,"")))</f>
        <v/>
      </c>
      <c r="I32" s="1" t="n">
        <v>0.3</v>
      </c>
      <c r="J32" s="1" t="n">
        <v>0.4235294117647059</v>
      </c>
      <c r="K32" s="1">
        <f>IFERROR($E20/SUM($D20:$F20),"")</f>
        <v/>
      </c>
      <c r="L32" s="1">
        <f>IFERROR($D20/SUM($D20:$F20),"")</f>
        <v/>
      </c>
      <c r="M32" s="1">
        <f>IFERROR($F20/SUM($D20:$F20),"")</f>
        <v/>
      </c>
      <c r="O32" t="n">
        <v>31</v>
      </c>
      <c r="P32" t="inlineStr">
        <is>
          <t>16/01/2026</t>
        </is>
      </c>
      <c r="Q32" t="inlineStr">
        <is>
          <t>CD</t>
        </is>
      </c>
      <c r="R32" t="n">
        <v>633</v>
      </c>
      <c r="S32" t="n">
        <v>884</v>
      </c>
      <c r="T32" t="n">
        <v>638</v>
      </c>
    </row>
    <row r="33">
      <c r="A33" t="n">
        <v>32</v>
      </c>
      <c r="B33" t="inlineStr">
        <is>
          <t>16/04/2026</t>
        </is>
      </c>
      <c r="C33" t="inlineStr">
        <is>
          <t>CD</t>
        </is>
      </c>
      <c r="D33" t="n">
        <v>747</v>
      </c>
      <c r="E33" t="n">
        <v>899</v>
      </c>
      <c r="F33" t="n">
        <v>508</v>
      </c>
      <c r="H33">
        <f>IF(B21="","",TEXT(B21,"dd/mm") &amp; "-" &amp; IF(UPPER(TRIM(C21))="CN",1,IF(UPPER(TRIM(C21))="CD",2,"")))</f>
        <v/>
      </c>
      <c r="I33" s="1" t="n">
        <v>0.3</v>
      </c>
      <c r="J33" s="1" t="n">
        <v>0.4235294117647059</v>
      </c>
      <c r="K33" s="1">
        <f>IFERROR($E21/SUM($D21:$F21),"")</f>
        <v/>
      </c>
      <c r="L33" s="1">
        <f>IFERROR($D21/SUM($D21:$F21),"")</f>
        <v/>
      </c>
      <c r="M33" s="1">
        <f>IFERROR($F21/SUM($D21:$F21),"")</f>
        <v/>
      </c>
      <c r="O33" t="n">
        <v>32</v>
      </c>
      <c r="P33" t="inlineStr">
        <is>
          <t>17/01/2026</t>
        </is>
      </c>
      <c r="Q33" t="inlineStr">
        <is>
          <t>CN</t>
        </is>
      </c>
      <c r="R33" t="n">
        <v>881</v>
      </c>
      <c r="S33" t="n">
        <v>646</v>
      </c>
      <c r="T33" t="n">
        <v>629</v>
      </c>
    </row>
    <row r="34">
      <c r="A34" t="n">
        <v>33</v>
      </c>
      <c r="B34" t="inlineStr">
        <is>
          <t>17/04/2026</t>
        </is>
      </c>
      <c r="C34" t="inlineStr">
        <is>
          <t>CN</t>
        </is>
      </c>
      <c r="D34" t="n">
        <v>518</v>
      </c>
      <c r="E34" t="n">
        <v>993</v>
      </c>
      <c r="F34" t="n">
        <v>643</v>
      </c>
      <c r="H34">
        <f>IF(B22="","",TEXT(B22,"dd/mm") &amp; "-" &amp; IF(UPPER(TRIM(C22))="CN",1,IF(UPPER(TRIM(C22))="CD",2,"")))</f>
        <v/>
      </c>
      <c r="I34" s="1" t="n">
        <v>0.3</v>
      </c>
      <c r="J34" s="1" t="n">
        <v>0.4235294117647059</v>
      </c>
      <c r="K34" s="1">
        <f>IFERROR($E22/SUM($D22:$F22),"")</f>
        <v/>
      </c>
      <c r="L34" s="1">
        <f>IFERROR($D22/SUM($D22:$F22),"")</f>
        <v/>
      </c>
      <c r="M34" s="1">
        <f>IFERROR($F22/SUM($D22:$F22),"")</f>
        <v/>
      </c>
      <c r="O34" t="n">
        <v>33</v>
      </c>
      <c r="P34" t="inlineStr">
        <is>
          <t>17/01/2026</t>
        </is>
      </c>
      <c r="Q34" t="inlineStr">
        <is>
          <t>CD</t>
        </is>
      </c>
      <c r="R34" t="n">
        <v>532</v>
      </c>
      <c r="S34" t="n">
        <v>880</v>
      </c>
      <c r="T34" t="n">
        <v>743</v>
      </c>
    </row>
    <row r="35">
      <c r="A35" t="n">
        <v>34</v>
      </c>
      <c r="B35" t="inlineStr">
        <is>
          <t>17/04/2026</t>
        </is>
      </c>
      <c r="C35" t="inlineStr">
        <is>
          <t>CD</t>
        </is>
      </c>
      <c r="D35" t="n">
        <v>838</v>
      </c>
      <c r="E35" t="n">
        <v>714</v>
      </c>
      <c r="F35" t="n">
        <v>603</v>
      </c>
      <c r="H35">
        <f>IF(B23="","",TEXT(B23,"dd/mm") &amp; "-" &amp; IF(UPPER(TRIM(C23))="CN",1,IF(UPPER(TRIM(C23))="CD",2,"")))</f>
        <v/>
      </c>
      <c r="I35" s="1" t="n">
        <v>0.3</v>
      </c>
      <c r="J35" s="1" t="n">
        <v>0.4235294117647059</v>
      </c>
      <c r="K35" s="1">
        <f>IFERROR($E23/SUM($D23:$F23),"")</f>
        <v/>
      </c>
      <c r="L35" s="1">
        <f>IFERROR($D23/SUM($D23:$F23),"")</f>
        <v/>
      </c>
      <c r="M35" s="1">
        <f>IFERROR($F23/SUM($D23:$F23),"")</f>
        <v/>
      </c>
      <c r="O35" t="n">
        <v>34</v>
      </c>
      <c r="P35" t="inlineStr">
        <is>
          <t>18/01/2026</t>
        </is>
      </c>
      <c r="Q35" t="inlineStr">
        <is>
          <t>CN</t>
        </is>
      </c>
      <c r="R35" t="n">
        <v>0</v>
      </c>
      <c r="S35" t="n">
        <v>0</v>
      </c>
      <c r="T35" t="n">
        <v>2160</v>
      </c>
    </row>
    <row r="36">
      <c r="A36" t="n">
        <v>35</v>
      </c>
      <c r="B36" t="inlineStr">
        <is>
          <t>18/04/2026</t>
        </is>
      </c>
      <c r="C36" t="inlineStr">
        <is>
          <t>CN</t>
        </is>
      </c>
      <c r="D36" t="n">
        <v>585</v>
      </c>
      <c r="E36" t="n">
        <v>659</v>
      </c>
      <c r="F36" t="n">
        <v>910</v>
      </c>
      <c r="H36">
        <f>IF(B24="","",TEXT(B24,"dd/mm") &amp; "-" &amp; IF(UPPER(TRIM(C24))="CN",1,IF(UPPER(TRIM(C24))="CD",2,"")))</f>
        <v/>
      </c>
      <c r="I36" s="1" t="n">
        <v>0.3</v>
      </c>
      <c r="J36" s="1" t="n">
        <v>0.4235294117647059</v>
      </c>
      <c r="K36" s="1">
        <f>IFERROR($E24/SUM($D24:$F24),"")</f>
        <v/>
      </c>
      <c r="L36" s="1">
        <f>IFERROR($D24/SUM($D24:$F24),"")</f>
        <v/>
      </c>
      <c r="M36" s="1">
        <f>IFERROR($F24/SUM($D24:$F24),"")</f>
        <v/>
      </c>
      <c r="O36" t="n">
        <v>35</v>
      </c>
      <c r="P36" t="inlineStr">
        <is>
          <t>18/01/2026</t>
        </is>
      </c>
      <c r="Q36" t="inlineStr">
        <is>
          <t>CD</t>
        </is>
      </c>
      <c r="R36" t="n">
        <v>0</v>
      </c>
      <c r="S36" t="n">
        <v>0</v>
      </c>
      <c r="T36" t="n">
        <v>2160</v>
      </c>
    </row>
    <row r="37">
      <c r="A37" t="n">
        <v>36</v>
      </c>
      <c r="B37" t="inlineStr">
        <is>
          <t>18/04/2026</t>
        </is>
      </c>
      <c r="C37" t="inlineStr">
        <is>
          <t>CD</t>
        </is>
      </c>
      <c r="D37" t="n">
        <v>581</v>
      </c>
      <c r="E37" t="n">
        <v>752</v>
      </c>
      <c r="F37" t="n">
        <v>823</v>
      </c>
      <c r="H37">
        <f>IF(B25="","",TEXT(B25,"dd/mm") &amp; "-" &amp; IF(UPPER(TRIM(C25))="CN",1,IF(UPPER(TRIM(C25))="CD",2,"")))</f>
        <v/>
      </c>
      <c r="I37" s="1" t="n">
        <v>0.3</v>
      </c>
      <c r="J37" s="1" t="n">
        <v>0.4235294117647059</v>
      </c>
      <c r="K37" s="1">
        <f>IFERROR($E25/SUM($D25:$F25),"")</f>
        <v/>
      </c>
      <c r="L37" s="1">
        <f>IFERROR($D25/SUM($D25:$F25),"")</f>
        <v/>
      </c>
      <c r="M37" s="1">
        <f>IFERROR($F25/SUM($D25:$F25),"")</f>
        <v/>
      </c>
      <c r="O37" t="n">
        <v>36</v>
      </c>
      <c r="P37" t="inlineStr">
        <is>
          <t>19/01/2026</t>
        </is>
      </c>
      <c r="Q37" t="inlineStr">
        <is>
          <t>CN</t>
        </is>
      </c>
      <c r="R37" t="n">
        <v>513</v>
      </c>
      <c r="S37" t="n">
        <v>990</v>
      </c>
      <c r="T37" t="n">
        <v>652</v>
      </c>
    </row>
    <row r="38">
      <c r="A38" t="n">
        <v>37</v>
      </c>
      <c r="B38" t="inlineStr">
        <is>
          <t>19/04/2026</t>
        </is>
      </c>
      <c r="C38" t="inlineStr">
        <is>
          <t>CN</t>
        </is>
      </c>
      <c r="D38" t="n">
        <v>0</v>
      </c>
      <c r="E38" t="n">
        <v>0</v>
      </c>
      <c r="F38" t="n">
        <v>2160</v>
      </c>
      <c r="H38">
        <f>IF(B26="","",TEXT(B26,"dd/mm") &amp; "-" &amp; IF(UPPER(TRIM(C26))="CN",1,IF(UPPER(TRIM(C26))="CD",2,"")))</f>
        <v/>
      </c>
      <c r="I38" s="1" t="n">
        <v>0.3</v>
      </c>
      <c r="J38" s="1" t="n">
        <v>0.4235294117647059</v>
      </c>
      <c r="K38" s="1">
        <f>IFERROR($E26/SUM($D26:$F26),"")</f>
        <v/>
      </c>
      <c r="L38" s="1">
        <f>IFERROR($D26/SUM($D26:$F26),"")</f>
        <v/>
      </c>
      <c r="M38" s="1">
        <f>IFERROR($F26/SUM($D26:$F26),"")</f>
        <v/>
      </c>
      <c r="O38" t="n">
        <v>37</v>
      </c>
      <c r="P38" t="inlineStr">
        <is>
          <t>19/01/2026</t>
        </is>
      </c>
      <c r="Q38" t="inlineStr">
        <is>
          <t>CD</t>
        </is>
      </c>
      <c r="R38" t="n">
        <v>1030</v>
      </c>
      <c r="S38" t="n">
        <v>639</v>
      </c>
      <c r="T38" t="n">
        <v>485</v>
      </c>
    </row>
    <row r="39">
      <c r="A39" t="n">
        <v>38</v>
      </c>
      <c r="B39" t="inlineStr">
        <is>
          <t>19/04/2026</t>
        </is>
      </c>
      <c r="C39" t="inlineStr">
        <is>
          <t>CD</t>
        </is>
      </c>
      <c r="D39" t="n">
        <v>0</v>
      </c>
      <c r="E39" t="n">
        <v>0</v>
      </c>
      <c r="F39" t="n">
        <v>2160</v>
      </c>
      <c r="H39">
        <f>IF(B27="","",TEXT(B27,"dd/mm") &amp; "-" &amp; IF(UPPER(TRIM(C27))="CN",1,IF(UPPER(TRIM(C27))="CD",2,"")))</f>
        <v/>
      </c>
      <c r="I39" s="1" t="n">
        <v>0.3</v>
      </c>
      <c r="J39" s="1" t="n">
        <v>0.4235294117647059</v>
      </c>
      <c r="K39" s="1">
        <f>IFERROR($E27/SUM($D27:$F27),"")</f>
        <v/>
      </c>
      <c r="L39" s="1">
        <f>IFERROR($D27/SUM($D27:$F27),"")</f>
        <v/>
      </c>
      <c r="M39" s="1">
        <f>IFERROR($F27/SUM($D27:$F27),"")</f>
        <v/>
      </c>
      <c r="O39" t="n">
        <v>38</v>
      </c>
      <c r="P39" t="inlineStr">
        <is>
          <t>20/01/2026</t>
        </is>
      </c>
      <c r="Q39" t="inlineStr">
        <is>
          <t>CN</t>
        </is>
      </c>
      <c r="R39" t="n">
        <v>519</v>
      </c>
      <c r="S39" t="n">
        <v>998</v>
      </c>
      <c r="T39" t="n">
        <v>640</v>
      </c>
    </row>
    <row r="40">
      <c r="A40" t="n">
        <v>39</v>
      </c>
      <c r="B40" t="inlineStr">
        <is>
          <t>20/04/2026</t>
        </is>
      </c>
      <c r="C40" t="inlineStr">
        <is>
          <t>CN</t>
        </is>
      </c>
      <c r="D40" t="n">
        <v>685</v>
      </c>
      <c r="E40" t="n">
        <v>853</v>
      </c>
      <c r="F40" t="n">
        <v>616</v>
      </c>
      <c r="H40">
        <f>IF(B28="","",TEXT(B28,"dd/mm") &amp; "-" &amp; IF(UPPER(TRIM(C28))="CN",1,IF(UPPER(TRIM(C28))="CD",2,"")))</f>
        <v/>
      </c>
      <c r="I40" s="1" t="n">
        <v>0.3</v>
      </c>
      <c r="J40" s="1" t="n">
        <v>0.4235294117647059</v>
      </c>
      <c r="K40" s="1">
        <f>IFERROR($E28/SUM($D28:$F28),"")</f>
        <v/>
      </c>
      <c r="L40" s="1">
        <f>IFERROR($D28/SUM($D28:$F28),"")</f>
        <v/>
      </c>
      <c r="M40" s="1">
        <f>IFERROR($F28/SUM($D28:$F28),"")</f>
        <v/>
      </c>
      <c r="O40" t="n">
        <v>39</v>
      </c>
      <c r="P40" t="inlineStr">
        <is>
          <t>20/01/2026</t>
        </is>
      </c>
      <c r="Q40" t="inlineStr">
        <is>
          <t>CD</t>
        </is>
      </c>
      <c r="R40" t="n">
        <v>1033</v>
      </c>
      <c r="S40" t="n">
        <v>477</v>
      </c>
      <c r="T40" t="n">
        <v>644</v>
      </c>
    </row>
    <row r="41">
      <c r="A41" t="n">
        <v>40</v>
      </c>
      <c r="B41" t="inlineStr">
        <is>
          <t>20/04/2026</t>
        </is>
      </c>
      <c r="C41" t="inlineStr">
        <is>
          <t>CD</t>
        </is>
      </c>
      <c r="D41" t="n">
        <v>553</v>
      </c>
      <c r="E41" t="n">
        <v>1011</v>
      </c>
      <c r="F41" t="n">
        <v>592</v>
      </c>
      <c r="H41">
        <f>IF(B29="","",TEXT(B29,"dd/mm") &amp; "-" &amp; IF(UPPER(TRIM(C29))="CN",1,IF(UPPER(TRIM(C29))="CD",2,"")))</f>
        <v/>
      </c>
      <c r="I41" s="1" t="n">
        <v>0.3</v>
      </c>
      <c r="J41" s="1" t="n">
        <v>0.4235294117647059</v>
      </c>
      <c r="K41" s="1">
        <f>IFERROR($E29/SUM($D29:$F29),"")</f>
        <v/>
      </c>
      <c r="L41" s="1">
        <f>IFERROR($D29/SUM($D29:$F29),"")</f>
        <v/>
      </c>
      <c r="M41" s="1">
        <f>IFERROR($F29/SUM($D29:$F29),"")</f>
        <v/>
      </c>
      <c r="O41" t="n">
        <v>40</v>
      </c>
      <c r="P41" t="inlineStr">
        <is>
          <t>21/01/2026</t>
        </is>
      </c>
      <c r="Q41" t="inlineStr">
        <is>
          <t>CN</t>
        </is>
      </c>
      <c r="R41" t="n">
        <v>464</v>
      </c>
      <c r="S41" t="n">
        <v>1053</v>
      </c>
      <c r="T41" t="n">
        <v>637</v>
      </c>
    </row>
    <row r="42">
      <c r="A42" t="n">
        <v>41</v>
      </c>
      <c r="B42" t="inlineStr">
        <is>
          <t>21/04/2026</t>
        </is>
      </c>
      <c r="C42" t="inlineStr">
        <is>
          <t>CN</t>
        </is>
      </c>
      <c r="D42" t="n">
        <v>831</v>
      </c>
      <c r="E42" t="n">
        <v>706</v>
      </c>
      <c r="F42" t="n">
        <v>619</v>
      </c>
      <c r="H42">
        <f>IF(B30="","",TEXT(B30,"dd/mm") &amp; "-" &amp; IF(UPPER(TRIM(C30))="CN",1,IF(UPPER(TRIM(C30))="CD",2,"")))</f>
        <v/>
      </c>
      <c r="I42" s="1" t="n">
        <v>0.3</v>
      </c>
      <c r="J42" s="1" t="n">
        <v>0.4235294117647059</v>
      </c>
      <c r="K42" s="1">
        <f>IFERROR($E30/SUM($D30:$F30),"")</f>
        <v/>
      </c>
      <c r="L42" s="1">
        <f>IFERROR($D30/SUM($D30:$F30),"")</f>
        <v/>
      </c>
      <c r="M42" s="1">
        <f>IFERROR($F30/SUM($D30:$F30),"")</f>
        <v/>
      </c>
      <c r="O42" t="n">
        <v>41</v>
      </c>
      <c r="P42" t="inlineStr">
        <is>
          <t>21/01/2026</t>
        </is>
      </c>
      <c r="Q42" t="inlineStr">
        <is>
          <t>CD</t>
        </is>
      </c>
      <c r="R42" t="n">
        <v>994</v>
      </c>
      <c r="S42" t="n">
        <v>696</v>
      </c>
      <c r="T42" t="n">
        <v>465</v>
      </c>
    </row>
    <row r="43">
      <c r="A43" t="n">
        <v>42</v>
      </c>
      <c r="B43" t="inlineStr">
        <is>
          <t>21/04/2026</t>
        </is>
      </c>
      <c r="C43" t="inlineStr">
        <is>
          <t>CD</t>
        </is>
      </c>
      <c r="D43" t="n">
        <v>576</v>
      </c>
      <c r="E43" t="n">
        <v>1091</v>
      </c>
      <c r="F43" t="n">
        <v>487</v>
      </c>
      <c r="H43">
        <f>IF(B31="","",TEXT(B31,"dd/mm") &amp; "-" &amp; IF(UPPER(TRIM(C31))="CN",1,IF(UPPER(TRIM(C31))="CD",2,"")))</f>
        <v/>
      </c>
      <c r="I43" s="1" t="n">
        <v>0.3</v>
      </c>
      <c r="J43" s="1" t="n">
        <v>0.4235294117647059</v>
      </c>
      <c r="K43" s="1">
        <f>IFERROR($E31/SUM($D31:$F31),"")</f>
        <v/>
      </c>
      <c r="L43" s="1">
        <f>IFERROR($D31/SUM($D31:$F31),"")</f>
        <v/>
      </c>
      <c r="M43" s="1">
        <f>IFERROR($F31/SUM($D31:$F31),"")</f>
        <v/>
      </c>
      <c r="O43" t="n">
        <v>42</v>
      </c>
      <c r="P43" t="inlineStr">
        <is>
          <t>22/01/2026</t>
        </is>
      </c>
      <c r="Q43" t="inlineStr">
        <is>
          <t>CN</t>
        </is>
      </c>
      <c r="R43" t="n">
        <v>336</v>
      </c>
      <c r="S43" t="n">
        <v>662</v>
      </c>
      <c r="T43" t="n">
        <v>1160</v>
      </c>
    </row>
    <row r="44">
      <c r="A44" t="n">
        <v>43</v>
      </c>
      <c r="B44" t="inlineStr">
        <is>
          <t>22/04/2026</t>
        </is>
      </c>
      <c r="C44" t="inlineStr">
        <is>
          <t>CN</t>
        </is>
      </c>
      <c r="D44" t="n">
        <v>737</v>
      </c>
      <c r="E44" t="n">
        <v>801</v>
      </c>
      <c r="F44" t="n">
        <v>616</v>
      </c>
      <c r="H44">
        <f>IF(B32="","",TEXT(B32,"dd/mm") &amp; "-" &amp; IF(UPPER(TRIM(C32))="CN",1,IF(UPPER(TRIM(C32))="CD",2,"")))</f>
        <v/>
      </c>
      <c r="I44" s="1" t="n">
        <v>0.3</v>
      </c>
      <c r="J44" s="1" t="n">
        <v>0.4235294117647059</v>
      </c>
      <c r="K44" s="1">
        <f>IFERROR($E32/SUM($D32:$F32),"")</f>
        <v/>
      </c>
      <c r="L44" s="1">
        <f>IFERROR($D32/SUM($D32:$F32),"")</f>
        <v/>
      </c>
      <c r="M44" s="1">
        <f>IFERROR($F32/SUM($D32:$F32),"")</f>
        <v/>
      </c>
      <c r="O44" t="n">
        <v>43</v>
      </c>
      <c r="P44" t="inlineStr">
        <is>
          <t>22/01/2026</t>
        </is>
      </c>
      <c r="Q44" t="inlineStr">
        <is>
          <t>CD</t>
        </is>
      </c>
      <c r="R44" t="n">
        <v>1033</v>
      </c>
      <c r="S44" t="n">
        <v>639</v>
      </c>
      <c r="T44" t="n">
        <v>483</v>
      </c>
    </row>
    <row r="45">
      <c r="A45" t="n">
        <v>44</v>
      </c>
      <c r="B45" t="inlineStr">
        <is>
          <t>22/04/2026</t>
        </is>
      </c>
      <c r="C45" t="inlineStr">
        <is>
          <t>CD</t>
        </is>
      </c>
      <c r="D45" t="n">
        <v>912</v>
      </c>
      <c r="E45" t="n">
        <v>778</v>
      </c>
      <c r="F45" t="n">
        <v>465</v>
      </c>
      <c r="H45">
        <f>IF(B33="","",TEXT(B33,"dd/mm") &amp; "-" &amp; IF(UPPER(TRIM(C33))="CN",1,IF(UPPER(TRIM(C33))="CD",2,"")))</f>
        <v/>
      </c>
      <c r="I45" s="1" t="n">
        <v>0.3</v>
      </c>
      <c r="J45" s="1" t="n">
        <v>0.4235294117647059</v>
      </c>
      <c r="K45" s="1">
        <f>IFERROR($E33/SUM($D33:$F33),"")</f>
        <v/>
      </c>
      <c r="L45" s="1">
        <f>IFERROR($D33/SUM($D33:$F33),"")</f>
        <v/>
      </c>
      <c r="M45" s="1">
        <f>IFERROR($F33/SUM($D33:$F33),"")</f>
        <v/>
      </c>
      <c r="O45" t="n">
        <v>44</v>
      </c>
      <c r="P45" t="inlineStr">
        <is>
          <t>23/01/2026</t>
        </is>
      </c>
      <c r="Q45" t="inlineStr">
        <is>
          <t>CN</t>
        </is>
      </c>
      <c r="R45" t="n">
        <v>445</v>
      </c>
      <c r="S45" t="n">
        <v>1052</v>
      </c>
      <c r="T45" t="n">
        <v>659</v>
      </c>
    </row>
    <row r="46">
      <c r="A46" t="n">
        <v>45</v>
      </c>
      <c r="B46" t="inlineStr">
        <is>
          <t>23/04/2026</t>
        </is>
      </c>
      <c r="C46" t="inlineStr">
        <is>
          <t>CN</t>
        </is>
      </c>
      <c r="D46" t="n">
        <v>832</v>
      </c>
      <c r="E46" t="n">
        <v>704</v>
      </c>
      <c r="F46" t="n">
        <v>616</v>
      </c>
      <c r="H46">
        <f>IF(B34="","",TEXT(B34,"dd/mm") &amp; "-" &amp; IF(UPPER(TRIM(C34))="CN",1,IF(UPPER(TRIM(C34))="CD",2,"")))</f>
        <v/>
      </c>
      <c r="I46" s="1" t="n">
        <v>0.3</v>
      </c>
      <c r="J46" s="1" t="n">
        <v>0.4235294117647059</v>
      </c>
      <c r="K46" s="1">
        <f>IFERROR($E34/SUM($D34:$F34),"")</f>
        <v/>
      </c>
      <c r="L46" s="1">
        <f>IFERROR($D34/SUM($D34:$F34),"")</f>
        <v/>
      </c>
      <c r="M46" s="1">
        <f>IFERROR($F34/SUM($D34:$F34),"")</f>
        <v/>
      </c>
      <c r="O46" t="n">
        <v>45</v>
      </c>
      <c r="P46" t="inlineStr">
        <is>
          <t>23/01/2026</t>
        </is>
      </c>
      <c r="Q46" t="inlineStr">
        <is>
          <t>CD</t>
        </is>
      </c>
      <c r="R46" t="n">
        <v>806</v>
      </c>
      <c r="S46" t="n">
        <v>566</v>
      </c>
      <c r="T46" t="n">
        <v>783</v>
      </c>
    </row>
    <row r="47">
      <c r="A47" t="n">
        <v>46</v>
      </c>
      <c r="B47" t="inlineStr">
        <is>
          <t>23/04/2026</t>
        </is>
      </c>
      <c r="C47" t="inlineStr">
        <is>
          <t>CD</t>
        </is>
      </c>
      <c r="D47" t="n">
        <v>553</v>
      </c>
      <c r="E47" t="n">
        <v>1071</v>
      </c>
      <c r="F47" t="n">
        <v>533</v>
      </c>
      <c r="H47">
        <f>IF(B35="","",TEXT(B35,"dd/mm") &amp; "-" &amp; IF(UPPER(TRIM(C35))="CN",1,IF(UPPER(TRIM(C35))="CD",2,"")))</f>
        <v/>
      </c>
      <c r="I47" s="1" t="n">
        <v>0.3</v>
      </c>
      <c r="J47" s="1" t="n">
        <v>0.4235294117647059</v>
      </c>
      <c r="K47" s="1">
        <f>IFERROR($E35/SUM($D35:$F35),"")</f>
        <v/>
      </c>
      <c r="L47" s="1">
        <f>IFERROR($D35/SUM($D35:$F35),"")</f>
        <v/>
      </c>
      <c r="M47" s="1">
        <f>IFERROR($F35/SUM($D35:$F35),"")</f>
        <v/>
      </c>
      <c r="O47" t="n">
        <v>46</v>
      </c>
      <c r="P47" t="inlineStr">
        <is>
          <t>24/01/2026</t>
        </is>
      </c>
      <c r="Q47" t="inlineStr">
        <is>
          <t>CN</t>
        </is>
      </c>
      <c r="R47" t="n">
        <v>380</v>
      </c>
      <c r="S47" t="n">
        <v>1053</v>
      </c>
      <c r="T47" t="n">
        <v>722</v>
      </c>
    </row>
    <row r="48">
      <c r="A48" t="n">
        <v>47</v>
      </c>
      <c r="B48" t="inlineStr">
        <is>
          <t>24/04/2026</t>
        </is>
      </c>
      <c r="C48" t="inlineStr">
        <is>
          <t>CN</t>
        </is>
      </c>
      <c r="D48" t="n">
        <v>842</v>
      </c>
      <c r="E48" t="n">
        <v>698</v>
      </c>
      <c r="F48" t="n">
        <v>615</v>
      </c>
      <c r="H48">
        <f>IF(B36="","",TEXT(B36,"dd/mm") &amp; "-" &amp; IF(UPPER(TRIM(C36))="CN",1,IF(UPPER(TRIM(C36))="CD",2,"")))</f>
        <v/>
      </c>
      <c r="I48" s="1" t="n">
        <v>0.3</v>
      </c>
      <c r="J48" s="1" t="n">
        <v>0.4235294117647059</v>
      </c>
      <c r="K48" s="1">
        <f>IFERROR($E36/SUM($D36:$F36),"")</f>
        <v/>
      </c>
      <c r="L48" s="1">
        <f>IFERROR($D36/SUM($D36:$F36),"")</f>
        <v/>
      </c>
      <c r="M48" s="1">
        <f>IFERROR($F36/SUM($D36:$F36),"")</f>
        <v/>
      </c>
      <c r="O48" t="n">
        <v>47</v>
      </c>
      <c r="P48" t="inlineStr">
        <is>
          <t>24/01/2026</t>
        </is>
      </c>
      <c r="Q48" t="inlineStr">
        <is>
          <t>CD</t>
        </is>
      </c>
      <c r="R48" t="n">
        <v>443</v>
      </c>
      <c r="S48" t="n">
        <v>512</v>
      </c>
      <c r="T48" t="n">
        <v>1200</v>
      </c>
    </row>
    <row r="49">
      <c r="A49" t="n">
        <v>48</v>
      </c>
      <c r="B49" t="inlineStr">
        <is>
          <t>24/04/2026</t>
        </is>
      </c>
      <c r="C49" t="inlineStr">
        <is>
          <t>CD</t>
        </is>
      </c>
      <c r="D49" t="n">
        <v>630</v>
      </c>
      <c r="E49" t="n">
        <v>924</v>
      </c>
      <c r="F49" t="n">
        <v>603</v>
      </c>
      <c r="H49">
        <f>IF(B37="","",TEXT(B37,"dd/mm") &amp; "-" &amp; IF(UPPER(TRIM(C37))="CN",1,IF(UPPER(TRIM(C37))="CD",2,"")))</f>
        <v/>
      </c>
      <c r="I49" s="1" t="n">
        <v>0.3</v>
      </c>
      <c r="J49" s="1" t="n">
        <v>0.4235294117647059</v>
      </c>
      <c r="K49" s="1">
        <f>IFERROR($E37/SUM($D37:$F37),"")</f>
        <v/>
      </c>
      <c r="L49" s="1">
        <f>IFERROR($D37/SUM($D37:$F37),"")</f>
        <v/>
      </c>
      <c r="M49" s="1">
        <f>IFERROR($F37/SUM($D37:$F37),"")</f>
        <v/>
      </c>
      <c r="O49" t="n">
        <v>48</v>
      </c>
      <c r="P49" t="inlineStr">
        <is>
          <t>25/01/2026</t>
        </is>
      </c>
      <c r="Q49" t="inlineStr">
        <is>
          <t>CN</t>
        </is>
      </c>
      <c r="R49" t="n">
        <v>0</v>
      </c>
      <c r="S49" t="n">
        <v>0</v>
      </c>
      <c r="T49" t="n">
        <v>2160</v>
      </c>
    </row>
    <row r="50">
      <c r="A50" t="n">
        <v>49</v>
      </c>
      <c r="B50" t="inlineStr">
        <is>
          <t>25/04/2026</t>
        </is>
      </c>
      <c r="C50" t="inlineStr">
        <is>
          <t>CN</t>
        </is>
      </c>
      <c r="D50" t="n">
        <v>417</v>
      </c>
      <c r="E50" t="n">
        <v>529</v>
      </c>
      <c r="F50" t="n">
        <v>1209</v>
      </c>
      <c r="H50">
        <f>IF(B38="","",TEXT(B38,"dd/mm") &amp; "-" &amp; IF(UPPER(TRIM(C38))="CN",1,IF(UPPER(TRIM(C38))="CD",2,"")))</f>
        <v/>
      </c>
      <c r="I50" s="1" t="n">
        <v>0.3</v>
      </c>
      <c r="J50" s="1" t="n">
        <v>0.4235294117647059</v>
      </c>
      <c r="K50" s="1">
        <f>IFERROR($E38/SUM($D38:$F38),"")</f>
        <v/>
      </c>
      <c r="L50" s="1">
        <f>IFERROR($D38/SUM($D38:$F38),"")</f>
        <v/>
      </c>
      <c r="M50" s="1">
        <f>IFERROR($F38/SUM($D38:$F38),"")</f>
        <v/>
      </c>
      <c r="O50" t="n">
        <v>49</v>
      </c>
      <c r="P50" t="inlineStr">
        <is>
          <t>25/01/2026</t>
        </is>
      </c>
      <c r="Q50" t="inlineStr">
        <is>
          <t>CD</t>
        </is>
      </c>
      <c r="R50" t="n">
        <v>0</v>
      </c>
      <c r="S50" t="n">
        <v>0</v>
      </c>
      <c r="T50" t="n">
        <v>2160</v>
      </c>
    </row>
    <row r="51">
      <c r="A51" t="n">
        <v>50</v>
      </c>
      <c r="B51" t="inlineStr">
        <is>
          <t>25/04/2026</t>
        </is>
      </c>
      <c r="C51" t="inlineStr">
        <is>
          <t>CD</t>
        </is>
      </c>
      <c r="D51" t="n">
        <v>643</v>
      </c>
      <c r="E51" t="n">
        <v>201</v>
      </c>
      <c r="F51" t="n">
        <v>1315</v>
      </c>
      <c r="H51">
        <f>IF(B39="","",TEXT(B39,"dd/mm") &amp; "-" &amp; IF(UPPER(TRIM(C39))="CN",1,IF(UPPER(TRIM(C39))="CD",2,"")))</f>
        <v/>
      </c>
      <c r="I51" s="1" t="n">
        <v>0.3</v>
      </c>
      <c r="J51" s="1" t="n">
        <v>0.4235294117647059</v>
      </c>
      <c r="K51" s="1">
        <f>IFERROR($E39/SUM($D39:$F39),"")</f>
        <v/>
      </c>
      <c r="L51" s="1">
        <f>IFERROR($D39/SUM($D39:$F39),"")</f>
        <v/>
      </c>
      <c r="M51" s="1">
        <f>IFERROR($F39/SUM($D39:$F39),"")</f>
        <v/>
      </c>
      <c r="O51" t="n">
        <v>50</v>
      </c>
      <c r="P51" t="inlineStr">
        <is>
          <t>26/01/2026</t>
        </is>
      </c>
      <c r="Q51" t="inlineStr">
        <is>
          <t>CN</t>
        </is>
      </c>
      <c r="R51" t="n">
        <v>793</v>
      </c>
      <c r="S51" t="n">
        <v>733</v>
      </c>
      <c r="T51" t="n">
        <v>628</v>
      </c>
    </row>
    <row r="52">
      <c r="A52" t="n">
        <v>51</v>
      </c>
      <c r="B52" t="inlineStr">
        <is>
          <t>26/04/2026</t>
        </is>
      </c>
      <c r="C52" t="inlineStr">
        <is>
          <t>CN</t>
        </is>
      </c>
      <c r="D52" t="n">
        <v>0</v>
      </c>
      <c r="E52" t="n">
        <v>0</v>
      </c>
      <c r="F52" t="n">
        <v>2160</v>
      </c>
      <c r="H52">
        <f>IF(B40="","",TEXT(B40,"dd/mm") &amp; "-" &amp; IF(UPPER(TRIM(C40))="CN",1,IF(UPPER(TRIM(C40))="CD",2,"")))</f>
        <v/>
      </c>
      <c r="I52" s="1" t="n">
        <v>0.3</v>
      </c>
      <c r="J52" s="1" t="n">
        <v>0.4235294117647059</v>
      </c>
      <c r="K52" s="1">
        <f>IFERROR($E40/SUM($D40:$F40),"")</f>
        <v/>
      </c>
      <c r="L52" s="1">
        <f>IFERROR($D40/SUM($D40:$F40),"")</f>
        <v/>
      </c>
      <c r="M52" s="1">
        <f>IFERROR($F40/SUM($D40:$F40),"")</f>
        <v/>
      </c>
      <c r="O52" t="n">
        <v>51</v>
      </c>
      <c r="P52" t="inlineStr">
        <is>
          <t>26/01/2026</t>
        </is>
      </c>
      <c r="Q52" t="inlineStr">
        <is>
          <t>CD</t>
        </is>
      </c>
      <c r="R52" t="n">
        <v>938</v>
      </c>
      <c r="S52" t="n">
        <v>825</v>
      </c>
      <c r="T52" t="n">
        <v>393</v>
      </c>
    </row>
    <row r="53">
      <c r="A53" t="n">
        <v>52</v>
      </c>
      <c r="B53" t="inlineStr">
        <is>
          <t>26/04/2026</t>
        </is>
      </c>
      <c r="C53" t="inlineStr">
        <is>
          <t>CD</t>
        </is>
      </c>
      <c r="D53" t="n">
        <v>0</v>
      </c>
      <c r="E53" t="n">
        <v>0</v>
      </c>
      <c r="F53" t="n">
        <v>2160</v>
      </c>
      <c r="H53">
        <f>IF(B41="","",TEXT(B41,"dd/mm") &amp; "-" &amp; IF(UPPER(TRIM(C41))="CN",1,IF(UPPER(TRIM(C41))="CD",2,"")))</f>
        <v/>
      </c>
      <c r="I53" s="1" t="n">
        <v>0.3</v>
      </c>
      <c r="J53" s="1" t="n">
        <v>0.4235294117647059</v>
      </c>
      <c r="K53" s="1">
        <f>IFERROR($E41/SUM($D41:$F41),"")</f>
        <v/>
      </c>
      <c r="L53" s="1">
        <f>IFERROR($D41/SUM($D41:$F41),"")</f>
        <v/>
      </c>
      <c r="M53" s="1">
        <f>IFERROR($F41/SUM($D41:$F41),"")</f>
        <v/>
      </c>
      <c r="O53" t="n">
        <v>52</v>
      </c>
      <c r="P53" t="inlineStr">
        <is>
          <t>27/01/2026</t>
        </is>
      </c>
      <c r="Q53" t="inlineStr">
        <is>
          <t>CN</t>
        </is>
      </c>
      <c r="R53" t="n">
        <v>847</v>
      </c>
      <c r="S53" t="n">
        <v>676</v>
      </c>
      <c r="T53" t="n">
        <v>630</v>
      </c>
    </row>
    <row r="54">
      <c r="A54" t="n">
        <v>53</v>
      </c>
      <c r="B54" t="inlineStr">
        <is>
          <t>27/04/2026</t>
        </is>
      </c>
      <c r="C54" t="inlineStr">
        <is>
          <t>CN</t>
        </is>
      </c>
      <c r="D54" t="n">
        <v>790</v>
      </c>
      <c r="E54" t="n">
        <v>754</v>
      </c>
      <c r="F54" t="n">
        <v>615</v>
      </c>
      <c r="H54">
        <f>IF(B42="","",TEXT(B42,"dd/mm") &amp; "-" &amp; IF(UPPER(TRIM(C42))="CN",1,IF(UPPER(TRIM(C42))="CD",2,"")))</f>
        <v/>
      </c>
      <c r="I54" s="1" t="n">
        <v>0.3</v>
      </c>
      <c r="J54" s="1" t="n">
        <v>0.4235294117647059</v>
      </c>
      <c r="K54" s="1">
        <f>IFERROR($E42/SUM($D42:$F42),"")</f>
        <v/>
      </c>
      <c r="L54" s="1">
        <f>IFERROR($D42/SUM($D42:$F42),"")</f>
        <v/>
      </c>
      <c r="M54" s="1">
        <f>IFERROR($F42/SUM($D42:$F42),"")</f>
        <v/>
      </c>
      <c r="O54" t="n">
        <v>53</v>
      </c>
      <c r="P54" t="inlineStr">
        <is>
          <t>27/01/2026</t>
        </is>
      </c>
      <c r="Q54" t="inlineStr">
        <is>
          <t>CD</t>
        </is>
      </c>
      <c r="R54" t="n">
        <v>535</v>
      </c>
      <c r="S54" t="n">
        <v>1092</v>
      </c>
      <c r="T54" t="n">
        <v>528</v>
      </c>
    </row>
    <row r="55">
      <c r="A55" t="n">
        <v>54</v>
      </c>
      <c r="B55" t="inlineStr">
        <is>
          <t>27/04/2026</t>
        </is>
      </c>
      <c r="C55" t="inlineStr">
        <is>
          <t>CD</t>
        </is>
      </c>
      <c r="D55" t="n">
        <v>729</v>
      </c>
      <c r="E55" t="n">
        <v>792</v>
      </c>
      <c r="F55" t="n">
        <v>631</v>
      </c>
      <c r="H55">
        <f>IF(B43="","",TEXT(B43,"dd/mm") &amp; "-" &amp; IF(UPPER(TRIM(C43))="CN",1,IF(UPPER(TRIM(C43))="CD",2,"")))</f>
        <v/>
      </c>
      <c r="I55" s="1" t="n">
        <v>0.3</v>
      </c>
      <c r="J55" s="1" t="n">
        <v>0.4235294117647059</v>
      </c>
      <c r="K55" s="1">
        <f>IFERROR($E43/SUM($D43:$F43),"")</f>
        <v/>
      </c>
      <c r="L55" s="1">
        <f>IFERROR($D43/SUM($D43:$F43),"")</f>
        <v/>
      </c>
      <c r="M55" s="1">
        <f>IFERROR($F43/SUM($D43:$F43),"")</f>
        <v/>
      </c>
      <c r="O55" t="n">
        <v>54</v>
      </c>
      <c r="P55" t="inlineStr">
        <is>
          <t>28/01/2026</t>
        </is>
      </c>
      <c r="Q55" t="inlineStr">
        <is>
          <t>CN</t>
        </is>
      </c>
      <c r="R55" t="n">
        <v>522</v>
      </c>
      <c r="S55" t="n">
        <v>497</v>
      </c>
      <c r="T55" t="n">
        <v>1137</v>
      </c>
    </row>
    <row r="56">
      <c r="H56">
        <f>IF(B44="","",TEXT(B44,"dd/mm") &amp; "-" &amp; IF(UPPER(TRIM(C44))="CN",1,IF(UPPER(TRIM(C44))="CD",2,"")))</f>
        <v/>
      </c>
      <c r="I56" s="1" t="n">
        <v>0.3</v>
      </c>
      <c r="J56" s="1" t="n">
        <v>0.4235294117647059</v>
      </c>
      <c r="K56" s="1">
        <f>IFERROR($E44/SUM($D44:$F44),"")</f>
        <v/>
      </c>
      <c r="L56" s="1">
        <f>IFERROR($D44/SUM($D44:$F44),"")</f>
        <v/>
      </c>
      <c r="M56" s="1">
        <f>IFERROR($F44/SUM($D44:$F44),"")</f>
        <v/>
      </c>
      <c r="O56" t="n">
        <v>55</v>
      </c>
      <c r="P56" t="inlineStr">
        <is>
          <t>28/01/2026</t>
        </is>
      </c>
      <c r="Q56" t="inlineStr">
        <is>
          <t>CD</t>
        </is>
      </c>
      <c r="R56" t="n">
        <v>529</v>
      </c>
      <c r="S56" t="n">
        <v>1055</v>
      </c>
      <c r="T56" t="n">
        <v>572</v>
      </c>
    </row>
    <row r="57">
      <c r="H57">
        <f>IF(B45="","",TEXT(B45,"dd/mm") &amp; "-" &amp; IF(UPPER(TRIM(C45))="CN",1,IF(UPPER(TRIM(C45))="CD",2,"")))</f>
        <v/>
      </c>
      <c r="I57" s="1" t="n">
        <v>0.3</v>
      </c>
      <c r="J57" s="1" t="n">
        <v>0.4235294117647059</v>
      </c>
      <c r="K57" s="1">
        <f>IFERROR($E45/SUM($D45:$F45),"")</f>
        <v/>
      </c>
      <c r="L57" s="1">
        <f>IFERROR($D45/SUM($D45:$F45),"")</f>
        <v/>
      </c>
      <c r="M57" s="1">
        <f>IFERROR($F45/SUM($D45:$F45),"")</f>
        <v/>
      </c>
      <c r="O57" t="n">
        <v>56</v>
      </c>
      <c r="P57" t="inlineStr">
        <is>
          <t>29/01/2026</t>
        </is>
      </c>
      <c r="Q57" t="inlineStr">
        <is>
          <t>CN</t>
        </is>
      </c>
      <c r="R57" t="n">
        <v>842</v>
      </c>
      <c r="S57" t="n">
        <v>673</v>
      </c>
      <c r="T57" t="n">
        <v>639</v>
      </c>
    </row>
    <row r="58">
      <c r="H58">
        <f>IF(B46="","",TEXT(B46,"dd/mm") &amp; "-" &amp; IF(UPPER(TRIM(C46))="CN",1,IF(UPPER(TRIM(C46))="CD",2,"")))</f>
        <v/>
      </c>
      <c r="I58" s="1" t="n">
        <v>0.3</v>
      </c>
      <c r="J58" s="1" t="n">
        <v>0.4235294117647059</v>
      </c>
      <c r="K58" s="1">
        <f>IFERROR($E46/SUM($D46:$F46),"")</f>
        <v/>
      </c>
      <c r="L58" s="1">
        <f>IFERROR($D46/SUM($D46:$F46),"")</f>
        <v/>
      </c>
      <c r="M58" s="1">
        <f>IFERROR($F46/SUM($D46:$F46),"")</f>
        <v/>
      </c>
      <c r="O58" t="n">
        <v>57</v>
      </c>
      <c r="P58" t="inlineStr">
        <is>
          <t>29/01/2026</t>
        </is>
      </c>
      <c r="Q58" t="inlineStr">
        <is>
          <t>CD</t>
        </is>
      </c>
      <c r="R58" t="n">
        <v>582</v>
      </c>
      <c r="S58" t="n">
        <v>1051</v>
      </c>
      <c r="T58" t="n">
        <v>522</v>
      </c>
    </row>
    <row r="59">
      <c r="H59">
        <f>IF(B47="","",TEXT(B47,"dd/mm") &amp; "-" &amp; IF(UPPER(TRIM(C47))="CN",1,IF(UPPER(TRIM(C47))="CD",2,"")))</f>
        <v/>
      </c>
      <c r="I59" s="1" t="n">
        <v>0.3</v>
      </c>
      <c r="J59" s="1" t="n">
        <v>0.4235294117647059</v>
      </c>
      <c r="K59" s="1">
        <f>IFERROR($E47/SUM($D47:$F47),"")</f>
        <v/>
      </c>
      <c r="L59" s="1">
        <f>IFERROR($D47/SUM($D47:$F47),"")</f>
        <v/>
      </c>
      <c r="M59" s="1">
        <f>IFERROR($F47/SUM($D47:$F47),"")</f>
        <v/>
      </c>
      <c r="O59" t="n">
        <v>58</v>
      </c>
      <c r="P59" t="inlineStr">
        <is>
          <t>30/01/2026</t>
        </is>
      </c>
      <c r="Q59" t="inlineStr">
        <is>
          <t>CN</t>
        </is>
      </c>
      <c r="R59" t="n">
        <v>920</v>
      </c>
      <c r="S59" t="n">
        <v>605</v>
      </c>
      <c r="T59" t="n">
        <v>629</v>
      </c>
    </row>
    <row r="60">
      <c r="H60">
        <f>IF(B48="","",TEXT(B48,"dd/mm") &amp; "-" &amp; IF(UPPER(TRIM(C48))="CN",1,IF(UPPER(TRIM(C48))="CD",2,"")))</f>
        <v/>
      </c>
      <c r="I60" s="1" t="n">
        <v>0.3</v>
      </c>
      <c r="J60" s="1" t="n">
        <v>0.4235294117647059</v>
      </c>
      <c r="K60" s="1">
        <f>IFERROR($E48/SUM($D48:$F48),"")</f>
        <v/>
      </c>
      <c r="L60" s="1">
        <f>IFERROR($D48/SUM($D48:$F48),"")</f>
        <v/>
      </c>
      <c r="M60" s="1">
        <f>IFERROR($F48/SUM($D48:$F48),"")</f>
        <v/>
      </c>
      <c r="O60" t="n">
        <v>59</v>
      </c>
      <c r="P60" t="inlineStr">
        <is>
          <t>30/01/2026</t>
        </is>
      </c>
      <c r="Q60" t="inlineStr">
        <is>
          <t>CD</t>
        </is>
      </c>
      <c r="R60" t="n">
        <v>979</v>
      </c>
      <c r="S60" t="n">
        <v>708</v>
      </c>
      <c r="T60" t="n">
        <v>469</v>
      </c>
    </row>
    <row r="61">
      <c r="H61">
        <f>IF(B49="","",TEXT(B49,"dd/mm") &amp; "-" &amp; IF(UPPER(TRIM(C49))="CN",1,IF(UPPER(TRIM(C49))="CD",2,"")))</f>
        <v/>
      </c>
      <c r="I61" s="1" t="n">
        <v>0.3</v>
      </c>
      <c r="J61" s="1" t="n">
        <v>0.4235294117647059</v>
      </c>
      <c r="K61" s="1">
        <f>IFERROR($E49/SUM($D49:$F49),"")</f>
        <v/>
      </c>
      <c r="L61" s="1">
        <f>IFERROR($D49/SUM($D49:$F49),"")</f>
        <v/>
      </c>
      <c r="M61" s="1">
        <f>IFERROR($F49/SUM($D49:$F49),"")</f>
        <v/>
      </c>
      <c r="O61" t="n">
        <v>60</v>
      </c>
      <c r="P61" t="inlineStr">
        <is>
          <t>31/01/2026</t>
        </is>
      </c>
      <c r="Q61" t="inlineStr">
        <is>
          <t>CN</t>
        </is>
      </c>
      <c r="R61" t="n">
        <v>598</v>
      </c>
      <c r="S61" t="n">
        <v>827</v>
      </c>
      <c r="T61" t="n">
        <v>730</v>
      </c>
    </row>
    <row r="62">
      <c r="H62">
        <f>IF(B50="","",TEXT(B50,"dd/mm") &amp; "-" &amp; IF(UPPER(TRIM(C50))="CN",1,IF(UPPER(TRIM(C50))="CD",2,"")))</f>
        <v/>
      </c>
      <c r="I62" s="1" t="n">
        <v>0.3</v>
      </c>
      <c r="J62" s="1" t="n">
        <v>0.4235294117647059</v>
      </c>
      <c r="K62" s="1">
        <f>IFERROR($E50/SUM($D50:$F50),"")</f>
        <v/>
      </c>
      <c r="L62" s="1">
        <f>IFERROR($D50/SUM($D50:$F50),"")</f>
        <v/>
      </c>
      <c r="M62" s="1">
        <f>IFERROR($F50/SUM($D50:$F50),"")</f>
        <v/>
      </c>
      <c r="O62" t="n">
        <v>61</v>
      </c>
      <c r="P62" t="inlineStr">
        <is>
          <t>31/01/2026</t>
        </is>
      </c>
      <c r="Q62" t="inlineStr">
        <is>
          <t>CD</t>
        </is>
      </c>
      <c r="R62" t="n">
        <v>685</v>
      </c>
      <c r="S62" t="n">
        <v>609</v>
      </c>
      <c r="T62" t="n">
        <v>861</v>
      </c>
    </row>
    <row r="63">
      <c r="H63">
        <f>IF(B51="","",TEXT(B51,"dd/mm") &amp; "-" &amp; IF(UPPER(TRIM(C51))="CN",1,IF(UPPER(TRIM(C51))="CD",2,"")))</f>
        <v/>
      </c>
      <c r="I63" s="1" t="n">
        <v>0.3</v>
      </c>
      <c r="J63" s="1" t="n">
        <v>0.4235294117647059</v>
      </c>
      <c r="K63" s="1">
        <f>IFERROR($E51/SUM($D51:$F51),"")</f>
        <v/>
      </c>
      <c r="L63" s="1">
        <f>IFERROR($D51/SUM($D51:$F51),"")</f>
        <v/>
      </c>
      <c r="M63" s="1">
        <f>IFERROR($F51/SUM($D51:$F51),"")</f>
        <v/>
      </c>
      <c r="O63" t="n">
        <v>62</v>
      </c>
      <c r="P63" t="inlineStr">
        <is>
          <t>01/02/2026</t>
        </is>
      </c>
      <c r="Q63" t="inlineStr">
        <is>
          <t>CN</t>
        </is>
      </c>
      <c r="R63" t="n">
        <v>0</v>
      </c>
      <c r="S63" t="n">
        <v>0</v>
      </c>
      <c r="T63" t="n">
        <v>2160</v>
      </c>
    </row>
    <row r="64">
      <c r="H64">
        <f>IF(B52="","",TEXT(B52,"dd/mm") &amp; "-" &amp; IF(UPPER(TRIM(C52))="CN",1,IF(UPPER(TRIM(C52))="CD",2,"")))</f>
        <v/>
      </c>
      <c r="I64" s="1" t="n">
        <v>0.3</v>
      </c>
      <c r="J64" s="1" t="n">
        <v>0.4235294117647059</v>
      </c>
      <c r="K64" s="1">
        <f>IFERROR($E52/SUM($D52:$F52),"")</f>
        <v/>
      </c>
      <c r="L64" s="1">
        <f>IFERROR($D52/SUM($D52:$F52),"")</f>
        <v/>
      </c>
      <c r="M64" s="1">
        <f>IFERROR($F52/SUM($D52:$F52),"")</f>
        <v/>
      </c>
      <c r="O64" t="n">
        <v>63</v>
      </c>
      <c r="P64" t="inlineStr">
        <is>
          <t>01/02/2026</t>
        </is>
      </c>
      <c r="Q64" t="inlineStr">
        <is>
          <t>CD</t>
        </is>
      </c>
      <c r="R64" t="n">
        <v>0</v>
      </c>
      <c r="S64" t="n">
        <v>0</v>
      </c>
      <c r="T64" t="n">
        <v>2160</v>
      </c>
    </row>
    <row r="65">
      <c r="H65">
        <f>IF(B53="","",TEXT(B53,"dd/mm") &amp; "-" &amp; IF(UPPER(TRIM(C53))="CN",1,IF(UPPER(TRIM(C53))="CD",2,"")))</f>
        <v/>
      </c>
      <c r="I65" s="1" t="n">
        <v>0.3</v>
      </c>
      <c r="J65" s="1" t="n">
        <v>0.4235294117647059</v>
      </c>
      <c r="K65" s="1">
        <f>IFERROR($E53/SUM($D53:$F53),"")</f>
        <v/>
      </c>
      <c r="L65" s="1">
        <f>IFERROR($D53/SUM($D53:$F53),"")</f>
        <v/>
      </c>
      <c r="M65" s="1">
        <f>IFERROR($F53/SUM($D53:$F53),"")</f>
        <v/>
      </c>
      <c r="O65" t="n">
        <v>64</v>
      </c>
      <c r="P65" t="inlineStr">
        <is>
          <t>02/02/2026</t>
        </is>
      </c>
      <c r="Q65" t="inlineStr">
        <is>
          <t>CN</t>
        </is>
      </c>
      <c r="R65" t="n">
        <v>440</v>
      </c>
      <c r="S65" t="n">
        <v>1081</v>
      </c>
      <c r="T65" t="n">
        <v>637</v>
      </c>
    </row>
    <row r="66">
      <c r="H66">
        <f>IF(B54="","",TEXT(B54,"dd/mm") &amp; "-" &amp; IF(UPPER(TRIM(C54))="CN",1,IF(UPPER(TRIM(C54))="CD",2,"")))</f>
        <v/>
      </c>
      <c r="I66" s="1" t="n">
        <v>0.3</v>
      </c>
      <c r="J66" s="1" t="n">
        <v>0.4235294117647059</v>
      </c>
      <c r="K66" s="1">
        <f>IFERROR($E54/SUM($D54:$F54),"")</f>
        <v/>
      </c>
      <c r="L66" s="1">
        <f>IFERROR($D54/SUM($D54:$F54),"")</f>
        <v/>
      </c>
      <c r="M66" s="1">
        <f>IFERROR($F54/SUM($D54:$F54),"")</f>
        <v/>
      </c>
      <c r="O66" t="n">
        <v>65</v>
      </c>
      <c r="P66" t="inlineStr">
        <is>
          <t>02/02/2026</t>
        </is>
      </c>
      <c r="Q66" t="inlineStr">
        <is>
          <t>CD</t>
        </is>
      </c>
      <c r="R66" t="n">
        <v>783</v>
      </c>
      <c r="S66" t="n">
        <v>897</v>
      </c>
      <c r="T66" t="n">
        <v>472</v>
      </c>
    </row>
    <row r="67">
      <c r="H67">
        <f>IF(B55="","",TEXT(B55,"dd/mm") &amp; "-" &amp; IF(UPPER(TRIM(C55))="CN",1,IF(UPPER(TRIM(C55))="CD",2,"")))</f>
        <v/>
      </c>
      <c r="I67" s="1" t="n">
        <v>0.3</v>
      </c>
      <c r="J67" s="1" t="n">
        <v>0.4235294117647059</v>
      </c>
      <c r="K67" s="1">
        <f>IFERROR($E55/SUM($D55:$F55),"")</f>
        <v/>
      </c>
      <c r="L67" s="1">
        <f>IFERROR($D55/SUM($D55:$F55),"")</f>
        <v/>
      </c>
      <c r="M67" s="1">
        <f>IFERROR($F55/SUM($D55:$F55),"")</f>
        <v/>
      </c>
      <c r="O67" t="n">
        <v>66</v>
      </c>
      <c r="P67" t="inlineStr">
        <is>
          <t>03/02/2026</t>
        </is>
      </c>
      <c r="Q67" t="inlineStr">
        <is>
          <t>CN</t>
        </is>
      </c>
      <c r="R67" t="n">
        <v>456</v>
      </c>
      <c r="S67" t="n">
        <v>1073</v>
      </c>
      <c r="T67" t="n">
        <v>626</v>
      </c>
    </row>
    <row r="68">
      <c r="H68">
        <f>IF(B56="","",TEXT(B56,"dd/mm") &amp; "-" &amp; IF(UPPER(TRIM(C56))="CN",1,IF(UPPER(TRIM(C56))="CD",2,"")))</f>
        <v/>
      </c>
      <c r="I68" s="1" t="n"/>
      <c r="J68" s="1" t="n"/>
      <c r="K68" s="1">
        <f>IFERROR($E56/SUM($D56:$F56),"")</f>
        <v/>
      </c>
      <c r="L68" s="1">
        <f>IFERROR($D56/SUM($D56:$F56),"")</f>
        <v/>
      </c>
      <c r="M68" s="1">
        <f>IFERROR($F56/SUM($D56:$F56),"")</f>
        <v/>
      </c>
      <c r="O68" t="n">
        <v>67</v>
      </c>
      <c r="P68" t="inlineStr">
        <is>
          <t>03/02/2026</t>
        </is>
      </c>
      <c r="Q68" t="inlineStr">
        <is>
          <t>CD</t>
        </is>
      </c>
      <c r="R68" t="n">
        <v>1033</v>
      </c>
      <c r="S68" t="n">
        <v>637</v>
      </c>
      <c r="T68" t="n">
        <v>485</v>
      </c>
    </row>
    <row r="69">
      <c r="H69">
        <f>IF(B57="","",TEXT(B57,"dd/mm") &amp; "-" &amp; IF(UPPER(TRIM(C57))="CN",1,IF(UPPER(TRIM(C57))="CD",2,"")))</f>
        <v/>
      </c>
      <c r="I69" s="1" t="n"/>
      <c r="J69" s="1" t="n"/>
      <c r="K69" s="1">
        <f>IFERROR($E57/SUM($D57:$F57),"")</f>
        <v/>
      </c>
      <c r="L69" s="1">
        <f>IFERROR($D57/SUM($D57:$F57),"")</f>
        <v/>
      </c>
      <c r="M69" s="1">
        <f>IFERROR($F57/SUM($D57:$F57),"")</f>
        <v/>
      </c>
      <c r="O69" t="n">
        <v>68</v>
      </c>
      <c r="P69" t="inlineStr">
        <is>
          <t>04/02/2026</t>
        </is>
      </c>
      <c r="Q69" t="inlineStr">
        <is>
          <t>CN</t>
        </is>
      </c>
      <c r="R69" t="n">
        <v>437</v>
      </c>
      <c r="S69" t="n">
        <v>1092</v>
      </c>
      <c r="T69" t="n">
        <v>627</v>
      </c>
    </row>
    <row r="70">
      <c r="H70">
        <f>IF(B58="","",TEXT(B58,"dd/mm") &amp; "-" &amp; IF(UPPER(TRIM(C58))="CN",1,IF(UPPER(TRIM(C58))="CD",2,"")))</f>
        <v/>
      </c>
      <c r="I70" s="1" t="n"/>
      <c r="J70" s="1" t="n"/>
      <c r="K70" s="1">
        <f>IFERROR($E58/SUM($D58:$F58),"")</f>
        <v/>
      </c>
      <c r="L70" s="1">
        <f>IFERROR($D58/SUM($D58:$F58),"")</f>
        <v/>
      </c>
      <c r="M70" s="1">
        <f>IFERROR($F58/SUM($D58:$F58),"")</f>
        <v/>
      </c>
      <c r="O70" t="n">
        <v>69</v>
      </c>
      <c r="P70" t="inlineStr">
        <is>
          <t>04/02/2026</t>
        </is>
      </c>
      <c r="Q70" t="inlineStr">
        <is>
          <t>CD</t>
        </is>
      </c>
      <c r="R70" t="n">
        <v>806</v>
      </c>
      <c r="S70" t="n">
        <v>869</v>
      </c>
      <c r="T70" t="n">
        <v>478</v>
      </c>
    </row>
    <row r="71">
      <c r="H71">
        <f>IF(B59="","",TEXT(B59,"dd/mm") &amp; "-" &amp; IF(UPPER(TRIM(C59))="CN",1,IF(UPPER(TRIM(C59))="CD",2,"")))</f>
        <v/>
      </c>
      <c r="I71" s="1" t="n"/>
      <c r="J71" s="1" t="n"/>
      <c r="K71" s="1">
        <f>IFERROR($E59/SUM($D59:$F59),"")</f>
        <v/>
      </c>
      <c r="L71" s="1">
        <f>IFERROR($D59/SUM($D59:$F59),"")</f>
        <v/>
      </c>
      <c r="M71" s="1">
        <f>IFERROR($F59/SUM($D59:$F59),"")</f>
        <v/>
      </c>
      <c r="O71" t="n">
        <v>70</v>
      </c>
      <c r="P71" t="inlineStr">
        <is>
          <t>05/02/2026</t>
        </is>
      </c>
      <c r="Q71" t="inlineStr">
        <is>
          <t>CN</t>
        </is>
      </c>
      <c r="R71" t="n">
        <v>422</v>
      </c>
      <c r="S71" t="n">
        <v>1101</v>
      </c>
      <c r="T71" t="n">
        <v>634</v>
      </c>
    </row>
    <row r="72">
      <c r="H72">
        <f>IF(B60="","",TEXT(B60,"dd/mm") &amp; "-" &amp; IF(UPPER(TRIM(C60))="CN",1,IF(UPPER(TRIM(C60))="CD",2,"")))</f>
        <v/>
      </c>
      <c r="I72" s="1" t="n"/>
      <c r="J72" s="1" t="n"/>
      <c r="K72" s="1">
        <f>IFERROR($E60/SUM($D60:$F60),"")</f>
        <v/>
      </c>
      <c r="L72" s="1">
        <f>IFERROR($D60/SUM($D60:$F60),"")</f>
        <v/>
      </c>
      <c r="M72" s="1">
        <f>IFERROR($F60/SUM($D60:$F60),"")</f>
        <v/>
      </c>
      <c r="O72" t="n">
        <v>71</v>
      </c>
      <c r="P72" t="inlineStr">
        <is>
          <t>05/02/2026</t>
        </is>
      </c>
      <c r="Q72" t="inlineStr">
        <is>
          <t>CD</t>
        </is>
      </c>
      <c r="R72" t="n">
        <v>884</v>
      </c>
      <c r="S72" t="n">
        <v>769</v>
      </c>
      <c r="T72" t="n">
        <v>499</v>
      </c>
    </row>
    <row r="73">
      <c r="H73">
        <f>IF(B61="","",TEXT(B61,"dd/mm") &amp; "-" &amp; IF(UPPER(TRIM(C61))="CN",1,IF(UPPER(TRIM(C61))="CD",2,"")))</f>
        <v/>
      </c>
      <c r="I73" s="1" t="n"/>
      <c r="J73" s="1" t="n"/>
      <c r="K73" s="1">
        <f>IFERROR($E61/SUM($D61:$F61),"")</f>
        <v/>
      </c>
      <c r="L73" s="1">
        <f>IFERROR($D61/SUM($D61:$F61),"")</f>
        <v/>
      </c>
      <c r="M73" s="1">
        <f>IFERROR($F61/SUM($D61:$F61),"")</f>
        <v/>
      </c>
      <c r="O73" t="n">
        <v>72</v>
      </c>
      <c r="P73" t="inlineStr">
        <is>
          <t>06/02/2026</t>
        </is>
      </c>
      <c r="Q73" t="inlineStr">
        <is>
          <t>CN</t>
        </is>
      </c>
      <c r="R73" t="n">
        <v>652</v>
      </c>
      <c r="S73" t="n">
        <v>875</v>
      </c>
      <c r="T73" t="n">
        <v>628</v>
      </c>
    </row>
    <row r="74">
      <c r="H74">
        <f>IF(B62="","",TEXT(B62,"dd/mm") &amp; "-" &amp; IF(UPPER(TRIM(C62))="CN",1,IF(UPPER(TRIM(C62))="CD",2,"")))</f>
        <v/>
      </c>
      <c r="I74" s="1" t="n"/>
      <c r="J74" s="1" t="n"/>
      <c r="K74" s="1">
        <f>IFERROR($E62/SUM($D62:$F62),"")</f>
        <v/>
      </c>
      <c r="L74" s="1">
        <f>IFERROR($D62/SUM($D62:$F62),"")</f>
        <v/>
      </c>
      <c r="M74" s="1">
        <f>IFERROR($F62/SUM($D62:$F62),"")</f>
        <v/>
      </c>
      <c r="O74" t="n">
        <v>73</v>
      </c>
      <c r="P74" t="inlineStr">
        <is>
          <t>06/02/2026</t>
        </is>
      </c>
      <c r="Q74" t="inlineStr">
        <is>
          <t>CD</t>
        </is>
      </c>
      <c r="R74" t="n">
        <v>969</v>
      </c>
      <c r="S74" t="n">
        <v>694</v>
      </c>
      <c r="T74" t="n">
        <v>491</v>
      </c>
    </row>
    <row r="75">
      <c r="H75">
        <f>IF(B63="","",TEXT(B63,"dd/mm") &amp; "-" &amp; IF(UPPER(TRIM(C63))="CN",1,IF(UPPER(TRIM(C63))="CD",2,"")))</f>
        <v/>
      </c>
      <c r="I75" s="1" t="n"/>
      <c r="J75" s="1" t="n"/>
      <c r="K75" s="1">
        <f>IFERROR($E63/SUM($D63:$F63),"")</f>
        <v/>
      </c>
      <c r="L75" s="1">
        <f>IFERROR($D63/SUM($D63:$F63),"")</f>
        <v/>
      </c>
      <c r="M75" s="1">
        <f>IFERROR($F63/SUM($D63:$F63),"")</f>
        <v/>
      </c>
      <c r="O75" t="n">
        <v>74</v>
      </c>
      <c r="P75" t="inlineStr">
        <is>
          <t>07/02/2026</t>
        </is>
      </c>
      <c r="Q75" t="inlineStr">
        <is>
          <t>CN</t>
        </is>
      </c>
      <c r="R75" t="n">
        <v>617</v>
      </c>
      <c r="S75" t="n">
        <v>826</v>
      </c>
      <c r="T75" t="n">
        <v>714</v>
      </c>
    </row>
    <row r="76">
      <c r="I76" s="1" t="n"/>
      <c r="J76" s="1" t="n"/>
      <c r="K76" s="1" t="n"/>
      <c r="L76" s="1" t="n"/>
      <c r="M76" s="1" t="n"/>
      <c r="O76" t="n">
        <v>75</v>
      </c>
      <c r="P76" t="inlineStr">
        <is>
          <t>07/02/2026</t>
        </is>
      </c>
      <c r="Q76" t="inlineStr">
        <is>
          <t>CD</t>
        </is>
      </c>
      <c r="R76" t="n">
        <v>676</v>
      </c>
      <c r="S76" t="n">
        <v>710</v>
      </c>
      <c r="T76" t="n">
        <v>769</v>
      </c>
    </row>
    <row r="77">
      <c r="I77" s="1" t="n"/>
      <c r="J77" s="1" t="n"/>
      <c r="K77" s="1" t="n"/>
      <c r="L77" s="1" t="n"/>
      <c r="M77" s="1" t="n"/>
      <c r="O77" t="n">
        <v>76</v>
      </c>
      <c r="P77" t="inlineStr">
        <is>
          <t>08/02/2026</t>
        </is>
      </c>
      <c r="Q77" t="inlineStr">
        <is>
          <t>CN</t>
        </is>
      </c>
      <c r="R77" t="n">
        <v>0</v>
      </c>
      <c r="S77" t="n">
        <v>0</v>
      </c>
      <c r="T77" t="n">
        <v>2160</v>
      </c>
    </row>
    <row r="78">
      <c r="I78" s="1" t="n"/>
      <c r="J78" s="1" t="n"/>
      <c r="K78" s="1" t="n"/>
      <c r="L78" s="1" t="n"/>
      <c r="M78" s="1" t="n"/>
      <c r="O78" t="n">
        <v>77</v>
      </c>
      <c r="P78" t="inlineStr">
        <is>
          <t>08/02/2026</t>
        </is>
      </c>
      <c r="Q78" t="inlineStr">
        <is>
          <t>CD</t>
        </is>
      </c>
      <c r="R78" t="n">
        <v>0</v>
      </c>
      <c r="S78" t="n">
        <v>0</v>
      </c>
      <c r="T78" t="n">
        <v>2160</v>
      </c>
    </row>
    <row r="79">
      <c r="I79" s="1" t="n"/>
      <c r="J79" s="1" t="n"/>
      <c r="K79" s="1" t="n"/>
      <c r="L79" s="1" t="n"/>
      <c r="M79" s="1" t="n"/>
      <c r="O79" t="n">
        <v>78</v>
      </c>
      <c r="P79" t="inlineStr">
        <is>
          <t>09/02/2026</t>
        </is>
      </c>
      <c r="Q79" t="inlineStr">
        <is>
          <t>CN</t>
        </is>
      </c>
      <c r="R79" t="n">
        <v>798</v>
      </c>
      <c r="S79" t="n">
        <v>672</v>
      </c>
      <c r="T79" t="n">
        <v>684</v>
      </c>
    </row>
    <row r="80">
      <c r="I80" s="1" t="n"/>
      <c r="J80" s="1" t="n"/>
      <c r="K80" s="1" t="n"/>
      <c r="L80" s="1" t="n"/>
      <c r="M80" s="1" t="n"/>
      <c r="O80" t="n">
        <v>79</v>
      </c>
      <c r="P80" t="inlineStr">
        <is>
          <t>09/02/2026</t>
        </is>
      </c>
      <c r="Q80" t="inlineStr">
        <is>
          <t>CD</t>
        </is>
      </c>
      <c r="R80" t="n">
        <v>611</v>
      </c>
      <c r="S80" t="n">
        <v>1014</v>
      </c>
      <c r="T80" t="n">
        <v>533</v>
      </c>
    </row>
    <row r="81">
      <c r="I81" s="1" t="n"/>
      <c r="J81" s="1" t="n"/>
      <c r="K81" s="1" t="n"/>
      <c r="L81" s="1" t="n"/>
      <c r="M81" s="1" t="n"/>
      <c r="O81" t="n">
        <v>80</v>
      </c>
      <c r="P81" t="inlineStr">
        <is>
          <t>10/02/2026</t>
        </is>
      </c>
      <c r="Q81" t="inlineStr">
        <is>
          <t>CN</t>
        </is>
      </c>
      <c r="R81" t="n">
        <v>491</v>
      </c>
      <c r="S81" t="n">
        <v>525</v>
      </c>
      <c r="T81" t="n">
        <v>1141</v>
      </c>
    </row>
    <row r="82">
      <c r="I82" s="1" t="n"/>
      <c r="J82" s="1" t="n"/>
      <c r="K82" s="1" t="n"/>
      <c r="L82" s="1" t="n"/>
      <c r="M82" s="1" t="n"/>
      <c r="O82" t="n">
        <v>81</v>
      </c>
      <c r="P82" t="inlineStr">
        <is>
          <t>10/02/2026</t>
        </is>
      </c>
      <c r="Q82" t="inlineStr">
        <is>
          <t>CD</t>
        </is>
      </c>
      <c r="R82" t="n">
        <v>860</v>
      </c>
      <c r="S82" t="n">
        <v>745</v>
      </c>
      <c r="T82" t="n">
        <v>549</v>
      </c>
    </row>
    <row r="83">
      <c r="I83" s="1" t="n"/>
      <c r="J83" s="1" t="n"/>
      <c r="K83" s="1" t="n"/>
      <c r="L83" s="1" t="n"/>
      <c r="M83" s="1" t="n"/>
      <c r="O83" t="n">
        <v>82</v>
      </c>
      <c r="P83" t="inlineStr">
        <is>
          <t>11/02/2026</t>
        </is>
      </c>
      <c r="Q83" t="inlineStr">
        <is>
          <t>CN</t>
        </is>
      </c>
      <c r="R83" t="n">
        <v>509</v>
      </c>
      <c r="S83" t="n">
        <v>514</v>
      </c>
      <c r="T83" t="n">
        <v>1134</v>
      </c>
    </row>
    <row r="84">
      <c r="I84" s="1" t="n"/>
      <c r="J84" s="1" t="n"/>
      <c r="K84" s="1" t="n"/>
      <c r="L84" s="1" t="n"/>
      <c r="M84" s="1" t="n"/>
      <c r="O84" t="n">
        <v>83</v>
      </c>
      <c r="P84" t="inlineStr">
        <is>
          <t>11/02/2026</t>
        </is>
      </c>
      <c r="Q84" t="inlineStr">
        <is>
          <t>CD</t>
        </is>
      </c>
      <c r="R84" t="n">
        <v>890</v>
      </c>
      <c r="S84" t="n">
        <v>732</v>
      </c>
      <c r="T84" t="n">
        <v>533</v>
      </c>
    </row>
    <row r="85">
      <c r="I85" s="1" t="n"/>
      <c r="J85" s="1" t="n"/>
      <c r="K85" s="1" t="n"/>
      <c r="L85" s="1" t="n"/>
      <c r="M85" s="1" t="n"/>
      <c r="O85" t="n">
        <v>84</v>
      </c>
      <c r="P85" t="inlineStr">
        <is>
          <t>12/02/2026</t>
        </is>
      </c>
      <c r="Q85" t="inlineStr">
        <is>
          <t>CN</t>
        </is>
      </c>
      <c r="R85" t="n">
        <v>844</v>
      </c>
      <c r="S85" t="n">
        <v>685</v>
      </c>
      <c r="T85" t="n">
        <v>625</v>
      </c>
    </row>
    <row r="86">
      <c r="I86" s="1" t="n"/>
      <c r="J86" s="1" t="n"/>
      <c r="K86" s="1" t="n"/>
      <c r="L86" s="1" t="n"/>
      <c r="M86" s="1" t="n"/>
      <c r="O86" t="n">
        <v>85</v>
      </c>
      <c r="P86" t="inlineStr">
        <is>
          <t>12/02/2026</t>
        </is>
      </c>
      <c r="Q86" t="inlineStr">
        <is>
          <t>CD</t>
        </is>
      </c>
      <c r="R86" t="n">
        <v>831</v>
      </c>
      <c r="S86" t="n">
        <v>792</v>
      </c>
      <c r="T86" t="n">
        <v>533</v>
      </c>
    </row>
    <row r="87">
      <c r="I87" s="1" t="n"/>
      <c r="J87" s="1" t="n"/>
      <c r="K87" s="1" t="n"/>
      <c r="L87" s="1" t="n"/>
      <c r="M87" s="1" t="n"/>
      <c r="O87" t="n">
        <v>86</v>
      </c>
      <c r="P87" t="inlineStr">
        <is>
          <t>13/02/2026</t>
        </is>
      </c>
      <c r="Q87" t="inlineStr">
        <is>
          <t>CN</t>
        </is>
      </c>
      <c r="R87" t="n">
        <v>600</v>
      </c>
      <c r="S87" t="n">
        <v>362</v>
      </c>
      <c r="T87" t="n">
        <v>1195</v>
      </c>
    </row>
    <row r="88">
      <c r="I88" s="1" t="n"/>
      <c r="J88" s="1" t="n"/>
      <c r="K88" s="1" t="n"/>
      <c r="L88" s="1" t="n"/>
      <c r="M88" s="1" t="n"/>
      <c r="O88" t="n">
        <v>87</v>
      </c>
      <c r="P88" t="inlineStr">
        <is>
          <t>13/02/2026</t>
        </is>
      </c>
      <c r="Q88" t="inlineStr">
        <is>
          <t>CD</t>
        </is>
      </c>
      <c r="R88" t="n">
        <v>230</v>
      </c>
      <c r="S88" t="n">
        <v>188</v>
      </c>
      <c r="T88" t="n">
        <v>1740</v>
      </c>
    </row>
    <row r="89">
      <c r="I89" s="1" t="n"/>
      <c r="J89" s="1" t="n"/>
      <c r="K89" s="1" t="n"/>
      <c r="L89" s="1" t="n"/>
      <c r="M89" s="1" t="n"/>
      <c r="O89" t="n">
        <v>88</v>
      </c>
      <c r="P89" t="inlineStr">
        <is>
          <t>14/02/2026</t>
        </is>
      </c>
      <c r="Q89" t="inlineStr">
        <is>
          <t>CN</t>
        </is>
      </c>
      <c r="R89" t="n">
        <v>0</v>
      </c>
      <c r="S89" t="n">
        <v>0</v>
      </c>
      <c r="T89" t="n">
        <v>2160</v>
      </c>
    </row>
    <row r="90">
      <c r="I90" s="1" t="n"/>
      <c r="J90" s="1" t="n"/>
      <c r="K90" s="1" t="n"/>
      <c r="L90" s="1" t="n"/>
      <c r="M90" s="1" t="n"/>
      <c r="O90" t="n">
        <v>89</v>
      </c>
      <c r="P90" t="inlineStr">
        <is>
          <t>14/02/2026</t>
        </is>
      </c>
      <c r="Q90" t="inlineStr">
        <is>
          <t>CD</t>
        </is>
      </c>
      <c r="R90" t="n">
        <v>0</v>
      </c>
      <c r="S90" t="n">
        <v>0</v>
      </c>
      <c r="T90" t="n">
        <v>2160</v>
      </c>
    </row>
    <row r="91">
      <c r="I91" s="1" t="n"/>
      <c r="J91" s="1" t="n"/>
      <c r="K91" s="1" t="n"/>
      <c r="L91" s="1" t="n"/>
      <c r="M91" s="1" t="n"/>
      <c r="O91" t="n">
        <v>90</v>
      </c>
      <c r="P91" t="inlineStr">
        <is>
          <t>15/02/2026</t>
        </is>
      </c>
      <c r="Q91" t="inlineStr">
        <is>
          <t>CN</t>
        </is>
      </c>
      <c r="R91" t="n">
        <v>0</v>
      </c>
      <c r="S91" t="n">
        <v>0</v>
      </c>
      <c r="T91" t="n">
        <v>2160</v>
      </c>
    </row>
    <row r="92">
      <c r="I92" s="1" t="n"/>
      <c r="J92" s="1" t="n"/>
      <c r="K92" s="1" t="n"/>
      <c r="L92" s="1" t="n"/>
      <c r="M92" s="1" t="n"/>
      <c r="O92" t="n">
        <v>91</v>
      </c>
      <c r="P92" t="inlineStr">
        <is>
          <t>15/02/2026</t>
        </is>
      </c>
      <c r="Q92" t="inlineStr">
        <is>
          <t>CD</t>
        </is>
      </c>
      <c r="R92" t="n">
        <v>0</v>
      </c>
      <c r="S92" t="n">
        <v>0</v>
      </c>
      <c r="T92" t="n">
        <v>2160</v>
      </c>
    </row>
    <row r="93">
      <c r="I93" s="1" t="n"/>
      <c r="J93" s="1" t="n"/>
      <c r="K93" s="1" t="n"/>
      <c r="L93" s="1" t="n"/>
      <c r="M93" s="1" t="n"/>
      <c r="O93" t="n">
        <v>92</v>
      </c>
      <c r="P93" t="inlineStr">
        <is>
          <t>16/02/2026</t>
        </is>
      </c>
      <c r="Q93" t="inlineStr">
        <is>
          <t>CN</t>
        </is>
      </c>
      <c r="R93" t="n">
        <v>0</v>
      </c>
      <c r="S93" t="n">
        <v>0</v>
      </c>
      <c r="T93" t="n">
        <v>2160</v>
      </c>
    </row>
    <row r="94">
      <c r="I94" s="1" t="n"/>
      <c r="J94" s="1" t="n"/>
      <c r="K94" s="1" t="n"/>
      <c r="L94" s="1" t="n"/>
      <c r="M94" s="1" t="n"/>
      <c r="O94" t="n">
        <v>93</v>
      </c>
      <c r="P94" t="inlineStr">
        <is>
          <t>16/02/2026</t>
        </is>
      </c>
      <c r="Q94" t="inlineStr">
        <is>
          <t>CD</t>
        </is>
      </c>
      <c r="R94" t="n">
        <v>0</v>
      </c>
      <c r="S94" t="n">
        <v>0</v>
      </c>
      <c r="T94" t="n">
        <v>2160</v>
      </c>
    </row>
    <row r="95">
      <c r="I95" s="1" t="n"/>
      <c r="J95" s="1" t="n"/>
      <c r="K95" s="1" t="n"/>
      <c r="L95" s="1" t="n"/>
      <c r="M95" s="1" t="n"/>
      <c r="O95" t="n">
        <v>94</v>
      </c>
      <c r="P95" t="inlineStr">
        <is>
          <t>17/02/2026</t>
        </is>
      </c>
      <c r="Q95" t="inlineStr">
        <is>
          <t>CN</t>
        </is>
      </c>
      <c r="R95" t="n">
        <v>0</v>
      </c>
      <c r="S95" t="n">
        <v>0</v>
      </c>
      <c r="T95" t="n">
        <v>2160</v>
      </c>
    </row>
    <row r="96">
      <c r="I96" s="1" t="n"/>
      <c r="J96" s="1" t="n"/>
      <c r="K96" s="1" t="n"/>
      <c r="L96" s="1" t="n"/>
      <c r="M96" s="1" t="n"/>
      <c r="O96" t="n">
        <v>95</v>
      </c>
      <c r="P96" t="inlineStr">
        <is>
          <t>17/02/2026</t>
        </is>
      </c>
      <c r="Q96" t="inlineStr">
        <is>
          <t>CD</t>
        </is>
      </c>
      <c r="R96" t="n">
        <v>0</v>
      </c>
      <c r="S96" t="n">
        <v>0</v>
      </c>
      <c r="T96" t="n">
        <v>2160</v>
      </c>
    </row>
    <row r="97">
      <c r="I97" s="1" t="n"/>
      <c r="J97" s="1" t="n"/>
      <c r="K97" s="1" t="n"/>
      <c r="L97" s="1" t="n"/>
      <c r="M97" s="1" t="n"/>
      <c r="O97" t="n">
        <v>96</v>
      </c>
      <c r="P97" t="inlineStr">
        <is>
          <t>18/02/2026</t>
        </is>
      </c>
      <c r="Q97" t="inlineStr">
        <is>
          <t>CN</t>
        </is>
      </c>
      <c r="R97" t="n">
        <v>0</v>
      </c>
      <c r="S97" t="n">
        <v>0</v>
      </c>
      <c r="T97" t="n">
        <v>2160</v>
      </c>
    </row>
    <row r="98">
      <c r="I98" s="1" t="n"/>
      <c r="J98" s="1" t="n"/>
      <c r="K98" s="1" t="n"/>
      <c r="L98" s="1" t="n"/>
      <c r="M98" s="1" t="n"/>
      <c r="O98" t="n">
        <v>97</v>
      </c>
      <c r="P98" t="inlineStr">
        <is>
          <t>18/02/2026</t>
        </is>
      </c>
      <c r="Q98" t="inlineStr">
        <is>
          <t>CD</t>
        </is>
      </c>
      <c r="R98" t="n">
        <v>0</v>
      </c>
      <c r="S98" t="n">
        <v>0</v>
      </c>
      <c r="T98" t="n">
        <v>2160</v>
      </c>
    </row>
    <row r="99">
      <c r="I99" s="1" t="n"/>
      <c r="J99" s="1" t="n"/>
      <c r="K99" s="1" t="n"/>
      <c r="L99" s="1" t="n"/>
      <c r="M99" s="1" t="n"/>
      <c r="O99" t="n">
        <v>98</v>
      </c>
      <c r="P99" t="inlineStr">
        <is>
          <t>19/02/2026</t>
        </is>
      </c>
      <c r="Q99" t="inlineStr">
        <is>
          <t>CN</t>
        </is>
      </c>
      <c r="R99" t="n">
        <v>0</v>
      </c>
      <c r="S99" t="n">
        <v>0</v>
      </c>
      <c r="T99" t="n">
        <v>2160</v>
      </c>
    </row>
    <row r="100">
      <c r="I100" s="1" t="n"/>
      <c r="J100" s="1" t="n"/>
      <c r="K100" s="1" t="n"/>
      <c r="L100" s="1" t="n"/>
      <c r="M100" s="1" t="n"/>
      <c r="O100" t="n">
        <v>99</v>
      </c>
      <c r="P100" t="inlineStr">
        <is>
          <t>19/02/2026</t>
        </is>
      </c>
      <c r="Q100" t="inlineStr">
        <is>
          <t>CD</t>
        </is>
      </c>
      <c r="R100" t="n">
        <v>0</v>
      </c>
      <c r="S100" t="n">
        <v>0</v>
      </c>
      <c r="T100" t="n">
        <v>2160</v>
      </c>
    </row>
    <row r="101">
      <c r="I101" s="1" t="n"/>
      <c r="J101" s="1" t="n"/>
      <c r="K101" s="1" t="n"/>
      <c r="L101" s="1" t="n"/>
      <c r="M101" s="1" t="n"/>
      <c r="O101" t="n">
        <v>100</v>
      </c>
      <c r="P101" t="inlineStr">
        <is>
          <t>20/02/2026</t>
        </is>
      </c>
      <c r="Q101" t="inlineStr">
        <is>
          <t>CN</t>
        </is>
      </c>
      <c r="R101" t="n">
        <v>0</v>
      </c>
      <c r="S101" t="n">
        <v>0</v>
      </c>
      <c r="T101" t="n">
        <v>2160</v>
      </c>
    </row>
    <row r="102">
      <c r="O102" t="n">
        <v>101</v>
      </c>
      <c r="P102" t="inlineStr">
        <is>
          <t>20/02/2026</t>
        </is>
      </c>
      <c r="Q102" t="inlineStr">
        <is>
          <t>CD</t>
        </is>
      </c>
      <c r="R102" t="n">
        <v>0</v>
      </c>
      <c r="S102" t="n">
        <v>0</v>
      </c>
      <c r="T102" t="n">
        <v>2161</v>
      </c>
    </row>
    <row r="103">
      <c r="O103" t="n">
        <v>102</v>
      </c>
      <c r="P103" t="inlineStr">
        <is>
          <t>21/02/2026</t>
        </is>
      </c>
      <c r="Q103" t="inlineStr">
        <is>
          <t>CN</t>
        </is>
      </c>
      <c r="R103" t="n">
        <v>0</v>
      </c>
      <c r="S103" t="n">
        <v>0</v>
      </c>
      <c r="T103" t="n">
        <v>2160</v>
      </c>
    </row>
    <row r="104">
      <c r="O104" t="n">
        <v>103</v>
      </c>
      <c r="P104" t="inlineStr">
        <is>
          <t>21/02/2026</t>
        </is>
      </c>
      <c r="Q104" t="inlineStr">
        <is>
          <t>CD</t>
        </is>
      </c>
      <c r="R104" t="n">
        <v>0</v>
      </c>
      <c r="S104" t="n">
        <v>0</v>
      </c>
      <c r="T104" t="n">
        <v>2160</v>
      </c>
    </row>
    <row r="105">
      <c r="O105" t="n">
        <v>104</v>
      </c>
      <c r="P105" t="inlineStr">
        <is>
          <t>22/02/2026</t>
        </is>
      </c>
      <c r="Q105" t="inlineStr">
        <is>
          <t>CN</t>
        </is>
      </c>
      <c r="R105" t="n">
        <v>0</v>
      </c>
      <c r="S105" t="n">
        <v>0</v>
      </c>
      <c r="T105" t="n">
        <v>2160</v>
      </c>
    </row>
    <row r="106">
      <c r="O106" t="n">
        <v>105</v>
      </c>
      <c r="P106" t="inlineStr">
        <is>
          <t>22/02/2026</t>
        </is>
      </c>
      <c r="Q106" t="inlineStr">
        <is>
          <t>CD</t>
        </is>
      </c>
      <c r="R106" t="n">
        <v>0</v>
      </c>
      <c r="S106" t="n">
        <v>0</v>
      </c>
      <c r="T106" t="n">
        <v>2160</v>
      </c>
    </row>
    <row r="107">
      <c r="O107" t="n">
        <v>106</v>
      </c>
      <c r="P107" t="inlineStr">
        <is>
          <t>23/02/2026</t>
        </is>
      </c>
      <c r="Q107" t="inlineStr">
        <is>
          <t>CN</t>
        </is>
      </c>
      <c r="R107" t="n">
        <v>684</v>
      </c>
      <c r="S107" t="n">
        <v>828</v>
      </c>
      <c r="T107" t="n">
        <v>643</v>
      </c>
    </row>
    <row r="108">
      <c r="O108" t="n">
        <v>107</v>
      </c>
      <c r="P108" t="inlineStr">
        <is>
          <t>23/02/2026</t>
        </is>
      </c>
      <c r="Q108" t="inlineStr">
        <is>
          <t>CD</t>
        </is>
      </c>
      <c r="R108" t="n">
        <v>963</v>
      </c>
      <c r="S108" t="n">
        <v>662</v>
      </c>
      <c r="T108" t="n">
        <v>531</v>
      </c>
    </row>
    <row r="109">
      <c r="O109" t="n">
        <v>108</v>
      </c>
      <c r="P109" t="inlineStr">
        <is>
          <t>24/02/2026</t>
        </is>
      </c>
      <c r="Q109" t="inlineStr">
        <is>
          <t>CN</t>
        </is>
      </c>
      <c r="R109" t="n">
        <v>778</v>
      </c>
      <c r="S109" t="n">
        <v>755</v>
      </c>
      <c r="T109" t="n">
        <v>621</v>
      </c>
    </row>
    <row r="110">
      <c r="O110" t="n">
        <v>109</v>
      </c>
      <c r="P110" t="inlineStr">
        <is>
          <t>24/02/2026</t>
        </is>
      </c>
      <c r="Q110" t="inlineStr">
        <is>
          <t>CD</t>
        </is>
      </c>
      <c r="R110" t="n">
        <v>923</v>
      </c>
      <c r="S110" t="n">
        <v>765</v>
      </c>
      <c r="T110" t="n">
        <v>468</v>
      </c>
    </row>
    <row r="111">
      <c r="O111" t="n">
        <v>110</v>
      </c>
      <c r="P111" t="inlineStr">
        <is>
          <t>25/02/2026</t>
        </is>
      </c>
      <c r="Q111" t="inlineStr">
        <is>
          <t>CN</t>
        </is>
      </c>
      <c r="R111" t="n">
        <v>838</v>
      </c>
      <c r="S111" t="n">
        <v>696</v>
      </c>
      <c r="T111" t="n">
        <v>621</v>
      </c>
    </row>
    <row r="112">
      <c r="O112" t="n">
        <v>111</v>
      </c>
      <c r="P112" t="inlineStr">
        <is>
          <t>25/02/2026</t>
        </is>
      </c>
      <c r="Q112" t="inlineStr">
        <is>
          <t>CD</t>
        </is>
      </c>
      <c r="R112" t="n">
        <v>955</v>
      </c>
      <c r="S112" t="n">
        <v>676</v>
      </c>
      <c r="T112" t="n">
        <v>524</v>
      </c>
    </row>
    <row r="113">
      <c r="O113" t="n">
        <v>112</v>
      </c>
      <c r="P113" t="inlineStr">
        <is>
          <t>26/02/2026</t>
        </is>
      </c>
      <c r="Q113" t="inlineStr">
        <is>
          <t>CN</t>
        </is>
      </c>
      <c r="R113" t="n">
        <v>614</v>
      </c>
      <c r="S113" t="n">
        <v>495</v>
      </c>
      <c r="T113" t="n">
        <v>1043</v>
      </c>
    </row>
    <row r="114">
      <c r="O114" t="n">
        <v>113</v>
      </c>
      <c r="P114" t="inlineStr">
        <is>
          <t>26/02/2026</t>
        </is>
      </c>
      <c r="Q114" t="inlineStr">
        <is>
          <t>CD</t>
        </is>
      </c>
      <c r="R114" t="n">
        <v>830</v>
      </c>
      <c r="S114" t="n">
        <v>666</v>
      </c>
      <c r="T114" t="n">
        <v>660</v>
      </c>
    </row>
    <row r="115">
      <c r="O115" t="n">
        <v>114</v>
      </c>
      <c r="P115" t="inlineStr">
        <is>
          <t>27/02/2026</t>
        </is>
      </c>
      <c r="Q115" t="inlineStr">
        <is>
          <t>CN</t>
        </is>
      </c>
      <c r="R115" t="n">
        <v>598</v>
      </c>
      <c r="S115" t="n">
        <v>512</v>
      </c>
      <c r="T115" t="n">
        <v>1046</v>
      </c>
    </row>
    <row r="116">
      <c r="O116" t="n">
        <v>115</v>
      </c>
      <c r="P116" t="inlineStr">
        <is>
          <t>27/02/2026</t>
        </is>
      </c>
      <c r="Q116" t="inlineStr">
        <is>
          <t>CD</t>
        </is>
      </c>
      <c r="R116" t="n">
        <v>308</v>
      </c>
      <c r="S116" t="n">
        <v>703</v>
      </c>
      <c r="T116" t="n">
        <v>1148</v>
      </c>
    </row>
    <row r="117">
      <c r="O117" t="n">
        <v>116</v>
      </c>
      <c r="P117" t="inlineStr">
        <is>
          <t>28/02/2026</t>
        </is>
      </c>
      <c r="Q117" t="inlineStr">
        <is>
          <t>CN</t>
        </is>
      </c>
      <c r="R117" t="n">
        <v>436</v>
      </c>
      <c r="S117" t="n">
        <v>527</v>
      </c>
      <c r="T117" t="n">
        <v>1194</v>
      </c>
    </row>
    <row r="118">
      <c r="O118" t="n">
        <v>117</v>
      </c>
      <c r="P118" t="inlineStr">
        <is>
          <t>28/02/2026</t>
        </is>
      </c>
      <c r="Q118" t="inlineStr">
        <is>
          <t>CD</t>
        </is>
      </c>
      <c r="R118" t="n">
        <v>377</v>
      </c>
      <c r="S118" t="n">
        <v>565</v>
      </c>
      <c r="T118" t="n">
        <v>1213</v>
      </c>
    </row>
    <row r="119">
      <c r="O119" t="n">
        <v>118</v>
      </c>
      <c r="P119" t="inlineStr">
        <is>
          <t>01/03/2026</t>
        </is>
      </c>
      <c r="Q119" t="inlineStr">
        <is>
          <t>CN</t>
        </is>
      </c>
      <c r="R119" t="n">
        <v>0</v>
      </c>
      <c r="S119" t="n">
        <v>0</v>
      </c>
      <c r="T119" t="n">
        <v>1730</v>
      </c>
    </row>
    <row r="120">
      <c r="O120" t="n">
        <v>119</v>
      </c>
      <c r="P120" t="inlineStr">
        <is>
          <t>01/03/2026</t>
        </is>
      </c>
      <c r="Q120" t="inlineStr">
        <is>
          <t>CD</t>
        </is>
      </c>
      <c r="R120" t="n">
        <v>0</v>
      </c>
      <c r="S120" t="n">
        <v>0</v>
      </c>
      <c r="T120" t="n">
        <v>2160</v>
      </c>
    </row>
    <row r="121">
      <c r="O121" t="n">
        <v>120</v>
      </c>
      <c r="P121" t="inlineStr">
        <is>
          <t>02/03/2026</t>
        </is>
      </c>
      <c r="Q121" t="inlineStr">
        <is>
          <t>CN</t>
        </is>
      </c>
      <c r="R121" t="n">
        <v>391</v>
      </c>
      <c r="S121" t="n">
        <v>629</v>
      </c>
      <c r="T121" t="n">
        <v>1136</v>
      </c>
    </row>
    <row r="122">
      <c r="O122" t="n">
        <v>121</v>
      </c>
      <c r="P122" t="inlineStr">
        <is>
          <t>02/03/2026</t>
        </is>
      </c>
      <c r="Q122" t="inlineStr">
        <is>
          <t>CD</t>
        </is>
      </c>
      <c r="R122" t="n">
        <v>805</v>
      </c>
      <c r="S122" t="n">
        <v>860</v>
      </c>
      <c r="T122" t="n">
        <v>490</v>
      </c>
    </row>
    <row r="123">
      <c r="O123" t="n">
        <v>122</v>
      </c>
      <c r="P123" t="inlineStr">
        <is>
          <t>03/03/2026</t>
        </is>
      </c>
      <c r="Q123" t="inlineStr">
        <is>
          <t>CN</t>
        </is>
      </c>
      <c r="R123" t="n">
        <v>431</v>
      </c>
      <c r="S123" t="n">
        <v>1020</v>
      </c>
      <c r="T123" t="n">
        <v>702</v>
      </c>
    </row>
    <row r="124">
      <c r="O124" t="n">
        <v>123</v>
      </c>
      <c r="P124" t="inlineStr">
        <is>
          <t>03/03/2026</t>
        </is>
      </c>
      <c r="Q124" t="inlineStr">
        <is>
          <t>CD</t>
        </is>
      </c>
      <c r="R124" t="n">
        <v>891</v>
      </c>
      <c r="S124" t="n">
        <v>766</v>
      </c>
      <c r="T124" t="n">
        <v>496</v>
      </c>
    </row>
    <row r="125">
      <c r="O125" t="n">
        <v>124</v>
      </c>
      <c r="P125" t="inlineStr">
        <is>
          <t>04/03/2026</t>
        </is>
      </c>
      <c r="Q125" t="inlineStr">
        <is>
          <t>CN</t>
        </is>
      </c>
      <c r="R125" t="n">
        <v>535</v>
      </c>
      <c r="S125" t="n">
        <v>949</v>
      </c>
      <c r="T125" t="n">
        <v>672</v>
      </c>
    </row>
    <row r="126">
      <c r="O126" t="n">
        <v>125</v>
      </c>
      <c r="P126" t="inlineStr">
        <is>
          <t>04/03/2026</t>
        </is>
      </c>
      <c r="Q126" t="inlineStr">
        <is>
          <t>CD</t>
        </is>
      </c>
      <c r="R126" t="n">
        <v>841</v>
      </c>
      <c r="S126" t="n">
        <v>826</v>
      </c>
      <c r="T126" t="n">
        <v>487</v>
      </c>
    </row>
    <row r="127">
      <c r="O127" t="n">
        <v>126</v>
      </c>
      <c r="P127" t="inlineStr">
        <is>
          <t>05/03/2026</t>
        </is>
      </c>
      <c r="Q127" t="inlineStr">
        <is>
          <t>CN</t>
        </is>
      </c>
      <c r="R127" t="n">
        <v>626</v>
      </c>
      <c r="S127" t="n">
        <v>890</v>
      </c>
      <c r="T127" t="n">
        <v>640</v>
      </c>
    </row>
    <row r="128">
      <c r="O128" t="n">
        <v>127</v>
      </c>
      <c r="P128" t="inlineStr">
        <is>
          <t>05/03/2026</t>
        </is>
      </c>
      <c r="Q128" t="inlineStr">
        <is>
          <t>CD</t>
        </is>
      </c>
      <c r="R128" t="n">
        <v>828</v>
      </c>
      <c r="S128" t="n">
        <v>834</v>
      </c>
      <c r="T128" t="n">
        <v>491</v>
      </c>
    </row>
    <row r="129">
      <c r="O129" t="n">
        <v>128</v>
      </c>
      <c r="P129" t="inlineStr">
        <is>
          <t>06/03/2026</t>
        </is>
      </c>
      <c r="Q129" t="inlineStr">
        <is>
          <t>CN</t>
        </is>
      </c>
      <c r="R129" t="n">
        <v>691</v>
      </c>
      <c r="S129" t="n">
        <v>832</v>
      </c>
      <c r="T129" t="n">
        <v>632</v>
      </c>
    </row>
    <row r="130">
      <c r="O130" t="n">
        <v>129</v>
      </c>
      <c r="P130" t="inlineStr">
        <is>
          <t>06/03/2026</t>
        </is>
      </c>
      <c r="Q130" t="inlineStr">
        <is>
          <t>CD</t>
        </is>
      </c>
      <c r="R130" t="n">
        <v>780</v>
      </c>
      <c r="S130" t="n">
        <v>821</v>
      </c>
      <c r="T130" t="n">
        <v>553</v>
      </c>
    </row>
    <row r="131">
      <c r="O131" t="n">
        <v>130</v>
      </c>
      <c r="P131" t="inlineStr">
        <is>
          <t>07/03/2026</t>
        </is>
      </c>
      <c r="Q131" t="inlineStr">
        <is>
          <t>CN</t>
        </is>
      </c>
      <c r="R131" t="n">
        <v>350</v>
      </c>
      <c r="S131" t="n">
        <v>600</v>
      </c>
      <c r="T131" t="n">
        <v>1203</v>
      </c>
    </row>
    <row r="132">
      <c r="O132" t="n">
        <v>131</v>
      </c>
      <c r="P132" t="inlineStr">
        <is>
          <t>07/03/2026</t>
        </is>
      </c>
      <c r="Q132" t="inlineStr">
        <is>
          <t>CD</t>
        </is>
      </c>
      <c r="R132" t="n">
        <v>703</v>
      </c>
      <c r="S132" t="n">
        <v>660</v>
      </c>
      <c r="T132" t="n">
        <v>792</v>
      </c>
    </row>
    <row r="133">
      <c r="O133" t="n">
        <v>132</v>
      </c>
      <c r="P133" t="inlineStr">
        <is>
          <t>08/03/2026</t>
        </is>
      </c>
      <c r="Q133" t="inlineStr">
        <is>
          <t>CN</t>
        </is>
      </c>
      <c r="R133" t="n">
        <v>0</v>
      </c>
      <c r="S133" t="n">
        <v>0</v>
      </c>
      <c r="T133" t="n">
        <v>2160</v>
      </c>
    </row>
    <row r="134">
      <c r="O134" t="n">
        <v>133</v>
      </c>
      <c r="P134" t="inlineStr">
        <is>
          <t>08/03/2026</t>
        </is>
      </c>
      <c r="Q134" t="inlineStr">
        <is>
          <t>CD</t>
        </is>
      </c>
      <c r="R134" t="n">
        <v>0</v>
      </c>
      <c r="S134" t="n">
        <v>0</v>
      </c>
      <c r="T134" t="n">
        <v>2160</v>
      </c>
    </row>
    <row r="135">
      <c r="O135" t="n">
        <v>134</v>
      </c>
      <c r="P135" t="inlineStr">
        <is>
          <t>09/03/2026</t>
        </is>
      </c>
      <c r="Q135" t="inlineStr">
        <is>
          <t>CN</t>
        </is>
      </c>
      <c r="R135" t="n">
        <v>740</v>
      </c>
      <c r="S135" t="n">
        <v>757</v>
      </c>
      <c r="T135" t="n">
        <v>658</v>
      </c>
    </row>
    <row r="136">
      <c r="O136" t="n">
        <v>135</v>
      </c>
      <c r="P136" t="inlineStr">
        <is>
          <t>09/03/2026</t>
        </is>
      </c>
      <c r="Q136" t="inlineStr">
        <is>
          <t>CD</t>
        </is>
      </c>
      <c r="R136" t="n">
        <v>630</v>
      </c>
      <c r="S136" t="n">
        <v>985</v>
      </c>
      <c r="T136" t="n">
        <v>539</v>
      </c>
    </row>
    <row r="137">
      <c r="O137" t="n">
        <v>136</v>
      </c>
      <c r="P137" t="inlineStr">
        <is>
          <t>10/03/2026</t>
        </is>
      </c>
      <c r="Q137" t="inlineStr">
        <is>
          <t>CN</t>
        </is>
      </c>
      <c r="R137" t="n">
        <v>774</v>
      </c>
      <c r="S137" t="n">
        <v>733</v>
      </c>
      <c r="T137" t="n">
        <v>649</v>
      </c>
    </row>
    <row r="138">
      <c r="O138" t="n">
        <v>137</v>
      </c>
      <c r="P138" t="inlineStr">
        <is>
          <t>10/03/2026</t>
        </is>
      </c>
      <c r="Q138" t="inlineStr">
        <is>
          <t>CD</t>
        </is>
      </c>
      <c r="R138" t="n">
        <v>488</v>
      </c>
      <c r="S138" t="n">
        <v>999</v>
      </c>
      <c r="T138" t="n">
        <v>668</v>
      </c>
    </row>
    <row r="139">
      <c r="O139" t="n">
        <v>138</v>
      </c>
      <c r="P139" t="inlineStr">
        <is>
          <t>11/03/2026</t>
        </is>
      </c>
      <c r="Q139" t="inlineStr">
        <is>
          <t>CN</t>
        </is>
      </c>
      <c r="R139" t="n">
        <v>839</v>
      </c>
      <c r="S139" t="n">
        <v>665</v>
      </c>
      <c r="T139" t="n">
        <v>650</v>
      </c>
    </row>
    <row r="140">
      <c r="O140" t="n">
        <v>139</v>
      </c>
      <c r="P140" t="inlineStr">
        <is>
          <t>11/03/2026</t>
        </is>
      </c>
      <c r="Q140" t="inlineStr">
        <is>
          <t>CD</t>
        </is>
      </c>
      <c r="R140" t="n">
        <v>615</v>
      </c>
      <c r="S140" t="n">
        <v>1050</v>
      </c>
      <c r="T140" t="n">
        <v>490</v>
      </c>
    </row>
    <row r="141">
      <c r="O141" t="n">
        <v>140</v>
      </c>
      <c r="P141" t="inlineStr">
        <is>
          <t>12/03/2026</t>
        </is>
      </c>
      <c r="Q141" t="inlineStr">
        <is>
          <t>CN</t>
        </is>
      </c>
      <c r="R141" t="n">
        <v>925</v>
      </c>
      <c r="S141" t="n">
        <v>608</v>
      </c>
      <c r="T141" t="n">
        <v>622</v>
      </c>
    </row>
    <row r="142">
      <c r="O142" t="n">
        <v>141</v>
      </c>
      <c r="P142" t="inlineStr">
        <is>
          <t>12/03/2026</t>
        </is>
      </c>
      <c r="Q142" t="inlineStr">
        <is>
          <t>CD</t>
        </is>
      </c>
      <c r="R142" t="n">
        <v>563</v>
      </c>
      <c r="S142" t="n">
        <v>1158</v>
      </c>
      <c r="T142" t="n">
        <v>435</v>
      </c>
    </row>
    <row r="143">
      <c r="O143" t="n">
        <v>142</v>
      </c>
      <c r="P143" t="inlineStr">
        <is>
          <t>13/03/2026</t>
        </is>
      </c>
      <c r="Q143" t="inlineStr">
        <is>
          <t>CN</t>
        </is>
      </c>
      <c r="R143" t="n">
        <v>674</v>
      </c>
      <c r="S143" t="n">
        <v>797</v>
      </c>
      <c r="T143" t="n">
        <v>684</v>
      </c>
    </row>
    <row r="144">
      <c r="O144" t="n">
        <v>143</v>
      </c>
      <c r="P144" t="inlineStr">
        <is>
          <t>13/03/2026</t>
        </is>
      </c>
      <c r="Q144" t="inlineStr">
        <is>
          <t>CD</t>
        </is>
      </c>
      <c r="R144" t="n">
        <v>414</v>
      </c>
      <c r="S144" t="n">
        <v>653</v>
      </c>
      <c r="T144" t="n">
        <v>1090</v>
      </c>
    </row>
    <row r="145">
      <c r="O145" t="n">
        <v>144</v>
      </c>
      <c r="P145" t="inlineStr">
        <is>
          <t>14/03/2026</t>
        </is>
      </c>
      <c r="Q145" t="inlineStr">
        <is>
          <t>CN</t>
        </is>
      </c>
      <c r="R145" t="n">
        <v>646</v>
      </c>
      <c r="S145" t="n">
        <v>777</v>
      </c>
      <c r="T145" t="n">
        <v>732</v>
      </c>
    </row>
    <row r="146">
      <c r="O146" t="n">
        <v>145</v>
      </c>
      <c r="P146" t="inlineStr">
        <is>
          <t>14/03/2026</t>
        </is>
      </c>
      <c r="Q146" t="inlineStr">
        <is>
          <t>CD</t>
        </is>
      </c>
      <c r="R146" t="n">
        <v>572</v>
      </c>
      <c r="S146" t="n">
        <v>841</v>
      </c>
      <c r="T146" t="n">
        <v>742</v>
      </c>
    </row>
    <row r="147">
      <c r="O147" t="n">
        <v>146</v>
      </c>
      <c r="P147" t="inlineStr">
        <is>
          <t>15/03/2026</t>
        </is>
      </c>
      <c r="Q147" t="inlineStr">
        <is>
          <t>CN</t>
        </is>
      </c>
      <c r="R147" t="n">
        <v>0</v>
      </c>
      <c r="S147" t="n">
        <v>0</v>
      </c>
      <c r="T147" t="n">
        <v>2160</v>
      </c>
    </row>
    <row r="148">
      <c r="O148" t="n">
        <v>147</v>
      </c>
      <c r="P148" t="inlineStr">
        <is>
          <t>15/03/2026</t>
        </is>
      </c>
      <c r="Q148" t="inlineStr">
        <is>
          <t>CD</t>
        </is>
      </c>
      <c r="R148" t="n">
        <v>0</v>
      </c>
      <c r="S148" t="n">
        <v>0</v>
      </c>
      <c r="T148" t="n">
        <v>2160</v>
      </c>
    </row>
    <row r="149">
      <c r="O149" t="n">
        <v>148</v>
      </c>
      <c r="P149" t="inlineStr">
        <is>
          <t>16/03/2026</t>
        </is>
      </c>
      <c r="Q149" t="inlineStr">
        <is>
          <t>CN</t>
        </is>
      </c>
      <c r="R149" t="n">
        <v>779</v>
      </c>
      <c r="S149" t="n">
        <v>742</v>
      </c>
      <c r="T149" t="n">
        <v>635</v>
      </c>
    </row>
    <row r="150">
      <c r="O150" t="n">
        <v>149</v>
      </c>
      <c r="P150" t="inlineStr">
        <is>
          <t>16/03/2026</t>
        </is>
      </c>
      <c r="Q150" t="inlineStr">
        <is>
          <t>CD</t>
        </is>
      </c>
      <c r="R150" t="n">
        <v>885</v>
      </c>
      <c r="S150" t="n">
        <v>759</v>
      </c>
      <c r="T150" t="n">
        <v>509</v>
      </c>
    </row>
    <row r="151">
      <c r="O151" t="n">
        <v>150</v>
      </c>
      <c r="P151" t="inlineStr">
        <is>
          <t>17/03/2026</t>
        </is>
      </c>
      <c r="Q151" t="inlineStr">
        <is>
          <t>CN</t>
        </is>
      </c>
      <c r="R151" t="n">
        <v>551</v>
      </c>
      <c r="S151" t="n">
        <v>974</v>
      </c>
      <c r="T151" t="n">
        <v>633</v>
      </c>
    </row>
    <row r="152">
      <c r="O152" t="n">
        <v>151</v>
      </c>
      <c r="P152" t="inlineStr">
        <is>
          <t>17/03/2026</t>
        </is>
      </c>
      <c r="Q152" t="inlineStr">
        <is>
          <t>CD</t>
        </is>
      </c>
      <c r="R152" t="n">
        <v>455</v>
      </c>
      <c r="S152" t="n">
        <v>660</v>
      </c>
      <c r="T152" t="n">
        <v>1041</v>
      </c>
    </row>
    <row r="153">
      <c r="O153" t="n">
        <v>152</v>
      </c>
      <c r="P153" t="inlineStr">
        <is>
          <t>18/03/2026</t>
        </is>
      </c>
      <c r="Q153" t="inlineStr">
        <is>
          <t>CN</t>
        </is>
      </c>
      <c r="R153" t="n">
        <v>508</v>
      </c>
      <c r="S153" t="n">
        <v>981</v>
      </c>
      <c r="T153" t="n">
        <v>668</v>
      </c>
    </row>
    <row r="154">
      <c r="O154" t="n">
        <v>153</v>
      </c>
      <c r="P154" t="inlineStr">
        <is>
          <t>18/03/2026</t>
        </is>
      </c>
      <c r="Q154" t="inlineStr">
        <is>
          <t>CD</t>
        </is>
      </c>
      <c r="R154" t="n">
        <v>854</v>
      </c>
      <c r="S154" t="n">
        <v>807</v>
      </c>
      <c r="T154" t="n">
        <v>493</v>
      </c>
    </row>
    <row r="155">
      <c r="O155" t="n">
        <v>154</v>
      </c>
      <c r="P155" t="inlineStr">
        <is>
          <t>19/03/2026</t>
        </is>
      </c>
      <c r="Q155" t="inlineStr">
        <is>
          <t>CN</t>
        </is>
      </c>
      <c r="R155" t="n">
        <v>524</v>
      </c>
      <c r="S155" t="n">
        <v>1008</v>
      </c>
      <c r="T155" t="n">
        <v>623</v>
      </c>
    </row>
    <row r="156">
      <c r="O156" t="n">
        <v>155</v>
      </c>
      <c r="P156" t="inlineStr">
        <is>
          <t>19/03/2026</t>
        </is>
      </c>
      <c r="Q156" t="inlineStr">
        <is>
          <t>CD</t>
        </is>
      </c>
      <c r="R156" t="n">
        <v>763</v>
      </c>
      <c r="S156" t="n">
        <v>898</v>
      </c>
      <c r="T156" t="n">
        <v>490</v>
      </c>
    </row>
    <row r="157">
      <c r="O157" t="n">
        <v>156</v>
      </c>
      <c r="P157" t="inlineStr">
        <is>
          <t>20/03/2026</t>
        </is>
      </c>
      <c r="Q157" t="inlineStr">
        <is>
          <t>CN</t>
        </is>
      </c>
      <c r="R157" t="n">
        <v>777</v>
      </c>
      <c r="S157" t="n">
        <v>755</v>
      </c>
      <c r="T157" t="n">
        <v>624</v>
      </c>
    </row>
    <row r="158">
      <c r="O158" t="n">
        <v>157</v>
      </c>
      <c r="P158" t="inlineStr">
        <is>
          <t>20/03/2026</t>
        </is>
      </c>
      <c r="Q158" t="inlineStr">
        <is>
          <t>CD</t>
        </is>
      </c>
      <c r="R158" t="n">
        <v>854</v>
      </c>
      <c r="S158" t="n">
        <v>811</v>
      </c>
      <c r="T158" t="n">
        <v>488</v>
      </c>
    </row>
    <row r="159">
      <c r="O159" t="n">
        <v>158</v>
      </c>
      <c r="P159" t="inlineStr">
        <is>
          <t>21/03/2026</t>
        </is>
      </c>
      <c r="Q159" t="inlineStr">
        <is>
          <t>CN</t>
        </is>
      </c>
      <c r="R159" t="n">
        <v>500</v>
      </c>
      <c r="S159" t="n">
        <v>961</v>
      </c>
      <c r="T159" t="n">
        <v>695</v>
      </c>
    </row>
    <row r="160">
      <c r="O160" t="n">
        <v>159</v>
      </c>
      <c r="P160" t="inlineStr">
        <is>
          <t>21/03/2026</t>
        </is>
      </c>
      <c r="Q160" t="inlineStr">
        <is>
          <t>CD</t>
        </is>
      </c>
      <c r="R160" t="n">
        <v>710</v>
      </c>
      <c r="S160" t="n">
        <v>670</v>
      </c>
      <c r="T160" t="n">
        <v>774</v>
      </c>
    </row>
    <row r="161">
      <c r="O161" t="n">
        <v>160</v>
      </c>
      <c r="P161" t="inlineStr">
        <is>
          <t>22/03/2026</t>
        </is>
      </c>
      <c r="Q161" t="inlineStr">
        <is>
          <t>CD</t>
        </is>
      </c>
      <c r="R161" t="n">
        <v>0</v>
      </c>
      <c r="S161" t="n">
        <v>0</v>
      </c>
      <c r="T161" t="n">
        <v>2745</v>
      </c>
    </row>
    <row r="162">
      <c r="O162" t="n">
        <v>161</v>
      </c>
      <c r="P162" t="inlineStr">
        <is>
          <t>23/03/2026</t>
        </is>
      </c>
      <c r="Q162" t="inlineStr">
        <is>
          <t>CN</t>
        </is>
      </c>
      <c r="R162" t="n">
        <v>772</v>
      </c>
      <c r="S162" t="n">
        <v>757</v>
      </c>
      <c r="T162" t="n">
        <v>622</v>
      </c>
    </row>
    <row r="163">
      <c r="O163" t="n">
        <v>162</v>
      </c>
      <c r="P163" t="inlineStr">
        <is>
          <t>23/03/2026</t>
        </is>
      </c>
      <c r="Q163" t="inlineStr">
        <is>
          <t>CD</t>
        </is>
      </c>
      <c r="R163" t="n">
        <v>926</v>
      </c>
      <c r="S163" t="n">
        <v>645</v>
      </c>
      <c r="T163" t="n">
        <v>586</v>
      </c>
    </row>
    <row r="164">
      <c r="O164" t="n">
        <v>163</v>
      </c>
      <c r="P164" t="inlineStr">
        <is>
          <t>24/03/2026</t>
        </is>
      </c>
      <c r="Q164" t="inlineStr">
        <is>
          <t>CN</t>
        </is>
      </c>
      <c r="R164" t="n">
        <v>840</v>
      </c>
      <c r="S164" t="n">
        <v>690</v>
      </c>
      <c r="T164" t="n">
        <v>624</v>
      </c>
    </row>
    <row r="165">
      <c r="O165" t="n">
        <v>164</v>
      </c>
      <c r="P165" t="inlineStr">
        <is>
          <t>24/03/2026</t>
        </is>
      </c>
      <c r="Q165" t="inlineStr">
        <is>
          <t>CD</t>
        </is>
      </c>
      <c r="R165" t="n">
        <v>655</v>
      </c>
      <c r="S165" t="n">
        <v>1063</v>
      </c>
      <c r="T165" t="n">
        <v>436</v>
      </c>
    </row>
    <row r="166">
      <c r="O166" t="n">
        <v>165</v>
      </c>
      <c r="P166" t="inlineStr">
        <is>
          <t>25/03/2026</t>
        </is>
      </c>
      <c r="Q166" t="inlineStr">
        <is>
          <t>CN</t>
        </is>
      </c>
      <c r="R166" t="n">
        <v>643</v>
      </c>
      <c r="S166" t="n">
        <v>891</v>
      </c>
      <c r="T166" t="n">
        <v>620</v>
      </c>
    </row>
    <row r="167">
      <c r="O167" t="n">
        <v>166</v>
      </c>
      <c r="P167" t="inlineStr">
        <is>
          <t>25/03/2026</t>
        </is>
      </c>
      <c r="Q167" t="inlineStr">
        <is>
          <t>CD</t>
        </is>
      </c>
      <c r="R167" t="n">
        <v>916</v>
      </c>
      <c r="S167" t="n">
        <v>769</v>
      </c>
      <c r="T167" t="n">
        <v>472</v>
      </c>
    </row>
    <row r="168">
      <c r="O168" t="n">
        <v>167</v>
      </c>
      <c r="P168" t="inlineStr">
        <is>
          <t>26/03/2026</t>
        </is>
      </c>
      <c r="Q168" t="inlineStr">
        <is>
          <t>CN</t>
        </is>
      </c>
      <c r="R168" t="n">
        <v>782</v>
      </c>
      <c r="S168" t="n">
        <v>754</v>
      </c>
      <c r="T168" t="n">
        <v>617</v>
      </c>
    </row>
    <row r="169">
      <c r="O169" t="n">
        <v>168</v>
      </c>
      <c r="P169" t="inlineStr">
        <is>
          <t>26/03/2026</t>
        </is>
      </c>
      <c r="Q169" t="inlineStr">
        <is>
          <t>CD</t>
        </is>
      </c>
      <c r="R169" t="n">
        <v>918</v>
      </c>
      <c r="S169" t="n">
        <v>771</v>
      </c>
      <c r="T169" t="n">
        <v>468</v>
      </c>
    </row>
    <row r="170">
      <c r="O170" t="n">
        <v>169</v>
      </c>
      <c r="P170" t="inlineStr">
        <is>
          <t>27/03/2026</t>
        </is>
      </c>
      <c r="Q170" t="inlineStr">
        <is>
          <t>CN</t>
        </is>
      </c>
      <c r="R170" t="n">
        <v>728</v>
      </c>
      <c r="S170" t="n">
        <v>793</v>
      </c>
      <c r="T170" t="n">
        <v>633</v>
      </c>
    </row>
    <row r="171">
      <c r="O171" t="n">
        <v>170</v>
      </c>
      <c r="P171" t="inlineStr">
        <is>
          <t>27/03/2026</t>
        </is>
      </c>
      <c r="Q171" t="inlineStr">
        <is>
          <t>CD</t>
        </is>
      </c>
      <c r="R171" t="n">
        <v>416</v>
      </c>
      <c r="S171" t="n">
        <v>587</v>
      </c>
      <c r="T171" t="n">
        <v>1155</v>
      </c>
    </row>
    <row r="172">
      <c r="O172" t="n">
        <v>171</v>
      </c>
      <c r="P172" t="inlineStr">
        <is>
          <t>28/03/2026</t>
        </is>
      </c>
      <c r="Q172" t="inlineStr">
        <is>
          <t>CN</t>
        </is>
      </c>
      <c r="R172" t="n">
        <v>313</v>
      </c>
      <c r="S172" t="n">
        <v>103</v>
      </c>
      <c r="T172" t="n">
        <v>1742</v>
      </c>
    </row>
    <row r="173">
      <c r="O173" t="n">
        <v>172</v>
      </c>
      <c r="P173" t="inlineStr">
        <is>
          <t>28/03/2026</t>
        </is>
      </c>
      <c r="Q173" t="inlineStr">
        <is>
          <t>CD</t>
        </is>
      </c>
      <c r="R173" t="n">
        <v>0</v>
      </c>
      <c r="S173" t="n">
        <v>0</v>
      </c>
      <c r="T173" t="n">
        <v>2160</v>
      </c>
    </row>
    <row r="174">
      <c r="O174" t="n">
        <v>173</v>
      </c>
      <c r="P174" t="inlineStr">
        <is>
          <t>29/03/2026</t>
        </is>
      </c>
      <c r="Q174" t="inlineStr">
        <is>
          <t>CN</t>
        </is>
      </c>
      <c r="R174" t="n">
        <v>0</v>
      </c>
      <c r="S174" t="n">
        <v>0</v>
      </c>
      <c r="T174" t="n">
        <v>2160</v>
      </c>
    </row>
    <row r="175">
      <c r="O175" t="n">
        <v>174</v>
      </c>
      <c r="P175" t="inlineStr">
        <is>
          <t>29/03/2026</t>
        </is>
      </c>
      <c r="Q175" t="inlineStr">
        <is>
          <t>CD</t>
        </is>
      </c>
      <c r="R175" t="n">
        <v>0</v>
      </c>
      <c r="S175" t="n">
        <v>0</v>
      </c>
      <c r="T175" t="n">
        <v>2160</v>
      </c>
    </row>
    <row r="176">
      <c r="O176" t="n">
        <v>175</v>
      </c>
      <c r="P176" t="inlineStr">
        <is>
          <t>30/03/2026</t>
        </is>
      </c>
      <c r="Q176" t="inlineStr">
        <is>
          <t>CN</t>
        </is>
      </c>
      <c r="R176" t="n">
        <v>457</v>
      </c>
      <c r="S176" t="n">
        <v>554</v>
      </c>
      <c r="T176" t="n">
        <v>1146</v>
      </c>
    </row>
    <row r="177">
      <c r="O177" t="n">
        <v>176</v>
      </c>
      <c r="P177" t="inlineStr">
        <is>
          <t>30/03/2026</t>
        </is>
      </c>
      <c r="Q177" t="inlineStr">
        <is>
          <t>CD</t>
        </is>
      </c>
      <c r="R177" t="n">
        <v>738</v>
      </c>
      <c r="S177" t="n">
        <v>910</v>
      </c>
      <c r="T177" t="n">
        <v>506</v>
      </c>
    </row>
    <row r="178">
      <c r="O178" t="n">
        <v>177</v>
      </c>
      <c r="P178" t="inlineStr">
        <is>
          <t>31/03/2026</t>
        </is>
      </c>
      <c r="Q178" t="inlineStr">
        <is>
          <t>CN</t>
        </is>
      </c>
      <c r="R178" t="n">
        <v>445</v>
      </c>
      <c r="S178" t="n">
        <v>578</v>
      </c>
      <c r="T178" t="n">
        <v>1134</v>
      </c>
    </row>
    <row r="179">
      <c r="O179" t="n">
        <v>178</v>
      </c>
      <c r="P179" t="inlineStr">
        <is>
          <t>31/03/2026</t>
        </is>
      </c>
      <c r="Q179" t="inlineStr">
        <is>
          <t>CD</t>
        </is>
      </c>
      <c r="R179" t="n">
        <v>783</v>
      </c>
      <c r="S179" t="n">
        <v>815</v>
      </c>
      <c r="T179" t="n">
        <v>555</v>
      </c>
    </row>
    <row r="180">
      <c r="O180" t="n">
        <v>179</v>
      </c>
      <c r="P180" t="inlineStr">
        <is>
          <t>01/04/2026</t>
        </is>
      </c>
      <c r="Q180" t="inlineStr">
        <is>
          <t>CN</t>
        </is>
      </c>
      <c r="R180" t="n">
        <v>465</v>
      </c>
      <c r="S180" t="n">
        <v>694</v>
      </c>
      <c r="T180" t="n">
        <v>997</v>
      </c>
    </row>
    <row r="181">
      <c r="O181" t="n">
        <v>180</v>
      </c>
      <c r="P181" t="inlineStr">
        <is>
          <t>01/04/2026</t>
        </is>
      </c>
      <c r="Q181" t="inlineStr">
        <is>
          <t>CD</t>
        </is>
      </c>
      <c r="R181" t="n">
        <v>723</v>
      </c>
      <c r="S181" t="n">
        <v>934</v>
      </c>
      <c r="T181" t="n">
        <v>496</v>
      </c>
    </row>
    <row r="182">
      <c r="O182" t="n">
        <v>181</v>
      </c>
      <c r="P182" t="inlineStr">
        <is>
          <t>02/04/2026</t>
        </is>
      </c>
      <c r="Q182" t="inlineStr">
        <is>
          <t>CN</t>
        </is>
      </c>
      <c r="R182" t="n">
        <v>384</v>
      </c>
      <c r="S182" t="n">
        <v>641</v>
      </c>
      <c r="T182" t="n">
        <v>1132</v>
      </c>
    </row>
    <row r="183">
      <c r="O183" t="n">
        <v>182</v>
      </c>
      <c r="P183" t="inlineStr">
        <is>
          <t>02/04/2026</t>
        </is>
      </c>
      <c r="Q183" t="inlineStr">
        <is>
          <t>CD</t>
        </is>
      </c>
      <c r="R183" t="n">
        <v>666</v>
      </c>
      <c r="S183" t="n">
        <v>921</v>
      </c>
      <c r="T183" t="n">
        <v>566</v>
      </c>
    </row>
    <row r="184">
      <c r="O184" t="n">
        <v>183</v>
      </c>
      <c r="P184" t="inlineStr">
        <is>
          <t>03/04/2026</t>
        </is>
      </c>
      <c r="Q184" t="inlineStr">
        <is>
          <t>CN</t>
        </is>
      </c>
      <c r="R184" t="n">
        <v>427</v>
      </c>
      <c r="S184" t="n">
        <v>594</v>
      </c>
      <c r="T184" t="n">
        <v>1137</v>
      </c>
    </row>
    <row r="185">
      <c r="O185" t="n">
        <v>184</v>
      </c>
      <c r="P185" t="inlineStr">
        <is>
          <t>03/04/2026</t>
        </is>
      </c>
      <c r="Q185" t="inlineStr">
        <is>
          <t>CD</t>
        </is>
      </c>
      <c r="R185" t="n">
        <v>596</v>
      </c>
      <c r="S185" t="n">
        <v>992</v>
      </c>
      <c r="T185" t="n">
        <v>568</v>
      </c>
    </row>
    <row r="186">
      <c r="O186" t="n">
        <v>185</v>
      </c>
      <c r="P186" t="inlineStr">
        <is>
          <t>04/04/2026</t>
        </is>
      </c>
      <c r="Q186" t="inlineStr">
        <is>
          <t>CN</t>
        </is>
      </c>
      <c r="R186" t="n">
        <v>782</v>
      </c>
      <c r="S186" t="n">
        <v>602</v>
      </c>
      <c r="T186" t="n">
        <v>773</v>
      </c>
    </row>
    <row r="187">
      <c r="O187" t="n">
        <v>186</v>
      </c>
      <c r="P187" t="inlineStr">
        <is>
          <t>04/04/2026</t>
        </is>
      </c>
      <c r="Q187" t="inlineStr">
        <is>
          <t>CD</t>
        </is>
      </c>
      <c r="R187" t="n">
        <v>775</v>
      </c>
      <c r="S187" t="n">
        <v>619</v>
      </c>
      <c r="T187" t="n">
        <v>762</v>
      </c>
    </row>
    <row r="188">
      <c r="O188" t="n">
        <v>187</v>
      </c>
      <c r="P188" t="inlineStr">
        <is>
          <t>05/04/2026</t>
        </is>
      </c>
      <c r="Q188" t="inlineStr">
        <is>
          <t>CN</t>
        </is>
      </c>
      <c r="R188" t="n">
        <v>0</v>
      </c>
      <c r="S188" t="n">
        <v>0</v>
      </c>
      <c r="T188" t="n">
        <v>2160</v>
      </c>
    </row>
    <row r="189">
      <c r="O189" t="n">
        <v>188</v>
      </c>
      <c r="P189" t="inlineStr">
        <is>
          <t>05/04/2026</t>
        </is>
      </c>
      <c r="Q189" t="inlineStr">
        <is>
          <t>CD</t>
        </is>
      </c>
      <c r="R189" t="n">
        <v>0</v>
      </c>
      <c r="S189" t="n">
        <v>0</v>
      </c>
      <c r="T189" t="n">
        <v>2160</v>
      </c>
    </row>
    <row r="190">
      <c r="O190" t="n">
        <v>189</v>
      </c>
      <c r="P190" t="inlineStr">
        <is>
          <t>06/04/2026</t>
        </is>
      </c>
      <c r="Q190" t="inlineStr">
        <is>
          <t>CN</t>
        </is>
      </c>
      <c r="R190" t="n">
        <v>733</v>
      </c>
      <c r="S190" t="n">
        <v>791</v>
      </c>
      <c r="T190" t="n">
        <v>630</v>
      </c>
    </row>
    <row r="191">
      <c r="O191" t="n">
        <v>190</v>
      </c>
      <c r="P191" t="inlineStr">
        <is>
          <t>06/04/2026</t>
        </is>
      </c>
      <c r="Q191" t="inlineStr">
        <is>
          <t>CD</t>
        </is>
      </c>
      <c r="R191" t="n">
        <v>381</v>
      </c>
      <c r="S191" t="n">
        <v>678</v>
      </c>
      <c r="T191" t="n">
        <v>1097</v>
      </c>
    </row>
    <row r="192">
      <c r="O192" t="n">
        <v>191</v>
      </c>
      <c r="P192" t="inlineStr">
        <is>
          <t>07/04/2026</t>
        </is>
      </c>
      <c r="Q192" t="inlineStr">
        <is>
          <t>CN</t>
        </is>
      </c>
      <c r="R192" t="n">
        <v>799</v>
      </c>
      <c r="S192" t="n">
        <v>725</v>
      </c>
      <c r="T192" t="n">
        <v>630</v>
      </c>
    </row>
    <row r="193">
      <c r="O193" t="n">
        <v>192</v>
      </c>
      <c r="P193" t="inlineStr">
        <is>
          <t>07/04/2026</t>
        </is>
      </c>
      <c r="Q193" t="inlineStr">
        <is>
          <t>CD</t>
        </is>
      </c>
      <c r="R193" t="n">
        <v>595</v>
      </c>
      <c r="S193" t="n">
        <v>665</v>
      </c>
      <c r="T193" t="n">
        <v>898</v>
      </c>
    </row>
    <row r="194">
      <c r="O194" t="n">
        <v>193</v>
      </c>
      <c r="P194" t="inlineStr">
        <is>
          <t>08/04/2026</t>
        </is>
      </c>
      <c r="Q194" t="inlineStr">
        <is>
          <t>CN</t>
        </is>
      </c>
      <c r="R194" t="n">
        <v>807</v>
      </c>
      <c r="S194" t="n">
        <v>713</v>
      </c>
      <c r="T194" t="n">
        <v>633</v>
      </c>
    </row>
    <row r="195">
      <c r="O195" t="n">
        <v>194</v>
      </c>
      <c r="P195" t="inlineStr">
        <is>
          <t>08/04/2026</t>
        </is>
      </c>
      <c r="Q195" t="inlineStr">
        <is>
          <t>CD</t>
        </is>
      </c>
      <c r="R195" t="n">
        <v>359</v>
      </c>
      <c r="S195" t="n">
        <v>764</v>
      </c>
      <c r="T195" t="n">
        <v>1033</v>
      </c>
    </row>
    <row r="196">
      <c r="O196" t="n">
        <v>195</v>
      </c>
      <c r="P196" t="inlineStr">
        <is>
          <t>09/04/2026</t>
        </is>
      </c>
      <c r="Q196" t="inlineStr">
        <is>
          <t>CN</t>
        </is>
      </c>
      <c r="R196" t="n">
        <v>807</v>
      </c>
      <c r="S196" t="n">
        <v>702</v>
      </c>
      <c r="T196" t="n">
        <v>644</v>
      </c>
    </row>
    <row r="197">
      <c r="O197" t="n">
        <v>196</v>
      </c>
      <c r="P197" t="inlineStr">
        <is>
          <t>09/04/2026</t>
        </is>
      </c>
      <c r="Q197" t="inlineStr">
        <is>
          <t>CD</t>
        </is>
      </c>
      <c r="R197" t="n">
        <v>420</v>
      </c>
      <c r="S197" t="n">
        <v>703</v>
      </c>
      <c r="T197" t="n">
        <v>1033</v>
      </c>
    </row>
    <row r="198">
      <c r="O198" t="n">
        <v>197</v>
      </c>
      <c r="P198" t="inlineStr">
        <is>
          <t>10/04/2026</t>
        </is>
      </c>
      <c r="Q198" t="inlineStr">
        <is>
          <t>CN</t>
        </is>
      </c>
      <c r="R198" t="n">
        <v>703</v>
      </c>
      <c r="S198" t="n">
        <v>823</v>
      </c>
      <c r="T198" t="n">
        <v>629</v>
      </c>
    </row>
    <row r="199">
      <c r="O199" t="n">
        <v>198</v>
      </c>
      <c r="P199" t="inlineStr">
        <is>
          <t>10/04/2026</t>
        </is>
      </c>
      <c r="Q199" t="inlineStr">
        <is>
          <t>CD</t>
        </is>
      </c>
      <c r="R199" t="n">
        <v>609</v>
      </c>
      <c r="S199" t="n">
        <v>874</v>
      </c>
      <c r="T199" t="n">
        <v>673</v>
      </c>
    </row>
    <row r="200">
      <c r="O200" t="n">
        <v>199</v>
      </c>
      <c r="P200" t="inlineStr">
        <is>
          <t>11/04/2026</t>
        </is>
      </c>
      <c r="Q200" t="inlineStr">
        <is>
          <t>CN</t>
        </is>
      </c>
      <c r="R200" t="n">
        <v>676</v>
      </c>
      <c r="S200" t="n">
        <v>771</v>
      </c>
      <c r="T200" t="n">
        <v>707</v>
      </c>
    </row>
    <row r="201">
      <c r="O201" t="n">
        <v>200</v>
      </c>
      <c r="P201" t="inlineStr">
        <is>
          <t>11/04/2026</t>
        </is>
      </c>
      <c r="Q201" t="inlineStr">
        <is>
          <t>CD</t>
        </is>
      </c>
      <c r="R201" t="n">
        <v>428</v>
      </c>
      <c r="S201" t="n">
        <v>962</v>
      </c>
      <c r="T201" t="n">
        <v>765</v>
      </c>
    </row>
    <row r="202">
      <c r="O202" t="n">
        <v>201</v>
      </c>
      <c r="P202" t="inlineStr">
        <is>
          <t>12/04/2026</t>
        </is>
      </c>
      <c r="Q202" t="inlineStr">
        <is>
          <t>CN</t>
        </is>
      </c>
      <c r="R202" t="n">
        <v>0</v>
      </c>
      <c r="S202" t="n">
        <v>0</v>
      </c>
      <c r="T202" t="n">
        <v>2160</v>
      </c>
    </row>
    <row r="203">
      <c r="O203" t="n">
        <v>202</v>
      </c>
      <c r="P203" t="inlineStr">
        <is>
          <t>12/04/2026</t>
        </is>
      </c>
      <c r="Q203" t="inlineStr">
        <is>
          <t>CD</t>
        </is>
      </c>
      <c r="R203" t="n">
        <v>0</v>
      </c>
      <c r="S203" t="n">
        <v>0</v>
      </c>
      <c r="T203" t="n">
        <v>2160</v>
      </c>
    </row>
    <row r="204">
      <c r="O204" t="n">
        <v>203</v>
      </c>
      <c r="P204" t="inlineStr">
        <is>
          <t>13/04/2026</t>
        </is>
      </c>
      <c r="Q204" t="inlineStr">
        <is>
          <t>CN</t>
        </is>
      </c>
      <c r="R204" t="n">
        <v>493</v>
      </c>
      <c r="S204" t="n">
        <v>1015</v>
      </c>
      <c r="T204" t="n">
        <v>648</v>
      </c>
    </row>
    <row r="205">
      <c r="O205" t="n">
        <v>204</v>
      </c>
      <c r="P205" t="inlineStr">
        <is>
          <t>13/04/2026</t>
        </is>
      </c>
      <c r="Q205" t="inlineStr">
        <is>
          <t>CD</t>
        </is>
      </c>
      <c r="R205" t="n">
        <v>822</v>
      </c>
      <c r="S205" t="n">
        <v>803</v>
      </c>
      <c r="T205" t="n">
        <v>528</v>
      </c>
    </row>
    <row r="206">
      <c r="O206" t="n">
        <v>205</v>
      </c>
      <c r="P206" t="inlineStr">
        <is>
          <t>14/04/2026</t>
        </is>
      </c>
      <c r="Q206" t="inlineStr">
        <is>
          <t>CN</t>
        </is>
      </c>
      <c r="R206" t="n">
        <v>555</v>
      </c>
      <c r="S206" t="n">
        <v>976</v>
      </c>
      <c r="T206" t="n">
        <v>625</v>
      </c>
    </row>
    <row r="207">
      <c r="O207" t="n">
        <v>206</v>
      </c>
      <c r="P207" t="inlineStr">
        <is>
          <t>14/04/2026</t>
        </is>
      </c>
      <c r="Q207" t="inlineStr">
        <is>
          <t>CD</t>
        </is>
      </c>
      <c r="R207" t="n">
        <v>727</v>
      </c>
      <c r="S207" t="n">
        <v>871</v>
      </c>
      <c r="T207" t="n">
        <v>554</v>
      </c>
    </row>
    <row r="208">
      <c r="O208" t="n">
        <v>207</v>
      </c>
      <c r="P208" t="inlineStr">
        <is>
          <t>15/04/2026</t>
        </is>
      </c>
      <c r="Q208" t="inlineStr">
        <is>
          <t>CN</t>
        </is>
      </c>
      <c r="R208" t="n">
        <v>303</v>
      </c>
      <c r="S208" t="n">
        <v>724</v>
      </c>
      <c r="T208" t="n">
        <v>1131</v>
      </c>
    </row>
    <row r="209">
      <c r="O209" t="n">
        <v>208</v>
      </c>
      <c r="P209" t="inlineStr">
        <is>
          <t>15/04/2026</t>
        </is>
      </c>
      <c r="Q209" t="inlineStr">
        <is>
          <t>CD</t>
        </is>
      </c>
      <c r="R209" t="n">
        <v>1075</v>
      </c>
      <c r="S209" t="n">
        <v>583</v>
      </c>
      <c r="T209" t="n">
        <v>496</v>
      </c>
    </row>
    <row r="210">
      <c r="O210" t="n">
        <v>209</v>
      </c>
      <c r="P210" t="inlineStr">
        <is>
          <t>16/04/2026</t>
        </is>
      </c>
      <c r="Q210" t="inlineStr">
        <is>
          <t>CN</t>
        </is>
      </c>
      <c r="R210" t="n">
        <v>648</v>
      </c>
      <c r="S210" t="n">
        <v>887</v>
      </c>
      <c r="T210" t="n">
        <v>618</v>
      </c>
    </row>
    <row r="211">
      <c r="O211" t="n">
        <v>210</v>
      </c>
      <c r="P211" t="inlineStr">
        <is>
          <t>16/04/2026</t>
        </is>
      </c>
      <c r="Q211" t="inlineStr">
        <is>
          <t>CD</t>
        </is>
      </c>
      <c r="R211" t="n">
        <v>747</v>
      </c>
      <c r="S211" t="n">
        <v>899</v>
      </c>
      <c r="T211" t="n">
        <v>508</v>
      </c>
    </row>
    <row r="212">
      <c r="O212" t="n">
        <v>211</v>
      </c>
      <c r="P212" t="inlineStr">
        <is>
          <t>17/04/2026</t>
        </is>
      </c>
      <c r="Q212" t="inlineStr">
        <is>
          <t>CN</t>
        </is>
      </c>
      <c r="R212" t="n">
        <v>518</v>
      </c>
      <c r="S212" t="n">
        <v>993</v>
      </c>
      <c r="T212" t="n">
        <v>643</v>
      </c>
    </row>
    <row r="213">
      <c r="O213" t="n">
        <v>212</v>
      </c>
      <c r="P213" t="inlineStr">
        <is>
          <t>17/04/2026</t>
        </is>
      </c>
      <c r="Q213" t="inlineStr">
        <is>
          <t>CD</t>
        </is>
      </c>
      <c r="R213" t="n">
        <v>838</v>
      </c>
      <c r="S213" t="n">
        <v>714</v>
      </c>
      <c r="T213" t="n">
        <v>603</v>
      </c>
    </row>
    <row r="214">
      <c r="O214" t="n">
        <v>213</v>
      </c>
      <c r="P214" t="inlineStr">
        <is>
          <t>18/04/2026</t>
        </is>
      </c>
      <c r="Q214" t="inlineStr">
        <is>
          <t>CN</t>
        </is>
      </c>
      <c r="R214" t="n">
        <v>585</v>
      </c>
      <c r="S214" t="n">
        <v>659</v>
      </c>
      <c r="T214" t="n">
        <v>910</v>
      </c>
    </row>
    <row r="215">
      <c r="O215" t="n">
        <v>214</v>
      </c>
      <c r="P215" t="inlineStr">
        <is>
          <t>18/04/2026</t>
        </is>
      </c>
      <c r="Q215" t="inlineStr">
        <is>
          <t>CD</t>
        </is>
      </c>
      <c r="R215" t="n">
        <v>581</v>
      </c>
      <c r="S215" t="n">
        <v>752</v>
      </c>
      <c r="T215" t="n">
        <v>823</v>
      </c>
    </row>
    <row r="216">
      <c r="O216" t="n">
        <v>215</v>
      </c>
      <c r="P216" t="inlineStr">
        <is>
          <t>19/04/2026</t>
        </is>
      </c>
      <c r="Q216" t="inlineStr">
        <is>
          <t>CN</t>
        </is>
      </c>
      <c r="R216" t="n">
        <v>0</v>
      </c>
      <c r="S216" t="n">
        <v>0</v>
      </c>
      <c r="T216" t="n">
        <v>2160</v>
      </c>
    </row>
    <row r="217">
      <c r="O217" t="n">
        <v>216</v>
      </c>
      <c r="P217" t="inlineStr">
        <is>
          <t>19/04/2026</t>
        </is>
      </c>
      <c r="Q217" t="inlineStr">
        <is>
          <t>CD</t>
        </is>
      </c>
      <c r="R217" t="n">
        <v>0</v>
      </c>
      <c r="S217" t="n">
        <v>0</v>
      </c>
      <c r="T217" t="n">
        <v>2160</v>
      </c>
    </row>
    <row r="218">
      <c r="O218" t="n">
        <v>217</v>
      </c>
      <c r="P218" t="inlineStr">
        <is>
          <t>20/04/2026</t>
        </is>
      </c>
      <c r="Q218" t="inlineStr">
        <is>
          <t>CN</t>
        </is>
      </c>
      <c r="R218" t="n">
        <v>685</v>
      </c>
      <c r="S218" t="n">
        <v>853</v>
      </c>
      <c r="T218" t="n">
        <v>616</v>
      </c>
    </row>
    <row r="219">
      <c r="O219" t="n">
        <v>218</v>
      </c>
      <c r="P219" t="inlineStr">
        <is>
          <t>20/04/2026</t>
        </is>
      </c>
      <c r="Q219" t="inlineStr">
        <is>
          <t>CD</t>
        </is>
      </c>
      <c r="R219" t="n">
        <v>553</v>
      </c>
      <c r="S219" t="n">
        <v>1011</v>
      </c>
      <c r="T219" t="n">
        <v>592</v>
      </c>
    </row>
    <row r="220">
      <c r="O220" t="n">
        <v>219</v>
      </c>
      <c r="P220" t="inlineStr">
        <is>
          <t>21/04/2026</t>
        </is>
      </c>
      <c r="Q220" t="inlineStr">
        <is>
          <t>CN</t>
        </is>
      </c>
      <c r="R220" t="n">
        <v>831</v>
      </c>
      <c r="S220" t="n">
        <v>706</v>
      </c>
      <c r="T220" t="n">
        <v>619</v>
      </c>
    </row>
    <row r="221">
      <c r="O221" t="n">
        <v>220</v>
      </c>
      <c r="P221" t="inlineStr">
        <is>
          <t>21/04/2026</t>
        </is>
      </c>
      <c r="Q221" t="inlineStr">
        <is>
          <t>CD</t>
        </is>
      </c>
      <c r="R221" t="n">
        <v>576</v>
      </c>
      <c r="S221" t="n">
        <v>1091</v>
      </c>
      <c r="T221" t="n">
        <v>487</v>
      </c>
    </row>
    <row r="222">
      <c r="O222" t="n">
        <v>221</v>
      </c>
      <c r="P222" t="inlineStr">
        <is>
          <t>22/04/2026</t>
        </is>
      </c>
      <c r="Q222" t="inlineStr">
        <is>
          <t>CN</t>
        </is>
      </c>
      <c r="R222" t="n">
        <v>737</v>
      </c>
      <c r="S222" t="n">
        <v>801</v>
      </c>
      <c r="T222" t="n">
        <v>616</v>
      </c>
    </row>
    <row r="223">
      <c r="O223" t="n">
        <v>222</v>
      </c>
      <c r="P223" t="inlineStr">
        <is>
          <t>22/04/2026</t>
        </is>
      </c>
      <c r="Q223" t="inlineStr">
        <is>
          <t>CD</t>
        </is>
      </c>
      <c r="R223" t="n">
        <v>912</v>
      </c>
      <c r="S223" t="n">
        <v>778</v>
      </c>
      <c r="T223" t="n">
        <v>465</v>
      </c>
    </row>
    <row r="224">
      <c r="O224" t="n">
        <v>223</v>
      </c>
      <c r="P224" t="inlineStr">
        <is>
          <t>23/04/2026</t>
        </is>
      </c>
      <c r="Q224" t="inlineStr">
        <is>
          <t>CN</t>
        </is>
      </c>
      <c r="R224" t="n">
        <v>832</v>
      </c>
      <c r="S224" t="n">
        <v>704</v>
      </c>
      <c r="T224" t="n">
        <v>616</v>
      </c>
    </row>
    <row r="225">
      <c r="O225" t="n">
        <v>224</v>
      </c>
      <c r="P225" t="inlineStr">
        <is>
          <t>23/04/2026</t>
        </is>
      </c>
      <c r="Q225" t="inlineStr">
        <is>
          <t>CD</t>
        </is>
      </c>
      <c r="R225" t="n">
        <v>553</v>
      </c>
      <c r="S225" t="n">
        <v>1071</v>
      </c>
      <c r="T225" t="n">
        <v>533</v>
      </c>
    </row>
    <row r="226">
      <c r="O226" t="n">
        <v>225</v>
      </c>
      <c r="P226" t="inlineStr">
        <is>
          <t>24/04/2026</t>
        </is>
      </c>
      <c r="Q226" t="inlineStr">
        <is>
          <t>CN</t>
        </is>
      </c>
      <c r="R226" t="n">
        <v>842</v>
      </c>
      <c r="S226" t="n">
        <v>698</v>
      </c>
      <c r="T226" t="n">
        <v>615</v>
      </c>
    </row>
    <row r="227">
      <c r="O227" t="n">
        <v>226</v>
      </c>
      <c r="P227" t="inlineStr">
        <is>
          <t>24/04/2026</t>
        </is>
      </c>
      <c r="Q227" t="inlineStr">
        <is>
          <t>CD</t>
        </is>
      </c>
      <c r="R227" t="n">
        <v>630</v>
      </c>
      <c r="S227" t="n">
        <v>924</v>
      </c>
      <c r="T227" t="n">
        <v>603</v>
      </c>
    </row>
    <row r="228">
      <c r="O228" t="n">
        <v>227</v>
      </c>
      <c r="P228" t="inlineStr">
        <is>
          <t>25/04/2026</t>
        </is>
      </c>
      <c r="Q228" t="inlineStr">
        <is>
          <t>CN</t>
        </is>
      </c>
      <c r="R228" t="n">
        <v>417</v>
      </c>
      <c r="S228" t="n">
        <v>529</v>
      </c>
      <c r="T228" t="n">
        <v>1209</v>
      </c>
    </row>
    <row r="229">
      <c r="O229" t="n">
        <v>228</v>
      </c>
      <c r="P229" t="inlineStr">
        <is>
          <t>25/04/2026</t>
        </is>
      </c>
      <c r="Q229" t="inlineStr">
        <is>
          <t>CD</t>
        </is>
      </c>
      <c r="R229" t="n">
        <v>643</v>
      </c>
      <c r="S229" t="n">
        <v>201</v>
      </c>
      <c r="T229" t="n">
        <v>1315</v>
      </c>
    </row>
    <row r="230">
      <c r="O230" t="n">
        <v>229</v>
      </c>
      <c r="P230" t="inlineStr">
        <is>
          <t>26/04/2026</t>
        </is>
      </c>
      <c r="Q230" t="inlineStr">
        <is>
          <t>CN</t>
        </is>
      </c>
      <c r="R230" t="n">
        <v>0</v>
      </c>
      <c r="S230" t="n">
        <v>0</v>
      </c>
      <c r="T230" t="n">
        <v>2160</v>
      </c>
    </row>
    <row r="231">
      <c r="O231" t="n">
        <v>230</v>
      </c>
      <c r="P231" t="inlineStr">
        <is>
          <t>26/04/2026</t>
        </is>
      </c>
      <c r="Q231" t="inlineStr">
        <is>
          <t>CD</t>
        </is>
      </c>
      <c r="R231" t="n">
        <v>0</v>
      </c>
      <c r="S231" t="n">
        <v>0</v>
      </c>
      <c r="T231" t="n">
        <v>2160</v>
      </c>
    </row>
    <row r="232">
      <c r="O232" t="n">
        <v>231</v>
      </c>
      <c r="P232" t="inlineStr">
        <is>
          <t>27/04/2026</t>
        </is>
      </c>
      <c r="Q232" t="inlineStr">
        <is>
          <t>CN</t>
        </is>
      </c>
      <c r="R232" t="n">
        <v>790</v>
      </c>
      <c r="S232" t="n">
        <v>754</v>
      </c>
      <c r="T232" t="n">
        <v>615</v>
      </c>
    </row>
    <row r="233">
      <c r="O233" t="n">
        <v>232</v>
      </c>
      <c r="P233" t="inlineStr">
        <is>
          <t>27/04/2026</t>
        </is>
      </c>
      <c r="Q233" t="inlineStr">
        <is>
          <t>CD</t>
        </is>
      </c>
      <c r="R233" t="n">
        <v>729</v>
      </c>
      <c r="S233" t="n">
        <v>792</v>
      </c>
      <c r="T233" t="n">
        <v>631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T233"/>
  <sheetViews>
    <sheetView topLeftCell="E52" workbookViewId="0">
      <selection activeCell="I2" sqref="I2:J75"/>
    </sheetView>
  </sheetViews>
  <sheetFormatPr baseColWidth="8" defaultRowHeight="14.75"/>
  <cols>
    <col width="3" bestFit="1" customWidth="1" min="1" max="1"/>
    <col width="10.86328125" bestFit="1" customWidth="1" min="2" max="3"/>
    <col width="34.08984375" bestFit="1" customWidth="1" min="4" max="4"/>
    <col width="30.54296875" bestFit="1" customWidth="1" min="5" max="5"/>
    <col width="22.6796875" bestFit="1" customWidth="1" min="6" max="6"/>
    <col width="11.6796875" bestFit="1" customWidth="1" min="9" max="10"/>
    <col width="8.31640625" bestFit="1" customWidth="1" min="11" max="11"/>
    <col width="11.54296875" bestFit="1" customWidth="1" min="12" max="12"/>
    <col width="10" bestFit="1" customWidth="1" min="13" max="13"/>
  </cols>
  <sheetData>
    <row r="1" customFormat="1" s="2">
      <c r="A1" s="3" t="inlineStr">
        <is>
          <t>ID</t>
        </is>
      </c>
      <c r="B1" s="3" t="inlineStr">
        <is>
          <t>Ngày tháng</t>
        </is>
      </c>
      <c r="C1" s="3" t="inlineStr">
        <is>
          <t>Ca làm việc</t>
        </is>
      </c>
      <c r="D1" s="3" t="inlineStr">
        <is>
          <t>Thời gian hoạt động không tải (phút)</t>
        </is>
      </c>
      <c r="E1" s="3" t="inlineStr">
        <is>
          <t>Thời gian hoạt động có tải (phút)</t>
        </is>
      </c>
      <c r="F1" s="3" t="inlineStr">
        <is>
          <t>Thời gian tắt máy (phút)</t>
        </is>
      </c>
      <c r="H1" s="3" t="inlineStr">
        <is>
          <t>Ngày - Ca</t>
        </is>
      </c>
      <c r="I1" s="3" t="inlineStr">
        <is>
          <t>Mục Tiêu C1</t>
        </is>
      </c>
      <c r="J1" s="3" t="inlineStr">
        <is>
          <t>Mục Tiêu C2</t>
        </is>
      </c>
      <c r="K1" s="3" t="inlineStr">
        <is>
          <t>% Có Tải</t>
        </is>
      </c>
      <c r="L1" s="3" t="inlineStr">
        <is>
          <t>% Không Tải</t>
        </is>
      </c>
      <c r="M1" s="3" t="inlineStr">
        <is>
          <t>% Tắt Máy</t>
        </is>
      </c>
    </row>
    <row r="2">
      <c r="A2" t="n">
        <v>1</v>
      </c>
      <c r="B2" t="inlineStr">
        <is>
          <t>01/04/2026</t>
        </is>
      </c>
      <c r="C2" t="inlineStr">
        <is>
          <t>CN</t>
        </is>
      </c>
      <c r="D2" t="n">
        <v>1189</v>
      </c>
      <c r="E2" t="n">
        <v>892</v>
      </c>
      <c r="F2" t="n">
        <v>1521</v>
      </c>
      <c r="H2" t="inlineStr">
        <is>
          <t>T1</t>
        </is>
      </c>
      <c r="I2" s="1" t="n">
        <v>0.3</v>
      </c>
      <c r="J2" s="1" t="n">
        <v>0.4235294117647059</v>
      </c>
      <c r="K2" s="1">
        <f>IFERROR(SUMIFS(S:S,P:P,"*/01/2026")/(SUMIFS(R:R,P:P,"*/01/2026")+SUMIFS(S:S,P:P,"*/01/2026")+SUMIFS(T:T,P:P,"*/01/2026")),"")</f>
        <v/>
      </c>
      <c r="L2" s="1">
        <f>IFERROR(SUMIFS(R:R,P:P,"*/01/2026")/(SUMIFS(R:R,P:P,"*/01/2026")+SUMIFS(S:S,P:P,"*/01/2026")+SUMIFS(T:T,P:P,"*/01/2026")),"")</f>
        <v/>
      </c>
      <c r="M2" s="1">
        <f>IFERROR(SUMIFS(T:T,P:P,"*/01/2026")/(SUMIFS(R:R,P:P,"*/01/2026")+SUMIFS(S:S,P:P,"*/01/2026")+SUMIFS(T:T,P:P,"*/01/2026")),"")</f>
        <v/>
      </c>
      <c r="O2" t="n">
        <v>1</v>
      </c>
      <c r="P2" t="inlineStr">
        <is>
          <t>01/01/2026</t>
        </is>
      </c>
      <c r="Q2" t="inlineStr">
        <is>
          <t>CN</t>
        </is>
      </c>
      <c r="R2" t="n">
        <v>0</v>
      </c>
      <c r="S2" t="n">
        <v>0</v>
      </c>
      <c r="T2" t="n">
        <v>3600</v>
      </c>
    </row>
    <row r="3">
      <c r="A3" t="n">
        <v>2</v>
      </c>
      <c r="B3" t="inlineStr">
        <is>
          <t>01/04/2026</t>
        </is>
      </c>
      <c r="C3" t="inlineStr">
        <is>
          <t>CD</t>
        </is>
      </c>
      <c r="D3" t="n">
        <v>1217</v>
      </c>
      <c r="E3" t="n">
        <v>1173</v>
      </c>
      <c r="F3" t="n">
        <v>1213</v>
      </c>
      <c r="H3" t="inlineStr">
        <is>
          <t>T2</t>
        </is>
      </c>
      <c r="I3" s="1" t="n">
        <v>0.3</v>
      </c>
      <c r="J3" s="1" t="n">
        <v>0.4235294117647059</v>
      </c>
      <c r="K3" s="1">
        <f>IFERROR(SUMIFS(S:S,P:P,"*/02/2026")/(SUMIFS(R:R,P:P,"*/02/2026")+SUMIFS(S:S,P:P,"*/02/2026")+SUMIFS(T:T,P:P,"*/02/2026")),"")</f>
        <v/>
      </c>
      <c r="L3" s="1">
        <f>IFERROR(SUMIFS(R:R,P:P,"*/02/2026")/(SUMIFS(R:R,P:P,"*/02/2026")+SUMIFS(S:S,P:P,"*/02/2026")+SUMIFS(T:T,P:P,"*/02/2026")),"")</f>
        <v/>
      </c>
      <c r="M3" s="1">
        <f>IFERROR(SUMIFS(T:T,P:P,"*/02/2026")/(SUMIFS(R:R,P:P,"*/02/2026")+SUMIFS(S:S,P:P,"*/02/2026")+SUMIFS(T:T,P:P,"*/02/2026")),"")</f>
        <v/>
      </c>
      <c r="O3" t="n">
        <v>2</v>
      </c>
      <c r="P3" t="inlineStr">
        <is>
          <t>01/01/2026</t>
        </is>
      </c>
      <c r="Q3" t="inlineStr">
        <is>
          <t>CD</t>
        </is>
      </c>
      <c r="R3" t="n">
        <v>174</v>
      </c>
      <c r="S3" t="n">
        <v>85</v>
      </c>
      <c r="T3" t="n">
        <v>3336</v>
      </c>
    </row>
    <row r="4">
      <c r="A4" t="n">
        <v>3</v>
      </c>
      <c r="B4" t="inlineStr">
        <is>
          <t>02/04/2026</t>
        </is>
      </c>
      <c r="C4" t="inlineStr">
        <is>
          <t>CN</t>
        </is>
      </c>
      <c r="D4" t="n">
        <v>1425</v>
      </c>
      <c r="E4" t="n">
        <v>863</v>
      </c>
      <c r="F4" t="n">
        <v>1317</v>
      </c>
      <c r="H4" t="inlineStr">
        <is>
          <t>T3</t>
        </is>
      </c>
      <c r="I4" s="1" t="n">
        <v>0.3</v>
      </c>
      <c r="J4" s="1" t="n">
        <v>0.4235294117647059</v>
      </c>
      <c r="K4" s="1">
        <f>IFERROR(SUMIFS(S:S,P:P,"*/03/2026")/(SUMIFS(R:R,P:P,"*/03/2026")+SUMIFS(S:S,P:P,"*/03/2026")+SUMIFS(T:T,P:P,"*/03/2026")),"")</f>
        <v/>
      </c>
      <c r="L4" s="1">
        <f>IFERROR(SUMIFS(R:R,P:P,"*/03/2026")/(SUMIFS(R:R,P:P,"*/03/2026")+SUMIFS(S:S,P:P,"*/03/2026")+SUMIFS(T:T,P:P,"*/03/2026")),"")</f>
        <v/>
      </c>
      <c r="M4" s="1">
        <f>IFERROR(SUMIFS(T:T,P:P,"*/03/2026")/(SUMIFS(R:R,P:P,"*/03/2026")+SUMIFS(S:S,P:P,"*/03/2026")+SUMIFS(T:T,P:P,"*/03/2026")),"")</f>
        <v/>
      </c>
      <c r="O4" t="n">
        <v>3</v>
      </c>
      <c r="P4" t="inlineStr">
        <is>
          <t>02/01/2026</t>
        </is>
      </c>
      <c r="Q4" t="inlineStr">
        <is>
          <t>CN</t>
        </is>
      </c>
      <c r="R4" t="n">
        <v>1706</v>
      </c>
      <c r="S4" t="n">
        <v>998</v>
      </c>
      <c r="T4" t="n">
        <v>899</v>
      </c>
    </row>
    <row r="5">
      <c r="A5" t="n">
        <v>4</v>
      </c>
      <c r="B5" t="inlineStr">
        <is>
          <t>02/04/2026</t>
        </is>
      </c>
      <c r="C5" t="inlineStr">
        <is>
          <t>CD</t>
        </is>
      </c>
      <c r="D5" t="n">
        <v>1144</v>
      </c>
      <c r="E5" t="n">
        <v>1079</v>
      </c>
      <c r="F5" t="n">
        <v>1379</v>
      </c>
      <c r="H5" t="inlineStr">
        <is>
          <t>T4</t>
        </is>
      </c>
      <c r="I5" s="1" t="n">
        <v>0.3</v>
      </c>
      <c r="J5" s="1" t="n">
        <v>0.4235294117647059</v>
      </c>
      <c r="K5" s="1">
        <f>IFERROR(SUMIFS(S:S,P:P,"*/04/2026")/(SUMIFS(R:R,P:P,"*/04/2026")+SUMIFS(S:S,P:P,"*/04/2026")+SUMIFS(T:T,P:P,"*/04/2026")),"")</f>
        <v/>
      </c>
      <c r="L5" s="1">
        <f>IFERROR(SUMIFS(R:R,P:P,"*/04/2026")/(SUMIFS(R:R,P:P,"*/04/2026")+SUMIFS(S:S,P:P,"*/04/2026")+SUMIFS(T:T,P:P,"*/04/2026")),"")</f>
        <v/>
      </c>
      <c r="M5" s="1">
        <f>IFERROR(SUMIFS(T:T,P:P,"*/04/2026")/(SUMIFS(R:R,P:P,"*/04/2026")+SUMIFS(S:S,P:P,"*/04/2026")+SUMIFS(T:T,P:P,"*/04/2026")),"")</f>
        <v/>
      </c>
      <c r="O5" t="n">
        <v>4</v>
      </c>
      <c r="P5" t="inlineStr">
        <is>
          <t>02/01/2026</t>
        </is>
      </c>
      <c r="Q5" t="inlineStr">
        <is>
          <t>CD</t>
        </is>
      </c>
      <c r="R5" t="n">
        <v>1120</v>
      </c>
      <c r="S5" t="n">
        <v>497</v>
      </c>
      <c r="T5" t="n">
        <v>1983</v>
      </c>
    </row>
    <row r="6">
      <c r="A6" t="n">
        <v>5</v>
      </c>
      <c r="B6" t="inlineStr">
        <is>
          <t>03/04/2026</t>
        </is>
      </c>
      <c r="C6" t="inlineStr">
        <is>
          <t>CN</t>
        </is>
      </c>
      <c r="D6" t="n">
        <v>1086</v>
      </c>
      <c r="E6" t="n">
        <v>1002</v>
      </c>
      <c r="F6" t="n">
        <v>1515</v>
      </c>
      <c r="H6" t="inlineStr">
        <is>
          <t>T5</t>
        </is>
      </c>
      <c r="I6" s="1" t="n">
        <v>0.3</v>
      </c>
      <c r="J6" s="1" t="n">
        <v>0.4235294117647059</v>
      </c>
      <c r="K6" s="1">
        <f>IFERROR(SUMIFS(S:S,P:P,"*/05/2026")/(SUMIFS(R:R,P:P,"*/05/2026")+SUMIFS(S:S,P:P,"*/05/2026")+SUMIFS(T:T,P:P,"*/05/2026")),"")</f>
        <v/>
      </c>
      <c r="L6" s="1">
        <f>IFERROR(SUMIFS(R:R,P:P,"*/05/2026")/(SUMIFS(R:R,P:P,"*/05/2026")+SUMIFS(S:S,P:P,"*/05/2026")+SUMIFS(T:T,P:P,"*/05/2026")),"")</f>
        <v/>
      </c>
      <c r="M6" s="1">
        <f>IFERROR(SUMIFS(T:T,P:P,"*/05/2026")/(SUMIFS(R:R,P:P,"*/05/2026")+SUMIFS(S:S,P:P,"*/05/2026")+SUMIFS(T:T,P:P,"*/05/2026")),"")</f>
        <v/>
      </c>
      <c r="O6" t="n">
        <v>5</v>
      </c>
      <c r="P6" t="inlineStr">
        <is>
          <t>03/01/2026</t>
        </is>
      </c>
      <c r="Q6" t="inlineStr">
        <is>
          <t>CD</t>
        </is>
      </c>
      <c r="R6" t="n">
        <v>2636</v>
      </c>
      <c r="S6" t="n">
        <v>1529</v>
      </c>
      <c r="T6" t="n">
        <v>1694</v>
      </c>
    </row>
    <row r="7">
      <c r="A7" t="n">
        <v>6</v>
      </c>
      <c r="B7" t="inlineStr">
        <is>
          <t>03/04/2026</t>
        </is>
      </c>
      <c r="C7" t="inlineStr">
        <is>
          <t>CD</t>
        </is>
      </c>
      <c r="D7" t="n">
        <v>1197</v>
      </c>
      <c r="E7" t="n">
        <v>1045</v>
      </c>
      <c r="F7" t="n">
        <v>1360</v>
      </c>
      <c r="H7" t="inlineStr">
        <is>
          <t>T6</t>
        </is>
      </c>
      <c r="I7" s="1" t="n">
        <v>0.3</v>
      </c>
      <c r="J7" s="1" t="n">
        <v>0.4235294117647059</v>
      </c>
      <c r="K7" s="1">
        <f>IFERROR(SUMIFS(S:S,P:P,"*/06/2026")/(SUMIFS(R:R,P:P,"*/06/2026")+SUMIFS(S:S,P:P,"*/06/2026")+SUMIFS(T:T,P:P,"*/06/2026")),"")</f>
        <v/>
      </c>
      <c r="L7" s="1">
        <f>IFERROR(SUMIFS(R:R,P:P,"*/06/2026")/(SUMIFS(R:R,P:P,"*/06/2026")+SUMIFS(S:S,P:P,"*/06/2026")+SUMIFS(T:T,P:P,"*/06/2026")),"")</f>
        <v/>
      </c>
      <c r="M7" s="1">
        <f>IFERROR(SUMIFS(T:T,P:P,"*/06/2026")/(SUMIFS(R:R,P:P,"*/06/2026")+SUMIFS(S:S,P:P,"*/06/2026")+SUMIFS(T:T,P:P,"*/06/2026")),"")</f>
        <v/>
      </c>
      <c r="O7" t="n">
        <v>6</v>
      </c>
      <c r="P7" t="inlineStr">
        <is>
          <t>04/01/2026</t>
        </is>
      </c>
      <c r="Q7" t="inlineStr">
        <is>
          <t>CN</t>
        </is>
      </c>
      <c r="R7" t="n">
        <v>0</v>
      </c>
      <c r="S7" t="n">
        <v>0</v>
      </c>
      <c r="T7" t="n">
        <v>3600</v>
      </c>
    </row>
    <row r="8">
      <c r="A8" t="n">
        <v>7</v>
      </c>
      <c r="B8" t="inlineStr">
        <is>
          <t>04/04/2026</t>
        </is>
      </c>
      <c r="C8" t="inlineStr">
        <is>
          <t>CN</t>
        </is>
      </c>
      <c r="D8" t="n">
        <v>839</v>
      </c>
      <c r="E8" t="n">
        <v>630</v>
      </c>
      <c r="F8" t="n">
        <v>2134</v>
      </c>
      <c r="H8" t="inlineStr">
        <is>
          <t>T7</t>
        </is>
      </c>
      <c r="I8" s="1" t="n">
        <v>0.3</v>
      </c>
      <c r="J8" s="1" t="n">
        <v>0.4235294117647059</v>
      </c>
      <c r="K8" s="1">
        <f>IFERROR(SUMIFS(S:S,P:P,"*/07/2026")/(SUMIFS(R:R,P:P,"*/07/2026")+SUMIFS(S:S,P:P,"*/07/2026")+SUMIFS(T:T,P:P,"*/07/2026")),"")</f>
        <v/>
      </c>
      <c r="L8" s="1">
        <f>IFERROR(SUMIFS(R:R,P:P,"*/07/2026")/(SUMIFS(R:R,P:P,"*/07/2026")+SUMIFS(S:S,P:P,"*/07/2026")+SUMIFS(T:T,P:P,"*/07/2026")),"")</f>
        <v/>
      </c>
      <c r="M8" s="1">
        <f>IFERROR(SUMIFS(T:T,P:P,"*/07/2026")/(SUMIFS(R:R,P:P,"*/07/2026")+SUMIFS(S:S,P:P,"*/07/2026")+SUMIFS(T:T,P:P,"*/07/2026")),"")</f>
        <v/>
      </c>
      <c r="O8" t="n">
        <v>7</v>
      </c>
      <c r="P8" t="inlineStr">
        <is>
          <t>04/01/2026</t>
        </is>
      </c>
      <c r="Q8" t="inlineStr">
        <is>
          <t>CD</t>
        </is>
      </c>
      <c r="R8" t="n">
        <v>0</v>
      </c>
      <c r="S8" t="n">
        <v>0</v>
      </c>
      <c r="T8" t="n">
        <v>3600</v>
      </c>
    </row>
    <row r="9">
      <c r="A9" t="n">
        <v>8</v>
      </c>
      <c r="B9" t="inlineStr">
        <is>
          <t>04/04/2026</t>
        </is>
      </c>
      <c r="C9" t="inlineStr">
        <is>
          <t>CD</t>
        </is>
      </c>
      <c r="D9" t="n">
        <v>968</v>
      </c>
      <c r="E9" t="n">
        <v>829</v>
      </c>
      <c r="F9" t="n">
        <v>1804</v>
      </c>
      <c r="H9" t="inlineStr">
        <is>
          <t>T8</t>
        </is>
      </c>
      <c r="I9" s="1" t="n">
        <v>0.3</v>
      </c>
      <c r="J9" s="1" t="n">
        <v>0.4235294117647059</v>
      </c>
      <c r="K9" s="1">
        <f>IFERROR(SUMIFS(S:S,P:P,"*/08/2026")/(SUMIFS(R:R,P:P,"*/08/2026")+SUMIFS(S:S,P:P,"*/08/2026")+SUMIFS(T:T,P:P,"*/08/2026")),"")</f>
        <v/>
      </c>
      <c r="L9" s="1">
        <f>IFERROR(SUMIFS(R:R,P:P,"*/08/2026")/(SUMIFS(R:R,P:P,"*/08/2026")+SUMIFS(S:S,P:P,"*/08/2026")+SUMIFS(T:T,P:P,"*/08/2026")),"")</f>
        <v/>
      </c>
      <c r="M9" s="1">
        <f>IFERROR(SUMIFS(T:T,P:P,"*/08/2026")/(SUMIFS(R:R,P:P,"*/08/2026")+SUMIFS(S:S,P:P,"*/08/2026")+SUMIFS(T:T,P:P,"*/08/2026")),"")</f>
        <v/>
      </c>
      <c r="O9" t="n">
        <v>8</v>
      </c>
      <c r="P9" t="inlineStr">
        <is>
          <t>05/01/2026</t>
        </is>
      </c>
      <c r="Q9" t="inlineStr">
        <is>
          <t>CN</t>
        </is>
      </c>
      <c r="R9" t="n">
        <v>1703</v>
      </c>
      <c r="S9" t="n">
        <v>908</v>
      </c>
      <c r="T9" t="n">
        <v>993</v>
      </c>
    </row>
    <row r="10">
      <c r="A10" t="n">
        <v>9</v>
      </c>
      <c r="B10" t="inlineStr">
        <is>
          <t>05/04/2026</t>
        </is>
      </c>
      <c r="C10" t="inlineStr">
        <is>
          <t>CN</t>
        </is>
      </c>
      <c r="D10" t="n">
        <v>0</v>
      </c>
      <c r="E10" t="n">
        <v>0</v>
      </c>
      <c r="F10" t="n">
        <v>3600</v>
      </c>
      <c r="H10" t="inlineStr">
        <is>
          <t>T9</t>
        </is>
      </c>
      <c r="I10" s="1" t="n">
        <v>0.3</v>
      </c>
      <c r="J10" s="1" t="n">
        <v>0.4235294117647059</v>
      </c>
      <c r="K10" s="1">
        <f>IFERROR(SUMIFS(S:S,P:P,"*/09/2026")/(SUMIFS(R:R,P:P,"*/09/2026")+SUMIFS(S:S,P:P,"*/09/2026")+SUMIFS(T:T,P:P,"*/09/2026")),"")</f>
        <v/>
      </c>
      <c r="L10" s="1">
        <f>IFERROR(SUMIFS(R:R,P:P,"*/09/2026")/(SUMIFS(R:R,P:P,"*/09/2026")+SUMIFS(S:S,P:P,"*/09/2026")+SUMIFS(T:T,P:P,"*/09/2026")),"")</f>
        <v/>
      </c>
      <c r="M10" s="1">
        <f>IFERROR(SUMIFS(T:T,P:P,"*/09/2026")/(SUMIFS(R:R,P:P,"*/09/2026")+SUMIFS(S:S,P:P,"*/09/2026")+SUMIFS(T:T,P:P,"*/09/2026")),"")</f>
        <v/>
      </c>
      <c r="O10" t="n">
        <v>9</v>
      </c>
      <c r="P10" t="inlineStr">
        <is>
          <t>05/01/2026</t>
        </is>
      </c>
      <c r="Q10" t="inlineStr">
        <is>
          <t>CD</t>
        </is>
      </c>
      <c r="R10" t="n">
        <v>2461</v>
      </c>
      <c r="S10" t="n">
        <v>622</v>
      </c>
      <c r="T10" t="n">
        <v>478</v>
      </c>
    </row>
    <row r="11">
      <c r="A11" t="n">
        <v>10</v>
      </c>
      <c r="B11" t="inlineStr">
        <is>
          <t>05/04/2026</t>
        </is>
      </c>
      <c r="C11" t="inlineStr">
        <is>
          <t>CD</t>
        </is>
      </c>
      <c r="D11" t="n">
        <v>0</v>
      </c>
      <c r="E11" t="n">
        <v>0</v>
      </c>
      <c r="F11" t="n">
        <v>3600</v>
      </c>
      <c r="H11" t="inlineStr">
        <is>
          <t>T10</t>
        </is>
      </c>
      <c r="I11" s="1" t="n">
        <v>0.3</v>
      </c>
      <c r="J11" s="1" t="n">
        <v>0.4235294117647059</v>
      </c>
      <c r="K11" s="1">
        <f>IFERROR(SUMIFS(S:S,P:P,"*/10/2026")/(SUMIFS(R:R,P:P,"*/10/2026")+SUMIFS(S:S,P:P,"*/10/2026")+SUMIFS(T:T,P:P,"*/10/2026")),"")</f>
        <v/>
      </c>
      <c r="L11" s="1">
        <f>IFERROR(SUMIFS(R:R,P:P,"*/10/2026")/(SUMIFS(R:R,P:P,"*/10/2026")+SUMIFS(S:S,P:P,"*/10/2026")+SUMIFS(T:T,P:P,"*/10/2026")),"")</f>
        <v/>
      </c>
      <c r="M11" s="1">
        <f>IFERROR(SUMIFS(T:T,P:P,"*/10/2026")/(SUMIFS(R:R,P:P,"*/10/2026")+SUMIFS(S:S,P:P,"*/10/2026")+SUMIFS(T:T,P:P,"*/10/2026")),"")</f>
        <v/>
      </c>
      <c r="O11" t="n">
        <v>10</v>
      </c>
      <c r="P11" t="inlineStr">
        <is>
          <t>06/01/2026</t>
        </is>
      </c>
      <c r="Q11" t="inlineStr">
        <is>
          <t>CN</t>
        </is>
      </c>
      <c r="R11" t="n">
        <v>1886</v>
      </c>
      <c r="S11" t="n">
        <v>1099</v>
      </c>
      <c r="T11" t="n">
        <v>618</v>
      </c>
    </row>
    <row r="12">
      <c r="A12" t="n">
        <v>11</v>
      </c>
      <c r="B12" t="inlineStr">
        <is>
          <t>06/04/2026</t>
        </is>
      </c>
      <c r="C12" t="inlineStr">
        <is>
          <t>CN</t>
        </is>
      </c>
      <c r="D12" t="n">
        <v>1143</v>
      </c>
      <c r="E12" t="n">
        <v>1034</v>
      </c>
      <c r="F12" t="n">
        <v>1422</v>
      </c>
      <c r="H12" t="inlineStr">
        <is>
          <t>T11</t>
        </is>
      </c>
      <c r="I12" s="1" t="n">
        <v>0.3</v>
      </c>
      <c r="J12" s="1" t="n">
        <v>0.4235294117647059</v>
      </c>
      <c r="K12" s="1">
        <f>IFERROR(SUMIFS(S:S,P:P,"*/11/2026")/(SUMIFS(R:R,P:P,"*/11/2026")+SUMIFS(S:S,P:P,"*/11/2026")+SUMIFS(T:T,P:P,"*/11/2026")),"")</f>
        <v/>
      </c>
      <c r="L12" s="1">
        <f>IFERROR(SUMIFS(R:R,P:P,"*/11/2026")/(SUMIFS(R:R,P:P,"*/11/2026")+SUMIFS(S:S,P:P,"*/11/2026")+SUMIFS(T:T,P:P,"*/11/2026")),"")</f>
        <v/>
      </c>
      <c r="M12" s="1">
        <f>IFERROR(SUMIFS(T:T,P:P,"*/11/2026")/(SUMIFS(R:R,P:P,"*/11/2026")+SUMIFS(S:S,P:P,"*/11/2026")+SUMIFS(T:T,P:P,"*/11/2026")),"")</f>
        <v/>
      </c>
      <c r="O12" t="n">
        <v>11</v>
      </c>
      <c r="P12" t="inlineStr">
        <is>
          <t>06/01/2026</t>
        </is>
      </c>
      <c r="Q12" t="inlineStr">
        <is>
          <t>CD</t>
        </is>
      </c>
      <c r="R12" t="n">
        <v>1582</v>
      </c>
      <c r="S12" t="n">
        <v>679</v>
      </c>
      <c r="T12" t="n">
        <v>1341</v>
      </c>
    </row>
    <row r="13">
      <c r="A13" t="n">
        <v>12</v>
      </c>
      <c r="B13" t="inlineStr">
        <is>
          <t>06/04/2026</t>
        </is>
      </c>
      <c r="C13" t="inlineStr">
        <is>
          <t>CD</t>
        </is>
      </c>
      <c r="D13" t="n">
        <v>1059</v>
      </c>
      <c r="E13" t="n">
        <v>1162</v>
      </c>
      <c r="F13" t="n">
        <v>1381</v>
      </c>
      <c r="H13" t="inlineStr">
        <is>
          <t>T12</t>
        </is>
      </c>
      <c r="I13" s="1" t="n">
        <v>0.3</v>
      </c>
      <c r="J13" s="1" t="n">
        <v>0.4235294117647059</v>
      </c>
      <c r="K13" s="1">
        <f>IFERROR(SUMIFS(S:S,P:P,"*/12/2026")/(SUMIFS(R:R,P:P,"*/12/2026")+SUMIFS(S:S,P:P,"*/12/2026")+SUMIFS(T:T,P:P,"*/12/2026")),"")</f>
        <v/>
      </c>
      <c r="L13" s="1">
        <f>IFERROR(SUMIFS(R:R,P:P,"*/12/2026")/(SUMIFS(R:R,P:P,"*/12/2026")+SUMIFS(S:S,P:P,"*/12/2026")+SUMIFS(T:T,P:P,"*/12/2026")),"")</f>
        <v/>
      </c>
      <c r="M13" s="1">
        <f>IFERROR(SUMIFS(T:T,P:P,"*/12/2026")/(SUMIFS(R:R,P:P,"*/12/2026")+SUMIFS(S:S,P:P,"*/12/2026")+SUMIFS(T:T,P:P,"*/12/2026")),"")</f>
        <v/>
      </c>
      <c r="O13" t="n">
        <v>12</v>
      </c>
      <c r="P13" t="inlineStr">
        <is>
          <t>07/01/2026</t>
        </is>
      </c>
      <c r="Q13" t="inlineStr">
        <is>
          <t>CN</t>
        </is>
      </c>
      <c r="R13" t="n">
        <v>378</v>
      </c>
      <c r="S13" t="n">
        <v>282</v>
      </c>
      <c r="T13" t="n">
        <v>2935</v>
      </c>
    </row>
    <row r="14">
      <c r="A14" t="n">
        <v>13</v>
      </c>
      <c r="B14" t="inlineStr">
        <is>
          <t>07/04/2026</t>
        </is>
      </c>
      <c r="C14" t="inlineStr">
        <is>
          <t>CN</t>
        </is>
      </c>
      <c r="D14" t="n">
        <v>1096</v>
      </c>
      <c r="E14" t="n">
        <v>964</v>
      </c>
      <c r="F14" t="n">
        <v>1540</v>
      </c>
      <c r="H14">
        <f>IF(B2="","",TEXT(B2,"dd/mm")&amp; "-" &amp;IF(UPPER(TRIM(C2))="CN",1,IF(UPPER(TRIM(C2))="CD",2,"")))</f>
        <v/>
      </c>
      <c r="I14" s="1" t="n">
        <v>0.3</v>
      </c>
      <c r="J14" s="1" t="n">
        <v>0.4235294117647059</v>
      </c>
      <c r="K14" s="1">
        <f>IFERROR($E2/SUM($D2:$F2),"")</f>
        <v/>
      </c>
      <c r="L14" s="1">
        <f>IFERROR($D2/SUM($D2:$F2),"")</f>
        <v/>
      </c>
      <c r="M14" s="1">
        <f>IFERROR($F2/SUM($D2:$F2),"")</f>
        <v/>
      </c>
      <c r="O14" t="n">
        <v>13</v>
      </c>
      <c r="P14" t="inlineStr">
        <is>
          <t>07/01/2026</t>
        </is>
      </c>
      <c r="Q14" t="inlineStr">
        <is>
          <t>CD</t>
        </is>
      </c>
      <c r="R14" t="n">
        <v>0</v>
      </c>
      <c r="S14" t="n">
        <v>0</v>
      </c>
      <c r="T14" t="n">
        <v>3600</v>
      </c>
    </row>
    <row r="15">
      <c r="A15" t="n">
        <v>14</v>
      </c>
      <c r="B15" t="inlineStr">
        <is>
          <t>07/04/2026</t>
        </is>
      </c>
      <c r="C15" t="inlineStr">
        <is>
          <t>CD</t>
        </is>
      </c>
      <c r="D15" t="n">
        <v>1278</v>
      </c>
      <c r="E15" t="n">
        <v>964</v>
      </c>
      <c r="F15" t="n">
        <v>1364</v>
      </c>
      <c r="H15">
        <f>IF(B3="","",TEXT(B3,"dd/mm") &amp; "-" &amp; IF(UPPER(TRIM(C3))="CN",1,IF(UPPER(TRIM(C3))="CD",2,"")))</f>
        <v/>
      </c>
      <c r="I15" s="1" t="n">
        <v>0.3</v>
      </c>
      <c r="J15" s="1" t="n">
        <v>0.4235294117647059</v>
      </c>
      <c r="K15" s="1">
        <f>IFERROR($E3/SUM($D3:$F3),"")</f>
        <v/>
      </c>
      <c r="L15" s="1">
        <f>IFERROR($D3/SUM($D3:$F3),"")</f>
        <v/>
      </c>
      <c r="M15" s="1">
        <f>IFERROR($F3/SUM($D3:$F3),"")</f>
        <v/>
      </c>
      <c r="O15" t="n">
        <v>14</v>
      </c>
      <c r="P15" t="inlineStr">
        <is>
          <t>08/01/2026</t>
        </is>
      </c>
      <c r="Q15" t="inlineStr">
        <is>
          <t>CN</t>
        </is>
      </c>
      <c r="R15" t="n">
        <v>1640</v>
      </c>
      <c r="S15" t="n">
        <v>929</v>
      </c>
      <c r="T15" t="n">
        <v>1035</v>
      </c>
    </row>
    <row r="16">
      <c r="A16" t="n">
        <v>15</v>
      </c>
      <c r="B16" t="inlineStr">
        <is>
          <t>08/04/2026</t>
        </is>
      </c>
      <c r="C16" t="inlineStr">
        <is>
          <t>CN</t>
        </is>
      </c>
      <c r="D16" t="n">
        <v>1151</v>
      </c>
      <c r="E16" t="n">
        <v>913</v>
      </c>
      <c r="F16" t="n">
        <v>1537</v>
      </c>
      <c r="H16">
        <f>IF(B4="","",TEXT(B4,"dd/mm") &amp; "-" &amp; IF(UPPER(TRIM(C4))="CN",1,IF(UPPER(TRIM(C4))="CD",2,"")))</f>
        <v/>
      </c>
      <c r="I16" s="1" t="n">
        <v>0.3</v>
      </c>
      <c r="J16" s="1" t="n">
        <v>0.4235294117647059</v>
      </c>
      <c r="K16" s="1">
        <f>IFERROR($E4/SUM($D4:$F4),"")</f>
        <v/>
      </c>
      <c r="L16" s="1">
        <f>IFERROR($D4/SUM($D4:$F4),"")</f>
        <v/>
      </c>
      <c r="M16" s="1">
        <f>IFERROR($F4/SUM($D4:$F4),"")</f>
        <v/>
      </c>
      <c r="O16" t="n">
        <v>15</v>
      </c>
      <c r="P16" t="inlineStr">
        <is>
          <t>08/01/2026</t>
        </is>
      </c>
      <c r="Q16" t="inlineStr">
        <is>
          <t>CD</t>
        </is>
      </c>
      <c r="R16" t="n">
        <v>1002</v>
      </c>
      <c r="S16" t="n">
        <v>682</v>
      </c>
      <c r="T16" t="n">
        <v>1918</v>
      </c>
    </row>
    <row r="17">
      <c r="A17" t="n">
        <v>16</v>
      </c>
      <c r="B17" t="inlineStr">
        <is>
          <t>08/04/2026</t>
        </is>
      </c>
      <c r="C17" t="inlineStr">
        <is>
          <t>CD</t>
        </is>
      </c>
      <c r="D17" t="n">
        <v>1165</v>
      </c>
      <c r="E17" t="n">
        <v>1083</v>
      </c>
      <c r="F17" t="n">
        <v>1353</v>
      </c>
      <c r="H17">
        <f>IF(B5="","",TEXT(B5,"dd/mm") &amp; "-" &amp; IF(UPPER(TRIM(C5))="CN",1,IF(UPPER(TRIM(C5))="CD",2,"")))</f>
        <v/>
      </c>
      <c r="I17" s="1" t="n">
        <v>0.3</v>
      </c>
      <c r="J17" s="1" t="n">
        <v>0.4235294117647059</v>
      </c>
      <c r="K17" s="1">
        <f>IFERROR($E5/SUM($D5:$F5),"")</f>
        <v/>
      </c>
      <c r="L17" s="1">
        <f>IFERROR($D5/SUM($D5:$F5),"")</f>
        <v/>
      </c>
      <c r="M17" s="1">
        <f>IFERROR($F5/SUM($D5:$F5),"")</f>
        <v/>
      </c>
      <c r="O17" t="n">
        <v>16</v>
      </c>
      <c r="P17" t="inlineStr">
        <is>
          <t>09/01/2026</t>
        </is>
      </c>
      <c r="Q17" t="inlineStr">
        <is>
          <t>CN</t>
        </is>
      </c>
      <c r="R17" t="n">
        <v>1728</v>
      </c>
      <c r="S17" t="n">
        <v>843</v>
      </c>
      <c r="T17" t="n">
        <v>1033</v>
      </c>
    </row>
    <row r="18">
      <c r="A18" t="n">
        <v>17</v>
      </c>
      <c r="B18" t="inlineStr">
        <is>
          <t>09/04/2026</t>
        </is>
      </c>
      <c r="C18" t="inlineStr">
        <is>
          <t>CN</t>
        </is>
      </c>
      <c r="D18" t="n">
        <v>1178</v>
      </c>
      <c r="E18" t="n">
        <v>889</v>
      </c>
      <c r="F18" t="n">
        <v>1533</v>
      </c>
      <c r="H18">
        <f>IF(B6="","",TEXT(B6,"dd/mm") &amp; "-" &amp; IF(UPPER(TRIM(C6))="CN",1,IF(UPPER(TRIM(C6))="CD",2,"")))</f>
        <v/>
      </c>
      <c r="I18" s="1" t="n">
        <v>0.3</v>
      </c>
      <c r="J18" s="1" t="n">
        <v>0.4235294117647059</v>
      </c>
      <c r="K18" s="1">
        <f>IFERROR($E6/SUM($D6:$F6),"")</f>
        <v/>
      </c>
      <c r="L18" s="1">
        <f>IFERROR($D6/SUM($D6:$F6),"")</f>
        <v/>
      </c>
      <c r="M18" s="1">
        <f>IFERROR($F6/SUM($D6:$F6),"")</f>
        <v/>
      </c>
      <c r="O18" t="n">
        <v>17</v>
      </c>
      <c r="P18" t="inlineStr">
        <is>
          <t>09/01/2026</t>
        </is>
      </c>
      <c r="Q18" t="inlineStr">
        <is>
          <t>CD</t>
        </is>
      </c>
      <c r="R18" t="n">
        <v>1108</v>
      </c>
      <c r="S18" t="n">
        <v>720</v>
      </c>
      <c r="T18" t="n">
        <v>1774</v>
      </c>
    </row>
    <row r="19">
      <c r="A19" t="n">
        <v>18</v>
      </c>
      <c r="B19" t="inlineStr">
        <is>
          <t>09/04/2026</t>
        </is>
      </c>
      <c r="C19" t="inlineStr">
        <is>
          <t>CD</t>
        </is>
      </c>
      <c r="D19" t="n">
        <v>1374</v>
      </c>
      <c r="E19" t="n">
        <v>861</v>
      </c>
      <c r="F19" t="n">
        <v>1370</v>
      </c>
      <c r="H19">
        <f>IF(B7="","",TEXT(B7,"dd/mm") &amp; "-" &amp; IF(UPPER(TRIM(C7))="CN",1,IF(UPPER(TRIM(C7))="CD",2,"")))</f>
        <v/>
      </c>
      <c r="I19" s="1" t="n">
        <v>0.3</v>
      </c>
      <c r="J19" s="1" t="n">
        <v>0.4235294117647059</v>
      </c>
      <c r="K19" s="1">
        <f>IFERROR($E7/SUM($D7:$F7),"")</f>
        <v/>
      </c>
      <c r="L19" s="1">
        <f>IFERROR($D7/SUM($D7:$F7),"")</f>
        <v/>
      </c>
      <c r="M19" s="1">
        <f>IFERROR($F7/SUM($D7:$F7),"")</f>
        <v/>
      </c>
      <c r="O19" t="n">
        <v>18</v>
      </c>
      <c r="P19" t="inlineStr">
        <is>
          <t>10/01/2026</t>
        </is>
      </c>
      <c r="Q19" t="inlineStr">
        <is>
          <t>CN</t>
        </is>
      </c>
      <c r="R19" t="n">
        <v>1580</v>
      </c>
      <c r="S19" t="n">
        <v>828</v>
      </c>
      <c r="T19" t="n">
        <v>1194</v>
      </c>
    </row>
    <row r="20">
      <c r="A20" t="n">
        <v>19</v>
      </c>
      <c r="B20" t="inlineStr">
        <is>
          <t>10/04/2026</t>
        </is>
      </c>
      <c r="C20" t="inlineStr">
        <is>
          <t>CN</t>
        </is>
      </c>
      <c r="D20" t="n">
        <v>1206</v>
      </c>
      <c r="E20" t="n">
        <v>861</v>
      </c>
      <c r="F20" t="n">
        <v>1533</v>
      </c>
      <c r="H20">
        <f>IF(B8="","",TEXT(B8,"dd/mm") &amp; "-" &amp; IF(UPPER(TRIM(C8))="CN",1,IF(UPPER(TRIM(C8))="CD",2,"")))</f>
        <v/>
      </c>
      <c r="I20" s="1" t="n">
        <v>0.3</v>
      </c>
      <c r="J20" s="1" t="n">
        <v>0.4235294117647059</v>
      </c>
      <c r="K20" s="1">
        <f>IFERROR($E8/SUM($D8:$F8),"")</f>
        <v/>
      </c>
      <c r="L20" s="1">
        <f>IFERROR($D8/SUM($D8:$F8),"")</f>
        <v/>
      </c>
      <c r="M20" s="1">
        <f>IFERROR($F8/SUM($D8:$F8),"")</f>
        <v/>
      </c>
      <c r="O20" t="n">
        <v>19</v>
      </c>
      <c r="P20" t="inlineStr">
        <is>
          <t>10/01/2026</t>
        </is>
      </c>
      <c r="Q20" t="inlineStr">
        <is>
          <t>CD</t>
        </is>
      </c>
      <c r="R20" t="n">
        <v>14</v>
      </c>
      <c r="S20" t="n">
        <v>0</v>
      </c>
      <c r="T20" t="n">
        <v>3585</v>
      </c>
    </row>
    <row r="21">
      <c r="A21" t="n">
        <v>20</v>
      </c>
      <c r="B21" t="inlineStr">
        <is>
          <t>10/04/2026</t>
        </is>
      </c>
      <c r="C21" t="inlineStr">
        <is>
          <t>CD</t>
        </is>
      </c>
      <c r="D21" t="n">
        <v>1337</v>
      </c>
      <c r="E21" t="n">
        <v>674</v>
      </c>
      <c r="F21" t="n">
        <v>1592</v>
      </c>
      <c r="H21">
        <f>IF(B9="","",TEXT(B9,"dd/mm") &amp; "-" &amp; IF(UPPER(TRIM(C9))="CN",1,IF(UPPER(TRIM(C9))="CD",2,"")))</f>
        <v/>
      </c>
      <c r="I21" s="1" t="n">
        <v>0.3</v>
      </c>
      <c r="J21" s="1" t="n">
        <v>0.4235294117647059</v>
      </c>
      <c r="K21" s="1">
        <f>IFERROR($E9/SUM($D9:$F9),"")</f>
        <v/>
      </c>
      <c r="L21" s="1">
        <f>IFERROR($D9/SUM($D9:$F9),"")</f>
        <v/>
      </c>
      <c r="M21" s="1">
        <f>IFERROR($F9/SUM($D9:$F9),"")</f>
        <v/>
      </c>
      <c r="O21" t="n">
        <v>20</v>
      </c>
      <c r="P21" t="inlineStr">
        <is>
          <t>11/01/2026</t>
        </is>
      </c>
      <c r="Q21" t="inlineStr">
        <is>
          <t>CN</t>
        </is>
      </c>
      <c r="R21" t="n">
        <v>0</v>
      </c>
      <c r="S21" t="n">
        <v>0</v>
      </c>
      <c r="T21" t="n">
        <v>3600</v>
      </c>
    </row>
    <row r="22">
      <c r="A22" t="n">
        <v>21</v>
      </c>
      <c r="B22" t="inlineStr">
        <is>
          <t>11/04/2026</t>
        </is>
      </c>
      <c r="C22" t="inlineStr">
        <is>
          <t>CN</t>
        </is>
      </c>
      <c r="D22" t="n">
        <v>813</v>
      </c>
      <c r="E22" t="n">
        <v>653</v>
      </c>
      <c r="F22" t="n">
        <v>2131</v>
      </c>
      <c r="H22">
        <f>IF(B10="","",TEXT(B10,"dd/mm") &amp; "-" &amp; IF(UPPER(TRIM(C10))="CN",1,IF(UPPER(TRIM(C10))="CD",2,"")))</f>
        <v/>
      </c>
      <c r="I22" s="1" t="n">
        <v>0.3</v>
      </c>
      <c r="J22" s="1" t="n">
        <v>0.4235294117647059</v>
      </c>
      <c r="K22" s="1">
        <f>IFERROR($E10/SUM($D10:$F10),"")</f>
        <v/>
      </c>
      <c r="L22" s="1">
        <f>IFERROR($D10/SUM($D10:$F10),"")</f>
        <v/>
      </c>
      <c r="M22" s="1">
        <f>IFERROR($F10/SUM($D10:$F10),"")</f>
        <v/>
      </c>
      <c r="O22" t="n">
        <v>21</v>
      </c>
      <c r="P22" t="inlineStr">
        <is>
          <t>11/01/2026</t>
        </is>
      </c>
      <c r="Q22" t="inlineStr">
        <is>
          <t>CD</t>
        </is>
      </c>
      <c r="R22" t="n">
        <v>0</v>
      </c>
      <c r="S22" t="n">
        <v>0</v>
      </c>
      <c r="T22" t="n">
        <v>3600</v>
      </c>
    </row>
    <row r="23">
      <c r="A23" t="n">
        <v>22</v>
      </c>
      <c r="B23" t="inlineStr">
        <is>
          <t>11/04/2026</t>
        </is>
      </c>
      <c r="C23" t="inlineStr">
        <is>
          <t>CD</t>
        </is>
      </c>
      <c r="D23" t="n">
        <v>1224</v>
      </c>
      <c r="E23" t="n">
        <v>1140</v>
      </c>
      <c r="F23" t="n">
        <v>1240</v>
      </c>
      <c r="H23">
        <f>IF(B11="","",TEXT(B11,"dd/mm") &amp; "-" &amp; IF(UPPER(TRIM(C11))="CN",1,IF(UPPER(TRIM(C11))="CD",2,"")))</f>
        <v/>
      </c>
      <c r="I23" s="1" t="n">
        <v>0.3</v>
      </c>
      <c r="J23" s="1" t="n">
        <v>0.4235294117647059</v>
      </c>
      <c r="K23" s="1">
        <f>IFERROR($E11/SUM($D11:$F11),"")</f>
        <v/>
      </c>
      <c r="L23" s="1">
        <f>IFERROR($D11/SUM($D11:$F11),"")</f>
        <v/>
      </c>
      <c r="M23" s="1">
        <f>IFERROR($F11/SUM($D11:$F11),"")</f>
        <v/>
      </c>
      <c r="O23" t="n">
        <v>22</v>
      </c>
      <c r="P23" t="inlineStr">
        <is>
          <t>12/01/2026</t>
        </is>
      </c>
      <c r="Q23" t="inlineStr">
        <is>
          <t>CN</t>
        </is>
      </c>
      <c r="R23" t="n">
        <v>938</v>
      </c>
      <c r="S23" t="n">
        <v>591</v>
      </c>
      <c r="T23" t="n">
        <v>2072</v>
      </c>
    </row>
    <row r="24">
      <c r="A24" t="n">
        <v>23</v>
      </c>
      <c r="B24" t="inlineStr">
        <is>
          <t>12/04/2026</t>
        </is>
      </c>
      <c r="C24" t="inlineStr">
        <is>
          <t>CN</t>
        </is>
      </c>
      <c r="D24" t="n">
        <v>0</v>
      </c>
      <c r="E24" t="n">
        <v>0</v>
      </c>
      <c r="F24" t="n">
        <v>3600</v>
      </c>
      <c r="H24">
        <f>IF(B12="","",TEXT(B12,"dd/mm") &amp; "-" &amp; IF(UPPER(TRIM(C12))="CN",1,IF(UPPER(TRIM(C12))="CD",2,"")))</f>
        <v/>
      </c>
      <c r="I24" s="1" t="n">
        <v>0.3</v>
      </c>
      <c r="J24" s="1" t="n">
        <v>0.4235294117647059</v>
      </c>
      <c r="K24" s="1">
        <f>IFERROR($E12/SUM($D12:$F12),"")</f>
        <v/>
      </c>
      <c r="L24" s="1">
        <f>IFERROR($D12/SUM($D12:$F12),"")</f>
        <v/>
      </c>
      <c r="M24" s="1">
        <f>IFERROR($F12/SUM($D12:$F12),"")</f>
        <v/>
      </c>
      <c r="O24" t="n">
        <v>23</v>
      </c>
      <c r="P24" t="inlineStr">
        <is>
          <t>12/01/2026</t>
        </is>
      </c>
      <c r="Q24" t="inlineStr">
        <is>
          <t>CD</t>
        </is>
      </c>
      <c r="R24" t="n">
        <v>1739</v>
      </c>
      <c r="S24" t="n">
        <v>1100</v>
      </c>
      <c r="T24" t="n">
        <v>768</v>
      </c>
    </row>
    <row r="25">
      <c r="A25" t="n">
        <v>24</v>
      </c>
      <c r="B25" t="inlineStr">
        <is>
          <t>12/04/2026</t>
        </is>
      </c>
      <c r="C25" t="inlineStr">
        <is>
          <t>CD</t>
        </is>
      </c>
      <c r="D25" t="n">
        <v>0</v>
      </c>
      <c r="E25" t="n">
        <v>0</v>
      </c>
      <c r="F25" t="n">
        <v>3600</v>
      </c>
      <c r="H25">
        <f>IF(B13="","",TEXT(B13,"dd/mm") &amp; "-" &amp; IF(UPPER(TRIM(C13))="CN",1,IF(UPPER(TRIM(C13))="CD",2,"")))</f>
        <v/>
      </c>
      <c r="I25" s="1" t="n">
        <v>0.3</v>
      </c>
      <c r="J25" s="1" t="n">
        <v>0.4235294117647059</v>
      </c>
      <c r="K25" s="1">
        <f>IFERROR($E13/SUM($D13:$F13),"")</f>
        <v/>
      </c>
      <c r="L25" s="1">
        <f>IFERROR($D13/SUM($D13:$F13),"")</f>
        <v/>
      </c>
      <c r="M25" s="1">
        <f>IFERROR($F13/SUM($D13:$F13),"")</f>
        <v/>
      </c>
      <c r="O25" t="n">
        <v>24</v>
      </c>
      <c r="P25" t="inlineStr">
        <is>
          <t>13/01/2026</t>
        </is>
      </c>
      <c r="Q25" t="inlineStr">
        <is>
          <t>CN</t>
        </is>
      </c>
      <c r="R25" t="n">
        <v>856</v>
      </c>
      <c r="S25" t="n">
        <v>691</v>
      </c>
      <c r="T25" t="n">
        <v>2053</v>
      </c>
    </row>
    <row r="26">
      <c r="A26" t="n">
        <v>25</v>
      </c>
      <c r="B26" t="inlineStr">
        <is>
          <t>13/04/2026</t>
        </is>
      </c>
      <c r="C26" t="inlineStr">
        <is>
          <t>CN</t>
        </is>
      </c>
      <c r="D26" t="n">
        <v>1310</v>
      </c>
      <c r="E26" t="n">
        <v>782</v>
      </c>
      <c r="F26" t="n">
        <v>1511</v>
      </c>
      <c r="H26">
        <f>IF(B14="","",TEXT(B14,"dd/mm") &amp; "-" &amp; IF(UPPER(TRIM(C14))="CN",1,IF(UPPER(TRIM(C14))="CD",2,"")))</f>
        <v/>
      </c>
      <c r="I26" s="1" t="n">
        <v>0.3</v>
      </c>
      <c r="J26" s="1" t="n">
        <v>0.4235294117647059</v>
      </c>
      <c r="K26" s="1">
        <f>IFERROR($E14/SUM($D14:$F14),"")</f>
        <v/>
      </c>
      <c r="L26" s="1">
        <f>IFERROR($D14/SUM($D14:$F14),"")</f>
        <v/>
      </c>
      <c r="M26" s="1">
        <f>IFERROR($F14/SUM($D14:$F14),"")</f>
        <v/>
      </c>
      <c r="O26" t="n">
        <v>25</v>
      </c>
      <c r="P26" t="inlineStr">
        <is>
          <t>13/01/2026</t>
        </is>
      </c>
      <c r="Q26" t="inlineStr">
        <is>
          <t>CD</t>
        </is>
      </c>
      <c r="R26" t="n">
        <v>1709</v>
      </c>
      <c r="S26" t="n">
        <v>1113</v>
      </c>
      <c r="T26" t="n">
        <v>782</v>
      </c>
    </row>
    <row r="27">
      <c r="A27" t="n">
        <v>26</v>
      </c>
      <c r="B27" t="inlineStr">
        <is>
          <t>13/04/2026</t>
        </is>
      </c>
      <c r="C27" t="inlineStr">
        <is>
          <t>CD</t>
        </is>
      </c>
      <c r="D27" t="n">
        <v>1446</v>
      </c>
      <c r="E27" t="n">
        <v>845</v>
      </c>
      <c r="F27" t="n">
        <v>1314</v>
      </c>
      <c r="H27">
        <f>IF(B15="","",TEXT(B15,"dd/mm") &amp; "-" &amp; IF(UPPER(TRIM(C15))="CN",1,IF(UPPER(TRIM(C15))="CD",2,"")))</f>
        <v/>
      </c>
      <c r="I27" s="1" t="n">
        <v>0.3</v>
      </c>
      <c r="J27" s="1" t="n">
        <v>0.4235294117647059</v>
      </c>
      <c r="K27" s="1">
        <f>IFERROR($E15/SUM($D15:$F15),"")</f>
        <v/>
      </c>
      <c r="L27" s="1">
        <f>IFERROR($D15/SUM($D15:$F15),"")</f>
        <v/>
      </c>
      <c r="M27" s="1">
        <f>IFERROR($F15/SUM($D15:$F15),"")</f>
        <v/>
      </c>
      <c r="O27" t="n">
        <v>26</v>
      </c>
      <c r="P27" t="inlineStr">
        <is>
          <t>14/01/2026</t>
        </is>
      </c>
      <c r="Q27" t="inlineStr">
        <is>
          <t>CN</t>
        </is>
      </c>
      <c r="R27" t="n">
        <v>940</v>
      </c>
      <c r="S27" t="n">
        <v>608</v>
      </c>
      <c r="T27" t="n">
        <v>2050</v>
      </c>
    </row>
    <row r="28">
      <c r="A28" t="n">
        <v>27</v>
      </c>
      <c r="B28" t="inlineStr">
        <is>
          <t>14/04/2026</t>
        </is>
      </c>
      <c r="C28" t="inlineStr">
        <is>
          <t>CN</t>
        </is>
      </c>
      <c r="D28" t="n">
        <v>1494</v>
      </c>
      <c r="E28" t="n">
        <v>634</v>
      </c>
      <c r="F28" t="n">
        <v>1473</v>
      </c>
      <c r="H28">
        <f>IF(B16="","",TEXT(B16,"dd/mm") &amp; "-" &amp; IF(UPPER(TRIM(C16))="CN",1,IF(UPPER(TRIM(C16))="CD",2,"")))</f>
        <v/>
      </c>
      <c r="I28" s="1" t="n">
        <v>0.3</v>
      </c>
      <c r="J28" s="1" t="n">
        <v>0.4235294117647059</v>
      </c>
      <c r="K28" s="1">
        <f>IFERROR($E16/SUM($D16:$F16),"")</f>
        <v/>
      </c>
      <c r="L28" s="1">
        <f>IFERROR($D16/SUM($D16:$F16),"")</f>
        <v/>
      </c>
      <c r="M28" s="1">
        <f>IFERROR($F16/SUM($D16:$F16),"")</f>
        <v/>
      </c>
      <c r="O28" t="n">
        <v>27</v>
      </c>
      <c r="P28" t="inlineStr">
        <is>
          <t>14/01/2026</t>
        </is>
      </c>
      <c r="Q28" t="inlineStr">
        <is>
          <t>CD</t>
        </is>
      </c>
      <c r="R28" t="n">
        <v>1547</v>
      </c>
      <c r="S28" t="n">
        <v>1266</v>
      </c>
      <c r="T28" t="n">
        <v>789</v>
      </c>
    </row>
    <row r="29">
      <c r="A29" t="n">
        <v>28</v>
      </c>
      <c r="B29" t="inlineStr">
        <is>
          <t>14/04/2026</t>
        </is>
      </c>
      <c r="C29" t="inlineStr">
        <is>
          <t>CD</t>
        </is>
      </c>
      <c r="D29" t="n">
        <v>1910</v>
      </c>
      <c r="E29" t="n">
        <v>833</v>
      </c>
      <c r="F29" t="n">
        <v>856</v>
      </c>
      <c r="H29">
        <f>IF(B17="","",TEXT(B17,"dd/mm") &amp; "-" &amp; IF(UPPER(TRIM(C17))="CN",1,IF(UPPER(TRIM(C17))="CD",2,"")))</f>
        <v/>
      </c>
      <c r="I29" s="1" t="n">
        <v>0.3</v>
      </c>
      <c r="J29" s="1" t="n">
        <v>0.4235294117647059</v>
      </c>
      <c r="K29" s="1">
        <f>IFERROR($E17/SUM($D17:$F17),"")</f>
        <v/>
      </c>
      <c r="L29" s="1">
        <f>IFERROR($D17/SUM($D17:$F17),"")</f>
        <v/>
      </c>
      <c r="M29" s="1">
        <f>IFERROR($F17/SUM($D17:$F17),"")</f>
        <v/>
      </c>
      <c r="O29" t="n">
        <v>28</v>
      </c>
      <c r="P29" t="inlineStr">
        <is>
          <t>15/01/2026</t>
        </is>
      </c>
      <c r="Q29" t="inlineStr">
        <is>
          <t>CN</t>
        </is>
      </c>
      <c r="R29" t="n">
        <v>1415</v>
      </c>
      <c r="S29" t="n">
        <v>615</v>
      </c>
      <c r="T29" t="n">
        <v>1571</v>
      </c>
    </row>
    <row r="30">
      <c r="A30" t="n">
        <v>29</v>
      </c>
      <c r="B30" t="inlineStr">
        <is>
          <t>15/04/2026</t>
        </is>
      </c>
      <c r="C30" t="inlineStr">
        <is>
          <t>CN</t>
        </is>
      </c>
      <c r="D30" t="n">
        <v>1254</v>
      </c>
      <c r="E30" t="n">
        <v>811</v>
      </c>
      <c r="F30" t="n">
        <v>1536</v>
      </c>
      <c r="H30">
        <f>IF(B18="","",TEXT(B18,"dd/mm") &amp; "-" &amp; IF(UPPER(TRIM(C18))="CN",1,IF(UPPER(TRIM(C18))="CD",2,"")))</f>
        <v/>
      </c>
      <c r="I30" s="1" t="n">
        <v>0.3</v>
      </c>
      <c r="J30" s="1" t="n">
        <v>0.4235294117647059</v>
      </c>
      <c r="K30" s="1">
        <f>IFERROR($E18/SUM($D18:$F18),"")</f>
        <v/>
      </c>
      <c r="L30" s="1">
        <f>IFERROR($D18/SUM($D18:$F18),"")</f>
        <v/>
      </c>
      <c r="M30" s="1">
        <f>IFERROR($F18/SUM($D18:$F18),"")</f>
        <v/>
      </c>
      <c r="O30" t="n">
        <v>29</v>
      </c>
      <c r="P30" t="inlineStr">
        <is>
          <t>15/01/2026</t>
        </is>
      </c>
      <c r="Q30" t="inlineStr">
        <is>
          <t>CD</t>
        </is>
      </c>
      <c r="R30" t="n">
        <v>1755</v>
      </c>
      <c r="S30" t="n">
        <v>1053</v>
      </c>
      <c r="T30" t="n">
        <v>797</v>
      </c>
    </row>
    <row r="31">
      <c r="A31" t="n">
        <v>30</v>
      </c>
      <c r="B31" t="inlineStr">
        <is>
          <t>15/04/2026</t>
        </is>
      </c>
      <c r="C31" t="inlineStr">
        <is>
          <t>CD</t>
        </is>
      </c>
      <c r="D31" t="n">
        <v>1717</v>
      </c>
      <c r="E31" t="n">
        <v>1002</v>
      </c>
      <c r="F31" t="n">
        <v>882</v>
      </c>
      <c r="H31">
        <f>IF(B19="","",TEXT(B19,"dd/mm") &amp; "-" &amp; IF(UPPER(TRIM(C19))="CN",1,IF(UPPER(TRIM(C19))="CD",2,"")))</f>
        <v/>
      </c>
      <c r="I31" s="1" t="n">
        <v>0.3</v>
      </c>
      <c r="J31" s="1" t="n">
        <v>0.4235294117647059</v>
      </c>
      <c r="K31" s="1">
        <f>IFERROR($E19/SUM($D19:$F19),"")</f>
        <v/>
      </c>
      <c r="L31" s="1">
        <f>IFERROR($D19/SUM($D19:$F19),"")</f>
        <v/>
      </c>
      <c r="M31" s="1">
        <f>IFERROR($F19/SUM($D19:$F19),"")</f>
        <v/>
      </c>
      <c r="O31" t="n">
        <v>30</v>
      </c>
      <c r="P31" t="inlineStr">
        <is>
          <t>16/01/2026</t>
        </is>
      </c>
      <c r="Q31" t="inlineStr">
        <is>
          <t>CN</t>
        </is>
      </c>
      <c r="R31" t="n">
        <v>1490</v>
      </c>
      <c r="S31" t="n">
        <v>568</v>
      </c>
      <c r="T31" t="n">
        <v>1542</v>
      </c>
    </row>
    <row r="32">
      <c r="A32" t="n">
        <v>31</v>
      </c>
      <c r="B32" t="inlineStr">
        <is>
          <t>16/04/2026</t>
        </is>
      </c>
      <c r="C32" t="inlineStr">
        <is>
          <t>CN</t>
        </is>
      </c>
      <c r="D32" t="n">
        <v>1279</v>
      </c>
      <c r="E32" t="n">
        <v>864</v>
      </c>
      <c r="F32" t="n">
        <v>1456</v>
      </c>
      <c r="H32">
        <f>IF(B20="","",TEXT(B20,"dd/mm") &amp; "-" &amp; IF(UPPER(TRIM(C20))="CN",1,IF(UPPER(TRIM(C20))="CD",2,"")))</f>
        <v/>
      </c>
      <c r="I32" s="1" t="n">
        <v>0.3</v>
      </c>
      <c r="J32" s="1" t="n">
        <v>0.4235294117647059</v>
      </c>
      <c r="K32" s="1">
        <f>IFERROR($E20/SUM($D20:$F20),"")</f>
        <v/>
      </c>
      <c r="L32" s="1">
        <f>IFERROR($D20/SUM($D20:$F20),"")</f>
        <v/>
      </c>
      <c r="M32" s="1">
        <f>IFERROR($F20/SUM($D20:$F20),"")</f>
        <v/>
      </c>
      <c r="O32" t="n">
        <v>31</v>
      </c>
      <c r="P32" t="inlineStr">
        <is>
          <t>16/01/2026</t>
        </is>
      </c>
      <c r="Q32" t="inlineStr">
        <is>
          <t>CD</t>
        </is>
      </c>
      <c r="R32" t="n">
        <v>1754</v>
      </c>
      <c r="S32" t="n">
        <v>999</v>
      </c>
      <c r="T32" t="n">
        <v>851</v>
      </c>
    </row>
    <row r="33">
      <c r="A33" t="n">
        <v>32</v>
      </c>
      <c r="B33" t="inlineStr">
        <is>
          <t>16/04/2026</t>
        </is>
      </c>
      <c r="C33" t="inlineStr">
        <is>
          <t>CD</t>
        </is>
      </c>
      <c r="D33" t="n">
        <v>1171</v>
      </c>
      <c r="E33" t="n">
        <v>1128</v>
      </c>
      <c r="F33" t="n">
        <v>1302</v>
      </c>
      <c r="H33">
        <f>IF(B21="","",TEXT(B21,"dd/mm") &amp; "-" &amp; IF(UPPER(TRIM(C21))="CN",1,IF(UPPER(TRIM(C21))="CD",2,"")))</f>
        <v/>
      </c>
      <c r="I33" s="1" t="n">
        <v>0.3</v>
      </c>
      <c r="J33" s="1" t="n">
        <v>0.4235294117647059</v>
      </c>
      <c r="K33" s="1">
        <f>IFERROR($E21/SUM($D21:$F21),"")</f>
        <v/>
      </c>
      <c r="L33" s="1">
        <f>IFERROR($D21/SUM($D21:$F21),"")</f>
        <v/>
      </c>
      <c r="M33" s="1">
        <f>IFERROR($F21/SUM($D21:$F21),"")</f>
        <v/>
      </c>
      <c r="O33" t="n">
        <v>32</v>
      </c>
      <c r="P33" t="inlineStr">
        <is>
          <t>17/01/2026</t>
        </is>
      </c>
      <c r="Q33" t="inlineStr">
        <is>
          <t>CN</t>
        </is>
      </c>
      <c r="R33" t="n">
        <v>1201</v>
      </c>
      <c r="S33" t="n">
        <v>556</v>
      </c>
      <c r="T33" t="n">
        <v>1845</v>
      </c>
    </row>
    <row r="34">
      <c r="A34" t="n">
        <v>33</v>
      </c>
      <c r="B34" t="inlineStr">
        <is>
          <t>17/04/2026</t>
        </is>
      </c>
      <c r="C34" t="inlineStr">
        <is>
          <t>CN</t>
        </is>
      </c>
      <c r="D34" t="n">
        <v>1397</v>
      </c>
      <c r="E34" t="n">
        <v>761</v>
      </c>
      <c r="F34" t="n">
        <v>1444</v>
      </c>
      <c r="H34">
        <f>IF(B22="","",TEXT(B22,"dd/mm") &amp; "-" &amp; IF(UPPER(TRIM(C22))="CN",1,IF(UPPER(TRIM(C22))="CD",2,"")))</f>
        <v/>
      </c>
      <c r="I34" s="1" t="n">
        <v>0.3</v>
      </c>
      <c r="J34" s="1" t="n">
        <v>0.4235294117647059</v>
      </c>
      <c r="K34" s="1">
        <f>IFERROR($E22/SUM($D22:$F22),"")</f>
        <v/>
      </c>
      <c r="L34" s="1">
        <f>IFERROR($D22/SUM($D22:$F22),"")</f>
        <v/>
      </c>
      <c r="M34" s="1">
        <f>IFERROR($F22/SUM($D22:$F22),"")</f>
        <v/>
      </c>
      <c r="O34" t="n">
        <v>33</v>
      </c>
      <c r="P34" t="inlineStr">
        <is>
          <t>17/01/2026</t>
        </is>
      </c>
      <c r="Q34" t="inlineStr">
        <is>
          <t>CD</t>
        </is>
      </c>
      <c r="R34" t="n">
        <v>1116</v>
      </c>
      <c r="S34" t="n">
        <v>780</v>
      </c>
      <c r="T34" t="n">
        <v>1709</v>
      </c>
    </row>
    <row r="35">
      <c r="A35" t="n">
        <v>34</v>
      </c>
      <c r="B35" t="inlineStr">
        <is>
          <t>17/04/2026</t>
        </is>
      </c>
      <c r="C35" t="inlineStr">
        <is>
          <t>CD</t>
        </is>
      </c>
      <c r="D35" t="n">
        <v>1306</v>
      </c>
      <c r="E35" t="n">
        <v>918</v>
      </c>
      <c r="F35" t="n">
        <v>1377</v>
      </c>
      <c r="H35">
        <f>IF(B23="","",TEXT(B23,"dd/mm") &amp; "-" &amp; IF(UPPER(TRIM(C23))="CN",1,IF(UPPER(TRIM(C23))="CD",2,"")))</f>
        <v/>
      </c>
      <c r="I35" s="1" t="n">
        <v>0.3</v>
      </c>
      <c r="J35" s="1" t="n">
        <v>0.4235294117647059</v>
      </c>
      <c r="K35" s="1">
        <f>IFERROR($E23/SUM($D23:$F23),"")</f>
        <v/>
      </c>
      <c r="L35" s="1">
        <f>IFERROR($D23/SUM($D23:$F23),"")</f>
        <v/>
      </c>
      <c r="M35" s="1">
        <f>IFERROR($F23/SUM($D23:$F23),"")</f>
        <v/>
      </c>
      <c r="O35" t="n">
        <v>34</v>
      </c>
      <c r="P35" t="inlineStr">
        <is>
          <t>18/01/2026</t>
        </is>
      </c>
      <c r="Q35" t="inlineStr">
        <is>
          <t>CN</t>
        </is>
      </c>
      <c r="R35" t="n">
        <v>0</v>
      </c>
      <c r="S35" t="n">
        <v>0</v>
      </c>
      <c r="T35" t="n">
        <v>3600</v>
      </c>
    </row>
    <row r="36">
      <c r="A36" t="n">
        <v>35</v>
      </c>
      <c r="B36" t="inlineStr">
        <is>
          <t>18/04/2026</t>
        </is>
      </c>
      <c r="C36" t="inlineStr">
        <is>
          <t>CN</t>
        </is>
      </c>
      <c r="D36" t="n">
        <v>1211</v>
      </c>
      <c r="E36" t="n">
        <v>795</v>
      </c>
      <c r="F36" t="n">
        <v>1597</v>
      </c>
      <c r="H36">
        <f>IF(B24="","",TEXT(B24,"dd/mm") &amp; "-" &amp; IF(UPPER(TRIM(C24))="CN",1,IF(UPPER(TRIM(C24))="CD",2,"")))</f>
        <v/>
      </c>
      <c r="I36" s="1" t="n">
        <v>0.3</v>
      </c>
      <c r="J36" s="1" t="n">
        <v>0.4235294117647059</v>
      </c>
      <c r="K36" s="1">
        <f>IFERROR($E24/SUM($D24:$F24),"")</f>
        <v/>
      </c>
      <c r="L36" s="1">
        <f>IFERROR($D24/SUM($D24:$F24),"")</f>
        <v/>
      </c>
      <c r="M36" s="1">
        <f>IFERROR($F24/SUM($D24:$F24),"")</f>
        <v/>
      </c>
      <c r="O36" t="n">
        <v>35</v>
      </c>
      <c r="P36" t="inlineStr">
        <is>
          <t>18/01/2026</t>
        </is>
      </c>
      <c r="Q36" t="inlineStr">
        <is>
          <t>CD</t>
        </is>
      </c>
      <c r="R36" t="n">
        <v>0</v>
      </c>
      <c r="S36" t="n">
        <v>0</v>
      </c>
      <c r="T36" t="n">
        <v>3600</v>
      </c>
    </row>
    <row r="37">
      <c r="A37" t="n">
        <v>36</v>
      </c>
      <c r="B37" t="inlineStr">
        <is>
          <t>18/04/2026</t>
        </is>
      </c>
      <c r="C37" t="inlineStr">
        <is>
          <t>CD</t>
        </is>
      </c>
      <c r="D37" t="n">
        <v>1002</v>
      </c>
      <c r="E37" t="n">
        <v>844</v>
      </c>
      <c r="F37" t="n">
        <v>1752</v>
      </c>
      <c r="H37">
        <f>IF(B25="","",TEXT(B25,"dd/mm") &amp; "-" &amp; IF(UPPER(TRIM(C25))="CN",1,IF(UPPER(TRIM(C25))="CD",2,"")))</f>
        <v/>
      </c>
      <c r="I37" s="1" t="n">
        <v>0.3</v>
      </c>
      <c r="J37" s="1" t="n">
        <v>0.4235294117647059</v>
      </c>
      <c r="K37" s="1">
        <f>IFERROR($E25/SUM($D25:$F25),"")</f>
        <v/>
      </c>
      <c r="L37" s="1">
        <f>IFERROR($D25/SUM($D25:$F25),"")</f>
        <v/>
      </c>
      <c r="M37" s="1">
        <f>IFERROR($F25/SUM($D25:$F25),"")</f>
        <v/>
      </c>
      <c r="O37" t="n">
        <v>36</v>
      </c>
      <c r="P37" t="inlineStr">
        <is>
          <t>19/01/2026</t>
        </is>
      </c>
      <c r="Q37" t="inlineStr">
        <is>
          <t>CN</t>
        </is>
      </c>
      <c r="R37" t="n">
        <v>1791</v>
      </c>
      <c r="S37" t="n">
        <v>774</v>
      </c>
      <c r="T37" t="n">
        <v>1038</v>
      </c>
    </row>
    <row r="38">
      <c r="A38" t="n">
        <v>37</v>
      </c>
      <c r="B38" t="inlineStr">
        <is>
          <t>19/04/2026</t>
        </is>
      </c>
      <c r="C38" t="inlineStr">
        <is>
          <t>CN</t>
        </is>
      </c>
      <c r="D38" t="n">
        <v>0</v>
      </c>
      <c r="E38" t="n">
        <v>0</v>
      </c>
      <c r="F38" t="n">
        <v>3600</v>
      </c>
      <c r="H38">
        <f>IF(B26="","",TEXT(B26,"dd/mm") &amp; "-" &amp; IF(UPPER(TRIM(C26))="CN",1,IF(UPPER(TRIM(C26))="CD",2,"")))</f>
        <v/>
      </c>
      <c r="I38" s="1" t="n">
        <v>0.3</v>
      </c>
      <c r="J38" s="1" t="n">
        <v>0.4235294117647059</v>
      </c>
      <c r="K38" s="1">
        <f>IFERROR($E26/SUM($D26:$F26),"")</f>
        <v/>
      </c>
      <c r="L38" s="1">
        <f>IFERROR($D26/SUM($D26:$F26),"")</f>
        <v/>
      </c>
      <c r="M38" s="1">
        <f>IFERROR($F26/SUM($D26:$F26),"")</f>
        <v/>
      </c>
      <c r="O38" t="n">
        <v>37</v>
      </c>
      <c r="P38" t="inlineStr">
        <is>
          <t>19/01/2026</t>
        </is>
      </c>
      <c r="Q38" t="inlineStr">
        <is>
          <t>CD</t>
        </is>
      </c>
      <c r="R38" t="n">
        <v>1954</v>
      </c>
      <c r="S38" t="n">
        <v>866</v>
      </c>
      <c r="T38" t="n">
        <v>783</v>
      </c>
    </row>
    <row r="39">
      <c r="A39" t="n">
        <v>38</v>
      </c>
      <c r="B39" t="inlineStr">
        <is>
          <t>19/04/2026</t>
        </is>
      </c>
      <c r="C39" t="inlineStr">
        <is>
          <t>CD</t>
        </is>
      </c>
      <c r="D39" t="n">
        <v>0</v>
      </c>
      <c r="E39" t="n">
        <v>0</v>
      </c>
      <c r="F39" t="n">
        <v>3600</v>
      </c>
      <c r="H39">
        <f>IF(B27="","",TEXT(B27,"dd/mm") &amp; "-" &amp; IF(UPPER(TRIM(C27))="CN",1,IF(UPPER(TRIM(C27))="CD",2,"")))</f>
        <v/>
      </c>
      <c r="I39" s="1" t="n">
        <v>0.3</v>
      </c>
      <c r="J39" s="1" t="n">
        <v>0.4235294117647059</v>
      </c>
      <c r="K39" s="1">
        <f>IFERROR($E27/SUM($D27:$F27),"")</f>
        <v/>
      </c>
      <c r="L39" s="1">
        <f>IFERROR($D27/SUM($D27:$F27),"")</f>
        <v/>
      </c>
      <c r="M39" s="1">
        <f>IFERROR($F27/SUM($D27:$F27),"")</f>
        <v/>
      </c>
      <c r="O39" t="n">
        <v>38</v>
      </c>
      <c r="P39" t="inlineStr">
        <is>
          <t>20/01/2026</t>
        </is>
      </c>
      <c r="Q39" t="inlineStr">
        <is>
          <t>CN</t>
        </is>
      </c>
      <c r="R39" t="n">
        <v>1364</v>
      </c>
      <c r="S39" t="n">
        <v>698</v>
      </c>
      <c r="T39" t="n">
        <v>1542</v>
      </c>
    </row>
    <row r="40">
      <c r="A40" t="n">
        <v>39</v>
      </c>
      <c r="B40" t="inlineStr">
        <is>
          <t>20/04/2026</t>
        </is>
      </c>
      <c r="C40" t="inlineStr">
        <is>
          <t>CN</t>
        </is>
      </c>
      <c r="D40" t="n">
        <v>1139</v>
      </c>
      <c r="E40" t="n">
        <v>929</v>
      </c>
      <c r="F40" t="n">
        <v>1534</v>
      </c>
      <c r="H40">
        <f>IF(B28="","",TEXT(B28,"dd/mm") &amp; "-" &amp; IF(UPPER(TRIM(C28))="CN",1,IF(UPPER(TRIM(C28))="CD",2,"")))</f>
        <v/>
      </c>
      <c r="I40" s="1" t="n">
        <v>0.3</v>
      </c>
      <c r="J40" s="1" t="n">
        <v>0.4235294117647059</v>
      </c>
      <c r="K40" s="1">
        <f>IFERROR($E28/SUM($D28:$F28),"")</f>
        <v/>
      </c>
      <c r="L40" s="1">
        <f>IFERROR($D28/SUM($D28:$F28),"")</f>
        <v/>
      </c>
      <c r="M40" s="1">
        <f>IFERROR($F28/SUM($D28:$F28),"")</f>
        <v/>
      </c>
      <c r="O40" t="n">
        <v>39</v>
      </c>
      <c r="P40" t="inlineStr">
        <is>
          <t>20/01/2026</t>
        </is>
      </c>
      <c r="Q40" t="inlineStr">
        <is>
          <t>CD</t>
        </is>
      </c>
      <c r="R40" t="n">
        <v>1147</v>
      </c>
      <c r="S40" t="n">
        <v>849</v>
      </c>
      <c r="T40" t="n">
        <v>1604</v>
      </c>
    </row>
    <row r="41">
      <c r="A41" t="n">
        <v>40</v>
      </c>
      <c r="B41" t="inlineStr">
        <is>
          <t>20/04/2026</t>
        </is>
      </c>
      <c r="C41" t="inlineStr">
        <is>
          <t>CD</t>
        </is>
      </c>
      <c r="D41" t="n">
        <v>1140</v>
      </c>
      <c r="E41" t="n">
        <v>1097</v>
      </c>
      <c r="F41" t="n">
        <v>1365</v>
      </c>
      <c r="H41">
        <f>IF(B29="","",TEXT(B29,"dd/mm") &amp; "-" &amp; IF(UPPER(TRIM(C29))="CN",1,IF(UPPER(TRIM(C29))="CD",2,"")))</f>
        <v/>
      </c>
      <c r="I41" s="1" t="n">
        <v>0.3</v>
      </c>
      <c r="J41" s="1" t="n">
        <v>0.4235294117647059</v>
      </c>
      <c r="K41" s="1">
        <f>IFERROR($E29/SUM($D29:$F29),"")</f>
        <v/>
      </c>
      <c r="L41" s="1">
        <f>IFERROR($D29/SUM($D29:$F29),"")</f>
        <v/>
      </c>
      <c r="M41" s="1">
        <f>IFERROR($F29/SUM($D29:$F29),"")</f>
        <v/>
      </c>
      <c r="O41" t="n">
        <v>40</v>
      </c>
      <c r="P41" t="inlineStr">
        <is>
          <t>21/01/2026</t>
        </is>
      </c>
      <c r="Q41" t="inlineStr">
        <is>
          <t>CN</t>
        </is>
      </c>
      <c r="R41" t="n">
        <v>1390</v>
      </c>
      <c r="S41" t="n">
        <v>786</v>
      </c>
      <c r="T41" t="n">
        <v>1425</v>
      </c>
    </row>
    <row r="42">
      <c r="A42" t="n">
        <v>41</v>
      </c>
      <c r="B42" t="inlineStr">
        <is>
          <t>21/04/2026</t>
        </is>
      </c>
      <c r="C42" t="inlineStr">
        <is>
          <t>CN</t>
        </is>
      </c>
      <c r="D42" t="n">
        <v>1200</v>
      </c>
      <c r="E42" t="n">
        <v>848</v>
      </c>
      <c r="F42" t="n">
        <v>1554</v>
      </c>
      <c r="H42">
        <f>IF(B30="","",TEXT(B30,"dd/mm") &amp; "-" &amp; IF(UPPER(TRIM(C30))="CN",1,IF(UPPER(TRIM(C30))="CD",2,"")))</f>
        <v/>
      </c>
      <c r="I42" s="1" t="n">
        <v>0.3</v>
      </c>
      <c r="J42" s="1" t="n">
        <v>0.4235294117647059</v>
      </c>
      <c r="K42" s="1">
        <f>IFERROR($E30/SUM($D30:$F30),"")</f>
        <v/>
      </c>
      <c r="L42" s="1">
        <f>IFERROR($D30/SUM($D30:$F30),"")</f>
        <v/>
      </c>
      <c r="M42" s="1">
        <f>IFERROR($F30/SUM($D30:$F30),"")</f>
        <v/>
      </c>
      <c r="O42" t="n">
        <v>41</v>
      </c>
      <c r="P42" t="inlineStr">
        <is>
          <t>21/01/2026</t>
        </is>
      </c>
      <c r="Q42" t="inlineStr">
        <is>
          <t>CD</t>
        </is>
      </c>
      <c r="R42" t="n">
        <v>1466</v>
      </c>
      <c r="S42" t="n">
        <v>1069</v>
      </c>
      <c r="T42" t="n">
        <v>1065</v>
      </c>
    </row>
    <row r="43">
      <c r="A43" t="n">
        <v>42</v>
      </c>
      <c r="B43" t="inlineStr">
        <is>
          <t>21/04/2026</t>
        </is>
      </c>
      <c r="C43" t="inlineStr">
        <is>
          <t>CD</t>
        </is>
      </c>
      <c r="D43" t="n">
        <v>1334</v>
      </c>
      <c r="E43" t="n">
        <v>912</v>
      </c>
      <c r="F43" t="n">
        <v>1358</v>
      </c>
      <c r="H43">
        <f>IF(B31="","",TEXT(B31,"dd/mm") &amp; "-" &amp; IF(UPPER(TRIM(C31))="CN",1,IF(UPPER(TRIM(C31))="CD",2,"")))</f>
        <v/>
      </c>
      <c r="I43" s="1" t="n">
        <v>0.3</v>
      </c>
      <c r="J43" s="1" t="n">
        <v>0.4235294117647059</v>
      </c>
      <c r="K43" s="1">
        <f>IFERROR($E31/SUM($D31:$F31),"")</f>
        <v/>
      </c>
      <c r="L43" s="1">
        <f>IFERROR($D31/SUM($D31:$F31),"")</f>
        <v/>
      </c>
      <c r="M43" s="1">
        <f>IFERROR($F31/SUM($D31:$F31),"")</f>
        <v/>
      </c>
      <c r="O43" t="n">
        <v>42</v>
      </c>
      <c r="P43" t="inlineStr">
        <is>
          <t>22/01/2026</t>
        </is>
      </c>
      <c r="Q43" t="inlineStr">
        <is>
          <t>CN</t>
        </is>
      </c>
      <c r="R43" t="n">
        <v>1220</v>
      </c>
      <c r="S43" t="n">
        <v>963</v>
      </c>
      <c r="T43" t="n">
        <v>1421</v>
      </c>
    </row>
    <row r="44">
      <c r="A44" t="n">
        <v>43</v>
      </c>
      <c r="B44" t="inlineStr">
        <is>
          <t>22/04/2026</t>
        </is>
      </c>
      <c r="C44" t="inlineStr">
        <is>
          <t>CN</t>
        </is>
      </c>
      <c r="D44" t="n">
        <v>1218</v>
      </c>
      <c r="E44" t="n">
        <v>877</v>
      </c>
      <c r="F44" t="n">
        <v>1506</v>
      </c>
      <c r="H44">
        <f>IF(B32="","",TEXT(B32,"dd/mm") &amp; "-" &amp; IF(UPPER(TRIM(C32))="CN",1,IF(UPPER(TRIM(C32))="CD",2,"")))</f>
        <v/>
      </c>
      <c r="I44" s="1" t="n">
        <v>0.3</v>
      </c>
      <c r="J44" s="1" t="n">
        <v>0.4235294117647059</v>
      </c>
      <c r="K44" s="1">
        <f>IFERROR($E32/SUM($D32:$F32),"")</f>
        <v/>
      </c>
      <c r="L44" s="1">
        <f>IFERROR($D32/SUM($D32:$F32),"")</f>
        <v/>
      </c>
      <c r="M44" s="1">
        <f>IFERROR($F32/SUM($D32:$F32),"")</f>
        <v/>
      </c>
      <c r="O44" t="n">
        <v>43</v>
      </c>
      <c r="P44" t="inlineStr">
        <is>
          <t>22/01/2026</t>
        </is>
      </c>
      <c r="Q44" t="inlineStr">
        <is>
          <t>CD</t>
        </is>
      </c>
      <c r="R44" t="n">
        <v>1784</v>
      </c>
      <c r="S44" t="n">
        <v>1010</v>
      </c>
      <c r="T44" t="n">
        <v>806</v>
      </c>
    </row>
    <row r="45">
      <c r="A45" t="n">
        <v>44</v>
      </c>
      <c r="B45" t="inlineStr">
        <is>
          <t>22/04/2026</t>
        </is>
      </c>
      <c r="C45" t="inlineStr">
        <is>
          <t>CD</t>
        </is>
      </c>
      <c r="D45" t="n">
        <v>1361</v>
      </c>
      <c r="E45" t="n">
        <v>918</v>
      </c>
      <c r="F45" t="n">
        <v>1325</v>
      </c>
      <c r="H45">
        <f>IF(B33="","",TEXT(B33,"dd/mm") &amp; "-" &amp; IF(UPPER(TRIM(C33))="CN",1,IF(UPPER(TRIM(C33))="CD",2,"")))</f>
        <v/>
      </c>
      <c r="I45" s="1" t="n">
        <v>0.3</v>
      </c>
      <c r="J45" s="1" t="n">
        <v>0.4235294117647059</v>
      </c>
      <c r="K45" s="1">
        <f>IFERROR($E33/SUM($D33:$F33),"")</f>
        <v/>
      </c>
      <c r="L45" s="1">
        <f>IFERROR($D33/SUM($D33:$F33),"")</f>
        <v/>
      </c>
      <c r="M45" s="1">
        <f>IFERROR($F33/SUM($D33:$F33),"")</f>
        <v/>
      </c>
      <c r="O45" t="n">
        <v>44</v>
      </c>
      <c r="P45" t="inlineStr">
        <is>
          <t>23/01/2026</t>
        </is>
      </c>
      <c r="Q45" t="inlineStr">
        <is>
          <t>CN</t>
        </is>
      </c>
      <c r="R45" t="n">
        <v>1169</v>
      </c>
      <c r="S45" t="n">
        <v>892</v>
      </c>
      <c r="T45" t="n">
        <v>1543</v>
      </c>
    </row>
    <row r="46">
      <c r="A46" t="n">
        <v>45</v>
      </c>
      <c r="B46" t="inlineStr">
        <is>
          <t>23/04/2026</t>
        </is>
      </c>
      <c r="C46" t="inlineStr">
        <is>
          <t>CN</t>
        </is>
      </c>
      <c r="D46" t="n">
        <v>1276</v>
      </c>
      <c r="E46" t="n">
        <v>796</v>
      </c>
      <c r="F46" t="n">
        <v>1531</v>
      </c>
      <c r="H46">
        <f>IF(B34="","",TEXT(B34,"dd/mm") &amp; "-" &amp; IF(UPPER(TRIM(C34))="CN",1,IF(UPPER(TRIM(C34))="CD",2,"")))</f>
        <v/>
      </c>
      <c r="I46" s="1" t="n">
        <v>0.3</v>
      </c>
      <c r="J46" s="1" t="n">
        <v>0.4235294117647059</v>
      </c>
      <c r="K46" s="1">
        <f>IFERROR($E34/SUM($D34:$F34),"")</f>
        <v/>
      </c>
      <c r="L46" s="1">
        <f>IFERROR($D34/SUM($D34:$F34),"")</f>
        <v/>
      </c>
      <c r="M46" s="1">
        <f>IFERROR($F34/SUM($D34:$F34),"")</f>
        <v/>
      </c>
      <c r="O46" t="n">
        <v>45</v>
      </c>
      <c r="P46" t="inlineStr">
        <is>
          <t>23/01/2026</t>
        </is>
      </c>
      <c r="Q46" t="inlineStr">
        <is>
          <t>CD</t>
        </is>
      </c>
      <c r="R46" t="n">
        <v>1336</v>
      </c>
      <c r="S46" t="n">
        <v>907</v>
      </c>
      <c r="T46" t="n">
        <v>1361</v>
      </c>
    </row>
    <row r="47">
      <c r="A47" t="n">
        <v>46</v>
      </c>
      <c r="B47" t="inlineStr">
        <is>
          <t>23/04/2026</t>
        </is>
      </c>
      <c r="C47" t="inlineStr">
        <is>
          <t>CD</t>
        </is>
      </c>
      <c r="D47" t="n">
        <v>1558</v>
      </c>
      <c r="E47" t="n">
        <v>621</v>
      </c>
      <c r="F47" t="n">
        <v>1428</v>
      </c>
      <c r="H47">
        <f>IF(B35="","",TEXT(B35,"dd/mm") &amp; "-" &amp; IF(UPPER(TRIM(C35))="CN",1,IF(UPPER(TRIM(C35))="CD",2,"")))</f>
        <v/>
      </c>
      <c r="I47" s="1" t="n">
        <v>0.3</v>
      </c>
      <c r="J47" s="1" t="n">
        <v>0.4235294117647059</v>
      </c>
      <c r="K47" s="1">
        <f>IFERROR($E35/SUM($D35:$F35),"")</f>
        <v/>
      </c>
      <c r="L47" s="1">
        <f>IFERROR($D35/SUM($D35:$F35),"")</f>
        <v/>
      </c>
      <c r="M47" s="1">
        <f>IFERROR($F35/SUM($D35:$F35),"")</f>
        <v/>
      </c>
      <c r="O47" t="n">
        <v>46</v>
      </c>
      <c r="P47" t="inlineStr">
        <is>
          <t>24/01/2026</t>
        </is>
      </c>
      <c r="Q47" t="inlineStr">
        <is>
          <t>CN</t>
        </is>
      </c>
      <c r="R47" t="n">
        <v>1269</v>
      </c>
      <c r="S47" t="n">
        <v>1161</v>
      </c>
      <c r="T47" t="n">
        <v>1170</v>
      </c>
    </row>
    <row r="48">
      <c r="A48" t="n">
        <v>47</v>
      </c>
      <c r="B48" t="inlineStr">
        <is>
          <t>24/04/2026</t>
        </is>
      </c>
      <c r="C48" t="inlineStr">
        <is>
          <t>CN</t>
        </is>
      </c>
      <c r="D48" t="n">
        <v>1592</v>
      </c>
      <c r="E48" t="n">
        <v>952</v>
      </c>
      <c r="F48" t="n">
        <v>1059</v>
      </c>
      <c r="H48">
        <f>IF(B36="","",TEXT(B36,"dd/mm") &amp; "-" &amp; IF(UPPER(TRIM(C36))="CN",1,IF(UPPER(TRIM(C36))="CD",2,"")))</f>
        <v/>
      </c>
      <c r="I48" s="1" t="n">
        <v>0.3</v>
      </c>
      <c r="J48" s="1" t="n">
        <v>0.4235294117647059</v>
      </c>
      <c r="K48" s="1">
        <f>IFERROR($E36/SUM($D36:$F36),"")</f>
        <v/>
      </c>
      <c r="L48" s="1">
        <f>IFERROR($D36/SUM($D36:$F36),"")</f>
        <v/>
      </c>
      <c r="M48" s="1">
        <f>IFERROR($F36/SUM($D36:$F36),"")</f>
        <v/>
      </c>
      <c r="O48" t="n">
        <v>47</v>
      </c>
      <c r="P48" t="inlineStr">
        <is>
          <t>24/01/2026</t>
        </is>
      </c>
      <c r="Q48" t="inlineStr">
        <is>
          <t>CD</t>
        </is>
      </c>
      <c r="R48" t="n">
        <v>1021</v>
      </c>
      <c r="S48" t="n">
        <v>847</v>
      </c>
      <c r="T48" t="n">
        <v>1730</v>
      </c>
    </row>
    <row r="49">
      <c r="A49" t="n">
        <v>48</v>
      </c>
      <c r="B49" t="inlineStr">
        <is>
          <t>24/04/2026</t>
        </is>
      </c>
      <c r="C49" t="inlineStr">
        <is>
          <t>CD</t>
        </is>
      </c>
      <c r="D49" t="n">
        <v>1345</v>
      </c>
      <c r="E49" t="n">
        <v>923</v>
      </c>
      <c r="F49" t="n">
        <v>1336</v>
      </c>
      <c r="H49">
        <f>IF(B37="","",TEXT(B37,"dd/mm") &amp; "-" &amp; IF(UPPER(TRIM(C37))="CN",1,IF(UPPER(TRIM(C37))="CD",2,"")))</f>
        <v/>
      </c>
      <c r="I49" s="1" t="n">
        <v>0.3</v>
      </c>
      <c r="J49" s="1" t="n">
        <v>0.4235294117647059</v>
      </c>
      <c r="K49" s="1">
        <f>IFERROR($E37/SUM($D37:$F37),"")</f>
        <v/>
      </c>
      <c r="L49" s="1">
        <f>IFERROR($D37/SUM($D37:$F37),"")</f>
        <v/>
      </c>
      <c r="M49" s="1">
        <f>IFERROR($F37/SUM($D37:$F37),"")</f>
        <v/>
      </c>
      <c r="O49" t="n">
        <v>48</v>
      </c>
      <c r="P49" t="inlineStr">
        <is>
          <t>25/01/2026</t>
        </is>
      </c>
      <c r="Q49" t="inlineStr">
        <is>
          <t>CN</t>
        </is>
      </c>
      <c r="R49" t="n">
        <v>469</v>
      </c>
      <c r="S49" t="n">
        <v>493</v>
      </c>
      <c r="T49" t="n">
        <v>2640</v>
      </c>
    </row>
    <row r="50">
      <c r="A50" t="n">
        <v>49</v>
      </c>
      <c r="B50" t="inlineStr">
        <is>
          <t>25/04/2026</t>
        </is>
      </c>
      <c r="C50" t="inlineStr">
        <is>
          <t>CN</t>
        </is>
      </c>
      <c r="D50" t="n">
        <v>1091</v>
      </c>
      <c r="E50" t="n">
        <v>864</v>
      </c>
      <c r="F50" t="n">
        <v>1649</v>
      </c>
      <c r="H50">
        <f>IF(B38="","",TEXT(B38,"dd/mm") &amp; "-" &amp; IF(UPPER(TRIM(C38))="CN",1,IF(UPPER(TRIM(C38))="CD",2,"")))</f>
        <v/>
      </c>
      <c r="I50" s="1" t="n">
        <v>0.3</v>
      </c>
      <c r="J50" s="1" t="n">
        <v>0.4235294117647059</v>
      </c>
      <c r="K50" s="1">
        <f>IFERROR($E38/SUM($D38:$F38),"")</f>
        <v/>
      </c>
      <c r="L50" s="1">
        <f>IFERROR($D38/SUM($D38:$F38),"")</f>
        <v/>
      </c>
      <c r="M50" s="1">
        <f>IFERROR($F38/SUM($D38:$F38),"")</f>
        <v/>
      </c>
      <c r="O50" t="n">
        <v>49</v>
      </c>
      <c r="P50" t="inlineStr">
        <is>
          <t>25/01/2026</t>
        </is>
      </c>
      <c r="Q50" t="inlineStr">
        <is>
          <t>CD</t>
        </is>
      </c>
      <c r="R50" t="n">
        <v>0</v>
      </c>
      <c r="S50" t="n">
        <v>0</v>
      </c>
      <c r="T50" t="n">
        <v>3600</v>
      </c>
    </row>
    <row r="51">
      <c r="A51" t="n">
        <v>50</v>
      </c>
      <c r="B51" t="inlineStr">
        <is>
          <t>25/04/2026</t>
        </is>
      </c>
      <c r="C51" t="inlineStr">
        <is>
          <t>CD</t>
        </is>
      </c>
      <c r="D51" t="n">
        <v>1147</v>
      </c>
      <c r="E51" t="n">
        <v>731</v>
      </c>
      <c r="F51" t="n">
        <v>1725</v>
      </c>
      <c r="H51">
        <f>IF(B39="","",TEXT(B39,"dd/mm") &amp; "-" &amp; IF(UPPER(TRIM(C39))="CN",1,IF(UPPER(TRIM(C39))="CD",2,"")))</f>
        <v/>
      </c>
      <c r="I51" s="1" t="n">
        <v>0.3</v>
      </c>
      <c r="J51" s="1" t="n">
        <v>0.4235294117647059</v>
      </c>
      <c r="K51" s="1">
        <f>IFERROR($E39/SUM($D39:$F39),"")</f>
        <v/>
      </c>
      <c r="L51" s="1">
        <f>IFERROR($D39/SUM($D39:$F39),"")</f>
        <v/>
      </c>
      <c r="M51" s="1">
        <f>IFERROR($F39/SUM($D39:$F39),"")</f>
        <v/>
      </c>
      <c r="O51" t="n">
        <v>50</v>
      </c>
      <c r="P51" t="inlineStr">
        <is>
          <t>26/01/2026</t>
        </is>
      </c>
      <c r="Q51" t="inlineStr">
        <is>
          <t>CN</t>
        </is>
      </c>
      <c r="R51" t="n">
        <v>1357</v>
      </c>
      <c r="S51" t="n">
        <v>1208</v>
      </c>
      <c r="T51" t="n">
        <v>1034</v>
      </c>
    </row>
    <row r="52">
      <c r="A52" t="n">
        <v>51</v>
      </c>
      <c r="B52" t="inlineStr">
        <is>
          <t>26/04/2026</t>
        </is>
      </c>
      <c r="C52" t="inlineStr">
        <is>
          <t>CN</t>
        </is>
      </c>
      <c r="D52" t="n">
        <v>0</v>
      </c>
      <c r="E52" t="n">
        <v>0</v>
      </c>
      <c r="F52" t="n">
        <v>3600</v>
      </c>
      <c r="H52">
        <f>IF(B40="","",TEXT(B40,"dd/mm") &amp; "-" &amp; IF(UPPER(TRIM(C40))="CN",1,IF(UPPER(TRIM(C40))="CD",2,"")))</f>
        <v/>
      </c>
      <c r="I52" s="1" t="n">
        <v>0.3</v>
      </c>
      <c r="J52" s="1" t="n">
        <v>0.4235294117647059</v>
      </c>
      <c r="K52" s="1">
        <f>IFERROR($E40/SUM($D40:$F40),"")</f>
        <v/>
      </c>
      <c r="L52" s="1">
        <f>IFERROR($D40/SUM($D40:$F40),"")</f>
        <v/>
      </c>
      <c r="M52" s="1">
        <f>IFERROR($F40/SUM($D40:$F40),"")</f>
        <v/>
      </c>
      <c r="O52" t="n">
        <v>51</v>
      </c>
      <c r="P52" t="inlineStr">
        <is>
          <t>26/01/2026</t>
        </is>
      </c>
      <c r="Q52" t="inlineStr">
        <is>
          <t>CD</t>
        </is>
      </c>
      <c r="R52" t="n">
        <v>1808</v>
      </c>
      <c r="S52" t="n">
        <v>1031</v>
      </c>
      <c r="T52" t="n">
        <v>762</v>
      </c>
    </row>
    <row r="53">
      <c r="A53" t="n">
        <v>52</v>
      </c>
      <c r="B53" t="inlineStr">
        <is>
          <t>26/04/2026</t>
        </is>
      </c>
      <c r="C53" t="inlineStr">
        <is>
          <t>CD</t>
        </is>
      </c>
      <c r="D53" t="n">
        <v>0</v>
      </c>
      <c r="E53" t="n">
        <v>0</v>
      </c>
      <c r="F53" t="n">
        <v>3600</v>
      </c>
      <c r="H53">
        <f>IF(B41="","",TEXT(B41,"dd/mm") &amp; "-" &amp; IF(UPPER(TRIM(C41))="CN",1,IF(UPPER(TRIM(C41))="CD",2,"")))</f>
        <v/>
      </c>
      <c r="I53" s="1" t="n">
        <v>0.3</v>
      </c>
      <c r="J53" s="1" t="n">
        <v>0.4235294117647059</v>
      </c>
      <c r="K53" s="1">
        <f>IFERROR($E41/SUM($D41:$F41),"")</f>
        <v/>
      </c>
      <c r="L53" s="1">
        <f>IFERROR($D41/SUM($D41:$F41),"")</f>
        <v/>
      </c>
      <c r="M53" s="1">
        <f>IFERROR($F41/SUM($D41:$F41),"")</f>
        <v/>
      </c>
      <c r="O53" t="n">
        <v>52</v>
      </c>
      <c r="P53" t="inlineStr">
        <is>
          <t>27/01/2026</t>
        </is>
      </c>
      <c r="Q53" t="inlineStr">
        <is>
          <t>CN</t>
        </is>
      </c>
      <c r="R53" t="n">
        <v>1358</v>
      </c>
      <c r="S53" t="n">
        <v>1211</v>
      </c>
      <c r="T53" t="n">
        <v>1031</v>
      </c>
    </row>
    <row r="54">
      <c r="A54" t="n">
        <v>53</v>
      </c>
      <c r="B54" t="inlineStr">
        <is>
          <t>27/04/2026</t>
        </is>
      </c>
      <c r="C54" t="inlineStr">
        <is>
          <t>CN</t>
        </is>
      </c>
      <c r="D54" t="n">
        <v>1288</v>
      </c>
      <c r="E54" t="n">
        <v>823</v>
      </c>
      <c r="F54" t="n">
        <v>1493</v>
      </c>
      <c r="H54">
        <f>IF(B42="","",TEXT(B42,"dd/mm") &amp; "-" &amp; IF(UPPER(TRIM(C42))="CN",1,IF(UPPER(TRIM(C42))="CD",2,"")))</f>
        <v/>
      </c>
      <c r="I54" s="1" t="n">
        <v>0.3</v>
      </c>
      <c r="J54" s="1" t="n">
        <v>0.4235294117647059</v>
      </c>
      <c r="K54" s="1">
        <f>IFERROR($E42/SUM($D42:$F42),"")</f>
        <v/>
      </c>
      <c r="L54" s="1">
        <f>IFERROR($D42/SUM($D42:$F42),"")</f>
        <v/>
      </c>
      <c r="M54" s="1">
        <f>IFERROR($F42/SUM($D42:$F42),"")</f>
        <v/>
      </c>
      <c r="O54" t="n">
        <v>53</v>
      </c>
      <c r="P54" t="inlineStr">
        <is>
          <t>27/01/2026</t>
        </is>
      </c>
      <c r="Q54" t="inlineStr">
        <is>
          <t>CD</t>
        </is>
      </c>
      <c r="R54" t="n">
        <v>1219</v>
      </c>
      <c r="S54" t="n">
        <v>1156</v>
      </c>
      <c r="T54" t="n">
        <v>1229</v>
      </c>
    </row>
    <row r="55">
      <c r="A55" t="n">
        <v>54</v>
      </c>
      <c r="B55" t="inlineStr">
        <is>
          <t>27/04/2026</t>
        </is>
      </c>
      <c r="C55" t="inlineStr">
        <is>
          <t>CD</t>
        </is>
      </c>
      <c r="D55" t="n">
        <v>1221</v>
      </c>
      <c r="E55" t="n">
        <v>1043</v>
      </c>
      <c r="F55" t="n">
        <v>1336</v>
      </c>
      <c r="H55">
        <f>IF(B43="","",TEXT(B43,"dd/mm") &amp; "-" &amp; IF(UPPER(TRIM(C43))="CN",1,IF(UPPER(TRIM(C43))="CD",2,"")))</f>
        <v/>
      </c>
      <c r="I55" s="1" t="n">
        <v>0.3</v>
      </c>
      <c r="J55" s="1" t="n">
        <v>0.4235294117647059</v>
      </c>
      <c r="K55" s="1">
        <f>IFERROR($E43/SUM($D43:$F43),"")</f>
        <v/>
      </c>
      <c r="L55" s="1">
        <f>IFERROR($D43/SUM($D43:$F43),"")</f>
        <v/>
      </c>
      <c r="M55" s="1">
        <f>IFERROR($F43/SUM($D43:$F43),"")</f>
        <v/>
      </c>
      <c r="O55" t="n">
        <v>54</v>
      </c>
      <c r="P55" t="inlineStr">
        <is>
          <t>28/01/2026</t>
        </is>
      </c>
      <c r="Q55" t="inlineStr">
        <is>
          <t>CN</t>
        </is>
      </c>
      <c r="R55" t="n">
        <v>1103</v>
      </c>
      <c r="S55" t="n">
        <v>951</v>
      </c>
      <c r="T55" t="n">
        <v>1549</v>
      </c>
    </row>
    <row r="56">
      <c r="H56">
        <f>IF(B44="","",TEXT(B44,"dd/mm") &amp; "-" &amp; IF(UPPER(TRIM(C44))="CN",1,IF(UPPER(TRIM(C44))="CD",2,"")))</f>
        <v/>
      </c>
      <c r="I56" s="1" t="n">
        <v>0.3</v>
      </c>
      <c r="J56" s="1" t="n">
        <v>0.4235294117647059</v>
      </c>
      <c r="K56" s="1">
        <f>IFERROR($E44/SUM($D44:$F44),"")</f>
        <v/>
      </c>
      <c r="L56" s="1">
        <f>IFERROR($D44/SUM($D44:$F44),"")</f>
        <v/>
      </c>
      <c r="M56" s="1">
        <f>IFERROR($F44/SUM($D44:$F44),"")</f>
        <v/>
      </c>
      <c r="O56" t="n">
        <v>55</v>
      </c>
      <c r="P56" t="inlineStr">
        <is>
          <t>28/01/2026</t>
        </is>
      </c>
      <c r="Q56" t="inlineStr">
        <is>
          <t>CD</t>
        </is>
      </c>
      <c r="R56" t="n">
        <v>1245</v>
      </c>
      <c r="S56" t="n">
        <v>1027</v>
      </c>
      <c r="T56" t="n">
        <v>1334</v>
      </c>
    </row>
    <row r="57">
      <c r="H57">
        <f>IF(B45="","",TEXT(B45,"dd/mm") &amp; "-" &amp; IF(UPPER(TRIM(C45))="CN",1,IF(UPPER(TRIM(C45))="CD",2,"")))</f>
        <v/>
      </c>
      <c r="I57" s="1" t="n">
        <v>0.3</v>
      </c>
      <c r="J57" s="1" t="n">
        <v>0.4235294117647059</v>
      </c>
      <c r="K57" s="1">
        <f>IFERROR($E45/SUM($D45:$F45),"")</f>
        <v/>
      </c>
      <c r="L57" s="1">
        <f>IFERROR($D45/SUM($D45:$F45),"")</f>
        <v/>
      </c>
      <c r="M57" s="1">
        <f>IFERROR($F45/SUM($D45:$F45),"")</f>
        <v/>
      </c>
      <c r="O57" t="n">
        <v>56</v>
      </c>
      <c r="P57" t="inlineStr">
        <is>
          <t>29/01/2026</t>
        </is>
      </c>
      <c r="Q57" t="inlineStr">
        <is>
          <t>CN</t>
        </is>
      </c>
      <c r="R57" t="n">
        <v>1325</v>
      </c>
      <c r="S57" t="n">
        <v>789</v>
      </c>
      <c r="T57" t="n">
        <v>1483</v>
      </c>
    </row>
    <row r="58">
      <c r="H58">
        <f>IF(B46="","",TEXT(B46,"dd/mm") &amp; "-" &amp; IF(UPPER(TRIM(C46))="CN",1,IF(UPPER(TRIM(C46))="CD",2,"")))</f>
        <v/>
      </c>
      <c r="I58" s="1" t="n">
        <v>0.3</v>
      </c>
      <c r="J58" s="1" t="n">
        <v>0.4235294117647059</v>
      </c>
      <c r="K58" s="1">
        <f>IFERROR($E46/SUM($D46:$F46),"")</f>
        <v/>
      </c>
      <c r="L58" s="1">
        <f>IFERROR($D46/SUM($D46:$F46),"")</f>
        <v/>
      </c>
      <c r="M58" s="1">
        <f>IFERROR($F46/SUM($D46:$F46),"")</f>
        <v/>
      </c>
      <c r="O58" t="n">
        <v>57</v>
      </c>
      <c r="P58" t="inlineStr">
        <is>
          <t>29/01/2026</t>
        </is>
      </c>
      <c r="Q58" t="inlineStr">
        <is>
          <t>CD</t>
        </is>
      </c>
      <c r="R58" t="n">
        <v>1791</v>
      </c>
      <c r="S58" t="n">
        <v>1037</v>
      </c>
      <c r="T58" t="n">
        <v>776</v>
      </c>
    </row>
    <row r="59">
      <c r="H59">
        <f>IF(B47="","",TEXT(B47,"dd/mm") &amp; "-" &amp; IF(UPPER(TRIM(C47))="CN",1,IF(UPPER(TRIM(C47))="CD",2,"")))</f>
        <v/>
      </c>
      <c r="I59" s="1" t="n">
        <v>0.3</v>
      </c>
      <c r="J59" s="1" t="n">
        <v>0.4235294117647059</v>
      </c>
      <c r="K59" s="1">
        <f>IFERROR($E47/SUM($D47:$F47),"")</f>
        <v/>
      </c>
      <c r="L59" s="1">
        <f>IFERROR($D47/SUM($D47:$F47),"")</f>
        <v/>
      </c>
      <c r="M59" s="1">
        <f>IFERROR($F47/SUM($D47:$F47),"")</f>
        <v/>
      </c>
      <c r="O59" t="n">
        <v>58</v>
      </c>
      <c r="P59" t="inlineStr">
        <is>
          <t>30/01/2026</t>
        </is>
      </c>
      <c r="Q59" t="inlineStr">
        <is>
          <t>CN</t>
        </is>
      </c>
      <c r="R59" t="n">
        <v>1328</v>
      </c>
      <c r="S59" t="n">
        <v>729</v>
      </c>
      <c r="T59" t="n">
        <v>1544</v>
      </c>
    </row>
    <row r="60">
      <c r="H60">
        <f>IF(B48="","",TEXT(B48,"dd/mm") &amp; "-" &amp; IF(UPPER(TRIM(C48))="CN",1,IF(UPPER(TRIM(C48))="CD",2,"")))</f>
        <v/>
      </c>
      <c r="I60" s="1" t="n">
        <v>0.3</v>
      </c>
      <c r="J60" s="1" t="n">
        <v>0.4235294117647059</v>
      </c>
      <c r="K60" s="1">
        <f>IFERROR($E48/SUM($D48:$F48),"")</f>
        <v/>
      </c>
      <c r="L60" s="1">
        <f>IFERROR($D48/SUM($D48:$F48),"")</f>
        <v/>
      </c>
      <c r="M60" s="1">
        <f>IFERROR($F48/SUM($D48:$F48),"")</f>
        <v/>
      </c>
      <c r="O60" t="n">
        <v>59</v>
      </c>
      <c r="P60" t="inlineStr">
        <is>
          <t>30/01/2026</t>
        </is>
      </c>
      <c r="Q60" t="inlineStr">
        <is>
          <t>CD</t>
        </is>
      </c>
      <c r="R60" t="n">
        <v>1238</v>
      </c>
      <c r="S60" t="n">
        <v>1125</v>
      </c>
      <c r="T60" t="n">
        <v>1238</v>
      </c>
    </row>
    <row r="61">
      <c r="H61">
        <f>IF(B49="","",TEXT(B49,"dd/mm") &amp; "-" &amp; IF(UPPER(TRIM(C49))="CN",1,IF(UPPER(TRIM(C49))="CD",2,"")))</f>
        <v/>
      </c>
      <c r="I61" s="1" t="n">
        <v>0.3</v>
      </c>
      <c r="J61" s="1" t="n">
        <v>0.4235294117647059</v>
      </c>
      <c r="K61" s="1">
        <f>IFERROR($E49/SUM($D49:$F49),"")</f>
        <v/>
      </c>
      <c r="L61" s="1">
        <f>IFERROR($D49/SUM($D49:$F49),"")</f>
        <v/>
      </c>
      <c r="M61" s="1">
        <f>IFERROR($F49/SUM($D49:$F49),"")</f>
        <v/>
      </c>
      <c r="O61" t="n">
        <v>60</v>
      </c>
      <c r="P61" t="inlineStr">
        <is>
          <t>31/01/2026</t>
        </is>
      </c>
      <c r="Q61" t="inlineStr">
        <is>
          <t>CN</t>
        </is>
      </c>
      <c r="R61" t="n">
        <v>1360</v>
      </c>
      <c r="S61" t="n">
        <v>1051</v>
      </c>
      <c r="T61" t="n">
        <v>1190</v>
      </c>
    </row>
    <row r="62">
      <c r="H62">
        <f>IF(B50="","",TEXT(B50,"dd/mm") &amp; "-" &amp; IF(UPPER(TRIM(C50))="CN",1,IF(UPPER(TRIM(C50))="CD",2,"")))</f>
        <v/>
      </c>
      <c r="I62" s="1" t="n">
        <v>0.3</v>
      </c>
      <c r="J62" s="1" t="n">
        <v>0.4235294117647059</v>
      </c>
      <c r="K62" s="1">
        <f>IFERROR($E50/SUM($D50:$F50),"")</f>
        <v/>
      </c>
      <c r="L62" s="1">
        <f>IFERROR($D50/SUM($D50:$F50),"")</f>
        <v/>
      </c>
      <c r="M62" s="1">
        <f>IFERROR($F50/SUM($D50:$F50),"")</f>
        <v/>
      </c>
      <c r="O62" t="n">
        <v>61</v>
      </c>
      <c r="P62" t="inlineStr">
        <is>
          <t>31/01/2026</t>
        </is>
      </c>
      <c r="Q62" t="inlineStr">
        <is>
          <t>CD</t>
        </is>
      </c>
      <c r="R62" t="n">
        <v>875</v>
      </c>
      <c r="S62" t="n">
        <v>1026</v>
      </c>
      <c r="T62" t="n">
        <v>1700</v>
      </c>
    </row>
    <row r="63">
      <c r="H63">
        <f>IF(B51="","",TEXT(B51,"dd/mm") &amp; "-" &amp; IF(UPPER(TRIM(C51))="CN",1,IF(UPPER(TRIM(C51))="CD",2,"")))</f>
        <v/>
      </c>
      <c r="I63" s="1" t="n">
        <v>0.3</v>
      </c>
      <c r="J63" s="1" t="n">
        <v>0.4235294117647059</v>
      </c>
      <c r="K63" s="1">
        <f>IFERROR($E51/SUM($D51:$F51),"")</f>
        <v/>
      </c>
      <c r="L63" s="1">
        <f>IFERROR($D51/SUM($D51:$F51),"")</f>
        <v/>
      </c>
      <c r="M63" s="1">
        <f>IFERROR($F51/SUM($D51:$F51),"")</f>
        <v/>
      </c>
      <c r="O63" t="n">
        <v>62</v>
      </c>
      <c r="P63" t="inlineStr">
        <is>
          <t>01/02/2026</t>
        </is>
      </c>
      <c r="Q63" t="inlineStr">
        <is>
          <t>CN</t>
        </is>
      </c>
      <c r="R63" t="n">
        <v>0</v>
      </c>
      <c r="S63" t="n">
        <v>0</v>
      </c>
      <c r="T63" t="n">
        <v>3600</v>
      </c>
    </row>
    <row r="64">
      <c r="H64">
        <f>IF(B52="","",TEXT(B52,"dd/mm") &amp; "-" &amp; IF(UPPER(TRIM(C52))="CN",1,IF(UPPER(TRIM(C52))="CD",2,"")))</f>
        <v/>
      </c>
      <c r="I64" s="1" t="n">
        <v>0.3</v>
      </c>
      <c r="J64" s="1" t="n">
        <v>0.4235294117647059</v>
      </c>
      <c r="K64" s="1">
        <f>IFERROR($E52/SUM($D52:$F52),"")</f>
        <v/>
      </c>
      <c r="L64" s="1">
        <f>IFERROR($D52/SUM($D52:$F52),"")</f>
        <v/>
      </c>
      <c r="M64" s="1">
        <f>IFERROR($F52/SUM($D52:$F52),"")</f>
        <v/>
      </c>
      <c r="O64" t="n">
        <v>63</v>
      </c>
      <c r="P64" t="inlineStr">
        <is>
          <t>01/02/2026</t>
        </is>
      </c>
      <c r="Q64" t="inlineStr">
        <is>
          <t>CD</t>
        </is>
      </c>
      <c r="R64" t="n">
        <v>0</v>
      </c>
      <c r="S64" t="n">
        <v>0</v>
      </c>
      <c r="T64" t="n">
        <v>3600</v>
      </c>
    </row>
    <row r="65">
      <c r="H65">
        <f>IF(B53="","",TEXT(B53,"dd/mm") &amp; "-" &amp; IF(UPPER(TRIM(C53))="CN",1,IF(UPPER(TRIM(C53))="CD",2,"")))</f>
        <v/>
      </c>
      <c r="I65" s="1" t="n">
        <v>0.3</v>
      </c>
      <c r="J65" s="1" t="n">
        <v>0.4235294117647059</v>
      </c>
      <c r="K65" s="1">
        <f>IFERROR($E53/SUM($D53:$F53),"")</f>
        <v/>
      </c>
      <c r="L65" s="1">
        <f>IFERROR($D53/SUM($D53:$F53),"")</f>
        <v/>
      </c>
      <c r="M65" s="1">
        <f>IFERROR($F53/SUM($D53:$F53),"")</f>
        <v/>
      </c>
      <c r="O65" t="n">
        <v>64</v>
      </c>
      <c r="P65" t="inlineStr">
        <is>
          <t>02/02/2026</t>
        </is>
      </c>
      <c r="Q65" t="inlineStr">
        <is>
          <t>CN</t>
        </is>
      </c>
      <c r="R65" t="n">
        <v>1589</v>
      </c>
      <c r="S65" t="n">
        <v>987</v>
      </c>
      <c r="T65" t="n">
        <v>1026</v>
      </c>
    </row>
    <row r="66">
      <c r="H66">
        <f>IF(B54="","",TEXT(B54,"dd/mm") &amp; "-" &amp; IF(UPPER(TRIM(C54))="CN",1,IF(UPPER(TRIM(C54))="CD",2,"")))</f>
        <v/>
      </c>
      <c r="I66" s="1" t="n">
        <v>0.3</v>
      </c>
      <c r="J66" s="1" t="n">
        <v>0.4235294117647059</v>
      </c>
      <c r="K66" s="1">
        <f>IFERROR($E54/SUM($D54:$F54),"")</f>
        <v/>
      </c>
      <c r="L66" s="1">
        <f>IFERROR($D54/SUM($D54:$F54),"")</f>
        <v/>
      </c>
      <c r="M66" s="1">
        <f>IFERROR($F54/SUM($D54:$F54),"")</f>
        <v/>
      </c>
      <c r="O66" t="n">
        <v>65</v>
      </c>
      <c r="P66" t="inlineStr">
        <is>
          <t>02/02/2026</t>
        </is>
      </c>
      <c r="Q66" t="inlineStr">
        <is>
          <t>CD</t>
        </is>
      </c>
      <c r="R66" t="n">
        <v>1445</v>
      </c>
      <c r="S66" t="n">
        <v>1298</v>
      </c>
      <c r="T66" t="n">
        <v>857</v>
      </c>
    </row>
    <row r="67">
      <c r="H67">
        <f>IF(B55="","",TEXT(B55,"dd/mm") &amp; "-" &amp; IF(UPPER(TRIM(C55))="CN",1,IF(UPPER(TRIM(C55))="CD",2,"")))</f>
        <v/>
      </c>
      <c r="I67" s="1" t="n">
        <v>0.3</v>
      </c>
      <c r="J67" s="1" t="n">
        <v>0.4235294117647059</v>
      </c>
      <c r="K67" s="1">
        <f>IFERROR($E55/SUM($D55:$F55),"")</f>
        <v/>
      </c>
      <c r="L67" s="1">
        <f>IFERROR($D55/SUM($D55:$F55),"")</f>
        <v/>
      </c>
      <c r="M67" s="1">
        <f>IFERROR($F55/SUM($D55:$F55),"")</f>
        <v/>
      </c>
      <c r="O67" t="n">
        <v>66</v>
      </c>
      <c r="P67" t="inlineStr">
        <is>
          <t>03/02/2026</t>
        </is>
      </c>
      <c r="Q67" t="inlineStr">
        <is>
          <t>CN</t>
        </is>
      </c>
      <c r="R67" t="n">
        <v>1490</v>
      </c>
      <c r="S67" t="n">
        <v>890</v>
      </c>
      <c r="T67" t="n">
        <v>1223</v>
      </c>
    </row>
    <row r="68">
      <c r="H68">
        <f>IF(B56="","",TEXT(B56,"dd/mm") &amp; "-" &amp; IF(UPPER(TRIM(C56))="CN",1,IF(UPPER(TRIM(C56))="CD",2,"")))</f>
        <v/>
      </c>
      <c r="I68" s="1" t="n"/>
      <c r="J68" s="1" t="n"/>
      <c r="K68" s="1">
        <f>IFERROR($E56/SUM($D56:$F56),"")</f>
        <v/>
      </c>
      <c r="L68" s="1">
        <f>IFERROR($D56/SUM($D56:$F56),"")</f>
        <v/>
      </c>
      <c r="M68" s="1">
        <f>IFERROR($F56/SUM($D56:$F56),"")</f>
        <v/>
      </c>
      <c r="O68" t="n">
        <v>67</v>
      </c>
      <c r="P68" t="inlineStr">
        <is>
          <t>03/02/2026</t>
        </is>
      </c>
      <c r="Q68" t="inlineStr">
        <is>
          <t>CD</t>
        </is>
      </c>
      <c r="R68" t="n">
        <v>1858</v>
      </c>
      <c r="S68" t="n">
        <v>953</v>
      </c>
      <c r="T68" t="n">
        <v>793</v>
      </c>
    </row>
    <row r="69">
      <c r="H69">
        <f>IF(B57="","",TEXT(B57,"dd/mm") &amp; "-" &amp; IF(UPPER(TRIM(C57))="CN",1,IF(UPPER(TRIM(C57))="CD",2,"")))</f>
        <v/>
      </c>
      <c r="I69" s="1" t="n"/>
      <c r="J69" s="1" t="n"/>
      <c r="K69" s="1">
        <f>IFERROR($E57/SUM($D57:$F57),"")</f>
        <v/>
      </c>
      <c r="L69" s="1">
        <f>IFERROR($D57/SUM($D57:$F57),"")</f>
        <v/>
      </c>
      <c r="M69" s="1">
        <f>IFERROR($F57/SUM($D57:$F57),"")</f>
        <v/>
      </c>
      <c r="O69" t="n">
        <v>68</v>
      </c>
      <c r="P69" t="inlineStr">
        <is>
          <t>04/02/2026</t>
        </is>
      </c>
      <c r="Q69" t="inlineStr">
        <is>
          <t>CN</t>
        </is>
      </c>
      <c r="R69" t="n">
        <v>1154</v>
      </c>
      <c r="S69" t="n">
        <v>928</v>
      </c>
      <c r="T69" t="n">
        <v>1520</v>
      </c>
    </row>
    <row r="70">
      <c r="H70">
        <f>IF(B58="","",TEXT(B58,"dd/mm") &amp; "-" &amp; IF(UPPER(TRIM(C58))="CN",1,IF(UPPER(TRIM(C58))="CD",2,"")))</f>
        <v/>
      </c>
      <c r="I70" s="1" t="n"/>
      <c r="J70" s="1" t="n"/>
      <c r="K70" s="1">
        <f>IFERROR($E58/SUM($D58:$F58),"")</f>
        <v/>
      </c>
      <c r="L70" s="1">
        <f>IFERROR($D58/SUM($D58:$F58),"")</f>
        <v/>
      </c>
      <c r="M70" s="1">
        <f>IFERROR($F58/SUM($D58:$F58),"")</f>
        <v/>
      </c>
      <c r="O70" t="n">
        <v>69</v>
      </c>
      <c r="P70" t="inlineStr">
        <is>
          <t>04/02/2026</t>
        </is>
      </c>
      <c r="Q70" t="inlineStr">
        <is>
          <t>CD</t>
        </is>
      </c>
      <c r="R70" t="n">
        <v>1648</v>
      </c>
      <c r="S70" t="n">
        <v>1124</v>
      </c>
      <c r="T70" t="n">
        <v>832</v>
      </c>
    </row>
    <row r="71">
      <c r="H71">
        <f>IF(B59="","",TEXT(B59,"dd/mm") &amp; "-" &amp; IF(UPPER(TRIM(C59))="CN",1,IF(UPPER(TRIM(C59))="CD",2,"")))</f>
        <v/>
      </c>
      <c r="I71" s="1" t="n"/>
      <c r="J71" s="1" t="n"/>
      <c r="K71" s="1">
        <f>IFERROR($E59/SUM($D59:$F59),"")</f>
        <v/>
      </c>
      <c r="L71" s="1">
        <f>IFERROR($D59/SUM($D59:$F59),"")</f>
        <v/>
      </c>
      <c r="M71" s="1">
        <f>IFERROR($F59/SUM($D59:$F59),"")</f>
        <v/>
      </c>
      <c r="O71" t="n">
        <v>70</v>
      </c>
      <c r="P71" t="inlineStr">
        <is>
          <t>05/02/2026</t>
        </is>
      </c>
      <c r="Q71" t="inlineStr">
        <is>
          <t>CN</t>
        </is>
      </c>
      <c r="R71" t="n">
        <v>1136</v>
      </c>
      <c r="S71" t="n">
        <v>962</v>
      </c>
      <c r="T71" t="n">
        <v>1504</v>
      </c>
    </row>
    <row r="72">
      <c r="H72">
        <f>IF(B60="","",TEXT(B60,"dd/mm") &amp; "-" &amp; IF(UPPER(TRIM(C60))="CN",1,IF(UPPER(TRIM(C60))="CD",2,"")))</f>
        <v/>
      </c>
      <c r="I72" s="1" t="n"/>
      <c r="J72" s="1" t="n"/>
      <c r="K72" s="1">
        <f>IFERROR($E60/SUM($D60:$F60),"")</f>
        <v/>
      </c>
      <c r="L72" s="1">
        <f>IFERROR($D60/SUM($D60:$F60),"")</f>
        <v/>
      </c>
      <c r="M72" s="1">
        <f>IFERROR($F60/SUM($D60:$F60),"")</f>
        <v/>
      </c>
      <c r="O72" t="n">
        <v>71</v>
      </c>
      <c r="P72" t="inlineStr">
        <is>
          <t>05/02/2026</t>
        </is>
      </c>
      <c r="Q72" t="inlineStr">
        <is>
          <t>CD</t>
        </is>
      </c>
      <c r="R72" t="n">
        <v>1606</v>
      </c>
      <c r="S72" t="n">
        <v>1130</v>
      </c>
      <c r="T72" t="n">
        <v>863</v>
      </c>
    </row>
    <row r="73">
      <c r="H73">
        <f>IF(B61="","",TEXT(B61,"dd/mm") &amp; "-" &amp; IF(UPPER(TRIM(C61))="CN",1,IF(UPPER(TRIM(C61))="CD",2,"")))</f>
        <v/>
      </c>
      <c r="I73" s="1" t="n"/>
      <c r="J73" s="1" t="n"/>
      <c r="K73" s="1">
        <f>IFERROR($E61/SUM($D61:$F61),"")</f>
        <v/>
      </c>
      <c r="L73" s="1">
        <f>IFERROR($D61/SUM($D61:$F61),"")</f>
        <v/>
      </c>
      <c r="M73" s="1">
        <f>IFERROR($F61/SUM($D61:$F61),"")</f>
        <v/>
      </c>
      <c r="O73" t="n">
        <v>72</v>
      </c>
      <c r="P73" t="inlineStr">
        <is>
          <t>06/02/2026</t>
        </is>
      </c>
      <c r="Q73" t="inlineStr">
        <is>
          <t>CN</t>
        </is>
      </c>
      <c r="R73" t="n">
        <v>1137</v>
      </c>
      <c r="S73" t="n">
        <v>940</v>
      </c>
      <c r="T73" t="n">
        <v>1526</v>
      </c>
    </row>
    <row r="74">
      <c r="H74">
        <f>IF(B62="","",TEXT(B62,"dd/mm") &amp; "-" &amp; IF(UPPER(TRIM(C62))="CN",1,IF(UPPER(TRIM(C62))="CD",2,"")))</f>
        <v/>
      </c>
      <c r="I74" s="1" t="n"/>
      <c r="J74" s="1" t="n"/>
      <c r="K74" s="1">
        <f>IFERROR($E62/SUM($D62:$F62),"")</f>
        <v/>
      </c>
      <c r="L74" s="1">
        <f>IFERROR($D62/SUM($D62:$F62),"")</f>
        <v/>
      </c>
      <c r="M74" s="1">
        <f>IFERROR($F62/SUM($D62:$F62),"")</f>
        <v/>
      </c>
      <c r="O74" t="n">
        <v>73</v>
      </c>
      <c r="P74" t="inlineStr">
        <is>
          <t>06/02/2026</t>
        </is>
      </c>
      <c r="Q74" t="inlineStr">
        <is>
          <t>CD</t>
        </is>
      </c>
      <c r="R74" t="n">
        <v>1486</v>
      </c>
      <c r="S74" t="n">
        <v>1238</v>
      </c>
      <c r="T74" t="n">
        <v>875</v>
      </c>
    </row>
    <row r="75">
      <c r="H75">
        <f>IF(B63="","",TEXT(B63,"dd/mm") &amp; "-" &amp; IF(UPPER(TRIM(C63))="CN",1,IF(UPPER(TRIM(C63))="CD",2,"")))</f>
        <v/>
      </c>
      <c r="I75" s="1" t="n"/>
      <c r="J75" s="1" t="n"/>
      <c r="K75" s="1">
        <f>IFERROR($E63/SUM($D63:$F63),"")</f>
        <v/>
      </c>
      <c r="L75" s="1">
        <f>IFERROR($D63/SUM($D63:$F63),"")</f>
        <v/>
      </c>
      <c r="M75" s="1">
        <f>IFERROR($F63/SUM($D63:$F63),"")</f>
        <v/>
      </c>
      <c r="O75" t="n">
        <v>74</v>
      </c>
      <c r="P75" t="inlineStr">
        <is>
          <t>07/02/2026</t>
        </is>
      </c>
      <c r="Q75" t="inlineStr">
        <is>
          <t>CN</t>
        </is>
      </c>
      <c r="R75" t="n">
        <v>1253</v>
      </c>
      <c r="S75" t="n">
        <v>1181</v>
      </c>
      <c r="T75" t="n">
        <v>1167</v>
      </c>
    </row>
    <row r="76">
      <c r="I76" s="1" t="n"/>
      <c r="J76" s="1" t="n"/>
      <c r="K76" s="1" t="n"/>
      <c r="L76" s="1" t="n"/>
      <c r="M76" s="1" t="n"/>
      <c r="O76" t="n">
        <v>75</v>
      </c>
      <c r="P76" t="inlineStr">
        <is>
          <t>07/02/2026</t>
        </is>
      </c>
      <c r="Q76" t="inlineStr">
        <is>
          <t>CD</t>
        </is>
      </c>
      <c r="R76" t="n">
        <v>1342</v>
      </c>
      <c r="S76" t="n">
        <v>995</v>
      </c>
      <c r="T76" t="n">
        <v>1265</v>
      </c>
    </row>
    <row r="77">
      <c r="I77" s="1" t="n"/>
      <c r="J77" s="1" t="n"/>
      <c r="K77" s="1" t="n"/>
      <c r="L77" s="1" t="n"/>
      <c r="M77" s="1" t="n"/>
      <c r="O77" t="n">
        <v>76</v>
      </c>
      <c r="P77" t="inlineStr">
        <is>
          <t>08/02/2026</t>
        </is>
      </c>
      <c r="Q77" t="inlineStr">
        <is>
          <t>CN</t>
        </is>
      </c>
      <c r="R77" t="n">
        <v>0</v>
      </c>
      <c r="S77" t="n">
        <v>0</v>
      </c>
      <c r="T77" t="n">
        <v>3600</v>
      </c>
    </row>
    <row r="78">
      <c r="I78" s="1" t="n"/>
      <c r="J78" s="1" t="n"/>
      <c r="K78" s="1" t="n"/>
      <c r="L78" s="1" t="n"/>
      <c r="M78" s="1" t="n"/>
      <c r="O78" t="n">
        <v>77</v>
      </c>
      <c r="P78" t="inlineStr">
        <is>
          <t>08/02/2026</t>
        </is>
      </c>
      <c r="Q78" t="inlineStr">
        <is>
          <t>CD</t>
        </is>
      </c>
      <c r="R78" t="n">
        <v>0</v>
      </c>
      <c r="S78" t="n">
        <v>0</v>
      </c>
      <c r="T78" t="n">
        <v>3600</v>
      </c>
    </row>
    <row r="79">
      <c r="I79" s="1" t="n"/>
      <c r="J79" s="1" t="n"/>
      <c r="K79" s="1" t="n"/>
      <c r="L79" s="1" t="n"/>
      <c r="M79" s="1" t="n"/>
      <c r="O79" t="n">
        <v>78</v>
      </c>
      <c r="P79" t="inlineStr">
        <is>
          <t>09/02/2026</t>
        </is>
      </c>
      <c r="Q79" t="inlineStr">
        <is>
          <t>CN</t>
        </is>
      </c>
      <c r="R79" t="n">
        <v>1453</v>
      </c>
      <c r="S79" t="n">
        <v>1099</v>
      </c>
      <c r="T79" t="n">
        <v>1050</v>
      </c>
    </row>
    <row r="80">
      <c r="I80" s="1" t="n"/>
      <c r="J80" s="1" t="n"/>
      <c r="K80" s="1" t="n"/>
      <c r="L80" s="1" t="n"/>
      <c r="M80" s="1" t="n"/>
      <c r="O80" t="n">
        <v>79</v>
      </c>
      <c r="P80" t="inlineStr">
        <is>
          <t>09/02/2026</t>
        </is>
      </c>
      <c r="Q80" t="inlineStr">
        <is>
          <t>CD</t>
        </is>
      </c>
      <c r="R80" t="n">
        <v>1567</v>
      </c>
      <c r="S80" t="n">
        <v>1235</v>
      </c>
      <c r="T80" t="n">
        <v>802</v>
      </c>
    </row>
    <row r="81">
      <c r="I81" s="1" t="n"/>
      <c r="J81" s="1" t="n"/>
      <c r="K81" s="1" t="n"/>
      <c r="L81" s="1" t="n"/>
      <c r="M81" s="1" t="n"/>
      <c r="O81" t="n">
        <v>80</v>
      </c>
      <c r="P81" t="inlineStr">
        <is>
          <t>10/02/2026</t>
        </is>
      </c>
      <c r="Q81" t="inlineStr">
        <is>
          <t>CN</t>
        </is>
      </c>
      <c r="R81" t="n">
        <v>1662</v>
      </c>
      <c r="S81" t="n">
        <v>905</v>
      </c>
      <c r="T81" t="n">
        <v>1034</v>
      </c>
    </row>
    <row r="82">
      <c r="I82" s="1" t="n"/>
      <c r="J82" s="1" t="n"/>
      <c r="K82" s="1" t="n"/>
      <c r="L82" s="1" t="n"/>
      <c r="M82" s="1" t="n"/>
      <c r="O82" t="n">
        <v>81</v>
      </c>
      <c r="P82" t="inlineStr">
        <is>
          <t>10/02/2026</t>
        </is>
      </c>
      <c r="Q82" t="inlineStr">
        <is>
          <t>CD</t>
        </is>
      </c>
      <c r="R82" t="n">
        <v>1339</v>
      </c>
      <c r="S82" t="n">
        <v>1092</v>
      </c>
      <c r="T82" t="n">
        <v>1171</v>
      </c>
    </row>
    <row r="83">
      <c r="I83" s="1" t="n"/>
      <c r="J83" s="1" t="n"/>
      <c r="K83" s="1" t="n"/>
      <c r="L83" s="1" t="n"/>
      <c r="M83" s="1" t="n"/>
      <c r="O83" t="n">
        <v>82</v>
      </c>
      <c r="P83" t="inlineStr">
        <is>
          <t>11/02/2026</t>
        </is>
      </c>
      <c r="Q83" t="inlineStr">
        <is>
          <t>CN</t>
        </is>
      </c>
      <c r="R83" t="n">
        <v>1610</v>
      </c>
      <c r="S83" t="n">
        <v>967</v>
      </c>
      <c r="T83" t="n">
        <v>1023</v>
      </c>
    </row>
    <row r="84">
      <c r="I84" s="1" t="n"/>
      <c r="J84" s="1" t="n"/>
      <c r="K84" s="1" t="n"/>
      <c r="L84" s="1" t="n"/>
      <c r="M84" s="1" t="n"/>
      <c r="O84" t="n">
        <v>83</v>
      </c>
      <c r="P84" t="inlineStr">
        <is>
          <t>11/02/2026</t>
        </is>
      </c>
      <c r="Q84" t="inlineStr">
        <is>
          <t>CD</t>
        </is>
      </c>
      <c r="R84" t="n">
        <v>1403</v>
      </c>
      <c r="S84" t="n">
        <v>1057</v>
      </c>
      <c r="T84" t="n">
        <v>1141</v>
      </c>
    </row>
    <row r="85">
      <c r="I85" s="1" t="n"/>
      <c r="J85" s="1" t="n"/>
      <c r="K85" s="1" t="n"/>
      <c r="L85" s="1" t="n"/>
      <c r="M85" s="1" t="n"/>
      <c r="O85" t="n">
        <v>84</v>
      </c>
      <c r="P85" t="inlineStr">
        <is>
          <t>12/02/2026</t>
        </is>
      </c>
      <c r="Q85" t="inlineStr">
        <is>
          <t>CN</t>
        </is>
      </c>
      <c r="R85" t="n">
        <v>1241</v>
      </c>
      <c r="S85" t="n">
        <v>820</v>
      </c>
      <c r="T85" t="n">
        <v>1541</v>
      </c>
    </row>
    <row r="86">
      <c r="I86" s="1" t="n"/>
      <c r="J86" s="1" t="n"/>
      <c r="K86" s="1" t="n"/>
      <c r="L86" s="1" t="n"/>
      <c r="M86" s="1" t="n"/>
      <c r="O86" t="n">
        <v>85</v>
      </c>
      <c r="P86" t="inlineStr">
        <is>
          <t>12/02/2026</t>
        </is>
      </c>
      <c r="Q86" t="inlineStr">
        <is>
          <t>CD</t>
        </is>
      </c>
      <c r="R86" t="n">
        <v>1311</v>
      </c>
      <c r="S86" t="n">
        <v>956</v>
      </c>
      <c r="T86" t="n">
        <v>1336</v>
      </c>
    </row>
    <row r="87">
      <c r="I87" s="1" t="n"/>
      <c r="J87" s="1" t="n"/>
      <c r="K87" s="1" t="n"/>
      <c r="L87" s="1" t="n"/>
      <c r="M87" s="1" t="n"/>
      <c r="O87" t="n">
        <v>86</v>
      </c>
      <c r="P87" t="inlineStr">
        <is>
          <t>13/02/2026</t>
        </is>
      </c>
      <c r="Q87" t="inlineStr">
        <is>
          <t>CN</t>
        </is>
      </c>
      <c r="R87" t="n">
        <v>1387</v>
      </c>
      <c r="S87" t="n">
        <v>1085</v>
      </c>
      <c r="T87" t="n">
        <v>1129</v>
      </c>
    </row>
    <row r="88">
      <c r="I88" s="1" t="n"/>
      <c r="J88" s="1" t="n"/>
      <c r="K88" s="1" t="n"/>
      <c r="L88" s="1" t="n"/>
      <c r="M88" s="1" t="n"/>
      <c r="O88" t="n">
        <v>87</v>
      </c>
      <c r="P88" t="inlineStr">
        <is>
          <t>13/02/2026</t>
        </is>
      </c>
      <c r="Q88" t="inlineStr">
        <is>
          <t>CD</t>
        </is>
      </c>
      <c r="R88" t="n">
        <v>1019</v>
      </c>
      <c r="S88" t="n">
        <v>568</v>
      </c>
      <c r="T88" t="n">
        <v>2012</v>
      </c>
    </row>
    <row r="89">
      <c r="I89" s="1" t="n"/>
      <c r="J89" s="1" t="n"/>
      <c r="K89" s="1" t="n"/>
      <c r="L89" s="1" t="n"/>
      <c r="M89" s="1" t="n"/>
      <c r="O89" t="n">
        <v>88</v>
      </c>
      <c r="P89" t="inlineStr">
        <is>
          <t>14/02/2026</t>
        </is>
      </c>
      <c r="Q89" t="inlineStr">
        <is>
          <t>CN</t>
        </is>
      </c>
      <c r="R89" t="n">
        <v>0</v>
      </c>
      <c r="S89" t="n">
        <v>0</v>
      </c>
      <c r="T89" t="n">
        <v>3600</v>
      </c>
    </row>
    <row r="90">
      <c r="I90" s="1" t="n"/>
      <c r="J90" s="1" t="n"/>
      <c r="K90" s="1" t="n"/>
      <c r="L90" s="1" t="n"/>
      <c r="M90" s="1" t="n"/>
      <c r="O90" t="n">
        <v>89</v>
      </c>
      <c r="P90" t="inlineStr">
        <is>
          <t>14/02/2026</t>
        </is>
      </c>
      <c r="Q90" t="inlineStr">
        <is>
          <t>CD</t>
        </is>
      </c>
      <c r="R90" t="n">
        <v>0</v>
      </c>
      <c r="S90" t="n">
        <v>0</v>
      </c>
      <c r="T90" t="n">
        <v>3600</v>
      </c>
    </row>
    <row r="91">
      <c r="I91" s="1" t="n"/>
      <c r="J91" s="1" t="n"/>
      <c r="K91" s="1" t="n"/>
      <c r="L91" s="1" t="n"/>
      <c r="M91" s="1" t="n"/>
      <c r="O91" t="n">
        <v>90</v>
      </c>
      <c r="P91" t="inlineStr">
        <is>
          <t>15/02/2026</t>
        </is>
      </c>
      <c r="Q91" t="inlineStr">
        <is>
          <t>CN</t>
        </is>
      </c>
      <c r="R91" t="n">
        <v>0</v>
      </c>
      <c r="S91" t="n">
        <v>0</v>
      </c>
      <c r="T91" t="n">
        <v>3600</v>
      </c>
    </row>
    <row r="92">
      <c r="I92" s="1" t="n"/>
      <c r="J92" s="1" t="n"/>
      <c r="K92" s="1" t="n"/>
      <c r="L92" s="1" t="n"/>
      <c r="M92" s="1" t="n"/>
      <c r="O92" t="n">
        <v>91</v>
      </c>
      <c r="P92" t="inlineStr">
        <is>
          <t>15/02/2026</t>
        </is>
      </c>
      <c r="Q92" t="inlineStr">
        <is>
          <t>CD</t>
        </is>
      </c>
      <c r="R92" t="n">
        <v>0</v>
      </c>
      <c r="S92" t="n">
        <v>0</v>
      </c>
      <c r="T92" t="n">
        <v>3600</v>
      </c>
    </row>
    <row r="93">
      <c r="I93" s="1" t="n"/>
      <c r="J93" s="1" t="n"/>
      <c r="K93" s="1" t="n"/>
      <c r="L93" s="1" t="n"/>
      <c r="M93" s="1" t="n"/>
      <c r="O93" t="n">
        <v>92</v>
      </c>
      <c r="P93" t="inlineStr">
        <is>
          <t>16/02/2026</t>
        </is>
      </c>
      <c r="Q93" t="inlineStr">
        <is>
          <t>CN</t>
        </is>
      </c>
      <c r="R93" t="n">
        <v>0</v>
      </c>
      <c r="S93" t="n">
        <v>0</v>
      </c>
      <c r="T93" t="n">
        <v>3600</v>
      </c>
    </row>
    <row r="94">
      <c r="I94" s="1" t="n"/>
      <c r="J94" s="1" t="n"/>
      <c r="K94" s="1" t="n"/>
      <c r="L94" s="1" t="n"/>
      <c r="M94" s="1" t="n"/>
      <c r="O94" t="n">
        <v>93</v>
      </c>
      <c r="P94" t="inlineStr">
        <is>
          <t>16/02/2026</t>
        </is>
      </c>
      <c r="Q94" t="inlineStr">
        <is>
          <t>CD</t>
        </is>
      </c>
      <c r="R94" t="n">
        <v>0</v>
      </c>
      <c r="S94" t="n">
        <v>0</v>
      </c>
      <c r="T94" t="n">
        <v>3600</v>
      </c>
    </row>
    <row r="95">
      <c r="I95" s="1" t="n"/>
      <c r="J95" s="1" t="n"/>
      <c r="K95" s="1" t="n"/>
      <c r="L95" s="1" t="n"/>
      <c r="M95" s="1" t="n"/>
      <c r="O95" t="n">
        <v>94</v>
      </c>
      <c r="P95" t="inlineStr">
        <is>
          <t>17/02/2026</t>
        </is>
      </c>
      <c r="Q95" t="inlineStr">
        <is>
          <t>CN</t>
        </is>
      </c>
      <c r="R95" t="n">
        <v>0</v>
      </c>
      <c r="S95" t="n">
        <v>0</v>
      </c>
      <c r="T95" t="n">
        <v>3600</v>
      </c>
    </row>
    <row r="96">
      <c r="I96" s="1" t="n"/>
      <c r="J96" s="1" t="n"/>
      <c r="K96" s="1" t="n"/>
      <c r="L96" s="1" t="n"/>
      <c r="M96" s="1" t="n"/>
      <c r="O96" t="n">
        <v>95</v>
      </c>
      <c r="P96" t="inlineStr">
        <is>
          <t>17/02/2026</t>
        </is>
      </c>
      <c r="Q96" t="inlineStr">
        <is>
          <t>CD</t>
        </is>
      </c>
      <c r="R96" t="n">
        <v>0</v>
      </c>
      <c r="S96" t="n">
        <v>0</v>
      </c>
      <c r="T96" t="n">
        <v>3600</v>
      </c>
    </row>
    <row r="97">
      <c r="I97" s="1" t="n"/>
      <c r="J97" s="1" t="n"/>
      <c r="K97" s="1" t="n"/>
      <c r="L97" s="1" t="n"/>
      <c r="M97" s="1" t="n"/>
      <c r="O97" t="n">
        <v>96</v>
      </c>
      <c r="P97" t="inlineStr">
        <is>
          <t>18/02/2026</t>
        </is>
      </c>
      <c r="Q97" t="inlineStr">
        <is>
          <t>CN</t>
        </is>
      </c>
      <c r="R97" t="n">
        <v>0</v>
      </c>
      <c r="S97" t="n">
        <v>0</v>
      </c>
      <c r="T97" t="n">
        <v>3600</v>
      </c>
    </row>
    <row r="98">
      <c r="I98" s="1" t="n"/>
      <c r="J98" s="1" t="n"/>
      <c r="K98" s="1" t="n"/>
      <c r="L98" s="1" t="n"/>
      <c r="M98" s="1" t="n"/>
      <c r="O98" t="n">
        <v>97</v>
      </c>
      <c r="P98" t="inlineStr">
        <is>
          <t>18/02/2026</t>
        </is>
      </c>
      <c r="Q98" t="inlineStr">
        <is>
          <t>CD</t>
        </is>
      </c>
      <c r="R98" t="n">
        <v>0</v>
      </c>
      <c r="S98" t="n">
        <v>0</v>
      </c>
      <c r="T98" t="n">
        <v>3600</v>
      </c>
    </row>
    <row r="99">
      <c r="I99" s="1" t="n"/>
      <c r="J99" s="1" t="n"/>
      <c r="K99" s="1" t="n"/>
      <c r="L99" s="1" t="n"/>
      <c r="M99" s="1" t="n"/>
      <c r="O99" t="n">
        <v>98</v>
      </c>
      <c r="P99" t="inlineStr">
        <is>
          <t>19/02/2026</t>
        </is>
      </c>
      <c r="Q99" t="inlineStr">
        <is>
          <t>CN</t>
        </is>
      </c>
      <c r="R99" t="n">
        <v>0</v>
      </c>
      <c r="S99" t="n">
        <v>0</v>
      </c>
      <c r="T99" t="n">
        <v>3600</v>
      </c>
    </row>
    <row r="100">
      <c r="I100" s="1" t="n"/>
      <c r="J100" s="1" t="n"/>
      <c r="K100" s="1" t="n"/>
      <c r="L100" s="1" t="n"/>
      <c r="M100" s="1" t="n"/>
      <c r="O100" t="n">
        <v>99</v>
      </c>
      <c r="P100" t="inlineStr">
        <is>
          <t>19/02/2026</t>
        </is>
      </c>
      <c r="Q100" t="inlineStr">
        <is>
          <t>CD</t>
        </is>
      </c>
      <c r="R100" t="n">
        <v>0</v>
      </c>
      <c r="S100" t="n">
        <v>0</v>
      </c>
      <c r="T100" t="n">
        <v>3600</v>
      </c>
    </row>
    <row r="101">
      <c r="I101" s="1" t="n"/>
      <c r="J101" s="1" t="n"/>
      <c r="K101" s="1" t="n"/>
      <c r="L101" s="1" t="n"/>
      <c r="M101" s="1" t="n"/>
      <c r="O101" t="n">
        <v>100</v>
      </c>
      <c r="P101" t="inlineStr">
        <is>
          <t>20/02/2026</t>
        </is>
      </c>
      <c r="Q101" t="inlineStr">
        <is>
          <t>CN</t>
        </is>
      </c>
      <c r="R101" t="n">
        <v>0</v>
      </c>
      <c r="S101" t="n">
        <v>0</v>
      </c>
      <c r="T101" t="n">
        <v>3600</v>
      </c>
    </row>
    <row r="102">
      <c r="O102" t="n">
        <v>101</v>
      </c>
      <c r="P102" t="inlineStr">
        <is>
          <t>20/02/2026</t>
        </is>
      </c>
      <c r="Q102" t="inlineStr">
        <is>
          <t>CD</t>
        </is>
      </c>
      <c r="R102" t="n">
        <v>0</v>
      </c>
      <c r="S102" t="n">
        <v>0</v>
      </c>
      <c r="T102" t="n">
        <v>3600</v>
      </c>
    </row>
    <row r="103">
      <c r="O103" t="n">
        <v>102</v>
      </c>
      <c r="P103" t="inlineStr">
        <is>
          <t>21/02/2026</t>
        </is>
      </c>
      <c r="Q103" t="inlineStr">
        <is>
          <t>CN</t>
        </is>
      </c>
      <c r="R103" t="n">
        <v>0</v>
      </c>
      <c r="S103" t="n">
        <v>0</v>
      </c>
      <c r="T103" t="n">
        <v>3600</v>
      </c>
    </row>
    <row r="104">
      <c r="O104" t="n">
        <v>103</v>
      </c>
      <c r="P104" t="inlineStr">
        <is>
          <t>21/02/2026</t>
        </is>
      </c>
      <c r="Q104" t="inlineStr">
        <is>
          <t>CD</t>
        </is>
      </c>
      <c r="R104" t="n">
        <v>0</v>
      </c>
      <c r="S104" t="n">
        <v>0</v>
      </c>
      <c r="T104" t="n">
        <v>3600</v>
      </c>
    </row>
    <row r="105">
      <c r="O105" t="n">
        <v>104</v>
      </c>
      <c r="P105" t="inlineStr">
        <is>
          <t>22/02/2026</t>
        </is>
      </c>
      <c r="Q105" t="inlineStr">
        <is>
          <t>CN</t>
        </is>
      </c>
      <c r="R105" t="n">
        <v>0</v>
      </c>
      <c r="S105" t="n">
        <v>0</v>
      </c>
      <c r="T105" t="n">
        <v>3600</v>
      </c>
    </row>
    <row r="106">
      <c r="O106" t="n">
        <v>105</v>
      </c>
      <c r="P106" t="inlineStr">
        <is>
          <t>22/02/2026</t>
        </is>
      </c>
      <c r="Q106" t="inlineStr">
        <is>
          <t>CD</t>
        </is>
      </c>
      <c r="R106" t="n">
        <v>0</v>
      </c>
      <c r="S106" t="n">
        <v>0</v>
      </c>
      <c r="T106" t="n">
        <v>3600</v>
      </c>
    </row>
    <row r="107">
      <c r="O107" t="n">
        <v>106</v>
      </c>
      <c r="P107" t="inlineStr">
        <is>
          <t>23/02/2026</t>
        </is>
      </c>
      <c r="Q107" t="inlineStr">
        <is>
          <t>CN</t>
        </is>
      </c>
      <c r="R107" t="n">
        <v>956</v>
      </c>
      <c r="S107" t="n">
        <v>1103</v>
      </c>
      <c r="T107" t="n">
        <v>1540</v>
      </c>
    </row>
    <row r="108">
      <c r="O108" t="n">
        <v>107</v>
      </c>
      <c r="P108" t="inlineStr">
        <is>
          <t>23/02/2026</t>
        </is>
      </c>
      <c r="Q108" t="inlineStr">
        <is>
          <t>CD</t>
        </is>
      </c>
      <c r="R108" t="n">
        <v>1208</v>
      </c>
      <c r="S108" t="n">
        <v>943</v>
      </c>
      <c r="T108" t="n">
        <v>1452</v>
      </c>
    </row>
    <row r="109">
      <c r="O109" t="n">
        <v>108</v>
      </c>
      <c r="P109" t="inlineStr">
        <is>
          <t>24/02/2026</t>
        </is>
      </c>
      <c r="Q109" t="inlineStr">
        <is>
          <t>CN</t>
        </is>
      </c>
      <c r="R109" t="n">
        <v>1561</v>
      </c>
      <c r="S109" t="n">
        <v>1009</v>
      </c>
      <c r="T109" t="n">
        <v>1031</v>
      </c>
    </row>
    <row r="110">
      <c r="O110" t="n">
        <v>109</v>
      </c>
      <c r="P110" t="inlineStr">
        <is>
          <t>24/02/2026</t>
        </is>
      </c>
      <c r="Q110" t="inlineStr">
        <is>
          <t>CD</t>
        </is>
      </c>
      <c r="R110" t="n">
        <v>1322</v>
      </c>
      <c r="S110" t="n">
        <v>879</v>
      </c>
      <c r="T110" t="n">
        <v>1401</v>
      </c>
    </row>
    <row r="111">
      <c r="O111" t="n">
        <v>110</v>
      </c>
      <c r="P111" t="inlineStr">
        <is>
          <t>25/02/2026</t>
        </is>
      </c>
      <c r="Q111" t="inlineStr">
        <is>
          <t>CN</t>
        </is>
      </c>
      <c r="R111" t="n">
        <v>1256</v>
      </c>
      <c r="S111" t="n">
        <v>1309</v>
      </c>
      <c r="T111" t="n">
        <v>1037</v>
      </c>
    </row>
    <row r="112">
      <c r="O112" t="n">
        <v>111</v>
      </c>
      <c r="P112" t="inlineStr">
        <is>
          <t>26/02/2026</t>
        </is>
      </c>
      <c r="Q112" t="inlineStr">
        <is>
          <t>CN</t>
        </is>
      </c>
      <c r="R112" t="n">
        <v>2538</v>
      </c>
      <c r="S112" t="n">
        <v>2277</v>
      </c>
      <c r="T112" t="n">
        <v>2384</v>
      </c>
    </row>
    <row r="113">
      <c r="O113" t="n">
        <v>112</v>
      </c>
      <c r="P113" t="inlineStr">
        <is>
          <t>26/02/2026</t>
        </is>
      </c>
      <c r="Q113" t="inlineStr">
        <is>
          <t>CD</t>
        </is>
      </c>
      <c r="R113" t="n">
        <v>1172</v>
      </c>
      <c r="S113" t="n">
        <v>1083</v>
      </c>
      <c r="T113" t="n">
        <v>1348</v>
      </c>
    </row>
    <row r="114">
      <c r="O114" t="n">
        <v>113</v>
      </c>
      <c r="P114" t="inlineStr">
        <is>
          <t>27/02/2026</t>
        </is>
      </c>
      <c r="Q114" t="inlineStr">
        <is>
          <t>CN</t>
        </is>
      </c>
      <c r="R114" t="n">
        <v>1396</v>
      </c>
      <c r="S114" t="n">
        <v>1161</v>
      </c>
      <c r="T114" t="n">
        <v>1046</v>
      </c>
    </row>
    <row r="115">
      <c r="O115" t="n">
        <v>114</v>
      </c>
      <c r="P115" t="inlineStr">
        <is>
          <t>27/02/2026</t>
        </is>
      </c>
      <c r="Q115" t="inlineStr">
        <is>
          <t>CD</t>
        </is>
      </c>
      <c r="R115" t="n">
        <v>1072</v>
      </c>
      <c r="S115" t="n">
        <v>965</v>
      </c>
      <c r="T115" t="n">
        <v>1563</v>
      </c>
    </row>
    <row r="116">
      <c r="O116" t="n">
        <v>115</v>
      </c>
      <c r="P116" t="inlineStr">
        <is>
          <t>28/02/2026</t>
        </is>
      </c>
      <c r="Q116" t="inlineStr">
        <is>
          <t>CN</t>
        </is>
      </c>
      <c r="R116" t="n">
        <v>1238</v>
      </c>
      <c r="S116" t="n">
        <v>709</v>
      </c>
      <c r="T116" t="n">
        <v>1657</v>
      </c>
    </row>
    <row r="117">
      <c r="O117" t="n">
        <v>116</v>
      </c>
      <c r="P117" t="inlineStr">
        <is>
          <t>28/02/2026</t>
        </is>
      </c>
      <c r="Q117" t="inlineStr">
        <is>
          <t>CD</t>
        </is>
      </c>
      <c r="R117" t="n">
        <v>1284</v>
      </c>
      <c r="S117" t="n">
        <v>616</v>
      </c>
      <c r="T117" t="n">
        <v>1702</v>
      </c>
    </row>
    <row r="118">
      <c r="O118" t="n">
        <v>117</v>
      </c>
      <c r="P118" t="inlineStr">
        <is>
          <t>01/03/2026</t>
        </is>
      </c>
      <c r="Q118" t="inlineStr">
        <is>
          <t>CN</t>
        </is>
      </c>
      <c r="R118" t="n">
        <v>0</v>
      </c>
      <c r="S118" t="n">
        <v>0</v>
      </c>
      <c r="T118" t="n">
        <v>3275</v>
      </c>
    </row>
    <row r="119">
      <c r="O119" t="n">
        <v>118</v>
      </c>
      <c r="P119" t="inlineStr">
        <is>
          <t>01/03/2026</t>
        </is>
      </c>
      <c r="Q119" t="inlineStr">
        <is>
          <t>CD</t>
        </is>
      </c>
      <c r="R119" t="n">
        <v>0</v>
      </c>
      <c r="S119" t="n">
        <v>0</v>
      </c>
      <c r="T119" t="n">
        <v>3600</v>
      </c>
    </row>
    <row r="120">
      <c r="O120" t="n">
        <v>119</v>
      </c>
      <c r="P120" t="inlineStr">
        <is>
          <t>02/03/2026</t>
        </is>
      </c>
      <c r="Q120" t="inlineStr">
        <is>
          <t>CN</t>
        </is>
      </c>
      <c r="R120" t="n">
        <v>1176</v>
      </c>
      <c r="S120" t="n">
        <v>893</v>
      </c>
      <c r="T120" t="n">
        <v>1535</v>
      </c>
    </row>
    <row r="121">
      <c r="O121" t="n">
        <v>120</v>
      </c>
      <c r="P121" t="inlineStr">
        <is>
          <t>02/03/2026</t>
        </is>
      </c>
      <c r="Q121" t="inlineStr">
        <is>
          <t>CD</t>
        </is>
      </c>
      <c r="R121" t="n">
        <v>1467</v>
      </c>
      <c r="S121" t="n">
        <v>1347</v>
      </c>
      <c r="T121" t="n">
        <v>786</v>
      </c>
    </row>
    <row r="122">
      <c r="O122" t="n">
        <v>121</v>
      </c>
      <c r="P122" t="inlineStr">
        <is>
          <t>03/03/2026</t>
        </is>
      </c>
      <c r="Q122" t="inlineStr">
        <is>
          <t>CN</t>
        </is>
      </c>
      <c r="R122" t="n">
        <v>1190</v>
      </c>
      <c r="S122" t="n">
        <v>887</v>
      </c>
      <c r="T122" t="n">
        <v>1528</v>
      </c>
    </row>
    <row r="123">
      <c r="O123" t="n">
        <v>122</v>
      </c>
      <c r="P123" t="inlineStr">
        <is>
          <t>03/03/2026</t>
        </is>
      </c>
      <c r="Q123" t="inlineStr">
        <is>
          <t>CD</t>
        </is>
      </c>
      <c r="R123" t="n">
        <v>1529</v>
      </c>
      <c r="S123" t="n">
        <v>886</v>
      </c>
      <c r="T123" t="n">
        <v>1183</v>
      </c>
    </row>
    <row r="124">
      <c r="O124" t="n">
        <v>123</v>
      </c>
      <c r="P124" t="inlineStr">
        <is>
          <t>04/03/2026</t>
        </is>
      </c>
      <c r="Q124" t="inlineStr">
        <is>
          <t>CN</t>
        </is>
      </c>
      <c r="R124" t="n">
        <v>1291</v>
      </c>
      <c r="S124" t="n">
        <v>797</v>
      </c>
      <c r="T124" t="n">
        <v>1517</v>
      </c>
    </row>
    <row r="125">
      <c r="O125" t="n">
        <v>124</v>
      </c>
      <c r="P125" t="inlineStr">
        <is>
          <t>04/03/2026</t>
        </is>
      </c>
      <c r="Q125" t="inlineStr">
        <is>
          <t>CD</t>
        </is>
      </c>
      <c r="R125" t="n">
        <v>1083</v>
      </c>
      <c r="S125" t="n">
        <v>1151</v>
      </c>
      <c r="T125" t="n">
        <v>1372</v>
      </c>
    </row>
    <row r="126">
      <c r="O126" t="n">
        <v>125</v>
      </c>
      <c r="P126" t="inlineStr">
        <is>
          <t>05/03/2026</t>
        </is>
      </c>
      <c r="Q126" t="inlineStr">
        <is>
          <t>CN</t>
        </is>
      </c>
      <c r="R126" t="n">
        <v>1333</v>
      </c>
      <c r="S126" t="n">
        <v>756</v>
      </c>
      <c r="T126" t="n">
        <v>1516</v>
      </c>
    </row>
    <row r="127">
      <c r="O127" t="n">
        <v>126</v>
      </c>
      <c r="P127" t="inlineStr">
        <is>
          <t>05/03/2026</t>
        </is>
      </c>
      <c r="Q127" t="inlineStr">
        <is>
          <t>CD</t>
        </is>
      </c>
      <c r="R127" t="n">
        <v>1396</v>
      </c>
      <c r="S127" t="n">
        <v>1344</v>
      </c>
      <c r="T127" t="n">
        <v>862</v>
      </c>
    </row>
    <row r="128">
      <c r="O128" t="n">
        <v>127</v>
      </c>
      <c r="P128" t="inlineStr">
        <is>
          <t>06/03/2026</t>
        </is>
      </c>
      <c r="Q128" t="inlineStr">
        <is>
          <t>CN</t>
        </is>
      </c>
      <c r="R128" t="n">
        <v>1196</v>
      </c>
      <c r="S128" t="n">
        <v>893</v>
      </c>
      <c r="T128" t="n">
        <v>1515</v>
      </c>
    </row>
    <row r="129">
      <c r="O129" t="n">
        <v>128</v>
      </c>
      <c r="P129" t="inlineStr">
        <is>
          <t>06/03/2026</t>
        </is>
      </c>
      <c r="Q129" t="inlineStr">
        <is>
          <t>CD</t>
        </is>
      </c>
      <c r="R129" t="n">
        <v>1472</v>
      </c>
      <c r="S129" t="n">
        <v>1186</v>
      </c>
      <c r="T129" t="n">
        <v>944</v>
      </c>
    </row>
    <row r="130">
      <c r="O130" t="n">
        <v>129</v>
      </c>
      <c r="P130" t="inlineStr">
        <is>
          <t>07/03/2026</t>
        </is>
      </c>
      <c r="Q130" t="inlineStr">
        <is>
          <t>CN</t>
        </is>
      </c>
      <c r="R130" t="n">
        <v>1318</v>
      </c>
      <c r="S130" t="n">
        <v>1105</v>
      </c>
      <c r="T130" t="n">
        <v>1180</v>
      </c>
    </row>
    <row r="131">
      <c r="O131" t="n">
        <v>130</v>
      </c>
      <c r="P131" t="inlineStr">
        <is>
          <t>07/03/2026</t>
        </is>
      </c>
      <c r="Q131" t="inlineStr">
        <is>
          <t>CD</t>
        </is>
      </c>
      <c r="R131" t="n">
        <v>1313</v>
      </c>
      <c r="S131" t="n">
        <v>1028</v>
      </c>
      <c r="T131" t="n">
        <v>1259</v>
      </c>
    </row>
    <row r="132">
      <c r="O132" t="n">
        <v>131</v>
      </c>
      <c r="P132" t="inlineStr">
        <is>
          <t>08/03/2026</t>
        </is>
      </c>
      <c r="Q132" t="inlineStr">
        <is>
          <t>CN</t>
        </is>
      </c>
      <c r="R132" t="n">
        <v>0</v>
      </c>
      <c r="S132" t="n">
        <v>0</v>
      </c>
      <c r="T132" t="n">
        <v>3600</v>
      </c>
    </row>
    <row r="133">
      <c r="O133" t="n">
        <v>132</v>
      </c>
      <c r="P133" t="inlineStr">
        <is>
          <t>08/03/2026</t>
        </is>
      </c>
      <c r="Q133" t="inlineStr">
        <is>
          <t>CD</t>
        </is>
      </c>
      <c r="R133" t="n">
        <v>0</v>
      </c>
      <c r="S133" t="n">
        <v>0</v>
      </c>
      <c r="T133" t="n">
        <v>3600</v>
      </c>
    </row>
    <row r="134">
      <c r="O134" t="n">
        <v>133</v>
      </c>
      <c r="P134" t="inlineStr">
        <is>
          <t>09/03/2026</t>
        </is>
      </c>
      <c r="Q134" t="inlineStr">
        <is>
          <t>CN</t>
        </is>
      </c>
      <c r="R134" t="n">
        <v>1527</v>
      </c>
      <c r="S134" t="n">
        <v>1048</v>
      </c>
      <c r="T134" t="n">
        <v>1029</v>
      </c>
    </row>
    <row r="135">
      <c r="O135" t="n">
        <v>134</v>
      </c>
      <c r="P135" t="inlineStr">
        <is>
          <t>09/03/2026</t>
        </is>
      </c>
      <c r="Q135" t="inlineStr">
        <is>
          <t>CD</t>
        </is>
      </c>
      <c r="R135" t="n">
        <v>1564</v>
      </c>
      <c r="S135" t="n">
        <v>884</v>
      </c>
      <c r="T135" t="n">
        <v>1156</v>
      </c>
    </row>
    <row r="136">
      <c r="O136" t="n">
        <v>135</v>
      </c>
      <c r="P136" t="inlineStr">
        <is>
          <t>10/03/2026</t>
        </is>
      </c>
      <c r="Q136" t="inlineStr">
        <is>
          <t>CN</t>
        </is>
      </c>
      <c r="R136" t="n">
        <v>1443</v>
      </c>
      <c r="S136" t="n">
        <v>1128</v>
      </c>
      <c r="T136" t="n">
        <v>1029</v>
      </c>
    </row>
    <row r="137">
      <c r="O137" t="n">
        <v>136</v>
      </c>
      <c r="P137" t="inlineStr">
        <is>
          <t>10/03/2026</t>
        </is>
      </c>
      <c r="Q137" t="inlineStr">
        <is>
          <t>CD</t>
        </is>
      </c>
      <c r="R137" t="n">
        <v>1290</v>
      </c>
      <c r="S137" t="n">
        <v>963</v>
      </c>
      <c r="T137" t="n">
        <v>1351</v>
      </c>
    </row>
    <row r="138">
      <c r="O138" t="n">
        <v>137</v>
      </c>
      <c r="P138" t="inlineStr">
        <is>
          <t>11/03/2026</t>
        </is>
      </c>
      <c r="Q138" t="inlineStr">
        <is>
          <t>CN</t>
        </is>
      </c>
      <c r="R138" t="n">
        <v>1410</v>
      </c>
      <c r="S138" t="n">
        <v>1165</v>
      </c>
      <c r="T138" t="n">
        <v>1028</v>
      </c>
    </row>
    <row r="139">
      <c r="O139" t="n">
        <v>138</v>
      </c>
      <c r="P139" t="inlineStr">
        <is>
          <t>11/03/2026</t>
        </is>
      </c>
      <c r="Q139" t="inlineStr">
        <is>
          <t>CD</t>
        </is>
      </c>
      <c r="R139" t="n">
        <v>1404</v>
      </c>
      <c r="S139" t="n">
        <v>855</v>
      </c>
      <c r="T139" t="n">
        <v>1345</v>
      </c>
    </row>
    <row r="140">
      <c r="O140" t="n">
        <v>139</v>
      </c>
      <c r="P140" t="inlineStr">
        <is>
          <t>12/03/2026</t>
        </is>
      </c>
      <c r="Q140" t="inlineStr">
        <is>
          <t>CN</t>
        </is>
      </c>
      <c r="R140" t="n">
        <v>1390</v>
      </c>
      <c r="S140" t="n">
        <v>1185</v>
      </c>
      <c r="T140" t="n">
        <v>1029</v>
      </c>
    </row>
    <row r="141">
      <c r="O141" t="n">
        <v>140</v>
      </c>
      <c r="P141" t="inlineStr">
        <is>
          <t>12/03/2026</t>
        </is>
      </c>
      <c r="Q141" t="inlineStr">
        <is>
          <t>CD</t>
        </is>
      </c>
      <c r="R141" t="n">
        <v>1270</v>
      </c>
      <c r="S141" t="n">
        <v>988</v>
      </c>
      <c r="T141" t="n">
        <v>1349</v>
      </c>
    </row>
    <row r="142">
      <c r="O142" t="n">
        <v>141</v>
      </c>
      <c r="P142" t="inlineStr">
        <is>
          <t>13/03/2026</t>
        </is>
      </c>
      <c r="Q142" t="inlineStr">
        <is>
          <t>CN</t>
        </is>
      </c>
      <c r="R142" t="n">
        <v>1470</v>
      </c>
      <c r="S142" t="n">
        <v>1115</v>
      </c>
      <c r="T142" t="n">
        <v>1021</v>
      </c>
    </row>
    <row r="143">
      <c r="O143" t="n">
        <v>142</v>
      </c>
      <c r="P143" t="inlineStr">
        <is>
          <t>13/03/2026</t>
        </is>
      </c>
      <c r="Q143" t="inlineStr">
        <is>
          <t>CD</t>
        </is>
      </c>
      <c r="R143" t="n">
        <v>1127</v>
      </c>
      <c r="S143" t="n">
        <v>1062</v>
      </c>
      <c r="T143" t="n">
        <v>1411</v>
      </c>
    </row>
    <row r="144">
      <c r="O144" t="n">
        <v>143</v>
      </c>
      <c r="P144" t="inlineStr">
        <is>
          <t>14/03/2026</t>
        </is>
      </c>
      <c r="Q144" t="inlineStr">
        <is>
          <t>CN</t>
        </is>
      </c>
      <c r="R144" t="n">
        <v>1035</v>
      </c>
      <c r="S144" t="n">
        <v>917</v>
      </c>
      <c r="T144" t="n">
        <v>1650</v>
      </c>
    </row>
    <row r="145">
      <c r="O145" t="n">
        <v>144</v>
      </c>
      <c r="P145" t="inlineStr">
        <is>
          <t>14/03/2026</t>
        </is>
      </c>
      <c r="Q145" t="inlineStr">
        <is>
          <t>CD</t>
        </is>
      </c>
      <c r="R145" t="n">
        <v>1377</v>
      </c>
      <c r="S145" t="n">
        <v>993</v>
      </c>
      <c r="T145" t="n">
        <v>1231</v>
      </c>
    </row>
    <row r="146">
      <c r="O146" t="n">
        <v>145</v>
      </c>
      <c r="P146" t="inlineStr">
        <is>
          <t>15/03/2026</t>
        </is>
      </c>
      <c r="Q146" t="inlineStr">
        <is>
          <t>CN</t>
        </is>
      </c>
      <c r="R146" t="n">
        <v>0</v>
      </c>
      <c r="S146" t="n">
        <v>0</v>
      </c>
      <c r="T146" t="n">
        <v>3600</v>
      </c>
    </row>
    <row r="147">
      <c r="O147" t="n">
        <v>146</v>
      </c>
      <c r="P147" t="inlineStr">
        <is>
          <t>15/03/2026</t>
        </is>
      </c>
      <c r="Q147" t="inlineStr">
        <is>
          <t>CD</t>
        </is>
      </c>
      <c r="R147" t="n">
        <v>0</v>
      </c>
      <c r="S147" t="n">
        <v>0</v>
      </c>
      <c r="T147" t="n">
        <v>3600</v>
      </c>
    </row>
    <row r="148">
      <c r="O148" t="n">
        <v>147</v>
      </c>
      <c r="P148" t="inlineStr">
        <is>
          <t>16/03/2026</t>
        </is>
      </c>
      <c r="Q148" t="inlineStr">
        <is>
          <t>CN</t>
        </is>
      </c>
      <c r="R148" t="n">
        <v>1264</v>
      </c>
      <c r="S148" t="n">
        <v>803</v>
      </c>
      <c r="T148" t="n">
        <v>1537</v>
      </c>
    </row>
    <row r="149">
      <c r="O149" t="n">
        <v>148</v>
      </c>
      <c r="P149" t="inlineStr">
        <is>
          <t>16/03/2026</t>
        </is>
      </c>
      <c r="Q149" t="inlineStr">
        <is>
          <t>CD</t>
        </is>
      </c>
      <c r="R149" t="n">
        <v>1248</v>
      </c>
      <c r="S149" t="n">
        <v>972</v>
      </c>
      <c r="T149" t="n">
        <v>1382</v>
      </c>
    </row>
    <row r="150">
      <c r="O150" t="n">
        <v>149</v>
      </c>
      <c r="P150" t="inlineStr">
        <is>
          <t>17/03/2026</t>
        </is>
      </c>
      <c r="Q150" t="inlineStr">
        <is>
          <t>CN</t>
        </is>
      </c>
      <c r="R150" t="n">
        <v>1270</v>
      </c>
      <c r="S150" t="n">
        <v>816</v>
      </c>
      <c r="T150" t="n">
        <v>1520</v>
      </c>
    </row>
    <row r="151">
      <c r="O151" t="n">
        <v>150</v>
      </c>
      <c r="P151" t="inlineStr">
        <is>
          <t>17/03/2026</t>
        </is>
      </c>
      <c r="Q151" t="inlineStr">
        <is>
          <t>CD</t>
        </is>
      </c>
      <c r="R151" t="n">
        <v>1396</v>
      </c>
      <c r="S151" t="n">
        <v>1135</v>
      </c>
      <c r="T151" t="n">
        <v>1073</v>
      </c>
    </row>
    <row r="152">
      <c r="O152" t="n">
        <v>151</v>
      </c>
      <c r="P152" t="inlineStr">
        <is>
          <t>18/03/2026</t>
        </is>
      </c>
      <c r="Q152" t="inlineStr">
        <is>
          <t>CN</t>
        </is>
      </c>
      <c r="R152" t="n">
        <v>1515</v>
      </c>
      <c r="S152" t="n">
        <v>829</v>
      </c>
      <c r="T152" t="n">
        <v>1258</v>
      </c>
    </row>
    <row r="153">
      <c r="O153" t="n">
        <v>152</v>
      </c>
      <c r="P153" t="inlineStr">
        <is>
          <t>18/03/2026</t>
        </is>
      </c>
      <c r="Q153" t="inlineStr">
        <is>
          <t>CD</t>
        </is>
      </c>
      <c r="R153" t="n">
        <v>1921</v>
      </c>
      <c r="S153" t="n">
        <v>866</v>
      </c>
      <c r="T153" t="n">
        <v>817</v>
      </c>
    </row>
    <row r="154">
      <c r="O154" t="n">
        <v>153</v>
      </c>
      <c r="P154" t="inlineStr">
        <is>
          <t>19/03/2026</t>
        </is>
      </c>
      <c r="Q154" t="inlineStr">
        <is>
          <t>CN</t>
        </is>
      </c>
      <c r="R154" t="n">
        <v>1235</v>
      </c>
      <c r="S154" t="n">
        <v>833</v>
      </c>
      <c r="T154" t="n">
        <v>1538</v>
      </c>
    </row>
    <row r="155">
      <c r="O155" t="n">
        <v>154</v>
      </c>
      <c r="P155" t="inlineStr">
        <is>
          <t>19/03/2026</t>
        </is>
      </c>
      <c r="Q155" t="inlineStr">
        <is>
          <t>CD</t>
        </is>
      </c>
      <c r="R155" t="n">
        <v>1042</v>
      </c>
      <c r="S155" t="n">
        <v>1172</v>
      </c>
      <c r="T155" t="n">
        <v>1387</v>
      </c>
    </row>
    <row r="156">
      <c r="O156" t="n">
        <v>155</v>
      </c>
      <c r="P156" t="inlineStr">
        <is>
          <t>20/03/2026</t>
        </is>
      </c>
      <c r="Q156" t="inlineStr">
        <is>
          <t>CN</t>
        </is>
      </c>
      <c r="R156" t="n">
        <v>1289</v>
      </c>
      <c r="S156" t="n">
        <v>790</v>
      </c>
      <c r="T156" t="n">
        <v>1525</v>
      </c>
    </row>
    <row r="157">
      <c r="O157" t="n">
        <v>156</v>
      </c>
      <c r="P157" t="inlineStr">
        <is>
          <t>20/03/2026</t>
        </is>
      </c>
      <c r="Q157" t="inlineStr">
        <is>
          <t>CD</t>
        </is>
      </c>
      <c r="R157" t="n">
        <v>1191</v>
      </c>
      <c r="S157" t="n">
        <v>1038</v>
      </c>
      <c r="T157" t="n">
        <v>1373</v>
      </c>
    </row>
    <row r="158">
      <c r="O158" t="n">
        <v>157</v>
      </c>
      <c r="P158" t="inlineStr">
        <is>
          <t>21/03/2026</t>
        </is>
      </c>
      <c r="Q158" t="inlineStr">
        <is>
          <t>CN</t>
        </is>
      </c>
      <c r="R158" t="n">
        <v>1123</v>
      </c>
      <c r="S158" t="n">
        <v>827</v>
      </c>
      <c r="T158" t="n">
        <v>1654</v>
      </c>
    </row>
    <row r="159">
      <c r="O159" t="n">
        <v>158</v>
      </c>
      <c r="P159" t="inlineStr">
        <is>
          <t>21/03/2026</t>
        </is>
      </c>
      <c r="Q159" t="inlineStr">
        <is>
          <t>CD</t>
        </is>
      </c>
      <c r="R159" t="n">
        <v>1133</v>
      </c>
      <c r="S159" t="n">
        <v>734</v>
      </c>
      <c r="T159" t="n">
        <v>1733</v>
      </c>
    </row>
    <row r="160">
      <c r="O160" t="n">
        <v>159</v>
      </c>
      <c r="P160" t="inlineStr">
        <is>
          <t>22/03/2026</t>
        </is>
      </c>
      <c r="Q160" t="inlineStr">
        <is>
          <t>CN</t>
        </is>
      </c>
      <c r="R160" t="n">
        <v>0</v>
      </c>
      <c r="S160" t="n">
        <v>0</v>
      </c>
      <c r="T160" t="n">
        <v>3600</v>
      </c>
    </row>
    <row r="161">
      <c r="O161" t="n">
        <v>160</v>
      </c>
      <c r="P161" t="inlineStr">
        <is>
          <t>22/03/2026</t>
        </is>
      </c>
      <c r="Q161" t="inlineStr">
        <is>
          <t>CD</t>
        </is>
      </c>
      <c r="R161" t="n">
        <v>0</v>
      </c>
      <c r="S161" t="n">
        <v>0</v>
      </c>
      <c r="T161" t="n">
        <v>3600</v>
      </c>
    </row>
    <row r="162">
      <c r="O162" t="n">
        <v>161</v>
      </c>
      <c r="P162" t="inlineStr">
        <is>
          <t>23/03/2026</t>
        </is>
      </c>
      <c r="Q162" t="inlineStr">
        <is>
          <t>CN</t>
        </is>
      </c>
      <c r="R162" t="n">
        <v>1294</v>
      </c>
      <c r="S162" t="n">
        <v>741</v>
      </c>
      <c r="T162" t="n">
        <v>1566</v>
      </c>
    </row>
    <row r="163">
      <c r="O163" t="n">
        <v>162</v>
      </c>
      <c r="P163" t="inlineStr">
        <is>
          <t>23/03/2026</t>
        </is>
      </c>
      <c r="Q163" t="inlineStr">
        <is>
          <t>CD</t>
        </is>
      </c>
      <c r="R163" t="n">
        <v>1178</v>
      </c>
      <c r="S163" t="n">
        <v>1013</v>
      </c>
      <c r="T163" t="n">
        <v>1413</v>
      </c>
    </row>
    <row r="164">
      <c r="O164" t="n">
        <v>163</v>
      </c>
      <c r="P164" t="inlineStr">
        <is>
          <t>24/03/2026</t>
        </is>
      </c>
      <c r="Q164" t="inlineStr">
        <is>
          <t>CN</t>
        </is>
      </c>
      <c r="R164" t="n">
        <v>1451</v>
      </c>
      <c r="S164" t="n">
        <v>1069</v>
      </c>
      <c r="T164" t="n">
        <v>1081</v>
      </c>
    </row>
    <row r="165">
      <c r="O165" t="n">
        <v>164</v>
      </c>
      <c r="P165" t="inlineStr">
        <is>
          <t>24/03/2026</t>
        </is>
      </c>
      <c r="Q165" t="inlineStr">
        <is>
          <t>CD</t>
        </is>
      </c>
      <c r="R165" t="n">
        <v>1207</v>
      </c>
      <c r="S165" t="n">
        <v>1052</v>
      </c>
      <c r="T165" t="n">
        <v>1345</v>
      </c>
    </row>
    <row r="166">
      <c r="O166" t="n">
        <v>165</v>
      </c>
      <c r="P166" t="inlineStr">
        <is>
          <t>25/03/2026</t>
        </is>
      </c>
      <c r="Q166" t="inlineStr">
        <is>
          <t>CN</t>
        </is>
      </c>
      <c r="R166" t="n">
        <v>1561</v>
      </c>
      <c r="S166" t="n">
        <v>1012</v>
      </c>
      <c r="T166" t="n">
        <v>1027</v>
      </c>
    </row>
    <row r="167">
      <c r="O167" t="n">
        <v>166</v>
      </c>
      <c r="P167" t="inlineStr">
        <is>
          <t>25/03/2026</t>
        </is>
      </c>
      <c r="Q167" t="inlineStr">
        <is>
          <t>CD</t>
        </is>
      </c>
      <c r="R167" t="n">
        <v>1269</v>
      </c>
      <c r="S167" t="n">
        <v>983</v>
      </c>
      <c r="T167" t="n">
        <v>1352</v>
      </c>
    </row>
    <row r="168">
      <c r="O168" t="n">
        <v>167</v>
      </c>
      <c r="P168" t="inlineStr">
        <is>
          <t>26/03/2026</t>
        </is>
      </c>
      <c r="Q168" t="inlineStr">
        <is>
          <t>CN</t>
        </is>
      </c>
      <c r="R168" t="n">
        <v>1266</v>
      </c>
      <c r="S168" t="n">
        <v>802</v>
      </c>
      <c r="T168" t="n">
        <v>1535</v>
      </c>
    </row>
    <row r="169">
      <c r="O169" t="n">
        <v>168</v>
      </c>
      <c r="P169" t="inlineStr">
        <is>
          <t>26/03/2026</t>
        </is>
      </c>
      <c r="Q169" t="inlineStr">
        <is>
          <t>CD</t>
        </is>
      </c>
      <c r="R169" t="n">
        <v>1294</v>
      </c>
      <c r="S169" t="n">
        <v>960</v>
      </c>
      <c r="T169" t="n">
        <v>1350</v>
      </c>
    </row>
    <row r="170">
      <c r="O170" t="n">
        <v>169</v>
      </c>
      <c r="P170" t="inlineStr">
        <is>
          <t>27/03/2026</t>
        </is>
      </c>
      <c r="Q170" t="inlineStr">
        <is>
          <t>CN</t>
        </is>
      </c>
      <c r="R170" t="n">
        <v>1562</v>
      </c>
      <c r="S170" t="n">
        <v>999</v>
      </c>
      <c r="T170" t="n">
        <v>1041</v>
      </c>
    </row>
    <row r="171">
      <c r="O171" t="n">
        <v>170</v>
      </c>
      <c r="P171" t="inlineStr">
        <is>
          <t>27/03/2026</t>
        </is>
      </c>
      <c r="Q171" t="inlineStr">
        <is>
          <t>CD</t>
        </is>
      </c>
      <c r="R171" t="n">
        <v>1296</v>
      </c>
      <c r="S171" t="n">
        <v>890</v>
      </c>
      <c r="T171" t="n">
        <v>1419</v>
      </c>
    </row>
    <row r="172">
      <c r="O172" t="n">
        <v>171</v>
      </c>
      <c r="P172" t="inlineStr">
        <is>
          <t>28/03/2026</t>
        </is>
      </c>
      <c r="Q172" t="inlineStr">
        <is>
          <t>CN</t>
        </is>
      </c>
      <c r="R172" t="n">
        <v>1322</v>
      </c>
      <c r="S172" t="n">
        <v>503</v>
      </c>
      <c r="T172" t="n">
        <v>1772</v>
      </c>
    </row>
    <row r="173">
      <c r="O173" t="n">
        <v>172</v>
      </c>
      <c r="P173" t="inlineStr">
        <is>
          <t>28/03/2026</t>
        </is>
      </c>
      <c r="Q173" t="inlineStr">
        <is>
          <t>CD</t>
        </is>
      </c>
      <c r="R173" t="n">
        <v>0</v>
      </c>
      <c r="S173" t="n">
        <v>0</v>
      </c>
      <c r="T173" t="n">
        <v>3600</v>
      </c>
    </row>
    <row r="174">
      <c r="O174" t="n">
        <v>173</v>
      </c>
      <c r="P174" t="inlineStr">
        <is>
          <t>29/03/2026</t>
        </is>
      </c>
      <c r="Q174" t="inlineStr">
        <is>
          <t>CN</t>
        </is>
      </c>
      <c r="R174" t="n">
        <v>0</v>
      </c>
      <c r="S174" t="n">
        <v>0</v>
      </c>
      <c r="T174" t="n">
        <v>3600</v>
      </c>
    </row>
    <row r="175">
      <c r="O175" t="n">
        <v>174</v>
      </c>
      <c r="P175" t="inlineStr">
        <is>
          <t>29/03/2026</t>
        </is>
      </c>
      <c r="Q175" t="inlineStr">
        <is>
          <t>CD</t>
        </is>
      </c>
      <c r="R175" t="n">
        <v>0</v>
      </c>
      <c r="S175" t="n">
        <v>0</v>
      </c>
      <c r="T175" t="n">
        <v>3600</v>
      </c>
    </row>
    <row r="176">
      <c r="O176" t="n">
        <v>175</v>
      </c>
      <c r="P176" t="inlineStr">
        <is>
          <t>30/03/2026</t>
        </is>
      </c>
      <c r="Q176" t="inlineStr">
        <is>
          <t>CN</t>
        </is>
      </c>
      <c r="R176" t="n">
        <v>1409</v>
      </c>
      <c r="S176" t="n">
        <v>833</v>
      </c>
      <c r="T176" t="n">
        <v>1360</v>
      </c>
    </row>
    <row r="177">
      <c r="O177" t="n">
        <v>176</v>
      </c>
      <c r="P177" t="inlineStr">
        <is>
          <t>30/03/2026</t>
        </is>
      </c>
      <c r="Q177" t="inlineStr">
        <is>
          <t>CD</t>
        </is>
      </c>
      <c r="R177" t="n">
        <v>1729</v>
      </c>
      <c r="S177" t="n">
        <v>1051</v>
      </c>
      <c r="T177" t="n">
        <v>821</v>
      </c>
    </row>
    <row r="178">
      <c r="O178" t="n">
        <v>177</v>
      </c>
      <c r="P178" t="inlineStr">
        <is>
          <t>31/03/2026</t>
        </is>
      </c>
      <c r="Q178" t="inlineStr">
        <is>
          <t>CN</t>
        </is>
      </c>
      <c r="R178" t="n">
        <v>1348</v>
      </c>
      <c r="S178" t="n">
        <v>742</v>
      </c>
      <c r="T178" t="n">
        <v>1515</v>
      </c>
    </row>
    <row r="179">
      <c r="O179" t="n">
        <v>178</v>
      </c>
      <c r="P179" t="inlineStr">
        <is>
          <t>31/03/2026</t>
        </is>
      </c>
      <c r="Q179" t="inlineStr">
        <is>
          <t>CD</t>
        </is>
      </c>
      <c r="R179" t="n">
        <v>1455</v>
      </c>
      <c r="S179" t="n">
        <v>1123</v>
      </c>
      <c r="T179" t="n">
        <v>1024</v>
      </c>
    </row>
    <row r="180">
      <c r="O180" t="n">
        <v>179</v>
      </c>
      <c r="P180" t="inlineStr">
        <is>
          <t>01/04/2026</t>
        </is>
      </c>
      <c r="Q180" t="inlineStr">
        <is>
          <t>CN</t>
        </is>
      </c>
      <c r="R180" t="n">
        <v>1189</v>
      </c>
      <c r="S180" t="n">
        <v>892</v>
      </c>
      <c r="T180" t="n">
        <v>1521</v>
      </c>
    </row>
    <row r="181">
      <c r="O181" t="n">
        <v>180</v>
      </c>
      <c r="P181" t="inlineStr">
        <is>
          <t>01/04/2026</t>
        </is>
      </c>
      <c r="Q181" t="inlineStr">
        <is>
          <t>CD</t>
        </is>
      </c>
      <c r="R181" t="n">
        <v>1217</v>
      </c>
      <c r="S181" t="n">
        <v>1173</v>
      </c>
      <c r="T181" t="n">
        <v>1213</v>
      </c>
    </row>
    <row r="182">
      <c r="O182" t="n">
        <v>181</v>
      </c>
      <c r="P182" t="inlineStr">
        <is>
          <t>02/04/2026</t>
        </is>
      </c>
      <c r="Q182" t="inlineStr">
        <is>
          <t>CN</t>
        </is>
      </c>
      <c r="R182" t="n">
        <v>1425</v>
      </c>
      <c r="S182" t="n">
        <v>863</v>
      </c>
      <c r="T182" t="n">
        <v>1317</v>
      </c>
    </row>
    <row r="183">
      <c r="O183" t="n">
        <v>182</v>
      </c>
      <c r="P183" t="inlineStr">
        <is>
          <t>02/04/2026</t>
        </is>
      </c>
      <c r="Q183" t="inlineStr">
        <is>
          <t>CD</t>
        </is>
      </c>
      <c r="R183" t="n">
        <v>1144</v>
      </c>
      <c r="S183" t="n">
        <v>1079</v>
      </c>
      <c r="T183" t="n">
        <v>1379</v>
      </c>
    </row>
    <row r="184">
      <c r="O184" t="n">
        <v>183</v>
      </c>
      <c r="P184" t="inlineStr">
        <is>
          <t>03/04/2026</t>
        </is>
      </c>
      <c r="Q184" t="inlineStr">
        <is>
          <t>CN</t>
        </is>
      </c>
      <c r="R184" t="n">
        <v>1086</v>
      </c>
      <c r="S184" t="n">
        <v>1002</v>
      </c>
      <c r="T184" t="n">
        <v>1515</v>
      </c>
    </row>
    <row r="185">
      <c r="O185" t="n">
        <v>184</v>
      </c>
      <c r="P185" t="inlineStr">
        <is>
          <t>03/04/2026</t>
        </is>
      </c>
      <c r="Q185" t="inlineStr">
        <is>
          <t>CD</t>
        </is>
      </c>
      <c r="R185" t="n">
        <v>1197</v>
      </c>
      <c r="S185" t="n">
        <v>1045</v>
      </c>
      <c r="T185" t="n">
        <v>1360</v>
      </c>
    </row>
    <row r="186">
      <c r="O186" t="n">
        <v>185</v>
      </c>
      <c r="P186" t="inlineStr">
        <is>
          <t>04/04/2026</t>
        </is>
      </c>
      <c r="Q186" t="inlineStr">
        <is>
          <t>CN</t>
        </is>
      </c>
      <c r="R186" t="n">
        <v>839</v>
      </c>
      <c r="S186" t="n">
        <v>630</v>
      </c>
      <c r="T186" t="n">
        <v>2134</v>
      </c>
    </row>
    <row r="187">
      <c r="O187" t="n">
        <v>186</v>
      </c>
      <c r="P187" t="inlineStr">
        <is>
          <t>04/04/2026</t>
        </is>
      </c>
      <c r="Q187" t="inlineStr">
        <is>
          <t>CD</t>
        </is>
      </c>
      <c r="R187" t="n">
        <v>968</v>
      </c>
      <c r="S187" t="n">
        <v>829</v>
      </c>
      <c r="T187" t="n">
        <v>1804</v>
      </c>
    </row>
    <row r="188">
      <c r="O188" t="n">
        <v>187</v>
      </c>
      <c r="P188" t="inlineStr">
        <is>
          <t>05/04/2026</t>
        </is>
      </c>
      <c r="Q188" t="inlineStr">
        <is>
          <t>CN</t>
        </is>
      </c>
      <c r="R188" t="n">
        <v>0</v>
      </c>
      <c r="S188" t="n">
        <v>0</v>
      </c>
      <c r="T188" t="n">
        <v>3600</v>
      </c>
    </row>
    <row r="189">
      <c r="O189" t="n">
        <v>188</v>
      </c>
      <c r="P189" t="inlineStr">
        <is>
          <t>05/04/2026</t>
        </is>
      </c>
      <c r="Q189" t="inlineStr">
        <is>
          <t>CD</t>
        </is>
      </c>
      <c r="R189" t="n">
        <v>0</v>
      </c>
      <c r="S189" t="n">
        <v>0</v>
      </c>
      <c r="T189" t="n">
        <v>3600</v>
      </c>
    </row>
    <row r="190">
      <c r="O190" t="n">
        <v>189</v>
      </c>
      <c r="P190" t="inlineStr">
        <is>
          <t>06/04/2026</t>
        </is>
      </c>
      <c r="Q190" t="inlineStr">
        <is>
          <t>CN</t>
        </is>
      </c>
      <c r="R190" t="n">
        <v>1143</v>
      </c>
      <c r="S190" t="n">
        <v>1034</v>
      </c>
      <c r="T190" t="n">
        <v>1422</v>
      </c>
    </row>
    <row r="191">
      <c r="O191" t="n">
        <v>190</v>
      </c>
      <c r="P191" t="inlineStr">
        <is>
          <t>06/04/2026</t>
        </is>
      </c>
      <c r="Q191" t="inlineStr">
        <is>
          <t>CD</t>
        </is>
      </c>
      <c r="R191" t="n">
        <v>1059</v>
      </c>
      <c r="S191" t="n">
        <v>1162</v>
      </c>
      <c r="T191" t="n">
        <v>1381</v>
      </c>
    </row>
    <row r="192">
      <c r="O192" t="n">
        <v>191</v>
      </c>
      <c r="P192" t="inlineStr">
        <is>
          <t>07/04/2026</t>
        </is>
      </c>
      <c r="Q192" t="inlineStr">
        <is>
          <t>CN</t>
        </is>
      </c>
      <c r="R192" t="n">
        <v>1096</v>
      </c>
      <c r="S192" t="n">
        <v>964</v>
      </c>
      <c r="T192" t="n">
        <v>1540</v>
      </c>
    </row>
    <row r="193">
      <c r="O193" t="n">
        <v>192</v>
      </c>
      <c r="P193" t="inlineStr">
        <is>
          <t>07/04/2026</t>
        </is>
      </c>
      <c r="Q193" t="inlineStr">
        <is>
          <t>CD</t>
        </is>
      </c>
      <c r="R193" t="n">
        <v>1278</v>
      </c>
      <c r="S193" t="n">
        <v>964</v>
      </c>
      <c r="T193" t="n">
        <v>1364</v>
      </c>
    </row>
    <row r="194">
      <c r="O194" t="n">
        <v>193</v>
      </c>
      <c r="P194" t="inlineStr">
        <is>
          <t>08/04/2026</t>
        </is>
      </c>
      <c r="Q194" t="inlineStr">
        <is>
          <t>CN</t>
        </is>
      </c>
      <c r="R194" t="n">
        <v>1151</v>
      </c>
      <c r="S194" t="n">
        <v>913</v>
      </c>
      <c r="T194" t="n">
        <v>1537</v>
      </c>
    </row>
    <row r="195">
      <c r="O195" t="n">
        <v>194</v>
      </c>
      <c r="P195" t="inlineStr">
        <is>
          <t>08/04/2026</t>
        </is>
      </c>
      <c r="Q195" t="inlineStr">
        <is>
          <t>CD</t>
        </is>
      </c>
      <c r="R195" t="n">
        <v>1165</v>
      </c>
      <c r="S195" t="n">
        <v>1083</v>
      </c>
      <c r="T195" t="n">
        <v>1353</v>
      </c>
    </row>
    <row r="196">
      <c r="O196" t="n">
        <v>195</v>
      </c>
      <c r="P196" t="inlineStr">
        <is>
          <t>09/04/2026</t>
        </is>
      </c>
      <c r="Q196" t="inlineStr">
        <is>
          <t>CN</t>
        </is>
      </c>
      <c r="R196" t="n">
        <v>1178</v>
      </c>
      <c r="S196" t="n">
        <v>889</v>
      </c>
      <c r="T196" t="n">
        <v>1533</v>
      </c>
    </row>
    <row r="197">
      <c r="O197" t="n">
        <v>196</v>
      </c>
      <c r="P197" t="inlineStr">
        <is>
          <t>09/04/2026</t>
        </is>
      </c>
      <c r="Q197" t="inlineStr">
        <is>
          <t>CD</t>
        </is>
      </c>
      <c r="R197" t="n">
        <v>1374</v>
      </c>
      <c r="S197" t="n">
        <v>861</v>
      </c>
      <c r="T197" t="n">
        <v>1370</v>
      </c>
    </row>
    <row r="198">
      <c r="O198" t="n">
        <v>197</v>
      </c>
      <c r="P198" t="inlineStr">
        <is>
          <t>10/04/2026</t>
        </is>
      </c>
      <c r="Q198" t="inlineStr">
        <is>
          <t>CN</t>
        </is>
      </c>
      <c r="R198" t="n">
        <v>1206</v>
      </c>
      <c r="S198" t="n">
        <v>861</v>
      </c>
      <c r="T198" t="n">
        <v>1533</v>
      </c>
    </row>
    <row r="199">
      <c r="O199" t="n">
        <v>198</v>
      </c>
      <c r="P199" t="inlineStr">
        <is>
          <t>10/04/2026</t>
        </is>
      </c>
      <c r="Q199" t="inlineStr">
        <is>
          <t>CD</t>
        </is>
      </c>
      <c r="R199" t="n">
        <v>1337</v>
      </c>
      <c r="S199" t="n">
        <v>674</v>
      </c>
      <c r="T199" t="n">
        <v>1592</v>
      </c>
    </row>
    <row r="200">
      <c r="O200" t="n">
        <v>199</v>
      </c>
      <c r="P200" t="inlineStr">
        <is>
          <t>11/04/2026</t>
        </is>
      </c>
      <c r="Q200" t="inlineStr">
        <is>
          <t>CN</t>
        </is>
      </c>
      <c r="R200" t="n">
        <v>813</v>
      </c>
      <c r="S200" t="n">
        <v>653</v>
      </c>
      <c r="T200" t="n">
        <v>2131</v>
      </c>
    </row>
    <row r="201">
      <c r="O201" t="n">
        <v>200</v>
      </c>
      <c r="P201" t="inlineStr">
        <is>
          <t>11/04/2026</t>
        </is>
      </c>
      <c r="Q201" t="inlineStr">
        <is>
          <t>CD</t>
        </is>
      </c>
      <c r="R201" t="n">
        <v>1224</v>
      </c>
      <c r="S201" t="n">
        <v>1140</v>
      </c>
      <c r="T201" t="n">
        <v>1240</v>
      </c>
    </row>
    <row r="202">
      <c r="O202" t="n">
        <v>201</v>
      </c>
      <c r="P202" t="inlineStr">
        <is>
          <t>12/04/2026</t>
        </is>
      </c>
      <c r="Q202" t="inlineStr">
        <is>
          <t>CN</t>
        </is>
      </c>
      <c r="R202" t="n">
        <v>0</v>
      </c>
      <c r="S202" t="n">
        <v>0</v>
      </c>
      <c r="T202" t="n">
        <v>3600</v>
      </c>
    </row>
    <row r="203">
      <c r="O203" t="n">
        <v>202</v>
      </c>
      <c r="P203" t="inlineStr">
        <is>
          <t>12/04/2026</t>
        </is>
      </c>
      <c r="Q203" t="inlineStr">
        <is>
          <t>CD</t>
        </is>
      </c>
      <c r="R203" t="n">
        <v>0</v>
      </c>
      <c r="S203" t="n">
        <v>0</v>
      </c>
      <c r="T203" t="n">
        <v>3600</v>
      </c>
    </row>
    <row r="204">
      <c r="O204" t="n">
        <v>203</v>
      </c>
      <c r="P204" t="inlineStr">
        <is>
          <t>13/04/2026</t>
        </is>
      </c>
      <c r="Q204" t="inlineStr">
        <is>
          <t>CN</t>
        </is>
      </c>
      <c r="R204" t="n">
        <v>1310</v>
      </c>
      <c r="S204" t="n">
        <v>782</v>
      </c>
      <c r="T204" t="n">
        <v>1511</v>
      </c>
    </row>
    <row r="205">
      <c r="O205" t="n">
        <v>204</v>
      </c>
      <c r="P205" t="inlineStr">
        <is>
          <t>13/04/2026</t>
        </is>
      </c>
      <c r="Q205" t="inlineStr">
        <is>
          <t>CD</t>
        </is>
      </c>
      <c r="R205" t="n">
        <v>1446</v>
      </c>
      <c r="S205" t="n">
        <v>845</v>
      </c>
      <c r="T205" t="n">
        <v>1314</v>
      </c>
    </row>
    <row r="206">
      <c r="O206" t="n">
        <v>205</v>
      </c>
      <c r="P206" t="inlineStr">
        <is>
          <t>14/04/2026</t>
        </is>
      </c>
      <c r="Q206" t="inlineStr">
        <is>
          <t>CN</t>
        </is>
      </c>
      <c r="R206" t="n">
        <v>1494</v>
      </c>
      <c r="S206" t="n">
        <v>634</v>
      </c>
      <c r="T206" t="n">
        <v>1473</v>
      </c>
    </row>
    <row r="207">
      <c r="O207" t="n">
        <v>206</v>
      </c>
      <c r="P207" t="inlineStr">
        <is>
          <t>14/04/2026</t>
        </is>
      </c>
      <c r="Q207" t="inlineStr">
        <is>
          <t>CD</t>
        </is>
      </c>
      <c r="R207" t="n">
        <v>1910</v>
      </c>
      <c r="S207" t="n">
        <v>833</v>
      </c>
      <c r="T207" t="n">
        <v>856</v>
      </c>
    </row>
    <row r="208">
      <c r="O208" t="n">
        <v>207</v>
      </c>
      <c r="P208" t="inlineStr">
        <is>
          <t>15/04/2026</t>
        </is>
      </c>
      <c r="Q208" t="inlineStr">
        <is>
          <t>CN</t>
        </is>
      </c>
      <c r="R208" t="n">
        <v>1254</v>
      </c>
      <c r="S208" t="n">
        <v>811</v>
      </c>
      <c r="T208" t="n">
        <v>1536</v>
      </c>
    </row>
    <row r="209">
      <c r="O209" t="n">
        <v>208</v>
      </c>
      <c r="P209" t="inlineStr">
        <is>
          <t>15/04/2026</t>
        </is>
      </c>
      <c r="Q209" t="inlineStr">
        <is>
          <t>CD</t>
        </is>
      </c>
      <c r="R209" t="n">
        <v>1717</v>
      </c>
      <c r="S209" t="n">
        <v>1002</v>
      </c>
      <c r="T209" t="n">
        <v>882</v>
      </c>
    </row>
    <row r="210">
      <c r="O210" t="n">
        <v>209</v>
      </c>
      <c r="P210" t="inlineStr">
        <is>
          <t>16/04/2026</t>
        </is>
      </c>
      <c r="Q210" t="inlineStr">
        <is>
          <t>CN</t>
        </is>
      </c>
      <c r="R210" t="n">
        <v>1279</v>
      </c>
      <c r="S210" t="n">
        <v>864</v>
      </c>
      <c r="T210" t="n">
        <v>1456</v>
      </c>
    </row>
    <row r="211">
      <c r="O211" t="n">
        <v>210</v>
      </c>
      <c r="P211" t="inlineStr">
        <is>
          <t>16/04/2026</t>
        </is>
      </c>
      <c r="Q211" t="inlineStr">
        <is>
          <t>CD</t>
        </is>
      </c>
      <c r="R211" t="n">
        <v>1171</v>
      </c>
      <c r="S211" t="n">
        <v>1128</v>
      </c>
      <c r="T211" t="n">
        <v>1302</v>
      </c>
    </row>
    <row r="212">
      <c r="O212" t="n">
        <v>211</v>
      </c>
      <c r="P212" t="inlineStr">
        <is>
          <t>17/04/2026</t>
        </is>
      </c>
      <c r="Q212" t="inlineStr">
        <is>
          <t>CN</t>
        </is>
      </c>
      <c r="R212" t="n">
        <v>1397</v>
      </c>
      <c r="S212" t="n">
        <v>761</v>
      </c>
      <c r="T212" t="n">
        <v>1444</v>
      </c>
    </row>
    <row r="213">
      <c r="O213" t="n">
        <v>212</v>
      </c>
      <c r="P213" t="inlineStr">
        <is>
          <t>17/04/2026</t>
        </is>
      </c>
      <c r="Q213" t="inlineStr">
        <is>
          <t>CD</t>
        </is>
      </c>
      <c r="R213" t="n">
        <v>1306</v>
      </c>
      <c r="S213" t="n">
        <v>918</v>
      </c>
      <c r="T213" t="n">
        <v>1377</v>
      </c>
    </row>
    <row r="214">
      <c r="O214" t="n">
        <v>213</v>
      </c>
      <c r="P214" t="inlineStr">
        <is>
          <t>18/04/2026</t>
        </is>
      </c>
      <c r="Q214" t="inlineStr">
        <is>
          <t>CN</t>
        </is>
      </c>
      <c r="R214" t="n">
        <v>1211</v>
      </c>
      <c r="S214" t="n">
        <v>795</v>
      </c>
      <c r="T214" t="n">
        <v>1597</v>
      </c>
    </row>
    <row r="215">
      <c r="O215" t="n">
        <v>214</v>
      </c>
      <c r="P215" t="inlineStr">
        <is>
          <t>18/04/2026</t>
        </is>
      </c>
      <c r="Q215" t="inlineStr">
        <is>
          <t>CD</t>
        </is>
      </c>
      <c r="R215" t="n">
        <v>1002</v>
      </c>
      <c r="S215" t="n">
        <v>844</v>
      </c>
      <c r="T215" t="n">
        <v>1752</v>
      </c>
    </row>
    <row r="216">
      <c r="O216" t="n">
        <v>215</v>
      </c>
      <c r="P216" t="inlineStr">
        <is>
          <t>19/04/2026</t>
        </is>
      </c>
      <c r="Q216" t="inlineStr">
        <is>
          <t>CN</t>
        </is>
      </c>
      <c r="R216" t="n">
        <v>0</v>
      </c>
      <c r="S216" t="n">
        <v>0</v>
      </c>
      <c r="T216" t="n">
        <v>3600</v>
      </c>
    </row>
    <row r="217">
      <c r="O217" t="n">
        <v>216</v>
      </c>
      <c r="P217" t="inlineStr">
        <is>
          <t>19/04/2026</t>
        </is>
      </c>
      <c r="Q217" t="inlineStr">
        <is>
          <t>CD</t>
        </is>
      </c>
      <c r="R217" t="n">
        <v>0</v>
      </c>
      <c r="S217" t="n">
        <v>0</v>
      </c>
      <c r="T217" t="n">
        <v>3600</v>
      </c>
    </row>
    <row r="218">
      <c r="O218" t="n">
        <v>217</v>
      </c>
      <c r="P218" t="inlineStr">
        <is>
          <t>20/04/2026</t>
        </is>
      </c>
      <c r="Q218" t="inlineStr">
        <is>
          <t>CN</t>
        </is>
      </c>
      <c r="R218" t="n">
        <v>1139</v>
      </c>
      <c r="S218" t="n">
        <v>929</v>
      </c>
      <c r="T218" t="n">
        <v>1534</v>
      </c>
    </row>
    <row r="219">
      <c r="O219" t="n">
        <v>218</v>
      </c>
      <c r="P219" t="inlineStr">
        <is>
          <t>20/04/2026</t>
        </is>
      </c>
      <c r="Q219" t="inlineStr">
        <is>
          <t>CD</t>
        </is>
      </c>
      <c r="R219" t="n">
        <v>1140</v>
      </c>
      <c r="S219" t="n">
        <v>1097</v>
      </c>
      <c r="T219" t="n">
        <v>1365</v>
      </c>
    </row>
    <row r="220">
      <c r="O220" t="n">
        <v>219</v>
      </c>
      <c r="P220" t="inlineStr">
        <is>
          <t>21/04/2026</t>
        </is>
      </c>
      <c r="Q220" t="inlineStr">
        <is>
          <t>CN</t>
        </is>
      </c>
      <c r="R220" t="n">
        <v>1200</v>
      </c>
      <c r="S220" t="n">
        <v>848</v>
      </c>
      <c r="T220" t="n">
        <v>1554</v>
      </c>
    </row>
    <row r="221">
      <c r="O221" t="n">
        <v>220</v>
      </c>
      <c r="P221" t="inlineStr">
        <is>
          <t>21/04/2026</t>
        </is>
      </c>
      <c r="Q221" t="inlineStr">
        <is>
          <t>CD</t>
        </is>
      </c>
      <c r="R221" t="n">
        <v>1334</v>
      </c>
      <c r="S221" t="n">
        <v>912</v>
      </c>
      <c r="T221" t="n">
        <v>1358</v>
      </c>
    </row>
    <row r="222">
      <c r="O222" t="n">
        <v>221</v>
      </c>
      <c r="P222" t="inlineStr">
        <is>
          <t>22/04/2026</t>
        </is>
      </c>
      <c r="Q222" t="inlineStr">
        <is>
          <t>CN</t>
        </is>
      </c>
      <c r="R222" t="n">
        <v>1218</v>
      </c>
      <c r="S222" t="n">
        <v>877</v>
      </c>
      <c r="T222" t="n">
        <v>1506</v>
      </c>
    </row>
    <row r="223">
      <c r="O223" t="n">
        <v>222</v>
      </c>
      <c r="P223" t="inlineStr">
        <is>
          <t>22/04/2026</t>
        </is>
      </c>
      <c r="Q223" t="inlineStr">
        <is>
          <t>CD</t>
        </is>
      </c>
      <c r="R223" t="n">
        <v>1361</v>
      </c>
      <c r="S223" t="n">
        <v>918</v>
      </c>
      <c r="T223" t="n">
        <v>1325</v>
      </c>
    </row>
    <row r="224">
      <c r="O224" t="n">
        <v>223</v>
      </c>
      <c r="P224" t="inlineStr">
        <is>
          <t>23/04/2026</t>
        </is>
      </c>
      <c r="Q224" t="inlineStr">
        <is>
          <t>CN</t>
        </is>
      </c>
      <c r="R224" t="n">
        <v>1276</v>
      </c>
      <c r="S224" t="n">
        <v>796</v>
      </c>
      <c r="T224" t="n">
        <v>1531</v>
      </c>
    </row>
    <row r="225">
      <c r="O225" t="n">
        <v>224</v>
      </c>
      <c r="P225" t="inlineStr">
        <is>
          <t>23/04/2026</t>
        </is>
      </c>
      <c r="Q225" t="inlineStr">
        <is>
          <t>CD</t>
        </is>
      </c>
      <c r="R225" t="n">
        <v>1558</v>
      </c>
      <c r="S225" t="n">
        <v>621</v>
      </c>
      <c r="T225" t="n">
        <v>1428</v>
      </c>
    </row>
    <row r="226">
      <c r="O226" t="n">
        <v>225</v>
      </c>
      <c r="P226" t="inlineStr">
        <is>
          <t>24/04/2026</t>
        </is>
      </c>
      <c r="Q226" t="inlineStr">
        <is>
          <t>CN</t>
        </is>
      </c>
      <c r="R226" t="n">
        <v>1592</v>
      </c>
      <c r="S226" t="n">
        <v>952</v>
      </c>
      <c r="T226" t="n">
        <v>1059</v>
      </c>
    </row>
    <row r="227">
      <c r="O227" t="n">
        <v>226</v>
      </c>
      <c r="P227" t="inlineStr">
        <is>
          <t>24/04/2026</t>
        </is>
      </c>
      <c r="Q227" t="inlineStr">
        <is>
          <t>CD</t>
        </is>
      </c>
      <c r="R227" t="n">
        <v>1345</v>
      </c>
      <c r="S227" t="n">
        <v>923</v>
      </c>
      <c r="T227" t="n">
        <v>1336</v>
      </c>
    </row>
    <row r="228">
      <c r="O228" t="n">
        <v>227</v>
      </c>
      <c r="P228" t="inlineStr">
        <is>
          <t>25/04/2026</t>
        </is>
      </c>
      <c r="Q228" t="inlineStr">
        <is>
          <t>CN</t>
        </is>
      </c>
      <c r="R228" t="n">
        <v>1091</v>
      </c>
      <c r="S228" t="n">
        <v>864</v>
      </c>
      <c r="T228" t="n">
        <v>1649</v>
      </c>
    </row>
    <row r="229">
      <c r="O229" t="n">
        <v>228</v>
      </c>
      <c r="P229" t="inlineStr">
        <is>
          <t>25/04/2026</t>
        </is>
      </c>
      <c r="Q229" t="inlineStr">
        <is>
          <t>CD</t>
        </is>
      </c>
      <c r="R229" t="n">
        <v>1147</v>
      </c>
      <c r="S229" t="n">
        <v>731</v>
      </c>
      <c r="T229" t="n">
        <v>1725</v>
      </c>
    </row>
    <row r="230">
      <c r="O230" t="n">
        <v>229</v>
      </c>
      <c r="P230" t="inlineStr">
        <is>
          <t>26/04/2026</t>
        </is>
      </c>
      <c r="Q230" t="inlineStr">
        <is>
          <t>CN</t>
        </is>
      </c>
      <c r="R230" t="n">
        <v>0</v>
      </c>
      <c r="S230" t="n">
        <v>0</v>
      </c>
      <c r="T230" t="n">
        <v>3600</v>
      </c>
    </row>
    <row r="231">
      <c r="O231" t="n">
        <v>230</v>
      </c>
      <c r="P231" t="inlineStr">
        <is>
          <t>26/04/2026</t>
        </is>
      </c>
      <c r="Q231" t="inlineStr">
        <is>
          <t>CD</t>
        </is>
      </c>
      <c r="R231" t="n">
        <v>0</v>
      </c>
      <c r="S231" t="n">
        <v>0</v>
      </c>
      <c r="T231" t="n">
        <v>3600</v>
      </c>
    </row>
    <row r="232">
      <c r="O232" t="n">
        <v>231</v>
      </c>
      <c r="P232" t="inlineStr">
        <is>
          <t>27/04/2026</t>
        </is>
      </c>
      <c r="Q232" t="inlineStr">
        <is>
          <t>CN</t>
        </is>
      </c>
      <c r="R232" t="n">
        <v>1288</v>
      </c>
      <c r="S232" t="n">
        <v>823</v>
      </c>
      <c r="T232" t="n">
        <v>1493</v>
      </c>
    </row>
    <row r="233">
      <c r="O233" t="n">
        <v>232</v>
      </c>
      <c r="P233" t="inlineStr">
        <is>
          <t>27/04/2026</t>
        </is>
      </c>
      <c r="Q233" t="inlineStr">
        <is>
          <t>CD</t>
        </is>
      </c>
      <c r="R233" t="n">
        <v>1221</v>
      </c>
      <c r="S233" t="n">
        <v>1043</v>
      </c>
      <c r="T233" t="n">
        <v>1336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T233"/>
  <sheetViews>
    <sheetView tabSelected="1" topLeftCell="F37" zoomScaleNormal="100" workbookViewId="0">
      <selection activeCell="L63" sqref="L63"/>
    </sheetView>
  </sheetViews>
  <sheetFormatPr baseColWidth="8" defaultRowHeight="14.75"/>
  <cols>
    <col width="3" bestFit="1" customWidth="1" min="1" max="1"/>
    <col width="10.86328125" bestFit="1" customWidth="1" min="2" max="3"/>
    <col width="34.08984375" bestFit="1" customWidth="1" min="4" max="4"/>
    <col width="30.54296875" bestFit="1" customWidth="1" min="5" max="5"/>
    <col width="22.6796875" bestFit="1" customWidth="1" min="6" max="6"/>
    <col width="11.6796875" bestFit="1" customWidth="1" min="9" max="10"/>
    <col width="8.31640625" bestFit="1" customWidth="1" min="11" max="11"/>
    <col width="11.54296875" bestFit="1" customWidth="1" min="12" max="12"/>
    <col width="10" bestFit="1" customWidth="1" min="13" max="13"/>
  </cols>
  <sheetData>
    <row r="1" customFormat="1" s="2">
      <c r="A1" s="3" t="inlineStr">
        <is>
          <t>ID</t>
        </is>
      </c>
      <c r="B1" s="3" t="inlineStr">
        <is>
          <t>Ngày tháng</t>
        </is>
      </c>
      <c r="C1" s="3" t="inlineStr">
        <is>
          <t>Ca làm việc</t>
        </is>
      </c>
      <c r="D1" s="3" t="inlineStr">
        <is>
          <t>Thời gian hoạt động không tải (phút)</t>
        </is>
      </c>
      <c r="E1" s="3" t="inlineStr">
        <is>
          <t>Thời gian hoạt động có tải (phút)</t>
        </is>
      </c>
      <c r="F1" s="3" t="inlineStr">
        <is>
          <t>Thời gian tắt máy (phút)</t>
        </is>
      </c>
      <c r="H1" s="3" t="inlineStr">
        <is>
          <t>Ngày - Ca</t>
        </is>
      </c>
      <c r="I1" s="3" t="inlineStr">
        <is>
          <t>Mục Tiêu C1</t>
        </is>
      </c>
      <c r="J1" s="3" t="inlineStr">
        <is>
          <t>Mục Tiêu C2</t>
        </is>
      </c>
      <c r="K1" s="3" t="inlineStr">
        <is>
          <t>% Có Tải</t>
        </is>
      </c>
      <c r="L1" s="3" t="inlineStr">
        <is>
          <t>% Không Tải</t>
        </is>
      </c>
      <c r="M1" s="3" t="inlineStr">
        <is>
          <t>% Tắt Máy</t>
        </is>
      </c>
    </row>
    <row r="2">
      <c r="A2" t="n">
        <v>1</v>
      </c>
      <c r="B2" t="inlineStr">
        <is>
          <t>01/04/2026</t>
        </is>
      </c>
      <c r="C2" t="inlineStr">
        <is>
          <t>CN</t>
        </is>
      </c>
      <c r="D2" t="n">
        <v>524</v>
      </c>
      <c r="E2" t="n">
        <v>460</v>
      </c>
      <c r="F2" t="n">
        <v>1183</v>
      </c>
      <c r="H2" t="inlineStr">
        <is>
          <t>T1</t>
        </is>
      </c>
      <c r="I2" s="1" t="n">
        <v>0.21</v>
      </c>
      <c r="J2" s="1" t="n">
        <v>0.296470588235294</v>
      </c>
      <c r="K2" s="1">
        <f>IFERROR(SUMIFS(S:S,P:P,"*/01/2026")/(SUMIFS(R:R,P:P,"*/01/2026")+SUMIFS(S:S,P:P,"*/01/2026")+SUMIFS(T:T,P:P,"*/01/2026")),"")</f>
        <v/>
      </c>
      <c r="L2" s="1">
        <f>IFERROR(SUMIFS(R:R,P:P,"*/01/2026")/(SUMIFS(R:R,P:P,"*/01/2026")+SUMIFS(S:S,P:P,"*/01/2026")+SUMIFS(T:T,P:P,"*/01/2026")),"")</f>
        <v/>
      </c>
      <c r="M2" s="1">
        <f>IFERROR(SUMIFS(T:T,P:P,"*/01/2026")/(SUMIFS(R:R,P:P,"*/01/2026")+SUMIFS(S:S,P:P,"*/01/2026")+SUMIFS(T:T,P:P,"*/01/2026")),"")</f>
        <v/>
      </c>
      <c r="O2" t="n">
        <v>1</v>
      </c>
      <c r="P2" t="inlineStr">
        <is>
          <t>01/01/2026</t>
        </is>
      </c>
      <c r="Q2" t="inlineStr">
        <is>
          <t>CN</t>
        </is>
      </c>
      <c r="R2" t="n">
        <v>0</v>
      </c>
      <c r="S2" t="n">
        <v>0</v>
      </c>
      <c r="T2" t="n">
        <v>2160</v>
      </c>
    </row>
    <row r="3">
      <c r="A3" t="n">
        <v>2</v>
      </c>
      <c r="B3" t="inlineStr">
        <is>
          <t>01/04/2026</t>
        </is>
      </c>
      <c r="C3" t="inlineStr">
        <is>
          <t>CD</t>
        </is>
      </c>
      <c r="D3" t="n">
        <v>331</v>
      </c>
      <c r="E3" t="n">
        <v>436</v>
      </c>
      <c r="F3" t="n">
        <v>1401</v>
      </c>
      <c r="H3" t="inlineStr">
        <is>
          <t>T2</t>
        </is>
      </c>
      <c r="I3" s="1" t="n">
        <v>0.21</v>
      </c>
      <c r="J3" s="1" t="n">
        <v>0.296470588235294</v>
      </c>
      <c r="K3" s="1">
        <f>IFERROR(SUMIFS(S:S,P:P,"*/02/2026")/(SUMIFS(R:R,P:P,"*/02/2026")+SUMIFS(S:S,P:P,"*/02/2026")+SUMIFS(T:T,P:P,"*/02/2026")),"")</f>
        <v/>
      </c>
      <c r="L3" s="1">
        <f>IFERROR(SUMIFS(R:R,P:P,"*/02/2026")/(SUMIFS(R:R,P:P,"*/02/2026")+SUMIFS(S:S,P:P,"*/02/2026")+SUMIFS(T:T,P:P,"*/02/2026")),"")</f>
        <v/>
      </c>
      <c r="M3" s="1">
        <f>IFERROR(SUMIFS(T:T,P:P,"*/02/2026")/(SUMIFS(R:R,P:P,"*/02/2026")+SUMIFS(S:S,P:P,"*/02/2026")+SUMIFS(T:T,P:P,"*/02/2026")),"")</f>
        <v/>
      </c>
      <c r="O3" t="n">
        <v>2</v>
      </c>
      <c r="P3" t="inlineStr">
        <is>
          <t>01/01/2026</t>
        </is>
      </c>
      <c r="Q3" t="inlineStr">
        <is>
          <t>CD</t>
        </is>
      </c>
      <c r="R3" t="n">
        <v>44</v>
      </c>
      <c r="S3" t="n">
        <v>62</v>
      </c>
      <c r="T3" t="n">
        <v>2052</v>
      </c>
    </row>
    <row r="4">
      <c r="A4" t="n">
        <v>3</v>
      </c>
      <c r="B4" t="inlineStr">
        <is>
          <t>02/04/2026</t>
        </is>
      </c>
      <c r="C4" t="inlineStr">
        <is>
          <t>CN</t>
        </is>
      </c>
      <c r="D4" t="n">
        <v>499</v>
      </c>
      <c r="E4" t="n">
        <v>411</v>
      </c>
      <c r="F4" t="n">
        <v>1258</v>
      </c>
      <c r="H4" t="inlineStr">
        <is>
          <t>T3</t>
        </is>
      </c>
      <c r="I4" s="1" t="n">
        <v>0.21</v>
      </c>
      <c r="J4" s="1" t="n">
        <v>0.296470588235294</v>
      </c>
      <c r="K4" s="1">
        <f>IFERROR(SUMIFS(S:S,P:P,"*/03/2026")/(SUMIFS(R:R,P:P,"*/03/2026")+SUMIFS(S:S,P:P,"*/03/2026")+SUMIFS(T:T,P:P,"*/03/2026")),"")</f>
        <v/>
      </c>
      <c r="L4" s="1">
        <f>IFERROR(SUMIFS(R:R,P:P,"*/03/2026")/(SUMIFS(R:R,P:P,"*/03/2026")+SUMIFS(S:S,P:P,"*/03/2026")+SUMIFS(T:T,P:P,"*/03/2026")),"")</f>
        <v/>
      </c>
      <c r="M4" s="1">
        <f>IFERROR(SUMIFS(T:T,P:P,"*/03/2026")/(SUMIFS(R:R,P:P,"*/03/2026")+SUMIFS(S:S,P:P,"*/03/2026")+SUMIFS(T:T,P:P,"*/03/2026")),"")</f>
        <v/>
      </c>
      <c r="O4" t="n">
        <v>3</v>
      </c>
      <c r="P4" t="inlineStr">
        <is>
          <t>02/01/2026</t>
        </is>
      </c>
      <c r="Q4" t="inlineStr">
        <is>
          <t>CN</t>
        </is>
      </c>
      <c r="R4" t="n">
        <v>632</v>
      </c>
      <c r="S4" t="n">
        <v>497</v>
      </c>
      <c r="T4" t="n">
        <v>1047</v>
      </c>
    </row>
    <row r="5">
      <c r="A5" t="n">
        <v>4</v>
      </c>
      <c r="B5" t="inlineStr">
        <is>
          <t>02/04/2026</t>
        </is>
      </c>
      <c r="C5" t="inlineStr">
        <is>
          <t>CD</t>
        </is>
      </c>
      <c r="D5" t="n">
        <v>309</v>
      </c>
      <c r="E5" t="n">
        <v>452</v>
      </c>
      <c r="F5" t="n">
        <v>1405</v>
      </c>
      <c r="H5" t="inlineStr">
        <is>
          <t>T4</t>
        </is>
      </c>
      <c r="I5" s="1" t="n">
        <v>0.21</v>
      </c>
      <c r="J5" s="1" t="n">
        <v>0.296470588235294</v>
      </c>
      <c r="K5" s="1">
        <f>IFERROR(SUMIFS(S:S,P:P,"*/04/2026")/(SUMIFS(R:R,P:P,"*/04/2026")+SUMIFS(S:S,P:P,"*/04/2026")+SUMIFS(T:T,P:P,"*/04/2026")),"")</f>
        <v/>
      </c>
      <c r="L5" s="1">
        <f>IFERROR(SUMIFS(R:R,P:P,"*/04/2026")/(SUMIFS(R:R,P:P,"*/04/2026")+SUMIFS(S:S,P:P,"*/04/2026")+SUMIFS(T:T,P:P,"*/04/2026")),"")</f>
        <v/>
      </c>
      <c r="M5" s="1">
        <f>IFERROR(SUMIFS(T:T,P:P,"*/04/2026")/(SUMIFS(R:R,P:P,"*/04/2026")+SUMIFS(S:S,P:P,"*/04/2026")+SUMIFS(T:T,P:P,"*/04/2026")),"")</f>
        <v/>
      </c>
      <c r="O5" t="n">
        <v>4</v>
      </c>
      <c r="P5" t="inlineStr">
        <is>
          <t>02/01/2026</t>
        </is>
      </c>
      <c r="Q5" t="inlineStr">
        <is>
          <t>CD</t>
        </is>
      </c>
      <c r="R5" t="n">
        <v>392</v>
      </c>
      <c r="S5" t="n">
        <v>255</v>
      </c>
      <c r="T5" t="n">
        <v>1516</v>
      </c>
    </row>
    <row r="6">
      <c r="A6" t="n">
        <v>5</v>
      </c>
      <c r="B6" t="inlineStr">
        <is>
          <t>03/04/2026</t>
        </is>
      </c>
      <c r="C6" t="inlineStr">
        <is>
          <t>CN</t>
        </is>
      </c>
      <c r="D6" t="n">
        <v>540</v>
      </c>
      <c r="E6" t="n">
        <v>433</v>
      </c>
      <c r="F6" t="n">
        <v>1199</v>
      </c>
      <c r="H6" t="inlineStr">
        <is>
          <t>T5</t>
        </is>
      </c>
      <c r="I6" s="1" t="n">
        <v>0.21</v>
      </c>
      <c r="J6" s="1" t="n">
        <v>0.296470588235294</v>
      </c>
      <c r="K6" s="1">
        <f>IFERROR(SUMIFS(S:S,P:P,"*/05/2026")/(SUMIFS(R:R,P:P,"*/05/2026")+SUMIFS(S:S,P:P,"*/05/2026")+SUMIFS(T:T,P:P,"*/05/2026")),"")</f>
        <v/>
      </c>
      <c r="L6" s="1">
        <f>IFERROR(SUMIFS(R:R,P:P,"*/05/2026")/(SUMIFS(R:R,P:P,"*/05/2026")+SUMIFS(S:S,P:P,"*/05/2026")+SUMIFS(T:T,P:P,"*/05/2026")),"")</f>
        <v/>
      </c>
      <c r="M6" s="1">
        <f>IFERROR(SUMIFS(T:T,P:P,"*/05/2026")/(SUMIFS(R:R,P:P,"*/05/2026")+SUMIFS(S:S,P:P,"*/05/2026")+SUMIFS(T:T,P:P,"*/05/2026")),"")</f>
        <v/>
      </c>
      <c r="O6" t="n">
        <v>5</v>
      </c>
      <c r="P6" t="inlineStr">
        <is>
          <t>03/01/2026</t>
        </is>
      </c>
      <c r="Q6" t="inlineStr">
        <is>
          <t>CD</t>
        </is>
      </c>
      <c r="R6" t="n">
        <v>940</v>
      </c>
      <c r="S6" t="n">
        <v>742</v>
      </c>
      <c r="T6" t="n">
        <v>1847</v>
      </c>
    </row>
    <row r="7">
      <c r="A7" t="n">
        <v>6</v>
      </c>
      <c r="B7" t="inlineStr">
        <is>
          <t>03/04/2026</t>
        </is>
      </c>
      <c r="C7" t="inlineStr">
        <is>
          <t>CD</t>
        </is>
      </c>
      <c r="D7" t="n">
        <v>372</v>
      </c>
      <c r="E7" t="n">
        <v>506</v>
      </c>
      <c r="F7" t="n">
        <v>1291</v>
      </c>
      <c r="H7" t="inlineStr">
        <is>
          <t>T6</t>
        </is>
      </c>
      <c r="I7" s="1" t="n">
        <v>0.21</v>
      </c>
      <c r="J7" s="1" t="n">
        <v>0.296470588235294</v>
      </c>
      <c r="K7" s="1">
        <f>IFERROR(SUMIFS(S:S,P:P,"*/06/2026")/(SUMIFS(R:R,P:P,"*/06/2026")+SUMIFS(S:S,P:P,"*/06/2026")+SUMIFS(T:T,P:P,"*/06/2026")),"")</f>
        <v/>
      </c>
      <c r="L7" s="1">
        <f>IFERROR(SUMIFS(R:R,P:P,"*/06/2026")/(SUMIFS(R:R,P:P,"*/06/2026")+SUMIFS(S:S,P:P,"*/06/2026")+SUMIFS(T:T,P:P,"*/06/2026")),"")</f>
        <v/>
      </c>
      <c r="M7" s="1">
        <f>IFERROR(SUMIFS(T:T,P:P,"*/06/2026")/(SUMIFS(R:R,P:P,"*/06/2026")+SUMIFS(S:S,P:P,"*/06/2026")+SUMIFS(T:T,P:P,"*/06/2026")),"")</f>
        <v/>
      </c>
      <c r="O7" t="n">
        <v>6</v>
      </c>
      <c r="P7" t="inlineStr">
        <is>
          <t>04/01/2026</t>
        </is>
      </c>
      <c r="Q7" t="inlineStr">
        <is>
          <t>CN</t>
        </is>
      </c>
      <c r="R7" t="n">
        <v>0</v>
      </c>
      <c r="S7" t="n">
        <v>0</v>
      </c>
      <c r="T7" t="n">
        <v>2160</v>
      </c>
    </row>
    <row r="8">
      <c r="A8" t="n">
        <v>7</v>
      </c>
      <c r="B8" t="inlineStr">
        <is>
          <t>04/04/2026</t>
        </is>
      </c>
      <c r="C8" t="inlineStr">
        <is>
          <t>CN</t>
        </is>
      </c>
      <c r="D8" t="n">
        <v>725</v>
      </c>
      <c r="E8" t="n">
        <v>281</v>
      </c>
      <c r="F8" t="n">
        <v>1163</v>
      </c>
      <c r="H8" t="inlineStr">
        <is>
          <t>T7</t>
        </is>
      </c>
      <c r="I8" s="1" t="n">
        <v>0.21</v>
      </c>
      <c r="J8" s="1" t="n">
        <v>0.296470588235294</v>
      </c>
      <c r="K8" s="1">
        <f>IFERROR(SUMIFS(S:S,P:P,"*/07/2026")/(SUMIFS(R:R,P:P,"*/07/2026")+SUMIFS(S:S,P:P,"*/07/2026")+SUMIFS(T:T,P:P,"*/07/2026")),"")</f>
        <v/>
      </c>
      <c r="L8" s="1">
        <f>IFERROR(SUMIFS(R:R,P:P,"*/07/2026")/(SUMIFS(R:R,P:P,"*/07/2026")+SUMIFS(S:S,P:P,"*/07/2026")+SUMIFS(T:T,P:P,"*/07/2026")),"")</f>
        <v/>
      </c>
      <c r="M8" s="1">
        <f>IFERROR(SUMIFS(T:T,P:P,"*/07/2026")/(SUMIFS(R:R,P:P,"*/07/2026")+SUMIFS(S:S,P:P,"*/07/2026")+SUMIFS(T:T,P:P,"*/07/2026")),"")</f>
        <v/>
      </c>
      <c r="O8" t="n">
        <v>7</v>
      </c>
      <c r="P8" t="inlineStr">
        <is>
          <t>04/01/2026</t>
        </is>
      </c>
      <c r="Q8" t="inlineStr">
        <is>
          <t>CD</t>
        </is>
      </c>
      <c r="R8" t="n">
        <v>0</v>
      </c>
      <c r="S8" t="n">
        <v>0</v>
      </c>
      <c r="T8" t="n">
        <v>2160</v>
      </c>
    </row>
    <row r="9">
      <c r="A9" t="n">
        <v>8</v>
      </c>
      <c r="B9" t="inlineStr">
        <is>
          <t>04/04/2026</t>
        </is>
      </c>
      <c r="C9" t="inlineStr">
        <is>
          <t>CD</t>
        </is>
      </c>
      <c r="D9" t="n">
        <v>243</v>
      </c>
      <c r="E9" t="n">
        <v>386</v>
      </c>
      <c r="F9" t="n">
        <v>1535</v>
      </c>
      <c r="H9" t="inlineStr">
        <is>
          <t>T8</t>
        </is>
      </c>
      <c r="I9" s="1" t="n">
        <v>0.21</v>
      </c>
      <c r="J9" s="1" t="n">
        <v>0.296470588235294</v>
      </c>
      <c r="K9" s="1">
        <f>IFERROR(SUMIFS(S:S,P:P,"*/08/2026")/(SUMIFS(R:R,P:P,"*/08/2026")+SUMIFS(S:S,P:P,"*/08/2026")+SUMIFS(T:T,P:P,"*/08/2026")),"")</f>
        <v/>
      </c>
      <c r="L9" s="1">
        <f>IFERROR(SUMIFS(R:R,P:P,"*/08/2026")/(SUMIFS(R:R,P:P,"*/08/2026")+SUMIFS(S:S,P:P,"*/08/2026")+SUMIFS(T:T,P:P,"*/08/2026")),"")</f>
        <v/>
      </c>
      <c r="M9" s="1">
        <f>IFERROR(SUMIFS(T:T,P:P,"*/08/2026")/(SUMIFS(R:R,P:P,"*/08/2026")+SUMIFS(S:S,P:P,"*/08/2026")+SUMIFS(T:T,P:P,"*/08/2026")),"")</f>
        <v/>
      </c>
      <c r="O9" t="n">
        <v>8</v>
      </c>
      <c r="P9" t="inlineStr">
        <is>
          <t>05/01/2026</t>
        </is>
      </c>
      <c r="Q9" t="inlineStr">
        <is>
          <t>CN</t>
        </is>
      </c>
      <c r="R9" t="n">
        <v>735</v>
      </c>
      <c r="S9" t="n">
        <v>308</v>
      </c>
      <c r="T9" t="n">
        <v>1124</v>
      </c>
    </row>
    <row r="10">
      <c r="A10" t="n">
        <v>9</v>
      </c>
      <c r="B10" t="inlineStr">
        <is>
          <t>05/04/2026</t>
        </is>
      </c>
      <c r="C10" t="inlineStr">
        <is>
          <t>CN</t>
        </is>
      </c>
      <c r="D10" t="n">
        <v>72</v>
      </c>
      <c r="E10" t="n">
        <v>1</v>
      </c>
      <c r="F10" t="n">
        <v>2086</v>
      </c>
      <c r="H10" t="inlineStr">
        <is>
          <t>T9</t>
        </is>
      </c>
      <c r="I10" s="1" t="n">
        <v>0.21</v>
      </c>
      <c r="J10" s="1" t="n">
        <v>0.296470588235294</v>
      </c>
      <c r="K10" s="1">
        <f>IFERROR(SUMIFS(S:S,P:P,"*/09/2026")/(SUMIFS(R:R,P:P,"*/09/2026")+SUMIFS(S:S,P:P,"*/09/2026")+SUMIFS(T:T,P:P,"*/09/2026")),"")</f>
        <v/>
      </c>
      <c r="L10" s="1">
        <f>IFERROR(SUMIFS(R:R,P:P,"*/09/2026")/(SUMIFS(R:R,P:P,"*/09/2026")+SUMIFS(S:S,P:P,"*/09/2026")+SUMIFS(T:T,P:P,"*/09/2026")),"")</f>
        <v/>
      </c>
      <c r="M10" s="1">
        <f>IFERROR(SUMIFS(T:T,P:P,"*/09/2026")/(SUMIFS(R:R,P:P,"*/09/2026")+SUMIFS(S:S,P:P,"*/09/2026")+SUMIFS(T:T,P:P,"*/09/2026")),"")</f>
        <v/>
      </c>
      <c r="O10" t="n">
        <v>9</v>
      </c>
      <c r="P10" t="inlineStr">
        <is>
          <t>05/01/2026</t>
        </is>
      </c>
      <c r="Q10" t="inlineStr">
        <is>
          <t>CD</t>
        </is>
      </c>
      <c r="R10" t="n">
        <v>357</v>
      </c>
      <c r="S10" t="n">
        <v>398</v>
      </c>
      <c r="T10" t="n">
        <v>1387</v>
      </c>
    </row>
    <row r="11">
      <c r="A11" t="n">
        <v>10</v>
      </c>
      <c r="B11" t="inlineStr">
        <is>
          <t>05/04/2026</t>
        </is>
      </c>
      <c r="C11" t="inlineStr">
        <is>
          <t>CD</t>
        </is>
      </c>
      <c r="D11" t="n">
        <v>720</v>
      </c>
      <c r="E11" t="n">
        <v>0</v>
      </c>
      <c r="F11" t="n">
        <v>1440</v>
      </c>
      <c r="H11" t="inlineStr">
        <is>
          <t>T10</t>
        </is>
      </c>
      <c r="I11" s="1" t="n">
        <v>0.21</v>
      </c>
      <c r="J11" s="1" t="n">
        <v>0.296470588235294</v>
      </c>
      <c r="K11" s="1">
        <f>IFERROR(SUMIFS(S:S,P:P,"*/10/2026")/(SUMIFS(R:R,P:P,"*/10/2026")+SUMIFS(S:S,P:P,"*/10/2026")+SUMIFS(T:T,P:P,"*/10/2026")),"")</f>
        <v/>
      </c>
      <c r="L11" s="1">
        <f>IFERROR(SUMIFS(R:R,P:P,"*/10/2026")/(SUMIFS(R:R,P:P,"*/10/2026")+SUMIFS(S:S,P:P,"*/10/2026")+SUMIFS(T:T,P:P,"*/10/2026")),"")</f>
        <v/>
      </c>
      <c r="M11" s="1">
        <f>IFERROR(SUMIFS(T:T,P:P,"*/10/2026")/(SUMIFS(R:R,P:P,"*/10/2026")+SUMIFS(S:S,P:P,"*/10/2026")+SUMIFS(T:T,P:P,"*/10/2026")),"")</f>
        <v/>
      </c>
      <c r="O11" t="n">
        <v>10</v>
      </c>
      <c r="P11" t="inlineStr">
        <is>
          <t>06/01/2026</t>
        </is>
      </c>
      <c r="Q11" t="inlineStr">
        <is>
          <t>CN</t>
        </is>
      </c>
      <c r="R11" t="n">
        <v>616</v>
      </c>
      <c r="S11" t="n">
        <v>394</v>
      </c>
      <c r="T11" t="n">
        <v>1159</v>
      </c>
    </row>
    <row r="12">
      <c r="A12" t="n">
        <v>11</v>
      </c>
      <c r="B12" t="inlineStr">
        <is>
          <t>06/04/2026</t>
        </is>
      </c>
      <c r="C12" t="inlineStr">
        <is>
          <t>CN</t>
        </is>
      </c>
      <c r="D12" t="n">
        <v>424</v>
      </c>
      <c r="E12" t="n">
        <v>459</v>
      </c>
      <c r="F12" t="n">
        <v>1282</v>
      </c>
      <c r="H12" t="inlineStr">
        <is>
          <t>T11</t>
        </is>
      </c>
      <c r="I12" s="1" t="n">
        <v>0.21</v>
      </c>
      <c r="J12" s="1" t="n">
        <v>0.296470588235294</v>
      </c>
      <c r="K12" s="1">
        <f>IFERROR(SUMIFS(S:S,P:P,"*/11/2026")/(SUMIFS(R:R,P:P,"*/11/2026")+SUMIFS(S:S,P:P,"*/11/2026")+SUMIFS(T:T,P:P,"*/11/2026")),"")</f>
        <v/>
      </c>
      <c r="L12" s="1">
        <f>IFERROR(SUMIFS(R:R,P:P,"*/11/2026")/(SUMIFS(R:R,P:P,"*/11/2026")+SUMIFS(S:S,P:P,"*/11/2026")+SUMIFS(T:T,P:P,"*/11/2026")),"")</f>
        <v/>
      </c>
      <c r="M12" s="1">
        <f>IFERROR(SUMIFS(T:T,P:P,"*/11/2026")/(SUMIFS(R:R,P:P,"*/11/2026")+SUMIFS(S:S,P:P,"*/11/2026")+SUMIFS(T:T,P:P,"*/11/2026")),"")</f>
        <v/>
      </c>
      <c r="O12" t="n">
        <v>11</v>
      </c>
      <c r="P12" t="inlineStr">
        <is>
          <t>06/01/2026</t>
        </is>
      </c>
      <c r="Q12" t="inlineStr">
        <is>
          <t>CD</t>
        </is>
      </c>
      <c r="R12" t="n">
        <v>359</v>
      </c>
      <c r="S12" t="n">
        <v>380</v>
      </c>
      <c r="T12" t="n">
        <v>1429</v>
      </c>
    </row>
    <row r="13">
      <c r="A13" t="n">
        <v>12</v>
      </c>
      <c r="B13" t="inlineStr">
        <is>
          <t>06/04/2026</t>
        </is>
      </c>
      <c r="C13" t="inlineStr">
        <is>
          <t>CD</t>
        </is>
      </c>
      <c r="D13" t="n">
        <v>328</v>
      </c>
      <c r="E13" t="n">
        <v>224</v>
      </c>
      <c r="F13" t="n">
        <v>1616</v>
      </c>
      <c r="H13" t="inlineStr">
        <is>
          <t>T12</t>
        </is>
      </c>
      <c r="I13" s="1" t="n">
        <v>0.21</v>
      </c>
      <c r="J13" s="1" t="n">
        <v>0.296470588235294</v>
      </c>
      <c r="K13" s="1">
        <f>IFERROR(SUMIFS(S:S,P:P,"*/12/2026")/(SUMIFS(R:R,P:P,"*/12/2026")+SUMIFS(S:S,P:P,"*/12/2026")+SUMIFS(T:T,P:P,"*/12/2026")),"")</f>
        <v/>
      </c>
      <c r="L13" s="1">
        <f>IFERROR(SUMIFS(R:R,P:P,"*/12/2026")/(SUMIFS(R:R,P:P,"*/12/2026")+SUMIFS(S:S,P:P,"*/12/2026")+SUMIFS(T:T,P:P,"*/12/2026")),"")</f>
        <v/>
      </c>
      <c r="M13" s="1">
        <f>IFERROR(SUMIFS(T:T,P:P,"*/12/2026")/(SUMIFS(R:R,P:P,"*/12/2026")+SUMIFS(S:S,P:P,"*/12/2026")+SUMIFS(T:T,P:P,"*/12/2026")),"")</f>
        <v/>
      </c>
      <c r="O13" t="n">
        <v>12</v>
      </c>
      <c r="P13" t="inlineStr">
        <is>
          <t>07/01/2026</t>
        </is>
      </c>
      <c r="Q13" t="inlineStr">
        <is>
          <t>CN</t>
        </is>
      </c>
      <c r="R13" t="n">
        <v>179</v>
      </c>
      <c r="S13" t="n">
        <v>181</v>
      </c>
      <c r="T13" t="n">
        <v>1800</v>
      </c>
    </row>
    <row r="14">
      <c r="A14" t="n">
        <v>13</v>
      </c>
      <c r="B14" t="inlineStr">
        <is>
          <t>07/04/2026</t>
        </is>
      </c>
      <c r="C14" t="inlineStr">
        <is>
          <t>CN</t>
        </is>
      </c>
      <c r="D14" t="n">
        <v>581</v>
      </c>
      <c r="E14" t="n">
        <v>413</v>
      </c>
      <c r="F14" t="n">
        <v>1171</v>
      </c>
      <c r="H14">
        <f>IF(B2="","",TEXT(B2,"dd/mm")&amp; "-" &amp;IF(UPPER(TRIM(C2))="CN",1,IF(UPPER(TRIM(C2))="CD",2,"")))</f>
        <v/>
      </c>
      <c r="I14" s="1" t="n">
        <v>0.21</v>
      </c>
      <c r="J14" s="1" t="n">
        <v>0.296470588235294</v>
      </c>
      <c r="K14" s="1">
        <f>IFERROR($E2/SUM($D2:$F2),"")</f>
        <v/>
      </c>
      <c r="L14" s="1">
        <f>IFERROR($D2/SUM($D2:$F2),"")</f>
        <v/>
      </c>
      <c r="M14" s="1">
        <f>IFERROR($F2/SUM($D2:$F2),"")</f>
        <v/>
      </c>
      <c r="O14" t="n">
        <v>13</v>
      </c>
      <c r="P14" t="inlineStr">
        <is>
          <t>07/01/2026</t>
        </is>
      </c>
      <c r="Q14" t="inlineStr">
        <is>
          <t>CD</t>
        </is>
      </c>
      <c r="R14" t="n">
        <v>0</v>
      </c>
      <c r="S14" t="n">
        <v>0</v>
      </c>
      <c r="T14" t="n">
        <v>2160</v>
      </c>
    </row>
    <row r="15">
      <c r="A15" t="n">
        <v>14</v>
      </c>
      <c r="B15" t="inlineStr">
        <is>
          <t>07/04/2026</t>
        </is>
      </c>
      <c r="C15" t="inlineStr">
        <is>
          <t>CD</t>
        </is>
      </c>
      <c r="D15" t="n">
        <v>389</v>
      </c>
      <c r="E15" t="n">
        <v>223</v>
      </c>
      <c r="F15" t="n">
        <v>1554</v>
      </c>
      <c r="H15">
        <f>IF(B3="","",TEXT(B3,"dd/mm") &amp; "-" &amp; IF(UPPER(TRIM(C3))="CN",1,IF(UPPER(TRIM(C3))="CD",2,"")))</f>
        <v/>
      </c>
      <c r="I15" s="1" t="n">
        <v>0.21</v>
      </c>
      <c r="J15" s="1" t="n">
        <v>0.296470588235294</v>
      </c>
      <c r="K15" s="1">
        <f>IFERROR($E3/SUM($D3:$F3),"")</f>
        <v/>
      </c>
      <c r="L15" s="1">
        <f>IFERROR($D3/SUM($D3:$F3),"")</f>
        <v/>
      </c>
      <c r="M15" s="1">
        <f>IFERROR($F3/SUM($D3:$F3),"")</f>
        <v/>
      </c>
      <c r="O15" t="n">
        <v>14</v>
      </c>
      <c r="P15" t="inlineStr">
        <is>
          <t>08/01/2026</t>
        </is>
      </c>
      <c r="Q15" t="inlineStr">
        <is>
          <t>CN</t>
        </is>
      </c>
      <c r="R15" t="n">
        <v>1056</v>
      </c>
      <c r="S15" t="n">
        <v>378</v>
      </c>
      <c r="T15" t="n">
        <v>747</v>
      </c>
    </row>
    <row r="16">
      <c r="A16" t="n">
        <v>15</v>
      </c>
      <c r="B16" t="inlineStr">
        <is>
          <t>08/04/2026</t>
        </is>
      </c>
      <c r="C16" t="inlineStr">
        <is>
          <t>CN</t>
        </is>
      </c>
      <c r="D16" t="n">
        <v>303</v>
      </c>
      <c r="E16" t="n">
        <v>372</v>
      </c>
      <c r="F16" t="n">
        <v>1490</v>
      </c>
      <c r="H16">
        <f>IF(B4="","",TEXT(B4,"dd/mm") &amp; "-" &amp; IF(UPPER(TRIM(C4))="CN",1,IF(UPPER(TRIM(C4))="CD",2,"")))</f>
        <v/>
      </c>
      <c r="I16" s="1" t="n">
        <v>0.21</v>
      </c>
      <c r="J16" s="1" t="n">
        <v>0.296470588235294</v>
      </c>
      <c r="K16" s="1">
        <f>IFERROR($E4/SUM($D4:$F4),"")</f>
        <v/>
      </c>
      <c r="L16" s="1">
        <f>IFERROR($D4/SUM($D4:$F4),"")</f>
        <v/>
      </c>
      <c r="M16" s="1">
        <f>IFERROR($F4/SUM($D4:$F4),"")</f>
        <v/>
      </c>
      <c r="O16" t="n">
        <v>15</v>
      </c>
      <c r="P16" t="inlineStr">
        <is>
          <t>08/01/2026</t>
        </is>
      </c>
      <c r="Q16" t="inlineStr">
        <is>
          <t>CD</t>
        </is>
      </c>
      <c r="R16" t="n">
        <v>599</v>
      </c>
      <c r="S16" t="n">
        <v>449</v>
      </c>
      <c r="T16" t="n">
        <v>1117</v>
      </c>
    </row>
    <row r="17">
      <c r="A17" t="n">
        <v>16</v>
      </c>
      <c r="B17" t="inlineStr">
        <is>
          <t>08/04/2026</t>
        </is>
      </c>
      <c r="C17" t="inlineStr">
        <is>
          <t>CD</t>
        </is>
      </c>
      <c r="D17" t="n">
        <v>479</v>
      </c>
      <c r="E17" t="n">
        <v>569</v>
      </c>
      <c r="F17" t="n">
        <v>1123</v>
      </c>
      <c r="H17">
        <f>IF(B5="","",TEXT(B5,"dd/mm") &amp; "-" &amp; IF(UPPER(TRIM(C5))="CN",1,IF(UPPER(TRIM(C5))="CD",2,"")))</f>
        <v/>
      </c>
      <c r="I17" s="1" t="n">
        <v>0.21</v>
      </c>
      <c r="J17" s="1" t="n">
        <v>0.296470588235294</v>
      </c>
      <c r="K17" s="1">
        <f>IFERROR($E5/SUM($D5:$F5),"")</f>
        <v/>
      </c>
      <c r="L17" s="1">
        <f>IFERROR($D5/SUM($D5:$F5),"")</f>
        <v/>
      </c>
      <c r="M17" s="1">
        <f>IFERROR($F5/SUM($D5:$F5),"")</f>
        <v/>
      </c>
      <c r="O17" t="n">
        <v>16</v>
      </c>
      <c r="P17" t="inlineStr">
        <is>
          <t>09/01/2026</t>
        </is>
      </c>
      <c r="Q17" t="inlineStr">
        <is>
          <t>CN</t>
        </is>
      </c>
      <c r="R17" t="n">
        <v>574</v>
      </c>
      <c r="S17" t="n">
        <v>323</v>
      </c>
      <c r="T17" t="n">
        <v>1276</v>
      </c>
    </row>
    <row r="18">
      <c r="A18" t="n">
        <v>17</v>
      </c>
      <c r="B18" t="inlineStr">
        <is>
          <t>09/04/2026</t>
        </is>
      </c>
      <c r="C18" t="inlineStr">
        <is>
          <t>CN</t>
        </is>
      </c>
      <c r="D18" t="n">
        <v>259</v>
      </c>
      <c r="E18" t="n">
        <v>424</v>
      </c>
      <c r="F18" t="n">
        <v>1484</v>
      </c>
      <c r="H18">
        <f>IF(B6="","",TEXT(B6,"dd/mm") &amp; "-" &amp; IF(UPPER(TRIM(C6))="CN",1,IF(UPPER(TRIM(C6))="CD",2,"")))</f>
        <v/>
      </c>
      <c r="I18" s="1" t="n">
        <v>0.21</v>
      </c>
      <c r="J18" s="1" t="n">
        <v>0.296470588235294</v>
      </c>
      <c r="K18" s="1">
        <f>IFERROR($E6/SUM($D6:$F6),"")</f>
        <v/>
      </c>
      <c r="L18" s="1">
        <f>IFERROR($D6/SUM($D6:$F6),"")</f>
        <v/>
      </c>
      <c r="M18" s="1">
        <f>IFERROR($F6/SUM($D6:$F6),"")</f>
        <v/>
      </c>
      <c r="O18" t="n">
        <v>17</v>
      </c>
      <c r="P18" t="inlineStr">
        <is>
          <t>09/01/2026</t>
        </is>
      </c>
      <c r="Q18" t="inlineStr">
        <is>
          <t>CD</t>
        </is>
      </c>
      <c r="R18" t="n">
        <v>312</v>
      </c>
      <c r="S18" t="n">
        <v>422</v>
      </c>
      <c r="T18" t="n">
        <v>1434</v>
      </c>
    </row>
    <row r="19">
      <c r="A19" t="n">
        <v>18</v>
      </c>
      <c r="B19" t="inlineStr">
        <is>
          <t>09/04/2026</t>
        </is>
      </c>
      <c r="C19" t="inlineStr">
        <is>
          <t>CD</t>
        </is>
      </c>
      <c r="D19" t="n">
        <v>582</v>
      </c>
      <c r="E19" t="n">
        <v>472</v>
      </c>
      <c r="F19" t="n">
        <v>1116</v>
      </c>
      <c r="H19">
        <f>IF(B7="","",TEXT(B7,"dd/mm") &amp; "-" &amp; IF(UPPER(TRIM(C7))="CN",1,IF(UPPER(TRIM(C7))="CD",2,"")))</f>
        <v/>
      </c>
      <c r="I19" s="1" t="n">
        <v>0.21</v>
      </c>
      <c r="J19" s="1" t="n">
        <v>0.296470588235294</v>
      </c>
      <c r="K19" s="1">
        <f>IFERROR($E7/SUM($D7:$F7),"")</f>
        <v/>
      </c>
      <c r="L19" s="1">
        <f>IFERROR($D7/SUM($D7:$F7),"")</f>
        <v/>
      </c>
      <c r="M19" s="1">
        <f>IFERROR($F7/SUM($D7:$F7),"")</f>
        <v/>
      </c>
      <c r="O19" t="n">
        <v>18</v>
      </c>
      <c r="P19" t="inlineStr">
        <is>
          <t>10/01/2026</t>
        </is>
      </c>
      <c r="Q19" t="inlineStr">
        <is>
          <t>CN</t>
        </is>
      </c>
      <c r="R19" t="n">
        <v>676</v>
      </c>
      <c r="S19" t="n">
        <v>311</v>
      </c>
      <c r="T19" t="n">
        <v>1181</v>
      </c>
    </row>
    <row r="20">
      <c r="A20" t="n">
        <v>19</v>
      </c>
      <c r="B20" t="inlineStr">
        <is>
          <t>10/04/2026</t>
        </is>
      </c>
      <c r="C20" t="inlineStr">
        <is>
          <t>CN</t>
        </is>
      </c>
      <c r="D20" t="n">
        <v>306</v>
      </c>
      <c r="E20" t="n">
        <v>399</v>
      </c>
      <c r="F20" t="n">
        <v>1460</v>
      </c>
      <c r="H20">
        <f>IF(B8="","",TEXT(B8,"dd/mm") &amp; "-" &amp; IF(UPPER(TRIM(C8))="CN",1,IF(UPPER(TRIM(C8))="CD",2,"")))</f>
        <v/>
      </c>
      <c r="I20" s="1" t="n">
        <v>0.21</v>
      </c>
      <c r="J20" s="1" t="n">
        <v>0.296470588235294</v>
      </c>
      <c r="K20" s="1">
        <f>IFERROR($E8/SUM($D8:$F8),"")</f>
        <v/>
      </c>
      <c r="L20" s="1">
        <f>IFERROR($D8/SUM($D8:$F8),"")</f>
        <v/>
      </c>
      <c r="M20" s="1">
        <f>IFERROR($F8/SUM($D8:$F8),"")</f>
        <v/>
      </c>
      <c r="O20" t="n">
        <v>19</v>
      </c>
      <c r="P20" t="inlineStr">
        <is>
          <t>10/01/2026</t>
        </is>
      </c>
      <c r="Q20" t="inlineStr">
        <is>
          <t>CD</t>
        </is>
      </c>
      <c r="R20" t="n">
        <v>0</v>
      </c>
      <c r="S20" t="n">
        <v>0</v>
      </c>
      <c r="T20" t="n">
        <v>2160</v>
      </c>
    </row>
    <row r="21">
      <c r="A21" t="n">
        <v>20</v>
      </c>
      <c r="B21" t="inlineStr">
        <is>
          <t>10/04/2026</t>
        </is>
      </c>
      <c r="C21" t="inlineStr">
        <is>
          <t>CD</t>
        </is>
      </c>
      <c r="D21" t="n">
        <v>655</v>
      </c>
      <c r="E21" t="n">
        <v>438</v>
      </c>
      <c r="F21" t="n">
        <v>1073</v>
      </c>
      <c r="H21">
        <f>IF(B9="","",TEXT(B9,"dd/mm") &amp; "-" &amp; IF(UPPER(TRIM(C9))="CN",1,IF(UPPER(TRIM(C9))="CD",2,"")))</f>
        <v/>
      </c>
      <c r="I21" s="1" t="n">
        <v>0.21</v>
      </c>
      <c r="J21" s="1" t="n">
        <v>0.296470588235294</v>
      </c>
      <c r="K21" s="1">
        <f>IFERROR($E9/SUM($D9:$F9),"")</f>
        <v/>
      </c>
      <c r="L21" s="1">
        <f>IFERROR($D9/SUM($D9:$F9),"")</f>
        <v/>
      </c>
      <c r="M21" s="1">
        <f>IFERROR($F9/SUM($D9:$F9),"")</f>
        <v/>
      </c>
      <c r="O21" t="n">
        <v>20</v>
      </c>
      <c r="P21" t="inlineStr">
        <is>
          <t>11/01/2026</t>
        </is>
      </c>
      <c r="Q21" t="inlineStr">
        <is>
          <t>CN</t>
        </is>
      </c>
      <c r="R21" t="n">
        <v>0</v>
      </c>
      <c r="S21" t="n">
        <v>0</v>
      </c>
      <c r="T21" t="n">
        <v>2160</v>
      </c>
    </row>
    <row r="22">
      <c r="A22" t="n">
        <v>21</v>
      </c>
      <c r="B22" t="inlineStr">
        <is>
          <t>11/04/2026</t>
        </is>
      </c>
      <c r="C22" t="inlineStr">
        <is>
          <t>CN</t>
        </is>
      </c>
      <c r="D22" t="n">
        <v>329</v>
      </c>
      <c r="E22" t="n">
        <v>381</v>
      </c>
      <c r="F22" t="n">
        <v>1455</v>
      </c>
      <c r="H22">
        <f>IF(B10="","",TEXT(B10,"dd/mm") &amp; "-" &amp; IF(UPPER(TRIM(C10))="CN",1,IF(UPPER(TRIM(C10))="CD",2,"")))</f>
        <v/>
      </c>
      <c r="I22" s="1" t="n">
        <v>0.21</v>
      </c>
      <c r="J22" s="1" t="n">
        <v>0.296470588235294</v>
      </c>
      <c r="K22" s="1">
        <f>IFERROR($E10/SUM($D10:$F10),"")</f>
        <v/>
      </c>
      <c r="L22" s="1">
        <f>IFERROR($D10/SUM($D10:$F10),"")</f>
        <v/>
      </c>
      <c r="M22" s="1">
        <f>IFERROR($F10/SUM($D10:$F10),"")</f>
        <v/>
      </c>
      <c r="O22" t="n">
        <v>21</v>
      </c>
      <c r="P22" t="inlineStr">
        <is>
          <t>11/01/2026</t>
        </is>
      </c>
      <c r="Q22" t="inlineStr">
        <is>
          <t>CD</t>
        </is>
      </c>
      <c r="R22" t="n">
        <v>0</v>
      </c>
      <c r="S22" t="n">
        <v>0</v>
      </c>
      <c r="T22" t="n">
        <v>2160</v>
      </c>
    </row>
    <row r="23">
      <c r="A23" t="n">
        <v>22</v>
      </c>
      <c r="B23" t="inlineStr">
        <is>
          <t>11/04/2026</t>
        </is>
      </c>
      <c r="C23" t="inlineStr">
        <is>
          <t>CD</t>
        </is>
      </c>
      <c r="D23" t="n">
        <v>561</v>
      </c>
      <c r="E23" t="n">
        <v>441</v>
      </c>
      <c r="F23" t="n">
        <v>1171</v>
      </c>
      <c r="H23">
        <f>IF(B11="","",TEXT(B11,"dd/mm") &amp; "-" &amp; IF(UPPER(TRIM(C11))="CN",1,IF(UPPER(TRIM(C11))="CD",2,"")))</f>
        <v/>
      </c>
      <c r="I23" s="1" t="n">
        <v>0.21</v>
      </c>
      <c r="J23" s="1" t="n">
        <v>0.296470588235294</v>
      </c>
      <c r="K23" s="1">
        <f>IFERROR($E11/SUM($D11:$F11),"")</f>
        <v/>
      </c>
      <c r="L23" s="1">
        <f>IFERROR($D11/SUM($D11:$F11),"")</f>
        <v/>
      </c>
      <c r="M23" s="1">
        <f>IFERROR($F11/SUM($D11:$F11),"")</f>
        <v/>
      </c>
      <c r="O23" t="n">
        <v>22</v>
      </c>
      <c r="P23" t="inlineStr">
        <is>
          <t>12/01/2026</t>
        </is>
      </c>
      <c r="Q23" t="inlineStr">
        <is>
          <t>CN</t>
        </is>
      </c>
      <c r="R23" t="n">
        <v>325</v>
      </c>
      <c r="S23" t="n">
        <v>364</v>
      </c>
      <c r="T23" t="n">
        <v>1475</v>
      </c>
    </row>
    <row r="24">
      <c r="A24" t="n">
        <v>23</v>
      </c>
      <c r="B24" t="inlineStr">
        <is>
          <t>12/04/2026</t>
        </is>
      </c>
      <c r="C24" t="inlineStr">
        <is>
          <t>CN</t>
        </is>
      </c>
      <c r="D24" t="n">
        <v>0</v>
      </c>
      <c r="E24" t="n">
        <v>0</v>
      </c>
      <c r="F24" t="n">
        <v>2160</v>
      </c>
      <c r="H24">
        <f>IF(B12="","",TEXT(B12,"dd/mm") &amp; "-" &amp; IF(UPPER(TRIM(C12))="CN",1,IF(UPPER(TRIM(C12))="CD",2,"")))</f>
        <v/>
      </c>
      <c r="I24" s="1" t="n">
        <v>0.21</v>
      </c>
      <c r="J24" s="1" t="n">
        <v>0.296470588235294</v>
      </c>
      <c r="K24" s="1">
        <f>IFERROR($E12/SUM($D12:$F12),"")</f>
        <v/>
      </c>
      <c r="L24" s="1">
        <f>IFERROR($D12/SUM($D12:$F12),"")</f>
        <v/>
      </c>
      <c r="M24" s="1">
        <f>IFERROR($F12/SUM($D12:$F12),"")</f>
        <v/>
      </c>
      <c r="O24" t="n">
        <v>23</v>
      </c>
      <c r="P24" t="inlineStr">
        <is>
          <t>12/01/2026</t>
        </is>
      </c>
      <c r="Q24" t="inlineStr">
        <is>
          <t>CD</t>
        </is>
      </c>
      <c r="R24" t="n">
        <v>692</v>
      </c>
      <c r="S24" t="n">
        <v>396</v>
      </c>
      <c r="T24" t="n">
        <v>1086</v>
      </c>
    </row>
    <row r="25">
      <c r="A25" t="n">
        <v>24</v>
      </c>
      <c r="B25" t="inlineStr">
        <is>
          <t>12/04/2026</t>
        </is>
      </c>
      <c r="C25" t="inlineStr">
        <is>
          <t>CD</t>
        </is>
      </c>
      <c r="D25" t="n">
        <v>0</v>
      </c>
      <c r="E25" t="n">
        <v>0</v>
      </c>
      <c r="F25" t="n">
        <v>2160</v>
      </c>
      <c r="H25">
        <f>IF(B13="","",TEXT(B13,"dd/mm") &amp; "-" &amp; IF(UPPER(TRIM(C13))="CN",1,IF(UPPER(TRIM(C13))="CD",2,"")))</f>
        <v/>
      </c>
      <c r="I25" s="1" t="n">
        <v>0.21</v>
      </c>
      <c r="J25" s="1" t="n">
        <v>0.296470588235294</v>
      </c>
      <c r="K25" s="1">
        <f>IFERROR($E13/SUM($D13:$F13),"")</f>
        <v/>
      </c>
      <c r="L25" s="1">
        <f>IFERROR($D13/SUM($D13:$F13),"")</f>
        <v/>
      </c>
      <c r="M25" s="1">
        <f>IFERROR($F13/SUM($D13:$F13),"")</f>
        <v/>
      </c>
      <c r="O25" t="n">
        <v>24</v>
      </c>
      <c r="P25" t="inlineStr">
        <is>
          <t>13/01/2026</t>
        </is>
      </c>
      <c r="Q25" t="inlineStr">
        <is>
          <t>CN</t>
        </is>
      </c>
      <c r="R25" t="n">
        <v>298</v>
      </c>
      <c r="S25" t="n">
        <v>356</v>
      </c>
      <c r="T25" t="n">
        <v>1512</v>
      </c>
    </row>
    <row r="26">
      <c r="A26" t="n">
        <v>25</v>
      </c>
      <c r="B26" t="inlineStr">
        <is>
          <t>13/04/2026</t>
        </is>
      </c>
      <c r="C26" t="inlineStr">
        <is>
          <t>CN</t>
        </is>
      </c>
      <c r="D26" t="n">
        <v>469</v>
      </c>
      <c r="E26" t="n">
        <v>493</v>
      </c>
      <c r="F26" t="n">
        <v>1209</v>
      </c>
      <c r="H26">
        <f>IF(B14="","",TEXT(B14,"dd/mm") &amp; "-" &amp; IF(UPPER(TRIM(C14))="CN",1,IF(UPPER(TRIM(C14))="CD",2,"")))</f>
        <v/>
      </c>
      <c r="I26" s="1" t="n">
        <v>0.21</v>
      </c>
      <c r="J26" s="1" t="n">
        <v>0.296470588235294</v>
      </c>
      <c r="K26" s="1">
        <f>IFERROR($E14/SUM($D14:$F14),"")</f>
        <v/>
      </c>
      <c r="L26" s="1">
        <f>IFERROR($D14/SUM($D14:$F14),"")</f>
        <v/>
      </c>
      <c r="M26" s="1">
        <f>IFERROR($F14/SUM($D14:$F14),"")</f>
        <v/>
      </c>
      <c r="O26" t="n">
        <v>25</v>
      </c>
      <c r="P26" t="inlineStr">
        <is>
          <t>13/01/2026</t>
        </is>
      </c>
      <c r="Q26" t="inlineStr">
        <is>
          <t>CD</t>
        </is>
      </c>
      <c r="R26" t="n">
        <v>737</v>
      </c>
      <c r="S26" t="n">
        <v>392</v>
      </c>
      <c r="T26" t="n">
        <v>1047</v>
      </c>
    </row>
    <row r="27">
      <c r="A27" t="n">
        <v>26</v>
      </c>
      <c r="B27" t="inlineStr">
        <is>
          <t>13/04/2026</t>
        </is>
      </c>
      <c r="C27" t="inlineStr">
        <is>
          <t>CD</t>
        </is>
      </c>
      <c r="D27" t="n">
        <v>272</v>
      </c>
      <c r="E27" t="n">
        <v>505</v>
      </c>
      <c r="F27" t="n">
        <v>1397</v>
      </c>
      <c r="H27">
        <f>IF(B15="","",TEXT(B15,"dd/mm") &amp; "-" &amp; IF(UPPER(TRIM(C15))="CN",1,IF(UPPER(TRIM(C15))="CD",2,"")))</f>
        <v/>
      </c>
      <c r="I27" s="1" t="n">
        <v>0.21</v>
      </c>
      <c r="J27" s="1" t="n">
        <v>0.296470588235294</v>
      </c>
      <c r="K27" s="1">
        <f>IFERROR($E15/SUM($D15:$F15),"")</f>
        <v/>
      </c>
      <c r="L27" s="1">
        <f>IFERROR($D15/SUM($D15:$F15),"")</f>
        <v/>
      </c>
      <c r="M27" s="1">
        <f>IFERROR($F15/SUM($D15:$F15),"")</f>
        <v/>
      </c>
      <c r="O27" t="n">
        <v>26</v>
      </c>
      <c r="P27" t="inlineStr">
        <is>
          <t>14/01/2026</t>
        </is>
      </c>
      <c r="Q27" t="inlineStr">
        <is>
          <t>CN</t>
        </is>
      </c>
      <c r="R27" t="n">
        <v>313</v>
      </c>
      <c r="S27" t="n">
        <v>399</v>
      </c>
      <c r="T27" t="n">
        <v>1455</v>
      </c>
    </row>
    <row r="28">
      <c r="A28" t="n">
        <v>27</v>
      </c>
      <c r="B28" t="inlineStr">
        <is>
          <t>14/04/2026</t>
        </is>
      </c>
      <c r="C28" t="inlineStr">
        <is>
          <t>CN</t>
        </is>
      </c>
      <c r="D28" t="n">
        <v>412</v>
      </c>
      <c r="E28" t="n">
        <v>517</v>
      </c>
      <c r="F28" t="n">
        <v>1235</v>
      </c>
      <c r="H28">
        <f>IF(B16="","",TEXT(B16,"dd/mm") &amp; "-" &amp; IF(UPPER(TRIM(C16))="CN",1,IF(UPPER(TRIM(C16))="CD",2,"")))</f>
        <v/>
      </c>
      <c r="I28" s="1" t="n">
        <v>0.21</v>
      </c>
      <c r="J28" s="1" t="n">
        <v>0.296470588235294</v>
      </c>
      <c r="K28" s="1">
        <f>IFERROR($E16/SUM($D16:$F16),"")</f>
        <v/>
      </c>
      <c r="L28" s="1">
        <f>IFERROR($D16/SUM($D16:$F16),"")</f>
        <v/>
      </c>
      <c r="M28" s="1">
        <f>IFERROR($F16/SUM($D16:$F16),"")</f>
        <v/>
      </c>
      <c r="O28" t="n">
        <v>27</v>
      </c>
      <c r="P28" t="inlineStr">
        <is>
          <t>14/01/2026</t>
        </is>
      </c>
      <c r="Q28" t="inlineStr">
        <is>
          <t>CD</t>
        </is>
      </c>
      <c r="R28" t="n">
        <v>781</v>
      </c>
      <c r="S28" t="n">
        <v>389</v>
      </c>
      <c r="T28" t="n">
        <v>1001</v>
      </c>
    </row>
    <row r="29">
      <c r="A29" t="n">
        <v>28</v>
      </c>
      <c r="B29" t="inlineStr">
        <is>
          <t>14/04/2026</t>
        </is>
      </c>
      <c r="C29" t="inlineStr">
        <is>
          <t>CD</t>
        </is>
      </c>
      <c r="D29" t="n">
        <v>315</v>
      </c>
      <c r="E29" t="n">
        <v>456</v>
      </c>
      <c r="F29" t="n">
        <v>1395</v>
      </c>
      <c r="H29">
        <f>IF(B17="","",TEXT(B17,"dd/mm") &amp; "-" &amp; IF(UPPER(TRIM(C17))="CN",1,IF(UPPER(TRIM(C17))="CD",2,"")))</f>
        <v/>
      </c>
      <c r="I29" s="1" t="n">
        <v>0.21</v>
      </c>
      <c r="J29" s="1" t="n">
        <v>0.296470588235294</v>
      </c>
      <c r="K29" s="1">
        <f>IFERROR($E17/SUM($D17:$F17),"")</f>
        <v/>
      </c>
      <c r="L29" s="1">
        <f>IFERROR($D17/SUM($D17:$F17),"")</f>
        <v/>
      </c>
      <c r="M29" s="1">
        <f>IFERROR($F17/SUM($D17:$F17),"")</f>
        <v/>
      </c>
      <c r="O29" t="n">
        <v>28</v>
      </c>
      <c r="P29" t="inlineStr">
        <is>
          <t>15/01/2026</t>
        </is>
      </c>
      <c r="Q29" t="inlineStr">
        <is>
          <t>CN</t>
        </is>
      </c>
      <c r="R29" t="n">
        <v>293</v>
      </c>
      <c r="S29" t="n">
        <v>398</v>
      </c>
      <c r="T29" t="n">
        <v>1475</v>
      </c>
    </row>
    <row r="30">
      <c r="A30" t="n">
        <v>29</v>
      </c>
      <c r="B30" t="inlineStr">
        <is>
          <t>15/04/2026</t>
        </is>
      </c>
      <c r="C30" t="inlineStr">
        <is>
          <t>CN</t>
        </is>
      </c>
      <c r="D30" t="n">
        <v>379</v>
      </c>
      <c r="E30" t="n">
        <v>559</v>
      </c>
      <c r="F30" t="n">
        <v>1228</v>
      </c>
      <c r="H30">
        <f>IF(B18="","",TEXT(B18,"dd/mm") &amp; "-" &amp; IF(UPPER(TRIM(C18))="CN",1,IF(UPPER(TRIM(C18))="CD",2,"")))</f>
        <v/>
      </c>
      <c r="I30" s="1" t="n">
        <v>0.21</v>
      </c>
      <c r="J30" s="1" t="n">
        <v>0.296470588235294</v>
      </c>
      <c r="K30" s="1">
        <f>IFERROR($E18/SUM($D18:$F18),"")</f>
        <v/>
      </c>
      <c r="L30" s="1">
        <f>IFERROR($D18/SUM($D18:$F18),"")</f>
        <v/>
      </c>
      <c r="M30" s="1">
        <f>IFERROR($F18/SUM($D18:$F18),"")</f>
        <v/>
      </c>
      <c r="O30" t="n">
        <v>29</v>
      </c>
      <c r="P30" t="inlineStr">
        <is>
          <t>15/01/2026</t>
        </is>
      </c>
      <c r="Q30" t="inlineStr">
        <is>
          <t>CD</t>
        </is>
      </c>
      <c r="R30" t="n">
        <v>667</v>
      </c>
      <c r="S30" t="n">
        <v>432</v>
      </c>
      <c r="T30" t="n">
        <v>1071</v>
      </c>
    </row>
    <row r="31">
      <c r="A31" t="n">
        <v>30</v>
      </c>
      <c r="B31" t="inlineStr">
        <is>
          <t>15/04/2026</t>
        </is>
      </c>
      <c r="C31" t="inlineStr">
        <is>
          <t>CD</t>
        </is>
      </c>
      <c r="D31" t="n">
        <v>240</v>
      </c>
      <c r="E31" t="n">
        <v>521</v>
      </c>
      <c r="F31" t="n">
        <v>1406</v>
      </c>
      <c r="H31">
        <f>IF(B19="","",TEXT(B19,"dd/mm") &amp; "-" &amp; IF(UPPER(TRIM(C19))="CN",1,IF(UPPER(TRIM(C19))="CD",2,"")))</f>
        <v/>
      </c>
      <c r="I31" s="1" t="n">
        <v>0.21</v>
      </c>
      <c r="J31" s="1" t="n">
        <v>0.296470588235294</v>
      </c>
      <c r="K31" s="1">
        <f>IFERROR($E19/SUM($D19:$F19),"")</f>
        <v/>
      </c>
      <c r="L31" s="1">
        <f>IFERROR($D19/SUM($D19:$F19),"")</f>
        <v/>
      </c>
      <c r="M31" s="1">
        <f>IFERROR($F19/SUM($D19:$F19),"")</f>
        <v/>
      </c>
      <c r="O31" t="n">
        <v>30</v>
      </c>
      <c r="P31" t="inlineStr">
        <is>
          <t>16/01/2026</t>
        </is>
      </c>
      <c r="Q31" t="inlineStr">
        <is>
          <t>CN</t>
        </is>
      </c>
      <c r="R31" t="n">
        <v>308</v>
      </c>
      <c r="S31" t="n">
        <v>384</v>
      </c>
      <c r="T31" t="n">
        <v>1474</v>
      </c>
    </row>
    <row r="32">
      <c r="A32" t="n">
        <v>31</v>
      </c>
      <c r="B32" t="inlineStr">
        <is>
          <t>16/04/2026</t>
        </is>
      </c>
      <c r="C32" t="inlineStr">
        <is>
          <t>CN</t>
        </is>
      </c>
      <c r="D32" t="n">
        <v>441</v>
      </c>
      <c r="E32" t="n">
        <v>572</v>
      </c>
      <c r="F32" t="n">
        <v>1151</v>
      </c>
      <c r="H32">
        <f>IF(B20="","",TEXT(B20,"dd/mm") &amp; "-" &amp; IF(UPPER(TRIM(C20))="CN",1,IF(UPPER(TRIM(C20))="CD",2,"")))</f>
        <v/>
      </c>
      <c r="I32" s="1" t="n">
        <v>0.21</v>
      </c>
      <c r="J32" s="1" t="n">
        <v>0.296470588235294</v>
      </c>
      <c r="K32" s="1">
        <f>IFERROR($E20/SUM($D20:$F20),"")</f>
        <v/>
      </c>
      <c r="L32" s="1">
        <f>IFERROR($D20/SUM($D20:$F20),"")</f>
        <v/>
      </c>
      <c r="M32" s="1">
        <f>IFERROR($F20/SUM($D20:$F20),"")</f>
        <v/>
      </c>
      <c r="O32" t="n">
        <v>31</v>
      </c>
      <c r="P32" t="inlineStr">
        <is>
          <t>16/01/2026</t>
        </is>
      </c>
      <c r="Q32" t="inlineStr">
        <is>
          <t>CD</t>
        </is>
      </c>
      <c r="R32" t="n">
        <v>589</v>
      </c>
      <c r="S32" t="n">
        <v>361</v>
      </c>
      <c r="T32" t="n">
        <v>1216</v>
      </c>
    </row>
    <row r="33">
      <c r="A33" t="n">
        <v>32</v>
      </c>
      <c r="B33" t="inlineStr">
        <is>
          <t>16/04/2026</t>
        </is>
      </c>
      <c r="C33" t="inlineStr">
        <is>
          <t>CD</t>
        </is>
      </c>
      <c r="D33" t="n">
        <v>379</v>
      </c>
      <c r="E33" t="n">
        <v>466</v>
      </c>
      <c r="F33" t="n">
        <v>1324</v>
      </c>
      <c r="H33">
        <f>IF(B21="","",TEXT(B21,"dd/mm") &amp; "-" &amp; IF(UPPER(TRIM(C21))="CN",1,IF(UPPER(TRIM(C21))="CD",2,"")))</f>
        <v/>
      </c>
      <c r="I33" s="1" t="n">
        <v>0.21</v>
      </c>
      <c r="J33" s="1" t="n">
        <v>0.296470588235294</v>
      </c>
      <c r="K33" s="1">
        <f>IFERROR($E21/SUM($D21:$F21),"")</f>
        <v/>
      </c>
      <c r="L33" s="1">
        <f>IFERROR($D21/SUM($D21:$F21),"")</f>
        <v/>
      </c>
      <c r="M33" s="1">
        <f>IFERROR($F21/SUM($D21:$F21),"")</f>
        <v/>
      </c>
      <c r="O33" t="n">
        <v>32</v>
      </c>
      <c r="P33" t="inlineStr">
        <is>
          <t>17/01/2026</t>
        </is>
      </c>
      <c r="Q33" t="inlineStr">
        <is>
          <t>CN</t>
        </is>
      </c>
      <c r="R33" t="n">
        <v>571</v>
      </c>
      <c r="S33" t="n">
        <v>400</v>
      </c>
      <c r="T33" t="n">
        <v>1193</v>
      </c>
    </row>
    <row r="34">
      <c r="A34" t="n">
        <v>33</v>
      </c>
      <c r="B34" t="inlineStr">
        <is>
          <t>17/04/2026</t>
        </is>
      </c>
      <c r="C34" t="inlineStr">
        <is>
          <t>CN</t>
        </is>
      </c>
      <c r="D34" t="n">
        <v>522</v>
      </c>
      <c r="E34" t="n">
        <v>403</v>
      </c>
      <c r="F34" t="n">
        <v>1248</v>
      </c>
      <c r="H34">
        <f>IF(B22="","",TEXT(B22,"dd/mm") &amp; "-" &amp; IF(UPPER(TRIM(C22))="CN",1,IF(UPPER(TRIM(C22))="CD",2,"")))</f>
        <v/>
      </c>
      <c r="I34" s="1" t="n">
        <v>0.21</v>
      </c>
      <c r="J34" s="1" t="n">
        <v>0.296470588235294</v>
      </c>
      <c r="K34" s="1">
        <f>IFERROR($E22/SUM($D22:$F22),"")</f>
        <v/>
      </c>
      <c r="L34" s="1">
        <f>IFERROR($D22/SUM($D22:$F22),"")</f>
        <v/>
      </c>
      <c r="M34" s="1">
        <f>IFERROR($F22/SUM($D22:$F22),"")</f>
        <v/>
      </c>
      <c r="O34" t="n">
        <v>33</v>
      </c>
      <c r="P34" t="inlineStr">
        <is>
          <t>17/01/2026</t>
        </is>
      </c>
      <c r="Q34" t="inlineStr">
        <is>
          <t>CD</t>
        </is>
      </c>
      <c r="R34" t="n">
        <v>529</v>
      </c>
      <c r="S34" t="n">
        <v>351</v>
      </c>
      <c r="T34" t="n">
        <v>1289</v>
      </c>
    </row>
    <row r="35">
      <c r="A35" t="n">
        <v>34</v>
      </c>
      <c r="B35" t="inlineStr">
        <is>
          <t>17/04/2026</t>
        </is>
      </c>
      <c r="C35" t="inlineStr">
        <is>
          <t>CD</t>
        </is>
      </c>
      <c r="D35" t="n">
        <v>356</v>
      </c>
      <c r="E35" t="n">
        <v>431</v>
      </c>
      <c r="F35" t="n">
        <v>1379</v>
      </c>
      <c r="H35">
        <f>IF(B23="","",TEXT(B23,"dd/mm") &amp; "-" &amp; IF(UPPER(TRIM(C23))="CN",1,IF(UPPER(TRIM(C23))="CD",2,"")))</f>
        <v/>
      </c>
      <c r="I35" s="1" t="n">
        <v>0.21</v>
      </c>
      <c r="J35" s="1" t="n">
        <v>0.296470588235294</v>
      </c>
      <c r="K35" s="1">
        <f>IFERROR($E23/SUM($D23:$F23),"")</f>
        <v/>
      </c>
      <c r="L35" s="1">
        <f>IFERROR($D23/SUM($D23:$F23),"")</f>
        <v/>
      </c>
      <c r="M35" s="1">
        <f>IFERROR($F23/SUM($D23:$F23),"")</f>
        <v/>
      </c>
      <c r="O35" t="n">
        <v>34</v>
      </c>
      <c r="P35" t="inlineStr">
        <is>
          <t>18/01/2026</t>
        </is>
      </c>
      <c r="Q35" t="inlineStr">
        <is>
          <t>CN</t>
        </is>
      </c>
      <c r="R35" t="n">
        <v>0</v>
      </c>
      <c r="S35" t="n">
        <v>0</v>
      </c>
      <c r="T35" t="n">
        <v>2160</v>
      </c>
    </row>
    <row r="36">
      <c r="A36" t="n">
        <v>35</v>
      </c>
      <c r="B36" t="inlineStr">
        <is>
          <t>18/04/2026</t>
        </is>
      </c>
      <c r="C36" t="inlineStr">
        <is>
          <t>CN</t>
        </is>
      </c>
      <c r="D36" t="n">
        <v>612</v>
      </c>
      <c r="E36" t="n">
        <v>328</v>
      </c>
      <c r="F36" t="n">
        <v>1226</v>
      </c>
      <c r="H36">
        <f>IF(B24="","",TEXT(B24,"dd/mm") &amp; "-" &amp; IF(UPPER(TRIM(C24))="CN",1,IF(UPPER(TRIM(C24))="CD",2,"")))</f>
        <v/>
      </c>
      <c r="I36" s="1" t="n">
        <v>0.21</v>
      </c>
      <c r="J36" s="1" t="n">
        <v>0.296470588235294</v>
      </c>
      <c r="K36" s="1">
        <f>IFERROR($E24/SUM($D24:$F24),"")</f>
        <v/>
      </c>
      <c r="L36" s="1">
        <f>IFERROR($D24/SUM($D24:$F24),"")</f>
        <v/>
      </c>
      <c r="M36" s="1">
        <f>IFERROR($F24/SUM($D24:$F24),"")</f>
        <v/>
      </c>
      <c r="O36" t="n">
        <v>35</v>
      </c>
      <c r="P36" t="inlineStr">
        <is>
          <t>18/01/2026</t>
        </is>
      </c>
      <c r="Q36" t="inlineStr">
        <is>
          <t>CD</t>
        </is>
      </c>
      <c r="R36" t="n">
        <v>1</v>
      </c>
      <c r="S36" t="n">
        <v>2</v>
      </c>
      <c r="T36" t="n">
        <v>2156</v>
      </c>
    </row>
    <row r="37">
      <c r="A37" t="n">
        <v>36</v>
      </c>
      <c r="B37" t="inlineStr">
        <is>
          <t>18/04/2026</t>
        </is>
      </c>
      <c r="C37" t="inlineStr">
        <is>
          <t>CD</t>
        </is>
      </c>
      <c r="D37" t="n">
        <v>272</v>
      </c>
      <c r="E37" t="n">
        <v>364</v>
      </c>
      <c r="F37" t="n">
        <v>1528</v>
      </c>
      <c r="H37">
        <f>IF(B25="","",TEXT(B25,"dd/mm") &amp; "-" &amp; IF(UPPER(TRIM(C25))="CN",1,IF(UPPER(TRIM(C25))="CD",2,"")))</f>
        <v/>
      </c>
      <c r="I37" s="1" t="n">
        <v>0.21</v>
      </c>
      <c r="J37" s="1" t="n">
        <v>0.296470588235294</v>
      </c>
      <c r="K37" s="1">
        <f>IFERROR($E25/SUM($D25:$F25),"")</f>
        <v/>
      </c>
      <c r="L37" s="1">
        <f>IFERROR($D25/SUM($D25:$F25),"")</f>
        <v/>
      </c>
      <c r="M37" s="1">
        <f>IFERROR($F25/SUM($D25:$F25),"")</f>
        <v/>
      </c>
      <c r="O37" t="n">
        <v>36</v>
      </c>
      <c r="P37" t="inlineStr">
        <is>
          <t>19/01/2026</t>
        </is>
      </c>
      <c r="Q37" t="inlineStr">
        <is>
          <t>CN</t>
        </is>
      </c>
      <c r="R37" t="n">
        <v>550</v>
      </c>
      <c r="S37" t="n">
        <v>379</v>
      </c>
      <c r="T37" t="n">
        <v>1240</v>
      </c>
    </row>
    <row r="38">
      <c r="A38" t="n">
        <v>37</v>
      </c>
      <c r="B38" t="inlineStr">
        <is>
          <t>19/04/2026</t>
        </is>
      </c>
      <c r="C38" t="inlineStr">
        <is>
          <t>CN</t>
        </is>
      </c>
      <c r="D38" t="n">
        <v>0</v>
      </c>
      <c r="E38" t="n">
        <v>0</v>
      </c>
      <c r="F38" t="n">
        <v>2160</v>
      </c>
      <c r="H38">
        <f>IF(B26="","",TEXT(B26,"dd/mm") &amp; "-" &amp; IF(UPPER(TRIM(C26))="CN",1,IF(UPPER(TRIM(C26))="CD",2,"")))</f>
        <v/>
      </c>
      <c r="I38" s="1" t="n">
        <v>0.21</v>
      </c>
      <c r="J38" s="1" t="n">
        <v>0.296470588235294</v>
      </c>
      <c r="K38" s="1">
        <f>IFERROR($E26/SUM($D26:$F26),"")</f>
        <v/>
      </c>
      <c r="L38" s="1">
        <f>IFERROR($D26/SUM($D26:$F26),"")</f>
        <v/>
      </c>
      <c r="M38" s="1">
        <f>IFERROR($F26/SUM($D26:$F26),"")</f>
        <v/>
      </c>
      <c r="O38" t="n">
        <v>37</v>
      </c>
      <c r="P38" t="inlineStr">
        <is>
          <t>19/01/2026</t>
        </is>
      </c>
      <c r="Q38" t="inlineStr">
        <is>
          <t>CD</t>
        </is>
      </c>
      <c r="R38" t="n">
        <v>354</v>
      </c>
      <c r="S38" t="n">
        <v>372</v>
      </c>
      <c r="T38" t="n">
        <v>1444</v>
      </c>
    </row>
    <row r="39">
      <c r="A39" t="n">
        <v>38</v>
      </c>
      <c r="B39" t="inlineStr">
        <is>
          <t>19/04/2026</t>
        </is>
      </c>
      <c r="C39" t="inlineStr">
        <is>
          <t>CD</t>
        </is>
      </c>
      <c r="D39" t="n">
        <v>0</v>
      </c>
      <c r="E39" t="n">
        <v>0</v>
      </c>
      <c r="F39" t="n">
        <v>2160</v>
      </c>
      <c r="H39">
        <f>IF(B27="","",TEXT(B27,"dd/mm") &amp; "-" &amp; IF(UPPER(TRIM(C27))="CN",1,IF(UPPER(TRIM(C27))="CD",2,"")))</f>
        <v/>
      </c>
      <c r="I39" s="1" t="n">
        <v>0.21</v>
      </c>
      <c r="J39" s="1" t="n">
        <v>0.296470588235294</v>
      </c>
      <c r="K39" s="1">
        <f>IFERROR($E27/SUM($D27:$F27),"")</f>
        <v/>
      </c>
      <c r="L39" s="1">
        <f>IFERROR($D27/SUM($D27:$F27),"")</f>
        <v/>
      </c>
      <c r="M39" s="1">
        <f>IFERROR($F27/SUM($D27:$F27),"")</f>
        <v/>
      </c>
      <c r="O39" t="n">
        <v>38</v>
      </c>
      <c r="P39" t="inlineStr">
        <is>
          <t>20/01/2026</t>
        </is>
      </c>
      <c r="Q39" t="inlineStr">
        <is>
          <t>CN</t>
        </is>
      </c>
      <c r="R39" t="n">
        <v>550</v>
      </c>
      <c r="S39" t="n">
        <v>344</v>
      </c>
      <c r="T39" t="n">
        <v>1275</v>
      </c>
    </row>
    <row r="40">
      <c r="A40" t="n">
        <v>39</v>
      </c>
      <c r="B40" t="inlineStr">
        <is>
          <t>20/04/2026</t>
        </is>
      </c>
      <c r="C40" t="inlineStr">
        <is>
          <t>CN</t>
        </is>
      </c>
      <c r="D40" t="n">
        <v>292</v>
      </c>
      <c r="E40" t="n">
        <v>390</v>
      </c>
      <c r="F40" t="n">
        <v>1485</v>
      </c>
      <c r="H40">
        <f>IF(B28="","",TEXT(B28,"dd/mm") &amp; "-" &amp; IF(UPPER(TRIM(C28))="CN",1,IF(UPPER(TRIM(C28))="CD",2,"")))</f>
        <v/>
      </c>
      <c r="I40" s="1" t="n">
        <v>0.21</v>
      </c>
      <c r="J40" s="1" t="n">
        <v>0.296470588235294</v>
      </c>
      <c r="K40" s="1">
        <f>IFERROR($E28/SUM($D28:$F28),"")</f>
        <v/>
      </c>
      <c r="L40" s="1">
        <f>IFERROR($D28/SUM($D28:$F28),"")</f>
        <v/>
      </c>
      <c r="M40" s="1">
        <f>IFERROR($F28/SUM($D28:$F28),"")</f>
        <v/>
      </c>
      <c r="O40" t="n">
        <v>39</v>
      </c>
      <c r="P40" t="inlineStr">
        <is>
          <t>20/01/2026</t>
        </is>
      </c>
      <c r="Q40" t="inlineStr">
        <is>
          <t>CD</t>
        </is>
      </c>
      <c r="R40" t="n">
        <v>693</v>
      </c>
      <c r="S40" t="n">
        <v>316</v>
      </c>
      <c r="T40" t="n">
        <v>1156</v>
      </c>
    </row>
    <row r="41">
      <c r="A41" t="n">
        <v>40</v>
      </c>
      <c r="B41" t="inlineStr">
        <is>
          <t>20/04/2026</t>
        </is>
      </c>
      <c r="C41" t="inlineStr">
        <is>
          <t>CD</t>
        </is>
      </c>
      <c r="D41" t="n">
        <v>546</v>
      </c>
      <c r="E41" t="n">
        <v>557</v>
      </c>
      <c r="F41" t="n">
        <v>1066</v>
      </c>
      <c r="H41">
        <f>IF(B29="","",TEXT(B29,"dd/mm") &amp; "-" &amp; IF(UPPER(TRIM(C29))="CN",1,IF(UPPER(TRIM(C29))="CD",2,"")))</f>
        <v/>
      </c>
      <c r="I41" s="1" t="n">
        <v>0.21</v>
      </c>
      <c r="J41" s="1" t="n">
        <v>0.296470588235294</v>
      </c>
      <c r="K41" s="1">
        <f>IFERROR($E29/SUM($D29:$F29),"")</f>
        <v/>
      </c>
      <c r="L41" s="1">
        <f>IFERROR($D29/SUM($D29:$F29),"")</f>
        <v/>
      </c>
      <c r="M41" s="1">
        <f>IFERROR($F29/SUM($D29:$F29),"")</f>
        <v/>
      </c>
      <c r="O41" t="n">
        <v>40</v>
      </c>
      <c r="P41" t="inlineStr">
        <is>
          <t>21/01/2026</t>
        </is>
      </c>
      <c r="Q41" t="inlineStr">
        <is>
          <t>CN</t>
        </is>
      </c>
      <c r="R41" t="n">
        <v>671</v>
      </c>
      <c r="S41" t="n">
        <v>410</v>
      </c>
      <c r="T41" t="n">
        <v>1091</v>
      </c>
    </row>
    <row r="42">
      <c r="A42" t="n">
        <v>41</v>
      </c>
      <c r="B42" t="inlineStr">
        <is>
          <t>21/04/2026</t>
        </is>
      </c>
      <c r="C42" t="inlineStr">
        <is>
          <t>CN</t>
        </is>
      </c>
      <c r="D42" t="n">
        <v>296</v>
      </c>
      <c r="E42" t="n">
        <v>447</v>
      </c>
      <c r="F42" t="n">
        <v>1424</v>
      </c>
      <c r="H42">
        <f>IF(B30="","",TEXT(B30,"dd/mm") &amp; "-" &amp; IF(UPPER(TRIM(C30))="CN",1,IF(UPPER(TRIM(C30))="CD",2,"")))</f>
        <v/>
      </c>
      <c r="I42" s="1" t="n">
        <v>0.21</v>
      </c>
      <c r="J42" s="1" t="n">
        <v>0.296470588235294</v>
      </c>
      <c r="K42" s="1">
        <f>IFERROR($E30/SUM($D30:$F30),"")</f>
        <v/>
      </c>
      <c r="L42" s="1">
        <f>IFERROR($D30/SUM($D30:$F30),"")</f>
        <v/>
      </c>
      <c r="M42" s="1">
        <f>IFERROR($F30/SUM($D30:$F30),"")</f>
        <v/>
      </c>
      <c r="O42" t="n">
        <v>41</v>
      </c>
      <c r="P42" t="inlineStr">
        <is>
          <t>21/01/2026</t>
        </is>
      </c>
      <c r="Q42" t="inlineStr">
        <is>
          <t>CD</t>
        </is>
      </c>
      <c r="R42" t="n">
        <v>709</v>
      </c>
      <c r="S42" t="n">
        <v>328</v>
      </c>
      <c r="T42" t="n">
        <v>1129</v>
      </c>
    </row>
    <row r="43">
      <c r="A43" t="n">
        <v>42</v>
      </c>
      <c r="B43" t="inlineStr">
        <is>
          <t>21/04/2026</t>
        </is>
      </c>
      <c r="C43" t="inlineStr">
        <is>
          <t>CD</t>
        </is>
      </c>
      <c r="D43" t="n">
        <v>424</v>
      </c>
      <c r="E43" t="n">
        <v>634</v>
      </c>
      <c r="F43" t="n">
        <v>1112</v>
      </c>
      <c r="H43">
        <f>IF(B31="","",TEXT(B31,"dd/mm") &amp; "-" &amp; IF(UPPER(TRIM(C31))="CN",1,IF(UPPER(TRIM(C31))="CD",2,"")))</f>
        <v/>
      </c>
      <c r="I43" s="1" t="n">
        <v>0.21</v>
      </c>
      <c r="J43" s="1" t="n">
        <v>0.296470588235294</v>
      </c>
      <c r="K43" s="1">
        <f>IFERROR($E31/SUM($D31:$F31),"")</f>
        <v/>
      </c>
      <c r="L43" s="1">
        <f>IFERROR($D31/SUM($D31:$F31),"")</f>
        <v/>
      </c>
      <c r="M43" s="1">
        <f>IFERROR($F31/SUM($D31:$F31),"")</f>
        <v/>
      </c>
      <c r="O43" t="n">
        <v>42</v>
      </c>
      <c r="P43" t="inlineStr">
        <is>
          <t>22/01/2026</t>
        </is>
      </c>
      <c r="Q43" t="inlineStr">
        <is>
          <t>CN</t>
        </is>
      </c>
      <c r="R43" t="n">
        <v>632</v>
      </c>
      <c r="S43" t="n">
        <v>411</v>
      </c>
      <c r="T43" t="n">
        <v>1126</v>
      </c>
    </row>
    <row r="44">
      <c r="A44" t="n">
        <v>43</v>
      </c>
      <c r="B44" t="inlineStr">
        <is>
          <t>22/04/2026</t>
        </is>
      </c>
      <c r="C44" t="inlineStr">
        <is>
          <t>CN</t>
        </is>
      </c>
      <c r="D44" t="n">
        <v>527</v>
      </c>
      <c r="E44" t="n">
        <v>434</v>
      </c>
      <c r="F44" t="n">
        <v>1203</v>
      </c>
      <c r="H44">
        <f>IF(B32="","",TEXT(B32,"dd/mm") &amp; "-" &amp; IF(UPPER(TRIM(C32))="CN",1,IF(UPPER(TRIM(C32))="CD",2,"")))</f>
        <v/>
      </c>
      <c r="I44" s="1" t="n">
        <v>0.21</v>
      </c>
      <c r="J44" s="1" t="n">
        <v>0.296470588235294</v>
      </c>
      <c r="K44" s="1">
        <f>IFERROR($E32/SUM($D32:$F32),"")</f>
        <v/>
      </c>
      <c r="L44" s="1">
        <f>IFERROR($D32/SUM($D32:$F32),"")</f>
        <v/>
      </c>
      <c r="M44" s="1">
        <f>IFERROR($F32/SUM($D32:$F32),"")</f>
        <v/>
      </c>
      <c r="O44" t="n">
        <v>43</v>
      </c>
      <c r="P44" t="inlineStr">
        <is>
          <t>22/01/2026</t>
        </is>
      </c>
      <c r="Q44" t="inlineStr">
        <is>
          <t>CD</t>
        </is>
      </c>
      <c r="R44" t="n">
        <v>739</v>
      </c>
      <c r="S44" t="n">
        <v>382</v>
      </c>
      <c r="T44" t="n">
        <v>1045</v>
      </c>
    </row>
    <row r="45">
      <c r="A45" t="n">
        <v>44</v>
      </c>
      <c r="B45" t="inlineStr">
        <is>
          <t>22/04/2026</t>
        </is>
      </c>
      <c r="C45" t="inlineStr">
        <is>
          <t>CD</t>
        </is>
      </c>
      <c r="D45" t="n">
        <v>466</v>
      </c>
      <c r="E45" t="n">
        <v>644</v>
      </c>
      <c r="F45" t="n">
        <v>1059</v>
      </c>
      <c r="H45">
        <f>IF(B33="","",TEXT(B33,"dd/mm") &amp; "-" &amp; IF(UPPER(TRIM(C33))="CN",1,IF(UPPER(TRIM(C33))="CD",2,"")))</f>
        <v/>
      </c>
      <c r="I45" s="1" t="n">
        <v>0.21</v>
      </c>
      <c r="J45" s="1" t="n">
        <v>0.296470588235294</v>
      </c>
      <c r="K45" s="1">
        <f>IFERROR($E33/SUM($D33:$F33),"")</f>
        <v/>
      </c>
      <c r="L45" s="1">
        <f>IFERROR($D33/SUM($D33:$F33),"")</f>
        <v/>
      </c>
      <c r="M45" s="1">
        <f>IFERROR($F33/SUM($D33:$F33),"")</f>
        <v/>
      </c>
      <c r="O45" t="n">
        <v>44</v>
      </c>
      <c r="P45" t="inlineStr">
        <is>
          <t>23/01/2026</t>
        </is>
      </c>
      <c r="Q45" t="inlineStr">
        <is>
          <t>CN</t>
        </is>
      </c>
      <c r="R45" t="n">
        <v>453</v>
      </c>
      <c r="S45" t="n">
        <v>543</v>
      </c>
      <c r="T45" t="n">
        <v>1174</v>
      </c>
    </row>
    <row r="46">
      <c r="A46" t="n">
        <v>45</v>
      </c>
      <c r="B46" t="inlineStr">
        <is>
          <t>23/04/2026</t>
        </is>
      </c>
      <c r="C46" t="inlineStr">
        <is>
          <t>CN</t>
        </is>
      </c>
      <c r="D46" t="n">
        <v>349</v>
      </c>
      <c r="E46" t="n">
        <v>360</v>
      </c>
      <c r="F46" t="n">
        <v>1454</v>
      </c>
      <c r="H46">
        <f>IF(B34="","",TEXT(B34,"dd/mm") &amp; "-" &amp; IF(UPPER(TRIM(C34))="CN",1,IF(UPPER(TRIM(C34))="CD",2,"")))</f>
        <v/>
      </c>
      <c r="I46" s="1" t="n">
        <v>0.21</v>
      </c>
      <c r="J46" s="1" t="n">
        <v>0.296470588235294</v>
      </c>
      <c r="K46" s="1">
        <f>IFERROR($E34/SUM($D34:$F34),"")</f>
        <v/>
      </c>
      <c r="L46" s="1">
        <f>IFERROR($D34/SUM($D34:$F34),"")</f>
        <v/>
      </c>
      <c r="M46" s="1">
        <f>IFERROR($F34/SUM($D34:$F34),"")</f>
        <v/>
      </c>
      <c r="O46" t="n">
        <v>45</v>
      </c>
      <c r="P46" t="inlineStr">
        <is>
          <t>23/01/2026</t>
        </is>
      </c>
      <c r="Q46" t="inlineStr">
        <is>
          <t>CD</t>
        </is>
      </c>
      <c r="R46" t="n">
        <v>753</v>
      </c>
      <c r="S46" t="n">
        <v>485</v>
      </c>
      <c r="T46" t="n">
        <v>930</v>
      </c>
    </row>
    <row r="47">
      <c r="A47" t="n">
        <v>46</v>
      </c>
      <c r="B47" t="inlineStr">
        <is>
          <t>23/04/2026</t>
        </is>
      </c>
      <c r="C47" t="inlineStr">
        <is>
          <t>CD</t>
        </is>
      </c>
      <c r="D47" t="n">
        <v>972</v>
      </c>
      <c r="E47" t="n">
        <v>560</v>
      </c>
      <c r="F47" t="n">
        <v>649</v>
      </c>
      <c r="H47">
        <f>IF(B35="","",TEXT(B35,"dd/mm") &amp; "-" &amp; IF(UPPER(TRIM(C35))="CN",1,IF(UPPER(TRIM(C35))="CD",2,"")))</f>
        <v/>
      </c>
      <c r="I47" s="1" t="n">
        <v>0.21</v>
      </c>
      <c r="J47" s="1" t="n">
        <v>0.296470588235294</v>
      </c>
      <c r="K47" s="1">
        <f>IFERROR($E35/SUM($D35:$F35),"")</f>
        <v/>
      </c>
      <c r="L47" s="1">
        <f>IFERROR($D35/SUM($D35:$F35),"")</f>
        <v/>
      </c>
      <c r="M47" s="1">
        <f>IFERROR($F35/SUM($D35:$F35),"")</f>
        <v/>
      </c>
      <c r="O47" t="n">
        <v>46</v>
      </c>
      <c r="P47" t="inlineStr">
        <is>
          <t>24/01/2026</t>
        </is>
      </c>
      <c r="Q47" t="inlineStr">
        <is>
          <t>CN</t>
        </is>
      </c>
      <c r="R47" t="n">
        <v>409</v>
      </c>
      <c r="S47" t="n">
        <v>499</v>
      </c>
      <c r="T47" t="n">
        <v>1266</v>
      </c>
    </row>
    <row r="48">
      <c r="A48" t="n">
        <v>47</v>
      </c>
      <c r="B48" t="inlineStr">
        <is>
          <t>24/04/2026</t>
        </is>
      </c>
      <c r="C48" t="inlineStr">
        <is>
          <t>CN</t>
        </is>
      </c>
      <c r="D48" t="n">
        <v>513</v>
      </c>
      <c r="E48" t="n">
        <v>385</v>
      </c>
      <c r="F48" t="n">
        <v>1267</v>
      </c>
      <c r="H48">
        <f>IF(B36="","",TEXT(B36,"dd/mm") &amp; "-" &amp; IF(UPPER(TRIM(C36))="CN",1,IF(UPPER(TRIM(C36))="CD",2,"")))</f>
        <v/>
      </c>
      <c r="I48" s="1" t="n">
        <v>0.21</v>
      </c>
      <c r="J48" s="1" t="n">
        <v>0.296470588235294</v>
      </c>
      <c r="K48" s="1">
        <f>IFERROR($E36/SUM($D36:$F36),"")</f>
        <v/>
      </c>
      <c r="L48" s="1">
        <f>IFERROR($D36/SUM($D36:$F36),"")</f>
        <v/>
      </c>
      <c r="M48" s="1">
        <f>IFERROR($F36/SUM($D36:$F36),"")</f>
        <v/>
      </c>
      <c r="O48" t="n">
        <v>47</v>
      </c>
      <c r="P48" t="inlineStr">
        <is>
          <t>24/01/2026</t>
        </is>
      </c>
      <c r="Q48" t="inlineStr">
        <is>
          <t>CD</t>
        </is>
      </c>
      <c r="R48" t="n">
        <v>276</v>
      </c>
      <c r="S48" t="n">
        <v>391</v>
      </c>
      <c r="T48" t="n">
        <v>1497</v>
      </c>
    </row>
    <row r="49">
      <c r="A49" t="n">
        <v>48</v>
      </c>
      <c r="B49" t="inlineStr">
        <is>
          <t>24/04/2026</t>
        </is>
      </c>
      <c r="C49" t="inlineStr">
        <is>
          <t>CD</t>
        </is>
      </c>
      <c r="D49" t="n">
        <v>504</v>
      </c>
      <c r="E49" t="n">
        <v>528</v>
      </c>
      <c r="F49" t="n">
        <v>1136</v>
      </c>
      <c r="H49">
        <f>IF(B37="","",TEXT(B37,"dd/mm") &amp; "-" &amp; IF(UPPER(TRIM(C37))="CN",1,IF(UPPER(TRIM(C37))="CD",2,"")))</f>
        <v/>
      </c>
      <c r="I49" s="1" t="n">
        <v>0.21</v>
      </c>
      <c r="J49" s="1" t="n">
        <v>0.296470588235294</v>
      </c>
      <c r="K49" s="1">
        <f>IFERROR($E37/SUM($D37:$F37),"")</f>
        <v/>
      </c>
      <c r="L49" s="1">
        <f>IFERROR($D37/SUM($D37:$F37),"")</f>
        <v/>
      </c>
      <c r="M49" s="1">
        <f>IFERROR($F37/SUM($D37:$F37),"")</f>
        <v/>
      </c>
      <c r="O49" t="n">
        <v>48</v>
      </c>
      <c r="P49" t="inlineStr">
        <is>
          <t>25/01/2026</t>
        </is>
      </c>
      <c r="Q49" t="inlineStr">
        <is>
          <t>CN</t>
        </is>
      </c>
      <c r="R49" t="n">
        <v>0</v>
      </c>
      <c r="S49" t="n">
        <v>0</v>
      </c>
      <c r="T49" t="n">
        <v>2160</v>
      </c>
    </row>
    <row r="50">
      <c r="A50" t="n">
        <v>49</v>
      </c>
      <c r="B50" t="inlineStr">
        <is>
          <t>25/04/2026</t>
        </is>
      </c>
      <c r="C50" t="inlineStr">
        <is>
          <t>CN</t>
        </is>
      </c>
      <c r="D50" t="n">
        <v>238</v>
      </c>
      <c r="E50" t="n">
        <v>230</v>
      </c>
      <c r="F50" t="n">
        <v>1692</v>
      </c>
      <c r="H50">
        <f>IF(B38="","",TEXT(B38,"dd/mm") &amp; "-" &amp; IF(UPPER(TRIM(C38))="CN",1,IF(UPPER(TRIM(C38))="CD",2,"")))</f>
        <v/>
      </c>
      <c r="I50" s="1" t="n">
        <v>0.21</v>
      </c>
      <c r="J50" s="1" t="n">
        <v>0.296470588235294</v>
      </c>
      <c r="K50" s="1">
        <f>IFERROR($E38/SUM($D38:$F38),"")</f>
        <v/>
      </c>
      <c r="L50" s="1">
        <f>IFERROR($D38/SUM($D38:$F38),"")</f>
        <v/>
      </c>
      <c r="M50" s="1">
        <f>IFERROR($F38/SUM($D38:$F38),"")</f>
        <v/>
      </c>
      <c r="O50" t="n">
        <v>49</v>
      </c>
      <c r="P50" t="inlineStr">
        <is>
          <t>25/01/2026</t>
        </is>
      </c>
      <c r="Q50" t="inlineStr">
        <is>
          <t>CD</t>
        </is>
      </c>
      <c r="R50" t="n">
        <v>0</v>
      </c>
      <c r="S50" t="n">
        <v>0</v>
      </c>
      <c r="T50" t="n">
        <v>2160</v>
      </c>
    </row>
    <row r="51">
      <c r="A51" t="n">
        <v>50</v>
      </c>
      <c r="B51" t="inlineStr">
        <is>
          <t>25/04/2026</t>
        </is>
      </c>
      <c r="C51" t="inlineStr">
        <is>
          <t>CD</t>
        </is>
      </c>
      <c r="D51" t="n">
        <v>0</v>
      </c>
      <c r="E51" t="n">
        <v>0</v>
      </c>
      <c r="F51" t="n">
        <v>2160</v>
      </c>
      <c r="H51">
        <f>IF(B39="","",TEXT(B39,"dd/mm") &amp; "-" &amp; IF(UPPER(TRIM(C39))="CN",1,IF(UPPER(TRIM(C39))="CD",2,"")))</f>
        <v/>
      </c>
      <c r="I51" s="1" t="n">
        <v>0.21</v>
      </c>
      <c r="J51" s="1" t="n">
        <v>0.296470588235294</v>
      </c>
      <c r="K51" s="1">
        <f>IFERROR($E39/SUM($D39:$F39),"")</f>
        <v/>
      </c>
      <c r="L51" s="1">
        <f>IFERROR($D39/SUM($D39:$F39),"")</f>
        <v/>
      </c>
      <c r="M51" s="1">
        <f>IFERROR($F39/SUM($D39:$F39),"")</f>
        <v/>
      </c>
      <c r="O51" t="n">
        <v>50</v>
      </c>
      <c r="P51" t="inlineStr">
        <is>
          <t>26/01/2026</t>
        </is>
      </c>
      <c r="Q51" t="inlineStr">
        <is>
          <t>CN</t>
        </is>
      </c>
      <c r="R51" t="n">
        <v>289</v>
      </c>
      <c r="S51" t="n">
        <v>390</v>
      </c>
      <c r="T51" t="n">
        <v>1486</v>
      </c>
    </row>
    <row r="52">
      <c r="A52" t="n">
        <v>51</v>
      </c>
      <c r="B52" t="inlineStr">
        <is>
          <t>26/04/2026</t>
        </is>
      </c>
      <c r="C52" t="inlineStr">
        <is>
          <t>CN</t>
        </is>
      </c>
      <c r="D52" t="n">
        <v>0</v>
      </c>
      <c r="E52" t="n">
        <v>0</v>
      </c>
      <c r="F52" t="n">
        <v>2160</v>
      </c>
      <c r="H52">
        <f>IF(B40="","",TEXT(B40,"dd/mm") &amp; "-" &amp; IF(UPPER(TRIM(C40))="CN",1,IF(UPPER(TRIM(C40))="CD",2,"")))</f>
        <v/>
      </c>
      <c r="I52" s="1" t="n">
        <v>0.21</v>
      </c>
      <c r="J52" s="1" t="n">
        <v>0.296470588235294</v>
      </c>
      <c r="K52" s="1">
        <f>IFERROR($E40/SUM($D40:$F40),"")</f>
        <v/>
      </c>
      <c r="L52" s="1">
        <f>IFERROR($D40/SUM($D40:$F40),"")</f>
        <v/>
      </c>
      <c r="M52" s="1">
        <f>IFERROR($F40/SUM($D40:$F40),"")</f>
        <v/>
      </c>
      <c r="O52" t="n">
        <v>51</v>
      </c>
      <c r="P52" t="inlineStr">
        <is>
          <t>26/01/2026</t>
        </is>
      </c>
      <c r="Q52" t="inlineStr">
        <is>
          <t>CD</t>
        </is>
      </c>
      <c r="R52" t="n">
        <v>682</v>
      </c>
      <c r="S52" t="n">
        <v>422</v>
      </c>
      <c r="T52" t="n">
        <v>1064</v>
      </c>
    </row>
    <row r="53">
      <c r="A53" t="n">
        <v>52</v>
      </c>
      <c r="B53" t="inlineStr">
        <is>
          <t>26/04/2026</t>
        </is>
      </c>
      <c r="C53" t="inlineStr">
        <is>
          <t>CD</t>
        </is>
      </c>
      <c r="D53" t="n">
        <v>0</v>
      </c>
      <c r="E53" t="n">
        <v>0</v>
      </c>
      <c r="F53" t="n">
        <v>2160</v>
      </c>
      <c r="H53">
        <f>IF(B41="","",TEXT(B41,"dd/mm") &amp; "-" &amp; IF(UPPER(TRIM(C41))="CN",1,IF(UPPER(TRIM(C41))="CD",2,"")))</f>
        <v/>
      </c>
      <c r="I53" s="1" t="n">
        <v>0.21</v>
      </c>
      <c r="J53" s="1" t="n">
        <v>0.296470588235294</v>
      </c>
      <c r="K53" s="1">
        <f>IFERROR($E41/SUM($D41:$F41),"")</f>
        <v/>
      </c>
      <c r="L53" s="1">
        <f>IFERROR($D41/SUM($D41:$F41),"")</f>
        <v/>
      </c>
      <c r="M53" s="1">
        <f>IFERROR($F41/SUM($D41:$F41),"")</f>
        <v/>
      </c>
      <c r="O53" t="n">
        <v>52</v>
      </c>
      <c r="P53" t="inlineStr">
        <is>
          <t>27/01/2026</t>
        </is>
      </c>
      <c r="Q53" t="inlineStr">
        <is>
          <t>CN</t>
        </is>
      </c>
      <c r="R53" t="n">
        <v>542</v>
      </c>
      <c r="S53" t="n">
        <v>433</v>
      </c>
      <c r="T53" t="n">
        <v>1190</v>
      </c>
    </row>
    <row r="54">
      <c r="A54" t="n">
        <v>53</v>
      </c>
      <c r="B54" t="inlineStr">
        <is>
          <t>27/04/2026</t>
        </is>
      </c>
      <c r="C54" t="inlineStr">
        <is>
          <t>CN</t>
        </is>
      </c>
      <c r="D54" t="n">
        <v>259</v>
      </c>
      <c r="E54" t="n">
        <v>229</v>
      </c>
      <c r="F54" t="n">
        <v>1679</v>
      </c>
      <c r="H54">
        <f>IF(B42="","",TEXT(B42,"dd/mm") &amp; "-" &amp; IF(UPPER(TRIM(C42))="CN",1,IF(UPPER(TRIM(C42))="CD",2,"")))</f>
        <v/>
      </c>
      <c r="I54" s="1" t="n">
        <v>0.21</v>
      </c>
      <c r="J54" s="1" t="n">
        <v>0.296470588235294</v>
      </c>
      <c r="K54" s="1">
        <f>IFERROR($E42/SUM($D42:$F42),"")</f>
        <v/>
      </c>
      <c r="L54" s="1">
        <f>IFERROR($D42/SUM($D42:$F42),"")</f>
        <v/>
      </c>
      <c r="M54" s="1">
        <f>IFERROR($F42/SUM($D42:$F42),"")</f>
        <v/>
      </c>
      <c r="O54" t="n">
        <v>53</v>
      </c>
      <c r="P54" t="inlineStr">
        <is>
          <t>27/01/2026</t>
        </is>
      </c>
      <c r="Q54" t="inlineStr">
        <is>
          <t>CD</t>
        </is>
      </c>
      <c r="R54" t="n">
        <v>951</v>
      </c>
      <c r="S54" t="n">
        <v>652</v>
      </c>
      <c r="T54" t="n">
        <v>582</v>
      </c>
    </row>
    <row r="55">
      <c r="A55" t="n">
        <v>54</v>
      </c>
      <c r="B55" t="inlineStr">
        <is>
          <t>27/04/2026</t>
        </is>
      </c>
      <c r="C55" t="inlineStr">
        <is>
          <t>CD</t>
        </is>
      </c>
      <c r="D55" t="n">
        <v>345</v>
      </c>
      <c r="E55" t="n">
        <v>512</v>
      </c>
      <c r="F55" t="n">
        <v>1309</v>
      </c>
      <c r="H55">
        <f>IF(B43="","",TEXT(B43,"dd/mm") &amp; "-" &amp; IF(UPPER(TRIM(C43))="CN",1,IF(UPPER(TRIM(C43))="CD",2,"")))</f>
        <v/>
      </c>
      <c r="I55" s="1" t="n">
        <v>0.21</v>
      </c>
      <c r="J55" s="1" t="n">
        <v>0.296470588235294</v>
      </c>
      <c r="K55" s="1">
        <f>IFERROR($E43/SUM($D43:$F43),"")</f>
        <v/>
      </c>
      <c r="L55" s="1">
        <f>IFERROR($D43/SUM($D43:$F43),"")</f>
        <v/>
      </c>
      <c r="M55" s="1">
        <f>IFERROR($F43/SUM($D43:$F43),"")</f>
        <v/>
      </c>
      <c r="O55" t="n">
        <v>54</v>
      </c>
      <c r="P55" t="inlineStr">
        <is>
          <t>28/01/2026</t>
        </is>
      </c>
      <c r="Q55" t="inlineStr">
        <is>
          <t>CN</t>
        </is>
      </c>
      <c r="R55" t="n">
        <v>499</v>
      </c>
      <c r="S55" t="n">
        <v>361</v>
      </c>
      <c r="T55" t="n">
        <v>1304</v>
      </c>
    </row>
    <row r="56">
      <c r="H56">
        <f>IF(B44="","",TEXT(B44,"dd/mm") &amp; "-" &amp; IF(UPPER(TRIM(C44))="CN",1,IF(UPPER(TRIM(C44))="CD",2,"")))</f>
        <v/>
      </c>
      <c r="I56" s="1" t="n">
        <v>0.21</v>
      </c>
      <c r="J56" s="1" t="n">
        <v>0.296470588235294</v>
      </c>
      <c r="K56" s="1">
        <f>IFERROR($E44/SUM($D44:$F44),"")</f>
        <v/>
      </c>
      <c r="L56" s="1">
        <f>IFERROR($D44/SUM($D44:$F44),"")</f>
        <v/>
      </c>
      <c r="M56" s="1">
        <f>IFERROR($F44/SUM($D44:$F44),"")</f>
        <v/>
      </c>
      <c r="O56" t="n">
        <v>55</v>
      </c>
      <c r="P56" t="inlineStr">
        <is>
          <t>28/01/2026</t>
        </is>
      </c>
      <c r="Q56" t="inlineStr">
        <is>
          <t>CD</t>
        </is>
      </c>
      <c r="R56" t="n">
        <v>642</v>
      </c>
      <c r="S56" t="n">
        <v>574</v>
      </c>
      <c r="T56" t="n">
        <v>955</v>
      </c>
    </row>
    <row r="57">
      <c r="H57">
        <f>IF(B45="","",TEXT(B45,"dd/mm") &amp; "-" &amp; IF(UPPER(TRIM(C45))="CN",1,IF(UPPER(TRIM(C45))="CD",2,"")))</f>
        <v/>
      </c>
      <c r="I57" s="1" t="n">
        <v>0.21</v>
      </c>
      <c r="J57" s="1" t="n">
        <v>0.296470588235294</v>
      </c>
      <c r="K57" s="1">
        <f>IFERROR($E45/SUM($D45:$F45),"")</f>
        <v/>
      </c>
      <c r="L57" s="1">
        <f>IFERROR($D45/SUM($D45:$F45),"")</f>
        <v/>
      </c>
      <c r="M57" s="1">
        <f>IFERROR($F45/SUM($D45:$F45),"")</f>
        <v/>
      </c>
      <c r="O57" t="n">
        <v>56</v>
      </c>
      <c r="P57" t="inlineStr">
        <is>
          <t>29/01/2026</t>
        </is>
      </c>
      <c r="Q57" t="inlineStr">
        <is>
          <t>CN</t>
        </is>
      </c>
      <c r="R57" t="n">
        <v>583</v>
      </c>
      <c r="S57" t="n">
        <v>611</v>
      </c>
      <c r="T57" t="n">
        <v>975</v>
      </c>
    </row>
    <row r="58">
      <c r="H58">
        <f>IF(B46="","",TEXT(B46,"dd/mm") &amp; "-" &amp; IF(UPPER(TRIM(C46))="CN",1,IF(UPPER(TRIM(C46))="CD",2,"")))</f>
        <v/>
      </c>
      <c r="I58" s="1" t="n">
        <v>0.21</v>
      </c>
      <c r="J58" s="1" t="n">
        <v>0.296470588235294</v>
      </c>
      <c r="K58" s="1">
        <f>IFERROR($E46/SUM($D46:$F46),"")</f>
        <v/>
      </c>
      <c r="L58" s="1">
        <f>IFERROR($D46/SUM($D46:$F46),"")</f>
        <v/>
      </c>
      <c r="M58" s="1">
        <f>IFERROR($F46/SUM($D46:$F46),"")</f>
        <v/>
      </c>
      <c r="O58" t="n">
        <v>57</v>
      </c>
      <c r="P58" t="inlineStr">
        <is>
          <t>29/01/2026</t>
        </is>
      </c>
      <c r="Q58" t="inlineStr">
        <is>
          <t>CD</t>
        </is>
      </c>
      <c r="R58" t="n">
        <v>541</v>
      </c>
      <c r="S58" t="n">
        <v>620</v>
      </c>
      <c r="T58" t="n">
        <v>1010</v>
      </c>
    </row>
    <row r="59">
      <c r="H59">
        <f>IF(B47="","",TEXT(B47,"dd/mm") &amp; "-" &amp; IF(UPPER(TRIM(C47))="CN",1,IF(UPPER(TRIM(C47))="CD",2,"")))</f>
        <v/>
      </c>
      <c r="I59" s="1" t="n">
        <v>0.21</v>
      </c>
      <c r="J59" s="1" t="n">
        <v>0.296470588235294</v>
      </c>
      <c r="K59" s="1">
        <f>IFERROR($E47/SUM($D47:$F47),"")</f>
        <v/>
      </c>
      <c r="L59" s="1">
        <f>IFERROR($D47/SUM($D47:$F47),"")</f>
        <v/>
      </c>
      <c r="M59" s="1">
        <f>IFERROR($F47/SUM($D47:$F47),"")</f>
        <v/>
      </c>
      <c r="O59" t="n">
        <v>58</v>
      </c>
      <c r="P59" t="inlineStr">
        <is>
          <t>30/01/2026</t>
        </is>
      </c>
      <c r="Q59" t="inlineStr">
        <is>
          <t>CN</t>
        </is>
      </c>
      <c r="R59" t="n">
        <v>300</v>
      </c>
      <c r="S59" t="n">
        <v>376</v>
      </c>
      <c r="T59" t="n">
        <v>1488</v>
      </c>
    </row>
    <row r="60">
      <c r="H60">
        <f>IF(B48="","",TEXT(B48,"dd/mm") &amp; "-" &amp; IF(UPPER(TRIM(C48))="CN",1,IF(UPPER(TRIM(C48))="CD",2,"")))</f>
        <v/>
      </c>
      <c r="I60" s="1" t="n">
        <v>0.21</v>
      </c>
      <c r="J60" s="1" t="n">
        <v>0.296470588235294</v>
      </c>
      <c r="K60" s="1">
        <f>IFERROR($E48/SUM($D48:$F48),"")</f>
        <v/>
      </c>
      <c r="L60" s="1">
        <f>IFERROR($D48/SUM($D48:$F48),"")</f>
        <v/>
      </c>
      <c r="M60" s="1">
        <f>IFERROR($F48/SUM($D48:$F48),"")</f>
        <v/>
      </c>
      <c r="O60" t="n">
        <v>59</v>
      </c>
      <c r="P60" t="inlineStr">
        <is>
          <t>30/01/2026</t>
        </is>
      </c>
      <c r="Q60" t="inlineStr">
        <is>
          <t>CD</t>
        </is>
      </c>
      <c r="R60" t="n">
        <v>615</v>
      </c>
      <c r="S60" t="n">
        <v>434</v>
      </c>
      <c r="T60" t="n">
        <v>1121</v>
      </c>
    </row>
    <row r="61">
      <c r="H61">
        <f>IF(B49="","",TEXT(B49,"dd/mm") &amp; "-" &amp; IF(UPPER(TRIM(C49))="CN",1,IF(UPPER(TRIM(C49))="CD",2,"")))</f>
        <v/>
      </c>
      <c r="I61" s="1" t="n">
        <v>0.21</v>
      </c>
      <c r="J61" s="1" t="n">
        <v>0.296470588235294</v>
      </c>
      <c r="K61" s="1">
        <f>IFERROR($E49/SUM($D49:$F49),"")</f>
        <v/>
      </c>
      <c r="L61" s="1">
        <f>IFERROR($D49/SUM($D49:$F49),"")</f>
        <v/>
      </c>
      <c r="M61" s="1">
        <f>IFERROR($F49/SUM($D49:$F49),"")</f>
        <v/>
      </c>
      <c r="O61" t="n">
        <v>60</v>
      </c>
      <c r="P61" t="inlineStr">
        <is>
          <t>31/01/2026</t>
        </is>
      </c>
      <c r="Q61" t="inlineStr">
        <is>
          <t>CN</t>
        </is>
      </c>
      <c r="R61" t="n">
        <v>349</v>
      </c>
      <c r="S61" t="n">
        <v>368</v>
      </c>
      <c r="T61" t="n">
        <v>1447</v>
      </c>
    </row>
    <row r="62">
      <c r="H62">
        <f>IF(B50="","",TEXT(B50,"dd/mm") &amp; "-" &amp; IF(UPPER(TRIM(C50))="CN",1,IF(UPPER(TRIM(C50))="CD",2,"")))</f>
        <v/>
      </c>
      <c r="I62" s="1" t="n">
        <v>0.21</v>
      </c>
      <c r="J62" s="1" t="n">
        <v>0.296470588235294</v>
      </c>
      <c r="K62" s="1">
        <f>IFERROR($E50/SUM($D50:$F50),"")</f>
        <v/>
      </c>
      <c r="L62" s="1">
        <f>IFERROR($D50/SUM($D50:$F50),"")</f>
        <v/>
      </c>
      <c r="M62" s="1">
        <f>IFERROR($F50/SUM($D50:$F50),"")</f>
        <v/>
      </c>
      <c r="O62" t="n">
        <v>61</v>
      </c>
      <c r="P62" t="inlineStr">
        <is>
          <t>31/01/2026</t>
        </is>
      </c>
      <c r="Q62" t="inlineStr">
        <is>
          <t>CD</t>
        </is>
      </c>
      <c r="R62" t="n">
        <v>595</v>
      </c>
      <c r="S62" t="n">
        <v>356</v>
      </c>
      <c r="T62" t="n">
        <v>1215</v>
      </c>
    </row>
    <row r="63">
      <c r="H63">
        <f>IF(B51="","",TEXT(B51,"dd/mm") &amp; "-" &amp; IF(UPPER(TRIM(C51))="CN",1,IF(UPPER(TRIM(C51))="CD",2,"")))</f>
        <v/>
      </c>
      <c r="I63" s="1" t="n">
        <v>0.21</v>
      </c>
      <c r="J63" s="1" t="n">
        <v>0.296470588235294</v>
      </c>
      <c r="K63" s="1">
        <f>IFERROR($E51/SUM($D51:$F51),"")</f>
        <v/>
      </c>
      <c r="L63" s="1">
        <f>IFERROR($D51/SUM($D51:$F51),"")</f>
        <v/>
      </c>
      <c r="M63" s="1">
        <f>IFERROR($F51/SUM($D51:$F51),"")</f>
        <v/>
      </c>
      <c r="O63" t="n">
        <v>62</v>
      </c>
      <c r="P63" t="inlineStr">
        <is>
          <t>01/02/2026</t>
        </is>
      </c>
      <c r="Q63" t="inlineStr">
        <is>
          <t>CN</t>
        </is>
      </c>
      <c r="R63" t="n">
        <v>0</v>
      </c>
      <c r="S63" t="n">
        <v>0</v>
      </c>
      <c r="T63" t="n">
        <v>2160</v>
      </c>
    </row>
    <row r="64">
      <c r="H64">
        <f>IF(B52="","",TEXT(B52,"dd/mm") &amp; "-" &amp; IF(UPPER(TRIM(C52))="CN",1,IF(UPPER(TRIM(C52))="CD",2,"")))</f>
        <v/>
      </c>
      <c r="I64" s="1" t="n">
        <v>0.21</v>
      </c>
      <c r="J64" s="1" t="n">
        <v>0.296470588235294</v>
      </c>
      <c r="K64" s="1">
        <f>IFERROR($E52/SUM($D52:$F52),"")</f>
        <v/>
      </c>
      <c r="L64" s="1">
        <f>IFERROR($D52/SUM($D52:$F52),"")</f>
        <v/>
      </c>
      <c r="M64" s="1">
        <f>IFERROR($F52/SUM($D52:$F52),"")</f>
        <v/>
      </c>
      <c r="O64" t="n">
        <v>63</v>
      </c>
      <c r="P64" t="inlineStr">
        <is>
          <t>01/02/2026</t>
        </is>
      </c>
      <c r="Q64" t="inlineStr">
        <is>
          <t>CD</t>
        </is>
      </c>
      <c r="R64" t="n">
        <v>0</v>
      </c>
      <c r="S64" t="n">
        <v>0</v>
      </c>
      <c r="T64" t="n">
        <v>2160</v>
      </c>
    </row>
    <row r="65">
      <c r="H65">
        <f>IF(B53="","",TEXT(B53,"dd/mm") &amp; "-" &amp; IF(UPPER(TRIM(C53))="CN",1,IF(UPPER(TRIM(C53))="CD",2,"")))</f>
        <v/>
      </c>
      <c r="I65" s="1" t="n">
        <v>0.21</v>
      </c>
      <c r="J65" s="1" t="n">
        <v>0.296470588235294</v>
      </c>
      <c r="K65" s="1">
        <f>IFERROR($E53/SUM($D53:$F53),"")</f>
        <v/>
      </c>
      <c r="L65" s="1">
        <f>IFERROR($D53/SUM($D53:$F53),"")</f>
        <v/>
      </c>
      <c r="M65" s="1">
        <f>IFERROR($F53/SUM($D53:$F53),"")</f>
        <v/>
      </c>
      <c r="O65" t="n">
        <v>64</v>
      </c>
      <c r="P65" t="inlineStr">
        <is>
          <t>02/02/2026</t>
        </is>
      </c>
      <c r="Q65" t="inlineStr">
        <is>
          <t>CN</t>
        </is>
      </c>
      <c r="R65" t="n">
        <v>553</v>
      </c>
      <c r="S65" t="n">
        <v>419</v>
      </c>
      <c r="T65" t="n">
        <v>1198</v>
      </c>
    </row>
    <row r="66">
      <c r="H66">
        <f>IF(B54="","",TEXT(B54,"dd/mm") &amp; "-" &amp; IF(UPPER(TRIM(C54))="CN",1,IF(UPPER(TRIM(C54))="CD",2,"")))</f>
        <v/>
      </c>
      <c r="I66" s="1" t="n">
        <v>0.21</v>
      </c>
      <c r="J66" s="1" t="n">
        <v>0.296470588235294</v>
      </c>
      <c r="K66" s="1">
        <f>IFERROR($E54/SUM($D54:$F54),"")</f>
        <v/>
      </c>
      <c r="L66" s="1">
        <f>IFERROR($D54/SUM($D54:$F54),"")</f>
        <v/>
      </c>
      <c r="M66" s="1">
        <f>IFERROR($F54/SUM($D54:$F54),"")</f>
        <v/>
      </c>
      <c r="O66" t="n">
        <v>65</v>
      </c>
      <c r="P66" t="inlineStr">
        <is>
          <t>02/02/2026</t>
        </is>
      </c>
      <c r="Q66" t="inlineStr">
        <is>
          <t>CD</t>
        </is>
      </c>
      <c r="R66" t="n">
        <v>338</v>
      </c>
      <c r="S66" t="n">
        <v>447</v>
      </c>
      <c r="T66" t="n">
        <v>1384</v>
      </c>
    </row>
    <row r="67">
      <c r="H67">
        <f>IF(B55="","",TEXT(B55,"dd/mm") &amp; "-" &amp; IF(UPPER(TRIM(C55))="CN",1,IF(UPPER(TRIM(C55))="CD",2,"")))</f>
        <v/>
      </c>
      <c r="I67" s="1" t="n">
        <v>0.21</v>
      </c>
      <c r="J67" s="1" t="n">
        <v>0.296470588235294</v>
      </c>
      <c r="K67" s="1">
        <f>IFERROR($E55/SUM($D55:$F55),"")</f>
        <v/>
      </c>
      <c r="L67" s="1">
        <f>IFERROR($D55/SUM($D55:$F55),"")</f>
        <v/>
      </c>
      <c r="M67" s="1">
        <f>IFERROR($F55/SUM($D55:$F55),"")</f>
        <v/>
      </c>
      <c r="O67" t="n">
        <v>66</v>
      </c>
      <c r="P67" t="inlineStr">
        <is>
          <t>03/02/2026</t>
        </is>
      </c>
      <c r="Q67" t="inlineStr">
        <is>
          <t>CN</t>
        </is>
      </c>
      <c r="R67" t="n">
        <v>516</v>
      </c>
      <c r="S67" t="n">
        <v>429</v>
      </c>
      <c r="T67" t="n">
        <v>1225</v>
      </c>
    </row>
    <row r="68">
      <c r="H68">
        <f>IF(B56="","",TEXT(B56,"dd/mm") &amp; "-" &amp; IF(UPPER(TRIM(C56))="CN",1,IF(UPPER(TRIM(C56))="CD",2,"")))</f>
        <v/>
      </c>
      <c r="I68" s="1" t="n"/>
      <c r="J68" s="1" t="n"/>
      <c r="K68" s="1">
        <f>IFERROR($E56/SUM($D56:$F56),"")</f>
        <v/>
      </c>
      <c r="L68" s="1">
        <f>IFERROR($D56/SUM($D56:$F56),"")</f>
        <v/>
      </c>
      <c r="M68" s="1">
        <f>IFERROR($F56/SUM($D56:$F56),"")</f>
        <v/>
      </c>
      <c r="O68" t="n">
        <v>67</v>
      </c>
      <c r="P68" t="inlineStr">
        <is>
          <t>03/02/2026</t>
        </is>
      </c>
      <c r="Q68" t="inlineStr">
        <is>
          <t>CD</t>
        </is>
      </c>
      <c r="R68" t="n">
        <v>335</v>
      </c>
      <c r="S68" t="n">
        <v>425</v>
      </c>
      <c r="T68" t="n">
        <v>1405</v>
      </c>
    </row>
    <row r="69">
      <c r="H69">
        <f>IF(B57="","",TEXT(B57,"dd/mm") &amp; "-" &amp; IF(UPPER(TRIM(C57))="CN",1,IF(UPPER(TRIM(C57))="CD",2,"")))</f>
        <v/>
      </c>
      <c r="I69" s="1" t="n"/>
      <c r="J69" s="1" t="n"/>
      <c r="K69" s="1">
        <f>IFERROR($E57/SUM($D57:$F57),"")</f>
        <v/>
      </c>
      <c r="L69" s="1">
        <f>IFERROR($D57/SUM($D57:$F57),"")</f>
        <v/>
      </c>
      <c r="M69" s="1">
        <f>IFERROR($F57/SUM($D57:$F57),"")</f>
        <v/>
      </c>
      <c r="O69" t="n">
        <v>68</v>
      </c>
      <c r="P69" t="inlineStr">
        <is>
          <t>04/02/2026</t>
        </is>
      </c>
      <c r="Q69" t="inlineStr">
        <is>
          <t>CN</t>
        </is>
      </c>
      <c r="R69" t="n">
        <v>510</v>
      </c>
      <c r="S69" t="n">
        <v>437</v>
      </c>
      <c r="T69" t="n">
        <v>1224</v>
      </c>
    </row>
    <row r="70">
      <c r="H70">
        <f>IF(B58="","",TEXT(B58,"dd/mm") &amp; "-" &amp; IF(UPPER(TRIM(C58))="CN",1,IF(UPPER(TRIM(C58))="CD",2,"")))</f>
        <v/>
      </c>
      <c r="I70" s="1" t="n"/>
      <c r="J70" s="1" t="n"/>
      <c r="K70" s="1">
        <f>IFERROR($E58/SUM($D58:$F58),"")</f>
        <v/>
      </c>
      <c r="L70" s="1">
        <f>IFERROR($D58/SUM($D58:$F58),"")</f>
        <v/>
      </c>
      <c r="M70" s="1">
        <f>IFERROR($F58/SUM($D58:$F58),"")</f>
        <v/>
      </c>
      <c r="O70" t="n">
        <v>69</v>
      </c>
      <c r="P70" t="inlineStr">
        <is>
          <t>04/02/2026</t>
        </is>
      </c>
      <c r="Q70" t="inlineStr">
        <is>
          <t>CD</t>
        </is>
      </c>
      <c r="R70" t="n">
        <v>316</v>
      </c>
      <c r="S70" t="n">
        <v>384</v>
      </c>
      <c r="T70" t="n">
        <v>1466</v>
      </c>
    </row>
    <row r="71">
      <c r="H71">
        <f>IF(B59="","",TEXT(B59,"dd/mm") &amp; "-" &amp; IF(UPPER(TRIM(C59))="CN",1,IF(UPPER(TRIM(C59))="CD",2,"")))</f>
        <v/>
      </c>
      <c r="I71" s="1" t="n"/>
      <c r="J71" s="1" t="n"/>
      <c r="K71" s="1">
        <f>IFERROR($E59/SUM($D59:$F59),"")</f>
        <v/>
      </c>
      <c r="L71" s="1">
        <f>IFERROR($D59/SUM($D59:$F59),"")</f>
        <v/>
      </c>
      <c r="M71" s="1">
        <f>IFERROR($F59/SUM($D59:$F59),"")</f>
        <v/>
      </c>
      <c r="O71" t="n">
        <v>70</v>
      </c>
      <c r="P71" t="inlineStr">
        <is>
          <t>05/02/2026</t>
        </is>
      </c>
      <c r="Q71" t="inlineStr">
        <is>
          <t>CN</t>
        </is>
      </c>
      <c r="R71" t="n">
        <v>596</v>
      </c>
      <c r="S71" t="n">
        <v>365</v>
      </c>
      <c r="T71" t="n">
        <v>1208</v>
      </c>
    </row>
    <row r="72">
      <c r="H72">
        <f>IF(B60="","",TEXT(B60,"dd/mm") &amp; "-" &amp; IF(UPPER(TRIM(C60))="CN",1,IF(UPPER(TRIM(C60))="CD",2,"")))</f>
        <v/>
      </c>
      <c r="I72" s="1" t="n"/>
      <c r="J72" s="1" t="n"/>
      <c r="K72" s="1">
        <f>IFERROR($E60/SUM($D60:$F60),"")</f>
        <v/>
      </c>
      <c r="L72" s="1">
        <f>IFERROR($D60/SUM($D60:$F60),"")</f>
        <v/>
      </c>
      <c r="M72" s="1">
        <f>IFERROR($F60/SUM($D60:$F60),"")</f>
        <v/>
      </c>
      <c r="O72" t="n">
        <v>71</v>
      </c>
      <c r="P72" t="inlineStr">
        <is>
          <t>05/02/2026</t>
        </is>
      </c>
      <c r="Q72" t="inlineStr">
        <is>
          <t>CD</t>
        </is>
      </c>
      <c r="R72" t="n">
        <v>307</v>
      </c>
      <c r="S72" t="n">
        <v>475</v>
      </c>
      <c r="T72" t="n">
        <v>1385</v>
      </c>
    </row>
    <row r="73">
      <c r="H73">
        <f>IF(B61="","",TEXT(B61,"dd/mm") &amp; "-" &amp; IF(UPPER(TRIM(C61))="CN",1,IF(UPPER(TRIM(C61))="CD",2,"")))</f>
        <v/>
      </c>
      <c r="I73" s="1" t="n"/>
      <c r="J73" s="1" t="n"/>
      <c r="K73" s="1">
        <f>IFERROR($E61/SUM($D61:$F61),"")</f>
        <v/>
      </c>
      <c r="L73" s="1">
        <f>IFERROR($D61/SUM($D61:$F61),"")</f>
        <v/>
      </c>
      <c r="M73" s="1">
        <f>IFERROR($F61/SUM($D61:$F61),"")</f>
        <v/>
      </c>
      <c r="O73" t="n">
        <v>72</v>
      </c>
      <c r="P73" t="inlineStr">
        <is>
          <t>06/02/2026</t>
        </is>
      </c>
      <c r="Q73" t="inlineStr">
        <is>
          <t>CN</t>
        </is>
      </c>
      <c r="R73" t="n">
        <v>428</v>
      </c>
      <c r="S73" t="n">
        <v>471</v>
      </c>
      <c r="T73" t="n">
        <v>1269</v>
      </c>
    </row>
    <row r="74">
      <c r="H74">
        <f>IF(B62="","",TEXT(B62,"dd/mm") &amp; "-" &amp; IF(UPPER(TRIM(C62))="CN",1,IF(UPPER(TRIM(C62))="CD",2,"")))</f>
        <v/>
      </c>
      <c r="I74" s="1" t="n"/>
      <c r="J74" s="1" t="n"/>
      <c r="K74" s="1">
        <f>IFERROR($E62/SUM($D62:$F62),"")</f>
        <v/>
      </c>
      <c r="L74" s="1">
        <f>IFERROR($D62/SUM($D62:$F62),"")</f>
        <v/>
      </c>
      <c r="M74" s="1">
        <f>IFERROR($F62/SUM($D62:$F62),"")</f>
        <v/>
      </c>
      <c r="O74" t="n">
        <v>73</v>
      </c>
      <c r="P74" t="inlineStr">
        <is>
          <t>06/02/2026</t>
        </is>
      </c>
      <c r="Q74" t="inlineStr">
        <is>
          <t>CD</t>
        </is>
      </c>
      <c r="R74" t="n">
        <v>387</v>
      </c>
      <c r="S74" t="n">
        <v>411</v>
      </c>
      <c r="T74" t="n">
        <v>1369</v>
      </c>
    </row>
    <row r="75">
      <c r="H75">
        <f>IF(B63="","",TEXT(B63,"dd/mm") &amp; "-" &amp; IF(UPPER(TRIM(C63))="CN",1,IF(UPPER(TRIM(C63))="CD",2,"")))</f>
        <v/>
      </c>
      <c r="I75" s="1" t="n"/>
      <c r="J75" s="1" t="n"/>
      <c r="K75" s="1">
        <f>IFERROR($E63/SUM($D63:$F63),"")</f>
        <v/>
      </c>
      <c r="L75" s="1">
        <f>IFERROR($D63/SUM($D63:$F63),"")</f>
        <v/>
      </c>
      <c r="M75" s="1">
        <f>IFERROR($F63/SUM($D63:$F63),"")</f>
        <v/>
      </c>
      <c r="O75" t="n">
        <v>74</v>
      </c>
      <c r="P75" t="inlineStr">
        <is>
          <t>07/02/2026</t>
        </is>
      </c>
      <c r="Q75" t="inlineStr">
        <is>
          <t>CN</t>
        </is>
      </c>
      <c r="R75" t="n">
        <v>506</v>
      </c>
      <c r="S75" t="n">
        <v>381</v>
      </c>
      <c r="T75" t="n">
        <v>1283</v>
      </c>
    </row>
    <row r="76">
      <c r="I76" s="1" t="n"/>
      <c r="J76" s="1" t="n"/>
      <c r="K76" s="1" t="n"/>
      <c r="L76" s="1" t="n"/>
      <c r="M76" s="1" t="n"/>
      <c r="O76" t="n">
        <v>75</v>
      </c>
      <c r="P76" t="inlineStr">
        <is>
          <t>07/02/2026</t>
        </is>
      </c>
      <c r="Q76" t="inlineStr">
        <is>
          <t>CD</t>
        </is>
      </c>
      <c r="R76" t="n">
        <v>259</v>
      </c>
      <c r="S76" t="n">
        <v>350</v>
      </c>
      <c r="T76" t="n">
        <v>1555</v>
      </c>
    </row>
    <row r="77">
      <c r="I77" s="1" t="n"/>
      <c r="J77" s="1" t="n"/>
      <c r="K77" s="1" t="n"/>
      <c r="L77" s="1" t="n"/>
      <c r="M77" s="1" t="n"/>
      <c r="O77" t="n">
        <v>76</v>
      </c>
      <c r="P77" t="inlineStr">
        <is>
          <t>08/02/2026</t>
        </is>
      </c>
      <c r="Q77" t="inlineStr">
        <is>
          <t>CN</t>
        </is>
      </c>
      <c r="R77" t="n">
        <v>0</v>
      </c>
      <c r="S77" t="n">
        <v>0</v>
      </c>
      <c r="T77" t="n">
        <v>2160</v>
      </c>
    </row>
    <row r="78">
      <c r="I78" s="1" t="n"/>
      <c r="J78" s="1" t="n"/>
      <c r="K78" s="1" t="n"/>
      <c r="L78" s="1" t="n"/>
      <c r="M78" s="1" t="n"/>
      <c r="O78" t="n">
        <v>77</v>
      </c>
      <c r="P78" t="inlineStr">
        <is>
          <t>08/02/2026</t>
        </is>
      </c>
      <c r="Q78" t="inlineStr">
        <is>
          <t>CD</t>
        </is>
      </c>
      <c r="R78" t="n">
        <v>0</v>
      </c>
      <c r="S78" t="n">
        <v>0</v>
      </c>
      <c r="T78" t="n">
        <v>2160</v>
      </c>
    </row>
    <row r="79">
      <c r="I79" s="1" t="n"/>
      <c r="J79" s="1" t="n"/>
      <c r="K79" s="1" t="n"/>
      <c r="L79" s="1" t="n"/>
      <c r="M79" s="1" t="n"/>
      <c r="O79" t="n">
        <v>78</v>
      </c>
      <c r="P79" t="inlineStr">
        <is>
          <t>09/02/2026</t>
        </is>
      </c>
      <c r="Q79" t="inlineStr">
        <is>
          <t>CN</t>
        </is>
      </c>
      <c r="R79" t="n">
        <v>343</v>
      </c>
      <c r="S79" t="n">
        <v>403</v>
      </c>
      <c r="T79" t="n">
        <v>1417</v>
      </c>
    </row>
    <row r="80">
      <c r="I80" s="1" t="n"/>
      <c r="J80" s="1" t="n"/>
      <c r="K80" s="1" t="n"/>
      <c r="L80" s="1" t="n"/>
      <c r="M80" s="1" t="n"/>
      <c r="O80" t="n">
        <v>79</v>
      </c>
      <c r="P80" t="inlineStr">
        <is>
          <t>09/02/2026</t>
        </is>
      </c>
      <c r="Q80" t="inlineStr">
        <is>
          <t>CD</t>
        </is>
      </c>
      <c r="R80" t="n">
        <v>551</v>
      </c>
      <c r="S80" t="n">
        <v>495</v>
      </c>
      <c r="T80" t="n">
        <v>1123</v>
      </c>
    </row>
    <row r="81">
      <c r="I81" s="1" t="n"/>
      <c r="J81" s="1" t="n"/>
      <c r="K81" s="1" t="n"/>
      <c r="L81" s="1" t="n"/>
      <c r="M81" s="1" t="n"/>
      <c r="O81" t="n">
        <v>80</v>
      </c>
      <c r="P81" t="inlineStr">
        <is>
          <t>10/02/2026</t>
        </is>
      </c>
      <c r="Q81" t="inlineStr">
        <is>
          <t>CN</t>
        </is>
      </c>
      <c r="R81" t="n">
        <v>362</v>
      </c>
      <c r="S81" t="n">
        <v>302</v>
      </c>
      <c r="T81" t="n">
        <v>1500</v>
      </c>
    </row>
    <row r="82">
      <c r="I82" s="1" t="n"/>
      <c r="J82" s="1" t="n"/>
      <c r="K82" s="1" t="n"/>
      <c r="L82" s="1" t="n"/>
      <c r="M82" s="1" t="n"/>
      <c r="O82" t="n">
        <v>81</v>
      </c>
      <c r="P82" t="inlineStr">
        <is>
          <t>10/02/2026</t>
        </is>
      </c>
      <c r="Q82" t="inlineStr">
        <is>
          <t>CD</t>
        </is>
      </c>
      <c r="R82" t="n">
        <v>1255</v>
      </c>
      <c r="S82" t="n">
        <v>337</v>
      </c>
      <c r="T82" t="n">
        <v>577</v>
      </c>
    </row>
    <row r="83">
      <c r="I83" s="1" t="n"/>
      <c r="J83" s="1" t="n"/>
      <c r="K83" s="1" t="n"/>
      <c r="L83" s="1" t="n"/>
      <c r="M83" s="1" t="n"/>
      <c r="O83" t="n">
        <v>82</v>
      </c>
      <c r="P83" t="inlineStr">
        <is>
          <t>11/02/2026</t>
        </is>
      </c>
      <c r="Q83" t="inlineStr">
        <is>
          <t>CN</t>
        </is>
      </c>
      <c r="R83" t="n">
        <v>571</v>
      </c>
      <c r="S83" t="n">
        <v>354</v>
      </c>
      <c r="T83" t="n">
        <v>1247</v>
      </c>
    </row>
    <row r="84">
      <c r="I84" s="1" t="n"/>
      <c r="J84" s="1" t="n"/>
      <c r="K84" s="1" t="n"/>
      <c r="L84" s="1" t="n"/>
      <c r="M84" s="1" t="n"/>
      <c r="O84" t="n">
        <v>83</v>
      </c>
      <c r="P84" t="inlineStr">
        <is>
          <t>11/02/2026</t>
        </is>
      </c>
      <c r="Q84" t="inlineStr">
        <is>
          <t>CD</t>
        </is>
      </c>
      <c r="R84" t="n">
        <v>932</v>
      </c>
      <c r="S84" t="n">
        <v>737</v>
      </c>
      <c r="T84" t="n">
        <v>510</v>
      </c>
    </row>
    <row r="85">
      <c r="I85" s="1" t="n"/>
      <c r="J85" s="1" t="n"/>
      <c r="K85" s="1" t="n"/>
      <c r="L85" s="1" t="n"/>
      <c r="M85" s="1" t="n"/>
      <c r="O85" t="n">
        <v>84</v>
      </c>
      <c r="P85" t="inlineStr">
        <is>
          <t>12/02/2026</t>
        </is>
      </c>
      <c r="Q85" t="inlineStr">
        <is>
          <t>CN</t>
        </is>
      </c>
      <c r="R85" t="n">
        <v>303</v>
      </c>
      <c r="S85" t="n">
        <v>426</v>
      </c>
      <c r="T85" t="n">
        <v>1439</v>
      </c>
    </row>
    <row r="86">
      <c r="I86" s="1" t="n"/>
      <c r="J86" s="1" t="n"/>
      <c r="K86" s="1" t="n"/>
      <c r="L86" s="1" t="n"/>
      <c r="M86" s="1" t="n"/>
      <c r="O86" t="n">
        <v>85</v>
      </c>
      <c r="P86" t="inlineStr">
        <is>
          <t>12/02/2026</t>
        </is>
      </c>
      <c r="Q86" t="inlineStr">
        <is>
          <t>CD</t>
        </is>
      </c>
      <c r="R86" t="n">
        <v>732</v>
      </c>
      <c r="S86" t="n">
        <v>458</v>
      </c>
      <c r="T86" t="n">
        <v>976</v>
      </c>
    </row>
    <row r="87">
      <c r="I87" s="1" t="n"/>
      <c r="J87" s="1" t="n"/>
      <c r="K87" s="1" t="n"/>
      <c r="L87" s="1" t="n"/>
      <c r="M87" s="1" t="n"/>
      <c r="O87" t="n">
        <v>86</v>
      </c>
      <c r="P87" t="inlineStr">
        <is>
          <t>13/02/2026</t>
        </is>
      </c>
      <c r="Q87" t="inlineStr">
        <is>
          <t>CN</t>
        </is>
      </c>
      <c r="R87" t="n">
        <v>421</v>
      </c>
      <c r="S87" t="n">
        <v>335</v>
      </c>
      <c r="T87" t="n">
        <v>1406</v>
      </c>
    </row>
    <row r="88">
      <c r="I88" s="1" t="n"/>
      <c r="J88" s="1" t="n"/>
      <c r="K88" s="1" t="n"/>
      <c r="L88" s="1" t="n"/>
      <c r="M88" s="1" t="n"/>
      <c r="O88" t="n">
        <v>87</v>
      </c>
      <c r="P88" t="inlineStr">
        <is>
          <t>13/02/2026</t>
        </is>
      </c>
      <c r="Q88" t="inlineStr">
        <is>
          <t>CD</t>
        </is>
      </c>
      <c r="R88" t="n">
        <v>672</v>
      </c>
      <c r="S88" t="n">
        <v>229</v>
      </c>
      <c r="T88" t="n">
        <v>1261</v>
      </c>
    </row>
    <row r="89">
      <c r="I89" s="1" t="n"/>
      <c r="J89" s="1" t="n"/>
      <c r="K89" s="1" t="n"/>
      <c r="L89" s="1" t="n"/>
      <c r="M89" s="1" t="n"/>
      <c r="O89" t="n">
        <v>88</v>
      </c>
      <c r="P89" t="inlineStr">
        <is>
          <t>14/02/2026</t>
        </is>
      </c>
      <c r="Q89" t="inlineStr">
        <is>
          <t>CN</t>
        </is>
      </c>
      <c r="R89" t="n">
        <v>0</v>
      </c>
      <c r="S89" t="n">
        <v>0</v>
      </c>
      <c r="T89" t="n">
        <v>2160</v>
      </c>
    </row>
    <row r="90">
      <c r="I90" s="1" t="n"/>
      <c r="J90" s="1" t="n"/>
      <c r="K90" s="1" t="n"/>
      <c r="L90" s="1" t="n"/>
      <c r="M90" s="1" t="n"/>
      <c r="O90" t="n">
        <v>89</v>
      </c>
      <c r="P90" t="inlineStr">
        <is>
          <t>14/02/2026</t>
        </is>
      </c>
      <c r="Q90" t="inlineStr">
        <is>
          <t>CD</t>
        </is>
      </c>
      <c r="R90" t="n">
        <v>0</v>
      </c>
      <c r="S90" t="n">
        <v>0</v>
      </c>
      <c r="T90" t="n">
        <v>2160</v>
      </c>
    </row>
    <row r="91">
      <c r="I91" s="1" t="n"/>
      <c r="J91" s="1" t="n"/>
      <c r="K91" s="1" t="n"/>
      <c r="L91" s="1" t="n"/>
      <c r="M91" s="1" t="n"/>
      <c r="O91" t="n">
        <v>90</v>
      </c>
      <c r="P91" t="inlineStr">
        <is>
          <t>15/02/2026</t>
        </is>
      </c>
      <c r="Q91" t="inlineStr">
        <is>
          <t>CN</t>
        </is>
      </c>
      <c r="R91" t="n">
        <v>0</v>
      </c>
      <c r="S91" t="n">
        <v>0</v>
      </c>
      <c r="T91" t="n">
        <v>2160</v>
      </c>
    </row>
    <row r="92">
      <c r="I92" s="1" t="n"/>
      <c r="J92" s="1" t="n"/>
      <c r="K92" s="1" t="n"/>
      <c r="L92" s="1" t="n"/>
      <c r="M92" s="1" t="n"/>
      <c r="O92" t="n">
        <v>91</v>
      </c>
      <c r="P92" t="inlineStr">
        <is>
          <t>15/02/2026</t>
        </is>
      </c>
      <c r="Q92" t="inlineStr">
        <is>
          <t>CD</t>
        </is>
      </c>
      <c r="R92" t="n">
        <v>0</v>
      </c>
      <c r="S92" t="n">
        <v>0</v>
      </c>
      <c r="T92" t="n">
        <v>2160</v>
      </c>
    </row>
    <row r="93">
      <c r="I93" s="1" t="n"/>
      <c r="J93" s="1" t="n"/>
      <c r="K93" s="1" t="n"/>
      <c r="L93" s="1" t="n"/>
      <c r="M93" s="1" t="n"/>
      <c r="O93" t="n">
        <v>92</v>
      </c>
      <c r="P93" t="inlineStr">
        <is>
          <t>16/02/2026</t>
        </is>
      </c>
      <c r="Q93" t="inlineStr">
        <is>
          <t>CN</t>
        </is>
      </c>
      <c r="R93" t="n">
        <v>0</v>
      </c>
      <c r="S93" t="n">
        <v>0</v>
      </c>
      <c r="T93" t="n">
        <v>2160</v>
      </c>
    </row>
    <row r="94">
      <c r="I94" s="1" t="n"/>
      <c r="J94" s="1" t="n"/>
      <c r="K94" s="1" t="n"/>
      <c r="L94" s="1" t="n"/>
      <c r="M94" s="1" t="n"/>
      <c r="O94" t="n">
        <v>93</v>
      </c>
      <c r="P94" t="inlineStr">
        <is>
          <t>16/02/2026</t>
        </is>
      </c>
      <c r="Q94" t="inlineStr">
        <is>
          <t>CD</t>
        </is>
      </c>
      <c r="R94" t="n">
        <v>0</v>
      </c>
      <c r="S94" t="n">
        <v>0</v>
      </c>
      <c r="T94" t="n">
        <v>2160</v>
      </c>
    </row>
    <row r="95">
      <c r="I95" s="1" t="n"/>
      <c r="J95" s="1" t="n"/>
      <c r="K95" s="1" t="n"/>
      <c r="L95" s="1" t="n"/>
      <c r="M95" s="1" t="n"/>
      <c r="O95" t="n">
        <v>94</v>
      </c>
      <c r="P95" t="inlineStr">
        <is>
          <t>17/02/2026</t>
        </is>
      </c>
      <c r="Q95" t="inlineStr">
        <is>
          <t>CN</t>
        </is>
      </c>
      <c r="R95" t="n">
        <v>0</v>
      </c>
      <c r="S95" t="n">
        <v>0</v>
      </c>
      <c r="T95" t="n">
        <v>2160</v>
      </c>
    </row>
    <row r="96">
      <c r="I96" s="1" t="n"/>
      <c r="J96" s="1" t="n"/>
      <c r="K96" s="1" t="n"/>
      <c r="L96" s="1" t="n"/>
      <c r="M96" s="1" t="n"/>
      <c r="O96" t="n">
        <v>95</v>
      </c>
      <c r="P96" t="inlineStr">
        <is>
          <t>17/02/2026</t>
        </is>
      </c>
      <c r="Q96" t="inlineStr">
        <is>
          <t>CD</t>
        </is>
      </c>
      <c r="R96" t="n">
        <v>0</v>
      </c>
      <c r="S96" t="n">
        <v>0</v>
      </c>
      <c r="T96" t="n">
        <v>2160</v>
      </c>
    </row>
    <row r="97">
      <c r="I97" s="1" t="n"/>
      <c r="J97" s="1" t="n"/>
      <c r="K97" s="1" t="n"/>
      <c r="L97" s="1" t="n"/>
      <c r="M97" s="1" t="n"/>
      <c r="O97" t="n">
        <v>96</v>
      </c>
      <c r="P97" t="inlineStr">
        <is>
          <t>18/02/2026</t>
        </is>
      </c>
      <c r="Q97" t="inlineStr">
        <is>
          <t>CN</t>
        </is>
      </c>
      <c r="R97" t="n">
        <v>0</v>
      </c>
      <c r="S97" t="n">
        <v>0</v>
      </c>
      <c r="T97" t="n">
        <v>2160</v>
      </c>
    </row>
    <row r="98">
      <c r="I98" s="1" t="n"/>
      <c r="J98" s="1" t="n"/>
      <c r="K98" s="1" t="n"/>
      <c r="L98" s="1" t="n"/>
      <c r="M98" s="1" t="n"/>
      <c r="O98" t="n">
        <v>97</v>
      </c>
      <c r="P98" t="inlineStr">
        <is>
          <t>18/02/2026</t>
        </is>
      </c>
      <c r="Q98" t="inlineStr">
        <is>
          <t>CD</t>
        </is>
      </c>
      <c r="R98" t="n">
        <v>0</v>
      </c>
      <c r="S98" t="n">
        <v>0</v>
      </c>
      <c r="T98" t="n">
        <v>2160</v>
      </c>
    </row>
    <row r="99">
      <c r="I99" s="1" t="n"/>
      <c r="J99" s="1" t="n"/>
      <c r="K99" s="1" t="n"/>
      <c r="L99" s="1" t="n"/>
      <c r="M99" s="1" t="n"/>
      <c r="O99" t="n">
        <v>98</v>
      </c>
      <c r="P99" t="inlineStr">
        <is>
          <t>19/02/2026</t>
        </is>
      </c>
      <c r="Q99" t="inlineStr">
        <is>
          <t>CN</t>
        </is>
      </c>
      <c r="R99" t="n">
        <v>0</v>
      </c>
      <c r="S99" t="n">
        <v>0</v>
      </c>
      <c r="T99" t="n">
        <v>2160</v>
      </c>
    </row>
    <row r="100">
      <c r="I100" s="1" t="n"/>
      <c r="J100" s="1" t="n"/>
      <c r="K100" s="1" t="n"/>
      <c r="L100" s="1" t="n"/>
      <c r="M100" s="1" t="n"/>
      <c r="O100" t="n">
        <v>99</v>
      </c>
      <c r="P100" t="inlineStr">
        <is>
          <t>19/02/2026</t>
        </is>
      </c>
      <c r="Q100" t="inlineStr">
        <is>
          <t>CD</t>
        </is>
      </c>
      <c r="R100" t="n">
        <v>0</v>
      </c>
      <c r="S100" t="n">
        <v>0</v>
      </c>
      <c r="T100" t="n">
        <v>2160</v>
      </c>
    </row>
    <row r="101">
      <c r="I101" s="1" t="n"/>
      <c r="J101" s="1" t="n"/>
      <c r="K101" s="1" t="n"/>
      <c r="L101" s="1" t="n"/>
      <c r="M101" s="1" t="n"/>
      <c r="O101" t="n">
        <v>100</v>
      </c>
      <c r="P101" t="inlineStr">
        <is>
          <t>20/02/2026</t>
        </is>
      </c>
      <c r="Q101" t="inlineStr">
        <is>
          <t>CN</t>
        </is>
      </c>
      <c r="R101" t="n">
        <v>0</v>
      </c>
      <c r="S101" t="n">
        <v>0</v>
      </c>
      <c r="T101" t="n">
        <v>2160</v>
      </c>
    </row>
    <row r="102">
      <c r="O102" t="n">
        <v>101</v>
      </c>
      <c r="P102" t="inlineStr">
        <is>
          <t>20/02/2026</t>
        </is>
      </c>
      <c r="Q102" t="inlineStr">
        <is>
          <t>CD</t>
        </is>
      </c>
      <c r="R102" t="n">
        <v>0</v>
      </c>
      <c r="S102" t="n">
        <v>0</v>
      </c>
      <c r="T102" t="n">
        <v>2160</v>
      </c>
    </row>
    <row r="103">
      <c r="O103" t="n">
        <v>102</v>
      </c>
      <c r="P103" t="inlineStr">
        <is>
          <t>21/02/2026</t>
        </is>
      </c>
      <c r="Q103" t="inlineStr">
        <is>
          <t>CN</t>
        </is>
      </c>
      <c r="R103" t="n">
        <v>0</v>
      </c>
      <c r="S103" t="n">
        <v>0</v>
      </c>
      <c r="T103" t="n">
        <v>2160</v>
      </c>
    </row>
    <row r="104">
      <c r="O104" t="n">
        <v>103</v>
      </c>
      <c r="P104" t="inlineStr">
        <is>
          <t>21/02/2026</t>
        </is>
      </c>
      <c r="Q104" t="inlineStr">
        <is>
          <t>CD</t>
        </is>
      </c>
      <c r="R104" t="n">
        <v>0</v>
      </c>
      <c r="S104" t="n">
        <v>0</v>
      </c>
      <c r="T104" t="n">
        <v>2160</v>
      </c>
    </row>
    <row r="105">
      <c r="O105" t="n">
        <v>104</v>
      </c>
      <c r="P105" t="inlineStr">
        <is>
          <t>22/02/2026</t>
        </is>
      </c>
      <c r="Q105" t="inlineStr">
        <is>
          <t>CN</t>
        </is>
      </c>
      <c r="R105" t="n">
        <v>0</v>
      </c>
      <c r="S105" t="n">
        <v>0</v>
      </c>
      <c r="T105" t="n">
        <v>2160</v>
      </c>
    </row>
    <row r="106">
      <c r="O106" t="n">
        <v>105</v>
      </c>
      <c r="P106" t="inlineStr">
        <is>
          <t>22/02/2026</t>
        </is>
      </c>
      <c r="Q106" t="inlineStr">
        <is>
          <t>CD</t>
        </is>
      </c>
      <c r="R106" t="n">
        <v>0</v>
      </c>
      <c r="S106" t="n">
        <v>0</v>
      </c>
      <c r="T106" t="n">
        <v>2160</v>
      </c>
    </row>
    <row r="107">
      <c r="O107" t="n">
        <v>106</v>
      </c>
      <c r="P107" t="inlineStr">
        <is>
          <t>23/02/2026</t>
        </is>
      </c>
      <c r="Q107" t="inlineStr">
        <is>
          <t>CN</t>
        </is>
      </c>
      <c r="R107" t="n">
        <v>418</v>
      </c>
      <c r="S107" t="n">
        <v>592</v>
      </c>
      <c r="T107" t="n">
        <v>1153</v>
      </c>
    </row>
    <row r="108">
      <c r="O108" t="n">
        <v>107</v>
      </c>
      <c r="P108" t="inlineStr">
        <is>
          <t>23/02/2026</t>
        </is>
      </c>
      <c r="Q108" t="inlineStr">
        <is>
          <t>CD</t>
        </is>
      </c>
      <c r="R108" t="n">
        <v>568</v>
      </c>
      <c r="S108" t="n">
        <v>451</v>
      </c>
      <c r="T108" t="n">
        <v>1151</v>
      </c>
    </row>
    <row r="109">
      <c r="O109" t="n">
        <v>108</v>
      </c>
      <c r="P109" t="inlineStr">
        <is>
          <t>24/02/2026</t>
        </is>
      </c>
      <c r="Q109" t="inlineStr">
        <is>
          <t>CN</t>
        </is>
      </c>
      <c r="R109" t="n">
        <v>316</v>
      </c>
      <c r="S109" t="n">
        <v>389</v>
      </c>
      <c r="T109" t="n">
        <v>1461</v>
      </c>
    </row>
    <row r="110">
      <c r="O110" t="n">
        <v>109</v>
      </c>
      <c r="P110" t="inlineStr">
        <is>
          <t>24/02/2026</t>
        </is>
      </c>
      <c r="Q110" t="inlineStr">
        <is>
          <t>CD</t>
        </is>
      </c>
      <c r="R110" t="n">
        <v>666</v>
      </c>
      <c r="S110" t="n">
        <v>480</v>
      </c>
      <c r="T110" t="n">
        <v>1024</v>
      </c>
    </row>
    <row r="111">
      <c r="O111" t="n">
        <v>110</v>
      </c>
      <c r="P111" t="inlineStr">
        <is>
          <t>25/02/2026</t>
        </is>
      </c>
      <c r="Q111" t="inlineStr">
        <is>
          <t>CN</t>
        </is>
      </c>
      <c r="R111" t="n">
        <v>290</v>
      </c>
      <c r="S111" t="n">
        <v>471</v>
      </c>
      <c r="T111" t="n">
        <v>1403</v>
      </c>
    </row>
    <row r="112">
      <c r="O112" t="n">
        <v>111</v>
      </c>
      <c r="P112" t="inlineStr">
        <is>
          <t>26/02/2026</t>
        </is>
      </c>
      <c r="Q112" t="inlineStr">
        <is>
          <t>CN</t>
        </is>
      </c>
      <c r="R112" t="n">
        <v>1317</v>
      </c>
      <c r="S112" t="n">
        <v>1613</v>
      </c>
      <c r="T112" t="n">
        <v>1402</v>
      </c>
    </row>
    <row r="113">
      <c r="O113" t="n">
        <v>112</v>
      </c>
      <c r="P113" t="inlineStr">
        <is>
          <t>26/02/2026</t>
        </is>
      </c>
      <c r="Q113" t="inlineStr">
        <is>
          <t>CD</t>
        </is>
      </c>
      <c r="R113" t="n">
        <v>905</v>
      </c>
      <c r="S113" t="n">
        <v>673</v>
      </c>
      <c r="T113" t="n">
        <v>595</v>
      </c>
    </row>
    <row r="114">
      <c r="O114" t="n">
        <v>113</v>
      </c>
      <c r="P114" t="inlineStr">
        <is>
          <t>27/02/2026</t>
        </is>
      </c>
      <c r="Q114" t="inlineStr">
        <is>
          <t>CN</t>
        </is>
      </c>
      <c r="R114" t="n">
        <v>669</v>
      </c>
      <c r="S114" t="n">
        <v>569</v>
      </c>
      <c r="T114" t="n">
        <v>937</v>
      </c>
    </row>
    <row r="115">
      <c r="O115" t="n">
        <v>114</v>
      </c>
      <c r="P115" t="inlineStr">
        <is>
          <t>27/02/2026</t>
        </is>
      </c>
      <c r="Q115" t="inlineStr">
        <is>
          <t>CD</t>
        </is>
      </c>
      <c r="R115" t="n">
        <v>808</v>
      </c>
      <c r="S115" t="n">
        <v>570</v>
      </c>
      <c r="T115" t="n">
        <v>798</v>
      </c>
    </row>
    <row r="116">
      <c r="O116" t="n">
        <v>115</v>
      </c>
      <c r="P116" t="inlineStr">
        <is>
          <t>28/02/2026</t>
        </is>
      </c>
      <c r="Q116" t="inlineStr">
        <is>
          <t>CN</t>
        </is>
      </c>
      <c r="R116" t="n">
        <v>292</v>
      </c>
      <c r="S116" t="n">
        <v>489</v>
      </c>
      <c r="T116" t="n">
        <v>1383</v>
      </c>
    </row>
    <row r="117">
      <c r="O117" t="n">
        <v>116</v>
      </c>
      <c r="P117" t="inlineStr">
        <is>
          <t>28/02/2026</t>
        </is>
      </c>
      <c r="Q117" t="inlineStr">
        <is>
          <t>CD</t>
        </is>
      </c>
      <c r="R117" t="n">
        <v>517</v>
      </c>
      <c r="S117" t="n">
        <v>384</v>
      </c>
      <c r="T117" t="n">
        <v>1267</v>
      </c>
    </row>
    <row r="118">
      <c r="O118" t="n">
        <v>117</v>
      </c>
      <c r="P118" t="inlineStr">
        <is>
          <t>01/03/2026</t>
        </is>
      </c>
      <c r="Q118" t="inlineStr">
        <is>
          <t>CN</t>
        </is>
      </c>
      <c r="R118" t="n">
        <v>0</v>
      </c>
      <c r="S118" t="n">
        <v>0</v>
      </c>
      <c r="T118" t="n">
        <v>1965</v>
      </c>
    </row>
    <row r="119">
      <c r="O119" t="n">
        <v>118</v>
      </c>
      <c r="P119" t="inlineStr">
        <is>
          <t>01/03/2026</t>
        </is>
      </c>
      <c r="Q119" t="inlineStr">
        <is>
          <t>CD</t>
        </is>
      </c>
      <c r="R119" t="n">
        <v>0</v>
      </c>
      <c r="S119" t="n">
        <v>0</v>
      </c>
      <c r="T119" t="n">
        <v>2160</v>
      </c>
    </row>
    <row r="120">
      <c r="O120" t="n">
        <v>119</v>
      </c>
      <c r="P120" t="inlineStr">
        <is>
          <t>02/03/2026</t>
        </is>
      </c>
      <c r="Q120" t="inlineStr">
        <is>
          <t>CN</t>
        </is>
      </c>
      <c r="R120" t="n">
        <v>582</v>
      </c>
      <c r="S120" t="n">
        <v>355</v>
      </c>
      <c r="T120" t="n">
        <v>1234</v>
      </c>
    </row>
    <row r="121">
      <c r="O121" t="n">
        <v>120</v>
      </c>
      <c r="P121" t="inlineStr">
        <is>
          <t>02/03/2026</t>
        </is>
      </c>
      <c r="Q121" t="inlineStr">
        <is>
          <t>CD</t>
        </is>
      </c>
      <c r="R121" t="n">
        <v>565</v>
      </c>
      <c r="S121" t="n">
        <v>586</v>
      </c>
      <c r="T121" t="n">
        <v>1013</v>
      </c>
    </row>
    <row r="122">
      <c r="O122" t="n">
        <v>121</v>
      </c>
      <c r="P122" t="inlineStr">
        <is>
          <t>03/03/2026</t>
        </is>
      </c>
      <c r="Q122" t="inlineStr">
        <is>
          <t>CN</t>
        </is>
      </c>
      <c r="R122" t="n">
        <v>425</v>
      </c>
      <c r="S122" t="n">
        <v>447</v>
      </c>
      <c r="T122" t="n">
        <v>1298</v>
      </c>
    </row>
    <row r="123">
      <c r="O123" t="n">
        <v>122</v>
      </c>
      <c r="P123" t="inlineStr">
        <is>
          <t>03/03/2026</t>
        </is>
      </c>
      <c r="Q123" t="inlineStr">
        <is>
          <t>CD</t>
        </is>
      </c>
      <c r="R123" t="n">
        <v>588</v>
      </c>
      <c r="S123" t="n">
        <v>648</v>
      </c>
      <c r="T123" t="n">
        <v>931</v>
      </c>
    </row>
    <row r="124">
      <c r="O124" t="n">
        <v>123</v>
      </c>
      <c r="P124" t="inlineStr">
        <is>
          <t>04/03/2026</t>
        </is>
      </c>
      <c r="Q124" t="inlineStr">
        <is>
          <t>CN</t>
        </is>
      </c>
      <c r="R124" t="n">
        <v>562</v>
      </c>
      <c r="S124" t="n">
        <v>414</v>
      </c>
      <c r="T124" t="n">
        <v>1194</v>
      </c>
    </row>
    <row r="125">
      <c r="O125" t="n">
        <v>124</v>
      </c>
      <c r="P125" t="inlineStr">
        <is>
          <t>04/03/2026</t>
        </is>
      </c>
      <c r="Q125" t="inlineStr">
        <is>
          <t>CD</t>
        </is>
      </c>
      <c r="R125" t="n">
        <v>244</v>
      </c>
      <c r="S125" t="n">
        <v>596</v>
      </c>
      <c r="T125" t="n">
        <v>1328</v>
      </c>
    </row>
    <row r="126">
      <c r="O126" t="n">
        <v>125</v>
      </c>
      <c r="P126" t="inlineStr">
        <is>
          <t>05/03/2026</t>
        </is>
      </c>
      <c r="Q126" t="inlineStr">
        <is>
          <t>CN</t>
        </is>
      </c>
      <c r="R126" t="n">
        <v>477</v>
      </c>
      <c r="S126" t="n">
        <v>513</v>
      </c>
      <c r="T126" t="n">
        <v>1183</v>
      </c>
    </row>
    <row r="127">
      <c r="O127" t="n">
        <v>126</v>
      </c>
      <c r="P127" t="inlineStr">
        <is>
          <t>05/03/2026</t>
        </is>
      </c>
      <c r="Q127" t="inlineStr">
        <is>
          <t>CD</t>
        </is>
      </c>
      <c r="R127" t="n">
        <v>376</v>
      </c>
      <c r="S127" t="n">
        <v>685</v>
      </c>
      <c r="T127" t="n">
        <v>1102</v>
      </c>
    </row>
    <row r="128">
      <c r="O128" t="n">
        <v>127</v>
      </c>
      <c r="P128" t="inlineStr">
        <is>
          <t>06/03/2026</t>
        </is>
      </c>
      <c r="Q128" t="inlineStr">
        <is>
          <t>CN</t>
        </is>
      </c>
      <c r="R128" t="n">
        <v>548</v>
      </c>
      <c r="S128" t="n">
        <v>388</v>
      </c>
      <c r="T128" t="n">
        <v>1234</v>
      </c>
    </row>
    <row r="129">
      <c r="O129" t="n">
        <v>128</v>
      </c>
      <c r="P129" t="inlineStr">
        <is>
          <t>06/03/2026</t>
        </is>
      </c>
      <c r="Q129" t="inlineStr">
        <is>
          <t>CD</t>
        </is>
      </c>
      <c r="R129" t="n">
        <v>273</v>
      </c>
      <c r="S129" t="n">
        <v>701</v>
      </c>
      <c r="T129" t="n">
        <v>1190</v>
      </c>
    </row>
    <row r="130">
      <c r="O130" t="n">
        <v>129</v>
      </c>
      <c r="P130" t="inlineStr">
        <is>
          <t>07/03/2026</t>
        </is>
      </c>
      <c r="Q130" t="inlineStr">
        <is>
          <t>CN</t>
        </is>
      </c>
      <c r="R130" t="n">
        <v>761</v>
      </c>
      <c r="S130" t="n">
        <v>274</v>
      </c>
      <c r="T130" t="n">
        <v>1131</v>
      </c>
    </row>
    <row r="131">
      <c r="O131" t="n">
        <v>130</v>
      </c>
      <c r="P131" t="inlineStr">
        <is>
          <t>07/03/2026</t>
        </is>
      </c>
      <c r="Q131" t="inlineStr">
        <is>
          <t>CD</t>
        </is>
      </c>
      <c r="R131" t="n">
        <v>264</v>
      </c>
      <c r="S131" t="n">
        <v>403</v>
      </c>
      <c r="T131" t="n">
        <v>1511</v>
      </c>
    </row>
    <row r="132">
      <c r="O132" t="n">
        <v>131</v>
      </c>
      <c r="P132" t="inlineStr">
        <is>
          <t>08/03/2026</t>
        </is>
      </c>
      <c r="Q132" t="inlineStr">
        <is>
          <t>CN</t>
        </is>
      </c>
      <c r="R132" t="n">
        <v>110</v>
      </c>
      <c r="S132" t="n">
        <v>6</v>
      </c>
      <c r="T132" t="n">
        <v>2044</v>
      </c>
    </row>
    <row r="133">
      <c r="O133" t="n">
        <v>132</v>
      </c>
      <c r="P133" t="inlineStr">
        <is>
          <t>08/03/2026</t>
        </is>
      </c>
      <c r="Q133" t="inlineStr">
        <is>
          <t>CD</t>
        </is>
      </c>
      <c r="R133" t="n">
        <v>0</v>
      </c>
      <c r="S133" t="n">
        <v>0</v>
      </c>
      <c r="T133" t="n">
        <v>2160</v>
      </c>
    </row>
    <row r="134">
      <c r="O134" t="n">
        <v>133</v>
      </c>
      <c r="P134" t="inlineStr">
        <is>
          <t>09/03/2026</t>
        </is>
      </c>
      <c r="Q134" t="inlineStr">
        <is>
          <t>CN</t>
        </is>
      </c>
      <c r="R134" t="n">
        <v>544</v>
      </c>
      <c r="S134" t="n">
        <v>474</v>
      </c>
      <c r="T134" t="n">
        <v>1153</v>
      </c>
    </row>
    <row r="135">
      <c r="O135" t="n">
        <v>134</v>
      </c>
      <c r="P135" t="inlineStr">
        <is>
          <t>09/03/2026</t>
        </is>
      </c>
      <c r="Q135" t="inlineStr">
        <is>
          <t>CD</t>
        </is>
      </c>
      <c r="R135" t="n">
        <v>594</v>
      </c>
      <c r="S135" t="n">
        <v>488</v>
      </c>
      <c r="T135" t="n">
        <v>1091</v>
      </c>
    </row>
    <row r="136">
      <c r="O136" t="n">
        <v>135</v>
      </c>
      <c r="P136" t="inlineStr">
        <is>
          <t>10/03/2026</t>
        </is>
      </c>
      <c r="Q136" t="inlineStr">
        <is>
          <t>CN</t>
        </is>
      </c>
      <c r="R136" t="n">
        <v>725</v>
      </c>
      <c r="S136" t="n">
        <v>396</v>
      </c>
      <c r="T136" t="n">
        <v>1043</v>
      </c>
    </row>
    <row r="137">
      <c r="O137" t="n">
        <v>136</v>
      </c>
      <c r="P137" t="inlineStr">
        <is>
          <t>10/03/2026</t>
        </is>
      </c>
      <c r="Q137" t="inlineStr">
        <is>
          <t>CD</t>
        </is>
      </c>
      <c r="R137" t="n">
        <v>480</v>
      </c>
      <c r="S137" t="n">
        <v>513</v>
      </c>
      <c r="T137" t="n">
        <v>1180</v>
      </c>
    </row>
    <row r="138">
      <c r="O138" t="n">
        <v>137</v>
      </c>
      <c r="P138" t="inlineStr">
        <is>
          <t>11/03/2026</t>
        </is>
      </c>
      <c r="Q138" t="inlineStr">
        <is>
          <t>CN</t>
        </is>
      </c>
      <c r="R138" t="n">
        <v>440</v>
      </c>
      <c r="S138" t="n">
        <v>535</v>
      </c>
      <c r="T138" t="n">
        <v>1188</v>
      </c>
    </row>
    <row r="139">
      <c r="O139" t="n">
        <v>138</v>
      </c>
      <c r="P139" t="inlineStr">
        <is>
          <t>11/03/2026</t>
        </is>
      </c>
      <c r="Q139" t="inlineStr">
        <is>
          <t>CD</t>
        </is>
      </c>
      <c r="R139" t="n">
        <v>605</v>
      </c>
      <c r="S139" t="n">
        <v>486</v>
      </c>
      <c r="T139" t="n">
        <v>1085</v>
      </c>
    </row>
    <row r="140">
      <c r="O140" t="n">
        <v>139</v>
      </c>
      <c r="P140" t="inlineStr">
        <is>
          <t>12/03/2026</t>
        </is>
      </c>
      <c r="Q140" t="inlineStr">
        <is>
          <t>CN</t>
        </is>
      </c>
      <c r="R140" t="n">
        <v>539</v>
      </c>
      <c r="S140" t="n">
        <v>652</v>
      </c>
      <c r="T140" t="n">
        <v>979</v>
      </c>
    </row>
    <row r="141">
      <c r="O141" t="n">
        <v>140</v>
      </c>
      <c r="P141" t="inlineStr">
        <is>
          <t>12/03/2026</t>
        </is>
      </c>
      <c r="Q141" t="inlineStr">
        <is>
          <t>CD</t>
        </is>
      </c>
      <c r="R141" t="n">
        <v>958</v>
      </c>
      <c r="S141" t="n">
        <v>672</v>
      </c>
      <c r="T141" t="n">
        <v>550</v>
      </c>
    </row>
    <row r="142">
      <c r="O142" t="n">
        <v>141</v>
      </c>
      <c r="P142" t="inlineStr">
        <is>
          <t>13/03/2026</t>
        </is>
      </c>
      <c r="Q142" t="inlineStr">
        <is>
          <t>CN</t>
        </is>
      </c>
      <c r="R142" t="n">
        <v>351</v>
      </c>
      <c r="S142" t="n">
        <v>375</v>
      </c>
      <c r="T142" t="n">
        <v>1437</v>
      </c>
    </row>
    <row r="143">
      <c r="O143" t="n">
        <v>142</v>
      </c>
      <c r="P143" t="inlineStr">
        <is>
          <t>13/03/2026</t>
        </is>
      </c>
      <c r="Q143" t="inlineStr">
        <is>
          <t>CD</t>
        </is>
      </c>
      <c r="R143" t="n">
        <v>607</v>
      </c>
      <c r="S143" t="n">
        <v>488</v>
      </c>
      <c r="T143" t="n">
        <v>1081</v>
      </c>
    </row>
    <row r="144">
      <c r="O144" t="n">
        <v>143</v>
      </c>
      <c r="P144" t="inlineStr">
        <is>
          <t>14/03/2026</t>
        </is>
      </c>
      <c r="Q144" t="inlineStr">
        <is>
          <t>CN</t>
        </is>
      </c>
      <c r="R144" t="n">
        <v>748</v>
      </c>
      <c r="S144" t="n">
        <v>402</v>
      </c>
      <c r="T144" t="n">
        <v>1015</v>
      </c>
    </row>
    <row r="145">
      <c r="O145" t="n">
        <v>144</v>
      </c>
      <c r="P145" t="inlineStr">
        <is>
          <t>14/03/2026</t>
        </is>
      </c>
      <c r="Q145" t="inlineStr">
        <is>
          <t>CD</t>
        </is>
      </c>
      <c r="R145" t="n">
        <v>444</v>
      </c>
      <c r="S145" t="n">
        <v>417</v>
      </c>
      <c r="T145" t="n">
        <v>1310</v>
      </c>
    </row>
    <row r="146">
      <c r="O146" t="n">
        <v>145</v>
      </c>
      <c r="P146" t="inlineStr">
        <is>
          <t>15/03/2026</t>
        </is>
      </c>
      <c r="Q146" t="inlineStr">
        <is>
          <t>CN</t>
        </is>
      </c>
      <c r="R146" t="n">
        <v>0</v>
      </c>
      <c r="S146" t="n">
        <v>0</v>
      </c>
      <c r="T146" t="n">
        <v>2160</v>
      </c>
    </row>
    <row r="147">
      <c r="O147" t="n">
        <v>146</v>
      </c>
      <c r="P147" t="inlineStr">
        <is>
          <t>15/03/2026</t>
        </is>
      </c>
      <c r="Q147" t="inlineStr">
        <is>
          <t>CD</t>
        </is>
      </c>
      <c r="R147" t="n">
        <v>0</v>
      </c>
      <c r="S147" t="n">
        <v>0</v>
      </c>
      <c r="T147" t="n">
        <v>2160</v>
      </c>
    </row>
    <row r="148">
      <c r="O148" t="n">
        <v>147</v>
      </c>
      <c r="P148" t="inlineStr">
        <is>
          <t>16/03/2026</t>
        </is>
      </c>
      <c r="Q148" t="inlineStr">
        <is>
          <t>CN</t>
        </is>
      </c>
      <c r="R148" t="n">
        <v>486</v>
      </c>
      <c r="S148" t="n">
        <v>404</v>
      </c>
      <c r="T148" t="n">
        <v>1282</v>
      </c>
    </row>
    <row r="149">
      <c r="O149" t="n">
        <v>148</v>
      </c>
      <c r="P149" t="inlineStr">
        <is>
          <t>16/03/2026</t>
        </is>
      </c>
      <c r="Q149" t="inlineStr">
        <is>
          <t>CD</t>
        </is>
      </c>
      <c r="R149" t="n">
        <v>297</v>
      </c>
      <c r="S149" t="n">
        <v>474</v>
      </c>
      <c r="T149" t="n">
        <v>1398</v>
      </c>
    </row>
    <row r="150">
      <c r="O150" t="n">
        <v>149</v>
      </c>
      <c r="P150" t="inlineStr">
        <is>
          <t>17/03/2026</t>
        </is>
      </c>
      <c r="Q150" t="inlineStr">
        <is>
          <t>CN</t>
        </is>
      </c>
      <c r="R150" t="n">
        <v>530</v>
      </c>
      <c r="S150" t="n">
        <v>431</v>
      </c>
      <c r="T150" t="n">
        <v>1211</v>
      </c>
    </row>
    <row r="151">
      <c r="O151" t="n">
        <v>150</v>
      </c>
      <c r="P151" t="inlineStr">
        <is>
          <t>17/03/2026</t>
        </is>
      </c>
      <c r="Q151" t="inlineStr">
        <is>
          <t>CD</t>
        </is>
      </c>
      <c r="R151" t="n">
        <v>350</v>
      </c>
      <c r="S151" t="n">
        <v>465</v>
      </c>
      <c r="T151" t="n">
        <v>1352</v>
      </c>
    </row>
    <row r="152">
      <c r="O152" t="n">
        <v>151</v>
      </c>
      <c r="P152" t="inlineStr">
        <is>
          <t>18/03/2026</t>
        </is>
      </c>
      <c r="Q152" t="inlineStr">
        <is>
          <t>CN</t>
        </is>
      </c>
      <c r="R152" t="n">
        <v>561</v>
      </c>
      <c r="S152" t="n">
        <v>471</v>
      </c>
      <c r="T152" t="n">
        <v>1140</v>
      </c>
    </row>
    <row r="153">
      <c r="O153" t="n">
        <v>152</v>
      </c>
      <c r="P153" t="inlineStr">
        <is>
          <t>18/03/2026</t>
        </is>
      </c>
      <c r="Q153" t="inlineStr">
        <is>
          <t>CD</t>
        </is>
      </c>
      <c r="R153" t="n">
        <v>410</v>
      </c>
      <c r="S153" t="n">
        <v>431</v>
      </c>
      <c r="T153" t="n">
        <v>1324</v>
      </c>
    </row>
    <row r="154">
      <c r="O154" t="n">
        <v>153</v>
      </c>
      <c r="P154" t="inlineStr">
        <is>
          <t>19/03/2026</t>
        </is>
      </c>
      <c r="Q154" t="inlineStr">
        <is>
          <t>CN</t>
        </is>
      </c>
      <c r="R154" t="n">
        <v>516</v>
      </c>
      <c r="S154" t="n">
        <v>431</v>
      </c>
      <c r="T154" t="n">
        <v>1229</v>
      </c>
    </row>
    <row r="155">
      <c r="O155" t="n">
        <v>154</v>
      </c>
      <c r="P155" t="inlineStr">
        <is>
          <t>19/03/2026</t>
        </is>
      </c>
      <c r="Q155" t="inlineStr">
        <is>
          <t>CD</t>
        </is>
      </c>
      <c r="R155" t="n">
        <v>335</v>
      </c>
      <c r="S155" t="n">
        <v>474</v>
      </c>
      <c r="T155" t="n">
        <v>1356</v>
      </c>
    </row>
    <row r="156">
      <c r="O156" t="n">
        <v>155</v>
      </c>
      <c r="P156" t="inlineStr">
        <is>
          <t>20/03/2026</t>
        </is>
      </c>
      <c r="Q156" t="inlineStr">
        <is>
          <t>CN</t>
        </is>
      </c>
      <c r="R156" t="n">
        <v>521</v>
      </c>
      <c r="S156" t="n">
        <v>415</v>
      </c>
      <c r="T156" t="n">
        <v>1238</v>
      </c>
    </row>
    <row r="157">
      <c r="O157" t="n">
        <v>156</v>
      </c>
      <c r="P157" t="inlineStr">
        <is>
          <t>20/03/2026</t>
        </is>
      </c>
      <c r="Q157" t="inlineStr">
        <is>
          <t>CD</t>
        </is>
      </c>
      <c r="R157" t="n">
        <v>748</v>
      </c>
      <c r="S157" t="n">
        <v>453</v>
      </c>
      <c r="T157" t="n">
        <v>967</v>
      </c>
    </row>
    <row r="158">
      <c r="O158" t="n">
        <v>157</v>
      </c>
      <c r="P158" t="inlineStr">
        <is>
          <t>21/03/2026</t>
        </is>
      </c>
      <c r="Q158" t="inlineStr">
        <is>
          <t>CN</t>
        </is>
      </c>
      <c r="R158" t="n">
        <v>491</v>
      </c>
      <c r="S158" t="n">
        <v>420</v>
      </c>
      <c r="T158" t="n">
        <v>1258</v>
      </c>
    </row>
    <row r="159">
      <c r="O159" t="n">
        <v>158</v>
      </c>
      <c r="P159" t="inlineStr">
        <is>
          <t>21/03/2026</t>
        </is>
      </c>
      <c r="Q159" t="inlineStr">
        <is>
          <t>CD</t>
        </is>
      </c>
      <c r="R159" t="n">
        <v>497</v>
      </c>
      <c r="S159" t="n">
        <v>393</v>
      </c>
      <c r="T159" t="n">
        <v>1274</v>
      </c>
    </row>
    <row r="160">
      <c r="O160" t="n">
        <v>159</v>
      </c>
      <c r="P160" t="inlineStr">
        <is>
          <t>22/03/2026</t>
        </is>
      </c>
      <c r="Q160" t="inlineStr">
        <is>
          <t>CN</t>
        </is>
      </c>
      <c r="R160" t="n">
        <v>0</v>
      </c>
      <c r="S160" t="n">
        <v>0</v>
      </c>
      <c r="T160" t="n">
        <v>2160</v>
      </c>
    </row>
    <row r="161">
      <c r="O161" t="n">
        <v>160</v>
      </c>
      <c r="P161" t="inlineStr">
        <is>
          <t>22/03/2026</t>
        </is>
      </c>
      <c r="Q161" t="inlineStr">
        <is>
          <t>CD</t>
        </is>
      </c>
      <c r="R161" t="n">
        <v>0</v>
      </c>
      <c r="S161" t="n">
        <v>0</v>
      </c>
      <c r="T161" t="n">
        <v>2160</v>
      </c>
    </row>
    <row r="162">
      <c r="O162" t="n">
        <v>161</v>
      </c>
      <c r="P162" t="inlineStr">
        <is>
          <t>23/03/2026</t>
        </is>
      </c>
      <c r="Q162" t="inlineStr">
        <is>
          <t>CN</t>
        </is>
      </c>
      <c r="R162" t="n">
        <v>388</v>
      </c>
      <c r="S162" t="n">
        <v>350</v>
      </c>
      <c r="T162" t="n">
        <v>1427</v>
      </c>
    </row>
    <row r="163">
      <c r="O163" t="n">
        <v>162</v>
      </c>
      <c r="P163" t="inlineStr">
        <is>
          <t>23/03/2026</t>
        </is>
      </c>
      <c r="Q163" t="inlineStr">
        <is>
          <t>CD</t>
        </is>
      </c>
      <c r="R163" t="n">
        <v>562</v>
      </c>
      <c r="S163" t="n">
        <v>528</v>
      </c>
      <c r="T163" t="n">
        <v>1084</v>
      </c>
    </row>
    <row r="164">
      <c r="O164" t="n">
        <v>163</v>
      </c>
      <c r="P164" t="inlineStr">
        <is>
          <t>24/03/2026</t>
        </is>
      </c>
      <c r="Q164" t="inlineStr">
        <is>
          <t>CN</t>
        </is>
      </c>
      <c r="R164" t="n">
        <v>322</v>
      </c>
      <c r="S164" t="n">
        <v>366</v>
      </c>
      <c r="T164" t="n">
        <v>1478</v>
      </c>
    </row>
    <row r="165">
      <c r="O165" t="n">
        <v>164</v>
      </c>
      <c r="P165" t="inlineStr">
        <is>
          <t>24/03/2026</t>
        </is>
      </c>
      <c r="Q165" t="inlineStr">
        <is>
          <t>CD</t>
        </is>
      </c>
      <c r="R165" t="n">
        <v>728</v>
      </c>
      <c r="S165" t="n">
        <v>404</v>
      </c>
      <c r="T165" t="n">
        <v>1040</v>
      </c>
    </row>
    <row r="166">
      <c r="O166" t="n">
        <v>165</v>
      </c>
      <c r="P166" t="inlineStr">
        <is>
          <t>25/03/2026</t>
        </is>
      </c>
      <c r="Q166" t="inlineStr">
        <is>
          <t>CN</t>
        </is>
      </c>
      <c r="R166" t="n">
        <v>380</v>
      </c>
      <c r="S166" t="n">
        <v>378</v>
      </c>
      <c r="T166" t="n">
        <v>1410</v>
      </c>
    </row>
    <row r="167">
      <c r="O167" t="n">
        <v>166</v>
      </c>
      <c r="P167" t="inlineStr">
        <is>
          <t>25/03/2026</t>
        </is>
      </c>
      <c r="Q167" t="inlineStr">
        <is>
          <t>CD</t>
        </is>
      </c>
      <c r="R167" t="n">
        <v>353</v>
      </c>
      <c r="S167" t="n">
        <v>246</v>
      </c>
      <c r="T167" t="n">
        <v>1567</v>
      </c>
    </row>
    <row r="168">
      <c r="O168" t="n">
        <v>167</v>
      </c>
      <c r="P168" t="inlineStr">
        <is>
          <t>26/03/2026</t>
        </is>
      </c>
      <c r="Q168" t="inlineStr">
        <is>
          <t>CN</t>
        </is>
      </c>
      <c r="R168" t="n">
        <v>307</v>
      </c>
      <c r="S168" t="n">
        <v>358</v>
      </c>
      <c r="T168" t="n">
        <v>1500</v>
      </c>
    </row>
    <row r="169">
      <c r="O169" t="n">
        <v>168</v>
      </c>
      <c r="P169" t="inlineStr">
        <is>
          <t>26/03/2026</t>
        </is>
      </c>
      <c r="Q169" t="inlineStr">
        <is>
          <t>CD</t>
        </is>
      </c>
      <c r="R169" t="n">
        <v>541</v>
      </c>
      <c r="S169" t="n">
        <v>492</v>
      </c>
      <c r="T169" t="n">
        <v>1139</v>
      </c>
    </row>
    <row r="170">
      <c r="O170" t="n">
        <v>169</v>
      </c>
      <c r="P170" t="inlineStr">
        <is>
          <t>27/03/2026</t>
        </is>
      </c>
      <c r="Q170" t="inlineStr">
        <is>
          <t>CN</t>
        </is>
      </c>
      <c r="R170" t="n">
        <v>341</v>
      </c>
      <c r="S170" t="n">
        <v>351</v>
      </c>
      <c r="T170" t="n">
        <v>1475</v>
      </c>
    </row>
    <row r="171">
      <c r="O171" t="n">
        <v>170</v>
      </c>
      <c r="P171" t="inlineStr">
        <is>
          <t>27/03/2026</t>
        </is>
      </c>
      <c r="Q171" t="inlineStr">
        <is>
          <t>CD</t>
        </is>
      </c>
      <c r="R171" t="n">
        <v>608</v>
      </c>
      <c r="S171" t="n">
        <v>447</v>
      </c>
      <c r="T171" t="n">
        <v>1117</v>
      </c>
    </row>
    <row r="172">
      <c r="O172" t="n">
        <v>171</v>
      </c>
      <c r="P172" t="inlineStr">
        <is>
          <t>28/03/2026</t>
        </is>
      </c>
      <c r="Q172" t="inlineStr">
        <is>
          <t>CN</t>
        </is>
      </c>
      <c r="R172" t="n">
        <v>0</v>
      </c>
      <c r="S172" t="n">
        <v>0</v>
      </c>
      <c r="T172" t="n">
        <v>2159</v>
      </c>
    </row>
    <row r="173">
      <c r="O173" t="n">
        <v>172</v>
      </c>
      <c r="P173" t="inlineStr">
        <is>
          <t>28/03/2026</t>
        </is>
      </c>
      <c r="Q173" t="inlineStr">
        <is>
          <t>CD</t>
        </is>
      </c>
      <c r="R173" t="n">
        <v>9</v>
      </c>
      <c r="S173" t="n">
        <v>5</v>
      </c>
      <c r="T173" t="n">
        <v>2145</v>
      </c>
    </row>
    <row r="174">
      <c r="O174" t="n">
        <v>173</v>
      </c>
      <c r="P174" t="inlineStr">
        <is>
          <t>29/03/2026</t>
        </is>
      </c>
      <c r="Q174" t="inlineStr">
        <is>
          <t>CN</t>
        </is>
      </c>
      <c r="R174" t="n">
        <v>0</v>
      </c>
      <c r="S174" t="n">
        <v>0</v>
      </c>
      <c r="T174" t="n">
        <v>2160</v>
      </c>
    </row>
    <row r="175">
      <c r="O175" t="n">
        <v>174</v>
      </c>
      <c r="P175" t="inlineStr">
        <is>
          <t>29/03/2026</t>
        </is>
      </c>
      <c r="Q175" t="inlineStr">
        <is>
          <t>CD</t>
        </is>
      </c>
      <c r="R175" t="n">
        <v>0</v>
      </c>
      <c r="S175" t="n">
        <v>0</v>
      </c>
      <c r="T175" t="n">
        <v>2160</v>
      </c>
    </row>
    <row r="176">
      <c r="O176" t="n">
        <v>175</v>
      </c>
      <c r="P176" t="inlineStr">
        <is>
          <t>30/03/2026</t>
        </is>
      </c>
      <c r="Q176" t="inlineStr">
        <is>
          <t>CN</t>
        </is>
      </c>
      <c r="R176" t="n">
        <v>514</v>
      </c>
      <c r="S176" t="n">
        <v>383</v>
      </c>
      <c r="T176" t="n">
        <v>1270</v>
      </c>
    </row>
    <row r="177">
      <c r="O177" t="n">
        <v>176</v>
      </c>
      <c r="P177" t="inlineStr">
        <is>
          <t>30/03/2026</t>
        </is>
      </c>
      <c r="Q177" t="inlineStr">
        <is>
          <t>CD</t>
        </is>
      </c>
      <c r="R177" t="n">
        <v>373</v>
      </c>
      <c r="S177" t="n">
        <v>395</v>
      </c>
      <c r="T177" t="n">
        <v>1398</v>
      </c>
    </row>
    <row r="178">
      <c r="O178" t="n">
        <v>177</v>
      </c>
      <c r="P178" t="inlineStr">
        <is>
          <t>31/03/2026</t>
        </is>
      </c>
      <c r="Q178" t="inlineStr">
        <is>
          <t>CN</t>
        </is>
      </c>
      <c r="R178" t="n">
        <v>584</v>
      </c>
      <c r="S178" t="n">
        <v>395</v>
      </c>
      <c r="T178" t="n">
        <v>1187</v>
      </c>
    </row>
    <row r="179">
      <c r="O179" t="n">
        <v>178</v>
      </c>
      <c r="P179" t="inlineStr">
        <is>
          <t>31/03/2026</t>
        </is>
      </c>
      <c r="Q179" t="inlineStr">
        <is>
          <t>CD</t>
        </is>
      </c>
      <c r="R179" t="n">
        <v>345</v>
      </c>
      <c r="S179" t="n">
        <v>419</v>
      </c>
      <c r="T179" t="n">
        <v>1404</v>
      </c>
    </row>
    <row r="180">
      <c r="O180" t="n">
        <v>179</v>
      </c>
      <c r="P180" t="inlineStr">
        <is>
          <t>01/04/2026</t>
        </is>
      </c>
      <c r="Q180" t="inlineStr">
        <is>
          <t>CN</t>
        </is>
      </c>
      <c r="R180" t="n">
        <v>524</v>
      </c>
      <c r="S180" t="n">
        <v>460</v>
      </c>
      <c r="T180" t="n">
        <v>1183</v>
      </c>
    </row>
    <row r="181">
      <c r="O181" t="n">
        <v>180</v>
      </c>
      <c r="P181" t="inlineStr">
        <is>
          <t>01/04/2026</t>
        </is>
      </c>
      <c r="Q181" t="inlineStr">
        <is>
          <t>CD</t>
        </is>
      </c>
      <c r="R181" t="n">
        <v>331</v>
      </c>
      <c r="S181" t="n">
        <v>436</v>
      </c>
      <c r="T181" t="n">
        <v>1401</v>
      </c>
    </row>
    <row r="182">
      <c r="O182" t="n">
        <v>181</v>
      </c>
      <c r="P182" t="inlineStr">
        <is>
          <t>02/04/2026</t>
        </is>
      </c>
      <c r="Q182" t="inlineStr">
        <is>
          <t>CN</t>
        </is>
      </c>
      <c r="R182" t="n">
        <v>499</v>
      </c>
      <c r="S182" t="n">
        <v>411</v>
      </c>
      <c r="T182" t="n">
        <v>1258</v>
      </c>
    </row>
    <row r="183">
      <c r="O183" t="n">
        <v>182</v>
      </c>
      <c r="P183" t="inlineStr">
        <is>
          <t>02/04/2026</t>
        </is>
      </c>
      <c r="Q183" t="inlineStr">
        <is>
          <t>CD</t>
        </is>
      </c>
      <c r="R183" t="n">
        <v>309</v>
      </c>
      <c r="S183" t="n">
        <v>452</v>
      </c>
      <c r="T183" t="n">
        <v>1405</v>
      </c>
    </row>
    <row r="184">
      <c r="O184" t="n">
        <v>183</v>
      </c>
      <c r="P184" t="inlineStr">
        <is>
          <t>03/04/2026</t>
        </is>
      </c>
      <c r="Q184" t="inlineStr">
        <is>
          <t>CN</t>
        </is>
      </c>
      <c r="R184" t="n">
        <v>540</v>
      </c>
      <c r="S184" t="n">
        <v>433</v>
      </c>
      <c r="T184" t="n">
        <v>1199</v>
      </c>
    </row>
    <row r="185">
      <c r="O185" t="n">
        <v>184</v>
      </c>
      <c r="P185" t="inlineStr">
        <is>
          <t>03/04/2026</t>
        </is>
      </c>
      <c r="Q185" t="inlineStr">
        <is>
          <t>CD</t>
        </is>
      </c>
      <c r="R185" t="n">
        <v>372</v>
      </c>
      <c r="S185" t="n">
        <v>506</v>
      </c>
      <c r="T185" t="n">
        <v>1291</v>
      </c>
    </row>
    <row r="186">
      <c r="O186" t="n">
        <v>185</v>
      </c>
      <c r="P186" t="inlineStr">
        <is>
          <t>04/04/2026</t>
        </is>
      </c>
      <c r="Q186" t="inlineStr">
        <is>
          <t>CN</t>
        </is>
      </c>
      <c r="R186" t="n">
        <v>725</v>
      </c>
      <c r="S186" t="n">
        <v>281</v>
      </c>
      <c r="T186" t="n">
        <v>1163</v>
      </c>
    </row>
    <row r="187">
      <c r="O187" t="n">
        <v>186</v>
      </c>
      <c r="P187" t="inlineStr">
        <is>
          <t>04/04/2026</t>
        </is>
      </c>
      <c r="Q187" t="inlineStr">
        <is>
          <t>CD</t>
        </is>
      </c>
      <c r="R187" t="n">
        <v>243</v>
      </c>
      <c r="S187" t="n">
        <v>386</v>
      </c>
      <c r="T187" t="n">
        <v>1535</v>
      </c>
    </row>
    <row r="188">
      <c r="O188" t="n">
        <v>187</v>
      </c>
      <c r="P188" t="inlineStr">
        <is>
          <t>05/04/2026</t>
        </is>
      </c>
      <c r="Q188" t="inlineStr">
        <is>
          <t>CN</t>
        </is>
      </c>
      <c r="R188" t="n">
        <v>72</v>
      </c>
      <c r="S188" t="n">
        <v>1</v>
      </c>
      <c r="T188" t="n">
        <v>2086</v>
      </c>
    </row>
    <row r="189">
      <c r="O189" t="n">
        <v>188</v>
      </c>
      <c r="P189" t="inlineStr">
        <is>
          <t>05/04/2026</t>
        </is>
      </c>
      <c r="Q189" t="inlineStr">
        <is>
          <t>CD</t>
        </is>
      </c>
      <c r="R189" t="n">
        <v>720</v>
      </c>
      <c r="S189" t="n">
        <v>0</v>
      </c>
      <c r="T189" t="n">
        <v>1440</v>
      </c>
    </row>
    <row r="190">
      <c r="O190" t="n">
        <v>189</v>
      </c>
      <c r="P190" t="inlineStr">
        <is>
          <t>06/04/2026</t>
        </is>
      </c>
      <c r="Q190" t="inlineStr">
        <is>
          <t>CN</t>
        </is>
      </c>
      <c r="R190" t="n">
        <v>424</v>
      </c>
      <c r="S190" t="n">
        <v>459</v>
      </c>
      <c r="T190" t="n">
        <v>1282</v>
      </c>
    </row>
    <row r="191">
      <c r="O191" t="n">
        <v>190</v>
      </c>
      <c r="P191" t="inlineStr">
        <is>
          <t>06/04/2026</t>
        </is>
      </c>
      <c r="Q191" t="inlineStr">
        <is>
          <t>CD</t>
        </is>
      </c>
      <c r="R191" t="n">
        <v>328</v>
      </c>
      <c r="S191" t="n">
        <v>224</v>
      </c>
      <c r="T191" t="n">
        <v>1616</v>
      </c>
    </row>
    <row r="192">
      <c r="O192" t="n">
        <v>191</v>
      </c>
      <c r="P192" t="inlineStr">
        <is>
          <t>07/04/2026</t>
        </is>
      </c>
      <c r="Q192" t="inlineStr">
        <is>
          <t>CN</t>
        </is>
      </c>
      <c r="R192" t="n">
        <v>581</v>
      </c>
      <c r="S192" t="n">
        <v>413</v>
      </c>
      <c r="T192" t="n">
        <v>1171</v>
      </c>
    </row>
    <row r="193">
      <c r="O193" t="n">
        <v>192</v>
      </c>
      <c r="P193" t="inlineStr">
        <is>
          <t>07/04/2026</t>
        </is>
      </c>
      <c r="Q193" t="inlineStr">
        <is>
          <t>CD</t>
        </is>
      </c>
      <c r="R193" t="n">
        <v>389</v>
      </c>
      <c r="S193" t="n">
        <v>223</v>
      </c>
      <c r="T193" t="n">
        <v>1554</v>
      </c>
    </row>
    <row r="194">
      <c r="O194" t="n">
        <v>193</v>
      </c>
      <c r="P194" t="inlineStr">
        <is>
          <t>08/04/2026</t>
        </is>
      </c>
      <c r="Q194" t="inlineStr">
        <is>
          <t>CN</t>
        </is>
      </c>
      <c r="R194" t="n">
        <v>303</v>
      </c>
      <c r="S194" t="n">
        <v>372</v>
      </c>
      <c r="T194" t="n">
        <v>1490</v>
      </c>
    </row>
    <row r="195">
      <c r="O195" t="n">
        <v>194</v>
      </c>
      <c r="P195" t="inlineStr">
        <is>
          <t>08/04/2026</t>
        </is>
      </c>
      <c r="Q195" t="inlineStr">
        <is>
          <t>CD</t>
        </is>
      </c>
      <c r="R195" t="n">
        <v>479</v>
      </c>
      <c r="S195" t="n">
        <v>569</v>
      </c>
      <c r="T195" t="n">
        <v>1123</v>
      </c>
    </row>
    <row r="196">
      <c r="O196" t="n">
        <v>195</v>
      </c>
      <c r="P196" t="inlineStr">
        <is>
          <t>09/04/2026</t>
        </is>
      </c>
      <c r="Q196" t="inlineStr">
        <is>
          <t>CN</t>
        </is>
      </c>
      <c r="R196" t="n">
        <v>259</v>
      </c>
      <c r="S196" t="n">
        <v>424</v>
      </c>
      <c r="T196" t="n">
        <v>1484</v>
      </c>
    </row>
    <row r="197">
      <c r="O197" t="n">
        <v>196</v>
      </c>
      <c r="P197" t="inlineStr">
        <is>
          <t>09/04/2026</t>
        </is>
      </c>
      <c r="Q197" t="inlineStr">
        <is>
          <t>CD</t>
        </is>
      </c>
      <c r="R197" t="n">
        <v>582</v>
      </c>
      <c r="S197" t="n">
        <v>472</v>
      </c>
      <c r="T197" t="n">
        <v>1116</v>
      </c>
    </row>
    <row r="198">
      <c r="O198" t="n">
        <v>197</v>
      </c>
      <c r="P198" t="inlineStr">
        <is>
          <t>10/04/2026</t>
        </is>
      </c>
      <c r="Q198" t="inlineStr">
        <is>
          <t>CN</t>
        </is>
      </c>
      <c r="R198" t="n">
        <v>306</v>
      </c>
      <c r="S198" t="n">
        <v>399</v>
      </c>
      <c r="T198" t="n">
        <v>1460</v>
      </c>
    </row>
    <row r="199">
      <c r="O199" t="n">
        <v>198</v>
      </c>
      <c r="P199" t="inlineStr">
        <is>
          <t>10/04/2026</t>
        </is>
      </c>
      <c r="Q199" t="inlineStr">
        <is>
          <t>CD</t>
        </is>
      </c>
      <c r="R199" t="n">
        <v>655</v>
      </c>
      <c r="S199" t="n">
        <v>438</v>
      </c>
      <c r="T199" t="n">
        <v>1073</v>
      </c>
    </row>
    <row r="200">
      <c r="O200" t="n">
        <v>199</v>
      </c>
      <c r="P200" t="inlineStr">
        <is>
          <t>11/04/2026</t>
        </is>
      </c>
      <c r="Q200" t="inlineStr">
        <is>
          <t>CN</t>
        </is>
      </c>
      <c r="R200" t="n">
        <v>329</v>
      </c>
      <c r="S200" t="n">
        <v>381</v>
      </c>
      <c r="T200" t="n">
        <v>1455</v>
      </c>
    </row>
    <row r="201">
      <c r="O201" t="n">
        <v>200</v>
      </c>
      <c r="P201" t="inlineStr">
        <is>
          <t>11/04/2026</t>
        </is>
      </c>
      <c r="Q201" t="inlineStr">
        <is>
          <t>CD</t>
        </is>
      </c>
      <c r="R201" t="n">
        <v>561</v>
      </c>
      <c r="S201" t="n">
        <v>441</v>
      </c>
      <c r="T201" t="n">
        <v>1171</v>
      </c>
    </row>
    <row r="202">
      <c r="O202" t="n">
        <v>201</v>
      </c>
      <c r="P202" t="inlineStr">
        <is>
          <t>12/04/2026</t>
        </is>
      </c>
      <c r="Q202" t="inlineStr">
        <is>
          <t>CN</t>
        </is>
      </c>
      <c r="R202" t="n">
        <v>0</v>
      </c>
      <c r="S202" t="n">
        <v>0</v>
      </c>
      <c r="T202" t="n">
        <v>2160</v>
      </c>
    </row>
    <row r="203">
      <c r="O203" t="n">
        <v>202</v>
      </c>
      <c r="P203" t="inlineStr">
        <is>
          <t>12/04/2026</t>
        </is>
      </c>
      <c r="Q203" t="inlineStr">
        <is>
          <t>CD</t>
        </is>
      </c>
      <c r="R203" t="n">
        <v>0</v>
      </c>
      <c r="S203" t="n">
        <v>0</v>
      </c>
      <c r="T203" t="n">
        <v>2160</v>
      </c>
    </row>
    <row r="204">
      <c r="O204" t="n">
        <v>203</v>
      </c>
      <c r="P204" t="inlineStr">
        <is>
          <t>13/04/2026</t>
        </is>
      </c>
      <c r="Q204" t="inlineStr">
        <is>
          <t>CN</t>
        </is>
      </c>
      <c r="R204" t="n">
        <v>469</v>
      </c>
      <c r="S204" t="n">
        <v>493</v>
      </c>
      <c r="T204" t="n">
        <v>1209</v>
      </c>
    </row>
    <row r="205">
      <c r="O205" t="n">
        <v>204</v>
      </c>
      <c r="P205" t="inlineStr">
        <is>
          <t>13/04/2026</t>
        </is>
      </c>
      <c r="Q205" t="inlineStr">
        <is>
          <t>CD</t>
        </is>
      </c>
      <c r="R205" t="n">
        <v>272</v>
      </c>
      <c r="S205" t="n">
        <v>505</v>
      </c>
      <c r="T205" t="n">
        <v>1397</v>
      </c>
    </row>
    <row r="206">
      <c r="O206" t="n">
        <v>205</v>
      </c>
      <c r="P206" t="inlineStr">
        <is>
          <t>14/04/2026</t>
        </is>
      </c>
      <c r="Q206" t="inlineStr">
        <is>
          <t>CN</t>
        </is>
      </c>
      <c r="R206" t="n">
        <v>412</v>
      </c>
      <c r="S206" t="n">
        <v>517</v>
      </c>
      <c r="T206" t="n">
        <v>1235</v>
      </c>
    </row>
    <row r="207">
      <c r="O207" t="n">
        <v>206</v>
      </c>
      <c r="P207" t="inlineStr">
        <is>
          <t>14/04/2026</t>
        </is>
      </c>
      <c r="Q207" t="inlineStr">
        <is>
          <t>CD</t>
        </is>
      </c>
      <c r="R207" t="n">
        <v>315</v>
      </c>
      <c r="S207" t="n">
        <v>456</v>
      </c>
      <c r="T207" t="n">
        <v>1395</v>
      </c>
    </row>
    <row r="208">
      <c r="O208" t="n">
        <v>207</v>
      </c>
      <c r="P208" t="inlineStr">
        <is>
          <t>15/04/2026</t>
        </is>
      </c>
      <c r="Q208" t="inlineStr">
        <is>
          <t>CN</t>
        </is>
      </c>
      <c r="R208" t="n">
        <v>379</v>
      </c>
      <c r="S208" t="n">
        <v>559</v>
      </c>
      <c r="T208" t="n">
        <v>1228</v>
      </c>
    </row>
    <row r="209">
      <c r="O209" t="n">
        <v>208</v>
      </c>
      <c r="P209" t="inlineStr">
        <is>
          <t>15/04/2026</t>
        </is>
      </c>
      <c r="Q209" t="inlineStr">
        <is>
          <t>CD</t>
        </is>
      </c>
      <c r="R209" t="n">
        <v>240</v>
      </c>
      <c r="S209" t="n">
        <v>521</v>
      </c>
      <c r="T209" t="n">
        <v>1406</v>
      </c>
    </row>
    <row r="210">
      <c r="O210" t="n">
        <v>209</v>
      </c>
      <c r="P210" t="inlineStr">
        <is>
          <t>16/04/2026</t>
        </is>
      </c>
      <c r="Q210" t="inlineStr">
        <is>
          <t>CN</t>
        </is>
      </c>
      <c r="R210" t="n">
        <v>441</v>
      </c>
      <c r="S210" t="n">
        <v>572</v>
      </c>
      <c r="T210" t="n">
        <v>1151</v>
      </c>
    </row>
    <row r="211">
      <c r="O211" t="n">
        <v>210</v>
      </c>
      <c r="P211" t="inlineStr">
        <is>
          <t>16/04/2026</t>
        </is>
      </c>
      <c r="Q211" t="inlineStr">
        <is>
          <t>CD</t>
        </is>
      </c>
      <c r="R211" t="n">
        <v>379</v>
      </c>
      <c r="S211" t="n">
        <v>466</v>
      </c>
      <c r="T211" t="n">
        <v>1324</v>
      </c>
    </row>
    <row r="212">
      <c r="O212" t="n">
        <v>211</v>
      </c>
      <c r="P212" t="inlineStr">
        <is>
          <t>17/04/2026</t>
        </is>
      </c>
      <c r="Q212" t="inlineStr">
        <is>
          <t>CN</t>
        </is>
      </c>
      <c r="R212" t="n">
        <v>522</v>
      </c>
      <c r="S212" t="n">
        <v>403</v>
      </c>
      <c r="T212" t="n">
        <v>1248</v>
      </c>
    </row>
    <row r="213">
      <c r="O213" t="n">
        <v>212</v>
      </c>
      <c r="P213" t="inlineStr">
        <is>
          <t>17/04/2026</t>
        </is>
      </c>
      <c r="Q213" t="inlineStr">
        <is>
          <t>CD</t>
        </is>
      </c>
      <c r="R213" t="n">
        <v>356</v>
      </c>
      <c r="S213" t="n">
        <v>431</v>
      </c>
      <c r="T213" t="n">
        <v>1379</v>
      </c>
    </row>
    <row r="214">
      <c r="O214" t="n">
        <v>213</v>
      </c>
      <c r="P214" t="inlineStr">
        <is>
          <t>18/04/2026</t>
        </is>
      </c>
      <c r="Q214" t="inlineStr">
        <is>
          <t>CN</t>
        </is>
      </c>
      <c r="R214" t="n">
        <v>612</v>
      </c>
      <c r="S214" t="n">
        <v>328</v>
      </c>
      <c r="T214" t="n">
        <v>1226</v>
      </c>
    </row>
    <row r="215">
      <c r="O215" t="n">
        <v>214</v>
      </c>
      <c r="P215" t="inlineStr">
        <is>
          <t>18/04/2026</t>
        </is>
      </c>
      <c r="Q215" t="inlineStr">
        <is>
          <t>CD</t>
        </is>
      </c>
      <c r="R215" t="n">
        <v>272</v>
      </c>
      <c r="S215" t="n">
        <v>364</v>
      </c>
      <c r="T215" t="n">
        <v>1528</v>
      </c>
    </row>
    <row r="216">
      <c r="O216" t="n">
        <v>215</v>
      </c>
      <c r="P216" t="inlineStr">
        <is>
          <t>19/04/2026</t>
        </is>
      </c>
      <c r="Q216" t="inlineStr">
        <is>
          <t>CN</t>
        </is>
      </c>
      <c r="R216" t="n">
        <v>0</v>
      </c>
      <c r="S216" t="n">
        <v>0</v>
      </c>
      <c r="T216" t="n">
        <v>2160</v>
      </c>
    </row>
    <row r="217">
      <c r="O217" t="n">
        <v>216</v>
      </c>
      <c r="P217" t="inlineStr">
        <is>
          <t>19/04/2026</t>
        </is>
      </c>
      <c r="Q217" t="inlineStr">
        <is>
          <t>CD</t>
        </is>
      </c>
      <c r="R217" t="n">
        <v>0</v>
      </c>
      <c r="S217" t="n">
        <v>0</v>
      </c>
      <c r="T217" t="n">
        <v>2160</v>
      </c>
    </row>
    <row r="218">
      <c r="O218" t="n">
        <v>217</v>
      </c>
      <c r="P218" t="inlineStr">
        <is>
          <t>20/04/2026</t>
        </is>
      </c>
      <c r="Q218" t="inlineStr">
        <is>
          <t>CN</t>
        </is>
      </c>
      <c r="R218" t="n">
        <v>292</v>
      </c>
      <c r="S218" t="n">
        <v>390</v>
      </c>
      <c r="T218" t="n">
        <v>1485</v>
      </c>
    </row>
    <row r="219">
      <c r="O219" t="n">
        <v>218</v>
      </c>
      <c r="P219" t="inlineStr">
        <is>
          <t>20/04/2026</t>
        </is>
      </c>
      <c r="Q219" t="inlineStr">
        <is>
          <t>CD</t>
        </is>
      </c>
      <c r="R219" t="n">
        <v>546</v>
      </c>
      <c r="S219" t="n">
        <v>557</v>
      </c>
      <c r="T219" t="n">
        <v>1066</v>
      </c>
    </row>
    <row r="220">
      <c r="O220" t="n">
        <v>219</v>
      </c>
      <c r="P220" t="inlineStr">
        <is>
          <t>21/04/2026</t>
        </is>
      </c>
      <c r="Q220" t="inlineStr">
        <is>
          <t>CN</t>
        </is>
      </c>
      <c r="R220" t="n">
        <v>296</v>
      </c>
      <c r="S220" t="n">
        <v>447</v>
      </c>
      <c r="T220" t="n">
        <v>1424</v>
      </c>
    </row>
    <row r="221">
      <c r="O221" t="n">
        <v>220</v>
      </c>
      <c r="P221" t="inlineStr">
        <is>
          <t>21/04/2026</t>
        </is>
      </c>
      <c r="Q221" t="inlineStr">
        <is>
          <t>CD</t>
        </is>
      </c>
      <c r="R221" t="n">
        <v>424</v>
      </c>
      <c r="S221" t="n">
        <v>634</v>
      </c>
      <c r="T221" t="n">
        <v>1112</v>
      </c>
    </row>
    <row r="222">
      <c r="O222" t="n">
        <v>221</v>
      </c>
      <c r="P222" t="inlineStr">
        <is>
          <t>22/04/2026</t>
        </is>
      </c>
      <c r="Q222" t="inlineStr">
        <is>
          <t>CN</t>
        </is>
      </c>
      <c r="R222" t="n">
        <v>527</v>
      </c>
      <c r="S222" t="n">
        <v>434</v>
      </c>
      <c r="T222" t="n">
        <v>1203</v>
      </c>
    </row>
    <row r="223">
      <c r="O223" t="n">
        <v>222</v>
      </c>
      <c r="P223" t="inlineStr">
        <is>
          <t>22/04/2026</t>
        </is>
      </c>
      <c r="Q223" t="inlineStr">
        <is>
          <t>CD</t>
        </is>
      </c>
      <c r="R223" t="n">
        <v>466</v>
      </c>
      <c r="S223" t="n">
        <v>644</v>
      </c>
      <c r="T223" t="n">
        <v>1059</v>
      </c>
    </row>
    <row r="224">
      <c r="O224" t="n">
        <v>223</v>
      </c>
      <c r="P224" t="inlineStr">
        <is>
          <t>23/04/2026</t>
        </is>
      </c>
      <c r="Q224" t="inlineStr">
        <is>
          <t>CN</t>
        </is>
      </c>
      <c r="R224" t="n">
        <v>349</v>
      </c>
      <c r="S224" t="n">
        <v>360</v>
      </c>
      <c r="T224" t="n">
        <v>1454</v>
      </c>
    </row>
    <row r="225">
      <c r="O225" t="n">
        <v>224</v>
      </c>
      <c r="P225" t="inlineStr">
        <is>
          <t>23/04/2026</t>
        </is>
      </c>
      <c r="Q225" t="inlineStr">
        <is>
          <t>CD</t>
        </is>
      </c>
      <c r="R225" t="n">
        <v>972</v>
      </c>
      <c r="S225" t="n">
        <v>560</v>
      </c>
      <c r="T225" t="n">
        <v>649</v>
      </c>
    </row>
    <row r="226">
      <c r="O226" t="n">
        <v>225</v>
      </c>
      <c r="P226" t="inlineStr">
        <is>
          <t>24/04/2026</t>
        </is>
      </c>
      <c r="Q226" t="inlineStr">
        <is>
          <t>CN</t>
        </is>
      </c>
      <c r="R226" t="n">
        <v>513</v>
      </c>
      <c r="S226" t="n">
        <v>385</v>
      </c>
      <c r="T226" t="n">
        <v>1267</v>
      </c>
    </row>
    <row r="227">
      <c r="O227" t="n">
        <v>226</v>
      </c>
      <c r="P227" t="inlineStr">
        <is>
          <t>24/04/2026</t>
        </is>
      </c>
      <c r="Q227" t="inlineStr">
        <is>
          <t>CD</t>
        </is>
      </c>
      <c r="R227" t="n">
        <v>504</v>
      </c>
      <c r="S227" t="n">
        <v>528</v>
      </c>
      <c r="T227" t="n">
        <v>1136</v>
      </c>
    </row>
    <row r="228">
      <c r="O228" t="n">
        <v>227</v>
      </c>
      <c r="P228" t="inlineStr">
        <is>
          <t>25/04/2026</t>
        </is>
      </c>
      <c r="Q228" t="inlineStr">
        <is>
          <t>CN</t>
        </is>
      </c>
      <c r="R228" t="n">
        <v>238</v>
      </c>
      <c r="S228" t="n">
        <v>230</v>
      </c>
      <c r="T228" t="n">
        <v>1692</v>
      </c>
    </row>
    <row r="229">
      <c r="O229" t="n">
        <v>228</v>
      </c>
      <c r="P229" t="inlineStr">
        <is>
          <t>25/04/2026</t>
        </is>
      </c>
      <c r="Q229" t="inlineStr">
        <is>
          <t>CD</t>
        </is>
      </c>
      <c r="R229" t="n">
        <v>0</v>
      </c>
      <c r="S229" t="n">
        <v>0</v>
      </c>
      <c r="T229" t="n">
        <v>2160</v>
      </c>
    </row>
    <row r="230">
      <c r="O230" t="n">
        <v>229</v>
      </c>
      <c r="P230" t="inlineStr">
        <is>
          <t>26/04/2026</t>
        </is>
      </c>
      <c r="Q230" t="inlineStr">
        <is>
          <t>CN</t>
        </is>
      </c>
      <c r="R230" t="n">
        <v>0</v>
      </c>
      <c r="S230" t="n">
        <v>0</v>
      </c>
      <c r="T230" t="n">
        <v>2160</v>
      </c>
    </row>
    <row r="231">
      <c r="O231" t="n">
        <v>230</v>
      </c>
      <c r="P231" t="inlineStr">
        <is>
          <t>26/04/2026</t>
        </is>
      </c>
      <c r="Q231" t="inlineStr">
        <is>
          <t>CD</t>
        </is>
      </c>
      <c r="R231" t="n">
        <v>0</v>
      </c>
      <c r="S231" t="n">
        <v>0</v>
      </c>
      <c r="T231" t="n">
        <v>2160</v>
      </c>
    </row>
    <row r="232">
      <c r="O232" t="n">
        <v>231</v>
      </c>
      <c r="P232" t="inlineStr">
        <is>
          <t>27/04/2026</t>
        </is>
      </c>
      <c r="Q232" t="inlineStr">
        <is>
          <t>CN</t>
        </is>
      </c>
      <c r="R232" t="n">
        <v>259</v>
      </c>
      <c r="S232" t="n">
        <v>229</v>
      </c>
      <c r="T232" t="n">
        <v>1679</v>
      </c>
    </row>
    <row r="233">
      <c r="O233" t="n">
        <v>232</v>
      </c>
      <c r="P233" t="inlineStr">
        <is>
          <t>27/04/2026</t>
        </is>
      </c>
      <c r="Q233" t="inlineStr">
        <is>
          <t>CD</t>
        </is>
      </c>
      <c r="R233" t="n">
        <v>345</v>
      </c>
      <c r="S233" t="n">
        <v>512</v>
      </c>
      <c r="T233" t="n">
        <v>1309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Vu.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2026-04-27T19:41:40Z</dcterms:modified>
  <cp:lastModifiedBy>12329 Hoang</cp:lastModifiedBy>
</cp:coreProperties>
</file>