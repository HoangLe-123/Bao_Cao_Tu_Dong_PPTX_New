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ode_cokhi\Bao_Cao_Tu_Dong_PPTX_New\Excel\"/>
    </mc:Choice>
  </mc:AlternateContent>
  <xr:revisionPtr revIDLastSave="0" documentId="13_ncr:1_{BB7D01A8-AD34-4748-AD36-D0B1399B8C62}" xr6:coauthVersionLast="47" xr6:coauthVersionMax="47" xr10:uidLastSave="{00000000-0000-0000-0000-000000000000}"/>
  <bookViews>
    <workbookView xWindow="2595" yWindow="2595" windowWidth="21600" windowHeight="11295" xr2:uid="{B3516450-A8E9-41B1-B7A2-E64D853E5688}"/>
  </bookViews>
  <sheets>
    <sheet name="NĂM 2026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8" i="1" l="1"/>
  <c r="C159" i="1"/>
  <c r="D159" i="1"/>
  <c r="E159" i="1"/>
  <c r="F159" i="1"/>
  <c r="G159" i="1"/>
  <c r="H159" i="1"/>
  <c r="I159" i="1"/>
  <c r="J159" i="1"/>
  <c r="K159" i="1"/>
  <c r="L159" i="1"/>
  <c r="M159" i="1"/>
  <c r="B159" i="1"/>
  <c r="I158" i="1"/>
  <c r="K158" i="1"/>
  <c r="L158" i="1"/>
  <c r="M158" i="1"/>
  <c r="C158" i="1"/>
  <c r="D158" i="1"/>
  <c r="E158" i="1"/>
  <c r="F158" i="1"/>
  <c r="G158" i="1"/>
  <c r="H158" i="1"/>
  <c r="B158" i="1"/>
  <c r="H3" i="1" l="1"/>
  <c r="H4" i="1"/>
  <c r="H5" i="1"/>
  <c r="H6" i="1"/>
  <c r="H7" i="1"/>
  <c r="H8" i="1"/>
  <c r="H9" i="1"/>
  <c r="H10" i="1"/>
  <c r="H11" i="1"/>
  <c r="H12" i="1"/>
  <c r="H13" i="1"/>
  <c r="H2" i="1"/>
  <c r="E3" i="1"/>
  <c r="E4" i="1"/>
  <c r="E5" i="1"/>
  <c r="E6" i="1"/>
  <c r="E7" i="1"/>
  <c r="E8" i="1"/>
  <c r="E9" i="1"/>
  <c r="E10" i="1"/>
  <c r="E11" i="1"/>
  <c r="E12" i="1"/>
  <c r="E13" i="1"/>
  <c r="E2" i="1"/>
  <c r="B2" i="1" l="1"/>
  <c r="C2" i="1"/>
  <c r="D2" i="1"/>
  <c r="G2" i="1"/>
  <c r="B3" i="1"/>
  <c r="C3" i="1"/>
  <c r="D3" i="1"/>
  <c r="G3" i="1"/>
  <c r="B4" i="1"/>
  <c r="C4" i="1"/>
  <c r="D4" i="1"/>
  <c r="G4" i="1"/>
  <c r="B5" i="1"/>
  <c r="C5" i="1"/>
  <c r="D5" i="1"/>
  <c r="G5" i="1"/>
  <c r="B6" i="1"/>
  <c r="C6" i="1"/>
  <c r="D6" i="1"/>
  <c r="G6" i="1"/>
  <c r="B7" i="1"/>
  <c r="C7" i="1"/>
  <c r="D7" i="1"/>
  <c r="G7" i="1"/>
  <c r="B8" i="1"/>
  <c r="C8" i="1"/>
  <c r="D8" i="1"/>
  <c r="G8" i="1"/>
  <c r="B9" i="1"/>
  <c r="C9" i="1"/>
  <c r="D9" i="1"/>
  <c r="G9" i="1"/>
  <c r="B10" i="1"/>
  <c r="C10" i="1"/>
  <c r="D10" i="1"/>
  <c r="G10" i="1"/>
  <c r="B11" i="1"/>
  <c r="C11" i="1"/>
  <c r="D11" i="1"/>
  <c r="G11" i="1"/>
  <c r="B12" i="1"/>
  <c r="C12" i="1"/>
  <c r="D12" i="1"/>
  <c r="G12" i="1"/>
  <c r="B13" i="1"/>
  <c r="C13" i="1"/>
  <c r="D13" i="1"/>
  <c r="G13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8" i="1"/>
  <c r="C38" i="1"/>
  <c r="D38" i="1"/>
  <c r="G38" i="1"/>
  <c r="H38" i="1"/>
  <c r="O38" i="1"/>
  <c r="P38" i="1"/>
  <c r="Q38" i="1"/>
  <c r="T38" i="1"/>
  <c r="U38" i="1"/>
  <c r="B39" i="1"/>
  <c r="C39" i="1"/>
  <c r="D39" i="1"/>
  <c r="G39" i="1"/>
  <c r="H39" i="1"/>
  <c r="O39" i="1"/>
  <c r="P39" i="1"/>
  <c r="Q39" i="1"/>
  <c r="T39" i="1"/>
  <c r="U39" i="1"/>
  <c r="B40" i="1"/>
  <c r="C40" i="1"/>
  <c r="D40" i="1"/>
  <c r="G40" i="1"/>
  <c r="H40" i="1"/>
  <c r="O40" i="1"/>
  <c r="P40" i="1"/>
  <c r="Q40" i="1"/>
  <c r="T40" i="1"/>
  <c r="U40" i="1"/>
  <c r="B41" i="1"/>
  <c r="C41" i="1"/>
  <c r="D41" i="1"/>
  <c r="G41" i="1"/>
  <c r="H41" i="1"/>
  <c r="O41" i="1"/>
  <c r="P41" i="1"/>
  <c r="Q41" i="1"/>
  <c r="T41" i="1"/>
  <c r="U41" i="1"/>
  <c r="B42" i="1"/>
  <c r="C42" i="1"/>
  <c r="D42" i="1"/>
  <c r="G42" i="1"/>
  <c r="H42" i="1"/>
  <c r="O42" i="1"/>
  <c r="P42" i="1"/>
  <c r="Q42" i="1"/>
  <c r="T42" i="1"/>
  <c r="U42" i="1"/>
  <c r="B43" i="1"/>
  <c r="C43" i="1"/>
  <c r="D43" i="1"/>
  <c r="G43" i="1"/>
  <c r="H43" i="1"/>
  <c r="O43" i="1"/>
  <c r="P43" i="1"/>
  <c r="Q43" i="1"/>
  <c r="T43" i="1"/>
  <c r="U43" i="1"/>
  <c r="B44" i="1"/>
  <c r="C44" i="1"/>
  <c r="D44" i="1"/>
  <c r="G44" i="1"/>
  <c r="H44" i="1"/>
  <c r="O44" i="1"/>
  <c r="P44" i="1"/>
  <c r="Q44" i="1"/>
  <c r="T44" i="1"/>
  <c r="U44" i="1"/>
  <c r="B45" i="1"/>
  <c r="C45" i="1"/>
  <c r="D45" i="1"/>
  <c r="G45" i="1"/>
  <c r="H45" i="1"/>
  <c r="O45" i="1"/>
  <c r="P45" i="1"/>
  <c r="Q45" i="1"/>
  <c r="T45" i="1"/>
  <c r="U45" i="1"/>
  <c r="B46" i="1"/>
  <c r="C46" i="1"/>
  <c r="D46" i="1"/>
  <c r="G46" i="1"/>
  <c r="H46" i="1"/>
  <c r="O46" i="1"/>
  <c r="P46" i="1"/>
  <c r="Q46" i="1"/>
  <c r="T46" i="1"/>
  <c r="U46" i="1"/>
  <c r="B47" i="1"/>
  <c r="C47" i="1"/>
  <c r="D47" i="1"/>
  <c r="G47" i="1"/>
  <c r="H47" i="1"/>
  <c r="O47" i="1"/>
  <c r="P47" i="1"/>
  <c r="Q47" i="1"/>
  <c r="T47" i="1"/>
  <c r="U47" i="1"/>
  <c r="B48" i="1"/>
  <c r="C48" i="1"/>
  <c r="D48" i="1"/>
  <c r="G48" i="1"/>
  <c r="H48" i="1"/>
  <c r="O48" i="1"/>
  <c r="P48" i="1"/>
  <c r="Q48" i="1"/>
  <c r="T48" i="1"/>
  <c r="U48" i="1"/>
  <c r="B49" i="1"/>
  <c r="C49" i="1"/>
  <c r="D49" i="1"/>
  <c r="G49" i="1"/>
  <c r="H49" i="1"/>
  <c r="O49" i="1"/>
  <c r="P49" i="1"/>
  <c r="Q49" i="1"/>
  <c r="T49" i="1"/>
  <c r="U49" i="1"/>
  <c r="B55" i="1"/>
  <c r="C55" i="1"/>
  <c r="D55" i="1"/>
  <c r="G55" i="1"/>
  <c r="H55" i="1"/>
  <c r="O55" i="1"/>
  <c r="P55" i="1"/>
  <c r="Q55" i="1"/>
  <c r="T55" i="1"/>
  <c r="U55" i="1"/>
  <c r="B56" i="1"/>
  <c r="C56" i="1"/>
  <c r="D56" i="1"/>
  <c r="G56" i="1"/>
  <c r="H56" i="1"/>
  <c r="O56" i="1"/>
  <c r="P56" i="1"/>
  <c r="Q56" i="1"/>
  <c r="T56" i="1"/>
  <c r="U56" i="1"/>
  <c r="B57" i="1"/>
  <c r="C57" i="1"/>
  <c r="D57" i="1"/>
  <c r="G57" i="1"/>
  <c r="H57" i="1"/>
  <c r="O57" i="1"/>
  <c r="P57" i="1"/>
  <c r="Q57" i="1"/>
  <c r="T57" i="1"/>
  <c r="U57" i="1"/>
  <c r="B58" i="1"/>
  <c r="C58" i="1"/>
  <c r="D58" i="1"/>
  <c r="G58" i="1"/>
  <c r="H58" i="1"/>
  <c r="O58" i="1"/>
  <c r="P58" i="1"/>
  <c r="Q58" i="1"/>
  <c r="T58" i="1"/>
  <c r="U58" i="1"/>
  <c r="B59" i="1"/>
  <c r="C59" i="1"/>
  <c r="D59" i="1"/>
  <c r="G59" i="1"/>
  <c r="H59" i="1"/>
  <c r="O59" i="1"/>
  <c r="P59" i="1"/>
  <c r="Q59" i="1"/>
  <c r="T59" i="1"/>
  <c r="U59" i="1"/>
  <c r="B60" i="1"/>
  <c r="C60" i="1"/>
  <c r="D60" i="1"/>
  <c r="G60" i="1"/>
  <c r="H60" i="1"/>
  <c r="O60" i="1"/>
  <c r="P60" i="1"/>
  <c r="Q60" i="1"/>
  <c r="T60" i="1"/>
  <c r="U60" i="1"/>
  <c r="B61" i="1"/>
  <c r="C61" i="1"/>
  <c r="D61" i="1"/>
  <c r="G61" i="1"/>
  <c r="H61" i="1"/>
  <c r="O61" i="1"/>
  <c r="P61" i="1"/>
  <c r="Q61" i="1"/>
  <c r="T61" i="1"/>
  <c r="U61" i="1"/>
  <c r="B62" i="1"/>
  <c r="C62" i="1"/>
  <c r="D62" i="1"/>
  <c r="G62" i="1"/>
  <c r="H62" i="1"/>
  <c r="O62" i="1"/>
  <c r="P62" i="1"/>
  <c r="Q62" i="1"/>
  <c r="T62" i="1"/>
  <c r="U62" i="1"/>
  <c r="B63" i="1"/>
  <c r="C63" i="1"/>
  <c r="D63" i="1"/>
  <c r="G63" i="1"/>
  <c r="H63" i="1"/>
  <c r="O63" i="1"/>
  <c r="P63" i="1"/>
  <c r="Q63" i="1"/>
  <c r="T63" i="1"/>
  <c r="U63" i="1"/>
  <c r="B64" i="1"/>
  <c r="C64" i="1"/>
  <c r="D64" i="1"/>
  <c r="G64" i="1"/>
  <c r="H64" i="1"/>
  <c r="O64" i="1"/>
  <c r="P64" i="1"/>
  <c r="Q64" i="1"/>
  <c r="T64" i="1"/>
  <c r="U64" i="1"/>
  <c r="B65" i="1"/>
  <c r="C65" i="1"/>
  <c r="D65" i="1"/>
  <c r="G65" i="1"/>
  <c r="H65" i="1"/>
  <c r="O65" i="1"/>
  <c r="P65" i="1"/>
  <c r="Q65" i="1"/>
  <c r="T65" i="1"/>
  <c r="U65" i="1"/>
  <c r="B66" i="1"/>
  <c r="C66" i="1"/>
  <c r="D66" i="1"/>
  <c r="G66" i="1"/>
  <c r="H66" i="1"/>
  <c r="O66" i="1"/>
  <c r="P66" i="1"/>
  <c r="Q66" i="1"/>
  <c r="T66" i="1"/>
  <c r="U66" i="1"/>
  <c r="B73" i="1"/>
  <c r="C73" i="1"/>
  <c r="D73" i="1"/>
  <c r="G73" i="1"/>
  <c r="H73" i="1"/>
  <c r="O73" i="1"/>
  <c r="P73" i="1"/>
  <c r="Q73" i="1"/>
  <c r="T73" i="1"/>
  <c r="U73" i="1"/>
  <c r="B74" i="1"/>
  <c r="C74" i="1"/>
  <c r="D74" i="1"/>
  <c r="G74" i="1"/>
  <c r="H74" i="1"/>
  <c r="O74" i="1"/>
  <c r="P74" i="1"/>
  <c r="Q74" i="1"/>
  <c r="T74" i="1"/>
  <c r="U74" i="1"/>
  <c r="B75" i="1"/>
  <c r="C75" i="1"/>
  <c r="D75" i="1"/>
  <c r="G75" i="1"/>
  <c r="H75" i="1"/>
  <c r="O75" i="1"/>
  <c r="P75" i="1"/>
  <c r="Q75" i="1"/>
  <c r="T75" i="1"/>
  <c r="U75" i="1"/>
  <c r="B76" i="1"/>
  <c r="C76" i="1"/>
  <c r="D76" i="1"/>
  <c r="G76" i="1"/>
  <c r="H76" i="1"/>
  <c r="O76" i="1"/>
  <c r="P76" i="1"/>
  <c r="Q76" i="1"/>
  <c r="T76" i="1"/>
  <c r="U76" i="1"/>
  <c r="B77" i="1"/>
  <c r="C77" i="1"/>
  <c r="D77" i="1"/>
  <c r="G77" i="1"/>
  <c r="H77" i="1"/>
  <c r="O77" i="1"/>
  <c r="P77" i="1"/>
  <c r="Q77" i="1"/>
  <c r="T77" i="1"/>
  <c r="U77" i="1"/>
  <c r="B78" i="1"/>
  <c r="C78" i="1"/>
  <c r="D78" i="1"/>
  <c r="G78" i="1"/>
  <c r="H78" i="1"/>
  <c r="O78" i="1"/>
  <c r="P78" i="1"/>
  <c r="Q78" i="1"/>
  <c r="T78" i="1"/>
  <c r="U78" i="1"/>
  <c r="B79" i="1"/>
  <c r="C79" i="1"/>
  <c r="D79" i="1"/>
  <c r="G79" i="1"/>
  <c r="H79" i="1"/>
  <c r="O79" i="1"/>
  <c r="P79" i="1"/>
  <c r="Q79" i="1"/>
  <c r="T79" i="1"/>
  <c r="U79" i="1"/>
  <c r="B80" i="1"/>
  <c r="C80" i="1"/>
  <c r="D80" i="1"/>
  <c r="G80" i="1"/>
  <c r="H80" i="1"/>
  <c r="O80" i="1"/>
  <c r="P80" i="1"/>
  <c r="Q80" i="1"/>
  <c r="T80" i="1"/>
  <c r="U80" i="1"/>
  <c r="B81" i="1"/>
  <c r="C81" i="1"/>
  <c r="D81" i="1"/>
  <c r="G81" i="1"/>
  <c r="H81" i="1"/>
  <c r="O81" i="1"/>
  <c r="P81" i="1"/>
  <c r="Q81" i="1"/>
  <c r="T81" i="1"/>
  <c r="U81" i="1"/>
  <c r="B82" i="1"/>
  <c r="C82" i="1"/>
  <c r="D82" i="1"/>
  <c r="G82" i="1"/>
  <c r="H82" i="1"/>
  <c r="O82" i="1"/>
  <c r="P82" i="1"/>
  <c r="Q82" i="1"/>
  <c r="T82" i="1"/>
  <c r="U82" i="1"/>
  <c r="B83" i="1"/>
  <c r="C83" i="1"/>
  <c r="D83" i="1"/>
  <c r="G83" i="1"/>
  <c r="H83" i="1"/>
  <c r="O83" i="1"/>
  <c r="P83" i="1"/>
  <c r="Q83" i="1"/>
  <c r="T83" i="1"/>
  <c r="U83" i="1"/>
  <c r="B84" i="1"/>
  <c r="C84" i="1"/>
  <c r="D84" i="1"/>
  <c r="G84" i="1"/>
  <c r="H84" i="1"/>
  <c r="O84" i="1"/>
  <c r="P84" i="1"/>
  <c r="Q84" i="1"/>
  <c r="T84" i="1"/>
  <c r="U84" i="1"/>
  <c r="B90" i="1"/>
  <c r="C90" i="1"/>
  <c r="D90" i="1"/>
  <c r="G90" i="1"/>
  <c r="H90" i="1"/>
  <c r="O90" i="1"/>
  <c r="P90" i="1"/>
  <c r="Q90" i="1"/>
  <c r="T90" i="1"/>
  <c r="U90" i="1"/>
  <c r="B91" i="1"/>
  <c r="C91" i="1"/>
  <c r="D91" i="1"/>
  <c r="G91" i="1"/>
  <c r="H91" i="1"/>
  <c r="O91" i="1"/>
  <c r="P91" i="1"/>
  <c r="Q91" i="1"/>
  <c r="T91" i="1"/>
  <c r="U91" i="1"/>
  <c r="B92" i="1"/>
  <c r="C92" i="1"/>
  <c r="D92" i="1"/>
  <c r="G92" i="1"/>
  <c r="H92" i="1"/>
  <c r="O92" i="1"/>
  <c r="P92" i="1"/>
  <c r="Q92" i="1"/>
  <c r="T92" i="1"/>
  <c r="U92" i="1"/>
  <c r="B93" i="1"/>
  <c r="C93" i="1"/>
  <c r="D93" i="1"/>
  <c r="G93" i="1"/>
  <c r="H93" i="1"/>
  <c r="O93" i="1"/>
  <c r="P93" i="1"/>
  <c r="Q93" i="1"/>
  <c r="T93" i="1"/>
  <c r="U93" i="1"/>
  <c r="B94" i="1"/>
  <c r="C94" i="1"/>
  <c r="D94" i="1"/>
  <c r="G94" i="1"/>
  <c r="H94" i="1"/>
  <c r="O94" i="1"/>
  <c r="P94" i="1"/>
  <c r="Q94" i="1"/>
  <c r="T94" i="1"/>
  <c r="U94" i="1"/>
  <c r="B95" i="1"/>
  <c r="C95" i="1"/>
  <c r="D95" i="1"/>
  <c r="G95" i="1"/>
  <c r="H95" i="1"/>
  <c r="O95" i="1"/>
  <c r="P95" i="1"/>
  <c r="Q95" i="1"/>
  <c r="T95" i="1"/>
  <c r="U95" i="1"/>
  <c r="B96" i="1"/>
  <c r="C96" i="1"/>
  <c r="D96" i="1"/>
  <c r="G96" i="1"/>
  <c r="H96" i="1"/>
  <c r="O96" i="1"/>
  <c r="P96" i="1"/>
  <c r="Q96" i="1"/>
  <c r="T96" i="1"/>
  <c r="U96" i="1"/>
  <c r="B97" i="1"/>
  <c r="C97" i="1"/>
  <c r="D97" i="1"/>
  <c r="G97" i="1"/>
  <c r="H97" i="1"/>
  <c r="O97" i="1"/>
  <c r="P97" i="1"/>
  <c r="Q97" i="1"/>
  <c r="T97" i="1"/>
  <c r="U97" i="1"/>
  <c r="B98" i="1"/>
  <c r="C98" i="1"/>
  <c r="D98" i="1"/>
  <c r="G98" i="1"/>
  <c r="H98" i="1"/>
  <c r="O98" i="1"/>
  <c r="P98" i="1"/>
  <c r="Q98" i="1"/>
  <c r="T98" i="1"/>
  <c r="U98" i="1"/>
  <c r="B99" i="1"/>
  <c r="C99" i="1"/>
  <c r="D99" i="1"/>
  <c r="G99" i="1"/>
  <c r="H99" i="1"/>
  <c r="O99" i="1"/>
  <c r="P99" i="1"/>
  <c r="Q99" i="1"/>
  <c r="T99" i="1"/>
  <c r="U99" i="1"/>
  <c r="B100" i="1"/>
  <c r="C100" i="1"/>
  <c r="D100" i="1"/>
  <c r="G100" i="1"/>
  <c r="H100" i="1"/>
  <c r="O100" i="1"/>
  <c r="P100" i="1"/>
  <c r="Q100" i="1"/>
  <c r="T100" i="1"/>
  <c r="U100" i="1"/>
  <c r="B101" i="1"/>
  <c r="C101" i="1"/>
  <c r="D101" i="1"/>
  <c r="G101" i="1"/>
  <c r="H101" i="1"/>
  <c r="O101" i="1"/>
  <c r="P101" i="1"/>
  <c r="Q101" i="1"/>
  <c r="T101" i="1"/>
  <c r="U101" i="1"/>
  <c r="B107" i="1"/>
  <c r="C107" i="1"/>
  <c r="D107" i="1"/>
  <c r="G107" i="1"/>
  <c r="H107" i="1"/>
  <c r="O107" i="1"/>
  <c r="P107" i="1"/>
  <c r="Q107" i="1"/>
  <c r="T107" i="1"/>
  <c r="U107" i="1"/>
  <c r="B108" i="1"/>
  <c r="C108" i="1"/>
  <c r="D108" i="1"/>
  <c r="G108" i="1"/>
  <c r="H108" i="1"/>
  <c r="O108" i="1"/>
  <c r="P108" i="1"/>
  <c r="Q108" i="1"/>
  <c r="T108" i="1"/>
  <c r="U108" i="1"/>
  <c r="B109" i="1"/>
  <c r="C109" i="1"/>
  <c r="D109" i="1"/>
  <c r="G109" i="1"/>
  <c r="H109" i="1"/>
  <c r="O109" i="1"/>
  <c r="P109" i="1"/>
  <c r="Q109" i="1"/>
  <c r="T109" i="1"/>
  <c r="U109" i="1"/>
  <c r="B110" i="1"/>
  <c r="C110" i="1"/>
  <c r="D110" i="1"/>
  <c r="G110" i="1"/>
  <c r="H110" i="1"/>
  <c r="O110" i="1"/>
  <c r="P110" i="1"/>
  <c r="Q110" i="1"/>
  <c r="T110" i="1"/>
  <c r="U110" i="1"/>
  <c r="B111" i="1"/>
  <c r="C111" i="1"/>
  <c r="D111" i="1"/>
  <c r="G111" i="1"/>
  <c r="H111" i="1"/>
  <c r="O111" i="1"/>
  <c r="P111" i="1"/>
  <c r="Q111" i="1"/>
  <c r="T111" i="1"/>
  <c r="U111" i="1"/>
  <c r="B112" i="1"/>
  <c r="C112" i="1"/>
  <c r="D112" i="1"/>
  <c r="G112" i="1"/>
  <c r="H112" i="1"/>
  <c r="O112" i="1"/>
  <c r="P112" i="1"/>
  <c r="Q112" i="1"/>
  <c r="T112" i="1"/>
  <c r="U112" i="1"/>
  <c r="B113" i="1"/>
  <c r="C113" i="1"/>
  <c r="D113" i="1"/>
  <c r="G113" i="1"/>
  <c r="H113" i="1"/>
  <c r="O113" i="1"/>
  <c r="P113" i="1"/>
  <c r="Q113" i="1"/>
  <c r="T113" i="1"/>
  <c r="U113" i="1"/>
  <c r="B114" i="1"/>
  <c r="C114" i="1"/>
  <c r="D114" i="1"/>
  <c r="G114" i="1"/>
  <c r="H114" i="1"/>
  <c r="O114" i="1"/>
  <c r="P114" i="1"/>
  <c r="Q114" i="1"/>
  <c r="T114" i="1"/>
  <c r="U114" i="1"/>
  <c r="B115" i="1"/>
  <c r="C115" i="1"/>
  <c r="D115" i="1"/>
  <c r="G115" i="1"/>
  <c r="H115" i="1"/>
  <c r="O115" i="1"/>
  <c r="P115" i="1"/>
  <c r="Q115" i="1"/>
  <c r="T115" i="1"/>
  <c r="U115" i="1"/>
  <c r="B116" i="1"/>
  <c r="C116" i="1"/>
  <c r="D116" i="1"/>
  <c r="G116" i="1"/>
  <c r="H116" i="1"/>
  <c r="O116" i="1"/>
  <c r="P116" i="1"/>
  <c r="Q116" i="1"/>
  <c r="T116" i="1"/>
  <c r="U116" i="1"/>
  <c r="B117" i="1"/>
  <c r="C117" i="1"/>
  <c r="D117" i="1"/>
  <c r="G117" i="1"/>
  <c r="H117" i="1"/>
  <c r="O117" i="1"/>
  <c r="P117" i="1"/>
  <c r="Q117" i="1"/>
  <c r="T117" i="1"/>
  <c r="U117" i="1"/>
  <c r="B118" i="1"/>
  <c r="C118" i="1"/>
  <c r="D118" i="1"/>
  <c r="G118" i="1"/>
  <c r="H118" i="1"/>
  <c r="O118" i="1"/>
  <c r="P118" i="1"/>
  <c r="Q118" i="1"/>
  <c r="T118" i="1"/>
  <c r="U118" i="1"/>
  <c r="B125" i="1"/>
  <c r="C125" i="1"/>
  <c r="D125" i="1"/>
  <c r="G125" i="1"/>
  <c r="H125" i="1"/>
  <c r="O125" i="1"/>
  <c r="P125" i="1"/>
  <c r="Q125" i="1"/>
  <c r="T125" i="1"/>
  <c r="U125" i="1"/>
  <c r="B126" i="1"/>
  <c r="C126" i="1"/>
  <c r="D126" i="1"/>
  <c r="G126" i="1"/>
  <c r="H126" i="1"/>
  <c r="O126" i="1"/>
  <c r="P126" i="1"/>
  <c r="Q126" i="1"/>
  <c r="T126" i="1"/>
  <c r="U126" i="1"/>
  <c r="B127" i="1"/>
  <c r="C127" i="1"/>
  <c r="D127" i="1"/>
  <c r="G127" i="1"/>
  <c r="H127" i="1"/>
  <c r="O127" i="1"/>
  <c r="P127" i="1"/>
  <c r="Q127" i="1"/>
  <c r="T127" i="1"/>
  <c r="U127" i="1"/>
  <c r="B128" i="1"/>
  <c r="C128" i="1"/>
  <c r="D128" i="1"/>
  <c r="G128" i="1"/>
  <c r="H128" i="1"/>
  <c r="O128" i="1"/>
  <c r="P128" i="1"/>
  <c r="Q128" i="1"/>
  <c r="T128" i="1"/>
  <c r="U128" i="1"/>
  <c r="B129" i="1"/>
  <c r="C129" i="1"/>
  <c r="D129" i="1"/>
  <c r="G129" i="1"/>
  <c r="H129" i="1"/>
  <c r="O129" i="1"/>
  <c r="P129" i="1"/>
  <c r="Q129" i="1"/>
  <c r="T129" i="1"/>
  <c r="U129" i="1"/>
  <c r="B130" i="1"/>
  <c r="C130" i="1"/>
  <c r="D130" i="1"/>
  <c r="G130" i="1"/>
  <c r="H130" i="1"/>
  <c r="O130" i="1"/>
  <c r="P130" i="1"/>
  <c r="Q130" i="1"/>
  <c r="T130" i="1"/>
  <c r="U130" i="1"/>
  <c r="B131" i="1"/>
  <c r="C131" i="1"/>
  <c r="D131" i="1"/>
  <c r="G131" i="1"/>
  <c r="H131" i="1"/>
  <c r="O131" i="1"/>
  <c r="P131" i="1"/>
  <c r="Q131" i="1"/>
  <c r="T131" i="1"/>
  <c r="U131" i="1"/>
  <c r="B132" i="1"/>
  <c r="C132" i="1"/>
  <c r="D132" i="1"/>
  <c r="G132" i="1"/>
  <c r="H132" i="1"/>
  <c r="O132" i="1"/>
  <c r="P132" i="1"/>
  <c r="Q132" i="1"/>
  <c r="T132" i="1"/>
  <c r="U132" i="1"/>
  <c r="B133" i="1"/>
  <c r="C133" i="1"/>
  <c r="D133" i="1"/>
  <c r="G133" i="1"/>
  <c r="H133" i="1"/>
  <c r="O133" i="1"/>
  <c r="P133" i="1"/>
  <c r="Q133" i="1"/>
  <c r="T133" i="1"/>
  <c r="U133" i="1"/>
  <c r="B134" i="1"/>
  <c r="C134" i="1"/>
  <c r="D134" i="1"/>
  <c r="G134" i="1"/>
  <c r="H134" i="1"/>
  <c r="O134" i="1"/>
  <c r="P134" i="1"/>
  <c r="Q134" i="1"/>
  <c r="T134" i="1"/>
  <c r="U134" i="1"/>
  <c r="B135" i="1"/>
  <c r="C135" i="1"/>
  <c r="D135" i="1"/>
  <c r="G135" i="1"/>
  <c r="H135" i="1"/>
  <c r="O135" i="1"/>
  <c r="P135" i="1"/>
  <c r="Q135" i="1"/>
  <c r="T135" i="1"/>
  <c r="U135" i="1"/>
  <c r="B136" i="1"/>
  <c r="C136" i="1"/>
  <c r="D136" i="1"/>
  <c r="G136" i="1"/>
  <c r="H136" i="1"/>
  <c r="O136" i="1"/>
  <c r="P136" i="1"/>
  <c r="Q136" i="1"/>
  <c r="T136" i="1"/>
  <c r="U136" i="1"/>
  <c r="B142" i="1"/>
  <c r="C142" i="1"/>
  <c r="D142" i="1"/>
  <c r="G142" i="1"/>
  <c r="H142" i="1"/>
  <c r="O142" i="1"/>
  <c r="P142" i="1"/>
  <c r="Q142" i="1"/>
  <c r="T142" i="1"/>
  <c r="U142" i="1"/>
  <c r="B143" i="1"/>
  <c r="C143" i="1"/>
  <c r="D143" i="1"/>
  <c r="G143" i="1"/>
  <c r="H143" i="1"/>
  <c r="O143" i="1"/>
  <c r="P143" i="1"/>
  <c r="Q143" i="1"/>
  <c r="T143" i="1"/>
  <c r="U143" i="1"/>
  <c r="B144" i="1"/>
  <c r="C144" i="1"/>
  <c r="D144" i="1"/>
  <c r="G144" i="1"/>
  <c r="H144" i="1"/>
  <c r="O144" i="1"/>
  <c r="P144" i="1"/>
  <c r="Q144" i="1"/>
  <c r="T144" i="1"/>
  <c r="U144" i="1"/>
  <c r="B145" i="1"/>
  <c r="C145" i="1"/>
  <c r="D145" i="1"/>
  <c r="G145" i="1"/>
  <c r="H145" i="1"/>
  <c r="O145" i="1"/>
  <c r="P145" i="1"/>
  <c r="Q145" i="1"/>
  <c r="T145" i="1"/>
  <c r="U145" i="1"/>
  <c r="B146" i="1"/>
  <c r="C146" i="1"/>
  <c r="D146" i="1"/>
  <c r="G146" i="1"/>
  <c r="H146" i="1"/>
  <c r="O146" i="1"/>
  <c r="P146" i="1"/>
  <c r="Q146" i="1"/>
  <c r="T146" i="1"/>
  <c r="U146" i="1"/>
  <c r="B147" i="1"/>
  <c r="C147" i="1"/>
  <c r="D147" i="1"/>
  <c r="G147" i="1"/>
  <c r="H147" i="1"/>
  <c r="O147" i="1"/>
  <c r="P147" i="1"/>
  <c r="Q147" i="1"/>
  <c r="T147" i="1"/>
  <c r="U147" i="1"/>
  <c r="B148" i="1"/>
  <c r="C148" i="1"/>
  <c r="D148" i="1"/>
  <c r="G148" i="1"/>
  <c r="H148" i="1"/>
  <c r="O148" i="1"/>
  <c r="P148" i="1"/>
  <c r="Q148" i="1"/>
  <c r="T148" i="1"/>
  <c r="U148" i="1"/>
  <c r="B149" i="1"/>
  <c r="C149" i="1"/>
  <c r="D149" i="1"/>
  <c r="G149" i="1"/>
  <c r="H149" i="1"/>
  <c r="O149" i="1"/>
  <c r="P149" i="1"/>
  <c r="Q149" i="1"/>
  <c r="T149" i="1"/>
  <c r="U149" i="1"/>
  <c r="B150" i="1"/>
  <c r="C150" i="1"/>
  <c r="D150" i="1"/>
  <c r="G150" i="1"/>
  <c r="H150" i="1"/>
  <c r="O150" i="1"/>
  <c r="P150" i="1"/>
  <c r="Q150" i="1"/>
  <c r="T150" i="1"/>
  <c r="U150" i="1"/>
  <c r="B151" i="1"/>
  <c r="C151" i="1"/>
  <c r="D151" i="1"/>
  <c r="G151" i="1"/>
  <c r="H151" i="1"/>
  <c r="O151" i="1"/>
  <c r="P151" i="1"/>
  <c r="Q151" i="1"/>
  <c r="T151" i="1"/>
  <c r="U151" i="1"/>
  <c r="B152" i="1"/>
  <c r="C152" i="1"/>
  <c r="D152" i="1"/>
  <c r="G152" i="1"/>
  <c r="H152" i="1"/>
  <c r="O152" i="1"/>
  <c r="P152" i="1"/>
  <c r="Q152" i="1"/>
  <c r="T152" i="1"/>
  <c r="U152" i="1"/>
  <c r="B153" i="1"/>
  <c r="C153" i="1"/>
  <c r="D153" i="1"/>
  <c r="G153" i="1"/>
  <c r="H153" i="1"/>
  <c r="O153" i="1"/>
  <c r="P153" i="1"/>
  <c r="Q153" i="1"/>
  <c r="T153" i="1"/>
  <c r="U153" i="1"/>
  <c r="R108" i="1" l="1"/>
  <c r="F99" i="1"/>
  <c r="F73" i="1"/>
  <c r="S133" i="1"/>
  <c r="S94" i="1"/>
  <c r="E84" i="1"/>
  <c r="E99" i="1"/>
  <c r="E73" i="1"/>
  <c r="F107" i="1"/>
  <c r="R64" i="1"/>
  <c r="S148" i="1"/>
  <c r="S109" i="1"/>
  <c r="R109" i="1"/>
  <c r="F77" i="1"/>
  <c r="F57" i="1"/>
  <c r="F45" i="1"/>
  <c r="R39" i="1"/>
  <c r="F63" i="1"/>
  <c r="E43" i="1"/>
  <c r="R152" i="1"/>
  <c r="R145" i="1"/>
  <c r="E129" i="1"/>
  <c r="F116" i="1"/>
  <c r="S77" i="1"/>
  <c r="F114" i="1"/>
  <c r="F144" i="1"/>
  <c r="F109" i="1"/>
  <c r="R83" i="1"/>
  <c r="E40" i="1"/>
  <c r="R143" i="1"/>
  <c r="S144" i="1"/>
  <c r="E134" i="1"/>
  <c r="E91" i="1"/>
  <c r="R117" i="1"/>
  <c r="S110" i="1"/>
  <c r="R94" i="1"/>
  <c r="R82" i="1"/>
  <c r="R75" i="1"/>
  <c r="F10" i="1"/>
  <c r="F3" i="1"/>
  <c r="F95" i="1"/>
  <c r="R133" i="1"/>
  <c r="R146" i="1"/>
  <c r="R134" i="1"/>
  <c r="S114" i="1"/>
  <c r="R98" i="1"/>
  <c r="R91" i="1"/>
  <c r="R79" i="1"/>
  <c r="F58" i="1"/>
  <c r="R40" i="1"/>
  <c r="E152" i="1"/>
  <c r="E126" i="1"/>
  <c r="E58" i="1"/>
  <c r="E39" i="1"/>
  <c r="F110" i="1"/>
  <c r="I12" i="1"/>
  <c r="I5" i="1"/>
  <c r="R128" i="1"/>
  <c r="S115" i="1"/>
  <c r="F40" i="1"/>
  <c r="R149" i="1"/>
  <c r="R142" i="1"/>
  <c r="E108" i="1"/>
  <c r="S101" i="1"/>
  <c r="E96" i="1"/>
  <c r="F41" i="1"/>
  <c r="F152" i="1"/>
  <c r="F149" i="1"/>
  <c r="F61" i="1"/>
  <c r="E149" i="1"/>
  <c r="E113" i="1"/>
  <c r="F101" i="1"/>
  <c r="F97" i="1"/>
  <c r="E42" i="1"/>
  <c r="S40" i="1"/>
  <c r="E38" i="1"/>
  <c r="R151" i="1"/>
  <c r="F150" i="1"/>
  <c r="S132" i="1"/>
  <c r="F91" i="1"/>
  <c r="F79" i="1"/>
  <c r="S73" i="1"/>
  <c r="R63" i="1"/>
  <c r="I10" i="1"/>
  <c r="S116" i="1"/>
  <c r="F111" i="1"/>
  <c r="E107" i="1"/>
  <c r="F43" i="1"/>
  <c r="I2" i="1"/>
  <c r="R116" i="1"/>
  <c r="E111" i="1"/>
  <c r="R77" i="1"/>
  <c r="E59" i="1"/>
  <c r="E47" i="1"/>
  <c r="F2" i="1"/>
  <c r="E144" i="1"/>
  <c r="E115" i="1"/>
  <c r="E80" i="1"/>
  <c r="E63" i="1"/>
  <c r="S61" i="1"/>
  <c r="S152" i="1"/>
  <c r="R136" i="1"/>
  <c r="S129" i="1"/>
  <c r="E82" i="1"/>
  <c r="E61" i="1"/>
  <c r="S59" i="1"/>
  <c r="E49" i="1"/>
  <c r="E46" i="1"/>
  <c r="F42" i="1"/>
  <c r="S97" i="1"/>
  <c r="F92" i="1"/>
  <c r="F76" i="1"/>
  <c r="S112" i="1"/>
  <c r="S153" i="1"/>
  <c r="R153" i="1"/>
  <c r="S134" i="1"/>
  <c r="R130" i="1"/>
  <c r="E125" i="1"/>
  <c r="S113" i="1"/>
  <c r="F108" i="1"/>
  <c r="R97" i="1"/>
  <c r="F80" i="1"/>
  <c r="F59" i="1"/>
  <c r="F47" i="1"/>
  <c r="F39" i="1"/>
  <c r="F13" i="1"/>
  <c r="I3" i="1"/>
  <c r="F130" i="1"/>
  <c r="S118" i="1"/>
  <c r="F48" i="1"/>
  <c r="I9" i="1"/>
  <c r="R90" i="1"/>
  <c r="F146" i="1"/>
  <c r="R135" i="1"/>
  <c r="E130" i="1"/>
  <c r="R118" i="1"/>
  <c r="F113" i="1"/>
  <c r="E109" i="1"/>
  <c r="S95" i="1"/>
  <c r="F93" i="1"/>
  <c r="S91" i="1"/>
  <c r="S75" i="1"/>
  <c r="S38" i="1"/>
  <c r="F12" i="1"/>
  <c r="F9" i="1"/>
  <c r="R144" i="1"/>
  <c r="R111" i="1"/>
  <c r="E57" i="1"/>
  <c r="E41" i="1"/>
  <c r="F5" i="1"/>
  <c r="F98" i="1"/>
  <c r="S92" i="1"/>
  <c r="F90" i="1"/>
  <c r="F74" i="1"/>
  <c r="F49" i="1"/>
  <c r="E55" i="1"/>
  <c r="S147" i="1"/>
  <c r="E142" i="1"/>
  <c r="S127" i="1"/>
  <c r="R113" i="1"/>
  <c r="E94" i="1"/>
  <c r="F81" i="1"/>
  <c r="F78" i="1"/>
  <c r="F60" i="1"/>
  <c r="F38" i="1"/>
  <c r="R147" i="1"/>
  <c r="S135" i="1"/>
  <c r="R127" i="1"/>
  <c r="F112" i="1"/>
  <c r="F64" i="1"/>
  <c r="E56" i="1"/>
  <c r="F7" i="1"/>
  <c r="E44" i="1"/>
  <c r="R150" i="1"/>
  <c r="R114" i="1"/>
  <c r="S80" i="1"/>
  <c r="E48" i="1"/>
  <c r="E147" i="1"/>
  <c r="S125" i="1"/>
  <c r="S111" i="1"/>
  <c r="F83" i="1"/>
  <c r="R55" i="1"/>
  <c r="E45" i="1"/>
  <c r="E135" i="1"/>
  <c r="F131" i="1"/>
  <c r="E92" i="1"/>
  <c r="E76" i="1"/>
  <c r="R73" i="1"/>
  <c r="R43" i="1"/>
  <c r="S90" i="1"/>
  <c r="F66" i="1"/>
  <c r="F62" i="1"/>
  <c r="F55" i="1"/>
  <c r="F46" i="1"/>
  <c r="E148" i="1"/>
  <c r="S146" i="1"/>
  <c r="E136" i="1"/>
  <c r="E132" i="1"/>
  <c r="E128" i="1"/>
  <c r="F115" i="1"/>
  <c r="E101" i="1"/>
  <c r="F84" i="1"/>
  <c r="R60" i="1"/>
  <c r="S39" i="1"/>
  <c r="S145" i="1"/>
  <c r="S99" i="1"/>
  <c r="F82" i="1"/>
  <c r="S108" i="1"/>
  <c r="F117" i="1"/>
  <c r="R99" i="1"/>
  <c r="R84" i="1"/>
  <c r="S76" i="1"/>
  <c r="E74" i="1"/>
  <c r="R65" i="1"/>
  <c r="R61" i="1"/>
  <c r="R47" i="1"/>
  <c r="E117" i="1"/>
  <c r="E93" i="1"/>
  <c r="S143" i="1"/>
  <c r="R125" i="1"/>
  <c r="R110" i="1"/>
  <c r="S100" i="1"/>
  <c r="E98" i="1"/>
  <c r="F94" i="1"/>
  <c r="R66" i="1"/>
  <c r="F65" i="1"/>
  <c r="E60" i="1"/>
  <c r="S58" i="1"/>
  <c r="R38" i="1"/>
  <c r="F75" i="1"/>
  <c r="I6" i="1"/>
  <c r="S136" i="1"/>
  <c r="S96" i="1"/>
  <c r="R126" i="1"/>
  <c r="R101" i="1"/>
  <c r="F143" i="1"/>
  <c r="S126" i="1"/>
  <c r="F100" i="1"/>
  <c r="S93" i="1"/>
  <c r="R78" i="1"/>
  <c r="E66" i="1"/>
  <c r="R59" i="1"/>
  <c r="S41" i="1"/>
  <c r="I8" i="1"/>
  <c r="E151" i="1"/>
  <c r="F147" i="1"/>
  <c r="F96" i="1"/>
  <c r="R93" i="1"/>
  <c r="E90" i="1"/>
  <c r="S83" i="1"/>
  <c r="E81" i="1"/>
  <c r="S64" i="1"/>
  <c r="E62" i="1"/>
  <c r="R41" i="1"/>
  <c r="R48" i="1"/>
  <c r="F153" i="1"/>
  <c r="R132" i="1"/>
  <c r="S128" i="1"/>
  <c r="E114" i="1"/>
  <c r="E95" i="1"/>
  <c r="E83" i="1"/>
  <c r="R80" i="1"/>
  <c r="E77" i="1"/>
  <c r="S74" i="1"/>
  <c r="E64" i="1"/>
  <c r="R49" i="1"/>
  <c r="R42" i="1"/>
  <c r="F125" i="1"/>
  <c r="S98" i="1"/>
  <c r="R92" i="1"/>
  <c r="S81" i="1"/>
  <c r="R74" i="1"/>
  <c r="S62" i="1"/>
  <c r="R81" i="1"/>
  <c r="E78" i="1"/>
  <c r="E65" i="1"/>
  <c r="R62" i="1"/>
  <c r="S151" i="1"/>
  <c r="S117" i="1"/>
  <c r="F126" i="1"/>
  <c r="F151" i="1"/>
  <c r="R148" i="1"/>
  <c r="F142" i="1"/>
  <c r="F132" i="1"/>
  <c r="R129" i="1"/>
  <c r="E127" i="1"/>
  <c r="E116" i="1"/>
  <c r="R112" i="1"/>
  <c r="R100" i="1"/>
  <c r="E97" i="1"/>
  <c r="S82" i="1"/>
  <c r="E79" i="1"/>
  <c r="S63" i="1"/>
  <c r="R56" i="1"/>
  <c r="R44" i="1"/>
  <c r="F127" i="1"/>
  <c r="R45" i="1"/>
  <c r="R57" i="1"/>
  <c r="R76" i="1"/>
  <c r="S65" i="1"/>
  <c r="F56" i="1"/>
  <c r="F44" i="1"/>
  <c r="F8" i="1"/>
  <c r="S149" i="1"/>
  <c r="S130" i="1"/>
  <c r="E118" i="1"/>
  <c r="E110" i="1"/>
  <c r="R58" i="1"/>
  <c r="R46" i="1"/>
  <c r="S79" i="1"/>
  <c r="F128" i="1"/>
  <c r="S150" i="1"/>
  <c r="S131" i="1"/>
  <c r="F118" i="1"/>
  <c r="S107" i="1"/>
  <c r="R95" i="1"/>
  <c r="S78" i="1"/>
  <c r="I13" i="1"/>
  <c r="I7" i="1"/>
  <c r="S142" i="1"/>
  <c r="F134" i="1"/>
  <c r="R131" i="1"/>
  <c r="F129" i="1"/>
  <c r="R115" i="1"/>
  <c r="E112" i="1"/>
  <c r="R107" i="1"/>
  <c r="E100" i="1"/>
  <c r="R96" i="1"/>
  <c r="S84" i="1"/>
  <c r="E75" i="1"/>
  <c r="S66" i="1"/>
  <c r="S60" i="1"/>
  <c r="F6" i="1"/>
  <c r="E150" i="1"/>
  <c r="E143" i="1"/>
  <c r="E131" i="1"/>
  <c r="F4" i="1"/>
  <c r="I4" i="1"/>
  <c r="F11" i="1"/>
  <c r="I11" i="1"/>
  <c r="F133" i="1"/>
  <c r="F145" i="1"/>
  <c r="E153" i="1"/>
  <c r="E145" i="1"/>
  <c r="E133" i="1"/>
  <c r="E146" i="1"/>
  <c r="S57" i="1"/>
  <c r="S56" i="1"/>
  <c r="S55" i="1"/>
  <c r="S49" i="1"/>
  <c r="S48" i="1"/>
  <c r="S47" i="1"/>
  <c r="S46" i="1"/>
  <c r="S45" i="1"/>
  <c r="S44" i="1"/>
  <c r="S43" i="1"/>
  <c r="S42" i="1"/>
  <c r="F135" i="1"/>
  <c r="F148" i="1"/>
  <c r="F136" i="1"/>
</calcChain>
</file>

<file path=xl/sharedStrings.xml><?xml version="1.0" encoding="utf-8"?>
<sst xmlns="http://schemas.openxmlformats.org/spreadsheetml/2006/main" count="365" uniqueCount="49">
  <si>
    <t>12月</t>
  </si>
  <si>
    <t>11月</t>
  </si>
  <si>
    <t>10月</t>
  </si>
  <si>
    <t>9月</t>
  </si>
  <si>
    <t>8月</t>
  </si>
  <si>
    <t>7月</t>
  </si>
  <si>
    <t>6月</t>
  </si>
  <si>
    <t>5月</t>
  </si>
  <si>
    <t>4月</t>
  </si>
  <si>
    <t>3月</t>
  </si>
  <si>
    <t>2月</t>
  </si>
  <si>
    <t>1月</t>
  </si>
  <si>
    <t>Mục tiêu số PCS/ máy (ngày)</t>
  </si>
  <si>
    <t>Mục tiêu Bản vẽ/ máy (ngày)</t>
  </si>
  <si>
    <t>Mục tiêu Số PCS HT CĐ/ tháng</t>
  </si>
  <si>
    <t>Mục tiêu Bản vẽ HT CĐ/ tháng</t>
  </si>
  <si>
    <t>Mục tiêu Số PCS HT CĐ/ngày</t>
  </si>
  <si>
    <t>Mục tiêu Bản vẽ HT CĐ/ngày</t>
  </si>
  <si>
    <t>Ngày làm việc</t>
  </si>
  <si>
    <t>Tháng</t>
  </si>
  <si>
    <t>GP</t>
  </si>
  <si>
    <t>Công đoạn</t>
  </si>
  <si>
    <t>GR</t>
  </si>
  <si>
    <t>EW</t>
  </si>
  <si>
    <t>GS</t>
  </si>
  <si>
    <t>EN</t>
  </si>
  <si>
    <t>DA</t>
  </si>
  <si>
    <t>LN</t>
  </si>
  <si>
    <t>BJ</t>
  </si>
  <si>
    <t>MC</t>
  </si>
  <si>
    <t>LA</t>
  </si>
  <si>
    <t>GJ</t>
  </si>
  <si>
    <t>MA</t>
  </si>
  <si>
    <t>GC</t>
  </si>
  <si>
    <t>AA</t>
  </si>
  <si>
    <t>Mục tiêu Số PCS HT CĐ</t>
  </si>
  <si>
    <t>Mục tiêu Bản vẽ HT CĐ</t>
  </si>
  <si>
    <t>P/M.H PCS</t>
  </si>
  <si>
    <t>Thực tích PCS hoàn thành</t>
  </si>
  <si>
    <t>Mục tiêu PCS hoàn thành</t>
  </si>
  <si>
    <t>P/M.H Bản vẽ</t>
  </si>
  <si>
    <t>Thực tích Bản vẽ hoàn thành</t>
  </si>
  <si>
    <t>Mục tiêu Bản vẽ hoàn thành</t>
  </si>
  <si>
    <t>Mục tiêu Số giờ</t>
  </si>
  <si>
    <t>HẠNG MỤC</t>
  </si>
  <si>
    <t>Mục tiêu Ca 1</t>
  </si>
  <si>
    <t>Mục tiêu Ca 2</t>
  </si>
  <si>
    <t>Mục tiêu Tỉ lệ hoạt động máy tại các công đoạn năm 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</si>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</sst>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4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164" fontId="2" fillId="0" borderId="1" xfId="1" applyNumberFormat="1" applyFont="1" applyBorder="1" applyAlignment="1">
      <alignment horizontal="center" vertical="center"/>
    </xf>
    <xf numFmtId="164" fontId="2" fillId="0" borderId="1" xfId="2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43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0" fontId="1" fillId="0" borderId="1" xfId="1" applyBorder="1"/>
    <xf numFmtId="0" fontId="2" fillId="2" borderId="1" xfId="1" applyFont="1" applyFill="1" applyBorder="1" applyAlignment="1">
      <alignment horizontal="center" vertical="center"/>
    </xf>
  </cellXfs>
  <cellStyles count="4">
    <cellStyle name="Comma 2" xfId="2" xr:uid="{44139671-B630-4A94-9B16-4E85269CD3ED}"/>
    <cellStyle name="Normal" xfId="0" builtinId="0"/>
    <cellStyle name="Normal 2" xfId="1" xr:uid="{8EBE151B-DDD4-487D-8425-5F0C1FDE340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MỤC TIÊU-THỰC TÍCH SỐ B</a:t>
            </a:r>
            <a:r>
              <a:rPr lang="vi-V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ẢN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 VẼ,SỐ PCS HOÀN THÀNH TRONG THÁNG CỦA NĂM 2026</a:t>
            </a:r>
            <a:endParaRPr lang="en-US" sz="11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4982901234567902"/>
          <c:y val="1.1751851851851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'NĂM 2026'!$D$1</c:f>
              <c:strCache>
                <c:ptCount val="1"/>
                <c:pt idx="0">
                  <c:v>Mục tiêu Bản vẽ hoàn thành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'NĂM 2026'!$A$2:$A$13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'NĂM 2026'!$D$2:$D$13</c:f>
              <c:numCache>
                <c:formatCode>_(* #,##0_);_(* \(#,##0\);_(* "-"??_);_(@_)</c:formatCode>
                <c:ptCount val="12"/>
                <c:pt idx="0">
                  <c:v>2546</c:v>
                </c:pt>
                <c:pt idx="1">
                  <c:v>1687</c:v>
                </c:pt>
                <c:pt idx="2">
                  <c:v>2483</c:v>
                </c:pt>
                <c:pt idx="3">
                  <c:v>2571</c:v>
                </c:pt>
                <c:pt idx="4">
                  <c:v>2386</c:v>
                </c:pt>
                <c:pt idx="5">
                  <c:v>2560</c:v>
                </c:pt>
                <c:pt idx="6">
                  <c:v>2821</c:v>
                </c:pt>
                <c:pt idx="7">
                  <c:v>2530</c:v>
                </c:pt>
                <c:pt idx="8">
                  <c:v>2500</c:v>
                </c:pt>
                <c:pt idx="9">
                  <c:v>2626</c:v>
                </c:pt>
                <c:pt idx="10">
                  <c:v>2537</c:v>
                </c:pt>
                <c:pt idx="11">
                  <c:v>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3-4059-8429-64C59405D112}"/>
            </c:ext>
          </c:extLst>
        </c:ser>
        <c:ser>
          <c:idx val="3"/>
          <c:order val="3"/>
          <c:tx>
            <c:strRef>
              <c:f>'NĂM 2026'!$E$1</c:f>
              <c:strCache>
                <c:ptCount val="1"/>
                <c:pt idx="0">
                  <c:v>Thực tích Bản vẽ hoàn thành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'NĂM 2026'!$A$2:$A$13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'NĂM 2026'!$E$2:$E$13</c:f>
              <c:numCache>
                <c:formatCode>General</c:formatCode>
                <c:ptCount val="12"/>
                <c:pt idx="0">
                  <c:v>2420</c:v>
                </c:pt>
                <c:pt idx="1">
                  <c:v>1572</c:v>
                </c:pt>
                <c:pt idx="2">
                  <c:v>2309</c:v>
                </c:pt>
                <c:pt idx="3">
                  <c:v>735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3-4059-8429-64C59405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470104"/>
        <c:axId val="9764708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'NĂM 2026'!$B$1</c15:sqref>
                        </c15:formulaRef>
                      </c:ext>
                    </c:extLst>
                    <c:strCache>
                      <c:ptCount val="1"/>
                      <c:pt idx="0">
                        <c:v>Ngày làm việc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'NĂM 2026'!$A$2:$A$13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'NĂM 2026'!$B$2:$B$13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22</c:v>
                      </c:pt>
                      <c:pt idx="1">
                        <c:v>15</c:v>
                      </c:pt>
                      <c:pt idx="2">
                        <c:v>22</c:v>
                      </c:pt>
                      <c:pt idx="3">
                        <c:v>21</c:v>
                      </c:pt>
                      <c:pt idx="4">
                        <c:v>20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21</c:v>
                      </c:pt>
                      <c:pt idx="8">
                        <c:v>21</c:v>
                      </c:pt>
                      <c:pt idx="9">
                        <c:v>22</c:v>
                      </c:pt>
                      <c:pt idx="10">
                        <c:v>21</c:v>
                      </c:pt>
                      <c:pt idx="11">
                        <c:v>22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4403-4059-8429-64C59405D1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2026'!$C$1</c15:sqref>
                        </c15:formulaRef>
                      </c:ext>
                    </c:extLst>
                    <c:strCache>
                      <c:ptCount val="1"/>
                      <c:pt idx="0">
                        <c:v>Mục tiêu Số giờ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2026'!$A$2:$A$13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2026'!$C$2:$C$13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2"/>
                      <c:pt idx="0">
                        <c:v>15321</c:v>
                      </c:pt>
                      <c:pt idx="1">
                        <c:v>10107</c:v>
                      </c:pt>
                      <c:pt idx="2">
                        <c:v>14847</c:v>
                      </c:pt>
                      <c:pt idx="3">
                        <c:v>15156</c:v>
                      </c:pt>
                      <c:pt idx="4">
                        <c:v>13807</c:v>
                      </c:pt>
                      <c:pt idx="5">
                        <c:v>15014</c:v>
                      </c:pt>
                      <c:pt idx="6">
                        <c:v>16107.399999999981</c:v>
                      </c:pt>
                      <c:pt idx="7">
                        <c:v>14410.5</c:v>
                      </c:pt>
                      <c:pt idx="8">
                        <c:v>14122.5</c:v>
                      </c:pt>
                      <c:pt idx="9">
                        <c:v>15014</c:v>
                      </c:pt>
                      <c:pt idx="10">
                        <c:v>14410.5</c:v>
                      </c:pt>
                      <c:pt idx="11">
                        <c:v>15014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4403-4059-8429-64C59405D11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5"/>
          <c:tx>
            <c:strRef>
              <c:f>'NĂM 2026'!$H$1</c:f>
              <c:strCache>
                <c:ptCount val="1"/>
                <c:pt idx="0">
                  <c:v>Thực tích PCS hoàn thành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8667965065690573E-2"/>
                  <c:y val="-4.5262241057012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03-4059-8429-64C59405D112}"/>
                </c:ext>
              </c:extLst>
            </c:dLbl>
            <c:dLbl>
              <c:idx val="1"/>
              <c:layout>
                <c:manualLayout>
                  <c:x val="-3.3138399524894708E-3"/>
                  <c:y val="-3.62252772160731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03-4059-8429-64C59405D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'NĂM 2026'!$A$2:$A$13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'NĂM 2026'!$H$2:$H$13</c:f>
              <c:numCache>
                <c:formatCode>General</c:formatCode>
                <c:ptCount val="12"/>
                <c:pt idx="0">
                  <c:v>34743</c:v>
                </c:pt>
                <c:pt idx="1">
                  <c:v>19982</c:v>
                </c:pt>
                <c:pt idx="2">
                  <c:v>35509</c:v>
                </c:pt>
                <c:pt idx="3">
                  <c:v>10314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03-4059-8429-64C59405D112}"/>
            </c:ext>
          </c:extLst>
        </c:ser>
        <c:ser>
          <c:idx val="5"/>
          <c:order val="6"/>
          <c:tx>
            <c:strRef>
              <c:f>'NĂM 2026'!$G$1</c:f>
              <c:strCache>
                <c:ptCount val="1"/>
                <c:pt idx="0">
                  <c:v>Mục tiêu PCS hoàn thành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656919976244723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03-4059-8429-64C59405D112}"/>
                </c:ext>
              </c:extLst>
            </c:dLbl>
            <c:dLbl>
              <c:idx val="1"/>
              <c:layout>
                <c:manualLayout>
                  <c:x val="4.4184532699859339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03-4059-8429-64C59405D112}"/>
                </c:ext>
              </c:extLst>
            </c:dLbl>
            <c:dLbl>
              <c:idx val="2"/>
              <c:layout>
                <c:manualLayout>
                  <c:x val="0"/>
                  <c:y val="-4.1400316818369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03-4059-8429-64C59405D112}"/>
                </c:ext>
              </c:extLst>
            </c:dLbl>
            <c:dLbl>
              <c:idx val="3"/>
              <c:layout>
                <c:manualLayout>
                  <c:x val="-4.0502020425408267E-17"/>
                  <c:y val="-2.0700158409184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03-4059-8429-64C59405D112}"/>
                </c:ext>
              </c:extLst>
            </c:dLbl>
            <c:dLbl>
              <c:idx val="4"/>
              <c:layout>
                <c:manualLayout>
                  <c:x val="7.7322932224753033E-3"/>
                  <c:y val="1.81126386080365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03-4059-8429-64C59405D112}"/>
                </c:ext>
              </c:extLst>
            </c:dLbl>
            <c:dLbl>
              <c:idx val="5"/>
              <c:layout>
                <c:manualLayout>
                  <c:x val="0"/>
                  <c:y val="1.81126386080365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403-4059-8429-64C59405D112}"/>
                </c:ext>
              </c:extLst>
            </c:dLbl>
            <c:dLbl>
              <c:idx val="6"/>
              <c:layout>
                <c:manualLayout>
                  <c:x val="0"/>
                  <c:y val="-2.5875198011480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03-4059-8429-64C59405D112}"/>
                </c:ext>
              </c:extLst>
            </c:dLbl>
            <c:dLbl>
              <c:idx val="7"/>
              <c:layout>
                <c:manualLayout>
                  <c:x val="-8.1004040850816534E-17"/>
                  <c:y val="-3.88127970172212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403-4059-8429-64C59405D112}"/>
                </c:ext>
              </c:extLst>
            </c:dLbl>
            <c:dLbl>
              <c:idx val="8"/>
              <c:layout>
                <c:manualLayout>
                  <c:x val="-7.7322932224753848E-3"/>
                  <c:y val="-5.95129554264059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03-4059-8429-64C59405D112}"/>
                </c:ext>
              </c:extLst>
            </c:dLbl>
            <c:dLbl>
              <c:idx val="9"/>
              <c:layout>
                <c:manualLayout>
                  <c:x val="0"/>
                  <c:y val="-4.14003168183693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403-4059-8429-64C59405D112}"/>
                </c:ext>
              </c:extLst>
            </c:dLbl>
            <c:dLbl>
              <c:idx val="10"/>
              <c:layout>
                <c:manualLayout>
                  <c:x val="-7.7322932224753848E-3"/>
                  <c:y val="-4.91628762218136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403-4059-8429-64C59405D112}"/>
                </c:ext>
              </c:extLst>
            </c:dLbl>
            <c:dLbl>
              <c:idx val="11"/>
              <c:layout>
                <c:manualLayout>
                  <c:x val="0"/>
                  <c:y val="-3.36377574149251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403-4059-8429-64C59405D1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'NĂM 2026'!$A$2:$A$13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'NĂM 2026'!$G$2:$G$13</c:f>
              <c:numCache>
                <c:formatCode>_(* #,##0_);_(* \(#,##0\);_(* "-"??_);_(@_)</c:formatCode>
                <c:ptCount val="12"/>
                <c:pt idx="0">
                  <c:v>35912.75</c:v>
                </c:pt>
                <c:pt idx="1">
                  <c:v>24034.75</c:v>
                </c:pt>
                <c:pt idx="2">
                  <c:v>34984.416666666664</c:v>
                </c:pt>
                <c:pt idx="3">
                  <c:v>35884.416666666664</c:v>
                </c:pt>
                <c:pt idx="4">
                  <c:v>32906.25</c:v>
                </c:pt>
                <c:pt idx="5">
                  <c:v>35385.416666666664</c:v>
                </c:pt>
                <c:pt idx="6">
                  <c:v>38219.416666666672</c:v>
                </c:pt>
                <c:pt idx="7">
                  <c:v>34652.916666666672</c:v>
                </c:pt>
                <c:pt idx="8">
                  <c:v>33891.083333333336</c:v>
                </c:pt>
                <c:pt idx="9">
                  <c:v>35849.416666666672</c:v>
                </c:pt>
                <c:pt idx="10">
                  <c:v>34755.700000000004</c:v>
                </c:pt>
                <c:pt idx="11">
                  <c:v>36437.116666666669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403-4059-8429-64C59405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369664"/>
        <c:axId val="976368224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'NĂM 2026'!$F$1</c15:sqref>
                        </c15:formulaRef>
                      </c:ext>
                    </c:extLst>
                    <c:strCache>
                      <c:ptCount val="1"/>
                      <c:pt idx="0">
                        <c:v>P/M.H Bản vẽ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'NĂM 2026'!$A$2:$A$13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'NĂM 2026'!$F$2:$F$13</c15:sqref>
                        </c15:formulaRef>
                      </c:ext>
                    </c:extLst>
                    <c:numCache>
                      <c:formatCode>_(* #,##0.000_);_(* \(#,##0.000\);_(* "-"??_);_(@_)</c:formatCode>
                      <c:ptCount val="12"/>
                      <c:pt idx="0">
                        <c:v>0.16617714248417206</c:v>
                      </c:pt>
                      <c:pt idx="1">
                        <c:v>0.16691401998614822</c:v>
                      </c:pt>
                      <c:pt idx="2">
                        <c:v>0.16723917289688153</c:v>
                      </c:pt>
                      <c:pt idx="3">
                        <c:v>0.16963578780680919</c:v>
                      </c:pt>
                      <c:pt idx="4">
                        <c:v>0.17281089302527702</c:v>
                      </c:pt>
                      <c:pt idx="5">
                        <c:v>0.17050752630877847</c:v>
                      </c:pt>
                      <c:pt idx="6">
                        <c:v>0.17513689360169879</c:v>
                      </c:pt>
                      <c:pt idx="7">
                        <c:v>0.17556642725790222</c:v>
                      </c:pt>
                      <c:pt idx="8">
                        <c:v>0.17702248185519562</c:v>
                      </c:pt>
                      <c:pt idx="9">
                        <c:v>0.17490342347142668</c:v>
                      </c:pt>
                      <c:pt idx="10">
                        <c:v>0.176052184171264</c:v>
                      </c:pt>
                      <c:pt idx="11">
                        <c:v>0.17397096043692553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4-4403-4059-8429-64C59405D11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2026'!$I$1</c15:sqref>
                        </c15:formulaRef>
                      </c:ext>
                    </c:extLst>
                    <c:strCache>
                      <c:ptCount val="1"/>
                      <c:pt idx="0">
                        <c:v>P/M.H PCS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2026'!$A$2:$A$13</c15:sqref>
                        </c15:formulaRef>
                      </c:ext>
                    </c:extLst>
                    <c:strCache>
                      <c:ptCount val="12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'NĂM 2026'!$I$2:$I$13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2"/>
                      <c:pt idx="0">
                        <c:v>2.3440212779844658</c:v>
                      </c:pt>
                      <c:pt idx="1">
                        <c:v>2.3780300781636488</c:v>
                      </c:pt>
                      <c:pt idx="2">
                        <c:v>2.3563290002469635</c:v>
                      </c:pt>
                      <c:pt idx="3">
                        <c:v>2.367670669481833</c:v>
                      </c:pt>
                      <c:pt idx="4">
                        <c:v>2.3833019482871007</c:v>
                      </c:pt>
                      <c:pt idx="5">
                        <c:v>2.3568280715776386</c:v>
                      </c:pt>
                      <c:pt idx="6">
                        <c:v>2.3727862142038267</c:v>
                      </c:pt>
                      <c:pt idx="7">
                        <c:v>2.4046991198547358</c:v>
                      </c:pt>
                      <c:pt idx="8">
                        <c:v>2.3997934737711692</c:v>
                      </c:pt>
                      <c:pt idx="9">
                        <c:v>2.3877325607211053</c:v>
                      </c:pt>
                      <c:pt idx="10">
                        <c:v>2.4118316505325978</c:v>
                      </c:pt>
                      <c:pt idx="11">
                        <c:v>2.4268760268194129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403-4059-8429-64C59405D112}"/>
                  </c:ext>
                </c:extLst>
              </c15:ser>
            </c15:filteredLineSeries>
          </c:ext>
        </c:extLst>
      </c:lineChart>
      <c:catAx>
        <c:axId val="97647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70824"/>
        <c:crosses val="autoZero"/>
        <c:auto val="1"/>
        <c:lblAlgn val="ctr"/>
        <c:lblOffset val="100"/>
        <c:noMultiLvlLbl val="0"/>
      </c:catAx>
      <c:valAx>
        <c:axId val="97647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70104"/>
        <c:crosses val="autoZero"/>
        <c:crossBetween val="between"/>
      </c:valAx>
      <c:valAx>
        <c:axId val="976368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69664"/>
        <c:crosses val="max"/>
        <c:crossBetween val="between"/>
      </c:valAx>
      <c:catAx>
        <c:axId val="97636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63682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303603</xdr:colOff>
      <xdr:row>3</xdr:row>
      <xdr:rowOff>66675</xdr:rowOff>
    </xdr:from>
    <xdr:to>
      <xdr:col>19</xdr:col>
      <xdr:colOff>59703</xdr:colOff>
      <xdr:row>23</xdr:row>
      <xdr:rowOff>33750</xdr:rowOff>
    </xdr:to>
    <xdr:graphicFrame macro="">
      <xdr:nvGraphicFramePr>
        <xdr:cNvPr id="2" name="Cht_01_BV_PCS_HT_Thang">
          <a:extLst>
            <a:ext uri="{FF2B5EF4-FFF2-40B4-BE49-F238E27FC236}">
              <a16:creationId xmlns:a16="http://schemas.microsoft.com/office/drawing/2014/main" id="{A150CC31-E6B9-4308-8A6A-0B29F561B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dm-fsvr\Cokhi-&#27231;&#24037;\CONG%20VIEC%20CHUNG%202026\&#9733;2026&#24180;&#24230;&#24180;&#27425;&#30446;&#27161;&#35373;&#23450;\2.TINH%20SAN%20XUAT\D&#7919;%20li&#7879;u%20l&#224;m%20TSX%202026.xlsx" TargetMode="External"/><Relationship Id="rId1" Type="http://schemas.openxmlformats.org/officeDocument/2006/relationships/externalLinkPath" Target="file:///\\vdm-fsvr\Cokhi-&#27231;&#24037;\CONG%20VIEC%20CHUNG%202026\&#9733;2026&#24180;&#24230;&#24180;&#27425;&#30446;&#27161;&#35373;&#23450;\2.TINH%20SAN%20XUAT\D&#7919;%20li&#7879;u%20l&#224;m%20TSX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_cokhi\Bao_Cao_Tu_Dong_PPTX_New\Excel\ThucTich_Data.xlsx" TargetMode="External"/><Relationship Id="rId1" Type="http://schemas.openxmlformats.org/officeDocument/2006/relationships/externalLinkPath" Target="ThucTich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dm-fsvr\Cokhi-&#27231;&#24037;\32.QL%20TSX%203%20CA\2026\T&#205;NH%20S&#7842;N%20XU&#7844;T%20C&#212;NG%20&#272;O&#7840;N%20%202026.xlsx" TargetMode="External"/><Relationship Id="rId1" Type="http://schemas.openxmlformats.org/officeDocument/2006/relationships/externalLinkPath" Target="file:///\\vdm-fsvr\Cokhi-&#27231;&#24037;\32.QL%20TSX%203%20CA\2026\T&#205;NH%20S&#7842;N%20XU&#7844;T%20C&#212;NG%20&#272;O&#7840;N%20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vdm-fsvr\Cokhi-&#27231;&#24037;\CONG%20VIEC%20CHUNG%202026\&#9733;2026&#24180;&#24230;&#24180;&#27425;&#30446;&#27161;&#35373;&#23450;\9.TLH&#272;M\M&#7909;c%20ti&#234;u%20TLH&#272;M%202026.xlsx" TargetMode="External"/><Relationship Id="rId1" Type="http://schemas.openxmlformats.org/officeDocument/2006/relationships/externalLinkPath" Target="file:///\\vdm-fsvr\Cokhi-&#27231;&#24037;\CONG%20VIEC%20CHUNG%202026\&#9733;2026&#24180;&#24230;&#24180;&#27425;&#30446;&#27161;&#35373;&#23450;\9.TLH&#272;M\M&#7909;c%20ti&#234;u%20TLH&#272;M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 HOP"/>
      <sheetName val="Thời gian làm việc"/>
      <sheetName val="Số Pcs-Số bản vẽ-Số tiền"/>
      <sheetName val="Vật liệu"/>
    </sheetNames>
    <sheetDataSet>
      <sheetData sheetId="0">
        <row r="2">
          <cell r="E2" t="str">
            <v>1月</v>
          </cell>
          <cell r="F2" t="str">
            <v>2月</v>
          </cell>
          <cell r="G2" t="str">
            <v>3月</v>
          </cell>
          <cell r="H2" t="str">
            <v>4月</v>
          </cell>
          <cell r="I2" t="str">
            <v>5月</v>
          </cell>
          <cell r="J2" t="str">
            <v>6月</v>
          </cell>
          <cell r="K2" t="str">
            <v>7月</v>
          </cell>
          <cell r="L2" t="str">
            <v>8月</v>
          </cell>
          <cell r="M2" t="str">
            <v>9月</v>
          </cell>
          <cell r="N2" t="str">
            <v>10月</v>
          </cell>
          <cell r="O2" t="str">
            <v>11月</v>
          </cell>
          <cell r="P2" t="str">
            <v>12月</v>
          </cell>
        </row>
        <row r="3">
          <cell r="E3">
            <v>89</v>
          </cell>
          <cell r="F3">
            <v>89</v>
          </cell>
          <cell r="G3">
            <v>89</v>
          </cell>
          <cell r="H3">
            <v>88</v>
          </cell>
          <cell r="I3">
            <v>88</v>
          </cell>
          <cell r="J3">
            <v>88</v>
          </cell>
          <cell r="K3">
            <v>88</v>
          </cell>
          <cell r="L3">
            <v>88</v>
          </cell>
          <cell r="M3">
            <v>88</v>
          </cell>
          <cell r="N3">
            <v>88</v>
          </cell>
          <cell r="O3">
            <v>88</v>
          </cell>
          <cell r="P3">
            <v>88</v>
          </cell>
        </row>
        <row r="4">
          <cell r="E4">
            <v>72</v>
          </cell>
          <cell r="F4">
            <v>72</v>
          </cell>
          <cell r="G4">
            <v>72</v>
          </cell>
          <cell r="H4">
            <v>71</v>
          </cell>
          <cell r="I4">
            <v>71</v>
          </cell>
          <cell r="J4">
            <v>71</v>
          </cell>
          <cell r="K4">
            <v>71</v>
          </cell>
          <cell r="L4">
            <v>71</v>
          </cell>
          <cell r="M4">
            <v>71</v>
          </cell>
          <cell r="N4">
            <v>71</v>
          </cell>
          <cell r="O4">
            <v>71</v>
          </cell>
          <cell r="P4">
            <v>71</v>
          </cell>
        </row>
        <row r="5">
          <cell r="E5">
            <v>17</v>
          </cell>
          <cell r="F5">
            <v>17</v>
          </cell>
          <cell r="G5">
            <v>17</v>
          </cell>
          <cell r="H5">
            <v>17</v>
          </cell>
          <cell r="I5">
            <v>17</v>
          </cell>
          <cell r="J5">
            <v>17</v>
          </cell>
          <cell r="K5">
            <v>17</v>
          </cell>
          <cell r="L5">
            <v>17</v>
          </cell>
          <cell r="M5">
            <v>17</v>
          </cell>
          <cell r="N5">
            <v>17</v>
          </cell>
          <cell r="O5">
            <v>17</v>
          </cell>
          <cell r="P5">
            <v>17</v>
          </cell>
        </row>
        <row r="6"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</row>
        <row r="7"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</row>
        <row r="9">
          <cell r="E9">
            <v>22</v>
          </cell>
          <cell r="F9">
            <v>15</v>
          </cell>
          <cell r="G9">
            <v>22</v>
          </cell>
          <cell r="H9">
            <v>21</v>
          </cell>
          <cell r="I9">
            <v>20</v>
          </cell>
          <cell r="J9">
            <v>22</v>
          </cell>
          <cell r="K9">
            <v>23</v>
          </cell>
          <cell r="L9">
            <v>21</v>
          </cell>
          <cell r="M9">
            <v>21</v>
          </cell>
          <cell r="N9">
            <v>22</v>
          </cell>
          <cell r="O9">
            <v>21</v>
          </cell>
          <cell r="P9">
            <v>22</v>
          </cell>
        </row>
        <row r="10"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E11">
            <v>15321</v>
          </cell>
          <cell r="F11">
            <v>10107</v>
          </cell>
          <cell r="G11">
            <v>14847</v>
          </cell>
          <cell r="H11">
            <v>15156</v>
          </cell>
          <cell r="I11">
            <v>13807</v>
          </cell>
          <cell r="J11">
            <v>15014</v>
          </cell>
          <cell r="K11">
            <v>16107.399999999981</v>
          </cell>
          <cell r="L11">
            <v>14410.5</v>
          </cell>
          <cell r="M11">
            <v>14122.5</v>
          </cell>
          <cell r="N11">
            <v>15014</v>
          </cell>
          <cell r="O11">
            <v>14410.5</v>
          </cell>
          <cell r="P11">
            <v>15014</v>
          </cell>
        </row>
        <row r="12">
          <cell r="E12">
            <v>15321</v>
          </cell>
          <cell r="F12">
            <v>25428</v>
          </cell>
          <cell r="G12">
            <v>40275</v>
          </cell>
          <cell r="H12">
            <v>55431</v>
          </cell>
          <cell r="I12">
            <v>69238</v>
          </cell>
          <cell r="J12">
            <v>84252</v>
          </cell>
          <cell r="K12">
            <v>100359.39999999998</v>
          </cell>
          <cell r="L12">
            <v>114769.89999999998</v>
          </cell>
          <cell r="M12">
            <v>128892.39999999998</v>
          </cell>
          <cell r="N12">
            <v>143906.39999999997</v>
          </cell>
          <cell r="O12">
            <v>158316.89999999997</v>
          </cell>
          <cell r="P12">
            <v>173330.89999999997</v>
          </cell>
        </row>
        <row r="13"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</row>
        <row r="15"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E18">
            <v>1.01</v>
          </cell>
          <cell r="F18">
            <v>1.01</v>
          </cell>
          <cell r="G18">
            <v>1.01</v>
          </cell>
          <cell r="H18">
            <v>1.01</v>
          </cell>
          <cell r="I18">
            <v>1.01</v>
          </cell>
          <cell r="J18">
            <v>1.01</v>
          </cell>
          <cell r="K18">
            <v>1.01</v>
          </cell>
          <cell r="L18">
            <v>1.01</v>
          </cell>
          <cell r="M18">
            <v>1.01</v>
          </cell>
          <cell r="N18">
            <v>1.01</v>
          </cell>
          <cell r="O18">
            <v>1.01</v>
          </cell>
          <cell r="P18">
            <v>1.01</v>
          </cell>
        </row>
        <row r="19">
          <cell r="E19">
            <v>2546</v>
          </cell>
          <cell r="F19">
            <v>1687</v>
          </cell>
          <cell r="G19">
            <v>2483</v>
          </cell>
          <cell r="H19">
            <v>2571</v>
          </cell>
          <cell r="I19">
            <v>2386</v>
          </cell>
          <cell r="J19">
            <v>2560</v>
          </cell>
          <cell r="K19">
            <v>2821</v>
          </cell>
          <cell r="L19">
            <v>2530</v>
          </cell>
          <cell r="M19">
            <v>2500</v>
          </cell>
          <cell r="N19">
            <v>2626</v>
          </cell>
          <cell r="O19">
            <v>2537</v>
          </cell>
          <cell r="P19">
            <v>2612</v>
          </cell>
        </row>
        <row r="20"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E21">
            <v>2546</v>
          </cell>
          <cell r="F21">
            <v>4233</v>
          </cell>
          <cell r="G21">
            <v>6716</v>
          </cell>
          <cell r="H21">
            <v>9287</v>
          </cell>
          <cell r="I21">
            <v>11673</v>
          </cell>
          <cell r="J21">
            <v>14233</v>
          </cell>
          <cell r="K21">
            <v>17054</v>
          </cell>
          <cell r="L21">
            <v>19584</v>
          </cell>
          <cell r="M21">
            <v>22084</v>
          </cell>
          <cell r="N21">
            <v>24710</v>
          </cell>
          <cell r="O21">
            <v>27247</v>
          </cell>
          <cell r="P21">
            <v>29859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E23">
            <v>35912.75</v>
          </cell>
          <cell r="F23">
            <v>24034.75</v>
          </cell>
          <cell r="G23">
            <v>34984.416666666664</v>
          </cell>
          <cell r="H23">
            <v>35884.416666666664</v>
          </cell>
          <cell r="I23">
            <v>32906.25</v>
          </cell>
          <cell r="J23">
            <v>35385.416666666664</v>
          </cell>
          <cell r="K23">
            <v>38219.416666666672</v>
          </cell>
          <cell r="L23">
            <v>34652.916666666672</v>
          </cell>
          <cell r="M23">
            <v>33891.083333333336</v>
          </cell>
          <cell r="N23">
            <v>35849.416666666672</v>
          </cell>
          <cell r="O23">
            <v>34755.700000000004</v>
          </cell>
          <cell r="P23">
            <v>36437.116666666669</v>
          </cell>
        </row>
        <row r="24"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</row>
        <row r="25">
          <cell r="E25">
            <v>35912.75</v>
          </cell>
          <cell r="F25">
            <v>59947.5</v>
          </cell>
          <cell r="G25">
            <v>94931.916666666657</v>
          </cell>
          <cell r="H25">
            <v>130816.33333333331</v>
          </cell>
          <cell r="I25">
            <v>163722.58333333331</v>
          </cell>
          <cell r="J25">
            <v>199107.99999999997</v>
          </cell>
          <cell r="K25">
            <v>237327.41666666663</v>
          </cell>
          <cell r="L25">
            <v>271980.33333333331</v>
          </cell>
          <cell r="M25">
            <v>305871.41666666663</v>
          </cell>
          <cell r="N25">
            <v>341720.83333333331</v>
          </cell>
          <cell r="O25">
            <v>376476.53333333333</v>
          </cell>
          <cell r="P25">
            <v>412913.65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E27">
            <v>0.16617714248417206</v>
          </cell>
          <cell r="F27">
            <v>0.16691401998614822</v>
          </cell>
          <cell r="G27">
            <v>0.16723917289688153</v>
          </cell>
          <cell r="H27">
            <v>0.16963578780680919</v>
          </cell>
          <cell r="I27">
            <v>0.17281089302527702</v>
          </cell>
          <cell r="J27">
            <v>0.17050752630877847</v>
          </cell>
          <cell r="K27">
            <v>0.17513689360169879</v>
          </cell>
          <cell r="L27">
            <v>0.17556642725790222</v>
          </cell>
          <cell r="M27">
            <v>0.17702248185519562</v>
          </cell>
          <cell r="N27">
            <v>0.17490342347142668</v>
          </cell>
          <cell r="O27">
            <v>0.176052184171264</v>
          </cell>
          <cell r="P27">
            <v>0.17397096043692553</v>
          </cell>
        </row>
        <row r="28"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</row>
        <row r="29">
          <cell r="E29">
            <v>0.16617714248417206</v>
          </cell>
          <cell r="F29">
            <v>0.16647003303445021</v>
          </cell>
          <cell r="G29">
            <v>0.16675356921166978</v>
          </cell>
          <cell r="H29">
            <v>0.16754162833071748</v>
          </cell>
          <cell r="I29">
            <v>0.16859239146133626</v>
          </cell>
          <cell r="J29">
            <v>0.16893367516498126</v>
          </cell>
          <cell r="K29">
            <v>0.16992927418856632</v>
          </cell>
          <cell r="L29">
            <v>0.17063707470338479</v>
          </cell>
          <cell r="M29">
            <v>0.17133671186198723</v>
          </cell>
          <cell r="N29">
            <v>0.17170883296364864</v>
          </cell>
          <cell r="O29">
            <v>0.17210417839156783</v>
          </cell>
          <cell r="P29">
            <v>0.17226587988639075</v>
          </cell>
        </row>
        <row r="30"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</row>
        <row r="31">
          <cell r="E31">
            <v>2.3440212779844658</v>
          </cell>
          <cell r="F31">
            <v>2.3780300781636488</v>
          </cell>
          <cell r="G31">
            <v>2.3563290002469635</v>
          </cell>
          <cell r="H31">
            <v>2.367670669481833</v>
          </cell>
          <cell r="I31">
            <v>2.3833019482871007</v>
          </cell>
          <cell r="J31">
            <v>2.3568280715776386</v>
          </cell>
          <cell r="K31">
            <v>2.3727862142038267</v>
          </cell>
          <cell r="L31">
            <v>2.4046991198547358</v>
          </cell>
          <cell r="M31">
            <v>2.3997934737711692</v>
          </cell>
          <cell r="N31">
            <v>2.3877325607211053</v>
          </cell>
          <cell r="O31">
            <v>2.4118316505325978</v>
          </cell>
          <cell r="P31">
            <v>2.4268760268194129</v>
          </cell>
        </row>
        <row r="32"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</row>
        <row r="33">
          <cell r="E33">
            <v>2.3440212779844658</v>
          </cell>
          <cell r="F33">
            <v>2.3575389334591788</v>
          </cell>
          <cell r="G33">
            <v>2.3570929029588243</v>
          </cell>
          <cell r="H33">
            <v>2.3599850865640764</v>
          </cell>
          <cell r="I33">
            <v>2.3646347862926906</v>
          </cell>
          <cell r="J33">
            <v>2.3632436025257557</v>
          </cell>
          <cell r="K33">
            <v>2.3647751647246462</v>
          </cell>
          <cell r="L33">
            <v>2.3697880135238711</v>
          </cell>
          <cell r="M33">
            <v>2.3730756558700641</v>
          </cell>
          <cell r="N33">
            <v>2.3746048357358212</v>
          </cell>
          <cell r="O33">
            <v>2.3779933369926609</v>
          </cell>
          <cell r="P33">
            <v>2.3822275774256068</v>
          </cell>
        </row>
        <row r="34"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E35">
            <v>4611.801275669899</v>
          </cell>
          <cell r="F35">
            <v>2891.329190366248</v>
          </cell>
          <cell r="G35">
            <v>4519.7355735021083</v>
          </cell>
          <cell r="H35">
            <v>4915.6926338391695</v>
          </cell>
          <cell r="I35">
            <v>4657.6774907804183</v>
          </cell>
          <cell r="J35">
            <v>5165.2334857220158</v>
          </cell>
          <cell r="K35">
            <v>6005.4445093841732</v>
          </cell>
          <cell r="L35">
            <v>5408.824699143699</v>
          </cell>
          <cell r="M35">
            <v>5296.3075630346275</v>
          </cell>
          <cell r="N35">
            <v>5619.3155197579526</v>
          </cell>
          <cell r="O35">
            <v>5422.85978689074</v>
          </cell>
          <cell r="P35">
            <v>5634.2324865780247</v>
          </cell>
        </row>
        <row r="36"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</row>
        <row r="37">
          <cell r="E37">
            <v>4611.801275669899</v>
          </cell>
          <cell r="F37">
            <v>7503.1304660361475</v>
          </cell>
          <cell r="G37">
            <v>12022.866039538256</v>
          </cell>
          <cell r="H37">
            <v>16938.558673377425</v>
          </cell>
          <cell r="I37">
            <v>21596.236164157843</v>
          </cell>
          <cell r="J37">
            <v>26761.469649879858</v>
          </cell>
          <cell r="K37">
            <v>32766.91415926403</v>
          </cell>
          <cell r="L37">
            <v>38175.738858407727</v>
          </cell>
          <cell r="M37">
            <v>43472.046421442355</v>
          </cell>
          <cell r="N37">
            <v>49091.36194120031</v>
          </cell>
          <cell r="O37">
            <v>54514.221728091048</v>
          </cell>
          <cell r="P37">
            <v>60148.454214669073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E39">
            <v>10810.160320006145</v>
          </cell>
          <cell r="F39">
            <v>6875.667780563489</v>
          </cell>
          <cell r="G39">
            <v>10649.984005290858</v>
          </cell>
          <cell r="H39">
            <v>11638.741269328902</v>
          </cell>
          <cell r="I39">
            <v>11100.651838269945</v>
          </cell>
          <cell r="J39">
            <v>12173.567275402464</v>
          </cell>
          <cell r="K39">
            <v>14249.635942032828</v>
          </cell>
          <cell r="L39">
            <v>13006.59599347941</v>
          </cell>
          <cell r="M39">
            <v>12710.044324855384</v>
          </cell>
          <cell r="N39">
            <v>13417.422635491504</v>
          </cell>
          <cell r="O39">
            <v>13079.024870423547</v>
          </cell>
          <cell r="P39">
            <v>13673.583751203339</v>
          </cell>
        </row>
        <row r="40"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E41">
            <v>10810.160320006145</v>
          </cell>
          <cell r="F41">
            <v>17688.922196503932</v>
          </cell>
          <cell r="G41">
            <v>28339.012215020295</v>
          </cell>
          <cell r="H41">
            <v>39974.745857061309</v>
          </cell>
          <cell r="I41">
            <v>51067.211286759855</v>
          </cell>
          <cell r="J41">
            <v>63243.871944265746</v>
          </cell>
          <cell r="K41">
            <v>77486.384828491951</v>
          </cell>
          <cell r="L41">
            <v>90468.408354072104</v>
          </cell>
          <cell r="M41">
            <v>103162.4550735782</v>
          </cell>
          <cell r="N41">
            <v>116572.58545843171</v>
          </cell>
          <cell r="O41">
            <v>129634.45604074105</v>
          </cell>
          <cell r="P41">
            <v>143287.30636970612</v>
          </cell>
        </row>
        <row r="42"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2420</v>
          </cell>
          <cell r="C2">
            <v>34743</v>
          </cell>
        </row>
        <row r="3">
          <cell r="B3">
            <v>1572</v>
          </cell>
          <cell r="C3">
            <v>19982</v>
          </cell>
        </row>
        <row r="4">
          <cell r="B4">
            <v>2309</v>
          </cell>
          <cell r="C4">
            <v>35509</v>
          </cell>
        </row>
        <row r="5">
          <cell r="B5">
            <v>735</v>
          </cell>
          <cell r="C5">
            <v>10314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X CĐ 2026"/>
      <sheetName val="MT TSX(N)"/>
      <sheetName val="MT TSX(Đ)"/>
      <sheetName val="MT TLHĐM(N)"/>
      <sheetName val="TÍNH TOÁN "/>
    </sheetNames>
    <sheetDataSet>
      <sheetData sheetId="0">
        <row r="73">
          <cell r="B73" t="str">
            <v>AA</v>
          </cell>
          <cell r="C73" t="str">
            <v>MA</v>
          </cell>
          <cell r="D73" t="str">
            <v>LA</v>
          </cell>
          <cell r="E73" t="str">
            <v>BJ</v>
          </cell>
          <cell r="F73" t="str">
            <v>DA</v>
          </cell>
          <cell r="G73" t="str">
            <v>GS</v>
          </cell>
          <cell r="H73" t="str">
            <v>GR</v>
          </cell>
          <cell r="I73" t="str">
            <v>GC</v>
          </cell>
          <cell r="J73" t="str">
            <v>MC</v>
          </cell>
          <cell r="K73" t="str">
            <v>LN</v>
          </cell>
          <cell r="L73" t="str">
            <v>EW</v>
          </cell>
          <cell r="M73" t="str">
            <v>EN</v>
          </cell>
          <cell r="N73" t="str">
            <v>GP</v>
          </cell>
          <cell r="O73" t="str">
            <v>GJ</v>
          </cell>
        </row>
        <row r="74">
          <cell r="B74">
            <v>32.66324550421421</v>
          </cell>
          <cell r="C74">
            <v>19.909988872478355</v>
          </cell>
          <cell r="D74">
            <v>9.1674202468984305</v>
          </cell>
          <cell r="E74">
            <v>31.404929112000893</v>
          </cell>
          <cell r="F74">
            <v>15.114615455378672</v>
          </cell>
          <cell r="G74">
            <v>32.045723673056543</v>
          </cell>
          <cell r="H74">
            <v>7</v>
          </cell>
          <cell r="I74">
            <v>2.9239726688871683</v>
          </cell>
          <cell r="J74">
            <v>6.3930486411333352</v>
          </cell>
          <cell r="K74">
            <v>2.0317073625850046</v>
          </cell>
          <cell r="L74">
            <v>10.103199561206551</v>
          </cell>
          <cell r="M74">
            <v>5.9555888164179187</v>
          </cell>
          <cell r="N74">
            <v>7.1305817443848607</v>
          </cell>
          <cell r="O74">
            <v>4.0640539805310443</v>
          </cell>
        </row>
        <row r="75">
          <cell r="B75">
            <v>202.12406443059103</v>
          </cell>
          <cell r="C75">
            <v>106.49805942127759</v>
          </cell>
          <cell r="D75">
            <v>49.127552784286294</v>
          </cell>
          <cell r="E75">
            <v>189.55056098371097</v>
          </cell>
          <cell r="F75">
            <v>107.05370820253337</v>
          </cell>
          <cell r="G75">
            <v>534.87425620262638</v>
          </cell>
          <cell r="H75">
            <v>22.795203209536318</v>
          </cell>
          <cell r="I75">
            <v>75.261103433630751</v>
          </cell>
          <cell r="J75">
            <v>107.21218131116353</v>
          </cell>
          <cell r="K75">
            <v>130.03940815234225</v>
          </cell>
          <cell r="L75">
            <v>54.77661676712232</v>
          </cell>
          <cell r="M75">
            <v>20.919301301118999</v>
          </cell>
          <cell r="N75">
            <v>111.62338667883104</v>
          </cell>
          <cell r="O75">
            <v>10.459594929622718</v>
          </cell>
        </row>
        <row r="76">
          <cell r="B76">
            <v>4</v>
          </cell>
          <cell r="C76">
            <v>2</v>
          </cell>
          <cell r="D76">
            <v>2</v>
          </cell>
          <cell r="E76">
            <v>4</v>
          </cell>
          <cell r="F76">
            <v>1</v>
          </cell>
          <cell r="G76">
            <v>6</v>
          </cell>
          <cell r="H76">
            <v>2</v>
          </cell>
          <cell r="I76">
            <v>1</v>
          </cell>
          <cell r="J76">
            <v>3</v>
          </cell>
          <cell r="K76">
            <v>2</v>
          </cell>
          <cell r="L76">
            <v>4</v>
          </cell>
          <cell r="M76">
            <v>4</v>
          </cell>
          <cell r="N76">
            <v>2</v>
          </cell>
          <cell r="O76">
            <v>2</v>
          </cell>
        </row>
        <row r="77">
          <cell r="B77">
            <v>8.1658113760535525</v>
          </cell>
          <cell r="C77">
            <v>9.9549944362391773</v>
          </cell>
          <cell r="D77">
            <v>4.5837101234492152</v>
          </cell>
          <cell r="E77">
            <v>7.8512322780002233</v>
          </cell>
          <cell r="F77">
            <v>15.114615455378672</v>
          </cell>
          <cell r="G77">
            <v>5.3409539455094235</v>
          </cell>
          <cell r="H77">
            <v>3.5</v>
          </cell>
          <cell r="I77">
            <v>2.9239726688871683</v>
          </cell>
          <cell r="J77">
            <v>2.1310162137111117</v>
          </cell>
          <cell r="K77">
            <v>1.0158536812925023</v>
          </cell>
          <cell r="L77">
            <v>2.5257998903016379</v>
          </cell>
          <cell r="M77">
            <v>1.4888972041044797</v>
          </cell>
          <cell r="N77">
            <v>3.5652908721924303</v>
          </cell>
          <cell r="O77">
            <v>2.0320269902655221</v>
          </cell>
        </row>
        <row r="78">
          <cell r="B78">
            <v>50.531016107647758</v>
          </cell>
          <cell r="C78">
            <v>53.249029710638794</v>
          </cell>
          <cell r="D78">
            <v>24.563776392143147</v>
          </cell>
          <cell r="E78">
            <v>47.387640245927741</v>
          </cell>
          <cell r="F78">
            <v>107.05370820253337</v>
          </cell>
          <cell r="G78">
            <v>89.145709367104402</v>
          </cell>
          <cell r="H78">
            <v>11.397601604768159</v>
          </cell>
          <cell r="I78">
            <v>75.261103433630751</v>
          </cell>
          <cell r="J78">
            <v>35.737393770387847</v>
          </cell>
          <cell r="K78">
            <v>65.019704076171124</v>
          </cell>
          <cell r="L78">
            <v>13.69415419178058</v>
          </cell>
          <cell r="M78">
            <v>5.2298253252797497</v>
          </cell>
          <cell r="N78">
            <v>55.81169333941552</v>
          </cell>
          <cell r="O78">
            <v>5.2297974648113588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ỤC TIÊU 2026."/>
      <sheetName val="Dữ liệu Tổng 2025"/>
      <sheetName val="mục tiêu 2026"/>
      <sheetName val="Tính toán"/>
      <sheetName val="1.Phan chia ăn lệch giờ"/>
      <sheetName val="2.Giảm TGP"/>
      <sheetName val="3.hiệu quả bổ sung DC đo"/>
      <sheetName val="5.Chuần hóa PPGC"/>
      <sheetName val="Thực sách máy cơ "/>
      <sheetName val="QL M tiêu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LA</v>
          </cell>
          <cell r="C2" t="str">
            <v>MA</v>
          </cell>
          <cell r="D2" t="str">
            <v>BJ</v>
          </cell>
          <cell r="E2" t="str">
            <v>GC</v>
          </cell>
          <cell r="F2" t="str">
            <v>GS</v>
          </cell>
          <cell r="G2" t="str">
            <v>GR</v>
          </cell>
          <cell r="H2" t="str">
            <v>EN</v>
          </cell>
          <cell r="I2" t="str">
            <v>GJ</v>
          </cell>
          <cell r="J2" t="str">
            <v>EW</v>
          </cell>
          <cell r="K2" t="str">
            <v>GP</v>
          </cell>
          <cell r="L2" t="str">
            <v>MC</v>
          </cell>
          <cell r="M2" t="str">
            <v>LN</v>
          </cell>
        </row>
        <row r="3">
          <cell r="B3">
            <v>0.21</v>
          </cell>
          <cell r="C3">
            <v>0.3</v>
          </cell>
          <cell r="D3">
            <v>0.3</v>
          </cell>
          <cell r="E3">
            <v>0.38</v>
          </cell>
          <cell r="F3">
            <v>0.35</v>
          </cell>
          <cell r="G3">
            <v>0.48</v>
          </cell>
          <cell r="H3">
            <v>0.6</v>
          </cell>
          <cell r="I3">
            <v>0.5</v>
          </cell>
          <cell r="J3">
            <v>0.68</v>
          </cell>
          <cell r="K3">
            <v>0.7</v>
          </cell>
          <cell r="L3">
            <v>0.65</v>
          </cell>
          <cell r="M3">
            <v>0.65</v>
          </cell>
        </row>
        <row r="4">
          <cell r="B4">
            <v>0.27376113600216223</v>
          </cell>
          <cell r="C4">
            <v>0.35742647906211694</v>
          </cell>
          <cell r="D4">
            <v>0.43219026479311273</v>
          </cell>
          <cell r="E4">
            <v>0.34351501180086724</v>
          </cell>
          <cell r="F4">
            <v>0.41914212345052787</v>
          </cell>
          <cell r="G4">
            <v>0.26405346478339181</v>
          </cell>
          <cell r="H4">
            <v>0.40081564037108525</v>
          </cell>
          <cell r="I4">
            <v>0.37835837703915826</v>
          </cell>
          <cell r="J4">
            <v>0.2945010693888423</v>
          </cell>
          <cell r="K4">
            <v>0.17153572216444488</v>
          </cell>
          <cell r="L4">
            <v>0.31736351183875805</v>
          </cell>
          <cell r="M4">
            <v>0.21963272333099534</v>
          </cell>
        </row>
        <row r="5">
          <cell r="B5">
            <v>0.20902938761084025</v>
          </cell>
          <cell r="C5">
            <v>0.38905593563054613</v>
          </cell>
          <cell r="D5">
            <v>0.27232996620329442</v>
          </cell>
          <cell r="E5">
            <v>0.35553543004555682</v>
          </cell>
          <cell r="F5">
            <v>0.37641133871676308</v>
          </cell>
          <cell r="G5">
            <v>0.54398521186842352</v>
          </cell>
          <cell r="H5">
            <v>0.55184141709731649</v>
          </cell>
          <cell r="I5">
            <v>0.59126741529650251</v>
          </cell>
          <cell r="J5">
            <v>0.64333335944783498</v>
          </cell>
          <cell r="K5">
            <v>0.69381677224165639</v>
          </cell>
          <cell r="L5">
            <v>0.57177179135955469</v>
          </cell>
          <cell r="M5">
            <v>0.65548683287636289</v>
          </cell>
        </row>
        <row r="6">
          <cell r="B6">
            <v>0.51720947638699755</v>
          </cell>
          <cell r="C6">
            <v>0.25351758530733692</v>
          </cell>
          <cell r="D6">
            <v>0.29547976900359285</v>
          </cell>
          <cell r="E6">
            <v>0.30094955815357594</v>
          </cell>
          <cell r="F6">
            <v>0.20444653783270908</v>
          </cell>
          <cell r="G6">
            <v>0.19196132334818466</v>
          </cell>
          <cell r="H6">
            <v>4.7342942531598278E-2</v>
          </cell>
          <cell r="I6">
            <v>3.0374207664339264E-2</v>
          </cell>
          <cell r="J6">
            <v>6.2165571163322705E-2</v>
          </cell>
          <cell r="K6">
            <v>0.13464750559389871</v>
          </cell>
          <cell r="L6">
            <v>0.11086469680168722</v>
          </cell>
          <cell r="M6">
            <v>0.12488044379264171</v>
          </cell>
        </row>
        <row r="7">
          <cell r="B7">
            <v>26335</v>
          </cell>
          <cell r="C7">
            <v>34116</v>
          </cell>
          <cell r="D7">
            <v>68927</v>
          </cell>
          <cell r="E7">
            <v>12517</v>
          </cell>
          <cell r="F7">
            <v>92547</v>
          </cell>
          <cell r="G7">
            <v>16713</v>
          </cell>
          <cell r="H7">
            <v>51500</v>
          </cell>
          <cell r="I7">
            <v>23518</v>
          </cell>
          <cell r="J7">
            <v>37591</v>
          </cell>
          <cell r="K7">
            <v>10886</v>
          </cell>
          <cell r="L7">
            <v>29193</v>
          </cell>
          <cell r="M7">
            <v>13778</v>
          </cell>
        </row>
        <row r="8">
          <cell r="B8">
            <v>20108</v>
          </cell>
          <cell r="C8">
            <v>37135</v>
          </cell>
          <cell r="D8">
            <v>43432</v>
          </cell>
          <cell r="E8">
            <v>12955</v>
          </cell>
          <cell r="F8">
            <v>83112</v>
          </cell>
          <cell r="G8">
            <v>34431</v>
          </cell>
          <cell r="H8">
            <v>70905</v>
          </cell>
          <cell r="I8">
            <v>36752</v>
          </cell>
          <cell r="J8">
            <v>82117</v>
          </cell>
          <cell r="K8">
            <v>44031</v>
          </cell>
          <cell r="L8">
            <v>52595</v>
          </cell>
          <cell r="M8">
            <v>41120</v>
          </cell>
        </row>
        <row r="9">
          <cell r="B9">
            <v>49754</v>
          </cell>
          <cell r="C9">
            <v>24198</v>
          </cell>
          <cell r="D9">
            <v>47124</v>
          </cell>
          <cell r="E9">
            <v>10966</v>
          </cell>
          <cell r="F9">
            <v>45142</v>
          </cell>
          <cell r="G9">
            <v>12150</v>
          </cell>
          <cell r="H9">
            <v>6083</v>
          </cell>
          <cell r="I9">
            <v>1888</v>
          </cell>
          <cell r="J9">
            <v>7935</v>
          </cell>
          <cell r="K9">
            <v>8545</v>
          </cell>
          <cell r="L9">
            <v>10198</v>
          </cell>
          <cell r="M9">
            <v>7834</v>
          </cell>
        </row>
        <row r="10">
          <cell r="B10" t="str">
            <v>LA</v>
          </cell>
          <cell r="C10" t="str">
            <v>MA</v>
          </cell>
          <cell r="D10" t="str">
            <v>BJ</v>
          </cell>
          <cell r="E10" t="str">
            <v>GC</v>
          </cell>
          <cell r="F10" t="str">
            <v>GS</v>
          </cell>
          <cell r="G10" t="str">
            <v>GR</v>
          </cell>
          <cell r="H10" t="str">
            <v>EN</v>
          </cell>
          <cell r="I10" t="str">
            <v>GJ</v>
          </cell>
          <cell r="J10" t="str">
            <v>EW</v>
          </cell>
          <cell r="K10" t="str">
            <v>GP</v>
          </cell>
          <cell r="L10" t="str">
            <v>MC</v>
          </cell>
          <cell r="M10" t="str">
            <v>LN</v>
          </cell>
        </row>
        <row r="11">
          <cell r="B11">
            <v>3</v>
          </cell>
          <cell r="C11">
            <v>3</v>
          </cell>
          <cell r="D11">
            <v>5</v>
          </cell>
          <cell r="E11">
            <v>2</v>
          </cell>
          <cell r="F11">
            <v>7</v>
          </cell>
          <cell r="G11">
            <v>2</v>
          </cell>
          <cell r="H11">
            <v>4</v>
          </cell>
          <cell r="I11">
            <v>2</v>
          </cell>
          <cell r="J11">
            <v>4</v>
          </cell>
          <cell r="K11">
            <v>2</v>
          </cell>
          <cell r="L11">
            <v>3</v>
          </cell>
          <cell r="M11">
            <v>2</v>
          </cell>
        </row>
        <row r="12">
          <cell r="B12">
            <v>2160</v>
          </cell>
          <cell r="C12">
            <v>2160</v>
          </cell>
          <cell r="D12">
            <v>3600</v>
          </cell>
          <cell r="E12">
            <v>1440</v>
          </cell>
          <cell r="F12">
            <v>5040</v>
          </cell>
          <cell r="G12">
            <v>1440</v>
          </cell>
          <cell r="H12">
            <v>2880</v>
          </cell>
          <cell r="I12">
            <v>1440</v>
          </cell>
          <cell r="J12">
            <v>2880</v>
          </cell>
          <cell r="K12">
            <v>1440</v>
          </cell>
          <cell r="L12">
            <v>2160</v>
          </cell>
          <cell r="M12">
            <v>1440</v>
          </cell>
        </row>
        <row r="13">
          <cell r="B13">
            <v>453.59999999999997</v>
          </cell>
          <cell r="C13">
            <v>648</v>
          </cell>
          <cell r="D13">
            <v>1080</v>
          </cell>
          <cell r="E13">
            <v>547.20000000000005</v>
          </cell>
          <cell r="F13">
            <v>1764</v>
          </cell>
          <cell r="G13">
            <v>691.19999999999993</v>
          </cell>
          <cell r="H13">
            <v>1728</v>
          </cell>
          <cell r="I13">
            <v>720</v>
          </cell>
          <cell r="J13">
            <v>1958.4</v>
          </cell>
          <cell r="K13">
            <v>1007.9999999999999</v>
          </cell>
          <cell r="L13">
            <v>1404</v>
          </cell>
          <cell r="M13">
            <v>936</v>
          </cell>
        </row>
        <row r="14">
          <cell r="B14">
            <v>630</v>
          </cell>
          <cell r="C14">
            <v>630</v>
          </cell>
          <cell r="D14">
            <v>1050</v>
          </cell>
          <cell r="E14">
            <v>420</v>
          </cell>
          <cell r="F14">
            <v>1470</v>
          </cell>
          <cell r="G14">
            <v>420</v>
          </cell>
          <cell r="H14">
            <v>600</v>
          </cell>
          <cell r="I14">
            <v>300</v>
          </cell>
          <cell r="J14">
            <v>600</v>
          </cell>
          <cell r="K14">
            <v>300</v>
          </cell>
          <cell r="L14">
            <v>450</v>
          </cell>
          <cell r="M14">
            <v>300</v>
          </cell>
        </row>
        <row r="15">
          <cell r="B15">
            <v>1076.4000000000001</v>
          </cell>
          <cell r="C15">
            <v>882</v>
          </cell>
          <cell r="D15">
            <v>1470</v>
          </cell>
          <cell r="E15">
            <v>472.79999999999995</v>
          </cell>
          <cell r="F15">
            <v>1806</v>
          </cell>
          <cell r="G15">
            <v>328.80000000000018</v>
          </cell>
          <cell r="H15">
            <v>552</v>
          </cell>
          <cell r="I15">
            <v>420</v>
          </cell>
          <cell r="J15">
            <v>321.59999999999991</v>
          </cell>
          <cell r="K15">
            <v>132</v>
          </cell>
          <cell r="L15">
            <v>306</v>
          </cell>
          <cell r="M15">
            <v>204</v>
          </cell>
        </row>
        <row r="16">
          <cell r="B16">
            <v>1530</v>
          </cell>
          <cell r="C16">
            <v>1530</v>
          </cell>
          <cell r="D16">
            <v>2550</v>
          </cell>
          <cell r="E16">
            <v>1020</v>
          </cell>
          <cell r="F16">
            <v>3570</v>
          </cell>
          <cell r="G16">
            <v>1020</v>
          </cell>
          <cell r="H16">
            <v>2040</v>
          </cell>
          <cell r="I16">
            <v>1020</v>
          </cell>
          <cell r="J16">
            <v>2040</v>
          </cell>
          <cell r="K16">
            <v>1020</v>
          </cell>
          <cell r="L16">
            <v>1530</v>
          </cell>
          <cell r="M16">
            <v>1020</v>
          </cell>
        </row>
        <row r="17">
          <cell r="B17">
            <v>453.59999999999991</v>
          </cell>
          <cell r="C17">
            <v>648</v>
          </cell>
          <cell r="D17">
            <v>1080</v>
          </cell>
          <cell r="E17">
            <v>547.20000000000005</v>
          </cell>
          <cell r="F17">
            <v>1764</v>
          </cell>
          <cell r="G17">
            <v>691.19999999999982</v>
          </cell>
          <cell r="H17">
            <v>1488</v>
          </cell>
          <cell r="I17">
            <v>600</v>
          </cell>
          <cell r="J17">
            <v>1718.4</v>
          </cell>
          <cell r="K17">
            <v>888</v>
          </cell>
          <cell r="L17">
            <v>1224</v>
          </cell>
          <cell r="M17">
            <v>816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1076.4000000000001</v>
          </cell>
          <cell r="C19">
            <v>882</v>
          </cell>
          <cell r="D19">
            <v>1470</v>
          </cell>
          <cell r="E19">
            <v>472.79999999999995</v>
          </cell>
          <cell r="F19">
            <v>1806</v>
          </cell>
          <cell r="G19">
            <v>328.80000000000018</v>
          </cell>
          <cell r="H19">
            <v>552</v>
          </cell>
          <cell r="I19">
            <v>420</v>
          </cell>
          <cell r="J19">
            <v>321.59999999999991</v>
          </cell>
          <cell r="K19">
            <v>132</v>
          </cell>
          <cell r="L19">
            <v>306</v>
          </cell>
          <cell r="M19">
            <v>204</v>
          </cell>
        </row>
        <row r="20">
          <cell r="B20">
            <v>0.29647058823529404</v>
          </cell>
          <cell r="C20">
            <v>0.42352941176470588</v>
          </cell>
          <cell r="D20">
            <v>0.42352941176470588</v>
          </cell>
          <cell r="E20">
            <v>0.53647058823529414</v>
          </cell>
          <cell r="F20">
            <v>0.49411764705882355</v>
          </cell>
          <cell r="G20">
            <v>0.67764705882352927</v>
          </cell>
          <cell r="H20">
            <v>0.72941176470588232</v>
          </cell>
          <cell r="I20">
            <v>0.58823529411764708</v>
          </cell>
          <cell r="J20">
            <v>0.84235294117647064</v>
          </cell>
          <cell r="K20">
            <v>0.87058823529411766</v>
          </cell>
          <cell r="L20">
            <v>0.8</v>
          </cell>
          <cell r="M20">
            <v>0.8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7AB2-B1DC-4EB6-BFBA-69CD28D80819}">
  <sheetPr codeName="Sheet1"/>
  <dimension ref="A1:U159"/>
  <sheetViews>
    <sheetView tabSelected="1" zoomScale="115" zoomScaleNormal="115" workbookViewId="0">
      <selection activeCell="E5" sqref="E5"/>
    </sheetView>
  </sheetViews>
  <sheetFormatPr defaultColWidth="10.5703125" defaultRowHeight="15" x14ac:dyDescent="0.25"/>
  <cols>
    <col min="1" max="1" width="12.5703125" style="1" bestFit="1" customWidth="1"/>
    <col min="2" max="2" width="14.140625" style="1" customWidth="1"/>
    <col min="3" max="3" width="13.28515625" style="1" bestFit="1" customWidth="1"/>
    <col min="4" max="4" width="14.7109375" style="1" bestFit="1" customWidth="1"/>
    <col min="5" max="5" width="14.7109375" style="1" customWidth="1"/>
    <col min="6" max="6" width="12.140625" style="1" bestFit="1" customWidth="1"/>
    <col min="7" max="7" width="19.42578125" style="1" bestFit="1" customWidth="1"/>
    <col min="8" max="8" width="14.42578125" style="1" bestFit="1" customWidth="1"/>
    <col min="9" max="12" width="8" style="1" bestFit="1" customWidth="1"/>
    <col min="13" max="13" width="9.7109375" style="1" customWidth="1"/>
    <col min="14" max="14" width="11.28515625" style="1" bestFit="1" customWidth="1"/>
    <col min="15" max="15" width="14.42578125" style="1" bestFit="1" customWidth="1"/>
    <col min="16" max="16" width="16.5703125" style="1" bestFit="1" customWidth="1"/>
    <col min="17" max="17" width="16.28515625" style="1" bestFit="1" customWidth="1"/>
    <col min="18" max="18" width="16.5703125" style="1" bestFit="1" customWidth="1"/>
    <col min="19" max="19" width="16.28515625" style="1" bestFit="1" customWidth="1"/>
    <col min="20" max="20" width="17.5703125" style="1" bestFit="1" customWidth="1"/>
    <col min="21" max="21" width="17" style="1" bestFit="1" customWidth="1"/>
    <col min="22" max="16384" width="10.5703125" style="1"/>
  </cols>
  <sheetData>
    <row r="1" spans="1:9" ht="31.5" x14ac:dyDescent="0.25">
      <c r="A1" s="5" t="s">
        <v>19</v>
      </c>
      <c r="B1" s="5" t="s">
        <v>18</v>
      </c>
      <c r="C1" s="5" t="s">
        <v>43</v>
      </c>
      <c r="D1" s="5" t="s">
        <v>42</v>
      </c>
      <c r="E1" s="5" t="s">
        <v>41</v>
      </c>
      <c r="F1" s="5" t="s">
        <v>40</v>
      </c>
      <c r="G1" s="5" t="s">
        <v>39</v>
      </c>
      <c r="H1" s="5" t="s">
        <v>38</v>
      </c>
      <c r="I1" s="5" t="s">
        <v>37</v>
      </c>
    </row>
    <row r="2" spans="1:9" ht="15.75" x14ac:dyDescent="0.25">
      <c r="A2" s="4" t="s">
        <v>11</v>
      </c>
      <c r="B2" s="4">
        <f>INDEX('[1]TONG HOP'!$E$3:$P$42,7,MATCH($A2,'[1]TONG HOP'!$E$2:$P$2,0))</f>
        <v>22</v>
      </c>
      <c r="C2" s="3">
        <f>INDEX('[1]TONG HOP'!$E$3:$P$42,9,MATCH($A2,'[1]TONG HOP'!$E$2:$P$2,0))</f>
        <v>15321</v>
      </c>
      <c r="D2" s="3">
        <f>INDEX('[1]TONG HOP'!$E$3:$P$42,17,MATCH($A2,'[1]TONG HOP'!$E$2:$P$2,0))</f>
        <v>2546</v>
      </c>
      <c r="E2" s="4">
        <f>IF(TRIM([2]Sheet1!$B2)="",NA(),[2]Sheet1!$B2)</f>
        <v>2420</v>
      </c>
      <c r="F2" s="9">
        <f t="shared" ref="F2:F13" si="0">$D2/$C2</f>
        <v>0.16617714248417206</v>
      </c>
      <c r="G2" s="3">
        <f>INDEX('[1]TONG HOP'!$E$3:$P$42,21,MATCH($A2,'[1]TONG HOP'!$E$2:$P$2,0))</f>
        <v>35912.75</v>
      </c>
      <c r="H2" s="4">
        <f>IF(TRIM([2]Sheet1!$C2)="",NA(),[2]Sheet1!$C2)</f>
        <v>34743</v>
      </c>
      <c r="I2" s="8">
        <f t="shared" ref="I2:I13" si="1">$G2/$C2</f>
        <v>2.3440212779844658</v>
      </c>
    </row>
    <row r="3" spans="1:9" ht="15.75" x14ac:dyDescent="0.25">
      <c r="A3" s="4" t="s">
        <v>10</v>
      </c>
      <c r="B3" s="4">
        <f>INDEX('[1]TONG HOP'!$E$3:$P$42,7,MATCH($A3,'[1]TONG HOP'!$E$2:$P$2,0))</f>
        <v>15</v>
      </c>
      <c r="C3" s="3">
        <f>INDEX('[1]TONG HOP'!$E$3:$P$42,9,MATCH($A3,'[1]TONG HOP'!$E$2:$P$2,0))</f>
        <v>10107</v>
      </c>
      <c r="D3" s="3">
        <f>INDEX('[1]TONG HOP'!$E$3:$P$42,17,MATCH($A3,'[1]TONG HOP'!$E$2:$P$2,0))</f>
        <v>1687</v>
      </c>
      <c r="E3" s="4">
        <f>IF(TRIM([2]Sheet1!$B3)="",NA(),[2]Sheet1!$B3)</f>
        <v>1572</v>
      </c>
      <c r="F3" s="9">
        <f t="shared" si="0"/>
        <v>0.16691401998614822</v>
      </c>
      <c r="G3" s="3">
        <f>INDEX('[1]TONG HOP'!$E$3:$P$42,21,MATCH($A3,'[1]TONG HOP'!$E$2:$P$2,0))</f>
        <v>24034.75</v>
      </c>
      <c r="H3" s="4">
        <f>IF(TRIM([2]Sheet1!$C3)="",NA(),[2]Sheet1!$C3)</f>
        <v>19982</v>
      </c>
      <c r="I3" s="8">
        <f t="shared" si="1"/>
        <v>2.3780300781636488</v>
      </c>
    </row>
    <row r="4" spans="1:9" ht="15.75" x14ac:dyDescent="0.25">
      <c r="A4" s="4" t="s">
        <v>9</v>
      </c>
      <c r="B4" s="4">
        <f>INDEX('[1]TONG HOP'!$E$3:$P$42,7,MATCH($A4,'[1]TONG HOP'!$E$2:$P$2,0))</f>
        <v>22</v>
      </c>
      <c r="C4" s="3">
        <f>INDEX('[1]TONG HOP'!$E$3:$P$42,9,MATCH($A4,'[1]TONG HOP'!$E$2:$P$2,0))</f>
        <v>14847</v>
      </c>
      <c r="D4" s="3">
        <f>INDEX('[1]TONG HOP'!$E$3:$P$42,17,MATCH($A4,'[1]TONG HOP'!$E$2:$P$2,0))</f>
        <v>2483</v>
      </c>
      <c r="E4" s="4">
        <f>IF(TRIM([2]Sheet1!$B4)="",NA(),[2]Sheet1!$B4)</f>
        <v>2309</v>
      </c>
      <c r="F4" s="9">
        <f t="shared" si="0"/>
        <v>0.16723917289688153</v>
      </c>
      <c r="G4" s="3">
        <f>INDEX('[1]TONG HOP'!$E$3:$P$42,21,MATCH($A4,'[1]TONG HOP'!$E$2:$P$2,0))</f>
        <v>34984.416666666664</v>
      </c>
      <c r="H4" s="4">
        <f>IF(TRIM([2]Sheet1!$C4)="",NA(),[2]Sheet1!$C4)</f>
        <v>35509</v>
      </c>
      <c r="I4" s="8">
        <f t="shared" si="1"/>
        <v>2.3563290002469635</v>
      </c>
    </row>
    <row r="5" spans="1:9" ht="15.75" x14ac:dyDescent="0.25">
      <c r="A5" s="4" t="s">
        <v>8</v>
      </c>
      <c r="B5" s="4">
        <f>INDEX('[1]TONG HOP'!$E$3:$P$42,7,MATCH($A5,'[1]TONG HOP'!$E$2:$P$2,0))</f>
        <v>21</v>
      </c>
      <c r="C5" s="3">
        <f>INDEX('[1]TONG HOP'!$E$3:$P$42,9,MATCH($A5,'[1]TONG HOP'!$E$2:$P$2,0))</f>
        <v>15156</v>
      </c>
      <c r="D5" s="3">
        <f>INDEX('[1]TONG HOP'!$E$3:$P$42,17,MATCH($A5,'[1]TONG HOP'!$E$2:$P$2,0))</f>
        <v>2571</v>
      </c>
      <c r="E5" s="4">
        <f>IF(TRIM([2]Sheet1!$B5)="",NA(),[2]Sheet1!$B5)</f>
        <v>735</v>
      </c>
      <c r="F5" s="9">
        <f t="shared" si="0"/>
        <v>0.16963578780680919</v>
      </c>
      <c r="G5" s="3">
        <f>INDEX('[1]TONG HOP'!$E$3:$P$42,21,MATCH($A5,'[1]TONG HOP'!$E$2:$P$2,0))</f>
        <v>35884.416666666664</v>
      </c>
      <c r="H5" s="4">
        <f>IF(TRIM([2]Sheet1!$C5)="",NA(),[2]Sheet1!$C5)</f>
        <v>10314</v>
      </c>
      <c r="I5" s="8">
        <f t="shared" si="1"/>
        <v>2.367670669481833</v>
      </c>
    </row>
    <row r="6" spans="1:9" ht="15.75" x14ac:dyDescent="0.25">
      <c r="A6" s="4" t="s">
        <v>7</v>
      </c>
      <c r="B6" s="4">
        <f>INDEX('[1]TONG HOP'!$E$3:$P$42,7,MATCH($A6,'[1]TONG HOP'!$E$2:$P$2,0))</f>
        <v>20</v>
      </c>
      <c r="C6" s="3">
        <f>INDEX('[1]TONG HOP'!$E$3:$P$42,9,MATCH($A6,'[1]TONG HOP'!$E$2:$P$2,0))</f>
        <v>13807</v>
      </c>
      <c r="D6" s="3">
        <f>INDEX('[1]TONG HOP'!$E$3:$P$42,17,MATCH($A6,'[1]TONG HOP'!$E$2:$P$2,0))</f>
        <v>2386</v>
      </c>
      <c r="E6" s="4" t="e">
        <f>IF(TRIM([2]Sheet1!$B6)="",NA(),[2]Sheet1!$B6)</f>
        <v>#N/A</v>
      </c>
      <c r="F6" s="9">
        <f t="shared" si="0"/>
        <v>0.17281089302527702</v>
      </c>
      <c r="G6" s="3">
        <f>INDEX('[1]TONG HOP'!$E$3:$P$42,21,MATCH($A6,'[1]TONG HOP'!$E$2:$P$2,0))</f>
        <v>32906.25</v>
      </c>
      <c r="H6" s="4" t="e">
        <f>IF(TRIM([2]Sheet1!$C6)="",NA(),[2]Sheet1!$C6)</f>
        <v>#N/A</v>
      </c>
      <c r="I6" s="8">
        <f t="shared" si="1"/>
        <v>2.3833019482871007</v>
      </c>
    </row>
    <row r="7" spans="1:9" ht="15.75" x14ac:dyDescent="0.25">
      <c r="A7" s="4" t="s">
        <v>6</v>
      </c>
      <c r="B7" s="4">
        <f>INDEX('[1]TONG HOP'!$E$3:$P$42,7,MATCH($A7,'[1]TONG HOP'!$E$2:$P$2,0))</f>
        <v>22</v>
      </c>
      <c r="C7" s="3">
        <f>INDEX('[1]TONG HOP'!$E$3:$P$42,9,MATCH($A7,'[1]TONG HOP'!$E$2:$P$2,0))</f>
        <v>15014</v>
      </c>
      <c r="D7" s="3">
        <f>INDEX('[1]TONG HOP'!$E$3:$P$42,17,MATCH($A7,'[1]TONG HOP'!$E$2:$P$2,0))</f>
        <v>2560</v>
      </c>
      <c r="E7" s="4" t="e">
        <f>IF(TRIM([2]Sheet1!$B7)="",NA(),[2]Sheet1!$B7)</f>
        <v>#N/A</v>
      </c>
      <c r="F7" s="9">
        <f t="shared" si="0"/>
        <v>0.17050752630877847</v>
      </c>
      <c r="G7" s="3">
        <f>INDEX('[1]TONG HOP'!$E$3:$P$42,21,MATCH($A7,'[1]TONG HOP'!$E$2:$P$2,0))</f>
        <v>35385.416666666664</v>
      </c>
      <c r="H7" s="4" t="e">
        <f>IF(TRIM([2]Sheet1!$C7)="",NA(),[2]Sheet1!$C7)</f>
        <v>#N/A</v>
      </c>
      <c r="I7" s="8">
        <f t="shared" si="1"/>
        <v>2.3568280715776386</v>
      </c>
    </row>
    <row r="8" spans="1:9" ht="15.75" x14ac:dyDescent="0.25">
      <c r="A8" s="4" t="s">
        <v>5</v>
      </c>
      <c r="B8" s="4">
        <f>INDEX('[1]TONG HOP'!$E$3:$P$42,7,MATCH($A8,'[1]TONG HOP'!$E$2:$P$2,0))</f>
        <v>23</v>
      </c>
      <c r="C8" s="3">
        <f>INDEX('[1]TONG HOP'!$E$3:$P$42,9,MATCH($A8,'[1]TONG HOP'!$E$2:$P$2,0))</f>
        <v>16107.399999999981</v>
      </c>
      <c r="D8" s="3">
        <f>INDEX('[1]TONG HOP'!$E$3:$P$42,17,MATCH($A8,'[1]TONG HOP'!$E$2:$P$2,0))</f>
        <v>2821</v>
      </c>
      <c r="E8" s="4" t="e">
        <f>IF(TRIM([2]Sheet1!$B8)="",NA(),[2]Sheet1!$B8)</f>
        <v>#N/A</v>
      </c>
      <c r="F8" s="9">
        <f t="shared" si="0"/>
        <v>0.17513689360169879</v>
      </c>
      <c r="G8" s="3">
        <f>INDEX('[1]TONG HOP'!$E$3:$P$42,21,MATCH($A8,'[1]TONG HOP'!$E$2:$P$2,0))</f>
        <v>38219.416666666672</v>
      </c>
      <c r="H8" s="4" t="e">
        <f>IF(TRIM([2]Sheet1!$C8)="",NA(),[2]Sheet1!$C8)</f>
        <v>#N/A</v>
      </c>
      <c r="I8" s="8">
        <f t="shared" si="1"/>
        <v>2.3727862142038267</v>
      </c>
    </row>
    <row r="9" spans="1:9" ht="15.75" x14ac:dyDescent="0.25">
      <c r="A9" s="4" t="s">
        <v>4</v>
      </c>
      <c r="B9" s="4">
        <f>INDEX('[1]TONG HOP'!$E$3:$P$42,7,MATCH($A9,'[1]TONG HOP'!$E$2:$P$2,0))</f>
        <v>21</v>
      </c>
      <c r="C9" s="3">
        <f>INDEX('[1]TONG HOP'!$E$3:$P$42,9,MATCH($A9,'[1]TONG HOP'!$E$2:$P$2,0))</f>
        <v>14410.5</v>
      </c>
      <c r="D9" s="3">
        <f>INDEX('[1]TONG HOP'!$E$3:$P$42,17,MATCH($A9,'[1]TONG HOP'!$E$2:$P$2,0))</f>
        <v>2530</v>
      </c>
      <c r="E9" s="4" t="e">
        <f>IF(TRIM([2]Sheet1!$B9)="",NA(),[2]Sheet1!$B9)</f>
        <v>#N/A</v>
      </c>
      <c r="F9" s="9">
        <f t="shared" si="0"/>
        <v>0.17556642725790222</v>
      </c>
      <c r="G9" s="3">
        <f>INDEX('[1]TONG HOP'!$E$3:$P$42,21,MATCH($A9,'[1]TONG HOP'!$E$2:$P$2,0))</f>
        <v>34652.916666666672</v>
      </c>
      <c r="H9" s="4" t="e">
        <f>IF(TRIM([2]Sheet1!$C9)="",NA(),[2]Sheet1!$C9)</f>
        <v>#N/A</v>
      </c>
      <c r="I9" s="8">
        <f t="shared" si="1"/>
        <v>2.4046991198547358</v>
      </c>
    </row>
    <row r="10" spans="1:9" ht="15.75" x14ac:dyDescent="0.25">
      <c r="A10" s="4" t="s">
        <v>3</v>
      </c>
      <c r="B10" s="4">
        <f>INDEX('[1]TONG HOP'!$E$3:$P$42,7,MATCH($A10,'[1]TONG HOP'!$E$2:$P$2,0))</f>
        <v>21</v>
      </c>
      <c r="C10" s="3">
        <f>INDEX('[1]TONG HOP'!$E$3:$P$42,9,MATCH($A10,'[1]TONG HOP'!$E$2:$P$2,0))</f>
        <v>14122.5</v>
      </c>
      <c r="D10" s="3">
        <f>INDEX('[1]TONG HOP'!$E$3:$P$42,17,MATCH($A10,'[1]TONG HOP'!$E$2:$P$2,0))</f>
        <v>2500</v>
      </c>
      <c r="E10" s="4" t="e">
        <f>IF(TRIM([2]Sheet1!$B10)="",NA(),[2]Sheet1!$B10)</f>
        <v>#N/A</v>
      </c>
      <c r="F10" s="9">
        <f t="shared" si="0"/>
        <v>0.17702248185519562</v>
      </c>
      <c r="G10" s="3">
        <f>INDEX('[1]TONG HOP'!$E$3:$P$42,21,MATCH($A10,'[1]TONG HOP'!$E$2:$P$2,0))</f>
        <v>33891.083333333336</v>
      </c>
      <c r="H10" s="4" t="e">
        <f>IF(TRIM([2]Sheet1!$C10)="",NA(),[2]Sheet1!$C10)</f>
        <v>#N/A</v>
      </c>
      <c r="I10" s="8">
        <f t="shared" si="1"/>
        <v>2.3997934737711692</v>
      </c>
    </row>
    <row r="11" spans="1:9" ht="15.75" x14ac:dyDescent="0.25">
      <c r="A11" s="4" t="s">
        <v>2</v>
      </c>
      <c r="B11" s="4">
        <f>INDEX('[1]TONG HOP'!$E$3:$P$42,7,MATCH($A11,'[1]TONG HOP'!$E$2:$P$2,0))</f>
        <v>22</v>
      </c>
      <c r="C11" s="3">
        <f>INDEX('[1]TONG HOP'!$E$3:$P$42,9,MATCH($A11,'[1]TONG HOP'!$E$2:$P$2,0))</f>
        <v>15014</v>
      </c>
      <c r="D11" s="3">
        <f>INDEX('[1]TONG HOP'!$E$3:$P$42,17,MATCH($A11,'[1]TONG HOP'!$E$2:$P$2,0))</f>
        <v>2626</v>
      </c>
      <c r="E11" s="4" t="e">
        <f>IF(TRIM([2]Sheet1!$B11)="",NA(),[2]Sheet1!$B11)</f>
        <v>#N/A</v>
      </c>
      <c r="F11" s="9">
        <f t="shared" si="0"/>
        <v>0.17490342347142668</v>
      </c>
      <c r="G11" s="3">
        <f>INDEX('[1]TONG HOP'!$E$3:$P$42,21,MATCH($A11,'[1]TONG HOP'!$E$2:$P$2,0))</f>
        <v>35849.416666666672</v>
      </c>
      <c r="H11" s="4" t="e">
        <f>IF(TRIM([2]Sheet1!$C11)="",NA(),[2]Sheet1!$C11)</f>
        <v>#N/A</v>
      </c>
      <c r="I11" s="8">
        <f t="shared" si="1"/>
        <v>2.3877325607211053</v>
      </c>
    </row>
    <row r="12" spans="1:9" ht="15.75" x14ac:dyDescent="0.25">
      <c r="A12" s="4" t="s">
        <v>1</v>
      </c>
      <c r="B12" s="4">
        <f>INDEX('[1]TONG HOP'!$E$3:$P$42,7,MATCH($A12,'[1]TONG HOP'!$E$2:$P$2,0))</f>
        <v>21</v>
      </c>
      <c r="C12" s="3">
        <f>INDEX('[1]TONG HOP'!$E$3:$P$42,9,MATCH($A12,'[1]TONG HOP'!$E$2:$P$2,0))</f>
        <v>14410.5</v>
      </c>
      <c r="D12" s="3">
        <f>INDEX('[1]TONG HOP'!$E$3:$P$42,17,MATCH($A12,'[1]TONG HOP'!$E$2:$P$2,0))</f>
        <v>2537</v>
      </c>
      <c r="E12" s="4" t="e">
        <f>IF(TRIM([2]Sheet1!$B12)="",NA(),[2]Sheet1!$B12)</f>
        <v>#N/A</v>
      </c>
      <c r="F12" s="9">
        <f t="shared" si="0"/>
        <v>0.176052184171264</v>
      </c>
      <c r="G12" s="3">
        <f>INDEX('[1]TONG HOP'!$E$3:$P$42,21,MATCH($A12,'[1]TONG HOP'!$E$2:$P$2,0))</f>
        <v>34755.700000000004</v>
      </c>
      <c r="H12" s="4" t="e">
        <f>IF(TRIM([2]Sheet1!$C12)="",NA(),[2]Sheet1!$C12)</f>
        <v>#N/A</v>
      </c>
      <c r="I12" s="8">
        <f t="shared" si="1"/>
        <v>2.4118316505325978</v>
      </c>
    </row>
    <row r="13" spans="1:9" ht="15.75" x14ac:dyDescent="0.25">
      <c r="A13" s="4" t="s">
        <v>0</v>
      </c>
      <c r="B13" s="4">
        <f>INDEX('[1]TONG HOP'!$E$3:$P$42,7,MATCH($A13,'[1]TONG HOP'!$E$2:$P$2,0))</f>
        <v>22</v>
      </c>
      <c r="C13" s="3">
        <f>INDEX('[1]TONG HOP'!$E$3:$P$42,9,MATCH($A13,'[1]TONG HOP'!$E$2:$P$2,0))</f>
        <v>15014</v>
      </c>
      <c r="D13" s="3">
        <f>INDEX('[1]TONG HOP'!$E$3:$P$42,17,MATCH($A13,'[1]TONG HOP'!$E$2:$P$2,0))</f>
        <v>2612</v>
      </c>
      <c r="E13" s="4" t="e">
        <f>IF(TRIM([2]Sheet1!$B13)="",NA(),[2]Sheet1!$B13)</f>
        <v>#N/A</v>
      </c>
      <c r="F13" s="9">
        <f t="shared" si="0"/>
        <v>0.17397096043692553</v>
      </c>
      <c r="G13" s="3">
        <f>INDEX('[1]TONG HOP'!$E$3:$P$42,21,MATCH($A13,'[1]TONG HOP'!$E$2:$P$2,0))</f>
        <v>36437.116666666669</v>
      </c>
      <c r="H13" s="4" t="e">
        <f>IF(TRIM([2]Sheet1!$C13)="",NA(),[2]Sheet1!$C13)</f>
        <v>#N/A</v>
      </c>
      <c r="I13" s="8">
        <f t="shared" si="1"/>
        <v>2.4268760268194129</v>
      </c>
    </row>
    <row r="15" spans="1:9" x14ac:dyDescent="0.25">
      <c r="F15" s="1" t="s">
        <v>48</v>
      </c>
    </row>
    <row r="19" spans="1:5" ht="47.25" x14ac:dyDescent="0.25">
      <c r="A19" s="5" t="s">
        <v>21</v>
      </c>
      <c r="B19" s="5" t="s">
        <v>36</v>
      </c>
      <c r="C19" s="5" t="s">
        <v>35</v>
      </c>
      <c r="D19" s="5" t="s">
        <v>13</v>
      </c>
      <c r="E19" s="5" t="s">
        <v>12</v>
      </c>
    </row>
    <row r="20" spans="1:5" ht="15.75" x14ac:dyDescent="0.25">
      <c r="A20" s="4" t="s">
        <v>34</v>
      </c>
      <c r="B20" s="7">
        <f>INDEX('[3]TSX CĐ 2026'!$B$74:$O$78,1, MATCH($A20,'[3]TSX CĐ 2026'!$B$73:$O$73,0))</f>
        <v>32.66324550421421</v>
      </c>
      <c r="C20" s="7">
        <f>INDEX('[3]TSX CĐ 2026'!$B$74:$O$78,2, MATCH($A20,'[3]TSX CĐ 2026'!$B$73:$O$73,0))</f>
        <v>202.12406443059103</v>
      </c>
      <c r="D20" s="7">
        <f>INDEX('[3]TSX CĐ 2026'!$B$74:$O$78,4, MATCH($A20,'[3]TSX CĐ 2026'!$B$73:$O$73,0))</f>
        <v>8.1658113760535525</v>
      </c>
      <c r="E20" s="7">
        <f>INDEX('[3]TSX CĐ 2026'!$B$74:$O$78,5, MATCH($A20,'[3]TSX CĐ 2026'!$B$73:$O$73,0))</f>
        <v>50.531016107647758</v>
      </c>
    </row>
    <row r="21" spans="1:5" ht="15.75" x14ac:dyDescent="0.25">
      <c r="A21" s="4" t="s">
        <v>32</v>
      </c>
      <c r="B21" s="7">
        <f>INDEX('[3]TSX CĐ 2026'!$B$74:$O$78,1, MATCH($A21,'[3]TSX CĐ 2026'!$B$73:$O$73,0))</f>
        <v>19.909988872478355</v>
      </c>
      <c r="C21" s="7">
        <f>INDEX('[3]TSX CĐ 2026'!$B$74:$O$78,2, MATCH($A21,'[3]TSX CĐ 2026'!$B$73:$O$73,0))</f>
        <v>106.49805942127759</v>
      </c>
      <c r="D21" s="7">
        <f>INDEX('[3]TSX CĐ 2026'!$B$74:$O$78,4, MATCH($A21,'[3]TSX CĐ 2026'!$B$73:$O$73,0))</f>
        <v>9.9549944362391773</v>
      </c>
      <c r="E21" s="7">
        <f>INDEX('[3]TSX CĐ 2026'!$B$74:$O$78,5, MATCH($A21,'[3]TSX CĐ 2026'!$B$73:$O$73,0))</f>
        <v>53.249029710638794</v>
      </c>
    </row>
    <row r="22" spans="1:5" ht="15.75" x14ac:dyDescent="0.25">
      <c r="A22" s="4" t="s">
        <v>30</v>
      </c>
      <c r="B22" s="7">
        <f>INDEX('[3]TSX CĐ 2026'!$B$74:$O$78,1, MATCH($A22,'[3]TSX CĐ 2026'!$B$73:$O$73,0))</f>
        <v>9.1674202468984305</v>
      </c>
      <c r="C22" s="7">
        <f>INDEX('[3]TSX CĐ 2026'!$B$74:$O$78,2, MATCH($A22,'[3]TSX CĐ 2026'!$B$73:$O$73,0))</f>
        <v>49.127552784286294</v>
      </c>
      <c r="D22" s="7">
        <f>INDEX('[3]TSX CĐ 2026'!$B$74:$O$78,4, MATCH($A22,'[3]TSX CĐ 2026'!$B$73:$O$73,0))</f>
        <v>4.5837101234492152</v>
      </c>
      <c r="E22" s="7">
        <f>INDEX('[3]TSX CĐ 2026'!$B$74:$O$78,5, MATCH($A22,'[3]TSX CĐ 2026'!$B$73:$O$73,0))</f>
        <v>24.563776392143147</v>
      </c>
    </row>
    <row r="23" spans="1:5" ht="15.75" x14ac:dyDescent="0.25">
      <c r="A23" s="4" t="s">
        <v>28</v>
      </c>
      <c r="B23" s="7">
        <f>INDEX('[3]TSX CĐ 2026'!$B$74:$O$78,1, MATCH($A23,'[3]TSX CĐ 2026'!$B$73:$O$73,0))</f>
        <v>31.404929112000893</v>
      </c>
      <c r="C23" s="7">
        <f>INDEX('[3]TSX CĐ 2026'!$B$74:$O$78,2, MATCH($A23,'[3]TSX CĐ 2026'!$B$73:$O$73,0))</f>
        <v>189.55056098371097</v>
      </c>
      <c r="D23" s="7">
        <f>INDEX('[3]TSX CĐ 2026'!$B$74:$O$78,4, MATCH($A23,'[3]TSX CĐ 2026'!$B$73:$O$73,0))</f>
        <v>7.8512322780002233</v>
      </c>
      <c r="E23" s="7">
        <f>INDEX('[3]TSX CĐ 2026'!$B$74:$O$78,5, MATCH($A23,'[3]TSX CĐ 2026'!$B$73:$O$73,0))</f>
        <v>47.387640245927741</v>
      </c>
    </row>
    <row r="24" spans="1:5" ht="15.75" x14ac:dyDescent="0.25">
      <c r="A24" s="4" t="s">
        <v>26</v>
      </c>
      <c r="B24" s="7">
        <f>INDEX('[3]TSX CĐ 2026'!$B$74:$O$78,1, MATCH($A24,'[3]TSX CĐ 2026'!$B$73:$O$73,0))</f>
        <v>15.114615455378672</v>
      </c>
      <c r="C24" s="7">
        <f>INDEX('[3]TSX CĐ 2026'!$B$74:$O$78,2, MATCH($A24,'[3]TSX CĐ 2026'!$B$73:$O$73,0))</f>
        <v>107.05370820253337</v>
      </c>
      <c r="D24" s="7">
        <f>INDEX('[3]TSX CĐ 2026'!$B$74:$O$78,4, MATCH($A24,'[3]TSX CĐ 2026'!$B$73:$O$73,0))</f>
        <v>15.114615455378672</v>
      </c>
      <c r="E24" s="7">
        <f>INDEX('[3]TSX CĐ 2026'!$B$74:$O$78,5, MATCH($A24,'[3]TSX CĐ 2026'!$B$73:$O$73,0))</f>
        <v>107.05370820253337</v>
      </c>
    </row>
    <row r="25" spans="1:5" ht="15.75" x14ac:dyDescent="0.25">
      <c r="A25" s="4" t="s">
        <v>24</v>
      </c>
      <c r="B25" s="7">
        <f>INDEX('[3]TSX CĐ 2026'!$B$74:$O$78,1, MATCH($A25,'[3]TSX CĐ 2026'!$B$73:$O$73,0))</f>
        <v>32.045723673056543</v>
      </c>
      <c r="C25" s="7">
        <f>INDEX('[3]TSX CĐ 2026'!$B$74:$O$78,2, MATCH($A25,'[3]TSX CĐ 2026'!$B$73:$O$73,0))</f>
        <v>534.87425620262638</v>
      </c>
      <c r="D25" s="7">
        <f>INDEX('[3]TSX CĐ 2026'!$B$74:$O$78,4, MATCH($A25,'[3]TSX CĐ 2026'!$B$73:$O$73,0))</f>
        <v>5.3409539455094235</v>
      </c>
      <c r="E25" s="7">
        <f>INDEX('[3]TSX CĐ 2026'!$B$74:$O$78,5, MATCH($A25,'[3]TSX CĐ 2026'!$B$73:$O$73,0))</f>
        <v>89.145709367104402</v>
      </c>
    </row>
    <row r="26" spans="1:5" ht="15.75" x14ac:dyDescent="0.25">
      <c r="A26" s="4" t="s">
        <v>22</v>
      </c>
      <c r="B26" s="7">
        <f>INDEX('[3]TSX CĐ 2026'!$B$74:$O$78,1, MATCH($A26,'[3]TSX CĐ 2026'!$B$73:$O$73,0))</f>
        <v>7</v>
      </c>
      <c r="C26" s="7">
        <f>INDEX('[3]TSX CĐ 2026'!$B$74:$O$78,2, MATCH($A26,'[3]TSX CĐ 2026'!$B$73:$O$73,0))</f>
        <v>22.795203209536318</v>
      </c>
      <c r="D26" s="7">
        <f>INDEX('[3]TSX CĐ 2026'!$B$74:$O$78,4, MATCH($A26,'[3]TSX CĐ 2026'!$B$73:$O$73,0))</f>
        <v>3.5</v>
      </c>
      <c r="E26" s="7">
        <f>INDEX('[3]TSX CĐ 2026'!$B$74:$O$78,5, MATCH($A26,'[3]TSX CĐ 2026'!$B$73:$O$73,0))</f>
        <v>11.397601604768159</v>
      </c>
    </row>
    <row r="27" spans="1:5" ht="15.75" x14ac:dyDescent="0.25">
      <c r="A27" s="4" t="s">
        <v>33</v>
      </c>
      <c r="B27" s="7">
        <f>INDEX('[3]TSX CĐ 2026'!$B$74:$O$78,1, MATCH($A27,'[3]TSX CĐ 2026'!$B$73:$O$73,0))</f>
        <v>2.9239726688871683</v>
      </c>
      <c r="C27" s="7">
        <f>INDEX('[3]TSX CĐ 2026'!$B$74:$O$78,2, MATCH($A27,'[3]TSX CĐ 2026'!$B$73:$O$73,0))</f>
        <v>75.261103433630751</v>
      </c>
      <c r="D27" s="7">
        <f>INDEX('[3]TSX CĐ 2026'!$B$74:$O$78,4, MATCH($A27,'[3]TSX CĐ 2026'!$B$73:$O$73,0))</f>
        <v>2.9239726688871683</v>
      </c>
      <c r="E27" s="7">
        <f>INDEX('[3]TSX CĐ 2026'!$B$74:$O$78,5, MATCH($A27,'[3]TSX CĐ 2026'!$B$73:$O$73,0))</f>
        <v>75.261103433630751</v>
      </c>
    </row>
    <row r="28" spans="1:5" ht="15.75" x14ac:dyDescent="0.25">
      <c r="A28" s="4" t="s">
        <v>31</v>
      </c>
      <c r="B28" s="7">
        <f>INDEX('[3]TSX CĐ 2026'!$B$74:$O$78,1, MATCH($A28,'[3]TSX CĐ 2026'!$B$73:$O$73,0))</f>
        <v>4.0640539805310443</v>
      </c>
      <c r="C28" s="7">
        <f>INDEX('[3]TSX CĐ 2026'!$B$74:$O$78,2, MATCH($A28,'[3]TSX CĐ 2026'!$B$73:$O$73,0))</f>
        <v>10.459594929622718</v>
      </c>
      <c r="D28" s="7">
        <f>INDEX('[3]TSX CĐ 2026'!$B$74:$O$78,4, MATCH($A28,'[3]TSX CĐ 2026'!$B$73:$O$73,0))</f>
        <v>2.0320269902655221</v>
      </c>
      <c r="E28" s="7">
        <f>INDEX('[3]TSX CĐ 2026'!$B$74:$O$78,5, MATCH($A28,'[3]TSX CĐ 2026'!$B$73:$O$73,0))</f>
        <v>5.2297974648113588</v>
      </c>
    </row>
    <row r="29" spans="1:5" ht="15.75" x14ac:dyDescent="0.25">
      <c r="A29" s="4" t="s">
        <v>29</v>
      </c>
      <c r="B29" s="7">
        <f>INDEX('[3]TSX CĐ 2026'!$B$74:$O$78,1, MATCH($A29,'[3]TSX CĐ 2026'!$B$73:$O$73,0))</f>
        <v>6.3930486411333352</v>
      </c>
      <c r="C29" s="7">
        <f>INDEX('[3]TSX CĐ 2026'!$B$74:$O$78,2, MATCH($A29,'[3]TSX CĐ 2026'!$B$73:$O$73,0))</f>
        <v>107.21218131116353</v>
      </c>
      <c r="D29" s="7">
        <f>INDEX('[3]TSX CĐ 2026'!$B$74:$O$78,4, MATCH($A29,'[3]TSX CĐ 2026'!$B$73:$O$73,0))</f>
        <v>2.1310162137111117</v>
      </c>
      <c r="E29" s="7">
        <f>INDEX('[3]TSX CĐ 2026'!$B$74:$O$78,5, MATCH($A29,'[3]TSX CĐ 2026'!$B$73:$O$73,0))</f>
        <v>35.737393770387847</v>
      </c>
    </row>
    <row r="30" spans="1:5" ht="15.75" x14ac:dyDescent="0.25">
      <c r="A30" s="4" t="s">
        <v>27</v>
      </c>
      <c r="B30" s="7">
        <f>INDEX('[3]TSX CĐ 2026'!$B$74:$O$78,1, MATCH($A30,'[3]TSX CĐ 2026'!$B$73:$O$73,0))</f>
        <v>2.0317073625850046</v>
      </c>
      <c r="C30" s="7">
        <f>INDEX('[3]TSX CĐ 2026'!$B$74:$O$78,2, MATCH($A30,'[3]TSX CĐ 2026'!$B$73:$O$73,0))</f>
        <v>130.03940815234225</v>
      </c>
      <c r="D30" s="7">
        <f>INDEX('[3]TSX CĐ 2026'!$B$74:$O$78,4, MATCH($A30,'[3]TSX CĐ 2026'!$B$73:$O$73,0))</f>
        <v>1.0158536812925023</v>
      </c>
      <c r="E30" s="7">
        <f>INDEX('[3]TSX CĐ 2026'!$B$74:$O$78,5, MATCH($A30,'[3]TSX CĐ 2026'!$B$73:$O$73,0))</f>
        <v>65.019704076171124</v>
      </c>
    </row>
    <row r="31" spans="1:5" ht="15.75" x14ac:dyDescent="0.25">
      <c r="A31" s="4" t="s">
        <v>25</v>
      </c>
      <c r="B31" s="7">
        <f>INDEX('[3]TSX CĐ 2026'!$B$74:$O$78,1, MATCH($A31,'[3]TSX CĐ 2026'!$B$73:$O$73,0))</f>
        <v>5.9555888164179187</v>
      </c>
      <c r="C31" s="7">
        <f>INDEX('[3]TSX CĐ 2026'!$B$74:$O$78,2, MATCH($A31,'[3]TSX CĐ 2026'!$B$73:$O$73,0))</f>
        <v>20.919301301118999</v>
      </c>
      <c r="D31" s="7">
        <f>INDEX('[3]TSX CĐ 2026'!$B$74:$O$78,4, MATCH($A31,'[3]TSX CĐ 2026'!$B$73:$O$73,0))</f>
        <v>1.4888972041044797</v>
      </c>
      <c r="E31" s="7">
        <f>INDEX('[3]TSX CĐ 2026'!$B$74:$O$78,5, MATCH($A31,'[3]TSX CĐ 2026'!$B$73:$O$73,0))</f>
        <v>5.2298253252797497</v>
      </c>
    </row>
    <row r="32" spans="1:5" ht="15.75" x14ac:dyDescent="0.25">
      <c r="A32" s="4" t="s">
        <v>23</v>
      </c>
      <c r="B32" s="7">
        <f>INDEX('[3]TSX CĐ 2026'!$B$74:$O$78,1, MATCH($A32,'[3]TSX CĐ 2026'!$B$73:$O$73,0))</f>
        <v>10.103199561206551</v>
      </c>
      <c r="C32" s="7">
        <f>INDEX('[3]TSX CĐ 2026'!$B$74:$O$78,2, MATCH($A32,'[3]TSX CĐ 2026'!$B$73:$O$73,0))</f>
        <v>54.77661676712232</v>
      </c>
      <c r="D32" s="7">
        <f>INDEX('[3]TSX CĐ 2026'!$B$74:$O$78,4, MATCH($A32,'[3]TSX CĐ 2026'!$B$73:$O$73,0))</f>
        <v>2.5257998903016379</v>
      </c>
      <c r="E32" s="7">
        <f>INDEX('[3]TSX CĐ 2026'!$B$74:$O$78,5, MATCH($A32,'[3]TSX CĐ 2026'!$B$73:$O$73,0))</f>
        <v>13.69415419178058</v>
      </c>
    </row>
    <row r="33" spans="1:21" ht="15.75" x14ac:dyDescent="0.25">
      <c r="A33" s="4" t="s">
        <v>20</v>
      </c>
      <c r="B33" s="7">
        <f>INDEX('[3]TSX CĐ 2026'!$B$74:$O$78,1, MATCH($A33,'[3]TSX CĐ 2026'!$B$73:$O$73,0))</f>
        <v>7.1305817443848607</v>
      </c>
      <c r="C33" s="7">
        <f>INDEX('[3]TSX CĐ 2026'!$B$74:$O$78,2, MATCH($A33,'[3]TSX CĐ 2026'!$B$73:$O$73,0))</f>
        <v>111.62338667883104</v>
      </c>
      <c r="D33" s="7">
        <f>INDEX('[3]TSX CĐ 2026'!$B$74:$O$78,4, MATCH($A33,'[3]TSX CĐ 2026'!$B$73:$O$73,0))</f>
        <v>3.5652908721924303</v>
      </c>
      <c r="E33" s="7">
        <f>INDEX('[3]TSX CĐ 2026'!$B$74:$O$78,5, MATCH($A33,'[3]TSX CĐ 2026'!$B$73:$O$73,0))</f>
        <v>55.81169333941552</v>
      </c>
    </row>
    <row r="35" spans="1:21" ht="15.75" x14ac:dyDescent="0.25">
      <c r="A35" s="4" t="s">
        <v>21</v>
      </c>
      <c r="B35" s="6" t="s">
        <v>34</v>
      </c>
      <c r="N35" s="4" t="s">
        <v>21</v>
      </c>
      <c r="O35" s="6" t="s">
        <v>33</v>
      </c>
    </row>
    <row r="37" spans="1:21" ht="47.25" x14ac:dyDescent="0.25">
      <c r="A37" s="5" t="s">
        <v>19</v>
      </c>
      <c r="B37" s="5" t="s">
        <v>18</v>
      </c>
      <c r="C37" s="5" t="s">
        <v>17</v>
      </c>
      <c r="D37" s="5" t="s">
        <v>16</v>
      </c>
      <c r="E37" s="5" t="s">
        <v>15</v>
      </c>
      <c r="F37" s="5" t="s">
        <v>14</v>
      </c>
      <c r="G37" s="5" t="s">
        <v>13</v>
      </c>
      <c r="H37" s="5" t="s">
        <v>12</v>
      </c>
      <c r="N37" s="5" t="s">
        <v>19</v>
      </c>
      <c r="O37" s="5" t="s">
        <v>18</v>
      </c>
      <c r="P37" s="5" t="s">
        <v>17</v>
      </c>
      <c r="Q37" s="5" t="s">
        <v>16</v>
      </c>
      <c r="R37" s="5" t="s">
        <v>15</v>
      </c>
      <c r="S37" s="5" t="s">
        <v>14</v>
      </c>
      <c r="T37" s="5" t="s">
        <v>13</v>
      </c>
      <c r="U37" s="5" t="s">
        <v>12</v>
      </c>
    </row>
    <row r="38" spans="1:21" ht="15.75" x14ac:dyDescent="0.25">
      <c r="A38" s="4" t="s">
        <v>11</v>
      </c>
      <c r="B38" s="4">
        <f>INDEX('[1]TONG HOP'!$E$3:$P$42,7,MATCH($A38,'[1]TONG HOP'!$E$2:$P$2,0))</f>
        <v>22</v>
      </c>
      <c r="C38" s="3">
        <f>INDEX('[3]TSX CĐ 2026'!$B$74:$O$78,1, MATCH($B$35,'[3]TSX CĐ 2026'!$B$73:$O$73,0))</f>
        <v>32.66324550421421</v>
      </c>
      <c r="D38" s="3">
        <f>INDEX('[3]TSX CĐ 2026'!$B$74:$O$78,2, MATCH($B$35,'[3]TSX CĐ 2026'!$B$73:$O$73,0))</f>
        <v>202.12406443059103</v>
      </c>
      <c r="E38" s="2">
        <f t="shared" ref="E38:E49" si="2">C38*B38</f>
        <v>718.59140109271266</v>
      </c>
      <c r="F38" s="2">
        <f t="shared" ref="F38:F49" si="3">D38*B38</f>
        <v>4446.7294174730032</v>
      </c>
      <c r="G38" s="3">
        <f>INDEX('[3]TSX CĐ 2026'!$B$74:$O$78,4, MATCH($B$35,'[3]TSX CĐ 2026'!$B$73:$O$73,0))</f>
        <v>8.1658113760535525</v>
      </c>
      <c r="H38" s="2">
        <f>INDEX('[3]TSX CĐ 2026'!$B$74:$O$78,5, MATCH($B$35,'[3]TSX CĐ 2026'!$B$73:$O$73,0))</f>
        <v>50.531016107647758</v>
      </c>
      <c r="N38" s="4" t="s">
        <v>11</v>
      </c>
      <c r="O38" s="4">
        <f>INDEX('[1]TONG HOP'!$E$3:$P$42,7,MATCH($A38,'[1]TONG HOP'!$E$2:$P$2,0))</f>
        <v>22</v>
      </c>
      <c r="P38" s="3">
        <f>INDEX('[3]TSX CĐ 2026'!$B$74:$O$78,1, MATCH($O$35,'[3]TSX CĐ 2026'!$B$73:$O$73,0))</f>
        <v>2.9239726688871683</v>
      </c>
      <c r="Q38" s="3">
        <f>INDEX('[3]TSX CĐ 2026'!$B$74:$O$78,2, MATCH($O$35,'[3]TSX CĐ 2026'!$B$73:$O$73,0))</f>
        <v>75.261103433630751</v>
      </c>
      <c r="R38" s="2">
        <f t="shared" ref="R38:R49" si="4">P38*O38</f>
        <v>64.327398715517702</v>
      </c>
      <c r="S38" s="2">
        <f t="shared" ref="S38:S49" si="5">Q38*O38</f>
        <v>1655.7442755398765</v>
      </c>
      <c r="T38" s="3">
        <f>INDEX('[3]TSX CĐ 2026'!$B$74:$O$78,4, MATCH($O$35,'[3]TSX CĐ 2026'!$B$73:$O$73,0))</f>
        <v>2.9239726688871683</v>
      </c>
      <c r="U38" s="2">
        <f>INDEX('[3]TSX CĐ 2026'!$B$74:$O$78,5, MATCH($O$35,'[3]TSX CĐ 2026'!$B$73:$O$73,0))</f>
        <v>75.261103433630751</v>
      </c>
    </row>
    <row r="39" spans="1:21" ht="15.75" x14ac:dyDescent="0.25">
      <c r="A39" s="4" t="s">
        <v>10</v>
      </c>
      <c r="B39" s="4">
        <f>INDEX('[1]TONG HOP'!$E$3:$P$42,7,MATCH($A39,'[1]TONG HOP'!$E$2:$P$2,0))</f>
        <v>15</v>
      </c>
      <c r="C39" s="3">
        <f>INDEX('[3]TSX CĐ 2026'!$B$74:$O$78,1, MATCH($B$35,'[3]TSX CĐ 2026'!$B$73:$O$73,0))</f>
        <v>32.66324550421421</v>
      </c>
      <c r="D39" s="3">
        <f>INDEX('[3]TSX CĐ 2026'!$B$74:$O$78,2, MATCH($A$20,'[3]TSX CĐ 2026'!$B$73:$O$73,0))</f>
        <v>202.12406443059103</v>
      </c>
      <c r="E39" s="2">
        <f t="shared" si="2"/>
        <v>489.94868256321314</v>
      </c>
      <c r="F39" s="2">
        <f t="shared" si="3"/>
        <v>3031.8609664588657</v>
      </c>
      <c r="G39" s="3">
        <f>INDEX('[3]TSX CĐ 2026'!$B$74:$O$78,4, MATCH($B$35,'[3]TSX CĐ 2026'!$B$73:$O$73,0))</f>
        <v>8.1658113760535525</v>
      </c>
      <c r="H39" s="2">
        <f>INDEX('[3]TSX CĐ 2026'!$B$74:$O$78,5, MATCH($B$35,'[3]TSX CĐ 2026'!$B$73:$O$73,0))</f>
        <v>50.531016107647758</v>
      </c>
      <c r="N39" s="4" t="s">
        <v>10</v>
      </c>
      <c r="O39" s="4">
        <f>INDEX('[1]TONG HOP'!$E$3:$P$42,7,MATCH($A39,'[1]TONG HOP'!$E$2:$P$2,0))</f>
        <v>15</v>
      </c>
      <c r="P39" s="3">
        <f>INDEX('[3]TSX CĐ 2026'!$B$74:$O$78,1, MATCH($O$35,'[3]TSX CĐ 2026'!$B$73:$O$73,0))</f>
        <v>2.9239726688871683</v>
      </c>
      <c r="Q39" s="3">
        <f>INDEX('[3]TSX CĐ 2026'!$B$74:$O$78,2, MATCH($O$35,'[3]TSX CĐ 2026'!$B$73:$O$73,0))</f>
        <v>75.261103433630751</v>
      </c>
      <c r="R39" s="2">
        <f t="shared" si="4"/>
        <v>43.859590033307526</v>
      </c>
      <c r="S39" s="2">
        <f t="shared" si="5"/>
        <v>1128.9165515044613</v>
      </c>
      <c r="T39" s="3">
        <f>INDEX('[3]TSX CĐ 2026'!$B$74:$O$78,4, MATCH($O$35,'[3]TSX CĐ 2026'!$B$73:$O$73,0))</f>
        <v>2.9239726688871683</v>
      </c>
      <c r="U39" s="2">
        <f>INDEX('[3]TSX CĐ 2026'!$B$74:$O$78,5, MATCH($O$35,'[3]TSX CĐ 2026'!$B$73:$O$73,0))</f>
        <v>75.261103433630751</v>
      </c>
    </row>
    <row r="40" spans="1:21" ht="15.75" x14ac:dyDescent="0.25">
      <c r="A40" s="4" t="s">
        <v>9</v>
      </c>
      <c r="B40" s="4">
        <f>INDEX('[1]TONG HOP'!$E$3:$P$42,7,MATCH($A40,'[1]TONG HOP'!$E$2:$P$2,0))</f>
        <v>22</v>
      </c>
      <c r="C40" s="3">
        <f>INDEX('[3]TSX CĐ 2026'!$B$74:$O$78,1, MATCH($B$35,'[3]TSX CĐ 2026'!$B$73:$O$73,0))</f>
        <v>32.66324550421421</v>
      </c>
      <c r="D40" s="3">
        <f>INDEX('[3]TSX CĐ 2026'!$B$74:$O$78,2, MATCH($A$20,'[3]TSX CĐ 2026'!$B$73:$O$73,0))</f>
        <v>202.12406443059103</v>
      </c>
      <c r="E40" s="2">
        <f t="shared" si="2"/>
        <v>718.59140109271266</v>
      </c>
      <c r="F40" s="2">
        <f t="shared" si="3"/>
        <v>4446.7294174730032</v>
      </c>
      <c r="G40" s="3">
        <f>INDEX('[3]TSX CĐ 2026'!$B$74:$O$78,4, MATCH($B$35,'[3]TSX CĐ 2026'!$B$73:$O$73,0))</f>
        <v>8.1658113760535525</v>
      </c>
      <c r="H40" s="2">
        <f>INDEX('[3]TSX CĐ 2026'!$B$74:$O$78,5, MATCH($B$35,'[3]TSX CĐ 2026'!$B$73:$O$73,0))</f>
        <v>50.531016107647758</v>
      </c>
      <c r="N40" s="4" t="s">
        <v>9</v>
      </c>
      <c r="O40" s="4">
        <f>INDEX('[1]TONG HOP'!$E$3:$P$42,7,MATCH($A40,'[1]TONG HOP'!$E$2:$P$2,0))</f>
        <v>22</v>
      </c>
      <c r="P40" s="3">
        <f>INDEX('[3]TSX CĐ 2026'!$B$74:$O$78,1, MATCH($O$35,'[3]TSX CĐ 2026'!$B$73:$O$73,0))</f>
        <v>2.9239726688871683</v>
      </c>
      <c r="Q40" s="3">
        <f>INDEX('[3]TSX CĐ 2026'!$B$74:$O$78,2, MATCH($O$35,'[3]TSX CĐ 2026'!$B$73:$O$73,0))</f>
        <v>75.261103433630751</v>
      </c>
      <c r="R40" s="2">
        <f t="shared" si="4"/>
        <v>64.327398715517702</v>
      </c>
      <c r="S40" s="2">
        <f t="shared" si="5"/>
        <v>1655.7442755398765</v>
      </c>
      <c r="T40" s="3">
        <f>INDEX('[3]TSX CĐ 2026'!$B$74:$O$78,4, MATCH($O$35,'[3]TSX CĐ 2026'!$B$73:$O$73,0))</f>
        <v>2.9239726688871683</v>
      </c>
      <c r="U40" s="2">
        <f>INDEX('[3]TSX CĐ 2026'!$B$74:$O$78,5, MATCH($O$35,'[3]TSX CĐ 2026'!$B$73:$O$73,0))</f>
        <v>75.261103433630751</v>
      </c>
    </row>
    <row r="41" spans="1:21" ht="15.75" x14ac:dyDescent="0.25">
      <c r="A41" s="4" t="s">
        <v>8</v>
      </c>
      <c r="B41" s="4">
        <f>INDEX('[1]TONG HOP'!$E$3:$P$42,7,MATCH($A41,'[1]TONG HOP'!$E$2:$P$2,0))</f>
        <v>21</v>
      </c>
      <c r="C41" s="3">
        <f>INDEX('[3]TSX CĐ 2026'!$B$74:$O$78,1, MATCH($B$35,'[3]TSX CĐ 2026'!$B$73:$O$73,0))</f>
        <v>32.66324550421421</v>
      </c>
      <c r="D41" s="3">
        <f>INDEX('[3]TSX CĐ 2026'!$B$74:$O$78,2, MATCH($A$20,'[3]TSX CĐ 2026'!$B$73:$O$73,0))</f>
        <v>202.12406443059103</v>
      </c>
      <c r="E41" s="2">
        <f t="shared" si="2"/>
        <v>685.92815558849838</v>
      </c>
      <c r="F41" s="2">
        <f t="shared" si="3"/>
        <v>4244.6053530424115</v>
      </c>
      <c r="G41" s="3">
        <f>INDEX('[3]TSX CĐ 2026'!$B$74:$O$78,4, MATCH($B$35,'[3]TSX CĐ 2026'!$B$73:$O$73,0))</f>
        <v>8.1658113760535525</v>
      </c>
      <c r="H41" s="2">
        <f>INDEX('[3]TSX CĐ 2026'!$B$74:$O$78,5, MATCH($B$35,'[3]TSX CĐ 2026'!$B$73:$O$73,0))</f>
        <v>50.531016107647758</v>
      </c>
      <c r="N41" s="4" t="s">
        <v>8</v>
      </c>
      <c r="O41" s="4">
        <f>INDEX('[1]TONG HOP'!$E$3:$P$42,7,MATCH($A41,'[1]TONG HOP'!$E$2:$P$2,0))</f>
        <v>21</v>
      </c>
      <c r="P41" s="3">
        <f>INDEX('[3]TSX CĐ 2026'!$B$74:$O$78,1, MATCH($O$35,'[3]TSX CĐ 2026'!$B$73:$O$73,0))</f>
        <v>2.9239726688871683</v>
      </c>
      <c r="Q41" s="3">
        <f>INDEX('[3]TSX CĐ 2026'!$B$74:$O$78,2, MATCH($O$35,'[3]TSX CĐ 2026'!$B$73:$O$73,0))</f>
        <v>75.261103433630751</v>
      </c>
      <c r="R41" s="2">
        <f t="shared" si="4"/>
        <v>61.403426046630535</v>
      </c>
      <c r="S41" s="2">
        <f t="shared" si="5"/>
        <v>1580.4831721062458</v>
      </c>
      <c r="T41" s="3">
        <f>INDEX('[3]TSX CĐ 2026'!$B$74:$O$78,4, MATCH($O$35,'[3]TSX CĐ 2026'!$B$73:$O$73,0))</f>
        <v>2.9239726688871683</v>
      </c>
      <c r="U41" s="2">
        <f>INDEX('[3]TSX CĐ 2026'!$B$74:$O$78,5, MATCH($O$35,'[3]TSX CĐ 2026'!$B$73:$O$73,0))</f>
        <v>75.261103433630751</v>
      </c>
    </row>
    <row r="42" spans="1:21" ht="15.75" x14ac:dyDescent="0.25">
      <c r="A42" s="4" t="s">
        <v>7</v>
      </c>
      <c r="B42" s="4">
        <f>INDEX('[1]TONG HOP'!$E$3:$P$42,7,MATCH($A42,'[1]TONG HOP'!$E$2:$P$2,0))</f>
        <v>20</v>
      </c>
      <c r="C42" s="3">
        <f>INDEX('[3]TSX CĐ 2026'!$B$74:$O$78,1, MATCH($B$35,'[3]TSX CĐ 2026'!$B$73:$O$73,0))</f>
        <v>32.66324550421421</v>
      </c>
      <c r="D42" s="3">
        <f>INDEX('[3]TSX CĐ 2026'!$B$74:$O$78,2, MATCH($A$20,'[3]TSX CĐ 2026'!$B$73:$O$73,0))</f>
        <v>202.12406443059103</v>
      </c>
      <c r="E42" s="2">
        <f t="shared" si="2"/>
        <v>653.26491008428422</v>
      </c>
      <c r="F42" s="2">
        <f t="shared" si="3"/>
        <v>4042.4812886118207</v>
      </c>
      <c r="G42" s="3">
        <f>INDEX('[3]TSX CĐ 2026'!$B$74:$O$78,4, MATCH($B$35,'[3]TSX CĐ 2026'!$B$73:$O$73,0))</f>
        <v>8.1658113760535525</v>
      </c>
      <c r="H42" s="2">
        <f>INDEX('[3]TSX CĐ 2026'!$B$74:$O$78,5, MATCH($B$35,'[3]TSX CĐ 2026'!$B$73:$O$73,0))</f>
        <v>50.531016107647758</v>
      </c>
      <c r="N42" s="4" t="s">
        <v>7</v>
      </c>
      <c r="O42" s="4">
        <f>INDEX('[1]TONG HOP'!$E$3:$P$42,7,MATCH($A42,'[1]TONG HOP'!$E$2:$P$2,0))</f>
        <v>20</v>
      </c>
      <c r="P42" s="3">
        <f>INDEX('[3]TSX CĐ 2026'!$B$74:$O$78,1, MATCH($O$35,'[3]TSX CĐ 2026'!$B$73:$O$73,0))</f>
        <v>2.9239726688871683</v>
      </c>
      <c r="Q42" s="3">
        <f>INDEX('[3]TSX CĐ 2026'!$B$74:$O$78,2, MATCH($O$35,'[3]TSX CĐ 2026'!$B$73:$O$73,0))</f>
        <v>75.261103433630751</v>
      </c>
      <c r="R42" s="2">
        <f t="shared" si="4"/>
        <v>58.479453377743368</v>
      </c>
      <c r="S42" s="2">
        <f t="shared" si="5"/>
        <v>1505.222068672615</v>
      </c>
      <c r="T42" s="3">
        <f>INDEX('[3]TSX CĐ 2026'!$B$74:$O$78,4, MATCH($O$35,'[3]TSX CĐ 2026'!$B$73:$O$73,0))</f>
        <v>2.9239726688871683</v>
      </c>
      <c r="U42" s="2">
        <f>INDEX('[3]TSX CĐ 2026'!$B$74:$O$78,5, MATCH($O$35,'[3]TSX CĐ 2026'!$B$73:$O$73,0))</f>
        <v>75.261103433630751</v>
      </c>
    </row>
    <row r="43" spans="1:21" ht="15.75" x14ac:dyDescent="0.25">
      <c r="A43" s="4" t="s">
        <v>6</v>
      </c>
      <c r="B43" s="4">
        <f>INDEX('[1]TONG HOP'!$E$3:$P$42,7,MATCH($A43,'[1]TONG HOP'!$E$2:$P$2,0))</f>
        <v>22</v>
      </c>
      <c r="C43" s="3">
        <f>INDEX('[3]TSX CĐ 2026'!$B$74:$O$78,1, MATCH($B$35,'[3]TSX CĐ 2026'!$B$73:$O$73,0))</f>
        <v>32.66324550421421</v>
      </c>
      <c r="D43" s="3">
        <f>INDEX('[3]TSX CĐ 2026'!$B$74:$O$78,2, MATCH($A$20,'[3]TSX CĐ 2026'!$B$73:$O$73,0))</f>
        <v>202.12406443059103</v>
      </c>
      <c r="E43" s="2">
        <f t="shared" si="2"/>
        <v>718.59140109271266</v>
      </c>
      <c r="F43" s="2">
        <f t="shared" si="3"/>
        <v>4446.7294174730032</v>
      </c>
      <c r="G43" s="3">
        <f>INDEX('[3]TSX CĐ 2026'!$B$74:$O$78,4, MATCH($B$35,'[3]TSX CĐ 2026'!$B$73:$O$73,0))</f>
        <v>8.1658113760535525</v>
      </c>
      <c r="H43" s="2">
        <f>INDEX('[3]TSX CĐ 2026'!$B$74:$O$78,5, MATCH($B$35,'[3]TSX CĐ 2026'!$B$73:$O$73,0))</f>
        <v>50.531016107647758</v>
      </c>
      <c r="N43" s="4" t="s">
        <v>6</v>
      </c>
      <c r="O43" s="4">
        <f>INDEX('[1]TONG HOP'!$E$3:$P$42,7,MATCH($A43,'[1]TONG HOP'!$E$2:$P$2,0))</f>
        <v>22</v>
      </c>
      <c r="P43" s="3">
        <f>INDEX('[3]TSX CĐ 2026'!$B$74:$O$78,1, MATCH($O$35,'[3]TSX CĐ 2026'!$B$73:$O$73,0))</f>
        <v>2.9239726688871683</v>
      </c>
      <c r="Q43" s="3">
        <f>INDEX('[3]TSX CĐ 2026'!$B$74:$O$78,2, MATCH($O$35,'[3]TSX CĐ 2026'!$B$73:$O$73,0))</f>
        <v>75.261103433630751</v>
      </c>
      <c r="R43" s="2">
        <f t="shared" si="4"/>
        <v>64.327398715517702</v>
      </c>
      <c r="S43" s="2">
        <f t="shared" si="5"/>
        <v>1655.7442755398765</v>
      </c>
      <c r="T43" s="3">
        <f>INDEX('[3]TSX CĐ 2026'!$B$74:$O$78,4, MATCH($O$35,'[3]TSX CĐ 2026'!$B$73:$O$73,0))</f>
        <v>2.9239726688871683</v>
      </c>
      <c r="U43" s="2">
        <f>INDEX('[3]TSX CĐ 2026'!$B$74:$O$78,5, MATCH($O$35,'[3]TSX CĐ 2026'!$B$73:$O$73,0))</f>
        <v>75.261103433630751</v>
      </c>
    </row>
    <row r="44" spans="1:21" ht="15.75" x14ac:dyDescent="0.25">
      <c r="A44" s="4" t="s">
        <v>5</v>
      </c>
      <c r="B44" s="4">
        <f>INDEX('[1]TONG HOP'!$E$3:$P$42,7,MATCH($A44,'[1]TONG HOP'!$E$2:$P$2,0))</f>
        <v>23</v>
      </c>
      <c r="C44" s="3">
        <f>INDEX('[3]TSX CĐ 2026'!$B$74:$O$78,1, MATCH($B$35,'[3]TSX CĐ 2026'!$B$73:$O$73,0))</f>
        <v>32.66324550421421</v>
      </c>
      <c r="D44" s="3">
        <f>INDEX('[3]TSX CĐ 2026'!$B$74:$O$78,2, MATCH($A$20,'[3]TSX CĐ 2026'!$B$73:$O$73,0))</f>
        <v>202.12406443059103</v>
      </c>
      <c r="E44" s="2">
        <f t="shared" si="2"/>
        <v>751.25464659692682</v>
      </c>
      <c r="F44" s="2">
        <f t="shared" si="3"/>
        <v>4648.853481903594</v>
      </c>
      <c r="G44" s="3">
        <f>INDEX('[3]TSX CĐ 2026'!$B$74:$O$78,4, MATCH($B$35,'[3]TSX CĐ 2026'!$B$73:$O$73,0))</f>
        <v>8.1658113760535525</v>
      </c>
      <c r="H44" s="2">
        <f>INDEX('[3]TSX CĐ 2026'!$B$74:$O$78,5, MATCH($B$35,'[3]TSX CĐ 2026'!$B$73:$O$73,0))</f>
        <v>50.531016107647758</v>
      </c>
      <c r="N44" s="4" t="s">
        <v>5</v>
      </c>
      <c r="O44" s="4">
        <f>INDEX('[1]TONG HOP'!$E$3:$P$42,7,MATCH($A44,'[1]TONG HOP'!$E$2:$P$2,0))</f>
        <v>23</v>
      </c>
      <c r="P44" s="3">
        <f>INDEX('[3]TSX CĐ 2026'!$B$74:$O$78,1, MATCH($O$35,'[3]TSX CĐ 2026'!$B$73:$O$73,0))</f>
        <v>2.9239726688871683</v>
      </c>
      <c r="Q44" s="3">
        <f>INDEX('[3]TSX CĐ 2026'!$B$74:$O$78,2, MATCH($O$35,'[3]TSX CĐ 2026'!$B$73:$O$73,0))</f>
        <v>75.261103433630751</v>
      </c>
      <c r="R44" s="2">
        <f t="shared" si="4"/>
        <v>67.251371384404877</v>
      </c>
      <c r="S44" s="2">
        <f t="shared" si="5"/>
        <v>1731.0053789735073</v>
      </c>
      <c r="T44" s="3">
        <f>INDEX('[3]TSX CĐ 2026'!$B$74:$O$78,4, MATCH($O$35,'[3]TSX CĐ 2026'!$B$73:$O$73,0))</f>
        <v>2.9239726688871683</v>
      </c>
      <c r="U44" s="2">
        <f>INDEX('[3]TSX CĐ 2026'!$B$74:$O$78,5, MATCH($O$35,'[3]TSX CĐ 2026'!$B$73:$O$73,0))</f>
        <v>75.261103433630751</v>
      </c>
    </row>
    <row r="45" spans="1:21" ht="15.75" x14ac:dyDescent="0.25">
      <c r="A45" s="4" t="s">
        <v>4</v>
      </c>
      <c r="B45" s="4">
        <f>INDEX('[1]TONG HOP'!$E$3:$P$42,7,MATCH($A45,'[1]TONG HOP'!$E$2:$P$2,0))</f>
        <v>21</v>
      </c>
      <c r="C45" s="3">
        <f>INDEX('[3]TSX CĐ 2026'!$B$74:$O$78,1, MATCH($B$35,'[3]TSX CĐ 2026'!$B$73:$O$73,0))</f>
        <v>32.66324550421421</v>
      </c>
      <c r="D45" s="3">
        <f>INDEX('[3]TSX CĐ 2026'!$B$74:$O$78,2, MATCH($A$20,'[3]TSX CĐ 2026'!$B$73:$O$73,0))</f>
        <v>202.12406443059103</v>
      </c>
      <c r="E45" s="2">
        <f t="shared" si="2"/>
        <v>685.92815558849838</v>
      </c>
      <c r="F45" s="2">
        <f t="shared" si="3"/>
        <v>4244.6053530424115</v>
      </c>
      <c r="G45" s="3">
        <f>INDEX('[3]TSX CĐ 2026'!$B$74:$O$78,4, MATCH($B$35,'[3]TSX CĐ 2026'!$B$73:$O$73,0))</f>
        <v>8.1658113760535525</v>
      </c>
      <c r="H45" s="2">
        <f>INDEX('[3]TSX CĐ 2026'!$B$74:$O$78,5, MATCH($B$35,'[3]TSX CĐ 2026'!$B$73:$O$73,0))</f>
        <v>50.531016107647758</v>
      </c>
      <c r="N45" s="4" t="s">
        <v>4</v>
      </c>
      <c r="O45" s="4">
        <f>INDEX('[1]TONG HOP'!$E$3:$P$42,7,MATCH($A45,'[1]TONG HOP'!$E$2:$P$2,0))</f>
        <v>21</v>
      </c>
      <c r="P45" s="3">
        <f>INDEX('[3]TSX CĐ 2026'!$B$74:$O$78,1, MATCH($O$35,'[3]TSX CĐ 2026'!$B$73:$O$73,0))</f>
        <v>2.9239726688871683</v>
      </c>
      <c r="Q45" s="3">
        <f>INDEX('[3]TSX CĐ 2026'!$B$74:$O$78,2, MATCH($O$35,'[3]TSX CĐ 2026'!$B$73:$O$73,0))</f>
        <v>75.261103433630751</v>
      </c>
      <c r="R45" s="2">
        <f t="shared" si="4"/>
        <v>61.403426046630535</v>
      </c>
      <c r="S45" s="2">
        <f t="shared" si="5"/>
        <v>1580.4831721062458</v>
      </c>
      <c r="T45" s="3">
        <f>INDEX('[3]TSX CĐ 2026'!$B$74:$O$78,4, MATCH($O$35,'[3]TSX CĐ 2026'!$B$73:$O$73,0))</f>
        <v>2.9239726688871683</v>
      </c>
      <c r="U45" s="2">
        <f>INDEX('[3]TSX CĐ 2026'!$B$74:$O$78,5, MATCH($O$35,'[3]TSX CĐ 2026'!$B$73:$O$73,0))</f>
        <v>75.261103433630751</v>
      </c>
    </row>
    <row r="46" spans="1:21" ht="15.75" x14ac:dyDescent="0.25">
      <c r="A46" s="4" t="s">
        <v>3</v>
      </c>
      <c r="B46" s="4">
        <f>INDEX('[1]TONG HOP'!$E$3:$P$42,7,MATCH($A46,'[1]TONG HOP'!$E$2:$P$2,0))</f>
        <v>21</v>
      </c>
      <c r="C46" s="3">
        <f>INDEX('[3]TSX CĐ 2026'!$B$74:$O$78,1, MATCH($B$35,'[3]TSX CĐ 2026'!$B$73:$O$73,0))</f>
        <v>32.66324550421421</v>
      </c>
      <c r="D46" s="3">
        <f>INDEX('[3]TSX CĐ 2026'!$B$74:$O$78,2, MATCH($A$20,'[3]TSX CĐ 2026'!$B$73:$O$73,0))</f>
        <v>202.12406443059103</v>
      </c>
      <c r="E46" s="2">
        <f t="shared" si="2"/>
        <v>685.92815558849838</v>
      </c>
      <c r="F46" s="2">
        <f t="shared" si="3"/>
        <v>4244.6053530424115</v>
      </c>
      <c r="G46" s="3">
        <f>INDEX('[3]TSX CĐ 2026'!$B$74:$O$78,4, MATCH($B$35,'[3]TSX CĐ 2026'!$B$73:$O$73,0))</f>
        <v>8.1658113760535525</v>
      </c>
      <c r="H46" s="2">
        <f>INDEX('[3]TSX CĐ 2026'!$B$74:$O$78,5, MATCH($B$35,'[3]TSX CĐ 2026'!$B$73:$O$73,0))</f>
        <v>50.531016107647758</v>
      </c>
      <c r="N46" s="4" t="s">
        <v>3</v>
      </c>
      <c r="O46" s="4">
        <f>INDEX('[1]TONG HOP'!$E$3:$P$42,7,MATCH($A46,'[1]TONG HOP'!$E$2:$P$2,0))</f>
        <v>21</v>
      </c>
      <c r="P46" s="3">
        <f>INDEX('[3]TSX CĐ 2026'!$B$74:$O$78,1, MATCH($O$35,'[3]TSX CĐ 2026'!$B$73:$O$73,0))</f>
        <v>2.9239726688871683</v>
      </c>
      <c r="Q46" s="3">
        <f>INDEX('[3]TSX CĐ 2026'!$B$74:$O$78,2, MATCH($O$35,'[3]TSX CĐ 2026'!$B$73:$O$73,0))</f>
        <v>75.261103433630751</v>
      </c>
      <c r="R46" s="2">
        <f t="shared" si="4"/>
        <v>61.403426046630535</v>
      </c>
      <c r="S46" s="2">
        <f t="shared" si="5"/>
        <v>1580.4831721062458</v>
      </c>
      <c r="T46" s="3">
        <f>INDEX('[3]TSX CĐ 2026'!$B$74:$O$78,4, MATCH($O$35,'[3]TSX CĐ 2026'!$B$73:$O$73,0))</f>
        <v>2.9239726688871683</v>
      </c>
      <c r="U46" s="2">
        <f>INDEX('[3]TSX CĐ 2026'!$B$74:$O$78,5, MATCH($O$35,'[3]TSX CĐ 2026'!$B$73:$O$73,0))</f>
        <v>75.261103433630751</v>
      </c>
    </row>
    <row r="47" spans="1:21" ht="15.75" x14ac:dyDescent="0.25">
      <c r="A47" s="4" t="s">
        <v>2</v>
      </c>
      <c r="B47" s="4">
        <f>INDEX('[1]TONG HOP'!$E$3:$P$42,7,MATCH($A47,'[1]TONG HOP'!$E$2:$P$2,0))</f>
        <v>22</v>
      </c>
      <c r="C47" s="3">
        <f>INDEX('[3]TSX CĐ 2026'!$B$74:$O$78,1, MATCH($B$35,'[3]TSX CĐ 2026'!$B$73:$O$73,0))</f>
        <v>32.66324550421421</v>
      </c>
      <c r="D47" s="3">
        <f>INDEX('[3]TSX CĐ 2026'!$B$74:$O$78,2, MATCH($A$20,'[3]TSX CĐ 2026'!$B$73:$O$73,0))</f>
        <v>202.12406443059103</v>
      </c>
      <c r="E47" s="2">
        <f t="shared" si="2"/>
        <v>718.59140109271266</v>
      </c>
      <c r="F47" s="2">
        <f t="shared" si="3"/>
        <v>4446.7294174730032</v>
      </c>
      <c r="G47" s="3">
        <f>INDEX('[3]TSX CĐ 2026'!$B$74:$O$78,4, MATCH($B$35,'[3]TSX CĐ 2026'!$B$73:$O$73,0))</f>
        <v>8.1658113760535525</v>
      </c>
      <c r="H47" s="2">
        <f>INDEX('[3]TSX CĐ 2026'!$B$74:$O$78,5, MATCH($B$35,'[3]TSX CĐ 2026'!$B$73:$O$73,0))</f>
        <v>50.531016107647758</v>
      </c>
      <c r="N47" s="4" t="s">
        <v>2</v>
      </c>
      <c r="O47" s="4">
        <f>INDEX('[1]TONG HOP'!$E$3:$P$42,7,MATCH($A47,'[1]TONG HOP'!$E$2:$P$2,0))</f>
        <v>22</v>
      </c>
      <c r="P47" s="3">
        <f>INDEX('[3]TSX CĐ 2026'!$B$74:$O$78,1, MATCH($O$35,'[3]TSX CĐ 2026'!$B$73:$O$73,0))</f>
        <v>2.9239726688871683</v>
      </c>
      <c r="Q47" s="3">
        <f>INDEX('[3]TSX CĐ 2026'!$B$74:$O$78,2, MATCH($O$35,'[3]TSX CĐ 2026'!$B$73:$O$73,0))</f>
        <v>75.261103433630751</v>
      </c>
      <c r="R47" s="2">
        <f t="shared" si="4"/>
        <v>64.327398715517702</v>
      </c>
      <c r="S47" s="2">
        <f t="shared" si="5"/>
        <v>1655.7442755398765</v>
      </c>
      <c r="T47" s="3">
        <f>INDEX('[3]TSX CĐ 2026'!$B$74:$O$78,4, MATCH($O$35,'[3]TSX CĐ 2026'!$B$73:$O$73,0))</f>
        <v>2.9239726688871683</v>
      </c>
      <c r="U47" s="2">
        <f>INDEX('[3]TSX CĐ 2026'!$B$74:$O$78,5, MATCH($O$35,'[3]TSX CĐ 2026'!$B$73:$O$73,0))</f>
        <v>75.261103433630751</v>
      </c>
    </row>
    <row r="48" spans="1:21" ht="15.75" x14ac:dyDescent="0.25">
      <c r="A48" s="4" t="s">
        <v>1</v>
      </c>
      <c r="B48" s="4">
        <f>INDEX('[1]TONG HOP'!$E$3:$P$42,7,MATCH($A48,'[1]TONG HOP'!$E$2:$P$2,0))</f>
        <v>21</v>
      </c>
      <c r="C48" s="3">
        <f>INDEX('[3]TSX CĐ 2026'!$B$74:$O$78,1, MATCH($B$35,'[3]TSX CĐ 2026'!$B$73:$O$73,0))</f>
        <v>32.66324550421421</v>
      </c>
      <c r="D48" s="3">
        <f>INDEX('[3]TSX CĐ 2026'!$B$74:$O$78,2, MATCH($A$20,'[3]TSX CĐ 2026'!$B$73:$O$73,0))</f>
        <v>202.12406443059103</v>
      </c>
      <c r="E48" s="2">
        <f t="shared" si="2"/>
        <v>685.92815558849838</v>
      </c>
      <c r="F48" s="2">
        <f t="shared" si="3"/>
        <v>4244.6053530424115</v>
      </c>
      <c r="G48" s="3">
        <f>INDEX('[3]TSX CĐ 2026'!$B$74:$O$78,4, MATCH($B$35,'[3]TSX CĐ 2026'!$B$73:$O$73,0))</f>
        <v>8.1658113760535525</v>
      </c>
      <c r="H48" s="2">
        <f>INDEX('[3]TSX CĐ 2026'!$B$74:$O$78,5, MATCH($B$35,'[3]TSX CĐ 2026'!$B$73:$O$73,0))</f>
        <v>50.531016107647758</v>
      </c>
      <c r="N48" s="4" t="s">
        <v>1</v>
      </c>
      <c r="O48" s="4">
        <f>INDEX('[1]TONG HOP'!$E$3:$P$42,7,MATCH($A48,'[1]TONG HOP'!$E$2:$P$2,0))</f>
        <v>21</v>
      </c>
      <c r="P48" s="3">
        <f>INDEX('[3]TSX CĐ 2026'!$B$74:$O$78,1, MATCH($O$35,'[3]TSX CĐ 2026'!$B$73:$O$73,0))</f>
        <v>2.9239726688871683</v>
      </c>
      <c r="Q48" s="3">
        <f>INDEX('[3]TSX CĐ 2026'!$B$74:$O$78,2, MATCH($O$35,'[3]TSX CĐ 2026'!$B$73:$O$73,0))</f>
        <v>75.261103433630751</v>
      </c>
      <c r="R48" s="2">
        <f t="shared" si="4"/>
        <v>61.403426046630535</v>
      </c>
      <c r="S48" s="2">
        <f t="shared" si="5"/>
        <v>1580.4831721062458</v>
      </c>
      <c r="T48" s="3">
        <f>INDEX('[3]TSX CĐ 2026'!$B$74:$O$78,4, MATCH($O$35,'[3]TSX CĐ 2026'!$B$73:$O$73,0))</f>
        <v>2.9239726688871683</v>
      </c>
      <c r="U48" s="2">
        <f>INDEX('[3]TSX CĐ 2026'!$B$74:$O$78,5, MATCH($O$35,'[3]TSX CĐ 2026'!$B$73:$O$73,0))</f>
        <v>75.261103433630751</v>
      </c>
    </row>
    <row r="49" spans="1:21" ht="15.75" x14ac:dyDescent="0.25">
      <c r="A49" s="4" t="s">
        <v>0</v>
      </c>
      <c r="B49" s="4">
        <f>INDEX('[1]TONG HOP'!$E$3:$P$42,7,MATCH($A49,'[1]TONG HOP'!$E$2:$P$2,0))</f>
        <v>22</v>
      </c>
      <c r="C49" s="3">
        <f>INDEX('[3]TSX CĐ 2026'!$B$74:$O$78,1, MATCH($B$35,'[3]TSX CĐ 2026'!$B$73:$O$73,0))</f>
        <v>32.66324550421421</v>
      </c>
      <c r="D49" s="3">
        <f>INDEX('[3]TSX CĐ 2026'!$B$74:$O$78,2, MATCH($A$20,'[3]TSX CĐ 2026'!$B$73:$O$73,0))</f>
        <v>202.12406443059103</v>
      </c>
      <c r="E49" s="2">
        <f t="shared" si="2"/>
        <v>718.59140109271266</v>
      </c>
      <c r="F49" s="2">
        <f t="shared" si="3"/>
        <v>4446.7294174730032</v>
      </c>
      <c r="G49" s="3">
        <f>INDEX('[3]TSX CĐ 2026'!$B$74:$O$78,4, MATCH($B$35,'[3]TSX CĐ 2026'!$B$73:$O$73,0))</f>
        <v>8.1658113760535525</v>
      </c>
      <c r="H49" s="2">
        <f>INDEX('[3]TSX CĐ 2026'!$B$74:$O$78,5, MATCH($B$35,'[3]TSX CĐ 2026'!$B$73:$O$73,0))</f>
        <v>50.531016107647758</v>
      </c>
      <c r="N49" s="4" t="s">
        <v>0</v>
      </c>
      <c r="O49" s="4">
        <f>INDEX('[1]TONG HOP'!$E$3:$P$42,7,MATCH($A49,'[1]TONG HOP'!$E$2:$P$2,0))</f>
        <v>22</v>
      </c>
      <c r="P49" s="3">
        <f>INDEX('[3]TSX CĐ 2026'!$B$74:$O$78,1, MATCH($O$35,'[3]TSX CĐ 2026'!$B$73:$O$73,0))</f>
        <v>2.9239726688871683</v>
      </c>
      <c r="Q49" s="3">
        <f>INDEX('[3]TSX CĐ 2026'!$B$74:$O$78,2, MATCH($O$35,'[3]TSX CĐ 2026'!$B$73:$O$73,0))</f>
        <v>75.261103433630751</v>
      </c>
      <c r="R49" s="2">
        <f t="shared" si="4"/>
        <v>64.327398715517702</v>
      </c>
      <c r="S49" s="2">
        <f t="shared" si="5"/>
        <v>1655.7442755398765</v>
      </c>
      <c r="T49" s="3">
        <f>INDEX('[3]TSX CĐ 2026'!$B$74:$O$78,4, MATCH($O$35,'[3]TSX CĐ 2026'!$B$73:$O$73,0))</f>
        <v>2.9239726688871683</v>
      </c>
      <c r="U49" s="2">
        <f>INDEX('[3]TSX CĐ 2026'!$B$74:$O$78,5, MATCH($O$35,'[3]TSX CĐ 2026'!$B$73:$O$73,0))</f>
        <v>75.261103433630751</v>
      </c>
    </row>
    <row r="52" spans="1:21" ht="15.75" x14ac:dyDescent="0.25">
      <c r="A52" s="4" t="s">
        <v>21</v>
      </c>
      <c r="B52" s="6" t="s">
        <v>32</v>
      </c>
      <c r="N52" s="4" t="s">
        <v>21</v>
      </c>
      <c r="O52" s="6" t="s">
        <v>31</v>
      </c>
    </row>
    <row r="54" spans="1:21" ht="47.25" x14ac:dyDescent="0.25">
      <c r="A54" s="5" t="s">
        <v>19</v>
      </c>
      <c r="B54" s="5" t="s">
        <v>18</v>
      </c>
      <c r="C54" s="5" t="s">
        <v>17</v>
      </c>
      <c r="D54" s="5" t="s">
        <v>16</v>
      </c>
      <c r="E54" s="5" t="s">
        <v>15</v>
      </c>
      <c r="F54" s="5" t="s">
        <v>14</v>
      </c>
      <c r="G54" s="5" t="s">
        <v>13</v>
      </c>
      <c r="H54" s="5" t="s">
        <v>12</v>
      </c>
      <c r="N54" s="5" t="s">
        <v>19</v>
      </c>
      <c r="O54" s="5" t="s">
        <v>18</v>
      </c>
      <c r="P54" s="5" t="s">
        <v>17</v>
      </c>
      <c r="Q54" s="5" t="s">
        <v>16</v>
      </c>
      <c r="R54" s="5" t="s">
        <v>15</v>
      </c>
      <c r="S54" s="5" t="s">
        <v>14</v>
      </c>
      <c r="T54" s="5" t="s">
        <v>13</v>
      </c>
      <c r="U54" s="5" t="s">
        <v>12</v>
      </c>
    </row>
    <row r="55" spans="1:21" ht="15.75" x14ac:dyDescent="0.25">
      <c r="A55" s="4" t="s">
        <v>11</v>
      </c>
      <c r="B55" s="4">
        <f>INDEX('[1]TONG HOP'!$E$3:$P$42,7,MATCH($A55,'[1]TONG HOP'!$E$2:$P$2,0))</f>
        <v>22</v>
      </c>
      <c r="C55" s="3">
        <f>INDEX('[3]TSX CĐ 2026'!$B$74:$O$78,1, MATCH($B$52,'[3]TSX CĐ 2026'!$B$73:$O$73,0))</f>
        <v>19.909988872478355</v>
      </c>
      <c r="D55" s="3">
        <f>INDEX('[3]TSX CĐ 2026'!$B$74:$O$78,2, MATCH($B$52,'[3]TSX CĐ 2026'!$B$73:$O$73,0))</f>
        <v>106.49805942127759</v>
      </c>
      <c r="E55" s="2">
        <f t="shared" ref="E55:E66" si="6">C55*B55</f>
        <v>438.01975519452378</v>
      </c>
      <c r="F55" s="2">
        <f t="shared" ref="F55:F66" si="7">D55*B55</f>
        <v>2342.9573072681069</v>
      </c>
      <c r="G55" s="3">
        <f>INDEX('[3]TSX CĐ 2026'!$B$74:$O$78,4, MATCH($B$52,'[3]TSX CĐ 2026'!$B$73:$O$73,0))</f>
        <v>9.9549944362391773</v>
      </c>
      <c r="H55" s="2">
        <f>INDEX('[3]TSX CĐ 2026'!$B$74:$O$78,5, MATCH($B$52,'[3]TSX CĐ 2026'!$B$73:$O$73,0))</f>
        <v>53.249029710638794</v>
      </c>
      <c r="N55" s="4" t="s">
        <v>11</v>
      </c>
      <c r="O55" s="4">
        <f>INDEX('[1]TONG HOP'!$E$3:$P$42,7,MATCH($A55,'[1]TONG HOP'!$E$2:$P$2,0))</f>
        <v>22</v>
      </c>
      <c r="P55" s="3">
        <f>INDEX('[3]TSX CĐ 2026'!$B$74:$O$78,1, MATCH($O$52,'[3]TSX CĐ 2026'!$B$73:$O$73,0))</f>
        <v>4.0640539805310443</v>
      </c>
      <c r="Q55" s="3">
        <f>INDEX('[3]TSX CĐ 2026'!$B$74:$O$78,2, MATCH($O$52,'[3]TSX CĐ 2026'!$B$73:$O$73,0))</f>
        <v>10.459594929622718</v>
      </c>
      <c r="R55" s="2">
        <f t="shared" ref="R55:R66" si="8">P55*O55</f>
        <v>89.409187571682978</v>
      </c>
      <c r="S55" s="2">
        <f t="shared" ref="S55:S66" si="9">Q55*O55</f>
        <v>230.1110884516998</v>
      </c>
      <c r="T55" s="3">
        <f>INDEX('[3]TSX CĐ 2026'!$B$74:$O$78,4, MATCH($O$52,'[3]TSX CĐ 2026'!$B$73:$O$73,0))</f>
        <v>2.0320269902655221</v>
      </c>
      <c r="U55" s="2">
        <f>INDEX('[3]TSX CĐ 2026'!$B$74:$O$78,5, MATCH($O$52,'[3]TSX CĐ 2026'!$B$73:$O$73,0))</f>
        <v>5.2297974648113588</v>
      </c>
    </row>
    <row r="56" spans="1:21" ht="15.75" x14ac:dyDescent="0.25">
      <c r="A56" s="4" t="s">
        <v>10</v>
      </c>
      <c r="B56" s="4">
        <f>INDEX('[1]TONG HOP'!$E$3:$P$42,7,MATCH($A56,'[1]TONG HOP'!$E$2:$P$2,0))</f>
        <v>15</v>
      </c>
      <c r="C56" s="3">
        <f>INDEX('[3]TSX CĐ 2026'!$B$74:$O$78,1, MATCH($B$52,'[3]TSX CĐ 2026'!$B$73:$O$73,0))</f>
        <v>19.909988872478355</v>
      </c>
      <c r="D56" s="3">
        <f>INDEX('[3]TSX CĐ 2026'!$B$74:$O$78,2, MATCH($B$52,'[3]TSX CĐ 2026'!$B$73:$O$73,0))</f>
        <v>106.49805942127759</v>
      </c>
      <c r="E56" s="2">
        <f t="shared" si="6"/>
        <v>298.6498330871753</v>
      </c>
      <c r="F56" s="2">
        <f t="shared" si="7"/>
        <v>1597.4708913191639</v>
      </c>
      <c r="G56" s="3">
        <f>INDEX('[3]TSX CĐ 2026'!$B$74:$O$78,4, MATCH($B$52,'[3]TSX CĐ 2026'!$B$73:$O$73,0))</f>
        <v>9.9549944362391773</v>
      </c>
      <c r="H56" s="2">
        <f>INDEX('[3]TSX CĐ 2026'!$B$74:$O$78,5, MATCH($B$52,'[3]TSX CĐ 2026'!$B$73:$O$73,0))</f>
        <v>53.249029710638794</v>
      </c>
      <c r="N56" s="4" t="s">
        <v>10</v>
      </c>
      <c r="O56" s="4">
        <f>INDEX('[1]TONG HOP'!$E$3:$P$42,7,MATCH($A56,'[1]TONG HOP'!$E$2:$P$2,0))</f>
        <v>15</v>
      </c>
      <c r="P56" s="3">
        <f>INDEX('[3]TSX CĐ 2026'!$B$74:$O$78,1, MATCH($O$52,'[3]TSX CĐ 2026'!$B$73:$O$73,0))</f>
        <v>4.0640539805310443</v>
      </c>
      <c r="Q56" s="3">
        <f>INDEX('[3]TSX CĐ 2026'!$B$74:$O$78,2, MATCH($O$52,'[3]TSX CĐ 2026'!$B$73:$O$73,0))</f>
        <v>10.459594929622718</v>
      </c>
      <c r="R56" s="2">
        <f t="shared" si="8"/>
        <v>60.960809707965666</v>
      </c>
      <c r="S56" s="2">
        <f t="shared" si="9"/>
        <v>156.89392394434077</v>
      </c>
      <c r="T56" s="3">
        <f>INDEX('[3]TSX CĐ 2026'!$B$74:$O$78,4, MATCH($O$52,'[3]TSX CĐ 2026'!$B$73:$O$73,0))</f>
        <v>2.0320269902655221</v>
      </c>
      <c r="U56" s="2">
        <f>INDEX('[3]TSX CĐ 2026'!$B$74:$O$78,5, MATCH($O$52,'[3]TSX CĐ 2026'!$B$73:$O$73,0))</f>
        <v>5.2297974648113588</v>
      </c>
    </row>
    <row r="57" spans="1:21" ht="15.75" x14ac:dyDescent="0.25">
      <c r="A57" s="4" t="s">
        <v>9</v>
      </c>
      <c r="B57" s="4">
        <f>INDEX('[1]TONG HOP'!$E$3:$P$42,7,MATCH($A57,'[1]TONG HOP'!$E$2:$P$2,0))</f>
        <v>22</v>
      </c>
      <c r="C57" s="3">
        <f>INDEX('[3]TSX CĐ 2026'!$B$74:$O$78,1, MATCH($B$52,'[3]TSX CĐ 2026'!$B$73:$O$73,0))</f>
        <v>19.909988872478355</v>
      </c>
      <c r="D57" s="3">
        <f>INDEX('[3]TSX CĐ 2026'!$B$74:$O$78,2, MATCH($B$52,'[3]TSX CĐ 2026'!$B$73:$O$73,0))</f>
        <v>106.49805942127759</v>
      </c>
      <c r="E57" s="2">
        <f t="shared" si="6"/>
        <v>438.01975519452378</v>
      </c>
      <c r="F57" s="2">
        <f t="shared" si="7"/>
        <v>2342.9573072681069</v>
      </c>
      <c r="G57" s="3">
        <f>INDEX('[3]TSX CĐ 2026'!$B$74:$O$78,4, MATCH($B$52,'[3]TSX CĐ 2026'!$B$73:$O$73,0))</f>
        <v>9.9549944362391773</v>
      </c>
      <c r="H57" s="2">
        <f>INDEX('[3]TSX CĐ 2026'!$B$74:$O$78,5, MATCH($B$52,'[3]TSX CĐ 2026'!$B$73:$O$73,0))</f>
        <v>53.249029710638794</v>
      </c>
      <c r="N57" s="4" t="s">
        <v>9</v>
      </c>
      <c r="O57" s="4">
        <f>INDEX('[1]TONG HOP'!$E$3:$P$42,7,MATCH($A57,'[1]TONG HOP'!$E$2:$P$2,0))</f>
        <v>22</v>
      </c>
      <c r="P57" s="3">
        <f>INDEX('[3]TSX CĐ 2026'!$B$74:$O$78,1, MATCH($O$52,'[3]TSX CĐ 2026'!$B$73:$O$73,0))</f>
        <v>4.0640539805310443</v>
      </c>
      <c r="Q57" s="3">
        <f>INDEX('[3]TSX CĐ 2026'!$B$74:$O$78,2, MATCH($O$52,'[3]TSX CĐ 2026'!$B$73:$O$73,0))</f>
        <v>10.459594929622718</v>
      </c>
      <c r="R57" s="2">
        <f t="shared" si="8"/>
        <v>89.409187571682978</v>
      </c>
      <c r="S57" s="2">
        <f t="shared" si="9"/>
        <v>230.1110884516998</v>
      </c>
      <c r="T57" s="3">
        <f>INDEX('[3]TSX CĐ 2026'!$B$74:$O$78,4, MATCH($O$52,'[3]TSX CĐ 2026'!$B$73:$O$73,0))</f>
        <v>2.0320269902655221</v>
      </c>
      <c r="U57" s="2">
        <f>INDEX('[3]TSX CĐ 2026'!$B$74:$O$78,5, MATCH($O$52,'[3]TSX CĐ 2026'!$B$73:$O$73,0))</f>
        <v>5.2297974648113588</v>
      </c>
    </row>
    <row r="58" spans="1:21" ht="15.75" x14ac:dyDescent="0.25">
      <c r="A58" s="4" t="s">
        <v>8</v>
      </c>
      <c r="B58" s="4">
        <f>INDEX('[1]TONG HOP'!$E$3:$P$42,7,MATCH($A58,'[1]TONG HOP'!$E$2:$P$2,0))</f>
        <v>21</v>
      </c>
      <c r="C58" s="3">
        <f>INDEX('[3]TSX CĐ 2026'!$B$74:$O$78,1, MATCH($B$52,'[3]TSX CĐ 2026'!$B$73:$O$73,0))</f>
        <v>19.909988872478355</v>
      </c>
      <c r="D58" s="3">
        <f>INDEX('[3]TSX CĐ 2026'!$B$74:$O$78,2, MATCH($B$52,'[3]TSX CĐ 2026'!$B$73:$O$73,0))</f>
        <v>106.49805942127759</v>
      </c>
      <c r="E58" s="2">
        <f t="shared" si="6"/>
        <v>418.10976632204546</v>
      </c>
      <c r="F58" s="2">
        <f t="shared" si="7"/>
        <v>2236.4592478468294</v>
      </c>
      <c r="G58" s="3">
        <f>INDEX('[3]TSX CĐ 2026'!$B$74:$O$78,4, MATCH($B$52,'[3]TSX CĐ 2026'!$B$73:$O$73,0))</f>
        <v>9.9549944362391773</v>
      </c>
      <c r="H58" s="2">
        <f>INDEX('[3]TSX CĐ 2026'!$B$74:$O$78,5, MATCH($B$52,'[3]TSX CĐ 2026'!$B$73:$O$73,0))</f>
        <v>53.249029710638794</v>
      </c>
      <c r="N58" s="4" t="s">
        <v>8</v>
      </c>
      <c r="O58" s="4">
        <f>INDEX('[1]TONG HOP'!$E$3:$P$42,7,MATCH($A58,'[1]TONG HOP'!$E$2:$P$2,0))</f>
        <v>21</v>
      </c>
      <c r="P58" s="3">
        <f>INDEX('[3]TSX CĐ 2026'!$B$74:$O$78,1, MATCH($O$52,'[3]TSX CĐ 2026'!$B$73:$O$73,0))</f>
        <v>4.0640539805310443</v>
      </c>
      <c r="Q58" s="3">
        <f>INDEX('[3]TSX CĐ 2026'!$B$74:$O$78,2, MATCH($O$52,'[3]TSX CĐ 2026'!$B$73:$O$73,0))</f>
        <v>10.459594929622718</v>
      </c>
      <c r="R58" s="2">
        <f t="shared" si="8"/>
        <v>85.345133591151935</v>
      </c>
      <c r="S58" s="2">
        <f t="shared" si="9"/>
        <v>219.65149352207706</v>
      </c>
      <c r="T58" s="3">
        <f>INDEX('[3]TSX CĐ 2026'!$B$74:$O$78,4, MATCH($O$52,'[3]TSX CĐ 2026'!$B$73:$O$73,0))</f>
        <v>2.0320269902655221</v>
      </c>
      <c r="U58" s="2">
        <f>INDEX('[3]TSX CĐ 2026'!$B$74:$O$78,5, MATCH($O$52,'[3]TSX CĐ 2026'!$B$73:$O$73,0))</f>
        <v>5.2297974648113588</v>
      </c>
    </row>
    <row r="59" spans="1:21" ht="15.75" x14ac:dyDescent="0.25">
      <c r="A59" s="4" t="s">
        <v>7</v>
      </c>
      <c r="B59" s="4">
        <f>INDEX('[1]TONG HOP'!$E$3:$P$42,7,MATCH($A59,'[1]TONG HOP'!$E$2:$P$2,0))</f>
        <v>20</v>
      </c>
      <c r="C59" s="3">
        <f>INDEX('[3]TSX CĐ 2026'!$B$74:$O$78,1, MATCH($B$52,'[3]TSX CĐ 2026'!$B$73:$O$73,0))</f>
        <v>19.909988872478355</v>
      </c>
      <c r="D59" s="3">
        <f>INDEX('[3]TSX CĐ 2026'!$B$74:$O$78,2, MATCH($B$52,'[3]TSX CĐ 2026'!$B$73:$O$73,0))</f>
        <v>106.49805942127759</v>
      </c>
      <c r="E59" s="2">
        <f t="shared" si="6"/>
        <v>398.19977744956708</v>
      </c>
      <c r="F59" s="2">
        <f t="shared" si="7"/>
        <v>2129.9611884255519</v>
      </c>
      <c r="G59" s="3">
        <f>INDEX('[3]TSX CĐ 2026'!$B$74:$O$78,4, MATCH($B$52,'[3]TSX CĐ 2026'!$B$73:$O$73,0))</f>
        <v>9.9549944362391773</v>
      </c>
      <c r="H59" s="2">
        <f>INDEX('[3]TSX CĐ 2026'!$B$74:$O$78,5, MATCH($B$52,'[3]TSX CĐ 2026'!$B$73:$O$73,0))</f>
        <v>53.249029710638794</v>
      </c>
      <c r="N59" s="4" t="s">
        <v>7</v>
      </c>
      <c r="O59" s="4">
        <f>INDEX('[1]TONG HOP'!$E$3:$P$42,7,MATCH($A59,'[1]TONG HOP'!$E$2:$P$2,0))</f>
        <v>20</v>
      </c>
      <c r="P59" s="3">
        <f>INDEX('[3]TSX CĐ 2026'!$B$74:$O$78,1, MATCH($O$52,'[3]TSX CĐ 2026'!$B$73:$O$73,0))</f>
        <v>4.0640539805310443</v>
      </c>
      <c r="Q59" s="3">
        <f>INDEX('[3]TSX CĐ 2026'!$B$74:$O$78,2, MATCH($O$52,'[3]TSX CĐ 2026'!$B$73:$O$73,0))</f>
        <v>10.459594929622718</v>
      </c>
      <c r="R59" s="2">
        <f t="shared" si="8"/>
        <v>81.281079610620878</v>
      </c>
      <c r="S59" s="2">
        <f t="shared" si="9"/>
        <v>209.19189859245435</v>
      </c>
      <c r="T59" s="3">
        <f>INDEX('[3]TSX CĐ 2026'!$B$74:$O$78,4, MATCH($O$52,'[3]TSX CĐ 2026'!$B$73:$O$73,0))</f>
        <v>2.0320269902655221</v>
      </c>
      <c r="U59" s="2">
        <f>INDEX('[3]TSX CĐ 2026'!$B$74:$O$78,5, MATCH($O$52,'[3]TSX CĐ 2026'!$B$73:$O$73,0))</f>
        <v>5.2297974648113588</v>
      </c>
    </row>
    <row r="60" spans="1:21" ht="15.75" x14ac:dyDescent="0.25">
      <c r="A60" s="4" t="s">
        <v>6</v>
      </c>
      <c r="B60" s="4">
        <f>INDEX('[1]TONG HOP'!$E$3:$P$42,7,MATCH($A60,'[1]TONG HOP'!$E$2:$P$2,0))</f>
        <v>22</v>
      </c>
      <c r="C60" s="3">
        <f>INDEX('[3]TSX CĐ 2026'!$B$74:$O$78,1, MATCH($B$52,'[3]TSX CĐ 2026'!$B$73:$O$73,0))</f>
        <v>19.909988872478355</v>
      </c>
      <c r="D60" s="3">
        <f>INDEX('[3]TSX CĐ 2026'!$B$74:$O$78,2, MATCH($B$52,'[3]TSX CĐ 2026'!$B$73:$O$73,0))</f>
        <v>106.49805942127759</v>
      </c>
      <c r="E60" s="2">
        <f t="shared" si="6"/>
        <v>438.01975519452378</v>
      </c>
      <c r="F60" s="2">
        <f t="shared" si="7"/>
        <v>2342.9573072681069</v>
      </c>
      <c r="G60" s="3">
        <f>INDEX('[3]TSX CĐ 2026'!$B$74:$O$78,4, MATCH($B$52,'[3]TSX CĐ 2026'!$B$73:$O$73,0))</f>
        <v>9.9549944362391773</v>
      </c>
      <c r="H60" s="2">
        <f>INDEX('[3]TSX CĐ 2026'!$B$74:$O$78,5, MATCH($B$52,'[3]TSX CĐ 2026'!$B$73:$O$73,0))</f>
        <v>53.249029710638794</v>
      </c>
      <c r="N60" s="4" t="s">
        <v>6</v>
      </c>
      <c r="O60" s="4">
        <f>INDEX('[1]TONG HOP'!$E$3:$P$42,7,MATCH($A60,'[1]TONG HOP'!$E$2:$P$2,0))</f>
        <v>22</v>
      </c>
      <c r="P60" s="3">
        <f>INDEX('[3]TSX CĐ 2026'!$B$74:$O$78,1, MATCH($O$52,'[3]TSX CĐ 2026'!$B$73:$O$73,0))</f>
        <v>4.0640539805310443</v>
      </c>
      <c r="Q60" s="3">
        <f>INDEX('[3]TSX CĐ 2026'!$B$74:$O$78,2, MATCH($O$52,'[3]TSX CĐ 2026'!$B$73:$O$73,0))</f>
        <v>10.459594929622718</v>
      </c>
      <c r="R60" s="2">
        <f t="shared" si="8"/>
        <v>89.409187571682978</v>
      </c>
      <c r="S60" s="2">
        <f t="shared" si="9"/>
        <v>230.1110884516998</v>
      </c>
      <c r="T60" s="3">
        <f>INDEX('[3]TSX CĐ 2026'!$B$74:$O$78,4, MATCH($O$52,'[3]TSX CĐ 2026'!$B$73:$O$73,0))</f>
        <v>2.0320269902655221</v>
      </c>
      <c r="U60" s="2">
        <f>INDEX('[3]TSX CĐ 2026'!$B$74:$O$78,5, MATCH($O$52,'[3]TSX CĐ 2026'!$B$73:$O$73,0))</f>
        <v>5.2297974648113588</v>
      </c>
    </row>
    <row r="61" spans="1:21" ht="15.75" x14ac:dyDescent="0.25">
      <c r="A61" s="4" t="s">
        <v>5</v>
      </c>
      <c r="B61" s="4">
        <f>INDEX('[1]TONG HOP'!$E$3:$P$42,7,MATCH($A61,'[1]TONG HOP'!$E$2:$P$2,0))</f>
        <v>23</v>
      </c>
      <c r="C61" s="3">
        <f>INDEX('[3]TSX CĐ 2026'!$B$74:$O$78,1, MATCH($B$52,'[3]TSX CĐ 2026'!$B$73:$O$73,0))</f>
        <v>19.909988872478355</v>
      </c>
      <c r="D61" s="3">
        <f>INDEX('[3]TSX CĐ 2026'!$B$74:$O$78,2, MATCH($B$52,'[3]TSX CĐ 2026'!$B$73:$O$73,0))</f>
        <v>106.49805942127759</v>
      </c>
      <c r="E61" s="2">
        <f t="shared" si="6"/>
        <v>457.92974406700216</v>
      </c>
      <c r="F61" s="2">
        <f t="shared" si="7"/>
        <v>2449.4553666893844</v>
      </c>
      <c r="G61" s="3">
        <f>INDEX('[3]TSX CĐ 2026'!$B$74:$O$78,4, MATCH($B$52,'[3]TSX CĐ 2026'!$B$73:$O$73,0))</f>
        <v>9.9549944362391773</v>
      </c>
      <c r="H61" s="2">
        <f>INDEX('[3]TSX CĐ 2026'!$B$74:$O$78,5, MATCH($B$52,'[3]TSX CĐ 2026'!$B$73:$O$73,0))</f>
        <v>53.249029710638794</v>
      </c>
      <c r="N61" s="4" t="s">
        <v>5</v>
      </c>
      <c r="O61" s="4">
        <f>INDEX('[1]TONG HOP'!$E$3:$P$42,7,MATCH($A61,'[1]TONG HOP'!$E$2:$P$2,0))</f>
        <v>23</v>
      </c>
      <c r="P61" s="3">
        <f>INDEX('[3]TSX CĐ 2026'!$B$74:$O$78,1, MATCH($O$52,'[3]TSX CĐ 2026'!$B$73:$O$73,0))</f>
        <v>4.0640539805310443</v>
      </c>
      <c r="Q61" s="3">
        <f>INDEX('[3]TSX CĐ 2026'!$B$74:$O$78,2, MATCH($O$52,'[3]TSX CĐ 2026'!$B$73:$O$73,0))</f>
        <v>10.459594929622718</v>
      </c>
      <c r="R61" s="2">
        <f t="shared" si="8"/>
        <v>93.47324155221402</v>
      </c>
      <c r="S61" s="2">
        <f t="shared" si="9"/>
        <v>240.57068338132251</v>
      </c>
      <c r="T61" s="3">
        <f>INDEX('[3]TSX CĐ 2026'!$B$74:$O$78,4, MATCH($O$52,'[3]TSX CĐ 2026'!$B$73:$O$73,0))</f>
        <v>2.0320269902655221</v>
      </c>
      <c r="U61" s="2">
        <f>INDEX('[3]TSX CĐ 2026'!$B$74:$O$78,5, MATCH($O$52,'[3]TSX CĐ 2026'!$B$73:$O$73,0))</f>
        <v>5.2297974648113588</v>
      </c>
    </row>
    <row r="62" spans="1:21" ht="15.75" x14ac:dyDescent="0.25">
      <c r="A62" s="4" t="s">
        <v>4</v>
      </c>
      <c r="B62" s="4">
        <f>INDEX('[1]TONG HOP'!$E$3:$P$42,7,MATCH($A62,'[1]TONG HOP'!$E$2:$P$2,0))</f>
        <v>21</v>
      </c>
      <c r="C62" s="3">
        <f>INDEX('[3]TSX CĐ 2026'!$B$74:$O$78,1, MATCH($B$52,'[3]TSX CĐ 2026'!$B$73:$O$73,0))</f>
        <v>19.909988872478355</v>
      </c>
      <c r="D62" s="3">
        <f>INDEX('[3]TSX CĐ 2026'!$B$74:$O$78,2, MATCH($B$52,'[3]TSX CĐ 2026'!$B$73:$O$73,0))</f>
        <v>106.49805942127759</v>
      </c>
      <c r="E62" s="2">
        <f t="shared" si="6"/>
        <v>418.10976632204546</v>
      </c>
      <c r="F62" s="2">
        <f t="shared" si="7"/>
        <v>2236.4592478468294</v>
      </c>
      <c r="G62" s="3">
        <f>INDEX('[3]TSX CĐ 2026'!$B$74:$O$78,4, MATCH($B$52,'[3]TSX CĐ 2026'!$B$73:$O$73,0))</f>
        <v>9.9549944362391773</v>
      </c>
      <c r="H62" s="2">
        <f>INDEX('[3]TSX CĐ 2026'!$B$74:$O$78,5, MATCH($B$52,'[3]TSX CĐ 2026'!$B$73:$O$73,0))</f>
        <v>53.249029710638794</v>
      </c>
      <c r="N62" s="4" t="s">
        <v>4</v>
      </c>
      <c r="O62" s="4">
        <f>INDEX('[1]TONG HOP'!$E$3:$P$42,7,MATCH($A62,'[1]TONG HOP'!$E$2:$P$2,0))</f>
        <v>21</v>
      </c>
      <c r="P62" s="3">
        <f>INDEX('[3]TSX CĐ 2026'!$B$74:$O$78,1, MATCH($O$52,'[3]TSX CĐ 2026'!$B$73:$O$73,0))</f>
        <v>4.0640539805310443</v>
      </c>
      <c r="Q62" s="3">
        <f>INDEX('[3]TSX CĐ 2026'!$B$74:$O$78,2, MATCH($O$52,'[3]TSX CĐ 2026'!$B$73:$O$73,0))</f>
        <v>10.459594929622718</v>
      </c>
      <c r="R62" s="2">
        <f t="shared" si="8"/>
        <v>85.345133591151935</v>
      </c>
      <c r="S62" s="2">
        <f t="shared" si="9"/>
        <v>219.65149352207706</v>
      </c>
      <c r="T62" s="3">
        <f>INDEX('[3]TSX CĐ 2026'!$B$74:$O$78,4, MATCH($O$52,'[3]TSX CĐ 2026'!$B$73:$O$73,0))</f>
        <v>2.0320269902655221</v>
      </c>
      <c r="U62" s="2">
        <f>INDEX('[3]TSX CĐ 2026'!$B$74:$O$78,5, MATCH($O$52,'[3]TSX CĐ 2026'!$B$73:$O$73,0))</f>
        <v>5.2297974648113588</v>
      </c>
    </row>
    <row r="63" spans="1:21" ht="15.75" x14ac:dyDescent="0.25">
      <c r="A63" s="4" t="s">
        <v>3</v>
      </c>
      <c r="B63" s="4">
        <f>INDEX('[1]TONG HOP'!$E$3:$P$42,7,MATCH($A63,'[1]TONG HOP'!$E$2:$P$2,0))</f>
        <v>21</v>
      </c>
      <c r="C63" s="3">
        <f>INDEX('[3]TSX CĐ 2026'!$B$74:$O$78,1, MATCH($B$52,'[3]TSX CĐ 2026'!$B$73:$O$73,0))</f>
        <v>19.909988872478355</v>
      </c>
      <c r="D63" s="3">
        <f>INDEX('[3]TSX CĐ 2026'!$B$74:$O$78,2, MATCH($B$52,'[3]TSX CĐ 2026'!$B$73:$O$73,0))</f>
        <v>106.49805942127759</v>
      </c>
      <c r="E63" s="2">
        <f t="shared" si="6"/>
        <v>418.10976632204546</v>
      </c>
      <c r="F63" s="2">
        <f t="shared" si="7"/>
        <v>2236.4592478468294</v>
      </c>
      <c r="G63" s="3">
        <f>INDEX('[3]TSX CĐ 2026'!$B$74:$O$78,4, MATCH($B$52,'[3]TSX CĐ 2026'!$B$73:$O$73,0))</f>
        <v>9.9549944362391773</v>
      </c>
      <c r="H63" s="2">
        <f>INDEX('[3]TSX CĐ 2026'!$B$74:$O$78,5, MATCH($B$52,'[3]TSX CĐ 2026'!$B$73:$O$73,0))</f>
        <v>53.249029710638794</v>
      </c>
      <c r="N63" s="4" t="s">
        <v>3</v>
      </c>
      <c r="O63" s="4">
        <f>INDEX('[1]TONG HOP'!$E$3:$P$42,7,MATCH($A63,'[1]TONG HOP'!$E$2:$P$2,0))</f>
        <v>21</v>
      </c>
      <c r="P63" s="3">
        <f>INDEX('[3]TSX CĐ 2026'!$B$74:$O$78,1, MATCH($O$52,'[3]TSX CĐ 2026'!$B$73:$O$73,0))</f>
        <v>4.0640539805310443</v>
      </c>
      <c r="Q63" s="3">
        <f>INDEX('[3]TSX CĐ 2026'!$B$74:$O$78,2, MATCH($O$52,'[3]TSX CĐ 2026'!$B$73:$O$73,0))</f>
        <v>10.459594929622718</v>
      </c>
      <c r="R63" s="2">
        <f t="shared" si="8"/>
        <v>85.345133591151935</v>
      </c>
      <c r="S63" s="2">
        <f t="shared" si="9"/>
        <v>219.65149352207706</v>
      </c>
      <c r="T63" s="3">
        <f>INDEX('[3]TSX CĐ 2026'!$B$74:$O$78,4, MATCH($O$52,'[3]TSX CĐ 2026'!$B$73:$O$73,0))</f>
        <v>2.0320269902655221</v>
      </c>
      <c r="U63" s="2">
        <f>INDEX('[3]TSX CĐ 2026'!$B$74:$O$78,5, MATCH($O$52,'[3]TSX CĐ 2026'!$B$73:$O$73,0))</f>
        <v>5.2297974648113588</v>
      </c>
    </row>
    <row r="64" spans="1:21" ht="15.75" x14ac:dyDescent="0.25">
      <c r="A64" s="4" t="s">
        <v>2</v>
      </c>
      <c r="B64" s="4">
        <f>INDEX('[1]TONG HOP'!$E$3:$P$42,7,MATCH($A64,'[1]TONG HOP'!$E$2:$P$2,0))</f>
        <v>22</v>
      </c>
      <c r="C64" s="3">
        <f>INDEX('[3]TSX CĐ 2026'!$B$74:$O$78,1, MATCH($B$52,'[3]TSX CĐ 2026'!$B$73:$O$73,0))</f>
        <v>19.909988872478355</v>
      </c>
      <c r="D64" s="3">
        <f>INDEX('[3]TSX CĐ 2026'!$B$74:$O$78,2, MATCH($B$52,'[3]TSX CĐ 2026'!$B$73:$O$73,0))</f>
        <v>106.49805942127759</v>
      </c>
      <c r="E64" s="2">
        <f t="shared" si="6"/>
        <v>438.01975519452378</v>
      </c>
      <c r="F64" s="2">
        <f t="shared" si="7"/>
        <v>2342.9573072681069</v>
      </c>
      <c r="G64" s="3">
        <f>INDEX('[3]TSX CĐ 2026'!$B$74:$O$78,4, MATCH($B$52,'[3]TSX CĐ 2026'!$B$73:$O$73,0))</f>
        <v>9.9549944362391773</v>
      </c>
      <c r="H64" s="2">
        <f>INDEX('[3]TSX CĐ 2026'!$B$74:$O$78,5, MATCH($B$52,'[3]TSX CĐ 2026'!$B$73:$O$73,0))</f>
        <v>53.249029710638794</v>
      </c>
      <c r="N64" s="4" t="s">
        <v>2</v>
      </c>
      <c r="O64" s="4">
        <f>INDEX('[1]TONG HOP'!$E$3:$P$42,7,MATCH($A64,'[1]TONG HOP'!$E$2:$P$2,0))</f>
        <v>22</v>
      </c>
      <c r="P64" s="3">
        <f>INDEX('[3]TSX CĐ 2026'!$B$74:$O$78,1, MATCH($O$52,'[3]TSX CĐ 2026'!$B$73:$O$73,0))</f>
        <v>4.0640539805310443</v>
      </c>
      <c r="Q64" s="3">
        <f>INDEX('[3]TSX CĐ 2026'!$B$74:$O$78,2, MATCH($O$52,'[3]TSX CĐ 2026'!$B$73:$O$73,0))</f>
        <v>10.459594929622718</v>
      </c>
      <c r="R64" s="2">
        <f t="shared" si="8"/>
        <v>89.409187571682978</v>
      </c>
      <c r="S64" s="2">
        <f t="shared" si="9"/>
        <v>230.1110884516998</v>
      </c>
      <c r="T64" s="3">
        <f>INDEX('[3]TSX CĐ 2026'!$B$74:$O$78,4, MATCH($O$52,'[3]TSX CĐ 2026'!$B$73:$O$73,0))</f>
        <v>2.0320269902655221</v>
      </c>
      <c r="U64" s="2">
        <f>INDEX('[3]TSX CĐ 2026'!$B$74:$O$78,5, MATCH($O$52,'[3]TSX CĐ 2026'!$B$73:$O$73,0))</f>
        <v>5.2297974648113588</v>
      </c>
    </row>
    <row r="65" spans="1:21" ht="15.75" x14ac:dyDescent="0.25">
      <c r="A65" s="4" t="s">
        <v>1</v>
      </c>
      <c r="B65" s="4">
        <f>INDEX('[1]TONG HOP'!$E$3:$P$42,7,MATCH($A65,'[1]TONG HOP'!$E$2:$P$2,0))</f>
        <v>21</v>
      </c>
      <c r="C65" s="3">
        <f>INDEX('[3]TSX CĐ 2026'!$B$74:$O$78,1, MATCH($B$52,'[3]TSX CĐ 2026'!$B$73:$O$73,0))</f>
        <v>19.909988872478355</v>
      </c>
      <c r="D65" s="3">
        <f>INDEX('[3]TSX CĐ 2026'!$B$74:$O$78,2, MATCH($B$52,'[3]TSX CĐ 2026'!$B$73:$O$73,0))</f>
        <v>106.49805942127759</v>
      </c>
      <c r="E65" s="2">
        <f t="shared" si="6"/>
        <v>418.10976632204546</v>
      </c>
      <c r="F65" s="2">
        <f t="shared" si="7"/>
        <v>2236.4592478468294</v>
      </c>
      <c r="G65" s="3">
        <f>INDEX('[3]TSX CĐ 2026'!$B$74:$O$78,4, MATCH($B$52,'[3]TSX CĐ 2026'!$B$73:$O$73,0))</f>
        <v>9.9549944362391773</v>
      </c>
      <c r="H65" s="2">
        <f>INDEX('[3]TSX CĐ 2026'!$B$74:$O$78,5, MATCH($B$52,'[3]TSX CĐ 2026'!$B$73:$O$73,0))</f>
        <v>53.249029710638794</v>
      </c>
      <c r="N65" s="4" t="s">
        <v>1</v>
      </c>
      <c r="O65" s="4">
        <f>INDEX('[1]TONG HOP'!$E$3:$P$42,7,MATCH($A65,'[1]TONG HOP'!$E$2:$P$2,0))</f>
        <v>21</v>
      </c>
      <c r="P65" s="3">
        <f>INDEX('[3]TSX CĐ 2026'!$B$74:$O$78,1, MATCH($O$52,'[3]TSX CĐ 2026'!$B$73:$O$73,0))</f>
        <v>4.0640539805310443</v>
      </c>
      <c r="Q65" s="3">
        <f>INDEX('[3]TSX CĐ 2026'!$B$74:$O$78,2, MATCH($O$52,'[3]TSX CĐ 2026'!$B$73:$O$73,0))</f>
        <v>10.459594929622718</v>
      </c>
      <c r="R65" s="2">
        <f t="shared" si="8"/>
        <v>85.345133591151935</v>
      </c>
      <c r="S65" s="2">
        <f t="shared" si="9"/>
        <v>219.65149352207706</v>
      </c>
      <c r="T65" s="3">
        <f>INDEX('[3]TSX CĐ 2026'!$B$74:$O$78,4, MATCH($O$52,'[3]TSX CĐ 2026'!$B$73:$O$73,0))</f>
        <v>2.0320269902655221</v>
      </c>
      <c r="U65" s="2">
        <f>INDEX('[3]TSX CĐ 2026'!$B$74:$O$78,5, MATCH($O$52,'[3]TSX CĐ 2026'!$B$73:$O$73,0))</f>
        <v>5.2297974648113588</v>
      </c>
    </row>
    <row r="66" spans="1:21" ht="15.75" x14ac:dyDescent="0.25">
      <c r="A66" s="4" t="s">
        <v>0</v>
      </c>
      <c r="B66" s="4">
        <f>INDEX('[1]TONG HOP'!$E$3:$P$42,7,MATCH($A66,'[1]TONG HOP'!$E$2:$P$2,0))</f>
        <v>22</v>
      </c>
      <c r="C66" s="3">
        <f>INDEX('[3]TSX CĐ 2026'!$B$74:$O$78,1, MATCH($B$52,'[3]TSX CĐ 2026'!$B$73:$O$73,0))</f>
        <v>19.909988872478355</v>
      </c>
      <c r="D66" s="3">
        <f>INDEX('[3]TSX CĐ 2026'!$B$74:$O$78,2, MATCH($B$52,'[3]TSX CĐ 2026'!$B$73:$O$73,0))</f>
        <v>106.49805942127759</v>
      </c>
      <c r="E66" s="2">
        <f t="shared" si="6"/>
        <v>438.01975519452378</v>
      </c>
      <c r="F66" s="2">
        <f t="shared" si="7"/>
        <v>2342.9573072681069</v>
      </c>
      <c r="G66" s="3">
        <f>INDEX('[3]TSX CĐ 2026'!$B$74:$O$78,4, MATCH($B$52,'[3]TSX CĐ 2026'!$B$73:$O$73,0))</f>
        <v>9.9549944362391773</v>
      </c>
      <c r="H66" s="2">
        <f>INDEX('[3]TSX CĐ 2026'!$B$74:$O$78,5, MATCH($B$52,'[3]TSX CĐ 2026'!$B$73:$O$73,0))</f>
        <v>53.249029710638794</v>
      </c>
      <c r="N66" s="4" t="s">
        <v>0</v>
      </c>
      <c r="O66" s="4">
        <f>INDEX('[1]TONG HOP'!$E$3:$P$42,7,MATCH($A66,'[1]TONG HOP'!$E$2:$P$2,0))</f>
        <v>22</v>
      </c>
      <c r="P66" s="3">
        <f>INDEX('[3]TSX CĐ 2026'!$B$74:$O$78,1, MATCH($O$52,'[3]TSX CĐ 2026'!$B$73:$O$73,0))</f>
        <v>4.0640539805310443</v>
      </c>
      <c r="Q66" s="3">
        <f>INDEX('[3]TSX CĐ 2026'!$B$74:$O$78,2, MATCH($O$52,'[3]TSX CĐ 2026'!$B$73:$O$73,0))</f>
        <v>10.459594929622718</v>
      </c>
      <c r="R66" s="2">
        <f t="shared" si="8"/>
        <v>89.409187571682978</v>
      </c>
      <c r="S66" s="2">
        <f t="shared" si="9"/>
        <v>230.1110884516998</v>
      </c>
      <c r="T66" s="3">
        <f>INDEX('[3]TSX CĐ 2026'!$B$74:$O$78,4, MATCH($O$52,'[3]TSX CĐ 2026'!$B$73:$O$73,0))</f>
        <v>2.0320269902655221</v>
      </c>
      <c r="U66" s="2">
        <f>INDEX('[3]TSX CĐ 2026'!$B$74:$O$78,5, MATCH($O$52,'[3]TSX CĐ 2026'!$B$73:$O$73,0))</f>
        <v>5.2297974648113588</v>
      </c>
    </row>
    <row r="70" spans="1:21" ht="15.75" x14ac:dyDescent="0.25">
      <c r="A70" s="4" t="s">
        <v>21</v>
      </c>
      <c r="B70" s="6" t="s">
        <v>30</v>
      </c>
      <c r="N70" s="4" t="s">
        <v>21</v>
      </c>
      <c r="O70" s="6" t="s">
        <v>29</v>
      </c>
    </row>
    <row r="72" spans="1:21" ht="47.25" x14ac:dyDescent="0.25">
      <c r="A72" s="5" t="s">
        <v>19</v>
      </c>
      <c r="B72" s="5" t="s">
        <v>18</v>
      </c>
      <c r="C72" s="5" t="s">
        <v>17</v>
      </c>
      <c r="D72" s="5" t="s">
        <v>16</v>
      </c>
      <c r="E72" s="5" t="s">
        <v>15</v>
      </c>
      <c r="F72" s="5" t="s">
        <v>14</v>
      </c>
      <c r="G72" s="5" t="s">
        <v>13</v>
      </c>
      <c r="H72" s="5" t="s">
        <v>12</v>
      </c>
      <c r="N72" s="5" t="s">
        <v>19</v>
      </c>
      <c r="O72" s="5" t="s">
        <v>18</v>
      </c>
      <c r="P72" s="5" t="s">
        <v>17</v>
      </c>
      <c r="Q72" s="5" t="s">
        <v>16</v>
      </c>
      <c r="R72" s="5" t="s">
        <v>15</v>
      </c>
      <c r="S72" s="5" t="s">
        <v>14</v>
      </c>
      <c r="T72" s="5" t="s">
        <v>13</v>
      </c>
      <c r="U72" s="5" t="s">
        <v>12</v>
      </c>
    </row>
    <row r="73" spans="1:21" ht="15.75" x14ac:dyDescent="0.25">
      <c r="A73" s="4" t="s">
        <v>11</v>
      </c>
      <c r="B73" s="4">
        <f>INDEX('[1]TONG HOP'!$E$3:$P$42,7,MATCH($A73,'[1]TONG HOP'!$E$2:$P$2,0))</f>
        <v>22</v>
      </c>
      <c r="C73" s="3">
        <f>INDEX('[3]TSX CĐ 2026'!$B$74:$O$78,1, MATCH($B$70,'[3]TSX CĐ 2026'!$B$73:$O$73,0))</f>
        <v>9.1674202468984305</v>
      </c>
      <c r="D73" s="3">
        <f>INDEX('[3]TSX CĐ 2026'!$B$74:$O$78,2, MATCH($B$70,'[3]TSX CĐ 2026'!$B$73:$O$73,0))</f>
        <v>49.127552784286294</v>
      </c>
      <c r="E73" s="2">
        <f t="shared" ref="E73:E84" si="10">C73*B73</f>
        <v>201.68324543176547</v>
      </c>
      <c r="F73" s="2">
        <f t="shared" ref="F73:F84" si="11">D73*B73</f>
        <v>1080.8061612542986</v>
      </c>
      <c r="G73" s="3">
        <f>INDEX('[3]TSX CĐ 2026'!$B$74:$O$78,4, MATCH($B$70,'[3]TSX CĐ 2026'!$B$73:$O$73,0))</f>
        <v>4.5837101234492152</v>
      </c>
      <c r="H73" s="2">
        <f>INDEX('[3]TSX CĐ 2026'!$B$74:$O$78,5, MATCH($B$70,'[3]TSX CĐ 2026'!$B$73:$O$73,0))</f>
        <v>24.563776392143147</v>
      </c>
      <c r="N73" s="4" t="s">
        <v>11</v>
      </c>
      <c r="O73" s="4">
        <f>INDEX('[1]TONG HOP'!$E$3:$P$42,7,MATCH($A73,'[1]TONG HOP'!$E$2:$P$2,0))</f>
        <v>22</v>
      </c>
      <c r="P73" s="3">
        <f>INDEX('[3]TSX CĐ 2026'!$B$74:$O$78,1, MATCH($O$70,'[3]TSX CĐ 2026'!$B$73:$O$73,0))</f>
        <v>6.3930486411333352</v>
      </c>
      <c r="Q73" s="3">
        <f>INDEX('[3]TSX CĐ 2026'!$B$74:$O$78,2, MATCH($O$70,'[3]TSX CĐ 2026'!$B$73:$O$73,0))</f>
        <v>107.21218131116353</v>
      </c>
      <c r="R73" s="2">
        <f t="shared" ref="R73:R84" si="12">P73*O73</f>
        <v>140.64707010493336</v>
      </c>
      <c r="S73" s="2">
        <f t="shared" ref="S73:S84" si="13">Q73*O73</f>
        <v>2358.6679888455978</v>
      </c>
      <c r="T73" s="3">
        <f>INDEX('[3]TSX CĐ 2026'!$B$74:$O$78,4, MATCH($O$70,'[3]TSX CĐ 2026'!$B$73:$O$73,0))</f>
        <v>2.1310162137111117</v>
      </c>
      <c r="U73" s="2">
        <f>INDEX('[3]TSX CĐ 2026'!$B$74:$O$78,5, MATCH($O$70,'[3]TSX CĐ 2026'!$B$73:$O$73,0))</f>
        <v>35.737393770387847</v>
      </c>
    </row>
    <row r="74" spans="1:21" ht="15.75" x14ac:dyDescent="0.25">
      <c r="A74" s="4" t="s">
        <v>10</v>
      </c>
      <c r="B74" s="4">
        <f>INDEX('[1]TONG HOP'!$E$3:$P$42,7,MATCH($A74,'[1]TONG HOP'!$E$2:$P$2,0))</f>
        <v>15</v>
      </c>
      <c r="C74" s="3">
        <f>INDEX('[3]TSX CĐ 2026'!$B$74:$O$78,1, MATCH($B$70,'[3]TSX CĐ 2026'!$B$73:$O$73,0))</f>
        <v>9.1674202468984305</v>
      </c>
      <c r="D74" s="3">
        <f>INDEX('[3]TSX CĐ 2026'!$B$74:$O$78,2, MATCH($B$70,'[3]TSX CĐ 2026'!$B$73:$O$73,0))</f>
        <v>49.127552784286294</v>
      </c>
      <c r="E74" s="2">
        <f t="shared" si="10"/>
        <v>137.51130370347647</v>
      </c>
      <c r="F74" s="2">
        <f t="shared" si="11"/>
        <v>736.9132917642944</v>
      </c>
      <c r="G74" s="3">
        <f>INDEX('[3]TSX CĐ 2026'!$B$74:$O$78,4, MATCH($B$70,'[3]TSX CĐ 2026'!$B$73:$O$73,0))</f>
        <v>4.5837101234492152</v>
      </c>
      <c r="H74" s="2">
        <f>INDEX('[3]TSX CĐ 2026'!$B$74:$O$78,5, MATCH($B$70,'[3]TSX CĐ 2026'!$B$73:$O$73,0))</f>
        <v>24.563776392143147</v>
      </c>
      <c r="N74" s="4" t="s">
        <v>10</v>
      </c>
      <c r="O74" s="4">
        <f>INDEX('[1]TONG HOP'!$E$3:$P$42,7,MATCH($A74,'[1]TONG HOP'!$E$2:$P$2,0))</f>
        <v>15</v>
      </c>
      <c r="P74" s="3">
        <f>INDEX('[3]TSX CĐ 2026'!$B$74:$O$78,1, MATCH($O$70,'[3]TSX CĐ 2026'!$B$73:$O$73,0))</f>
        <v>6.3930486411333352</v>
      </c>
      <c r="Q74" s="3">
        <f>INDEX('[3]TSX CĐ 2026'!$B$74:$O$78,2, MATCH($O$70,'[3]TSX CĐ 2026'!$B$73:$O$73,0))</f>
        <v>107.21218131116353</v>
      </c>
      <c r="R74" s="2">
        <f t="shared" si="12"/>
        <v>95.895729617000029</v>
      </c>
      <c r="S74" s="2">
        <f t="shared" si="13"/>
        <v>1608.1827196674531</v>
      </c>
      <c r="T74" s="3">
        <f>INDEX('[3]TSX CĐ 2026'!$B$74:$O$78,4, MATCH($O$70,'[3]TSX CĐ 2026'!$B$73:$O$73,0))</f>
        <v>2.1310162137111117</v>
      </c>
      <c r="U74" s="2">
        <f>INDEX('[3]TSX CĐ 2026'!$B$74:$O$78,5, MATCH($O$70,'[3]TSX CĐ 2026'!$B$73:$O$73,0))</f>
        <v>35.737393770387847</v>
      </c>
    </row>
    <row r="75" spans="1:21" ht="15.75" x14ac:dyDescent="0.25">
      <c r="A75" s="4" t="s">
        <v>9</v>
      </c>
      <c r="B75" s="4">
        <f>INDEX('[1]TONG HOP'!$E$3:$P$42,7,MATCH($A75,'[1]TONG HOP'!$E$2:$P$2,0))</f>
        <v>22</v>
      </c>
      <c r="C75" s="3">
        <f>INDEX('[3]TSX CĐ 2026'!$B$74:$O$78,1, MATCH($B$70,'[3]TSX CĐ 2026'!$B$73:$O$73,0))</f>
        <v>9.1674202468984305</v>
      </c>
      <c r="D75" s="3">
        <f>INDEX('[3]TSX CĐ 2026'!$B$74:$O$78,2, MATCH($B$70,'[3]TSX CĐ 2026'!$B$73:$O$73,0))</f>
        <v>49.127552784286294</v>
      </c>
      <c r="E75" s="2">
        <f t="shared" si="10"/>
        <v>201.68324543176547</v>
      </c>
      <c r="F75" s="2">
        <f t="shared" si="11"/>
        <v>1080.8061612542986</v>
      </c>
      <c r="G75" s="3">
        <f>INDEX('[3]TSX CĐ 2026'!$B$74:$O$78,4, MATCH($B$70,'[3]TSX CĐ 2026'!$B$73:$O$73,0))</f>
        <v>4.5837101234492152</v>
      </c>
      <c r="H75" s="2">
        <f>INDEX('[3]TSX CĐ 2026'!$B$74:$O$78,5, MATCH($B$70,'[3]TSX CĐ 2026'!$B$73:$O$73,0))</f>
        <v>24.563776392143147</v>
      </c>
      <c r="N75" s="4" t="s">
        <v>9</v>
      </c>
      <c r="O75" s="4">
        <f>INDEX('[1]TONG HOP'!$E$3:$P$42,7,MATCH($A75,'[1]TONG HOP'!$E$2:$P$2,0))</f>
        <v>22</v>
      </c>
      <c r="P75" s="3">
        <f>INDEX('[3]TSX CĐ 2026'!$B$74:$O$78,1, MATCH($O$70,'[3]TSX CĐ 2026'!$B$73:$O$73,0))</f>
        <v>6.3930486411333352</v>
      </c>
      <c r="Q75" s="3">
        <f>INDEX('[3]TSX CĐ 2026'!$B$74:$O$78,2, MATCH($O$70,'[3]TSX CĐ 2026'!$B$73:$O$73,0))</f>
        <v>107.21218131116353</v>
      </c>
      <c r="R75" s="2">
        <f t="shared" si="12"/>
        <v>140.64707010493336</v>
      </c>
      <c r="S75" s="2">
        <f t="shared" si="13"/>
        <v>2358.6679888455978</v>
      </c>
      <c r="T75" s="3">
        <f>INDEX('[3]TSX CĐ 2026'!$B$74:$O$78,4, MATCH($O$70,'[3]TSX CĐ 2026'!$B$73:$O$73,0))</f>
        <v>2.1310162137111117</v>
      </c>
      <c r="U75" s="2">
        <f>INDEX('[3]TSX CĐ 2026'!$B$74:$O$78,5, MATCH($O$70,'[3]TSX CĐ 2026'!$B$73:$O$73,0))</f>
        <v>35.737393770387847</v>
      </c>
    </row>
    <row r="76" spans="1:21" ht="15.75" x14ac:dyDescent="0.25">
      <c r="A76" s="4" t="s">
        <v>8</v>
      </c>
      <c r="B76" s="4">
        <f>INDEX('[1]TONG HOP'!$E$3:$P$42,7,MATCH($A76,'[1]TONG HOP'!$E$2:$P$2,0))</f>
        <v>21</v>
      </c>
      <c r="C76" s="3">
        <f>INDEX('[3]TSX CĐ 2026'!$B$74:$O$78,1, MATCH($B$70,'[3]TSX CĐ 2026'!$B$73:$O$73,0))</f>
        <v>9.1674202468984305</v>
      </c>
      <c r="D76" s="3">
        <f>INDEX('[3]TSX CĐ 2026'!$B$74:$O$78,2, MATCH($B$70,'[3]TSX CĐ 2026'!$B$73:$O$73,0))</f>
        <v>49.127552784286294</v>
      </c>
      <c r="E76" s="2">
        <f t="shared" si="10"/>
        <v>192.51582518486703</v>
      </c>
      <c r="F76" s="2">
        <f t="shared" si="11"/>
        <v>1031.6786084700123</v>
      </c>
      <c r="G76" s="3">
        <f>INDEX('[3]TSX CĐ 2026'!$B$74:$O$78,4, MATCH($B$70,'[3]TSX CĐ 2026'!$B$73:$O$73,0))</f>
        <v>4.5837101234492152</v>
      </c>
      <c r="H76" s="2">
        <f>INDEX('[3]TSX CĐ 2026'!$B$74:$O$78,5, MATCH($B$70,'[3]TSX CĐ 2026'!$B$73:$O$73,0))</f>
        <v>24.563776392143147</v>
      </c>
      <c r="N76" s="4" t="s">
        <v>8</v>
      </c>
      <c r="O76" s="4">
        <f>INDEX('[1]TONG HOP'!$E$3:$P$42,7,MATCH($A76,'[1]TONG HOP'!$E$2:$P$2,0))</f>
        <v>21</v>
      </c>
      <c r="P76" s="3">
        <f>INDEX('[3]TSX CĐ 2026'!$B$74:$O$78,1, MATCH($O$70,'[3]TSX CĐ 2026'!$B$73:$O$73,0))</f>
        <v>6.3930486411333352</v>
      </c>
      <c r="Q76" s="3">
        <f>INDEX('[3]TSX CĐ 2026'!$B$74:$O$78,2, MATCH($O$70,'[3]TSX CĐ 2026'!$B$73:$O$73,0))</f>
        <v>107.21218131116353</v>
      </c>
      <c r="R76" s="2">
        <f t="shared" si="12"/>
        <v>134.25402146380003</v>
      </c>
      <c r="S76" s="2">
        <f t="shared" si="13"/>
        <v>2251.4558075344344</v>
      </c>
      <c r="T76" s="3">
        <f>INDEX('[3]TSX CĐ 2026'!$B$74:$O$78,4, MATCH($O$70,'[3]TSX CĐ 2026'!$B$73:$O$73,0))</f>
        <v>2.1310162137111117</v>
      </c>
      <c r="U76" s="2">
        <f>INDEX('[3]TSX CĐ 2026'!$B$74:$O$78,5, MATCH($O$70,'[3]TSX CĐ 2026'!$B$73:$O$73,0))</f>
        <v>35.737393770387847</v>
      </c>
    </row>
    <row r="77" spans="1:21" ht="15.75" x14ac:dyDescent="0.25">
      <c r="A77" s="4" t="s">
        <v>7</v>
      </c>
      <c r="B77" s="4">
        <f>INDEX('[1]TONG HOP'!$E$3:$P$42,7,MATCH($A77,'[1]TONG HOP'!$E$2:$P$2,0))</f>
        <v>20</v>
      </c>
      <c r="C77" s="3">
        <f>INDEX('[3]TSX CĐ 2026'!$B$74:$O$78,1, MATCH($B$70,'[3]TSX CĐ 2026'!$B$73:$O$73,0))</f>
        <v>9.1674202468984305</v>
      </c>
      <c r="D77" s="3">
        <f>INDEX('[3]TSX CĐ 2026'!$B$74:$O$78,2, MATCH($B$70,'[3]TSX CĐ 2026'!$B$73:$O$73,0))</f>
        <v>49.127552784286294</v>
      </c>
      <c r="E77" s="2">
        <f t="shared" si="10"/>
        <v>183.34840493796861</v>
      </c>
      <c r="F77" s="2">
        <f t="shared" si="11"/>
        <v>982.55105568572594</v>
      </c>
      <c r="G77" s="3">
        <f>INDEX('[3]TSX CĐ 2026'!$B$74:$O$78,4, MATCH($B$70,'[3]TSX CĐ 2026'!$B$73:$O$73,0))</f>
        <v>4.5837101234492152</v>
      </c>
      <c r="H77" s="2">
        <f>INDEX('[3]TSX CĐ 2026'!$B$74:$O$78,5, MATCH($B$70,'[3]TSX CĐ 2026'!$B$73:$O$73,0))</f>
        <v>24.563776392143147</v>
      </c>
      <c r="N77" s="4" t="s">
        <v>7</v>
      </c>
      <c r="O77" s="4">
        <f>INDEX('[1]TONG HOP'!$E$3:$P$42,7,MATCH($A77,'[1]TONG HOP'!$E$2:$P$2,0))</f>
        <v>20</v>
      </c>
      <c r="P77" s="3">
        <f>INDEX('[3]TSX CĐ 2026'!$B$74:$O$78,1, MATCH($O$70,'[3]TSX CĐ 2026'!$B$73:$O$73,0))</f>
        <v>6.3930486411333352</v>
      </c>
      <c r="Q77" s="3">
        <f>INDEX('[3]TSX CĐ 2026'!$B$74:$O$78,2, MATCH($O$70,'[3]TSX CĐ 2026'!$B$73:$O$73,0))</f>
        <v>107.21218131116353</v>
      </c>
      <c r="R77" s="2">
        <f t="shared" si="12"/>
        <v>127.8609728226667</v>
      </c>
      <c r="S77" s="2">
        <f t="shared" si="13"/>
        <v>2144.2436262232704</v>
      </c>
      <c r="T77" s="3">
        <f>INDEX('[3]TSX CĐ 2026'!$B$74:$O$78,4, MATCH($O$70,'[3]TSX CĐ 2026'!$B$73:$O$73,0))</f>
        <v>2.1310162137111117</v>
      </c>
      <c r="U77" s="2">
        <f>INDEX('[3]TSX CĐ 2026'!$B$74:$O$78,5, MATCH($O$70,'[3]TSX CĐ 2026'!$B$73:$O$73,0))</f>
        <v>35.737393770387847</v>
      </c>
    </row>
    <row r="78" spans="1:21" ht="15.75" x14ac:dyDescent="0.25">
      <c r="A78" s="4" t="s">
        <v>6</v>
      </c>
      <c r="B78" s="4">
        <f>INDEX('[1]TONG HOP'!$E$3:$P$42,7,MATCH($A78,'[1]TONG HOP'!$E$2:$P$2,0))</f>
        <v>22</v>
      </c>
      <c r="C78" s="3">
        <f>INDEX('[3]TSX CĐ 2026'!$B$74:$O$78,1, MATCH($B$70,'[3]TSX CĐ 2026'!$B$73:$O$73,0))</f>
        <v>9.1674202468984305</v>
      </c>
      <c r="D78" s="3">
        <f>INDEX('[3]TSX CĐ 2026'!$B$74:$O$78,2, MATCH($B$70,'[3]TSX CĐ 2026'!$B$73:$O$73,0))</f>
        <v>49.127552784286294</v>
      </c>
      <c r="E78" s="2">
        <f t="shared" si="10"/>
        <v>201.68324543176547</v>
      </c>
      <c r="F78" s="2">
        <f t="shared" si="11"/>
        <v>1080.8061612542986</v>
      </c>
      <c r="G78" s="3">
        <f>INDEX('[3]TSX CĐ 2026'!$B$74:$O$78,4, MATCH($B$70,'[3]TSX CĐ 2026'!$B$73:$O$73,0))</f>
        <v>4.5837101234492152</v>
      </c>
      <c r="H78" s="2">
        <f>INDEX('[3]TSX CĐ 2026'!$B$74:$O$78,5, MATCH($B$70,'[3]TSX CĐ 2026'!$B$73:$O$73,0))</f>
        <v>24.563776392143147</v>
      </c>
      <c r="N78" s="4" t="s">
        <v>6</v>
      </c>
      <c r="O78" s="4">
        <f>INDEX('[1]TONG HOP'!$E$3:$P$42,7,MATCH($A78,'[1]TONG HOP'!$E$2:$P$2,0))</f>
        <v>22</v>
      </c>
      <c r="P78" s="3">
        <f>INDEX('[3]TSX CĐ 2026'!$B$74:$O$78,1, MATCH($O$70,'[3]TSX CĐ 2026'!$B$73:$O$73,0))</f>
        <v>6.3930486411333352</v>
      </c>
      <c r="Q78" s="3">
        <f>INDEX('[3]TSX CĐ 2026'!$B$74:$O$78,2, MATCH($O$70,'[3]TSX CĐ 2026'!$B$73:$O$73,0))</f>
        <v>107.21218131116353</v>
      </c>
      <c r="R78" s="2">
        <f t="shared" si="12"/>
        <v>140.64707010493336</v>
      </c>
      <c r="S78" s="2">
        <f t="shared" si="13"/>
        <v>2358.6679888455978</v>
      </c>
      <c r="T78" s="3">
        <f>INDEX('[3]TSX CĐ 2026'!$B$74:$O$78,4, MATCH($O$70,'[3]TSX CĐ 2026'!$B$73:$O$73,0))</f>
        <v>2.1310162137111117</v>
      </c>
      <c r="U78" s="2">
        <f>INDEX('[3]TSX CĐ 2026'!$B$74:$O$78,5, MATCH($O$70,'[3]TSX CĐ 2026'!$B$73:$O$73,0))</f>
        <v>35.737393770387847</v>
      </c>
    </row>
    <row r="79" spans="1:21" ht="15.75" x14ac:dyDescent="0.25">
      <c r="A79" s="4" t="s">
        <v>5</v>
      </c>
      <c r="B79" s="4">
        <f>INDEX('[1]TONG HOP'!$E$3:$P$42,7,MATCH($A79,'[1]TONG HOP'!$E$2:$P$2,0))</f>
        <v>23</v>
      </c>
      <c r="C79" s="3">
        <f>INDEX('[3]TSX CĐ 2026'!$B$74:$O$78,1, MATCH($B$70,'[3]TSX CĐ 2026'!$B$73:$O$73,0))</f>
        <v>9.1674202468984305</v>
      </c>
      <c r="D79" s="3">
        <f>INDEX('[3]TSX CĐ 2026'!$B$74:$O$78,2, MATCH($B$70,'[3]TSX CĐ 2026'!$B$73:$O$73,0))</f>
        <v>49.127552784286294</v>
      </c>
      <c r="E79" s="2">
        <f t="shared" si="10"/>
        <v>210.85066567866392</v>
      </c>
      <c r="F79" s="2">
        <f t="shared" si="11"/>
        <v>1129.9337140385849</v>
      </c>
      <c r="G79" s="3">
        <f>INDEX('[3]TSX CĐ 2026'!$B$74:$O$78,4, MATCH($B$70,'[3]TSX CĐ 2026'!$B$73:$O$73,0))</f>
        <v>4.5837101234492152</v>
      </c>
      <c r="H79" s="2">
        <f>INDEX('[3]TSX CĐ 2026'!$B$74:$O$78,5, MATCH($B$70,'[3]TSX CĐ 2026'!$B$73:$O$73,0))</f>
        <v>24.563776392143147</v>
      </c>
      <c r="N79" s="4" t="s">
        <v>5</v>
      </c>
      <c r="O79" s="4">
        <f>INDEX('[1]TONG HOP'!$E$3:$P$42,7,MATCH($A79,'[1]TONG HOP'!$E$2:$P$2,0))</f>
        <v>23</v>
      </c>
      <c r="P79" s="3">
        <f>INDEX('[3]TSX CĐ 2026'!$B$74:$O$78,1, MATCH($O$70,'[3]TSX CĐ 2026'!$B$73:$O$73,0))</f>
        <v>6.3930486411333352</v>
      </c>
      <c r="Q79" s="3">
        <f>INDEX('[3]TSX CĐ 2026'!$B$74:$O$78,2, MATCH($O$70,'[3]TSX CĐ 2026'!$B$73:$O$73,0))</f>
        <v>107.21218131116353</v>
      </c>
      <c r="R79" s="2">
        <f t="shared" si="12"/>
        <v>147.0401187460667</v>
      </c>
      <c r="S79" s="2">
        <f t="shared" si="13"/>
        <v>2465.8801701567613</v>
      </c>
      <c r="T79" s="3">
        <f>INDEX('[3]TSX CĐ 2026'!$B$74:$O$78,4, MATCH($O$70,'[3]TSX CĐ 2026'!$B$73:$O$73,0))</f>
        <v>2.1310162137111117</v>
      </c>
      <c r="U79" s="2">
        <f>INDEX('[3]TSX CĐ 2026'!$B$74:$O$78,5, MATCH($O$70,'[3]TSX CĐ 2026'!$B$73:$O$73,0))</f>
        <v>35.737393770387847</v>
      </c>
    </row>
    <row r="80" spans="1:21" ht="15.75" x14ac:dyDescent="0.25">
      <c r="A80" s="4" t="s">
        <v>4</v>
      </c>
      <c r="B80" s="4">
        <f>INDEX('[1]TONG HOP'!$E$3:$P$42,7,MATCH($A80,'[1]TONG HOP'!$E$2:$P$2,0))</f>
        <v>21</v>
      </c>
      <c r="C80" s="3">
        <f>INDEX('[3]TSX CĐ 2026'!$B$74:$O$78,1, MATCH($B$70,'[3]TSX CĐ 2026'!$B$73:$O$73,0))</f>
        <v>9.1674202468984305</v>
      </c>
      <c r="D80" s="3">
        <f>INDEX('[3]TSX CĐ 2026'!$B$74:$O$78,2, MATCH($B$70,'[3]TSX CĐ 2026'!$B$73:$O$73,0))</f>
        <v>49.127552784286294</v>
      </c>
      <c r="E80" s="2">
        <f t="shared" si="10"/>
        <v>192.51582518486703</v>
      </c>
      <c r="F80" s="2">
        <f t="shared" si="11"/>
        <v>1031.6786084700123</v>
      </c>
      <c r="G80" s="3">
        <f>INDEX('[3]TSX CĐ 2026'!$B$74:$O$78,4, MATCH($B$70,'[3]TSX CĐ 2026'!$B$73:$O$73,0))</f>
        <v>4.5837101234492152</v>
      </c>
      <c r="H80" s="2">
        <f>INDEX('[3]TSX CĐ 2026'!$B$74:$O$78,5, MATCH($B$70,'[3]TSX CĐ 2026'!$B$73:$O$73,0))</f>
        <v>24.563776392143147</v>
      </c>
      <c r="N80" s="4" t="s">
        <v>4</v>
      </c>
      <c r="O80" s="4">
        <f>INDEX('[1]TONG HOP'!$E$3:$P$42,7,MATCH($A80,'[1]TONG HOP'!$E$2:$P$2,0))</f>
        <v>21</v>
      </c>
      <c r="P80" s="3">
        <f>INDEX('[3]TSX CĐ 2026'!$B$74:$O$78,1, MATCH($O$70,'[3]TSX CĐ 2026'!$B$73:$O$73,0))</f>
        <v>6.3930486411333352</v>
      </c>
      <c r="Q80" s="3">
        <f>INDEX('[3]TSX CĐ 2026'!$B$74:$O$78,2, MATCH($O$70,'[3]TSX CĐ 2026'!$B$73:$O$73,0))</f>
        <v>107.21218131116353</v>
      </c>
      <c r="R80" s="2">
        <f t="shared" si="12"/>
        <v>134.25402146380003</v>
      </c>
      <c r="S80" s="2">
        <f t="shared" si="13"/>
        <v>2251.4558075344344</v>
      </c>
      <c r="T80" s="3">
        <f>INDEX('[3]TSX CĐ 2026'!$B$74:$O$78,4, MATCH($O$70,'[3]TSX CĐ 2026'!$B$73:$O$73,0))</f>
        <v>2.1310162137111117</v>
      </c>
      <c r="U80" s="2">
        <f>INDEX('[3]TSX CĐ 2026'!$B$74:$O$78,5, MATCH($O$70,'[3]TSX CĐ 2026'!$B$73:$O$73,0))</f>
        <v>35.737393770387847</v>
      </c>
    </row>
    <row r="81" spans="1:21" ht="15.75" x14ac:dyDescent="0.25">
      <c r="A81" s="4" t="s">
        <v>3</v>
      </c>
      <c r="B81" s="4">
        <f>INDEX('[1]TONG HOP'!$E$3:$P$42,7,MATCH($A81,'[1]TONG HOP'!$E$2:$P$2,0))</f>
        <v>21</v>
      </c>
      <c r="C81" s="3">
        <f>INDEX('[3]TSX CĐ 2026'!$B$74:$O$78,1, MATCH($B$70,'[3]TSX CĐ 2026'!$B$73:$O$73,0))</f>
        <v>9.1674202468984305</v>
      </c>
      <c r="D81" s="3">
        <f>INDEX('[3]TSX CĐ 2026'!$B$74:$O$78,2, MATCH($B$70,'[3]TSX CĐ 2026'!$B$73:$O$73,0))</f>
        <v>49.127552784286294</v>
      </c>
      <c r="E81" s="2">
        <f t="shared" si="10"/>
        <v>192.51582518486703</v>
      </c>
      <c r="F81" s="2">
        <f t="shared" si="11"/>
        <v>1031.6786084700123</v>
      </c>
      <c r="G81" s="3">
        <f>INDEX('[3]TSX CĐ 2026'!$B$74:$O$78,4, MATCH($B$70,'[3]TSX CĐ 2026'!$B$73:$O$73,0))</f>
        <v>4.5837101234492152</v>
      </c>
      <c r="H81" s="2">
        <f>INDEX('[3]TSX CĐ 2026'!$B$74:$O$78,5, MATCH($B$70,'[3]TSX CĐ 2026'!$B$73:$O$73,0))</f>
        <v>24.563776392143147</v>
      </c>
      <c r="N81" s="4" t="s">
        <v>3</v>
      </c>
      <c r="O81" s="4">
        <f>INDEX('[1]TONG HOP'!$E$3:$P$42,7,MATCH($A81,'[1]TONG HOP'!$E$2:$P$2,0))</f>
        <v>21</v>
      </c>
      <c r="P81" s="3">
        <f>INDEX('[3]TSX CĐ 2026'!$B$74:$O$78,1, MATCH($O$70,'[3]TSX CĐ 2026'!$B$73:$O$73,0))</f>
        <v>6.3930486411333352</v>
      </c>
      <c r="Q81" s="3">
        <f>INDEX('[3]TSX CĐ 2026'!$B$74:$O$78,2, MATCH($O$70,'[3]TSX CĐ 2026'!$B$73:$O$73,0))</f>
        <v>107.21218131116353</v>
      </c>
      <c r="R81" s="2">
        <f t="shared" si="12"/>
        <v>134.25402146380003</v>
      </c>
      <c r="S81" s="2">
        <f t="shared" si="13"/>
        <v>2251.4558075344344</v>
      </c>
      <c r="T81" s="3">
        <f>INDEX('[3]TSX CĐ 2026'!$B$74:$O$78,4, MATCH($O$70,'[3]TSX CĐ 2026'!$B$73:$O$73,0))</f>
        <v>2.1310162137111117</v>
      </c>
      <c r="U81" s="2">
        <f>INDEX('[3]TSX CĐ 2026'!$B$74:$O$78,5, MATCH($O$70,'[3]TSX CĐ 2026'!$B$73:$O$73,0))</f>
        <v>35.737393770387847</v>
      </c>
    </row>
    <row r="82" spans="1:21" ht="15.75" x14ac:dyDescent="0.25">
      <c r="A82" s="4" t="s">
        <v>2</v>
      </c>
      <c r="B82" s="4">
        <f>INDEX('[1]TONG HOP'!$E$3:$P$42,7,MATCH($A82,'[1]TONG HOP'!$E$2:$P$2,0))</f>
        <v>22</v>
      </c>
      <c r="C82" s="3">
        <f>INDEX('[3]TSX CĐ 2026'!$B$74:$O$78,1, MATCH($B$70,'[3]TSX CĐ 2026'!$B$73:$O$73,0))</f>
        <v>9.1674202468984305</v>
      </c>
      <c r="D82" s="3">
        <f>INDEX('[3]TSX CĐ 2026'!$B$74:$O$78,2, MATCH($B$70,'[3]TSX CĐ 2026'!$B$73:$O$73,0))</f>
        <v>49.127552784286294</v>
      </c>
      <c r="E82" s="2">
        <f t="shared" si="10"/>
        <v>201.68324543176547</v>
      </c>
      <c r="F82" s="2">
        <f t="shared" si="11"/>
        <v>1080.8061612542986</v>
      </c>
      <c r="G82" s="3">
        <f>INDEX('[3]TSX CĐ 2026'!$B$74:$O$78,4, MATCH($B$70,'[3]TSX CĐ 2026'!$B$73:$O$73,0))</f>
        <v>4.5837101234492152</v>
      </c>
      <c r="H82" s="2">
        <f>INDEX('[3]TSX CĐ 2026'!$B$74:$O$78,5, MATCH($B$70,'[3]TSX CĐ 2026'!$B$73:$O$73,0))</f>
        <v>24.563776392143147</v>
      </c>
      <c r="N82" s="4" t="s">
        <v>2</v>
      </c>
      <c r="O82" s="4">
        <f>INDEX('[1]TONG HOP'!$E$3:$P$42,7,MATCH($A82,'[1]TONG HOP'!$E$2:$P$2,0))</f>
        <v>22</v>
      </c>
      <c r="P82" s="3">
        <f>INDEX('[3]TSX CĐ 2026'!$B$74:$O$78,1, MATCH($O$70,'[3]TSX CĐ 2026'!$B$73:$O$73,0))</f>
        <v>6.3930486411333352</v>
      </c>
      <c r="Q82" s="3">
        <f>INDEX('[3]TSX CĐ 2026'!$B$74:$O$78,2, MATCH($O$70,'[3]TSX CĐ 2026'!$B$73:$O$73,0))</f>
        <v>107.21218131116353</v>
      </c>
      <c r="R82" s="2">
        <f t="shared" si="12"/>
        <v>140.64707010493336</v>
      </c>
      <c r="S82" s="2">
        <f t="shared" si="13"/>
        <v>2358.6679888455978</v>
      </c>
      <c r="T82" s="3">
        <f>INDEX('[3]TSX CĐ 2026'!$B$74:$O$78,4, MATCH($O$70,'[3]TSX CĐ 2026'!$B$73:$O$73,0))</f>
        <v>2.1310162137111117</v>
      </c>
      <c r="U82" s="2">
        <f>INDEX('[3]TSX CĐ 2026'!$B$74:$O$78,5, MATCH($O$70,'[3]TSX CĐ 2026'!$B$73:$O$73,0))</f>
        <v>35.737393770387847</v>
      </c>
    </row>
    <row r="83" spans="1:21" ht="15.75" x14ac:dyDescent="0.25">
      <c r="A83" s="4" t="s">
        <v>1</v>
      </c>
      <c r="B83" s="4">
        <f>INDEX('[1]TONG HOP'!$E$3:$P$42,7,MATCH($A83,'[1]TONG HOP'!$E$2:$P$2,0))</f>
        <v>21</v>
      </c>
      <c r="C83" s="3">
        <f>INDEX('[3]TSX CĐ 2026'!$B$74:$O$78,1, MATCH($B$70,'[3]TSX CĐ 2026'!$B$73:$O$73,0))</f>
        <v>9.1674202468984305</v>
      </c>
      <c r="D83" s="3">
        <f>INDEX('[3]TSX CĐ 2026'!$B$74:$O$78,2, MATCH($B$70,'[3]TSX CĐ 2026'!$B$73:$O$73,0))</f>
        <v>49.127552784286294</v>
      </c>
      <c r="E83" s="2">
        <f t="shared" si="10"/>
        <v>192.51582518486703</v>
      </c>
      <c r="F83" s="2">
        <f t="shared" si="11"/>
        <v>1031.6786084700123</v>
      </c>
      <c r="G83" s="3">
        <f>INDEX('[3]TSX CĐ 2026'!$B$74:$O$78,4, MATCH($B$70,'[3]TSX CĐ 2026'!$B$73:$O$73,0))</f>
        <v>4.5837101234492152</v>
      </c>
      <c r="H83" s="2">
        <f>INDEX('[3]TSX CĐ 2026'!$B$74:$O$78,5, MATCH($B$70,'[3]TSX CĐ 2026'!$B$73:$O$73,0))</f>
        <v>24.563776392143147</v>
      </c>
      <c r="N83" s="4" t="s">
        <v>1</v>
      </c>
      <c r="O83" s="4">
        <f>INDEX('[1]TONG HOP'!$E$3:$P$42,7,MATCH($A83,'[1]TONG HOP'!$E$2:$P$2,0))</f>
        <v>21</v>
      </c>
      <c r="P83" s="3">
        <f>INDEX('[3]TSX CĐ 2026'!$B$74:$O$78,1, MATCH($O$70,'[3]TSX CĐ 2026'!$B$73:$O$73,0))</f>
        <v>6.3930486411333352</v>
      </c>
      <c r="Q83" s="3">
        <f>INDEX('[3]TSX CĐ 2026'!$B$74:$O$78,2, MATCH($O$70,'[3]TSX CĐ 2026'!$B$73:$O$73,0))</f>
        <v>107.21218131116353</v>
      </c>
      <c r="R83" s="2">
        <f t="shared" si="12"/>
        <v>134.25402146380003</v>
      </c>
      <c r="S83" s="2">
        <f t="shared" si="13"/>
        <v>2251.4558075344344</v>
      </c>
      <c r="T83" s="3">
        <f>INDEX('[3]TSX CĐ 2026'!$B$74:$O$78,4, MATCH($O$70,'[3]TSX CĐ 2026'!$B$73:$O$73,0))</f>
        <v>2.1310162137111117</v>
      </c>
      <c r="U83" s="2">
        <f>INDEX('[3]TSX CĐ 2026'!$B$74:$O$78,5, MATCH($O$70,'[3]TSX CĐ 2026'!$B$73:$O$73,0))</f>
        <v>35.737393770387847</v>
      </c>
    </row>
    <row r="84" spans="1:21" ht="15.75" x14ac:dyDescent="0.25">
      <c r="A84" s="4" t="s">
        <v>0</v>
      </c>
      <c r="B84" s="4">
        <f>INDEX('[1]TONG HOP'!$E$3:$P$42,7,MATCH($A84,'[1]TONG HOP'!$E$2:$P$2,0))</f>
        <v>22</v>
      </c>
      <c r="C84" s="3">
        <f>INDEX('[3]TSX CĐ 2026'!$B$74:$O$78,1, MATCH($B$70,'[3]TSX CĐ 2026'!$B$73:$O$73,0))</f>
        <v>9.1674202468984305</v>
      </c>
      <c r="D84" s="3">
        <f>INDEX('[3]TSX CĐ 2026'!$B$74:$O$78,2, MATCH($B$70,'[3]TSX CĐ 2026'!$B$73:$O$73,0))</f>
        <v>49.127552784286294</v>
      </c>
      <c r="E84" s="2">
        <f t="shared" si="10"/>
        <v>201.68324543176547</v>
      </c>
      <c r="F84" s="2">
        <f t="shared" si="11"/>
        <v>1080.8061612542986</v>
      </c>
      <c r="G84" s="3">
        <f>INDEX('[3]TSX CĐ 2026'!$B$74:$O$78,4, MATCH($B$70,'[3]TSX CĐ 2026'!$B$73:$O$73,0))</f>
        <v>4.5837101234492152</v>
      </c>
      <c r="H84" s="2">
        <f>INDEX('[3]TSX CĐ 2026'!$B$74:$O$78,5, MATCH($B$70,'[3]TSX CĐ 2026'!$B$73:$O$73,0))</f>
        <v>24.563776392143147</v>
      </c>
      <c r="N84" s="4" t="s">
        <v>0</v>
      </c>
      <c r="O84" s="4">
        <f>INDEX('[1]TONG HOP'!$E$3:$P$42,7,MATCH($A84,'[1]TONG HOP'!$E$2:$P$2,0))</f>
        <v>22</v>
      </c>
      <c r="P84" s="3">
        <f>INDEX('[3]TSX CĐ 2026'!$B$74:$O$78,1, MATCH($O$70,'[3]TSX CĐ 2026'!$B$73:$O$73,0))</f>
        <v>6.3930486411333352</v>
      </c>
      <c r="Q84" s="3">
        <f>INDEX('[3]TSX CĐ 2026'!$B$74:$O$78,2, MATCH($O$70,'[3]TSX CĐ 2026'!$B$73:$O$73,0))</f>
        <v>107.21218131116353</v>
      </c>
      <c r="R84" s="2">
        <f t="shared" si="12"/>
        <v>140.64707010493336</v>
      </c>
      <c r="S84" s="2">
        <f t="shared" si="13"/>
        <v>2358.6679888455978</v>
      </c>
      <c r="T84" s="3">
        <f>INDEX('[3]TSX CĐ 2026'!$B$74:$O$78,4, MATCH($O$70,'[3]TSX CĐ 2026'!$B$73:$O$73,0))</f>
        <v>2.1310162137111117</v>
      </c>
      <c r="U84" s="2">
        <f>INDEX('[3]TSX CĐ 2026'!$B$74:$O$78,5, MATCH($O$70,'[3]TSX CĐ 2026'!$B$73:$O$73,0))</f>
        <v>35.737393770387847</v>
      </c>
    </row>
    <row r="87" spans="1:21" ht="15.75" x14ac:dyDescent="0.25">
      <c r="A87" s="4" t="s">
        <v>21</v>
      </c>
      <c r="B87" s="6" t="s">
        <v>28</v>
      </c>
      <c r="N87" s="4" t="s">
        <v>21</v>
      </c>
      <c r="O87" s="6" t="s">
        <v>27</v>
      </c>
    </row>
    <row r="89" spans="1:21" ht="47.25" x14ac:dyDescent="0.25">
      <c r="A89" s="5" t="s">
        <v>19</v>
      </c>
      <c r="B89" s="5" t="s">
        <v>18</v>
      </c>
      <c r="C89" s="5" t="s">
        <v>17</v>
      </c>
      <c r="D89" s="5" t="s">
        <v>16</v>
      </c>
      <c r="E89" s="5" t="s">
        <v>15</v>
      </c>
      <c r="F89" s="5" t="s">
        <v>14</v>
      </c>
      <c r="G89" s="5" t="s">
        <v>13</v>
      </c>
      <c r="H89" s="5" t="s">
        <v>12</v>
      </c>
      <c r="N89" s="5" t="s">
        <v>19</v>
      </c>
      <c r="O89" s="5" t="s">
        <v>18</v>
      </c>
      <c r="P89" s="5" t="s">
        <v>17</v>
      </c>
      <c r="Q89" s="5" t="s">
        <v>16</v>
      </c>
      <c r="R89" s="5" t="s">
        <v>15</v>
      </c>
      <c r="S89" s="5" t="s">
        <v>14</v>
      </c>
      <c r="T89" s="5" t="s">
        <v>13</v>
      </c>
      <c r="U89" s="5" t="s">
        <v>12</v>
      </c>
    </row>
    <row r="90" spans="1:21" ht="15.75" x14ac:dyDescent="0.25">
      <c r="A90" s="4" t="s">
        <v>11</v>
      </c>
      <c r="B90" s="4">
        <f>INDEX('[1]TONG HOP'!$E$3:$P$42,7,MATCH($A90,'[1]TONG HOP'!$E$2:$P$2,0))</f>
        <v>22</v>
      </c>
      <c r="C90" s="3">
        <f>INDEX('[3]TSX CĐ 2026'!$B$74:$O$78,1, MATCH($B$87,'[3]TSX CĐ 2026'!$B$73:$O$73,0))</f>
        <v>31.404929112000893</v>
      </c>
      <c r="D90" s="3">
        <f>INDEX('[3]TSX CĐ 2026'!$B$74:$O$78,2, MATCH($B$87,'[3]TSX CĐ 2026'!$B$73:$O$73,0))</f>
        <v>189.55056098371097</v>
      </c>
      <c r="E90" s="2">
        <f t="shared" ref="E90:E101" si="14">C90*B90</f>
        <v>690.90844046401969</v>
      </c>
      <c r="F90" s="2">
        <f t="shared" ref="F90:F101" si="15">D90*B90</f>
        <v>4170.1123416416413</v>
      </c>
      <c r="G90" s="3">
        <f>INDEX('[3]TSX CĐ 2026'!$B$74:$O$78,4, MATCH($B$87,'[3]TSX CĐ 2026'!$B$73:$O$73,0))</f>
        <v>7.8512322780002233</v>
      </c>
      <c r="H90" s="2">
        <f>INDEX('[3]TSX CĐ 2026'!$B$74:$O$78,5, MATCH($B$87,'[3]TSX CĐ 2026'!$B$73:$O$73,0))</f>
        <v>47.387640245927741</v>
      </c>
      <c r="N90" s="4" t="s">
        <v>11</v>
      </c>
      <c r="O90" s="4">
        <f>INDEX('[1]TONG HOP'!$E$3:$P$42,7,MATCH($A90,'[1]TONG HOP'!$E$2:$P$2,0))</f>
        <v>22</v>
      </c>
      <c r="P90" s="3">
        <f>INDEX('[3]TSX CĐ 2026'!$B$74:$O$78,1, MATCH($O$87,'[3]TSX CĐ 2026'!$B$73:$O$73,0))</f>
        <v>2.0317073625850046</v>
      </c>
      <c r="Q90" s="3">
        <f>INDEX('[3]TSX CĐ 2026'!$B$74:$O$78,2, MATCH($O$87,'[3]TSX CĐ 2026'!$B$73:$O$73,0))</f>
        <v>130.03940815234225</v>
      </c>
      <c r="R90" s="2">
        <f t="shared" ref="R90:R101" si="16">P90*O90</f>
        <v>44.697561976870105</v>
      </c>
      <c r="S90" s="2">
        <f t="shared" ref="S90:S101" si="17">Q90*O90</f>
        <v>2860.8669793515296</v>
      </c>
      <c r="T90" s="3">
        <f>INDEX('[3]TSX CĐ 2026'!$B$74:$O$78,4, MATCH($O$87,'[3]TSX CĐ 2026'!$B$73:$O$73,0))</f>
        <v>1.0158536812925023</v>
      </c>
      <c r="U90" s="2">
        <f>INDEX('[3]TSX CĐ 2026'!$B$74:$O$78,5, MATCH($O$87,'[3]TSX CĐ 2026'!$B$73:$O$73,0))</f>
        <v>65.019704076171124</v>
      </c>
    </row>
    <row r="91" spans="1:21" ht="15.75" x14ac:dyDescent="0.25">
      <c r="A91" s="4" t="s">
        <v>10</v>
      </c>
      <c r="B91" s="4">
        <f>INDEX('[1]TONG HOP'!$E$3:$P$42,7,MATCH($A91,'[1]TONG HOP'!$E$2:$P$2,0))</f>
        <v>15</v>
      </c>
      <c r="C91" s="3">
        <f>INDEX('[3]TSX CĐ 2026'!$B$74:$O$78,1, MATCH($B$87,'[3]TSX CĐ 2026'!$B$73:$O$73,0))</f>
        <v>31.404929112000893</v>
      </c>
      <c r="D91" s="3">
        <f>INDEX('[3]TSX CĐ 2026'!$B$74:$O$78,2, MATCH($B$87,'[3]TSX CĐ 2026'!$B$73:$O$73,0))</f>
        <v>189.55056098371097</v>
      </c>
      <c r="E91" s="2">
        <f t="shared" si="14"/>
        <v>471.07393668001339</v>
      </c>
      <c r="F91" s="2">
        <f t="shared" si="15"/>
        <v>2843.2584147556645</v>
      </c>
      <c r="G91" s="3">
        <f>INDEX('[3]TSX CĐ 2026'!$B$74:$O$78,4, MATCH($B$87,'[3]TSX CĐ 2026'!$B$73:$O$73,0))</f>
        <v>7.8512322780002233</v>
      </c>
      <c r="H91" s="2">
        <f>INDEX('[3]TSX CĐ 2026'!$B$74:$O$78,5, MATCH($B$87,'[3]TSX CĐ 2026'!$B$73:$O$73,0))</f>
        <v>47.387640245927741</v>
      </c>
      <c r="N91" s="4" t="s">
        <v>10</v>
      </c>
      <c r="O91" s="4">
        <f>INDEX('[1]TONG HOP'!$E$3:$P$42,7,MATCH($A91,'[1]TONG HOP'!$E$2:$P$2,0))</f>
        <v>15</v>
      </c>
      <c r="P91" s="3">
        <f>INDEX('[3]TSX CĐ 2026'!$B$74:$O$78,1, MATCH($O$87,'[3]TSX CĐ 2026'!$B$73:$O$73,0))</f>
        <v>2.0317073625850046</v>
      </c>
      <c r="Q91" s="3">
        <f>INDEX('[3]TSX CĐ 2026'!$B$74:$O$78,2, MATCH($O$87,'[3]TSX CĐ 2026'!$B$73:$O$73,0))</f>
        <v>130.03940815234225</v>
      </c>
      <c r="R91" s="2">
        <f t="shared" si="16"/>
        <v>30.475610438775071</v>
      </c>
      <c r="S91" s="2">
        <f t="shared" si="17"/>
        <v>1950.5911222851337</v>
      </c>
      <c r="T91" s="3">
        <f>INDEX('[3]TSX CĐ 2026'!$B$74:$O$78,4, MATCH($O$87,'[3]TSX CĐ 2026'!$B$73:$O$73,0))</f>
        <v>1.0158536812925023</v>
      </c>
      <c r="U91" s="2">
        <f>INDEX('[3]TSX CĐ 2026'!$B$74:$O$78,5, MATCH($O$87,'[3]TSX CĐ 2026'!$B$73:$O$73,0))</f>
        <v>65.019704076171124</v>
      </c>
    </row>
    <row r="92" spans="1:21" ht="15.75" x14ac:dyDescent="0.25">
      <c r="A92" s="4" t="s">
        <v>9</v>
      </c>
      <c r="B92" s="4">
        <f>INDEX('[1]TONG HOP'!$E$3:$P$42,7,MATCH($A92,'[1]TONG HOP'!$E$2:$P$2,0))</f>
        <v>22</v>
      </c>
      <c r="C92" s="3">
        <f>INDEX('[3]TSX CĐ 2026'!$B$74:$O$78,1, MATCH($B$87,'[3]TSX CĐ 2026'!$B$73:$O$73,0))</f>
        <v>31.404929112000893</v>
      </c>
      <c r="D92" s="3">
        <f>INDEX('[3]TSX CĐ 2026'!$B$74:$O$78,2, MATCH($B$87,'[3]TSX CĐ 2026'!$B$73:$O$73,0))</f>
        <v>189.55056098371097</v>
      </c>
      <c r="E92" s="2">
        <f t="shared" si="14"/>
        <v>690.90844046401969</v>
      </c>
      <c r="F92" s="2">
        <f t="shared" si="15"/>
        <v>4170.1123416416413</v>
      </c>
      <c r="G92" s="3">
        <f>INDEX('[3]TSX CĐ 2026'!$B$74:$O$78,4, MATCH($B$87,'[3]TSX CĐ 2026'!$B$73:$O$73,0))</f>
        <v>7.8512322780002233</v>
      </c>
      <c r="H92" s="2">
        <f>INDEX('[3]TSX CĐ 2026'!$B$74:$O$78,5, MATCH($B$87,'[3]TSX CĐ 2026'!$B$73:$O$73,0))</f>
        <v>47.387640245927741</v>
      </c>
      <c r="N92" s="4" t="s">
        <v>9</v>
      </c>
      <c r="O92" s="4">
        <f>INDEX('[1]TONG HOP'!$E$3:$P$42,7,MATCH($A92,'[1]TONG HOP'!$E$2:$P$2,0))</f>
        <v>22</v>
      </c>
      <c r="P92" s="3">
        <f>INDEX('[3]TSX CĐ 2026'!$B$74:$O$78,1, MATCH($O$87,'[3]TSX CĐ 2026'!$B$73:$O$73,0))</f>
        <v>2.0317073625850046</v>
      </c>
      <c r="Q92" s="3">
        <f>INDEX('[3]TSX CĐ 2026'!$B$74:$O$78,2, MATCH($O$87,'[3]TSX CĐ 2026'!$B$73:$O$73,0))</f>
        <v>130.03940815234225</v>
      </c>
      <c r="R92" s="2">
        <f t="shared" si="16"/>
        <v>44.697561976870105</v>
      </c>
      <c r="S92" s="2">
        <f t="shared" si="17"/>
        <v>2860.8669793515296</v>
      </c>
      <c r="T92" s="3">
        <f>INDEX('[3]TSX CĐ 2026'!$B$74:$O$78,4, MATCH($O$87,'[3]TSX CĐ 2026'!$B$73:$O$73,0))</f>
        <v>1.0158536812925023</v>
      </c>
      <c r="U92" s="2">
        <f>INDEX('[3]TSX CĐ 2026'!$B$74:$O$78,5, MATCH($O$87,'[3]TSX CĐ 2026'!$B$73:$O$73,0))</f>
        <v>65.019704076171124</v>
      </c>
    </row>
    <row r="93" spans="1:21" ht="15.75" x14ac:dyDescent="0.25">
      <c r="A93" s="4" t="s">
        <v>8</v>
      </c>
      <c r="B93" s="4">
        <f>INDEX('[1]TONG HOP'!$E$3:$P$42,7,MATCH($A93,'[1]TONG HOP'!$E$2:$P$2,0))</f>
        <v>21</v>
      </c>
      <c r="C93" s="3">
        <f>INDEX('[3]TSX CĐ 2026'!$B$74:$O$78,1, MATCH($B$87,'[3]TSX CĐ 2026'!$B$73:$O$73,0))</f>
        <v>31.404929112000893</v>
      </c>
      <c r="D93" s="3">
        <f>INDEX('[3]TSX CĐ 2026'!$B$74:$O$78,2, MATCH($B$87,'[3]TSX CĐ 2026'!$B$73:$O$73,0))</f>
        <v>189.55056098371097</v>
      </c>
      <c r="E93" s="2">
        <f t="shared" si="14"/>
        <v>659.50351135201879</v>
      </c>
      <c r="F93" s="2">
        <f t="shared" si="15"/>
        <v>3980.5617806579303</v>
      </c>
      <c r="G93" s="3">
        <f>INDEX('[3]TSX CĐ 2026'!$B$74:$O$78,4, MATCH($B$87,'[3]TSX CĐ 2026'!$B$73:$O$73,0))</f>
        <v>7.8512322780002233</v>
      </c>
      <c r="H93" s="2">
        <f>INDEX('[3]TSX CĐ 2026'!$B$74:$O$78,5, MATCH($B$87,'[3]TSX CĐ 2026'!$B$73:$O$73,0))</f>
        <v>47.387640245927741</v>
      </c>
      <c r="N93" s="4" t="s">
        <v>8</v>
      </c>
      <c r="O93" s="4">
        <f>INDEX('[1]TONG HOP'!$E$3:$P$42,7,MATCH($A93,'[1]TONG HOP'!$E$2:$P$2,0))</f>
        <v>21</v>
      </c>
      <c r="P93" s="3">
        <f>INDEX('[3]TSX CĐ 2026'!$B$74:$O$78,1, MATCH($O$87,'[3]TSX CĐ 2026'!$B$73:$O$73,0))</f>
        <v>2.0317073625850046</v>
      </c>
      <c r="Q93" s="3">
        <f>INDEX('[3]TSX CĐ 2026'!$B$74:$O$78,2, MATCH($O$87,'[3]TSX CĐ 2026'!$B$73:$O$73,0))</f>
        <v>130.03940815234225</v>
      </c>
      <c r="R93" s="2">
        <f t="shared" si="16"/>
        <v>42.665854614285095</v>
      </c>
      <c r="S93" s="2">
        <f t="shared" si="17"/>
        <v>2730.8275711991873</v>
      </c>
      <c r="T93" s="3">
        <f>INDEX('[3]TSX CĐ 2026'!$B$74:$O$78,4, MATCH($O$87,'[3]TSX CĐ 2026'!$B$73:$O$73,0))</f>
        <v>1.0158536812925023</v>
      </c>
      <c r="U93" s="2">
        <f>INDEX('[3]TSX CĐ 2026'!$B$74:$O$78,5, MATCH($O$87,'[3]TSX CĐ 2026'!$B$73:$O$73,0))</f>
        <v>65.019704076171124</v>
      </c>
    </row>
    <row r="94" spans="1:21" ht="15.75" x14ac:dyDescent="0.25">
      <c r="A94" s="4" t="s">
        <v>7</v>
      </c>
      <c r="B94" s="4">
        <f>INDEX('[1]TONG HOP'!$E$3:$P$42,7,MATCH($A94,'[1]TONG HOP'!$E$2:$P$2,0))</f>
        <v>20</v>
      </c>
      <c r="C94" s="3">
        <f>INDEX('[3]TSX CĐ 2026'!$B$74:$O$78,1, MATCH($B$87,'[3]TSX CĐ 2026'!$B$73:$O$73,0))</f>
        <v>31.404929112000893</v>
      </c>
      <c r="D94" s="3">
        <f>INDEX('[3]TSX CĐ 2026'!$B$74:$O$78,2, MATCH($B$87,'[3]TSX CĐ 2026'!$B$73:$O$73,0))</f>
        <v>189.55056098371097</v>
      </c>
      <c r="E94" s="2">
        <f t="shared" si="14"/>
        <v>628.09858224001789</v>
      </c>
      <c r="F94" s="2">
        <f t="shared" si="15"/>
        <v>3791.0112196742193</v>
      </c>
      <c r="G94" s="3">
        <f>INDEX('[3]TSX CĐ 2026'!$B$74:$O$78,4, MATCH($B$87,'[3]TSX CĐ 2026'!$B$73:$O$73,0))</f>
        <v>7.8512322780002233</v>
      </c>
      <c r="H94" s="2">
        <f>INDEX('[3]TSX CĐ 2026'!$B$74:$O$78,5, MATCH($B$87,'[3]TSX CĐ 2026'!$B$73:$O$73,0))</f>
        <v>47.387640245927741</v>
      </c>
      <c r="N94" s="4" t="s">
        <v>7</v>
      </c>
      <c r="O94" s="4">
        <f>INDEX('[1]TONG HOP'!$E$3:$P$42,7,MATCH($A94,'[1]TONG HOP'!$E$2:$P$2,0))</f>
        <v>20</v>
      </c>
      <c r="P94" s="3">
        <f>INDEX('[3]TSX CĐ 2026'!$B$74:$O$78,1, MATCH($O$87,'[3]TSX CĐ 2026'!$B$73:$O$73,0))</f>
        <v>2.0317073625850046</v>
      </c>
      <c r="Q94" s="3">
        <f>INDEX('[3]TSX CĐ 2026'!$B$74:$O$78,2, MATCH($O$87,'[3]TSX CĐ 2026'!$B$73:$O$73,0))</f>
        <v>130.03940815234225</v>
      </c>
      <c r="R94" s="2">
        <f t="shared" si="16"/>
        <v>40.634147251700092</v>
      </c>
      <c r="S94" s="2">
        <f t="shared" si="17"/>
        <v>2600.7881630468451</v>
      </c>
      <c r="T94" s="3">
        <f>INDEX('[3]TSX CĐ 2026'!$B$74:$O$78,4, MATCH($O$87,'[3]TSX CĐ 2026'!$B$73:$O$73,0))</f>
        <v>1.0158536812925023</v>
      </c>
      <c r="U94" s="2">
        <f>INDEX('[3]TSX CĐ 2026'!$B$74:$O$78,5, MATCH($O$87,'[3]TSX CĐ 2026'!$B$73:$O$73,0))</f>
        <v>65.019704076171124</v>
      </c>
    </row>
    <row r="95" spans="1:21" ht="15.75" x14ac:dyDescent="0.25">
      <c r="A95" s="4" t="s">
        <v>6</v>
      </c>
      <c r="B95" s="4">
        <f>INDEX('[1]TONG HOP'!$E$3:$P$42,7,MATCH($A95,'[1]TONG HOP'!$E$2:$P$2,0))</f>
        <v>22</v>
      </c>
      <c r="C95" s="3">
        <f>INDEX('[3]TSX CĐ 2026'!$B$74:$O$78,1, MATCH($B$87,'[3]TSX CĐ 2026'!$B$73:$O$73,0))</f>
        <v>31.404929112000893</v>
      </c>
      <c r="D95" s="3">
        <f>INDEX('[3]TSX CĐ 2026'!$B$74:$O$78,2, MATCH($B$87,'[3]TSX CĐ 2026'!$B$73:$O$73,0))</f>
        <v>189.55056098371097</v>
      </c>
      <c r="E95" s="2">
        <f t="shared" si="14"/>
        <v>690.90844046401969</v>
      </c>
      <c r="F95" s="2">
        <f t="shared" si="15"/>
        <v>4170.1123416416413</v>
      </c>
      <c r="G95" s="3">
        <f>INDEX('[3]TSX CĐ 2026'!$B$74:$O$78,4, MATCH($B$87,'[3]TSX CĐ 2026'!$B$73:$O$73,0))</f>
        <v>7.8512322780002233</v>
      </c>
      <c r="H95" s="2">
        <f>INDEX('[3]TSX CĐ 2026'!$B$74:$O$78,5, MATCH($B$87,'[3]TSX CĐ 2026'!$B$73:$O$73,0))</f>
        <v>47.387640245927741</v>
      </c>
      <c r="N95" s="4" t="s">
        <v>6</v>
      </c>
      <c r="O95" s="4">
        <f>INDEX('[1]TONG HOP'!$E$3:$P$42,7,MATCH($A95,'[1]TONG HOP'!$E$2:$P$2,0))</f>
        <v>22</v>
      </c>
      <c r="P95" s="3">
        <f>INDEX('[3]TSX CĐ 2026'!$B$74:$O$78,1, MATCH($O$87,'[3]TSX CĐ 2026'!$B$73:$O$73,0))</f>
        <v>2.0317073625850046</v>
      </c>
      <c r="Q95" s="3">
        <f>INDEX('[3]TSX CĐ 2026'!$B$74:$O$78,2, MATCH($O$87,'[3]TSX CĐ 2026'!$B$73:$O$73,0))</f>
        <v>130.03940815234225</v>
      </c>
      <c r="R95" s="2">
        <f t="shared" si="16"/>
        <v>44.697561976870105</v>
      </c>
      <c r="S95" s="2">
        <f t="shared" si="17"/>
        <v>2860.8669793515296</v>
      </c>
      <c r="T95" s="3">
        <f>INDEX('[3]TSX CĐ 2026'!$B$74:$O$78,4, MATCH($O$87,'[3]TSX CĐ 2026'!$B$73:$O$73,0))</f>
        <v>1.0158536812925023</v>
      </c>
      <c r="U95" s="2">
        <f>INDEX('[3]TSX CĐ 2026'!$B$74:$O$78,5, MATCH($O$87,'[3]TSX CĐ 2026'!$B$73:$O$73,0))</f>
        <v>65.019704076171124</v>
      </c>
    </row>
    <row r="96" spans="1:21" ht="15.75" x14ac:dyDescent="0.25">
      <c r="A96" s="4" t="s">
        <v>5</v>
      </c>
      <c r="B96" s="4">
        <f>INDEX('[1]TONG HOP'!$E$3:$P$42,7,MATCH($A96,'[1]TONG HOP'!$E$2:$P$2,0))</f>
        <v>23</v>
      </c>
      <c r="C96" s="3">
        <f>INDEX('[3]TSX CĐ 2026'!$B$74:$O$78,1, MATCH($B$87,'[3]TSX CĐ 2026'!$B$73:$O$73,0))</f>
        <v>31.404929112000893</v>
      </c>
      <c r="D96" s="3">
        <f>INDEX('[3]TSX CĐ 2026'!$B$74:$O$78,2, MATCH($B$87,'[3]TSX CĐ 2026'!$B$73:$O$73,0))</f>
        <v>189.55056098371097</v>
      </c>
      <c r="E96" s="2">
        <f t="shared" si="14"/>
        <v>722.31336957602059</v>
      </c>
      <c r="F96" s="2">
        <f t="shared" si="15"/>
        <v>4359.6629026253522</v>
      </c>
      <c r="G96" s="3">
        <f>INDEX('[3]TSX CĐ 2026'!$B$74:$O$78,4, MATCH($B$87,'[3]TSX CĐ 2026'!$B$73:$O$73,0))</f>
        <v>7.8512322780002233</v>
      </c>
      <c r="H96" s="2">
        <f>INDEX('[3]TSX CĐ 2026'!$B$74:$O$78,5, MATCH($B$87,'[3]TSX CĐ 2026'!$B$73:$O$73,0))</f>
        <v>47.387640245927741</v>
      </c>
      <c r="N96" s="4" t="s">
        <v>5</v>
      </c>
      <c r="O96" s="4">
        <f>INDEX('[1]TONG HOP'!$E$3:$P$42,7,MATCH($A96,'[1]TONG HOP'!$E$2:$P$2,0))</f>
        <v>23</v>
      </c>
      <c r="P96" s="3">
        <f>INDEX('[3]TSX CĐ 2026'!$B$74:$O$78,1, MATCH($O$87,'[3]TSX CĐ 2026'!$B$73:$O$73,0))</f>
        <v>2.0317073625850046</v>
      </c>
      <c r="Q96" s="3">
        <f>INDEX('[3]TSX CĐ 2026'!$B$74:$O$78,2, MATCH($O$87,'[3]TSX CĐ 2026'!$B$73:$O$73,0))</f>
        <v>130.03940815234225</v>
      </c>
      <c r="R96" s="2">
        <f t="shared" si="16"/>
        <v>46.729269339455108</v>
      </c>
      <c r="S96" s="2">
        <f t="shared" si="17"/>
        <v>2990.9063875038719</v>
      </c>
      <c r="T96" s="3">
        <f>INDEX('[3]TSX CĐ 2026'!$B$74:$O$78,4, MATCH($O$87,'[3]TSX CĐ 2026'!$B$73:$O$73,0))</f>
        <v>1.0158536812925023</v>
      </c>
      <c r="U96" s="2">
        <f>INDEX('[3]TSX CĐ 2026'!$B$74:$O$78,5, MATCH($O$87,'[3]TSX CĐ 2026'!$B$73:$O$73,0))</f>
        <v>65.019704076171124</v>
      </c>
    </row>
    <row r="97" spans="1:21" ht="15.75" x14ac:dyDescent="0.25">
      <c r="A97" s="4" t="s">
        <v>4</v>
      </c>
      <c r="B97" s="4">
        <f>INDEX('[1]TONG HOP'!$E$3:$P$42,7,MATCH($A97,'[1]TONG HOP'!$E$2:$P$2,0))</f>
        <v>21</v>
      </c>
      <c r="C97" s="3">
        <f>INDEX('[3]TSX CĐ 2026'!$B$74:$O$78,1, MATCH($B$87,'[3]TSX CĐ 2026'!$B$73:$O$73,0))</f>
        <v>31.404929112000893</v>
      </c>
      <c r="D97" s="3">
        <f>INDEX('[3]TSX CĐ 2026'!$B$74:$O$78,2, MATCH($B$87,'[3]TSX CĐ 2026'!$B$73:$O$73,0))</f>
        <v>189.55056098371097</v>
      </c>
      <c r="E97" s="2">
        <f t="shared" si="14"/>
        <v>659.50351135201879</v>
      </c>
      <c r="F97" s="2">
        <f t="shared" si="15"/>
        <v>3980.5617806579303</v>
      </c>
      <c r="G97" s="3">
        <f>INDEX('[3]TSX CĐ 2026'!$B$74:$O$78,4, MATCH($B$87,'[3]TSX CĐ 2026'!$B$73:$O$73,0))</f>
        <v>7.8512322780002233</v>
      </c>
      <c r="H97" s="2">
        <f>INDEX('[3]TSX CĐ 2026'!$B$74:$O$78,5, MATCH($B$87,'[3]TSX CĐ 2026'!$B$73:$O$73,0))</f>
        <v>47.387640245927741</v>
      </c>
      <c r="N97" s="4" t="s">
        <v>4</v>
      </c>
      <c r="O97" s="4">
        <f>INDEX('[1]TONG HOP'!$E$3:$P$42,7,MATCH($A97,'[1]TONG HOP'!$E$2:$P$2,0))</f>
        <v>21</v>
      </c>
      <c r="P97" s="3">
        <f>INDEX('[3]TSX CĐ 2026'!$B$74:$O$78,1, MATCH($O$87,'[3]TSX CĐ 2026'!$B$73:$O$73,0))</f>
        <v>2.0317073625850046</v>
      </c>
      <c r="Q97" s="3">
        <f>INDEX('[3]TSX CĐ 2026'!$B$74:$O$78,2, MATCH($O$87,'[3]TSX CĐ 2026'!$B$73:$O$73,0))</f>
        <v>130.03940815234225</v>
      </c>
      <c r="R97" s="2">
        <f t="shared" si="16"/>
        <v>42.665854614285095</v>
      </c>
      <c r="S97" s="2">
        <f t="shared" si="17"/>
        <v>2730.8275711991873</v>
      </c>
      <c r="T97" s="3">
        <f>INDEX('[3]TSX CĐ 2026'!$B$74:$O$78,4, MATCH($O$87,'[3]TSX CĐ 2026'!$B$73:$O$73,0))</f>
        <v>1.0158536812925023</v>
      </c>
      <c r="U97" s="2">
        <f>INDEX('[3]TSX CĐ 2026'!$B$74:$O$78,5, MATCH($O$87,'[3]TSX CĐ 2026'!$B$73:$O$73,0))</f>
        <v>65.019704076171124</v>
      </c>
    </row>
    <row r="98" spans="1:21" ht="15.75" x14ac:dyDescent="0.25">
      <c r="A98" s="4" t="s">
        <v>3</v>
      </c>
      <c r="B98" s="4">
        <f>INDEX('[1]TONG HOP'!$E$3:$P$42,7,MATCH($A98,'[1]TONG HOP'!$E$2:$P$2,0))</f>
        <v>21</v>
      </c>
      <c r="C98" s="3">
        <f>INDEX('[3]TSX CĐ 2026'!$B$74:$O$78,1, MATCH($B$87,'[3]TSX CĐ 2026'!$B$73:$O$73,0))</f>
        <v>31.404929112000893</v>
      </c>
      <c r="D98" s="3">
        <f>INDEX('[3]TSX CĐ 2026'!$B$74:$O$78,2, MATCH($B$87,'[3]TSX CĐ 2026'!$B$73:$O$73,0))</f>
        <v>189.55056098371097</v>
      </c>
      <c r="E98" s="2">
        <f t="shared" si="14"/>
        <v>659.50351135201879</v>
      </c>
      <c r="F98" s="2">
        <f t="shared" si="15"/>
        <v>3980.5617806579303</v>
      </c>
      <c r="G98" s="3">
        <f>INDEX('[3]TSX CĐ 2026'!$B$74:$O$78,4, MATCH($B$87,'[3]TSX CĐ 2026'!$B$73:$O$73,0))</f>
        <v>7.8512322780002233</v>
      </c>
      <c r="H98" s="2">
        <f>INDEX('[3]TSX CĐ 2026'!$B$74:$O$78,5, MATCH($B$87,'[3]TSX CĐ 2026'!$B$73:$O$73,0))</f>
        <v>47.387640245927741</v>
      </c>
      <c r="N98" s="4" t="s">
        <v>3</v>
      </c>
      <c r="O98" s="4">
        <f>INDEX('[1]TONG HOP'!$E$3:$P$42,7,MATCH($A98,'[1]TONG HOP'!$E$2:$P$2,0))</f>
        <v>21</v>
      </c>
      <c r="P98" s="3">
        <f>INDEX('[3]TSX CĐ 2026'!$B$74:$O$78,1, MATCH($O$87,'[3]TSX CĐ 2026'!$B$73:$O$73,0))</f>
        <v>2.0317073625850046</v>
      </c>
      <c r="Q98" s="3">
        <f>INDEX('[3]TSX CĐ 2026'!$B$74:$O$78,2, MATCH($O$87,'[3]TSX CĐ 2026'!$B$73:$O$73,0))</f>
        <v>130.03940815234225</v>
      </c>
      <c r="R98" s="2">
        <f t="shared" si="16"/>
        <v>42.665854614285095</v>
      </c>
      <c r="S98" s="2">
        <f t="shared" si="17"/>
        <v>2730.8275711991873</v>
      </c>
      <c r="T98" s="3">
        <f>INDEX('[3]TSX CĐ 2026'!$B$74:$O$78,4, MATCH($O$87,'[3]TSX CĐ 2026'!$B$73:$O$73,0))</f>
        <v>1.0158536812925023</v>
      </c>
      <c r="U98" s="2">
        <f>INDEX('[3]TSX CĐ 2026'!$B$74:$O$78,5, MATCH($O$87,'[3]TSX CĐ 2026'!$B$73:$O$73,0))</f>
        <v>65.019704076171124</v>
      </c>
    </row>
    <row r="99" spans="1:21" ht="15.75" x14ac:dyDescent="0.25">
      <c r="A99" s="4" t="s">
        <v>2</v>
      </c>
      <c r="B99" s="4">
        <f>INDEX('[1]TONG HOP'!$E$3:$P$42,7,MATCH($A99,'[1]TONG HOP'!$E$2:$P$2,0))</f>
        <v>22</v>
      </c>
      <c r="C99" s="3">
        <f>INDEX('[3]TSX CĐ 2026'!$B$74:$O$78,1, MATCH($B$87,'[3]TSX CĐ 2026'!$B$73:$O$73,0))</f>
        <v>31.404929112000893</v>
      </c>
      <c r="D99" s="3">
        <f>INDEX('[3]TSX CĐ 2026'!$B$74:$O$78,2, MATCH($B$87,'[3]TSX CĐ 2026'!$B$73:$O$73,0))</f>
        <v>189.55056098371097</v>
      </c>
      <c r="E99" s="2">
        <f t="shared" si="14"/>
        <v>690.90844046401969</v>
      </c>
      <c r="F99" s="2">
        <f t="shared" si="15"/>
        <v>4170.1123416416413</v>
      </c>
      <c r="G99" s="3">
        <f>INDEX('[3]TSX CĐ 2026'!$B$74:$O$78,4, MATCH($B$87,'[3]TSX CĐ 2026'!$B$73:$O$73,0))</f>
        <v>7.8512322780002233</v>
      </c>
      <c r="H99" s="2">
        <f>INDEX('[3]TSX CĐ 2026'!$B$74:$O$78,5, MATCH($B$87,'[3]TSX CĐ 2026'!$B$73:$O$73,0))</f>
        <v>47.387640245927741</v>
      </c>
      <c r="N99" s="4" t="s">
        <v>2</v>
      </c>
      <c r="O99" s="4">
        <f>INDEX('[1]TONG HOP'!$E$3:$P$42,7,MATCH($A99,'[1]TONG HOP'!$E$2:$P$2,0))</f>
        <v>22</v>
      </c>
      <c r="P99" s="3">
        <f>INDEX('[3]TSX CĐ 2026'!$B$74:$O$78,1, MATCH($O$87,'[3]TSX CĐ 2026'!$B$73:$O$73,0))</f>
        <v>2.0317073625850046</v>
      </c>
      <c r="Q99" s="3">
        <f>INDEX('[3]TSX CĐ 2026'!$B$74:$O$78,2, MATCH($O$87,'[3]TSX CĐ 2026'!$B$73:$O$73,0))</f>
        <v>130.03940815234225</v>
      </c>
      <c r="R99" s="2">
        <f t="shared" si="16"/>
        <v>44.697561976870105</v>
      </c>
      <c r="S99" s="2">
        <f t="shared" si="17"/>
        <v>2860.8669793515296</v>
      </c>
      <c r="T99" s="3">
        <f>INDEX('[3]TSX CĐ 2026'!$B$74:$O$78,4, MATCH($O$87,'[3]TSX CĐ 2026'!$B$73:$O$73,0))</f>
        <v>1.0158536812925023</v>
      </c>
      <c r="U99" s="2">
        <f>INDEX('[3]TSX CĐ 2026'!$B$74:$O$78,5, MATCH($O$87,'[3]TSX CĐ 2026'!$B$73:$O$73,0))</f>
        <v>65.019704076171124</v>
      </c>
    </row>
    <row r="100" spans="1:21" ht="15.75" x14ac:dyDescent="0.25">
      <c r="A100" s="4" t="s">
        <v>1</v>
      </c>
      <c r="B100" s="4">
        <f>INDEX('[1]TONG HOP'!$E$3:$P$42,7,MATCH($A100,'[1]TONG HOP'!$E$2:$P$2,0))</f>
        <v>21</v>
      </c>
      <c r="C100" s="3">
        <f>INDEX('[3]TSX CĐ 2026'!$B$74:$O$78,1, MATCH($B$87,'[3]TSX CĐ 2026'!$B$73:$O$73,0))</f>
        <v>31.404929112000893</v>
      </c>
      <c r="D100" s="3">
        <f>INDEX('[3]TSX CĐ 2026'!$B$74:$O$78,2, MATCH($B$87,'[3]TSX CĐ 2026'!$B$73:$O$73,0))</f>
        <v>189.55056098371097</v>
      </c>
      <c r="E100" s="2">
        <f t="shared" si="14"/>
        <v>659.50351135201879</v>
      </c>
      <c r="F100" s="2">
        <f t="shared" si="15"/>
        <v>3980.5617806579303</v>
      </c>
      <c r="G100" s="3">
        <f>INDEX('[3]TSX CĐ 2026'!$B$74:$O$78,4, MATCH($B$87,'[3]TSX CĐ 2026'!$B$73:$O$73,0))</f>
        <v>7.8512322780002233</v>
      </c>
      <c r="H100" s="2">
        <f>INDEX('[3]TSX CĐ 2026'!$B$74:$O$78,5, MATCH($B$87,'[3]TSX CĐ 2026'!$B$73:$O$73,0))</f>
        <v>47.387640245927741</v>
      </c>
      <c r="N100" s="4" t="s">
        <v>1</v>
      </c>
      <c r="O100" s="4">
        <f>INDEX('[1]TONG HOP'!$E$3:$P$42,7,MATCH($A100,'[1]TONG HOP'!$E$2:$P$2,0))</f>
        <v>21</v>
      </c>
      <c r="P100" s="3">
        <f>INDEX('[3]TSX CĐ 2026'!$B$74:$O$78,1, MATCH($O$87,'[3]TSX CĐ 2026'!$B$73:$O$73,0))</f>
        <v>2.0317073625850046</v>
      </c>
      <c r="Q100" s="3">
        <f>INDEX('[3]TSX CĐ 2026'!$B$74:$O$78,2, MATCH($O$87,'[3]TSX CĐ 2026'!$B$73:$O$73,0))</f>
        <v>130.03940815234225</v>
      </c>
      <c r="R100" s="2">
        <f t="shared" si="16"/>
        <v>42.665854614285095</v>
      </c>
      <c r="S100" s="2">
        <f t="shared" si="17"/>
        <v>2730.8275711991873</v>
      </c>
      <c r="T100" s="3">
        <f>INDEX('[3]TSX CĐ 2026'!$B$74:$O$78,4, MATCH($O$87,'[3]TSX CĐ 2026'!$B$73:$O$73,0))</f>
        <v>1.0158536812925023</v>
      </c>
      <c r="U100" s="2">
        <f>INDEX('[3]TSX CĐ 2026'!$B$74:$O$78,5, MATCH($O$87,'[3]TSX CĐ 2026'!$B$73:$O$73,0))</f>
        <v>65.019704076171124</v>
      </c>
    </row>
    <row r="101" spans="1:21" ht="15.75" x14ac:dyDescent="0.25">
      <c r="A101" s="4" t="s">
        <v>0</v>
      </c>
      <c r="B101" s="4">
        <f>INDEX('[1]TONG HOP'!$E$3:$P$42,7,MATCH($A101,'[1]TONG HOP'!$E$2:$P$2,0))</f>
        <v>22</v>
      </c>
      <c r="C101" s="3">
        <f>INDEX('[3]TSX CĐ 2026'!$B$74:$O$78,1, MATCH($B$87,'[3]TSX CĐ 2026'!$B$73:$O$73,0))</f>
        <v>31.404929112000893</v>
      </c>
      <c r="D101" s="3">
        <f>INDEX('[3]TSX CĐ 2026'!$B$74:$O$78,2, MATCH($B$87,'[3]TSX CĐ 2026'!$B$73:$O$73,0))</f>
        <v>189.55056098371097</v>
      </c>
      <c r="E101" s="2">
        <f t="shared" si="14"/>
        <v>690.90844046401969</v>
      </c>
      <c r="F101" s="2">
        <f t="shared" si="15"/>
        <v>4170.1123416416413</v>
      </c>
      <c r="G101" s="3">
        <f>INDEX('[3]TSX CĐ 2026'!$B$74:$O$78,4, MATCH($B$87,'[3]TSX CĐ 2026'!$B$73:$O$73,0))</f>
        <v>7.8512322780002233</v>
      </c>
      <c r="H101" s="2">
        <f>INDEX('[3]TSX CĐ 2026'!$B$74:$O$78,5, MATCH($B$87,'[3]TSX CĐ 2026'!$B$73:$O$73,0))</f>
        <v>47.387640245927741</v>
      </c>
      <c r="N101" s="4" t="s">
        <v>0</v>
      </c>
      <c r="O101" s="4">
        <f>INDEX('[1]TONG HOP'!$E$3:$P$42,7,MATCH($A101,'[1]TONG HOP'!$E$2:$P$2,0))</f>
        <v>22</v>
      </c>
      <c r="P101" s="3">
        <f>INDEX('[3]TSX CĐ 2026'!$B$74:$O$78,1, MATCH($O$87,'[3]TSX CĐ 2026'!$B$73:$O$73,0))</f>
        <v>2.0317073625850046</v>
      </c>
      <c r="Q101" s="3">
        <f>INDEX('[3]TSX CĐ 2026'!$B$74:$O$78,2, MATCH($O$87,'[3]TSX CĐ 2026'!$B$73:$O$73,0))</f>
        <v>130.03940815234225</v>
      </c>
      <c r="R101" s="2">
        <f t="shared" si="16"/>
        <v>44.697561976870105</v>
      </c>
      <c r="S101" s="2">
        <f t="shared" si="17"/>
        <v>2860.8669793515296</v>
      </c>
      <c r="T101" s="3">
        <f>INDEX('[3]TSX CĐ 2026'!$B$74:$O$78,4, MATCH($O$87,'[3]TSX CĐ 2026'!$B$73:$O$73,0))</f>
        <v>1.0158536812925023</v>
      </c>
      <c r="U101" s="2">
        <f>INDEX('[3]TSX CĐ 2026'!$B$74:$O$78,5, MATCH($O$87,'[3]TSX CĐ 2026'!$B$73:$O$73,0))</f>
        <v>65.019704076171124</v>
      </c>
    </row>
    <row r="104" spans="1:21" ht="15.75" x14ac:dyDescent="0.25">
      <c r="A104" s="4" t="s">
        <v>21</v>
      </c>
      <c r="B104" s="6" t="s">
        <v>26</v>
      </c>
      <c r="N104" s="4" t="s">
        <v>21</v>
      </c>
      <c r="O104" s="6" t="s">
        <v>25</v>
      </c>
    </row>
    <row r="106" spans="1:21" ht="47.25" x14ac:dyDescent="0.25">
      <c r="A106" s="5" t="s">
        <v>19</v>
      </c>
      <c r="B106" s="5" t="s">
        <v>18</v>
      </c>
      <c r="C106" s="5" t="s">
        <v>17</v>
      </c>
      <c r="D106" s="5" t="s">
        <v>16</v>
      </c>
      <c r="E106" s="5" t="s">
        <v>15</v>
      </c>
      <c r="F106" s="5" t="s">
        <v>14</v>
      </c>
      <c r="G106" s="5" t="s">
        <v>13</v>
      </c>
      <c r="H106" s="5" t="s">
        <v>12</v>
      </c>
      <c r="N106" s="5" t="s">
        <v>19</v>
      </c>
      <c r="O106" s="5" t="s">
        <v>18</v>
      </c>
      <c r="P106" s="5" t="s">
        <v>17</v>
      </c>
      <c r="Q106" s="5" t="s">
        <v>16</v>
      </c>
      <c r="R106" s="5" t="s">
        <v>15</v>
      </c>
      <c r="S106" s="5" t="s">
        <v>14</v>
      </c>
      <c r="T106" s="5" t="s">
        <v>13</v>
      </c>
      <c r="U106" s="5" t="s">
        <v>12</v>
      </c>
    </row>
    <row r="107" spans="1:21" ht="15.75" x14ac:dyDescent="0.25">
      <c r="A107" s="4" t="s">
        <v>11</v>
      </c>
      <c r="B107" s="4">
        <f>INDEX('[1]TONG HOP'!$E$3:$P$42,7,MATCH($A107,'[1]TONG HOP'!$E$2:$P$2,0))</f>
        <v>22</v>
      </c>
      <c r="C107" s="3">
        <f>INDEX('[3]TSX CĐ 2026'!$B$74:$O$78,1, MATCH($B$104,'[3]TSX CĐ 2026'!$B$73:$O$73,0))</f>
        <v>15.114615455378672</v>
      </c>
      <c r="D107" s="3">
        <f>INDEX('[3]TSX CĐ 2026'!$B$74:$O$78,2, MATCH($B$104,'[3]TSX CĐ 2026'!$B$73:$O$73,0))</f>
        <v>107.05370820253337</v>
      </c>
      <c r="E107" s="2">
        <f t="shared" ref="E107:E118" si="18">C107*B107</f>
        <v>332.52154001833077</v>
      </c>
      <c r="F107" s="2">
        <f t="shared" ref="F107:F118" si="19">D107*B107</f>
        <v>2355.1815804557341</v>
      </c>
      <c r="G107" s="3">
        <f>INDEX('[3]TSX CĐ 2026'!$B$74:$O$78,4, MATCH($B$104,'[3]TSX CĐ 2026'!$B$73:$O$73,0))</f>
        <v>15.114615455378672</v>
      </c>
      <c r="H107" s="2">
        <f>INDEX('[3]TSX CĐ 2026'!$B$74:$O$78,5, MATCH($B$104,'[3]TSX CĐ 2026'!$B$73:$O$73,0))</f>
        <v>107.05370820253337</v>
      </c>
      <c r="N107" s="4" t="s">
        <v>11</v>
      </c>
      <c r="O107" s="4">
        <f>INDEX('[1]TONG HOP'!$E$3:$P$42,7,MATCH($A107,'[1]TONG HOP'!$E$2:$P$2,0))</f>
        <v>22</v>
      </c>
      <c r="P107" s="3">
        <f>INDEX('[3]TSX CĐ 2026'!$B$74:$O$78,1, MATCH($O$104,'[3]TSX CĐ 2026'!$B$73:$O$73,0))</f>
        <v>5.9555888164179187</v>
      </c>
      <c r="Q107" s="3">
        <f>INDEX('[3]TSX CĐ 2026'!$B$74:$O$78,2, MATCH($O$104,'[3]TSX CĐ 2026'!$B$73:$O$73,0))</f>
        <v>20.919301301118999</v>
      </c>
      <c r="R107" s="2">
        <f t="shared" ref="R107:R118" si="20">P107*O107</f>
        <v>131.02295396119422</v>
      </c>
      <c r="S107" s="2">
        <f t="shared" ref="S107:S118" si="21">Q107*O107</f>
        <v>460.22462862461799</v>
      </c>
      <c r="T107" s="3">
        <f>INDEX('[3]TSX CĐ 2026'!$B$74:$O$78,4, MATCH($O$104,'[3]TSX CĐ 2026'!$B$73:$O$73,0))</f>
        <v>1.4888972041044797</v>
      </c>
      <c r="U107" s="2">
        <f>INDEX('[3]TSX CĐ 2026'!$B$74:$O$78,5, MATCH($O$104,'[3]TSX CĐ 2026'!$B$73:$O$73,0))</f>
        <v>5.2298253252797497</v>
      </c>
    </row>
    <row r="108" spans="1:21" ht="15.75" x14ac:dyDescent="0.25">
      <c r="A108" s="4" t="s">
        <v>10</v>
      </c>
      <c r="B108" s="4">
        <f>INDEX('[1]TONG HOP'!$E$3:$P$42,7,MATCH($A108,'[1]TONG HOP'!$E$2:$P$2,0))</f>
        <v>15</v>
      </c>
      <c r="C108" s="3">
        <f>INDEX('[3]TSX CĐ 2026'!$B$74:$O$78,1, MATCH($B$104,'[3]TSX CĐ 2026'!$B$73:$O$73,0))</f>
        <v>15.114615455378672</v>
      </c>
      <c r="D108" s="3">
        <f>INDEX('[3]TSX CĐ 2026'!$B$74:$O$78,2, MATCH($B$104,'[3]TSX CĐ 2026'!$B$73:$O$73,0))</f>
        <v>107.05370820253337</v>
      </c>
      <c r="E108" s="2">
        <f t="shared" si="18"/>
        <v>226.71923183068009</v>
      </c>
      <c r="F108" s="2">
        <f t="shared" si="19"/>
        <v>1605.8056230380005</v>
      </c>
      <c r="G108" s="3">
        <f>INDEX('[3]TSX CĐ 2026'!$B$74:$O$78,4, MATCH($B$104,'[3]TSX CĐ 2026'!$B$73:$O$73,0))</f>
        <v>15.114615455378672</v>
      </c>
      <c r="H108" s="2">
        <f>INDEX('[3]TSX CĐ 2026'!$B$74:$O$78,5, MATCH($B$104,'[3]TSX CĐ 2026'!$B$73:$O$73,0))</f>
        <v>107.05370820253337</v>
      </c>
      <c r="N108" s="4" t="s">
        <v>10</v>
      </c>
      <c r="O108" s="4">
        <f>INDEX('[1]TONG HOP'!$E$3:$P$42,7,MATCH($A108,'[1]TONG HOP'!$E$2:$P$2,0))</f>
        <v>15</v>
      </c>
      <c r="P108" s="3">
        <f>INDEX('[3]TSX CĐ 2026'!$B$74:$O$78,1, MATCH($O$104,'[3]TSX CĐ 2026'!$B$73:$O$73,0))</f>
        <v>5.9555888164179187</v>
      </c>
      <c r="Q108" s="3">
        <f>INDEX('[3]TSX CĐ 2026'!$B$74:$O$78,2, MATCH($O$104,'[3]TSX CĐ 2026'!$B$73:$O$73,0))</f>
        <v>20.919301301118999</v>
      </c>
      <c r="R108" s="2">
        <f t="shared" si="20"/>
        <v>89.333832246268784</v>
      </c>
      <c r="S108" s="2">
        <f t="shared" si="21"/>
        <v>313.78951951678499</v>
      </c>
      <c r="T108" s="3">
        <f>INDEX('[3]TSX CĐ 2026'!$B$74:$O$78,4, MATCH($O$104,'[3]TSX CĐ 2026'!$B$73:$O$73,0))</f>
        <v>1.4888972041044797</v>
      </c>
      <c r="U108" s="2">
        <f>INDEX('[3]TSX CĐ 2026'!$B$74:$O$78,5, MATCH($O$104,'[3]TSX CĐ 2026'!$B$73:$O$73,0))</f>
        <v>5.2298253252797497</v>
      </c>
    </row>
    <row r="109" spans="1:21" ht="15.75" x14ac:dyDescent="0.25">
      <c r="A109" s="4" t="s">
        <v>9</v>
      </c>
      <c r="B109" s="4">
        <f>INDEX('[1]TONG HOP'!$E$3:$P$42,7,MATCH($A109,'[1]TONG HOP'!$E$2:$P$2,0))</f>
        <v>22</v>
      </c>
      <c r="C109" s="3">
        <f>INDEX('[3]TSX CĐ 2026'!$B$74:$O$78,1, MATCH($B$104,'[3]TSX CĐ 2026'!$B$73:$O$73,0))</f>
        <v>15.114615455378672</v>
      </c>
      <c r="D109" s="3">
        <f>INDEX('[3]TSX CĐ 2026'!$B$74:$O$78,2, MATCH($B$104,'[3]TSX CĐ 2026'!$B$73:$O$73,0))</f>
        <v>107.05370820253337</v>
      </c>
      <c r="E109" s="2">
        <f t="shared" si="18"/>
        <v>332.52154001833077</v>
      </c>
      <c r="F109" s="2">
        <f t="shared" si="19"/>
        <v>2355.1815804557341</v>
      </c>
      <c r="G109" s="3">
        <f>INDEX('[3]TSX CĐ 2026'!$B$74:$O$78,4, MATCH($B$104,'[3]TSX CĐ 2026'!$B$73:$O$73,0))</f>
        <v>15.114615455378672</v>
      </c>
      <c r="H109" s="2">
        <f>INDEX('[3]TSX CĐ 2026'!$B$74:$O$78,5, MATCH($B$104,'[3]TSX CĐ 2026'!$B$73:$O$73,0))</f>
        <v>107.05370820253337</v>
      </c>
      <c r="N109" s="4" t="s">
        <v>9</v>
      </c>
      <c r="O109" s="4">
        <f>INDEX('[1]TONG HOP'!$E$3:$P$42,7,MATCH($A109,'[1]TONG HOP'!$E$2:$P$2,0))</f>
        <v>22</v>
      </c>
      <c r="P109" s="3">
        <f>INDEX('[3]TSX CĐ 2026'!$B$74:$O$78,1, MATCH($O$104,'[3]TSX CĐ 2026'!$B$73:$O$73,0))</f>
        <v>5.9555888164179187</v>
      </c>
      <c r="Q109" s="3">
        <f>INDEX('[3]TSX CĐ 2026'!$B$74:$O$78,2, MATCH($O$104,'[3]TSX CĐ 2026'!$B$73:$O$73,0))</f>
        <v>20.919301301118999</v>
      </c>
      <c r="R109" s="2">
        <f t="shared" si="20"/>
        <v>131.02295396119422</v>
      </c>
      <c r="S109" s="2">
        <f t="shared" si="21"/>
        <v>460.22462862461799</v>
      </c>
      <c r="T109" s="3">
        <f>INDEX('[3]TSX CĐ 2026'!$B$74:$O$78,4, MATCH($O$104,'[3]TSX CĐ 2026'!$B$73:$O$73,0))</f>
        <v>1.4888972041044797</v>
      </c>
      <c r="U109" s="2">
        <f>INDEX('[3]TSX CĐ 2026'!$B$74:$O$78,5, MATCH($O$104,'[3]TSX CĐ 2026'!$B$73:$O$73,0))</f>
        <v>5.2298253252797497</v>
      </c>
    </row>
    <row r="110" spans="1:21" ht="15.75" x14ac:dyDescent="0.25">
      <c r="A110" s="4" t="s">
        <v>8</v>
      </c>
      <c r="B110" s="4">
        <f>INDEX('[1]TONG HOP'!$E$3:$P$42,7,MATCH($A110,'[1]TONG HOP'!$E$2:$P$2,0))</f>
        <v>21</v>
      </c>
      <c r="C110" s="3">
        <f>INDEX('[3]TSX CĐ 2026'!$B$74:$O$78,1, MATCH($B$104,'[3]TSX CĐ 2026'!$B$73:$O$73,0))</f>
        <v>15.114615455378672</v>
      </c>
      <c r="D110" s="3">
        <f>INDEX('[3]TSX CĐ 2026'!$B$74:$O$78,2, MATCH($B$104,'[3]TSX CĐ 2026'!$B$73:$O$73,0))</f>
        <v>107.05370820253337</v>
      </c>
      <c r="E110" s="2">
        <f t="shared" si="18"/>
        <v>317.4069245629521</v>
      </c>
      <c r="F110" s="2">
        <f t="shared" si="19"/>
        <v>2248.1278722532006</v>
      </c>
      <c r="G110" s="3">
        <f>INDEX('[3]TSX CĐ 2026'!$B$74:$O$78,4, MATCH($B$104,'[3]TSX CĐ 2026'!$B$73:$O$73,0))</f>
        <v>15.114615455378672</v>
      </c>
      <c r="H110" s="2">
        <f>INDEX('[3]TSX CĐ 2026'!$B$74:$O$78,5, MATCH($B$104,'[3]TSX CĐ 2026'!$B$73:$O$73,0))</f>
        <v>107.05370820253337</v>
      </c>
      <c r="N110" s="4" t="s">
        <v>8</v>
      </c>
      <c r="O110" s="4">
        <f>INDEX('[1]TONG HOP'!$E$3:$P$42,7,MATCH($A110,'[1]TONG HOP'!$E$2:$P$2,0))</f>
        <v>21</v>
      </c>
      <c r="P110" s="3">
        <f>INDEX('[3]TSX CĐ 2026'!$B$74:$O$78,1, MATCH($O$104,'[3]TSX CĐ 2026'!$B$73:$O$73,0))</f>
        <v>5.9555888164179187</v>
      </c>
      <c r="Q110" s="3">
        <f>INDEX('[3]TSX CĐ 2026'!$B$74:$O$78,2, MATCH($O$104,'[3]TSX CĐ 2026'!$B$73:$O$73,0))</f>
        <v>20.919301301118999</v>
      </c>
      <c r="R110" s="2">
        <f t="shared" si="20"/>
        <v>125.06736514477629</v>
      </c>
      <c r="S110" s="2">
        <f t="shared" si="21"/>
        <v>439.305327323499</v>
      </c>
      <c r="T110" s="3">
        <f>INDEX('[3]TSX CĐ 2026'!$B$74:$O$78,4, MATCH($O$104,'[3]TSX CĐ 2026'!$B$73:$O$73,0))</f>
        <v>1.4888972041044797</v>
      </c>
      <c r="U110" s="2">
        <f>INDEX('[3]TSX CĐ 2026'!$B$74:$O$78,5, MATCH($O$104,'[3]TSX CĐ 2026'!$B$73:$O$73,0))</f>
        <v>5.2298253252797497</v>
      </c>
    </row>
    <row r="111" spans="1:21" ht="15.75" x14ac:dyDescent="0.25">
      <c r="A111" s="4" t="s">
        <v>7</v>
      </c>
      <c r="B111" s="4">
        <f>INDEX('[1]TONG HOP'!$E$3:$P$42,7,MATCH($A111,'[1]TONG HOP'!$E$2:$P$2,0))</f>
        <v>20</v>
      </c>
      <c r="C111" s="3">
        <f>INDEX('[3]TSX CĐ 2026'!$B$74:$O$78,1, MATCH($B$104,'[3]TSX CĐ 2026'!$B$73:$O$73,0))</f>
        <v>15.114615455378672</v>
      </c>
      <c r="D111" s="3">
        <f>INDEX('[3]TSX CĐ 2026'!$B$74:$O$78,2, MATCH($B$104,'[3]TSX CĐ 2026'!$B$73:$O$73,0))</f>
        <v>107.05370820253337</v>
      </c>
      <c r="E111" s="2">
        <f t="shared" si="18"/>
        <v>302.29230910757343</v>
      </c>
      <c r="F111" s="2">
        <f t="shared" si="19"/>
        <v>2141.0741640506676</v>
      </c>
      <c r="G111" s="3">
        <f>INDEX('[3]TSX CĐ 2026'!$B$74:$O$78,4, MATCH($B$104,'[3]TSX CĐ 2026'!$B$73:$O$73,0))</f>
        <v>15.114615455378672</v>
      </c>
      <c r="H111" s="2">
        <f>INDEX('[3]TSX CĐ 2026'!$B$74:$O$78,5, MATCH($B$104,'[3]TSX CĐ 2026'!$B$73:$O$73,0))</f>
        <v>107.05370820253337</v>
      </c>
      <c r="N111" s="4" t="s">
        <v>7</v>
      </c>
      <c r="O111" s="4">
        <f>INDEX('[1]TONG HOP'!$E$3:$P$42,7,MATCH($A111,'[1]TONG HOP'!$E$2:$P$2,0))</f>
        <v>20</v>
      </c>
      <c r="P111" s="3">
        <f>INDEX('[3]TSX CĐ 2026'!$B$74:$O$78,1, MATCH($O$104,'[3]TSX CĐ 2026'!$B$73:$O$73,0))</f>
        <v>5.9555888164179187</v>
      </c>
      <c r="Q111" s="3">
        <f>INDEX('[3]TSX CĐ 2026'!$B$74:$O$78,2, MATCH($O$104,'[3]TSX CĐ 2026'!$B$73:$O$73,0))</f>
        <v>20.919301301118999</v>
      </c>
      <c r="R111" s="2">
        <f t="shared" si="20"/>
        <v>119.11177632835837</v>
      </c>
      <c r="S111" s="2">
        <f t="shared" si="21"/>
        <v>418.38602602237995</v>
      </c>
      <c r="T111" s="3">
        <f>INDEX('[3]TSX CĐ 2026'!$B$74:$O$78,4, MATCH($O$104,'[3]TSX CĐ 2026'!$B$73:$O$73,0))</f>
        <v>1.4888972041044797</v>
      </c>
      <c r="U111" s="2">
        <f>INDEX('[3]TSX CĐ 2026'!$B$74:$O$78,5, MATCH($O$104,'[3]TSX CĐ 2026'!$B$73:$O$73,0))</f>
        <v>5.2298253252797497</v>
      </c>
    </row>
    <row r="112" spans="1:21" ht="15.75" x14ac:dyDescent="0.25">
      <c r="A112" s="4" t="s">
        <v>6</v>
      </c>
      <c r="B112" s="4">
        <f>INDEX('[1]TONG HOP'!$E$3:$P$42,7,MATCH($A112,'[1]TONG HOP'!$E$2:$P$2,0))</f>
        <v>22</v>
      </c>
      <c r="C112" s="3">
        <f>INDEX('[3]TSX CĐ 2026'!$B$74:$O$78,1, MATCH($B$104,'[3]TSX CĐ 2026'!$B$73:$O$73,0))</f>
        <v>15.114615455378672</v>
      </c>
      <c r="D112" s="3">
        <f>INDEX('[3]TSX CĐ 2026'!$B$74:$O$78,2, MATCH($B$104,'[3]TSX CĐ 2026'!$B$73:$O$73,0))</f>
        <v>107.05370820253337</v>
      </c>
      <c r="E112" s="2">
        <f t="shared" si="18"/>
        <v>332.52154001833077</v>
      </c>
      <c r="F112" s="2">
        <f t="shared" si="19"/>
        <v>2355.1815804557341</v>
      </c>
      <c r="G112" s="3">
        <f>INDEX('[3]TSX CĐ 2026'!$B$74:$O$78,4, MATCH($B$104,'[3]TSX CĐ 2026'!$B$73:$O$73,0))</f>
        <v>15.114615455378672</v>
      </c>
      <c r="H112" s="2">
        <f>INDEX('[3]TSX CĐ 2026'!$B$74:$O$78,5, MATCH($B$104,'[3]TSX CĐ 2026'!$B$73:$O$73,0))</f>
        <v>107.05370820253337</v>
      </c>
      <c r="N112" s="4" t="s">
        <v>6</v>
      </c>
      <c r="O112" s="4">
        <f>INDEX('[1]TONG HOP'!$E$3:$P$42,7,MATCH($A112,'[1]TONG HOP'!$E$2:$P$2,0))</f>
        <v>22</v>
      </c>
      <c r="P112" s="3">
        <f>INDEX('[3]TSX CĐ 2026'!$B$74:$O$78,1, MATCH($O$104,'[3]TSX CĐ 2026'!$B$73:$O$73,0))</f>
        <v>5.9555888164179187</v>
      </c>
      <c r="Q112" s="3">
        <f>INDEX('[3]TSX CĐ 2026'!$B$74:$O$78,2, MATCH($O$104,'[3]TSX CĐ 2026'!$B$73:$O$73,0))</f>
        <v>20.919301301118999</v>
      </c>
      <c r="R112" s="2">
        <f t="shared" si="20"/>
        <v>131.02295396119422</v>
      </c>
      <c r="S112" s="2">
        <f t="shared" si="21"/>
        <v>460.22462862461799</v>
      </c>
      <c r="T112" s="3">
        <f>INDEX('[3]TSX CĐ 2026'!$B$74:$O$78,4, MATCH($O$104,'[3]TSX CĐ 2026'!$B$73:$O$73,0))</f>
        <v>1.4888972041044797</v>
      </c>
      <c r="U112" s="2">
        <f>INDEX('[3]TSX CĐ 2026'!$B$74:$O$78,5, MATCH($O$104,'[3]TSX CĐ 2026'!$B$73:$O$73,0))</f>
        <v>5.2298253252797497</v>
      </c>
    </row>
    <row r="113" spans="1:21" ht="15.75" x14ac:dyDescent="0.25">
      <c r="A113" s="4" t="s">
        <v>5</v>
      </c>
      <c r="B113" s="4">
        <f>INDEX('[1]TONG HOP'!$E$3:$P$42,7,MATCH($A113,'[1]TONG HOP'!$E$2:$P$2,0))</f>
        <v>23</v>
      </c>
      <c r="C113" s="3">
        <f>INDEX('[3]TSX CĐ 2026'!$B$74:$O$78,1, MATCH($B$104,'[3]TSX CĐ 2026'!$B$73:$O$73,0))</f>
        <v>15.114615455378672</v>
      </c>
      <c r="D113" s="3">
        <f>INDEX('[3]TSX CĐ 2026'!$B$74:$O$78,2, MATCH($B$104,'[3]TSX CĐ 2026'!$B$73:$O$73,0))</f>
        <v>107.05370820253337</v>
      </c>
      <c r="E113" s="2">
        <f t="shared" si="18"/>
        <v>347.63615547370944</v>
      </c>
      <c r="F113" s="2">
        <f t="shared" si="19"/>
        <v>2462.2352886582676</v>
      </c>
      <c r="G113" s="3">
        <f>INDEX('[3]TSX CĐ 2026'!$B$74:$O$78,4, MATCH($B$104,'[3]TSX CĐ 2026'!$B$73:$O$73,0))</f>
        <v>15.114615455378672</v>
      </c>
      <c r="H113" s="2">
        <f>INDEX('[3]TSX CĐ 2026'!$B$74:$O$78,5, MATCH($B$104,'[3]TSX CĐ 2026'!$B$73:$O$73,0))</f>
        <v>107.05370820253337</v>
      </c>
      <c r="N113" s="4" t="s">
        <v>5</v>
      </c>
      <c r="O113" s="4">
        <f>INDEX('[1]TONG HOP'!$E$3:$P$42,7,MATCH($A113,'[1]TONG HOP'!$E$2:$P$2,0))</f>
        <v>23</v>
      </c>
      <c r="P113" s="3">
        <f>INDEX('[3]TSX CĐ 2026'!$B$74:$O$78,1, MATCH($O$104,'[3]TSX CĐ 2026'!$B$73:$O$73,0))</f>
        <v>5.9555888164179187</v>
      </c>
      <c r="Q113" s="3">
        <f>INDEX('[3]TSX CĐ 2026'!$B$74:$O$78,2, MATCH($O$104,'[3]TSX CĐ 2026'!$B$73:$O$73,0))</f>
        <v>20.919301301118999</v>
      </c>
      <c r="R113" s="2">
        <f t="shared" si="20"/>
        <v>136.97854277761212</v>
      </c>
      <c r="S113" s="2">
        <f t="shared" si="21"/>
        <v>481.14392992573698</v>
      </c>
      <c r="T113" s="3">
        <f>INDEX('[3]TSX CĐ 2026'!$B$74:$O$78,4, MATCH($O$104,'[3]TSX CĐ 2026'!$B$73:$O$73,0))</f>
        <v>1.4888972041044797</v>
      </c>
      <c r="U113" s="2">
        <f>INDEX('[3]TSX CĐ 2026'!$B$74:$O$78,5, MATCH($O$104,'[3]TSX CĐ 2026'!$B$73:$O$73,0))</f>
        <v>5.2298253252797497</v>
      </c>
    </row>
    <row r="114" spans="1:21" ht="15.75" x14ac:dyDescent="0.25">
      <c r="A114" s="4" t="s">
        <v>4</v>
      </c>
      <c r="B114" s="4">
        <f>INDEX('[1]TONG HOP'!$E$3:$P$42,7,MATCH($A114,'[1]TONG HOP'!$E$2:$P$2,0))</f>
        <v>21</v>
      </c>
      <c r="C114" s="3">
        <f>INDEX('[3]TSX CĐ 2026'!$B$74:$O$78,1, MATCH($B$104,'[3]TSX CĐ 2026'!$B$73:$O$73,0))</f>
        <v>15.114615455378672</v>
      </c>
      <c r="D114" s="3">
        <f>INDEX('[3]TSX CĐ 2026'!$B$74:$O$78,2, MATCH($B$104,'[3]TSX CĐ 2026'!$B$73:$O$73,0))</f>
        <v>107.05370820253337</v>
      </c>
      <c r="E114" s="2">
        <f t="shared" si="18"/>
        <v>317.4069245629521</v>
      </c>
      <c r="F114" s="2">
        <f t="shared" si="19"/>
        <v>2248.1278722532006</v>
      </c>
      <c r="G114" s="3">
        <f>INDEX('[3]TSX CĐ 2026'!$B$74:$O$78,4, MATCH($B$104,'[3]TSX CĐ 2026'!$B$73:$O$73,0))</f>
        <v>15.114615455378672</v>
      </c>
      <c r="H114" s="2">
        <f>INDEX('[3]TSX CĐ 2026'!$B$74:$O$78,5, MATCH($B$104,'[3]TSX CĐ 2026'!$B$73:$O$73,0))</f>
        <v>107.05370820253337</v>
      </c>
      <c r="N114" s="4" t="s">
        <v>4</v>
      </c>
      <c r="O114" s="4">
        <f>INDEX('[1]TONG HOP'!$E$3:$P$42,7,MATCH($A114,'[1]TONG HOP'!$E$2:$P$2,0))</f>
        <v>21</v>
      </c>
      <c r="P114" s="3">
        <f>INDEX('[3]TSX CĐ 2026'!$B$74:$O$78,1, MATCH($O$104,'[3]TSX CĐ 2026'!$B$73:$O$73,0))</f>
        <v>5.9555888164179187</v>
      </c>
      <c r="Q114" s="3">
        <f>INDEX('[3]TSX CĐ 2026'!$B$74:$O$78,2, MATCH($O$104,'[3]TSX CĐ 2026'!$B$73:$O$73,0))</f>
        <v>20.919301301118999</v>
      </c>
      <c r="R114" s="2">
        <f t="shared" si="20"/>
        <v>125.06736514477629</v>
      </c>
      <c r="S114" s="2">
        <f t="shared" si="21"/>
        <v>439.305327323499</v>
      </c>
      <c r="T114" s="3">
        <f>INDEX('[3]TSX CĐ 2026'!$B$74:$O$78,4, MATCH($O$104,'[3]TSX CĐ 2026'!$B$73:$O$73,0))</f>
        <v>1.4888972041044797</v>
      </c>
      <c r="U114" s="2">
        <f>INDEX('[3]TSX CĐ 2026'!$B$74:$O$78,5, MATCH($O$104,'[3]TSX CĐ 2026'!$B$73:$O$73,0))</f>
        <v>5.2298253252797497</v>
      </c>
    </row>
    <row r="115" spans="1:21" ht="15.75" x14ac:dyDescent="0.25">
      <c r="A115" s="4" t="s">
        <v>3</v>
      </c>
      <c r="B115" s="4">
        <f>INDEX('[1]TONG HOP'!$E$3:$P$42,7,MATCH($A115,'[1]TONG HOP'!$E$2:$P$2,0))</f>
        <v>21</v>
      </c>
      <c r="C115" s="3">
        <f>INDEX('[3]TSX CĐ 2026'!$B$74:$O$78,1, MATCH($B$104,'[3]TSX CĐ 2026'!$B$73:$O$73,0))</f>
        <v>15.114615455378672</v>
      </c>
      <c r="D115" s="3">
        <f>INDEX('[3]TSX CĐ 2026'!$B$74:$O$78,2, MATCH($B$104,'[3]TSX CĐ 2026'!$B$73:$O$73,0))</f>
        <v>107.05370820253337</v>
      </c>
      <c r="E115" s="2">
        <f t="shared" si="18"/>
        <v>317.4069245629521</v>
      </c>
      <c r="F115" s="2">
        <f t="shared" si="19"/>
        <v>2248.1278722532006</v>
      </c>
      <c r="G115" s="3">
        <f>INDEX('[3]TSX CĐ 2026'!$B$74:$O$78,4, MATCH($B$104,'[3]TSX CĐ 2026'!$B$73:$O$73,0))</f>
        <v>15.114615455378672</v>
      </c>
      <c r="H115" s="2">
        <f>INDEX('[3]TSX CĐ 2026'!$B$74:$O$78,5, MATCH($B$104,'[3]TSX CĐ 2026'!$B$73:$O$73,0))</f>
        <v>107.05370820253337</v>
      </c>
      <c r="N115" s="4" t="s">
        <v>3</v>
      </c>
      <c r="O115" s="4">
        <f>INDEX('[1]TONG HOP'!$E$3:$P$42,7,MATCH($A115,'[1]TONG HOP'!$E$2:$P$2,0))</f>
        <v>21</v>
      </c>
      <c r="P115" s="3">
        <f>INDEX('[3]TSX CĐ 2026'!$B$74:$O$78,1, MATCH($O$104,'[3]TSX CĐ 2026'!$B$73:$O$73,0))</f>
        <v>5.9555888164179187</v>
      </c>
      <c r="Q115" s="3">
        <f>INDEX('[3]TSX CĐ 2026'!$B$74:$O$78,2, MATCH($O$104,'[3]TSX CĐ 2026'!$B$73:$O$73,0))</f>
        <v>20.919301301118999</v>
      </c>
      <c r="R115" s="2">
        <f t="shared" si="20"/>
        <v>125.06736514477629</v>
      </c>
      <c r="S115" s="2">
        <f t="shared" si="21"/>
        <v>439.305327323499</v>
      </c>
      <c r="T115" s="3">
        <f>INDEX('[3]TSX CĐ 2026'!$B$74:$O$78,4, MATCH($O$104,'[3]TSX CĐ 2026'!$B$73:$O$73,0))</f>
        <v>1.4888972041044797</v>
      </c>
      <c r="U115" s="2">
        <f>INDEX('[3]TSX CĐ 2026'!$B$74:$O$78,5, MATCH($O$104,'[3]TSX CĐ 2026'!$B$73:$O$73,0))</f>
        <v>5.2298253252797497</v>
      </c>
    </row>
    <row r="116" spans="1:21" ht="15.75" x14ac:dyDescent="0.25">
      <c r="A116" s="4" t="s">
        <v>2</v>
      </c>
      <c r="B116" s="4">
        <f>INDEX('[1]TONG HOP'!$E$3:$P$42,7,MATCH($A116,'[1]TONG HOP'!$E$2:$P$2,0))</f>
        <v>22</v>
      </c>
      <c r="C116" s="3">
        <f>INDEX('[3]TSX CĐ 2026'!$B$74:$O$78,1, MATCH($B$104,'[3]TSX CĐ 2026'!$B$73:$O$73,0))</f>
        <v>15.114615455378672</v>
      </c>
      <c r="D116" s="3">
        <f>INDEX('[3]TSX CĐ 2026'!$B$74:$O$78,2, MATCH($B$104,'[3]TSX CĐ 2026'!$B$73:$O$73,0))</f>
        <v>107.05370820253337</v>
      </c>
      <c r="E116" s="2">
        <f t="shared" si="18"/>
        <v>332.52154001833077</v>
      </c>
      <c r="F116" s="2">
        <f t="shared" si="19"/>
        <v>2355.1815804557341</v>
      </c>
      <c r="G116" s="3">
        <f>INDEX('[3]TSX CĐ 2026'!$B$74:$O$78,4, MATCH($B$104,'[3]TSX CĐ 2026'!$B$73:$O$73,0))</f>
        <v>15.114615455378672</v>
      </c>
      <c r="H116" s="2">
        <f>INDEX('[3]TSX CĐ 2026'!$B$74:$O$78,5, MATCH($B$104,'[3]TSX CĐ 2026'!$B$73:$O$73,0))</f>
        <v>107.05370820253337</v>
      </c>
      <c r="N116" s="4" t="s">
        <v>2</v>
      </c>
      <c r="O116" s="4">
        <f>INDEX('[1]TONG HOP'!$E$3:$P$42,7,MATCH($A116,'[1]TONG HOP'!$E$2:$P$2,0))</f>
        <v>22</v>
      </c>
      <c r="P116" s="3">
        <f>INDEX('[3]TSX CĐ 2026'!$B$74:$O$78,1, MATCH($O$104,'[3]TSX CĐ 2026'!$B$73:$O$73,0))</f>
        <v>5.9555888164179187</v>
      </c>
      <c r="Q116" s="3">
        <f>INDEX('[3]TSX CĐ 2026'!$B$74:$O$78,2, MATCH($O$104,'[3]TSX CĐ 2026'!$B$73:$O$73,0))</f>
        <v>20.919301301118999</v>
      </c>
      <c r="R116" s="2">
        <f t="shared" si="20"/>
        <v>131.02295396119422</v>
      </c>
      <c r="S116" s="2">
        <f t="shared" si="21"/>
        <v>460.22462862461799</v>
      </c>
      <c r="T116" s="3">
        <f>INDEX('[3]TSX CĐ 2026'!$B$74:$O$78,4, MATCH($O$104,'[3]TSX CĐ 2026'!$B$73:$O$73,0))</f>
        <v>1.4888972041044797</v>
      </c>
      <c r="U116" s="2">
        <f>INDEX('[3]TSX CĐ 2026'!$B$74:$O$78,5, MATCH($O$104,'[3]TSX CĐ 2026'!$B$73:$O$73,0))</f>
        <v>5.2298253252797497</v>
      </c>
    </row>
    <row r="117" spans="1:21" ht="15.75" x14ac:dyDescent="0.25">
      <c r="A117" s="4" t="s">
        <v>1</v>
      </c>
      <c r="B117" s="4">
        <f>INDEX('[1]TONG HOP'!$E$3:$P$42,7,MATCH($A117,'[1]TONG HOP'!$E$2:$P$2,0))</f>
        <v>21</v>
      </c>
      <c r="C117" s="3">
        <f>INDEX('[3]TSX CĐ 2026'!$B$74:$O$78,1, MATCH($B$104,'[3]TSX CĐ 2026'!$B$73:$O$73,0))</f>
        <v>15.114615455378672</v>
      </c>
      <c r="D117" s="3">
        <f>INDEX('[3]TSX CĐ 2026'!$B$74:$O$78,2, MATCH($B$104,'[3]TSX CĐ 2026'!$B$73:$O$73,0))</f>
        <v>107.05370820253337</v>
      </c>
      <c r="E117" s="2">
        <f t="shared" si="18"/>
        <v>317.4069245629521</v>
      </c>
      <c r="F117" s="2">
        <f t="shared" si="19"/>
        <v>2248.1278722532006</v>
      </c>
      <c r="G117" s="3">
        <f>INDEX('[3]TSX CĐ 2026'!$B$74:$O$78,4, MATCH($B$104,'[3]TSX CĐ 2026'!$B$73:$O$73,0))</f>
        <v>15.114615455378672</v>
      </c>
      <c r="H117" s="2">
        <f>INDEX('[3]TSX CĐ 2026'!$B$74:$O$78,5, MATCH($B$104,'[3]TSX CĐ 2026'!$B$73:$O$73,0))</f>
        <v>107.05370820253337</v>
      </c>
      <c r="N117" s="4" t="s">
        <v>1</v>
      </c>
      <c r="O117" s="4">
        <f>INDEX('[1]TONG HOP'!$E$3:$P$42,7,MATCH($A117,'[1]TONG HOP'!$E$2:$P$2,0))</f>
        <v>21</v>
      </c>
      <c r="P117" s="3">
        <f>INDEX('[3]TSX CĐ 2026'!$B$74:$O$78,1, MATCH($O$104,'[3]TSX CĐ 2026'!$B$73:$O$73,0))</f>
        <v>5.9555888164179187</v>
      </c>
      <c r="Q117" s="3">
        <f>INDEX('[3]TSX CĐ 2026'!$B$74:$O$78,2, MATCH($O$104,'[3]TSX CĐ 2026'!$B$73:$O$73,0))</f>
        <v>20.919301301118999</v>
      </c>
      <c r="R117" s="2">
        <f t="shared" si="20"/>
        <v>125.06736514477629</v>
      </c>
      <c r="S117" s="2">
        <f t="shared" si="21"/>
        <v>439.305327323499</v>
      </c>
      <c r="T117" s="3">
        <f>INDEX('[3]TSX CĐ 2026'!$B$74:$O$78,4, MATCH($O$104,'[3]TSX CĐ 2026'!$B$73:$O$73,0))</f>
        <v>1.4888972041044797</v>
      </c>
      <c r="U117" s="2">
        <f>INDEX('[3]TSX CĐ 2026'!$B$74:$O$78,5, MATCH($O$104,'[3]TSX CĐ 2026'!$B$73:$O$73,0))</f>
        <v>5.2298253252797497</v>
      </c>
    </row>
    <row r="118" spans="1:21" ht="15.75" x14ac:dyDescent="0.25">
      <c r="A118" s="4" t="s">
        <v>0</v>
      </c>
      <c r="B118" s="4">
        <f>INDEX('[1]TONG HOP'!$E$3:$P$42,7,MATCH($A118,'[1]TONG HOP'!$E$2:$P$2,0))</f>
        <v>22</v>
      </c>
      <c r="C118" s="3">
        <f>INDEX('[3]TSX CĐ 2026'!$B$74:$O$78,1, MATCH($B$104,'[3]TSX CĐ 2026'!$B$73:$O$73,0))</f>
        <v>15.114615455378672</v>
      </c>
      <c r="D118" s="3">
        <f>INDEX('[3]TSX CĐ 2026'!$B$74:$O$78,2, MATCH($B$104,'[3]TSX CĐ 2026'!$B$73:$O$73,0))</f>
        <v>107.05370820253337</v>
      </c>
      <c r="E118" s="2">
        <f t="shared" si="18"/>
        <v>332.52154001833077</v>
      </c>
      <c r="F118" s="2">
        <f t="shared" si="19"/>
        <v>2355.1815804557341</v>
      </c>
      <c r="G118" s="3">
        <f>INDEX('[3]TSX CĐ 2026'!$B$74:$O$78,4, MATCH($B$104,'[3]TSX CĐ 2026'!$B$73:$O$73,0))</f>
        <v>15.114615455378672</v>
      </c>
      <c r="H118" s="2">
        <f>INDEX('[3]TSX CĐ 2026'!$B$74:$O$78,5, MATCH($B$104,'[3]TSX CĐ 2026'!$B$73:$O$73,0))</f>
        <v>107.05370820253337</v>
      </c>
      <c r="N118" s="4" t="s">
        <v>0</v>
      </c>
      <c r="O118" s="4">
        <f>INDEX('[1]TONG HOP'!$E$3:$P$42,7,MATCH($A118,'[1]TONG HOP'!$E$2:$P$2,0))</f>
        <v>22</v>
      </c>
      <c r="P118" s="3">
        <f>INDEX('[3]TSX CĐ 2026'!$B$74:$O$78,1, MATCH($O$104,'[3]TSX CĐ 2026'!$B$73:$O$73,0))</f>
        <v>5.9555888164179187</v>
      </c>
      <c r="Q118" s="3">
        <f>INDEX('[3]TSX CĐ 2026'!$B$74:$O$78,2, MATCH($O$104,'[3]TSX CĐ 2026'!$B$73:$O$73,0))</f>
        <v>20.919301301118999</v>
      </c>
      <c r="R118" s="2">
        <f t="shared" si="20"/>
        <v>131.02295396119422</v>
      </c>
      <c r="S118" s="2">
        <f t="shared" si="21"/>
        <v>460.22462862461799</v>
      </c>
      <c r="T118" s="3">
        <f>INDEX('[3]TSX CĐ 2026'!$B$74:$O$78,4, MATCH($O$104,'[3]TSX CĐ 2026'!$B$73:$O$73,0))</f>
        <v>1.4888972041044797</v>
      </c>
      <c r="U118" s="2">
        <f>INDEX('[3]TSX CĐ 2026'!$B$74:$O$78,5, MATCH($O$104,'[3]TSX CĐ 2026'!$B$73:$O$73,0))</f>
        <v>5.2298253252797497</v>
      </c>
    </row>
    <row r="122" spans="1:21" ht="15.75" x14ac:dyDescent="0.25">
      <c r="A122" s="4" t="s">
        <v>21</v>
      </c>
      <c r="B122" s="6" t="s">
        <v>24</v>
      </c>
      <c r="N122" s="4" t="s">
        <v>21</v>
      </c>
      <c r="O122" s="6" t="s">
        <v>23</v>
      </c>
    </row>
    <row r="124" spans="1:21" ht="47.25" x14ac:dyDescent="0.25">
      <c r="A124" s="5" t="s">
        <v>19</v>
      </c>
      <c r="B124" s="5" t="s">
        <v>18</v>
      </c>
      <c r="C124" s="5" t="s">
        <v>17</v>
      </c>
      <c r="D124" s="5" t="s">
        <v>16</v>
      </c>
      <c r="E124" s="5" t="s">
        <v>15</v>
      </c>
      <c r="F124" s="5" t="s">
        <v>14</v>
      </c>
      <c r="G124" s="5" t="s">
        <v>13</v>
      </c>
      <c r="H124" s="5" t="s">
        <v>12</v>
      </c>
      <c r="N124" s="5" t="s">
        <v>19</v>
      </c>
      <c r="O124" s="5" t="s">
        <v>18</v>
      </c>
      <c r="P124" s="5" t="s">
        <v>17</v>
      </c>
      <c r="Q124" s="5" t="s">
        <v>16</v>
      </c>
      <c r="R124" s="5" t="s">
        <v>15</v>
      </c>
      <c r="S124" s="5" t="s">
        <v>14</v>
      </c>
      <c r="T124" s="5" t="s">
        <v>13</v>
      </c>
      <c r="U124" s="5" t="s">
        <v>12</v>
      </c>
    </row>
    <row r="125" spans="1:21" ht="15.75" x14ac:dyDescent="0.25">
      <c r="A125" s="4" t="s">
        <v>11</v>
      </c>
      <c r="B125" s="4">
        <f>INDEX('[1]TONG HOP'!$E$3:$P$42,7,MATCH($A125,'[1]TONG HOP'!$E$2:$P$2,0))</f>
        <v>22</v>
      </c>
      <c r="C125" s="3">
        <f>INDEX('[3]TSX CĐ 2026'!$B$74:$O$78,1, MATCH($B$122,'[3]TSX CĐ 2026'!$B$73:$O$73,0))</f>
        <v>32.045723673056543</v>
      </c>
      <c r="D125" s="3">
        <f>INDEX('[3]TSX CĐ 2026'!$B$74:$O$78,2, MATCH($B$122,'[3]TSX CĐ 2026'!$B$73:$O$73,0))</f>
        <v>534.87425620262638</v>
      </c>
      <c r="E125" s="2">
        <f t="shared" ref="E125:E136" si="22">C125*B125</f>
        <v>705.00592080724391</v>
      </c>
      <c r="F125" s="2">
        <f t="shared" ref="F125:F136" si="23">D125*B125</f>
        <v>11767.23363645778</v>
      </c>
      <c r="G125" s="3">
        <f>INDEX('[3]TSX CĐ 2026'!$B$74:$O$78,4, MATCH($B$122,'[3]TSX CĐ 2026'!$B$73:$O$73,0))</f>
        <v>5.3409539455094235</v>
      </c>
      <c r="H125" s="2">
        <f>INDEX('[3]TSX CĐ 2026'!$B$74:$O$78,5, MATCH($B$122,'[3]TSX CĐ 2026'!$B$73:$O$73,0))</f>
        <v>89.145709367104402</v>
      </c>
      <c r="N125" s="4" t="s">
        <v>11</v>
      </c>
      <c r="O125" s="4">
        <f>INDEX('[1]TONG HOP'!$E$3:$P$42,7,MATCH($A125,'[1]TONG HOP'!$E$2:$P$2,0))</f>
        <v>22</v>
      </c>
      <c r="P125" s="3">
        <f>INDEX('[3]TSX CĐ 2026'!$B$74:$O$78,1, MATCH($O$122,'[3]TSX CĐ 2026'!$B$73:$O$73,0))</f>
        <v>10.103199561206551</v>
      </c>
      <c r="Q125" s="3">
        <f>INDEX('[3]TSX CĐ 2026'!$B$74:$O$78,2, MATCH($O$122,'[3]TSX CĐ 2026'!$B$73:$O$73,0))</f>
        <v>54.77661676712232</v>
      </c>
      <c r="R125" s="2">
        <f t="shared" ref="R125:R136" si="24">P125*O125</f>
        <v>222.27039034654413</v>
      </c>
      <c r="S125" s="2">
        <f t="shared" ref="S125:S136" si="25">Q125*O125</f>
        <v>1205.085568876691</v>
      </c>
      <c r="T125" s="3">
        <f>INDEX('[3]TSX CĐ 2026'!$B$74:$O$78,4, MATCH($O$122,'[3]TSX CĐ 2026'!$B$73:$O$73,0))</f>
        <v>2.5257998903016379</v>
      </c>
      <c r="U125" s="2">
        <f>INDEX('[3]TSX CĐ 2026'!$B$74:$O$78,5, MATCH($O$122,'[3]TSX CĐ 2026'!$B$73:$O$73,0))</f>
        <v>13.69415419178058</v>
      </c>
    </row>
    <row r="126" spans="1:21" ht="15.75" x14ac:dyDescent="0.25">
      <c r="A126" s="4" t="s">
        <v>10</v>
      </c>
      <c r="B126" s="4">
        <f>INDEX('[1]TONG HOP'!$E$3:$P$42,7,MATCH($A126,'[1]TONG HOP'!$E$2:$P$2,0))</f>
        <v>15</v>
      </c>
      <c r="C126" s="3">
        <f>INDEX('[3]TSX CĐ 2026'!$B$74:$O$78,1, MATCH($B$122,'[3]TSX CĐ 2026'!$B$73:$O$73,0))</f>
        <v>32.045723673056543</v>
      </c>
      <c r="D126" s="3">
        <f>INDEX('[3]TSX CĐ 2026'!$B$74:$O$78,2, MATCH($B$122,'[3]TSX CĐ 2026'!$B$73:$O$73,0))</f>
        <v>534.87425620262638</v>
      </c>
      <c r="E126" s="2">
        <f t="shared" si="22"/>
        <v>480.68585509584813</v>
      </c>
      <c r="F126" s="2">
        <f t="shared" si="23"/>
        <v>8023.1138430393958</v>
      </c>
      <c r="G126" s="3">
        <f>INDEX('[3]TSX CĐ 2026'!$B$74:$O$78,4, MATCH($B$122,'[3]TSX CĐ 2026'!$B$73:$O$73,0))</f>
        <v>5.3409539455094235</v>
      </c>
      <c r="H126" s="2">
        <f>INDEX('[3]TSX CĐ 2026'!$B$74:$O$78,5, MATCH($B$122,'[3]TSX CĐ 2026'!$B$73:$O$73,0))</f>
        <v>89.145709367104402</v>
      </c>
      <c r="N126" s="4" t="s">
        <v>10</v>
      </c>
      <c r="O126" s="4">
        <f>INDEX('[1]TONG HOP'!$E$3:$P$42,7,MATCH($A126,'[1]TONG HOP'!$E$2:$P$2,0))</f>
        <v>15</v>
      </c>
      <c r="P126" s="3">
        <f>INDEX('[3]TSX CĐ 2026'!$B$74:$O$78,1, MATCH($O$122,'[3]TSX CĐ 2026'!$B$73:$O$73,0))</f>
        <v>10.103199561206551</v>
      </c>
      <c r="Q126" s="3">
        <f>INDEX('[3]TSX CĐ 2026'!$B$74:$O$78,2, MATCH($O$122,'[3]TSX CĐ 2026'!$B$73:$O$73,0))</f>
        <v>54.77661676712232</v>
      </c>
      <c r="R126" s="2">
        <f t="shared" si="24"/>
        <v>151.54799341809826</v>
      </c>
      <c r="S126" s="2">
        <f t="shared" si="25"/>
        <v>821.64925150683484</v>
      </c>
      <c r="T126" s="3">
        <f>INDEX('[3]TSX CĐ 2026'!$B$74:$O$78,4, MATCH($O$122,'[3]TSX CĐ 2026'!$B$73:$O$73,0))</f>
        <v>2.5257998903016379</v>
      </c>
      <c r="U126" s="2">
        <f>INDEX('[3]TSX CĐ 2026'!$B$74:$O$78,5, MATCH($O$122,'[3]TSX CĐ 2026'!$B$73:$O$73,0))</f>
        <v>13.69415419178058</v>
      </c>
    </row>
    <row r="127" spans="1:21" ht="15.75" x14ac:dyDescent="0.25">
      <c r="A127" s="4" t="s">
        <v>9</v>
      </c>
      <c r="B127" s="4">
        <f>INDEX('[1]TONG HOP'!$E$3:$P$42,7,MATCH($A127,'[1]TONG HOP'!$E$2:$P$2,0))</f>
        <v>22</v>
      </c>
      <c r="C127" s="3">
        <f>INDEX('[3]TSX CĐ 2026'!$B$74:$O$78,1, MATCH($B$122,'[3]TSX CĐ 2026'!$B$73:$O$73,0))</f>
        <v>32.045723673056543</v>
      </c>
      <c r="D127" s="3">
        <f>INDEX('[3]TSX CĐ 2026'!$B$74:$O$78,2, MATCH($B$122,'[3]TSX CĐ 2026'!$B$73:$O$73,0))</f>
        <v>534.87425620262638</v>
      </c>
      <c r="E127" s="2">
        <f t="shared" si="22"/>
        <v>705.00592080724391</v>
      </c>
      <c r="F127" s="2">
        <f t="shared" si="23"/>
        <v>11767.23363645778</v>
      </c>
      <c r="G127" s="3">
        <f>INDEX('[3]TSX CĐ 2026'!$B$74:$O$78,4, MATCH($B$122,'[3]TSX CĐ 2026'!$B$73:$O$73,0))</f>
        <v>5.3409539455094235</v>
      </c>
      <c r="H127" s="2">
        <f>INDEX('[3]TSX CĐ 2026'!$B$74:$O$78,5, MATCH($B$122,'[3]TSX CĐ 2026'!$B$73:$O$73,0))</f>
        <v>89.145709367104402</v>
      </c>
      <c r="N127" s="4" t="s">
        <v>9</v>
      </c>
      <c r="O127" s="4">
        <f>INDEX('[1]TONG HOP'!$E$3:$P$42,7,MATCH($A127,'[1]TONG HOP'!$E$2:$P$2,0))</f>
        <v>22</v>
      </c>
      <c r="P127" s="3">
        <f>INDEX('[3]TSX CĐ 2026'!$B$74:$O$78,1, MATCH($O$122,'[3]TSX CĐ 2026'!$B$73:$O$73,0))</f>
        <v>10.103199561206551</v>
      </c>
      <c r="Q127" s="3">
        <f>INDEX('[3]TSX CĐ 2026'!$B$74:$O$78,2, MATCH($O$122,'[3]TSX CĐ 2026'!$B$73:$O$73,0))</f>
        <v>54.77661676712232</v>
      </c>
      <c r="R127" s="2">
        <f t="shared" si="24"/>
        <v>222.27039034654413</v>
      </c>
      <c r="S127" s="2">
        <f t="shared" si="25"/>
        <v>1205.085568876691</v>
      </c>
      <c r="T127" s="3">
        <f>INDEX('[3]TSX CĐ 2026'!$B$74:$O$78,4, MATCH($O$122,'[3]TSX CĐ 2026'!$B$73:$O$73,0))</f>
        <v>2.5257998903016379</v>
      </c>
      <c r="U127" s="2">
        <f>INDEX('[3]TSX CĐ 2026'!$B$74:$O$78,5, MATCH($O$122,'[3]TSX CĐ 2026'!$B$73:$O$73,0))</f>
        <v>13.69415419178058</v>
      </c>
    </row>
    <row r="128" spans="1:21" ht="15.75" x14ac:dyDescent="0.25">
      <c r="A128" s="4" t="s">
        <v>8</v>
      </c>
      <c r="B128" s="4">
        <f>INDEX('[1]TONG HOP'!$E$3:$P$42,7,MATCH($A128,'[1]TONG HOP'!$E$2:$P$2,0))</f>
        <v>21</v>
      </c>
      <c r="C128" s="3">
        <f>INDEX('[3]TSX CĐ 2026'!$B$74:$O$78,1, MATCH($B$122,'[3]TSX CĐ 2026'!$B$73:$O$73,0))</f>
        <v>32.045723673056543</v>
      </c>
      <c r="D128" s="3">
        <f>INDEX('[3]TSX CĐ 2026'!$B$74:$O$78,2, MATCH($B$122,'[3]TSX CĐ 2026'!$B$73:$O$73,0))</f>
        <v>534.87425620262638</v>
      </c>
      <c r="E128" s="2">
        <f t="shared" si="22"/>
        <v>672.96019713418741</v>
      </c>
      <c r="F128" s="2">
        <f t="shared" si="23"/>
        <v>11232.359380255155</v>
      </c>
      <c r="G128" s="3">
        <f>INDEX('[3]TSX CĐ 2026'!$B$74:$O$78,4, MATCH($B$122,'[3]TSX CĐ 2026'!$B$73:$O$73,0))</f>
        <v>5.3409539455094235</v>
      </c>
      <c r="H128" s="2">
        <f>INDEX('[3]TSX CĐ 2026'!$B$74:$O$78,5, MATCH($B$122,'[3]TSX CĐ 2026'!$B$73:$O$73,0))</f>
        <v>89.145709367104402</v>
      </c>
      <c r="N128" s="4" t="s">
        <v>8</v>
      </c>
      <c r="O128" s="4">
        <f>INDEX('[1]TONG HOP'!$E$3:$P$42,7,MATCH($A128,'[1]TONG HOP'!$E$2:$P$2,0))</f>
        <v>21</v>
      </c>
      <c r="P128" s="3">
        <f>INDEX('[3]TSX CĐ 2026'!$B$74:$O$78,1, MATCH($O$122,'[3]TSX CĐ 2026'!$B$73:$O$73,0))</f>
        <v>10.103199561206551</v>
      </c>
      <c r="Q128" s="3">
        <f>INDEX('[3]TSX CĐ 2026'!$B$74:$O$78,2, MATCH($O$122,'[3]TSX CĐ 2026'!$B$73:$O$73,0))</f>
        <v>54.77661676712232</v>
      </c>
      <c r="R128" s="2">
        <f t="shared" si="24"/>
        <v>212.1671907853376</v>
      </c>
      <c r="S128" s="2">
        <f t="shared" si="25"/>
        <v>1150.3089521095687</v>
      </c>
      <c r="T128" s="3">
        <f>INDEX('[3]TSX CĐ 2026'!$B$74:$O$78,4, MATCH($O$122,'[3]TSX CĐ 2026'!$B$73:$O$73,0))</f>
        <v>2.5257998903016379</v>
      </c>
      <c r="U128" s="2">
        <f>INDEX('[3]TSX CĐ 2026'!$B$74:$O$78,5, MATCH($O$122,'[3]TSX CĐ 2026'!$B$73:$O$73,0))</f>
        <v>13.69415419178058</v>
      </c>
    </row>
    <row r="129" spans="1:21" ht="15.75" x14ac:dyDescent="0.25">
      <c r="A129" s="4" t="s">
        <v>7</v>
      </c>
      <c r="B129" s="4">
        <f>INDEX('[1]TONG HOP'!$E$3:$P$42,7,MATCH($A129,'[1]TONG HOP'!$E$2:$P$2,0))</f>
        <v>20</v>
      </c>
      <c r="C129" s="3">
        <f>INDEX('[3]TSX CĐ 2026'!$B$74:$O$78,1, MATCH($B$122,'[3]TSX CĐ 2026'!$B$73:$O$73,0))</f>
        <v>32.045723673056543</v>
      </c>
      <c r="D129" s="3">
        <f>INDEX('[3]TSX CĐ 2026'!$B$74:$O$78,2, MATCH($B$122,'[3]TSX CĐ 2026'!$B$73:$O$73,0))</f>
        <v>534.87425620262638</v>
      </c>
      <c r="E129" s="2">
        <f t="shared" si="22"/>
        <v>640.91447346113091</v>
      </c>
      <c r="F129" s="2">
        <f t="shared" si="23"/>
        <v>10697.485124052528</v>
      </c>
      <c r="G129" s="3">
        <f>INDEX('[3]TSX CĐ 2026'!$B$74:$O$78,4, MATCH($B$122,'[3]TSX CĐ 2026'!$B$73:$O$73,0))</f>
        <v>5.3409539455094235</v>
      </c>
      <c r="H129" s="2">
        <f>INDEX('[3]TSX CĐ 2026'!$B$74:$O$78,5, MATCH($B$122,'[3]TSX CĐ 2026'!$B$73:$O$73,0))</f>
        <v>89.145709367104402</v>
      </c>
      <c r="N129" s="4" t="s">
        <v>7</v>
      </c>
      <c r="O129" s="4">
        <f>INDEX('[1]TONG HOP'!$E$3:$P$42,7,MATCH($A129,'[1]TONG HOP'!$E$2:$P$2,0))</f>
        <v>20</v>
      </c>
      <c r="P129" s="3">
        <f>INDEX('[3]TSX CĐ 2026'!$B$74:$O$78,1, MATCH($O$122,'[3]TSX CĐ 2026'!$B$73:$O$73,0))</f>
        <v>10.103199561206551</v>
      </c>
      <c r="Q129" s="3">
        <f>INDEX('[3]TSX CĐ 2026'!$B$74:$O$78,2, MATCH($O$122,'[3]TSX CĐ 2026'!$B$73:$O$73,0))</f>
        <v>54.77661676712232</v>
      </c>
      <c r="R129" s="2">
        <f t="shared" si="24"/>
        <v>202.06399122413103</v>
      </c>
      <c r="S129" s="2">
        <f t="shared" si="25"/>
        <v>1095.5323353424465</v>
      </c>
      <c r="T129" s="3">
        <f>INDEX('[3]TSX CĐ 2026'!$B$74:$O$78,4, MATCH($O$122,'[3]TSX CĐ 2026'!$B$73:$O$73,0))</f>
        <v>2.5257998903016379</v>
      </c>
      <c r="U129" s="2">
        <f>INDEX('[3]TSX CĐ 2026'!$B$74:$O$78,5, MATCH($O$122,'[3]TSX CĐ 2026'!$B$73:$O$73,0))</f>
        <v>13.69415419178058</v>
      </c>
    </row>
    <row r="130" spans="1:21" ht="15.75" x14ac:dyDescent="0.25">
      <c r="A130" s="4" t="s">
        <v>6</v>
      </c>
      <c r="B130" s="4">
        <f>INDEX('[1]TONG HOP'!$E$3:$P$42,7,MATCH($A130,'[1]TONG HOP'!$E$2:$P$2,0))</f>
        <v>22</v>
      </c>
      <c r="C130" s="3">
        <f>INDEX('[3]TSX CĐ 2026'!$B$74:$O$78,1, MATCH($B$122,'[3]TSX CĐ 2026'!$B$73:$O$73,0))</f>
        <v>32.045723673056543</v>
      </c>
      <c r="D130" s="3">
        <f>INDEX('[3]TSX CĐ 2026'!$B$74:$O$78,2, MATCH($B$122,'[3]TSX CĐ 2026'!$B$73:$O$73,0))</f>
        <v>534.87425620262638</v>
      </c>
      <c r="E130" s="2">
        <f t="shared" si="22"/>
        <v>705.00592080724391</v>
      </c>
      <c r="F130" s="2">
        <f t="shared" si="23"/>
        <v>11767.23363645778</v>
      </c>
      <c r="G130" s="3">
        <f>INDEX('[3]TSX CĐ 2026'!$B$74:$O$78,4, MATCH($B$122,'[3]TSX CĐ 2026'!$B$73:$O$73,0))</f>
        <v>5.3409539455094235</v>
      </c>
      <c r="H130" s="2">
        <f>INDEX('[3]TSX CĐ 2026'!$B$74:$O$78,5, MATCH($B$122,'[3]TSX CĐ 2026'!$B$73:$O$73,0))</f>
        <v>89.145709367104402</v>
      </c>
      <c r="N130" s="4" t="s">
        <v>6</v>
      </c>
      <c r="O130" s="4">
        <f>INDEX('[1]TONG HOP'!$E$3:$P$42,7,MATCH($A130,'[1]TONG HOP'!$E$2:$P$2,0))</f>
        <v>22</v>
      </c>
      <c r="P130" s="3">
        <f>INDEX('[3]TSX CĐ 2026'!$B$74:$O$78,1, MATCH($O$122,'[3]TSX CĐ 2026'!$B$73:$O$73,0))</f>
        <v>10.103199561206551</v>
      </c>
      <c r="Q130" s="3">
        <f>INDEX('[3]TSX CĐ 2026'!$B$74:$O$78,2, MATCH($O$122,'[3]TSX CĐ 2026'!$B$73:$O$73,0))</f>
        <v>54.77661676712232</v>
      </c>
      <c r="R130" s="2">
        <f t="shared" si="24"/>
        <v>222.27039034654413</v>
      </c>
      <c r="S130" s="2">
        <f t="shared" si="25"/>
        <v>1205.085568876691</v>
      </c>
      <c r="T130" s="3">
        <f>INDEX('[3]TSX CĐ 2026'!$B$74:$O$78,4, MATCH($O$122,'[3]TSX CĐ 2026'!$B$73:$O$73,0))</f>
        <v>2.5257998903016379</v>
      </c>
      <c r="U130" s="2">
        <f>INDEX('[3]TSX CĐ 2026'!$B$74:$O$78,5, MATCH($O$122,'[3]TSX CĐ 2026'!$B$73:$O$73,0))</f>
        <v>13.69415419178058</v>
      </c>
    </row>
    <row r="131" spans="1:21" ht="15.75" x14ac:dyDescent="0.25">
      <c r="A131" s="4" t="s">
        <v>5</v>
      </c>
      <c r="B131" s="4">
        <f>INDEX('[1]TONG HOP'!$E$3:$P$42,7,MATCH($A131,'[1]TONG HOP'!$E$2:$P$2,0))</f>
        <v>23</v>
      </c>
      <c r="C131" s="3">
        <f>INDEX('[3]TSX CĐ 2026'!$B$74:$O$78,1, MATCH($B$122,'[3]TSX CĐ 2026'!$B$73:$O$73,0))</f>
        <v>32.045723673056543</v>
      </c>
      <c r="D131" s="3">
        <f>INDEX('[3]TSX CĐ 2026'!$B$74:$O$78,2, MATCH($B$122,'[3]TSX CĐ 2026'!$B$73:$O$73,0))</f>
        <v>534.87425620262638</v>
      </c>
      <c r="E131" s="2">
        <f t="shared" si="22"/>
        <v>737.05164448030052</v>
      </c>
      <c r="F131" s="2">
        <f t="shared" si="23"/>
        <v>12302.107892660406</v>
      </c>
      <c r="G131" s="3">
        <f>INDEX('[3]TSX CĐ 2026'!$B$74:$O$78,4, MATCH($B$122,'[3]TSX CĐ 2026'!$B$73:$O$73,0))</f>
        <v>5.3409539455094235</v>
      </c>
      <c r="H131" s="2">
        <f>INDEX('[3]TSX CĐ 2026'!$B$74:$O$78,5, MATCH($B$122,'[3]TSX CĐ 2026'!$B$73:$O$73,0))</f>
        <v>89.145709367104402</v>
      </c>
      <c r="N131" s="4" t="s">
        <v>5</v>
      </c>
      <c r="O131" s="4">
        <f>INDEX('[1]TONG HOP'!$E$3:$P$42,7,MATCH($A131,'[1]TONG HOP'!$E$2:$P$2,0))</f>
        <v>23</v>
      </c>
      <c r="P131" s="3">
        <f>INDEX('[3]TSX CĐ 2026'!$B$74:$O$78,1, MATCH($O$122,'[3]TSX CĐ 2026'!$B$73:$O$73,0))</f>
        <v>10.103199561206551</v>
      </c>
      <c r="Q131" s="3">
        <f>INDEX('[3]TSX CĐ 2026'!$B$74:$O$78,2, MATCH($O$122,'[3]TSX CĐ 2026'!$B$73:$O$73,0))</f>
        <v>54.77661676712232</v>
      </c>
      <c r="R131" s="2">
        <f t="shared" si="24"/>
        <v>232.37358990775067</v>
      </c>
      <c r="S131" s="2">
        <f t="shared" si="25"/>
        <v>1259.8621856438133</v>
      </c>
      <c r="T131" s="3">
        <f>INDEX('[3]TSX CĐ 2026'!$B$74:$O$78,4, MATCH($O$122,'[3]TSX CĐ 2026'!$B$73:$O$73,0))</f>
        <v>2.5257998903016379</v>
      </c>
      <c r="U131" s="2">
        <f>INDEX('[3]TSX CĐ 2026'!$B$74:$O$78,5, MATCH($O$122,'[3]TSX CĐ 2026'!$B$73:$O$73,0))</f>
        <v>13.69415419178058</v>
      </c>
    </row>
    <row r="132" spans="1:21" ht="15.75" x14ac:dyDescent="0.25">
      <c r="A132" s="4" t="s">
        <v>4</v>
      </c>
      <c r="B132" s="4">
        <f>INDEX('[1]TONG HOP'!$E$3:$P$42,7,MATCH($A132,'[1]TONG HOP'!$E$2:$P$2,0))</f>
        <v>21</v>
      </c>
      <c r="C132" s="3">
        <f>INDEX('[3]TSX CĐ 2026'!$B$74:$O$78,1, MATCH($B$122,'[3]TSX CĐ 2026'!$B$73:$O$73,0))</f>
        <v>32.045723673056543</v>
      </c>
      <c r="D132" s="3">
        <f>INDEX('[3]TSX CĐ 2026'!$B$74:$O$78,2, MATCH($B$122,'[3]TSX CĐ 2026'!$B$73:$O$73,0))</f>
        <v>534.87425620262638</v>
      </c>
      <c r="E132" s="2">
        <f t="shared" si="22"/>
        <v>672.96019713418741</v>
      </c>
      <c r="F132" s="2">
        <f t="shared" si="23"/>
        <v>11232.359380255155</v>
      </c>
      <c r="G132" s="3">
        <f>INDEX('[3]TSX CĐ 2026'!$B$74:$O$78,4, MATCH($B$122,'[3]TSX CĐ 2026'!$B$73:$O$73,0))</f>
        <v>5.3409539455094235</v>
      </c>
      <c r="H132" s="2">
        <f>INDEX('[3]TSX CĐ 2026'!$B$74:$O$78,5, MATCH($B$122,'[3]TSX CĐ 2026'!$B$73:$O$73,0))</f>
        <v>89.145709367104402</v>
      </c>
      <c r="N132" s="4" t="s">
        <v>4</v>
      </c>
      <c r="O132" s="4">
        <f>INDEX('[1]TONG HOP'!$E$3:$P$42,7,MATCH($A132,'[1]TONG HOP'!$E$2:$P$2,0))</f>
        <v>21</v>
      </c>
      <c r="P132" s="3">
        <f>INDEX('[3]TSX CĐ 2026'!$B$74:$O$78,1, MATCH($O$122,'[3]TSX CĐ 2026'!$B$73:$O$73,0))</f>
        <v>10.103199561206551</v>
      </c>
      <c r="Q132" s="3">
        <f>INDEX('[3]TSX CĐ 2026'!$B$74:$O$78,2, MATCH($O$122,'[3]TSX CĐ 2026'!$B$73:$O$73,0))</f>
        <v>54.77661676712232</v>
      </c>
      <c r="R132" s="2">
        <f t="shared" si="24"/>
        <v>212.1671907853376</v>
      </c>
      <c r="S132" s="2">
        <f t="shared" si="25"/>
        <v>1150.3089521095687</v>
      </c>
      <c r="T132" s="3">
        <f>INDEX('[3]TSX CĐ 2026'!$B$74:$O$78,4, MATCH($O$122,'[3]TSX CĐ 2026'!$B$73:$O$73,0))</f>
        <v>2.5257998903016379</v>
      </c>
      <c r="U132" s="2">
        <f>INDEX('[3]TSX CĐ 2026'!$B$74:$O$78,5, MATCH($O$122,'[3]TSX CĐ 2026'!$B$73:$O$73,0))</f>
        <v>13.69415419178058</v>
      </c>
    </row>
    <row r="133" spans="1:21" ht="15.75" x14ac:dyDescent="0.25">
      <c r="A133" s="4" t="s">
        <v>3</v>
      </c>
      <c r="B133" s="4">
        <f>INDEX('[1]TONG HOP'!$E$3:$P$42,7,MATCH($A133,'[1]TONG HOP'!$E$2:$P$2,0))</f>
        <v>21</v>
      </c>
      <c r="C133" s="3">
        <f>INDEX('[3]TSX CĐ 2026'!$B$74:$O$78,1, MATCH($B$122,'[3]TSX CĐ 2026'!$B$73:$O$73,0))</f>
        <v>32.045723673056543</v>
      </c>
      <c r="D133" s="3">
        <f>INDEX('[3]TSX CĐ 2026'!$B$74:$O$78,2, MATCH($B$122,'[3]TSX CĐ 2026'!$B$73:$O$73,0))</f>
        <v>534.87425620262638</v>
      </c>
      <c r="E133" s="2">
        <f t="shared" si="22"/>
        <v>672.96019713418741</v>
      </c>
      <c r="F133" s="2">
        <f t="shared" si="23"/>
        <v>11232.359380255155</v>
      </c>
      <c r="G133" s="3">
        <f>INDEX('[3]TSX CĐ 2026'!$B$74:$O$78,4, MATCH($B$122,'[3]TSX CĐ 2026'!$B$73:$O$73,0))</f>
        <v>5.3409539455094235</v>
      </c>
      <c r="H133" s="2">
        <f>INDEX('[3]TSX CĐ 2026'!$B$74:$O$78,5, MATCH($B$122,'[3]TSX CĐ 2026'!$B$73:$O$73,0))</f>
        <v>89.145709367104402</v>
      </c>
      <c r="N133" s="4" t="s">
        <v>3</v>
      </c>
      <c r="O133" s="4">
        <f>INDEX('[1]TONG HOP'!$E$3:$P$42,7,MATCH($A133,'[1]TONG HOP'!$E$2:$P$2,0))</f>
        <v>21</v>
      </c>
      <c r="P133" s="3">
        <f>INDEX('[3]TSX CĐ 2026'!$B$74:$O$78,1, MATCH($O$122,'[3]TSX CĐ 2026'!$B$73:$O$73,0))</f>
        <v>10.103199561206551</v>
      </c>
      <c r="Q133" s="3">
        <f>INDEX('[3]TSX CĐ 2026'!$B$74:$O$78,2, MATCH($O$122,'[3]TSX CĐ 2026'!$B$73:$O$73,0))</f>
        <v>54.77661676712232</v>
      </c>
      <c r="R133" s="2">
        <f t="shared" si="24"/>
        <v>212.1671907853376</v>
      </c>
      <c r="S133" s="2">
        <f t="shared" si="25"/>
        <v>1150.3089521095687</v>
      </c>
      <c r="T133" s="3">
        <f>INDEX('[3]TSX CĐ 2026'!$B$74:$O$78,4, MATCH($O$122,'[3]TSX CĐ 2026'!$B$73:$O$73,0))</f>
        <v>2.5257998903016379</v>
      </c>
      <c r="U133" s="2">
        <f>INDEX('[3]TSX CĐ 2026'!$B$74:$O$78,5, MATCH($O$122,'[3]TSX CĐ 2026'!$B$73:$O$73,0))</f>
        <v>13.69415419178058</v>
      </c>
    </row>
    <row r="134" spans="1:21" ht="15.75" x14ac:dyDescent="0.25">
      <c r="A134" s="4" t="s">
        <v>2</v>
      </c>
      <c r="B134" s="4">
        <f>INDEX('[1]TONG HOP'!$E$3:$P$42,7,MATCH($A134,'[1]TONG HOP'!$E$2:$P$2,0))</f>
        <v>22</v>
      </c>
      <c r="C134" s="3">
        <f>INDEX('[3]TSX CĐ 2026'!$B$74:$O$78,1, MATCH($B$122,'[3]TSX CĐ 2026'!$B$73:$O$73,0))</f>
        <v>32.045723673056543</v>
      </c>
      <c r="D134" s="3">
        <f>INDEX('[3]TSX CĐ 2026'!$B$74:$O$78,2, MATCH($B$122,'[3]TSX CĐ 2026'!$B$73:$O$73,0))</f>
        <v>534.87425620262638</v>
      </c>
      <c r="E134" s="2">
        <f t="shared" si="22"/>
        <v>705.00592080724391</v>
      </c>
      <c r="F134" s="2">
        <f t="shared" si="23"/>
        <v>11767.23363645778</v>
      </c>
      <c r="G134" s="3">
        <f>INDEX('[3]TSX CĐ 2026'!$B$74:$O$78,4, MATCH($B$122,'[3]TSX CĐ 2026'!$B$73:$O$73,0))</f>
        <v>5.3409539455094235</v>
      </c>
      <c r="H134" s="2">
        <f>INDEX('[3]TSX CĐ 2026'!$B$74:$O$78,5, MATCH($B$122,'[3]TSX CĐ 2026'!$B$73:$O$73,0))</f>
        <v>89.145709367104402</v>
      </c>
      <c r="N134" s="4" t="s">
        <v>2</v>
      </c>
      <c r="O134" s="4">
        <f>INDEX('[1]TONG HOP'!$E$3:$P$42,7,MATCH($A134,'[1]TONG HOP'!$E$2:$P$2,0))</f>
        <v>22</v>
      </c>
      <c r="P134" s="3">
        <f>INDEX('[3]TSX CĐ 2026'!$B$74:$O$78,1, MATCH($O$122,'[3]TSX CĐ 2026'!$B$73:$O$73,0))</f>
        <v>10.103199561206551</v>
      </c>
      <c r="Q134" s="3">
        <f>INDEX('[3]TSX CĐ 2026'!$B$74:$O$78,2, MATCH($O$122,'[3]TSX CĐ 2026'!$B$73:$O$73,0))</f>
        <v>54.77661676712232</v>
      </c>
      <c r="R134" s="2">
        <f t="shared" si="24"/>
        <v>222.27039034654413</v>
      </c>
      <c r="S134" s="2">
        <f t="shared" si="25"/>
        <v>1205.085568876691</v>
      </c>
      <c r="T134" s="3">
        <f>INDEX('[3]TSX CĐ 2026'!$B$74:$O$78,4, MATCH($O$122,'[3]TSX CĐ 2026'!$B$73:$O$73,0))</f>
        <v>2.5257998903016379</v>
      </c>
      <c r="U134" s="2">
        <f>INDEX('[3]TSX CĐ 2026'!$B$74:$O$78,5, MATCH($O$122,'[3]TSX CĐ 2026'!$B$73:$O$73,0))</f>
        <v>13.69415419178058</v>
      </c>
    </row>
    <row r="135" spans="1:21" ht="15.75" x14ac:dyDescent="0.25">
      <c r="A135" s="4" t="s">
        <v>1</v>
      </c>
      <c r="B135" s="4">
        <f>INDEX('[1]TONG HOP'!$E$3:$P$42,7,MATCH($A135,'[1]TONG HOP'!$E$2:$P$2,0))</f>
        <v>21</v>
      </c>
      <c r="C135" s="3">
        <f>INDEX('[3]TSX CĐ 2026'!$B$74:$O$78,1, MATCH($B$122,'[3]TSX CĐ 2026'!$B$73:$O$73,0))</f>
        <v>32.045723673056543</v>
      </c>
      <c r="D135" s="3">
        <f>INDEX('[3]TSX CĐ 2026'!$B$74:$O$78,2, MATCH($B$122,'[3]TSX CĐ 2026'!$B$73:$O$73,0))</f>
        <v>534.87425620262638</v>
      </c>
      <c r="E135" s="2">
        <f t="shared" si="22"/>
        <v>672.96019713418741</v>
      </c>
      <c r="F135" s="2">
        <f t="shared" si="23"/>
        <v>11232.359380255155</v>
      </c>
      <c r="G135" s="3">
        <f>INDEX('[3]TSX CĐ 2026'!$B$74:$O$78,4, MATCH($B$122,'[3]TSX CĐ 2026'!$B$73:$O$73,0))</f>
        <v>5.3409539455094235</v>
      </c>
      <c r="H135" s="2">
        <f>INDEX('[3]TSX CĐ 2026'!$B$74:$O$78,5, MATCH($B$122,'[3]TSX CĐ 2026'!$B$73:$O$73,0))</f>
        <v>89.145709367104402</v>
      </c>
      <c r="N135" s="4" t="s">
        <v>1</v>
      </c>
      <c r="O135" s="4">
        <f>INDEX('[1]TONG HOP'!$E$3:$P$42,7,MATCH($A135,'[1]TONG HOP'!$E$2:$P$2,0))</f>
        <v>21</v>
      </c>
      <c r="P135" s="3">
        <f>INDEX('[3]TSX CĐ 2026'!$B$74:$O$78,1, MATCH($O$122,'[3]TSX CĐ 2026'!$B$73:$O$73,0))</f>
        <v>10.103199561206551</v>
      </c>
      <c r="Q135" s="3">
        <f>INDEX('[3]TSX CĐ 2026'!$B$74:$O$78,2, MATCH($O$122,'[3]TSX CĐ 2026'!$B$73:$O$73,0))</f>
        <v>54.77661676712232</v>
      </c>
      <c r="R135" s="2">
        <f t="shared" si="24"/>
        <v>212.1671907853376</v>
      </c>
      <c r="S135" s="2">
        <f t="shared" si="25"/>
        <v>1150.3089521095687</v>
      </c>
      <c r="T135" s="3">
        <f>INDEX('[3]TSX CĐ 2026'!$B$74:$O$78,4, MATCH($O$122,'[3]TSX CĐ 2026'!$B$73:$O$73,0))</f>
        <v>2.5257998903016379</v>
      </c>
      <c r="U135" s="2">
        <f>INDEX('[3]TSX CĐ 2026'!$B$74:$O$78,5, MATCH($O$122,'[3]TSX CĐ 2026'!$B$73:$O$73,0))</f>
        <v>13.69415419178058</v>
      </c>
    </row>
    <row r="136" spans="1:21" ht="15.75" x14ac:dyDescent="0.25">
      <c r="A136" s="4" t="s">
        <v>0</v>
      </c>
      <c r="B136" s="4">
        <f>INDEX('[1]TONG HOP'!$E$3:$P$42,7,MATCH($A136,'[1]TONG HOP'!$E$2:$P$2,0))</f>
        <v>22</v>
      </c>
      <c r="C136" s="3">
        <f>INDEX('[3]TSX CĐ 2026'!$B$74:$O$78,1, MATCH($B$122,'[3]TSX CĐ 2026'!$B$73:$O$73,0))</f>
        <v>32.045723673056543</v>
      </c>
      <c r="D136" s="3">
        <f>INDEX('[3]TSX CĐ 2026'!$B$74:$O$78,2, MATCH($B$122,'[3]TSX CĐ 2026'!$B$73:$O$73,0))</f>
        <v>534.87425620262638</v>
      </c>
      <c r="E136" s="2">
        <f t="shared" si="22"/>
        <v>705.00592080724391</v>
      </c>
      <c r="F136" s="2">
        <f t="shared" si="23"/>
        <v>11767.23363645778</v>
      </c>
      <c r="G136" s="3">
        <f>INDEX('[3]TSX CĐ 2026'!$B$74:$O$78,4, MATCH($B$122,'[3]TSX CĐ 2026'!$B$73:$O$73,0))</f>
        <v>5.3409539455094235</v>
      </c>
      <c r="H136" s="2">
        <f>INDEX('[3]TSX CĐ 2026'!$B$74:$O$78,5, MATCH($B$122,'[3]TSX CĐ 2026'!$B$73:$O$73,0))</f>
        <v>89.145709367104402</v>
      </c>
      <c r="N136" s="4" t="s">
        <v>0</v>
      </c>
      <c r="O136" s="4">
        <f>INDEX('[1]TONG HOP'!$E$3:$P$42,7,MATCH($A136,'[1]TONG HOP'!$E$2:$P$2,0))</f>
        <v>22</v>
      </c>
      <c r="P136" s="3">
        <f>INDEX('[3]TSX CĐ 2026'!$B$74:$O$78,1, MATCH($O$122,'[3]TSX CĐ 2026'!$B$73:$O$73,0))</f>
        <v>10.103199561206551</v>
      </c>
      <c r="Q136" s="3">
        <f>INDEX('[3]TSX CĐ 2026'!$B$74:$O$78,2, MATCH($O$122,'[3]TSX CĐ 2026'!$B$73:$O$73,0))</f>
        <v>54.77661676712232</v>
      </c>
      <c r="R136" s="2">
        <f t="shared" si="24"/>
        <v>222.27039034654413</v>
      </c>
      <c r="S136" s="2">
        <f t="shared" si="25"/>
        <v>1205.085568876691</v>
      </c>
      <c r="T136" s="3">
        <f>INDEX('[3]TSX CĐ 2026'!$B$74:$O$78,4, MATCH($O$122,'[3]TSX CĐ 2026'!$B$73:$O$73,0))</f>
        <v>2.5257998903016379</v>
      </c>
      <c r="U136" s="2">
        <f>INDEX('[3]TSX CĐ 2026'!$B$74:$O$78,5, MATCH($O$122,'[3]TSX CĐ 2026'!$B$73:$O$73,0))</f>
        <v>13.69415419178058</v>
      </c>
    </row>
    <row r="139" spans="1:21" ht="15.75" x14ac:dyDescent="0.25">
      <c r="A139" s="4" t="s">
        <v>21</v>
      </c>
      <c r="B139" s="6" t="s">
        <v>22</v>
      </c>
      <c r="N139" s="4" t="s">
        <v>21</v>
      </c>
      <c r="O139" s="6" t="s">
        <v>20</v>
      </c>
    </row>
    <row r="141" spans="1:21" ht="47.25" x14ac:dyDescent="0.25">
      <c r="A141" s="5" t="s">
        <v>19</v>
      </c>
      <c r="B141" s="5" t="s">
        <v>18</v>
      </c>
      <c r="C141" s="5" t="s">
        <v>17</v>
      </c>
      <c r="D141" s="5" t="s">
        <v>16</v>
      </c>
      <c r="E141" s="5" t="s">
        <v>15</v>
      </c>
      <c r="F141" s="5" t="s">
        <v>14</v>
      </c>
      <c r="G141" s="5" t="s">
        <v>13</v>
      </c>
      <c r="H141" s="5" t="s">
        <v>12</v>
      </c>
      <c r="N141" s="5" t="s">
        <v>19</v>
      </c>
      <c r="O141" s="5" t="s">
        <v>18</v>
      </c>
      <c r="P141" s="5" t="s">
        <v>17</v>
      </c>
      <c r="Q141" s="5" t="s">
        <v>16</v>
      </c>
      <c r="R141" s="5" t="s">
        <v>15</v>
      </c>
      <c r="S141" s="5" t="s">
        <v>14</v>
      </c>
      <c r="T141" s="5" t="s">
        <v>13</v>
      </c>
      <c r="U141" s="5" t="s">
        <v>12</v>
      </c>
    </row>
    <row r="142" spans="1:21" ht="15.75" x14ac:dyDescent="0.25">
      <c r="A142" s="4" t="s">
        <v>11</v>
      </c>
      <c r="B142" s="4">
        <f>INDEX('[1]TONG HOP'!$E$3:$P$42,7,MATCH($A142,'[1]TONG HOP'!$E$2:$P$2,0))</f>
        <v>22</v>
      </c>
      <c r="C142" s="3">
        <f>INDEX('[3]TSX CĐ 2026'!$B$74:$O$78,1, MATCH($B$139,'[3]TSX CĐ 2026'!$B$73:$O$73,0))</f>
        <v>7</v>
      </c>
      <c r="D142" s="3">
        <f>INDEX('[3]TSX CĐ 2026'!$B$74:$O$78,2, MATCH($B$139,'[3]TSX CĐ 2026'!$B$73:$O$73,0))</f>
        <v>22.795203209536318</v>
      </c>
      <c r="E142" s="2">
        <f t="shared" ref="E142:E153" si="26">C142*B142</f>
        <v>154</v>
      </c>
      <c r="F142" s="2">
        <f t="shared" ref="F142:F153" si="27">D142*B142</f>
        <v>501.49447060979901</v>
      </c>
      <c r="G142" s="3">
        <f>INDEX('[3]TSX CĐ 2026'!$B$74:$O$78,4, MATCH($B$139,'[3]TSX CĐ 2026'!$B$73:$O$73,0))</f>
        <v>3.5</v>
      </c>
      <c r="H142" s="2">
        <f>INDEX('[3]TSX CĐ 2026'!$B$74:$O$78,5, MATCH($B$139,'[3]TSX CĐ 2026'!$B$73:$O$73,0))</f>
        <v>11.397601604768159</v>
      </c>
      <c r="N142" s="4" t="s">
        <v>11</v>
      </c>
      <c r="O142" s="4">
        <f>INDEX('[1]TONG HOP'!$E$3:$P$42,7,MATCH($A142,'[1]TONG HOP'!$E$2:$P$2,0))</f>
        <v>22</v>
      </c>
      <c r="P142" s="3">
        <f>INDEX('[3]TSX CĐ 2026'!$B$74:$O$78,1, MATCH($O$139,'[3]TSX CĐ 2026'!$B$73:$O$73,0))</f>
        <v>7.1305817443848607</v>
      </c>
      <c r="Q142" s="3">
        <f>INDEX('[3]TSX CĐ 2026'!$B$74:$O$78,2, MATCH($O$139,'[3]TSX CĐ 2026'!$B$73:$O$73,0))</f>
        <v>111.62338667883104</v>
      </c>
      <c r="R142" s="2">
        <f t="shared" ref="R142:R153" si="28">P142*O142</f>
        <v>156.87279837646693</v>
      </c>
      <c r="S142" s="2">
        <f t="shared" ref="S142:S153" si="29">Q142*O142</f>
        <v>2455.7145069342828</v>
      </c>
      <c r="T142" s="3">
        <f>INDEX('[3]TSX CĐ 2026'!$B$74:$O$78,4, MATCH($O$139,'[3]TSX CĐ 2026'!$B$73:$O$73,0))</f>
        <v>3.5652908721924303</v>
      </c>
      <c r="U142" s="2">
        <f>INDEX('[3]TSX CĐ 2026'!$B$74:$O$78,5, MATCH($O$139,'[3]TSX CĐ 2026'!$B$73:$O$73,0))</f>
        <v>55.81169333941552</v>
      </c>
    </row>
    <row r="143" spans="1:21" ht="15.75" x14ac:dyDescent="0.25">
      <c r="A143" s="4" t="s">
        <v>10</v>
      </c>
      <c r="B143" s="4">
        <f>INDEX('[1]TONG HOP'!$E$3:$P$42,7,MATCH($A143,'[1]TONG HOP'!$E$2:$P$2,0))</f>
        <v>15</v>
      </c>
      <c r="C143" s="3">
        <f>INDEX('[3]TSX CĐ 2026'!$B$74:$O$78,1, MATCH($B$139,'[3]TSX CĐ 2026'!$B$73:$O$73,0))</f>
        <v>7</v>
      </c>
      <c r="D143" s="3">
        <f>INDEX('[3]TSX CĐ 2026'!$B$74:$O$78,2, MATCH($B$139,'[3]TSX CĐ 2026'!$B$73:$O$73,0))</f>
        <v>22.795203209536318</v>
      </c>
      <c r="E143" s="2">
        <f t="shared" si="26"/>
        <v>105</v>
      </c>
      <c r="F143" s="2">
        <f t="shared" si="27"/>
        <v>341.92804814304475</v>
      </c>
      <c r="G143" s="3">
        <f>INDEX('[3]TSX CĐ 2026'!$B$74:$O$78,4, MATCH($B$139,'[3]TSX CĐ 2026'!$B$73:$O$73,0))</f>
        <v>3.5</v>
      </c>
      <c r="H143" s="2">
        <f>INDEX('[3]TSX CĐ 2026'!$B$74:$O$78,5, MATCH($B$139,'[3]TSX CĐ 2026'!$B$73:$O$73,0))</f>
        <v>11.397601604768159</v>
      </c>
      <c r="N143" s="4" t="s">
        <v>10</v>
      </c>
      <c r="O143" s="4">
        <f>INDEX('[1]TONG HOP'!$E$3:$P$42,7,MATCH($A143,'[1]TONG HOP'!$E$2:$P$2,0))</f>
        <v>15</v>
      </c>
      <c r="P143" s="3">
        <f>INDEX('[3]TSX CĐ 2026'!$B$74:$O$78,1, MATCH($O$139,'[3]TSX CĐ 2026'!$B$73:$O$73,0))</f>
        <v>7.1305817443848607</v>
      </c>
      <c r="Q143" s="3">
        <f>INDEX('[3]TSX CĐ 2026'!$B$74:$O$78,2, MATCH($O$139,'[3]TSX CĐ 2026'!$B$73:$O$73,0))</f>
        <v>111.62338667883104</v>
      </c>
      <c r="R143" s="2">
        <f t="shared" si="28"/>
        <v>106.95872616577292</v>
      </c>
      <c r="S143" s="2">
        <f t="shared" si="29"/>
        <v>1674.3508001824655</v>
      </c>
      <c r="T143" s="3">
        <f>INDEX('[3]TSX CĐ 2026'!$B$74:$O$78,4, MATCH($O$139,'[3]TSX CĐ 2026'!$B$73:$O$73,0))</f>
        <v>3.5652908721924303</v>
      </c>
      <c r="U143" s="2">
        <f>INDEX('[3]TSX CĐ 2026'!$B$74:$O$78,5, MATCH($O$139,'[3]TSX CĐ 2026'!$B$73:$O$73,0))</f>
        <v>55.81169333941552</v>
      </c>
    </row>
    <row r="144" spans="1:21" ht="15.75" x14ac:dyDescent="0.25">
      <c r="A144" s="4" t="s">
        <v>9</v>
      </c>
      <c r="B144" s="4">
        <f>INDEX('[1]TONG HOP'!$E$3:$P$42,7,MATCH($A144,'[1]TONG HOP'!$E$2:$P$2,0))</f>
        <v>22</v>
      </c>
      <c r="C144" s="3">
        <f>INDEX('[3]TSX CĐ 2026'!$B$74:$O$78,1, MATCH($B$139,'[3]TSX CĐ 2026'!$B$73:$O$73,0))</f>
        <v>7</v>
      </c>
      <c r="D144" s="3">
        <f>INDEX('[3]TSX CĐ 2026'!$B$74:$O$78,2, MATCH($B$139,'[3]TSX CĐ 2026'!$B$73:$O$73,0))</f>
        <v>22.795203209536318</v>
      </c>
      <c r="E144" s="2">
        <f t="shared" si="26"/>
        <v>154</v>
      </c>
      <c r="F144" s="2">
        <f t="shared" si="27"/>
        <v>501.49447060979901</v>
      </c>
      <c r="G144" s="3">
        <f>INDEX('[3]TSX CĐ 2026'!$B$74:$O$78,4, MATCH($B$139,'[3]TSX CĐ 2026'!$B$73:$O$73,0))</f>
        <v>3.5</v>
      </c>
      <c r="H144" s="2">
        <f>INDEX('[3]TSX CĐ 2026'!$B$74:$O$78,5, MATCH($B$139,'[3]TSX CĐ 2026'!$B$73:$O$73,0))</f>
        <v>11.397601604768159</v>
      </c>
      <c r="N144" s="4" t="s">
        <v>9</v>
      </c>
      <c r="O144" s="4">
        <f>INDEX('[1]TONG HOP'!$E$3:$P$42,7,MATCH($A144,'[1]TONG HOP'!$E$2:$P$2,0))</f>
        <v>22</v>
      </c>
      <c r="P144" s="3">
        <f>INDEX('[3]TSX CĐ 2026'!$B$74:$O$78,1, MATCH($O$139,'[3]TSX CĐ 2026'!$B$73:$O$73,0))</f>
        <v>7.1305817443848607</v>
      </c>
      <c r="Q144" s="3">
        <f>INDEX('[3]TSX CĐ 2026'!$B$74:$O$78,2, MATCH($O$139,'[3]TSX CĐ 2026'!$B$73:$O$73,0))</f>
        <v>111.62338667883104</v>
      </c>
      <c r="R144" s="2">
        <f t="shared" si="28"/>
        <v>156.87279837646693</v>
      </c>
      <c r="S144" s="2">
        <f t="shared" si="29"/>
        <v>2455.7145069342828</v>
      </c>
      <c r="T144" s="3">
        <f>INDEX('[3]TSX CĐ 2026'!$B$74:$O$78,4, MATCH($O$139,'[3]TSX CĐ 2026'!$B$73:$O$73,0))</f>
        <v>3.5652908721924303</v>
      </c>
      <c r="U144" s="2">
        <f>INDEX('[3]TSX CĐ 2026'!$B$74:$O$78,5, MATCH($O$139,'[3]TSX CĐ 2026'!$B$73:$O$73,0))</f>
        <v>55.81169333941552</v>
      </c>
    </row>
    <row r="145" spans="1:21" ht="15.75" x14ac:dyDescent="0.25">
      <c r="A145" s="4" t="s">
        <v>8</v>
      </c>
      <c r="B145" s="4">
        <f>INDEX('[1]TONG HOP'!$E$3:$P$42,7,MATCH($A145,'[1]TONG HOP'!$E$2:$P$2,0))</f>
        <v>21</v>
      </c>
      <c r="C145" s="3">
        <f>INDEX('[3]TSX CĐ 2026'!$B$74:$O$78,1, MATCH($B$139,'[3]TSX CĐ 2026'!$B$73:$O$73,0))</f>
        <v>7</v>
      </c>
      <c r="D145" s="3">
        <f>INDEX('[3]TSX CĐ 2026'!$B$74:$O$78,2, MATCH($B$139,'[3]TSX CĐ 2026'!$B$73:$O$73,0))</f>
        <v>22.795203209536318</v>
      </c>
      <c r="E145" s="2">
        <f t="shared" si="26"/>
        <v>147</v>
      </c>
      <c r="F145" s="2">
        <f t="shared" si="27"/>
        <v>478.69926740026267</v>
      </c>
      <c r="G145" s="3">
        <f>INDEX('[3]TSX CĐ 2026'!$B$74:$O$78,4, MATCH($B$139,'[3]TSX CĐ 2026'!$B$73:$O$73,0))</f>
        <v>3.5</v>
      </c>
      <c r="H145" s="2">
        <f>INDEX('[3]TSX CĐ 2026'!$B$74:$O$78,5, MATCH($B$139,'[3]TSX CĐ 2026'!$B$73:$O$73,0))</f>
        <v>11.397601604768159</v>
      </c>
      <c r="N145" s="4" t="s">
        <v>8</v>
      </c>
      <c r="O145" s="4">
        <f>INDEX('[1]TONG HOP'!$E$3:$P$42,7,MATCH($A145,'[1]TONG HOP'!$E$2:$P$2,0))</f>
        <v>21</v>
      </c>
      <c r="P145" s="3">
        <f>INDEX('[3]TSX CĐ 2026'!$B$74:$O$78,1, MATCH($O$139,'[3]TSX CĐ 2026'!$B$73:$O$73,0))</f>
        <v>7.1305817443848607</v>
      </c>
      <c r="Q145" s="3">
        <f>INDEX('[3]TSX CĐ 2026'!$B$74:$O$78,2, MATCH($O$139,'[3]TSX CĐ 2026'!$B$73:$O$73,0))</f>
        <v>111.62338667883104</v>
      </c>
      <c r="R145" s="2">
        <f t="shared" si="28"/>
        <v>149.74221663208206</v>
      </c>
      <c r="S145" s="2">
        <f t="shared" si="29"/>
        <v>2344.0911202554516</v>
      </c>
      <c r="T145" s="3">
        <f>INDEX('[3]TSX CĐ 2026'!$B$74:$O$78,4, MATCH($O$139,'[3]TSX CĐ 2026'!$B$73:$O$73,0))</f>
        <v>3.5652908721924303</v>
      </c>
      <c r="U145" s="2">
        <f>INDEX('[3]TSX CĐ 2026'!$B$74:$O$78,5, MATCH($O$139,'[3]TSX CĐ 2026'!$B$73:$O$73,0))</f>
        <v>55.81169333941552</v>
      </c>
    </row>
    <row r="146" spans="1:21" ht="15.75" x14ac:dyDescent="0.25">
      <c r="A146" s="4" t="s">
        <v>7</v>
      </c>
      <c r="B146" s="4">
        <f>INDEX('[1]TONG HOP'!$E$3:$P$42,7,MATCH($A146,'[1]TONG HOP'!$E$2:$P$2,0))</f>
        <v>20</v>
      </c>
      <c r="C146" s="3">
        <f>INDEX('[3]TSX CĐ 2026'!$B$74:$O$78,1, MATCH($B$139,'[3]TSX CĐ 2026'!$B$73:$O$73,0))</f>
        <v>7</v>
      </c>
      <c r="D146" s="3">
        <f>INDEX('[3]TSX CĐ 2026'!$B$74:$O$78,2, MATCH($B$139,'[3]TSX CĐ 2026'!$B$73:$O$73,0))</f>
        <v>22.795203209536318</v>
      </c>
      <c r="E146" s="2">
        <f t="shared" si="26"/>
        <v>140</v>
      </c>
      <c r="F146" s="2">
        <f t="shared" si="27"/>
        <v>455.90406419072633</v>
      </c>
      <c r="G146" s="3">
        <f>INDEX('[3]TSX CĐ 2026'!$B$74:$O$78,4, MATCH($B$139,'[3]TSX CĐ 2026'!$B$73:$O$73,0))</f>
        <v>3.5</v>
      </c>
      <c r="H146" s="2">
        <f>INDEX('[3]TSX CĐ 2026'!$B$74:$O$78,5, MATCH($B$139,'[3]TSX CĐ 2026'!$B$73:$O$73,0))</f>
        <v>11.397601604768159</v>
      </c>
      <c r="N146" s="4" t="s">
        <v>7</v>
      </c>
      <c r="O146" s="4">
        <f>INDEX('[1]TONG HOP'!$E$3:$P$42,7,MATCH($A146,'[1]TONG HOP'!$E$2:$P$2,0))</f>
        <v>20</v>
      </c>
      <c r="P146" s="3">
        <f>INDEX('[3]TSX CĐ 2026'!$B$74:$O$78,1, MATCH($O$139,'[3]TSX CĐ 2026'!$B$73:$O$73,0))</f>
        <v>7.1305817443848607</v>
      </c>
      <c r="Q146" s="3">
        <f>INDEX('[3]TSX CĐ 2026'!$B$74:$O$78,2, MATCH($O$139,'[3]TSX CĐ 2026'!$B$73:$O$73,0))</f>
        <v>111.62338667883104</v>
      </c>
      <c r="R146" s="2">
        <f t="shared" si="28"/>
        <v>142.61163488769722</v>
      </c>
      <c r="S146" s="2">
        <f t="shared" si="29"/>
        <v>2232.467733576621</v>
      </c>
      <c r="T146" s="3">
        <f>INDEX('[3]TSX CĐ 2026'!$B$74:$O$78,4, MATCH($O$139,'[3]TSX CĐ 2026'!$B$73:$O$73,0))</f>
        <v>3.5652908721924303</v>
      </c>
      <c r="U146" s="2">
        <f>INDEX('[3]TSX CĐ 2026'!$B$74:$O$78,5, MATCH($O$139,'[3]TSX CĐ 2026'!$B$73:$O$73,0))</f>
        <v>55.81169333941552</v>
      </c>
    </row>
    <row r="147" spans="1:21" ht="15.75" x14ac:dyDescent="0.25">
      <c r="A147" s="4" t="s">
        <v>6</v>
      </c>
      <c r="B147" s="4">
        <f>INDEX('[1]TONG HOP'!$E$3:$P$42,7,MATCH($A147,'[1]TONG HOP'!$E$2:$P$2,0))</f>
        <v>22</v>
      </c>
      <c r="C147" s="3">
        <f>INDEX('[3]TSX CĐ 2026'!$B$74:$O$78,1, MATCH($B$139,'[3]TSX CĐ 2026'!$B$73:$O$73,0))</f>
        <v>7</v>
      </c>
      <c r="D147" s="3">
        <f>INDEX('[3]TSX CĐ 2026'!$B$74:$O$78,2, MATCH($B$139,'[3]TSX CĐ 2026'!$B$73:$O$73,0))</f>
        <v>22.795203209536318</v>
      </c>
      <c r="E147" s="2">
        <f t="shared" si="26"/>
        <v>154</v>
      </c>
      <c r="F147" s="2">
        <f t="shared" si="27"/>
        <v>501.49447060979901</v>
      </c>
      <c r="G147" s="3">
        <f>INDEX('[3]TSX CĐ 2026'!$B$74:$O$78,4, MATCH($B$139,'[3]TSX CĐ 2026'!$B$73:$O$73,0))</f>
        <v>3.5</v>
      </c>
      <c r="H147" s="2">
        <f>INDEX('[3]TSX CĐ 2026'!$B$74:$O$78,5, MATCH($B$139,'[3]TSX CĐ 2026'!$B$73:$O$73,0))</f>
        <v>11.397601604768159</v>
      </c>
      <c r="N147" s="4" t="s">
        <v>6</v>
      </c>
      <c r="O147" s="4">
        <f>INDEX('[1]TONG HOP'!$E$3:$P$42,7,MATCH($A147,'[1]TONG HOP'!$E$2:$P$2,0))</f>
        <v>22</v>
      </c>
      <c r="P147" s="3">
        <f>INDEX('[3]TSX CĐ 2026'!$B$74:$O$78,1, MATCH($O$139,'[3]TSX CĐ 2026'!$B$73:$O$73,0))</f>
        <v>7.1305817443848607</v>
      </c>
      <c r="Q147" s="3">
        <f>INDEX('[3]TSX CĐ 2026'!$B$74:$O$78,2, MATCH($O$139,'[3]TSX CĐ 2026'!$B$73:$O$73,0))</f>
        <v>111.62338667883104</v>
      </c>
      <c r="R147" s="2">
        <f t="shared" si="28"/>
        <v>156.87279837646693</v>
      </c>
      <c r="S147" s="2">
        <f t="shared" si="29"/>
        <v>2455.7145069342828</v>
      </c>
      <c r="T147" s="3">
        <f>INDEX('[3]TSX CĐ 2026'!$B$74:$O$78,4, MATCH($O$139,'[3]TSX CĐ 2026'!$B$73:$O$73,0))</f>
        <v>3.5652908721924303</v>
      </c>
      <c r="U147" s="2">
        <f>INDEX('[3]TSX CĐ 2026'!$B$74:$O$78,5, MATCH($O$139,'[3]TSX CĐ 2026'!$B$73:$O$73,0))</f>
        <v>55.81169333941552</v>
      </c>
    </row>
    <row r="148" spans="1:21" ht="15.75" x14ac:dyDescent="0.25">
      <c r="A148" s="4" t="s">
        <v>5</v>
      </c>
      <c r="B148" s="4">
        <f>INDEX('[1]TONG HOP'!$E$3:$P$42,7,MATCH($A148,'[1]TONG HOP'!$E$2:$P$2,0))</f>
        <v>23</v>
      </c>
      <c r="C148" s="3">
        <f>INDEX('[3]TSX CĐ 2026'!$B$74:$O$78,1, MATCH($B$139,'[3]TSX CĐ 2026'!$B$73:$O$73,0))</f>
        <v>7</v>
      </c>
      <c r="D148" s="3">
        <f>INDEX('[3]TSX CĐ 2026'!$B$74:$O$78,2, MATCH($B$139,'[3]TSX CĐ 2026'!$B$73:$O$73,0))</f>
        <v>22.795203209536318</v>
      </c>
      <c r="E148" s="2">
        <f t="shared" si="26"/>
        <v>161</v>
      </c>
      <c r="F148" s="2">
        <f t="shared" si="27"/>
        <v>524.28967381933535</v>
      </c>
      <c r="G148" s="3">
        <f>INDEX('[3]TSX CĐ 2026'!$B$74:$O$78,4, MATCH($B$139,'[3]TSX CĐ 2026'!$B$73:$O$73,0))</f>
        <v>3.5</v>
      </c>
      <c r="H148" s="2">
        <f>INDEX('[3]TSX CĐ 2026'!$B$74:$O$78,5, MATCH($B$139,'[3]TSX CĐ 2026'!$B$73:$O$73,0))</f>
        <v>11.397601604768159</v>
      </c>
      <c r="N148" s="4" t="s">
        <v>5</v>
      </c>
      <c r="O148" s="4">
        <f>INDEX('[1]TONG HOP'!$E$3:$P$42,7,MATCH($A148,'[1]TONG HOP'!$E$2:$P$2,0))</f>
        <v>23</v>
      </c>
      <c r="P148" s="3">
        <f>INDEX('[3]TSX CĐ 2026'!$B$74:$O$78,1, MATCH($O$139,'[3]TSX CĐ 2026'!$B$73:$O$73,0))</f>
        <v>7.1305817443848607</v>
      </c>
      <c r="Q148" s="3">
        <f>INDEX('[3]TSX CĐ 2026'!$B$74:$O$78,2, MATCH($O$139,'[3]TSX CĐ 2026'!$B$73:$O$73,0))</f>
        <v>111.62338667883104</v>
      </c>
      <c r="R148" s="2">
        <f t="shared" si="28"/>
        <v>164.0033801208518</v>
      </c>
      <c r="S148" s="2">
        <f t="shared" si="29"/>
        <v>2567.3378936131139</v>
      </c>
      <c r="T148" s="3">
        <f>INDEX('[3]TSX CĐ 2026'!$B$74:$O$78,4, MATCH($O$139,'[3]TSX CĐ 2026'!$B$73:$O$73,0))</f>
        <v>3.5652908721924303</v>
      </c>
      <c r="U148" s="2">
        <f>INDEX('[3]TSX CĐ 2026'!$B$74:$O$78,5, MATCH($O$139,'[3]TSX CĐ 2026'!$B$73:$O$73,0))</f>
        <v>55.81169333941552</v>
      </c>
    </row>
    <row r="149" spans="1:21" ht="15.75" x14ac:dyDescent="0.25">
      <c r="A149" s="4" t="s">
        <v>4</v>
      </c>
      <c r="B149" s="4">
        <f>INDEX('[1]TONG HOP'!$E$3:$P$42,7,MATCH($A149,'[1]TONG HOP'!$E$2:$P$2,0))</f>
        <v>21</v>
      </c>
      <c r="C149" s="3">
        <f>INDEX('[3]TSX CĐ 2026'!$B$74:$O$78,1, MATCH($B$139,'[3]TSX CĐ 2026'!$B$73:$O$73,0))</f>
        <v>7</v>
      </c>
      <c r="D149" s="3">
        <f>INDEX('[3]TSX CĐ 2026'!$B$74:$O$78,2, MATCH($B$139,'[3]TSX CĐ 2026'!$B$73:$O$73,0))</f>
        <v>22.795203209536318</v>
      </c>
      <c r="E149" s="2">
        <f t="shared" si="26"/>
        <v>147</v>
      </c>
      <c r="F149" s="2">
        <f t="shared" si="27"/>
        <v>478.69926740026267</v>
      </c>
      <c r="G149" s="3">
        <f>INDEX('[3]TSX CĐ 2026'!$B$74:$O$78,4, MATCH($B$139,'[3]TSX CĐ 2026'!$B$73:$O$73,0))</f>
        <v>3.5</v>
      </c>
      <c r="H149" s="2">
        <f>INDEX('[3]TSX CĐ 2026'!$B$74:$O$78,5, MATCH($B$139,'[3]TSX CĐ 2026'!$B$73:$O$73,0))</f>
        <v>11.397601604768159</v>
      </c>
      <c r="N149" s="4" t="s">
        <v>4</v>
      </c>
      <c r="O149" s="4">
        <f>INDEX('[1]TONG HOP'!$E$3:$P$42,7,MATCH($A149,'[1]TONG HOP'!$E$2:$P$2,0))</f>
        <v>21</v>
      </c>
      <c r="P149" s="3">
        <f>INDEX('[3]TSX CĐ 2026'!$B$74:$O$78,1, MATCH($O$139,'[3]TSX CĐ 2026'!$B$73:$O$73,0))</f>
        <v>7.1305817443848607</v>
      </c>
      <c r="Q149" s="3">
        <f>INDEX('[3]TSX CĐ 2026'!$B$74:$O$78,2, MATCH($O$139,'[3]TSX CĐ 2026'!$B$73:$O$73,0))</f>
        <v>111.62338667883104</v>
      </c>
      <c r="R149" s="2">
        <f t="shared" si="28"/>
        <v>149.74221663208206</v>
      </c>
      <c r="S149" s="2">
        <f t="shared" si="29"/>
        <v>2344.0911202554516</v>
      </c>
      <c r="T149" s="3">
        <f>INDEX('[3]TSX CĐ 2026'!$B$74:$O$78,4, MATCH($O$139,'[3]TSX CĐ 2026'!$B$73:$O$73,0))</f>
        <v>3.5652908721924303</v>
      </c>
      <c r="U149" s="2">
        <f>INDEX('[3]TSX CĐ 2026'!$B$74:$O$78,5, MATCH($O$139,'[3]TSX CĐ 2026'!$B$73:$O$73,0))</f>
        <v>55.81169333941552</v>
      </c>
    </row>
    <row r="150" spans="1:21" ht="15.75" x14ac:dyDescent="0.25">
      <c r="A150" s="4" t="s">
        <v>3</v>
      </c>
      <c r="B150" s="4">
        <f>INDEX('[1]TONG HOP'!$E$3:$P$42,7,MATCH($A150,'[1]TONG HOP'!$E$2:$P$2,0))</f>
        <v>21</v>
      </c>
      <c r="C150" s="3">
        <f>INDEX('[3]TSX CĐ 2026'!$B$74:$O$78,1, MATCH($B$139,'[3]TSX CĐ 2026'!$B$73:$O$73,0))</f>
        <v>7</v>
      </c>
      <c r="D150" s="3">
        <f>INDEX('[3]TSX CĐ 2026'!$B$74:$O$78,2, MATCH($B$139,'[3]TSX CĐ 2026'!$B$73:$O$73,0))</f>
        <v>22.795203209536318</v>
      </c>
      <c r="E150" s="2">
        <f t="shared" si="26"/>
        <v>147</v>
      </c>
      <c r="F150" s="2">
        <f t="shared" si="27"/>
        <v>478.69926740026267</v>
      </c>
      <c r="G150" s="3">
        <f>INDEX('[3]TSX CĐ 2026'!$B$74:$O$78,4, MATCH($B$139,'[3]TSX CĐ 2026'!$B$73:$O$73,0))</f>
        <v>3.5</v>
      </c>
      <c r="H150" s="2">
        <f>INDEX('[3]TSX CĐ 2026'!$B$74:$O$78,5, MATCH($B$139,'[3]TSX CĐ 2026'!$B$73:$O$73,0))</f>
        <v>11.397601604768159</v>
      </c>
      <c r="N150" s="4" t="s">
        <v>3</v>
      </c>
      <c r="O150" s="4">
        <f>INDEX('[1]TONG HOP'!$E$3:$P$42,7,MATCH($A150,'[1]TONG HOP'!$E$2:$P$2,0))</f>
        <v>21</v>
      </c>
      <c r="P150" s="3">
        <f>INDEX('[3]TSX CĐ 2026'!$B$74:$O$78,1, MATCH($O$139,'[3]TSX CĐ 2026'!$B$73:$O$73,0))</f>
        <v>7.1305817443848607</v>
      </c>
      <c r="Q150" s="3">
        <f>INDEX('[3]TSX CĐ 2026'!$B$74:$O$78,2, MATCH($O$139,'[3]TSX CĐ 2026'!$B$73:$O$73,0))</f>
        <v>111.62338667883104</v>
      </c>
      <c r="R150" s="2">
        <f t="shared" si="28"/>
        <v>149.74221663208206</v>
      </c>
      <c r="S150" s="2">
        <f t="shared" si="29"/>
        <v>2344.0911202554516</v>
      </c>
      <c r="T150" s="3">
        <f>INDEX('[3]TSX CĐ 2026'!$B$74:$O$78,4, MATCH($O$139,'[3]TSX CĐ 2026'!$B$73:$O$73,0))</f>
        <v>3.5652908721924303</v>
      </c>
      <c r="U150" s="2">
        <f>INDEX('[3]TSX CĐ 2026'!$B$74:$O$78,5, MATCH($O$139,'[3]TSX CĐ 2026'!$B$73:$O$73,0))</f>
        <v>55.81169333941552</v>
      </c>
    </row>
    <row r="151" spans="1:21" ht="15.75" x14ac:dyDescent="0.25">
      <c r="A151" s="4" t="s">
        <v>2</v>
      </c>
      <c r="B151" s="4">
        <f>INDEX('[1]TONG HOP'!$E$3:$P$42,7,MATCH($A151,'[1]TONG HOP'!$E$2:$P$2,0))</f>
        <v>22</v>
      </c>
      <c r="C151" s="3">
        <f>INDEX('[3]TSX CĐ 2026'!$B$74:$O$78,1, MATCH($B$139,'[3]TSX CĐ 2026'!$B$73:$O$73,0))</f>
        <v>7</v>
      </c>
      <c r="D151" s="3">
        <f>INDEX('[3]TSX CĐ 2026'!$B$74:$O$78,2, MATCH($B$139,'[3]TSX CĐ 2026'!$B$73:$O$73,0))</f>
        <v>22.795203209536318</v>
      </c>
      <c r="E151" s="2">
        <f t="shared" si="26"/>
        <v>154</v>
      </c>
      <c r="F151" s="2">
        <f t="shared" si="27"/>
        <v>501.49447060979901</v>
      </c>
      <c r="G151" s="3">
        <f>INDEX('[3]TSX CĐ 2026'!$B$74:$O$78,4, MATCH($B$139,'[3]TSX CĐ 2026'!$B$73:$O$73,0))</f>
        <v>3.5</v>
      </c>
      <c r="H151" s="2">
        <f>INDEX('[3]TSX CĐ 2026'!$B$74:$O$78,5, MATCH($B$139,'[3]TSX CĐ 2026'!$B$73:$O$73,0))</f>
        <v>11.397601604768159</v>
      </c>
      <c r="N151" s="4" t="s">
        <v>2</v>
      </c>
      <c r="O151" s="4">
        <f>INDEX('[1]TONG HOP'!$E$3:$P$42,7,MATCH($A151,'[1]TONG HOP'!$E$2:$P$2,0))</f>
        <v>22</v>
      </c>
      <c r="P151" s="3">
        <f>INDEX('[3]TSX CĐ 2026'!$B$74:$O$78,1, MATCH($O$139,'[3]TSX CĐ 2026'!$B$73:$O$73,0))</f>
        <v>7.1305817443848607</v>
      </c>
      <c r="Q151" s="3">
        <f>INDEX('[3]TSX CĐ 2026'!$B$74:$O$78,2, MATCH($O$139,'[3]TSX CĐ 2026'!$B$73:$O$73,0))</f>
        <v>111.62338667883104</v>
      </c>
      <c r="R151" s="2">
        <f t="shared" si="28"/>
        <v>156.87279837646693</v>
      </c>
      <c r="S151" s="2">
        <f t="shared" si="29"/>
        <v>2455.7145069342828</v>
      </c>
      <c r="T151" s="3">
        <f>INDEX('[3]TSX CĐ 2026'!$B$74:$O$78,4, MATCH($O$139,'[3]TSX CĐ 2026'!$B$73:$O$73,0))</f>
        <v>3.5652908721924303</v>
      </c>
      <c r="U151" s="2">
        <f>INDEX('[3]TSX CĐ 2026'!$B$74:$O$78,5, MATCH($O$139,'[3]TSX CĐ 2026'!$B$73:$O$73,0))</f>
        <v>55.81169333941552</v>
      </c>
    </row>
    <row r="152" spans="1:21" ht="15.75" x14ac:dyDescent="0.25">
      <c r="A152" s="4" t="s">
        <v>1</v>
      </c>
      <c r="B152" s="4">
        <f>INDEX('[1]TONG HOP'!$E$3:$P$42,7,MATCH($A152,'[1]TONG HOP'!$E$2:$P$2,0))</f>
        <v>21</v>
      </c>
      <c r="C152" s="3">
        <f>INDEX('[3]TSX CĐ 2026'!$B$74:$O$78,1, MATCH($B$139,'[3]TSX CĐ 2026'!$B$73:$O$73,0))</f>
        <v>7</v>
      </c>
      <c r="D152" s="3">
        <f>INDEX('[3]TSX CĐ 2026'!$B$74:$O$78,2, MATCH($B$139,'[3]TSX CĐ 2026'!$B$73:$O$73,0))</f>
        <v>22.795203209536318</v>
      </c>
      <c r="E152" s="2">
        <f t="shared" si="26"/>
        <v>147</v>
      </c>
      <c r="F152" s="2">
        <f t="shared" si="27"/>
        <v>478.69926740026267</v>
      </c>
      <c r="G152" s="3">
        <f>INDEX('[3]TSX CĐ 2026'!$B$74:$O$78,4, MATCH($B$139,'[3]TSX CĐ 2026'!$B$73:$O$73,0))</f>
        <v>3.5</v>
      </c>
      <c r="H152" s="2">
        <f>INDEX('[3]TSX CĐ 2026'!$B$74:$O$78,5, MATCH($B$139,'[3]TSX CĐ 2026'!$B$73:$O$73,0))</f>
        <v>11.397601604768159</v>
      </c>
      <c r="N152" s="4" t="s">
        <v>1</v>
      </c>
      <c r="O152" s="4">
        <f>INDEX('[1]TONG HOP'!$E$3:$P$42,7,MATCH($A152,'[1]TONG HOP'!$E$2:$P$2,0))</f>
        <v>21</v>
      </c>
      <c r="P152" s="3">
        <f>INDEX('[3]TSX CĐ 2026'!$B$74:$O$78,1, MATCH($O$139,'[3]TSX CĐ 2026'!$B$73:$O$73,0))</f>
        <v>7.1305817443848607</v>
      </c>
      <c r="Q152" s="3">
        <f>INDEX('[3]TSX CĐ 2026'!$B$74:$O$78,2, MATCH($O$139,'[3]TSX CĐ 2026'!$B$73:$O$73,0))</f>
        <v>111.62338667883104</v>
      </c>
      <c r="R152" s="2">
        <f t="shared" si="28"/>
        <v>149.74221663208206</v>
      </c>
      <c r="S152" s="2">
        <f t="shared" si="29"/>
        <v>2344.0911202554516</v>
      </c>
      <c r="T152" s="3">
        <f>INDEX('[3]TSX CĐ 2026'!$B$74:$O$78,4, MATCH($O$139,'[3]TSX CĐ 2026'!$B$73:$O$73,0))</f>
        <v>3.5652908721924303</v>
      </c>
      <c r="U152" s="2">
        <f>INDEX('[3]TSX CĐ 2026'!$B$74:$O$78,5, MATCH($O$139,'[3]TSX CĐ 2026'!$B$73:$O$73,0))</f>
        <v>55.81169333941552</v>
      </c>
    </row>
    <row r="153" spans="1:21" ht="15.75" x14ac:dyDescent="0.25">
      <c r="A153" s="4" t="s">
        <v>0</v>
      </c>
      <c r="B153" s="4">
        <f>INDEX('[1]TONG HOP'!$E$3:$P$42,7,MATCH($A153,'[1]TONG HOP'!$E$2:$P$2,0))</f>
        <v>22</v>
      </c>
      <c r="C153" s="3">
        <f>INDEX('[3]TSX CĐ 2026'!$B$74:$O$78,1, MATCH($B$139,'[3]TSX CĐ 2026'!$B$73:$O$73,0))</f>
        <v>7</v>
      </c>
      <c r="D153" s="3">
        <f>INDEX('[3]TSX CĐ 2026'!$B$74:$O$78,2, MATCH($B$139,'[3]TSX CĐ 2026'!$B$73:$O$73,0))</f>
        <v>22.795203209536318</v>
      </c>
      <c r="E153" s="2">
        <f t="shared" si="26"/>
        <v>154</v>
      </c>
      <c r="F153" s="2">
        <f t="shared" si="27"/>
        <v>501.49447060979901</v>
      </c>
      <c r="G153" s="3">
        <f>INDEX('[3]TSX CĐ 2026'!$B$74:$O$78,4, MATCH($B$139,'[3]TSX CĐ 2026'!$B$73:$O$73,0))</f>
        <v>3.5</v>
      </c>
      <c r="H153" s="2">
        <f>INDEX('[3]TSX CĐ 2026'!$B$74:$O$78,5, MATCH($B$139,'[3]TSX CĐ 2026'!$B$73:$O$73,0))</f>
        <v>11.397601604768159</v>
      </c>
      <c r="N153" s="4" t="s">
        <v>0</v>
      </c>
      <c r="O153" s="4">
        <f>INDEX('[1]TONG HOP'!$E$3:$P$42,7,MATCH($A153,'[1]TONG HOP'!$E$2:$P$2,0))</f>
        <v>22</v>
      </c>
      <c r="P153" s="3">
        <f>INDEX('[3]TSX CĐ 2026'!$B$74:$O$78,1, MATCH($O$139,'[3]TSX CĐ 2026'!$B$73:$O$73,0))</f>
        <v>7.1305817443848607</v>
      </c>
      <c r="Q153" s="3">
        <f>INDEX('[3]TSX CĐ 2026'!$B$74:$O$78,2, MATCH($O$139,'[3]TSX CĐ 2026'!$B$73:$O$73,0))</f>
        <v>111.62338667883104</v>
      </c>
      <c r="R153" s="2">
        <f t="shared" si="28"/>
        <v>156.87279837646693</v>
      </c>
      <c r="S153" s="2">
        <f t="shared" si="29"/>
        <v>2455.7145069342828</v>
      </c>
      <c r="T153" s="3">
        <f>INDEX('[3]TSX CĐ 2026'!$B$74:$O$78,4, MATCH($O$139,'[3]TSX CĐ 2026'!$B$73:$O$73,0))</f>
        <v>3.5652908721924303</v>
      </c>
      <c r="U153" s="2">
        <f>INDEX('[3]TSX CĐ 2026'!$B$74:$O$78,5, MATCH($O$139,'[3]TSX CĐ 2026'!$B$73:$O$73,0))</f>
        <v>55.81169333941552</v>
      </c>
    </row>
    <row r="156" spans="1:21" ht="15.75" x14ac:dyDescent="0.25">
      <c r="A156" s="13" t="s">
        <v>47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spans="1:21" x14ac:dyDescent="0.25">
      <c r="A157" s="10" t="s">
        <v>44</v>
      </c>
      <c r="B157" s="10" t="s">
        <v>30</v>
      </c>
      <c r="C157" s="10" t="s">
        <v>32</v>
      </c>
      <c r="D157" s="10" t="s">
        <v>28</v>
      </c>
      <c r="E157" s="10" t="s">
        <v>33</v>
      </c>
      <c r="F157" s="10" t="s">
        <v>24</v>
      </c>
      <c r="G157" s="10" t="s">
        <v>22</v>
      </c>
      <c r="H157" s="10" t="s">
        <v>25</v>
      </c>
      <c r="I157" s="10" t="s">
        <v>31</v>
      </c>
      <c r="J157" s="10" t="s">
        <v>23</v>
      </c>
      <c r="K157" s="10" t="s">
        <v>20</v>
      </c>
      <c r="L157" s="10" t="s">
        <v>29</v>
      </c>
      <c r="M157" s="10" t="s">
        <v>27</v>
      </c>
    </row>
    <row r="158" spans="1:21" x14ac:dyDescent="0.25">
      <c r="A158" s="12" t="s">
        <v>45</v>
      </c>
      <c r="B158" s="11">
        <f>INDEX('[4]Tính toán'!$B$2:$M$20,2,MATCH(B157,'[4]Tính toán'!$B$2:$M$2,0))</f>
        <v>0.21</v>
      </c>
      <c r="C158" s="11">
        <f>INDEX('[4]Tính toán'!$B$2:$M$20,2,MATCH(C157,'[4]Tính toán'!$B$2:$M$2,0))</f>
        <v>0.3</v>
      </c>
      <c r="D158" s="11">
        <f>INDEX('[4]Tính toán'!$B$2:$M$20,2,MATCH(D157,'[4]Tính toán'!$B$2:$M$2,0))</f>
        <v>0.3</v>
      </c>
      <c r="E158" s="11">
        <f>INDEX('[4]Tính toán'!$B$2:$M$20,2,MATCH(E157,'[4]Tính toán'!$B$2:$M$2,0))</f>
        <v>0.38</v>
      </c>
      <c r="F158" s="11">
        <f>INDEX('[4]Tính toán'!$B$2:$M$20,2,MATCH(F157,'[4]Tính toán'!$B$2:$M$2,0))</f>
        <v>0.35</v>
      </c>
      <c r="G158" s="11">
        <f>INDEX('[4]Tính toán'!$B$2:$M$20,2,MATCH(G157,'[4]Tính toán'!$B$2:$M$2,0))</f>
        <v>0.48</v>
      </c>
      <c r="H158" s="11">
        <f>INDEX('[4]Tính toán'!$B$2:$M$20,2,MATCH(H157,'[4]Tính toán'!$B$2:$M$2,0))</f>
        <v>0.6</v>
      </c>
      <c r="I158" s="11">
        <f>INDEX('[4]Tính toán'!$B$2:$M$20,2,MATCH(I157,'[4]Tính toán'!$B$2:$M$2,0))</f>
        <v>0.5</v>
      </c>
      <c r="J158" s="11">
        <f>INDEX('[4]Tính toán'!$B$2:$M$20,2,MATCH(J157,'[4]Tính toán'!$B$2:$M$2,0))</f>
        <v>0.68</v>
      </c>
      <c r="K158" s="11">
        <f>INDEX('[4]Tính toán'!$B$2:$M$20,2,MATCH(K157,'[4]Tính toán'!$B$2:$M$2,0))</f>
        <v>0.7</v>
      </c>
      <c r="L158" s="11">
        <f>INDEX('[4]Tính toán'!$B$2:$M$20,2,MATCH(L157,'[4]Tính toán'!$B$2:$M$2,0))</f>
        <v>0.65</v>
      </c>
      <c r="M158" s="11">
        <f>INDEX('[4]Tính toán'!$B$2:$M$20,2,MATCH(M157,'[4]Tính toán'!$B$2:$M$2,0))</f>
        <v>0.65</v>
      </c>
    </row>
    <row r="159" spans="1:21" x14ac:dyDescent="0.25">
      <c r="A159" s="12" t="s">
        <v>46</v>
      </c>
      <c r="B159" s="11">
        <f>INDEX('[4]Tính toán'!$B$2:$M$20,19,MATCH(B157,'[4]Tính toán'!$B$2:$M$2,0))</f>
        <v>0.29647058823529404</v>
      </c>
      <c r="C159" s="11">
        <f>INDEX('[4]Tính toán'!$B$2:$M$20,19,MATCH(C157,'[4]Tính toán'!$B$2:$M$2,0))</f>
        <v>0.42352941176470588</v>
      </c>
      <c r="D159" s="11">
        <f>INDEX('[4]Tính toán'!$B$2:$M$20,19,MATCH(D157,'[4]Tính toán'!$B$2:$M$2,0))</f>
        <v>0.42352941176470588</v>
      </c>
      <c r="E159" s="11">
        <f>INDEX('[4]Tính toán'!$B$2:$M$20,19,MATCH(E157,'[4]Tính toán'!$B$2:$M$2,0))</f>
        <v>0.53647058823529414</v>
      </c>
      <c r="F159" s="11">
        <f>INDEX('[4]Tính toán'!$B$2:$M$20,19,MATCH(F157,'[4]Tính toán'!$B$2:$M$2,0))</f>
        <v>0.49411764705882355</v>
      </c>
      <c r="G159" s="11">
        <f>INDEX('[4]Tính toán'!$B$2:$M$20,19,MATCH(G157,'[4]Tính toán'!$B$2:$M$2,0))</f>
        <v>0.67764705882352927</v>
      </c>
      <c r="H159" s="11">
        <f>INDEX('[4]Tính toán'!$B$2:$M$20,19,MATCH(H157,'[4]Tính toán'!$B$2:$M$2,0))</f>
        <v>0.72941176470588232</v>
      </c>
      <c r="I159" s="11">
        <f>INDEX('[4]Tính toán'!$B$2:$M$20,19,MATCH(I157,'[4]Tính toán'!$B$2:$M$2,0))</f>
        <v>0.58823529411764708</v>
      </c>
      <c r="J159" s="11">
        <f>INDEX('[4]Tính toán'!$B$2:$M$20,19,MATCH(J157,'[4]Tính toán'!$B$2:$M$2,0))</f>
        <v>0.84235294117647064</v>
      </c>
      <c r="K159" s="11">
        <f>INDEX('[4]Tính toán'!$B$2:$M$20,19,MATCH(K157,'[4]Tính toán'!$B$2:$M$2,0))</f>
        <v>0.87058823529411766</v>
      </c>
      <c r="L159" s="11">
        <f>INDEX('[4]Tính toán'!$B$2:$M$20,19,MATCH(L157,'[4]Tính toán'!$B$2:$M$2,0))</f>
        <v>0.8</v>
      </c>
      <c r="M159" s="11">
        <f>INDEX('[4]Tính toán'!$B$2:$M$20,19,MATCH(M157,'[4]Tính toán'!$B$2:$M$2,0))</f>
        <v>0.8</v>
      </c>
    </row>
  </sheetData>
  <mergeCells count="1">
    <mergeCell ref="A156:M156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NĂM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12329 Hoang</dc:creator>
  <cp:lastModifiedBy>VDM/HOANG LE PHUOC</cp:lastModifiedBy>
  <dcterms:created xsi:type="dcterms:W3CDTF">2026-01-27T06:39:22Z</dcterms:created>
  <dcterms:modified xsi:type="dcterms:W3CDTF">2026-06-12T08:59:30Z</dcterms:modified>
</cp:coreProperties>
</file>